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EEBP - Sub Comercial\0. SUBGERENCIA COMERCIAL\0. COMPRA DE ENERGÍA\0. HISTÓRICO CONSUMO\"/>
    </mc:Choice>
  </mc:AlternateContent>
  <xr:revisionPtr revIDLastSave="0" documentId="13_ncr:1_{D648F9AE-8966-4D17-B73A-FD1D212BC6D8}" xr6:coauthVersionLast="47" xr6:coauthVersionMax="47" xr10:uidLastSave="{00000000-0000-0000-0000-000000000000}"/>
  <bookViews>
    <workbookView xWindow="-120" yWindow="-120" windowWidth="29040" windowHeight="15720" tabRatio="703" xr2:uid="{2FA2704F-2826-429A-8666-74E917D319C5}"/>
  </bookViews>
  <sheets>
    <sheet name="Plana 2029-2033 (2026-001)" sheetId="13" r:id="rId1"/>
    <sheet name="Cantidad maxima " sheetId="3" r:id="rId2"/>
    <sheet name="intermedio" sheetId="8" state="hidden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2" hidden="1">intermedio!$E$3:$E$425</definedName>
    <definedName name="_xlnm.Print_Area" localSheetId="1">'Cantidad maxima '!$A$2:$E$75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8" i="13" l="1"/>
  <c r="AA68" i="13" s="1"/>
  <c r="AA67" i="13"/>
  <c r="B67" i="13"/>
  <c r="B66" i="13"/>
  <c r="AA66" i="13" s="1"/>
  <c r="B65" i="13"/>
  <c r="AA65" i="13" s="1"/>
  <c r="B64" i="13"/>
  <c r="AA64" i="13" s="1"/>
  <c r="B63" i="13"/>
  <c r="AA63" i="13" s="1"/>
  <c r="B62" i="13"/>
  <c r="AA62" i="13" s="1"/>
  <c r="AA61" i="13"/>
  <c r="B61" i="13"/>
  <c r="B60" i="13"/>
  <c r="AA60" i="13" s="1"/>
  <c r="AA59" i="13"/>
  <c r="B59" i="13"/>
  <c r="B58" i="13"/>
  <c r="AA58" i="13" s="1"/>
  <c r="B57" i="13"/>
  <c r="AA57" i="13" s="1"/>
  <c r="B56" i="13"/>
  <c r="AA56" i="13" s="1"/>
  <c r="B55" i="13"/>
  <c r="AA55" i="13" s="1"/>
  <c r="B54" i="13"/>
  <c r="AA54" i="13" s="1"/>
  <c r="AA53" i="13"/>
  <c r="B53" i="13"/>
  <c r="B52" i="13"/>
  <c r="AA52" i="13" s="1"/>
  <c r="AA51" i="13"/>
  <c r="B51" i="13"/>
  <c r="B50" i="13"/>
  <c r="AA50" i="13" s="1"/>
  <c r="B49" i="13"/>
  <c r="AA49" i="13" s="1"/>
  <c r="B48" i="13"/>
  <c r="AA48" i="13" s="1"/>
  <c r="B47" i="13"/>
  <c r="AA47" i="13" s="1"/>
  <c r="B46" i="13"/>
  <c r="AA46" i="13" s="1"/>
  <c r="AA45" i="13"/>
  <c r="B45" i="13"/>
  <c r="B44" i="13"/>
  <c r="AA44" i="13" s="1"/>
  <c r="AA43" i="13"/>
  <c r="B43" i="13"/>
  <c r="B42" i="13"/>
  <c r="AA42" i="13" s="1"/>
  <c r="B41" i="13"/>
  <c r="AA41" i="13" s="1"/>
  <c r="B40" i="13"/>
  <c r="AA40" i="13" s="1"/>
  <c r="B39" i="13"/>
  <c r="AA39" i="13" s="1"/>
  <c r="B38" i="13"/>
  <c r="AA38" i="13" s="1"/>
  <c r="AA37" i="13"/>
  <c r="B37" i="13"/>
  <c r="B36" i="13"/>
  <c r="AA36" i="13" s="1"/>
  <c r="AA35" i="13"/>
  <c r="B35" i="13"/>
  <c r="B34" i="13"/>
  <c r="AA34" i="13" s="1"/>
  <c r="B33" i="13"/>
  <c r="AA33" i="13" s="1"/>
  <c r="B32" i="13"/>
  <c r="AA32" i="13" s="1"/>
  <c r="B31" i="13"/>
  <c r="AA31" i="13" s="1"/>
  <c r="B30" i="13"/>
  <c r="AA30" i="13" s="1"/>
  <c r="AA29" i="13"/>
  <c r="B29" i="13"/>
  <c r="B28" i="13"/>
  <c r="AA28" i="13" s="1"/>
  <c r="AA27" i="13"/>
  <c r="B27" i="13"/>
  <c r="B26" i="13"/>
  <c r="AA26" i="13" s="1"/>
  <c r="B25" i="13"/>
  <c r="AA25" i="13" s="1"/>
  <c r="B24" i="13"/>
  <c r="AA24" i="13" s="1"/>
  <c r="B23" i="13"/>
  <c r="AA23" i="13" s="1"/>
  <c r="B22" i="13"/>
  <c r="AA22" i="13" s="1"/>
  <c r="AA21" i="13"/>
  <c r="B21" i="13"/>
  <c r="B20" i="13"/>
  <c r="AA20" i="13" s="1"/>
  <c r="AA19" i="13"/>
  <c r="B19" i="13"/>
  <c r="B18" i="13"/>
  <c r="AA18" i="13" s="1"/>
  <c r="B17" i="13"/>
  <c r="AA17" i="13" s="1"/>
  <c r="B16" i="13"/>
  <c r="AA16" i="13" s="1"/>
  <c r="B15" i="13"/>
  <c r="AA15" i="13" s="1"/>
  <c r="B14" i="13"/>
  <c r="AA14" i="13" s="1"/>
  <c r="AA13" i="13"/>
  <c r="B13" i="13"/>
  <c r="B12" i="13"/>
  <c r="AA12" i="13" s="1"/>
  <c r="AA11" i="13"/>
  <c r="B11" i="13"/>
  <c r="B10" i="13"/>
  <c r="AA10" i="13" s="1"/>
  <c r="B9" i="13"/>
  <c r="AA9" i="13" s="1"/>
  <c r="B71" i="3" l="1"/>
</calcChain>
</file>

<file path=xl/sharedStrings.xml><?xml version="1.0" encoding="utf-8"?>
<sst xmlns="http://schemas.openxmlformats.org/spreadsheetml/2006/main" count="73" uniqueCount="46">
  <si>
    <t xml:space="preserve"> EMPRESA DE ENERGIA DEL BAJO PUTUMAYO S.A. E.S.P.</t>
  </si>
  <si>
    <t xml:space="preserve">CANTIDAD DE ENERGIA REQUERIDA Y CURVA DE CARGA HORARIA </t>
  </si>
  <si>
    <t>TIPO DE OFERTA: CURVA</t>
  </si>
  <si>
    <t>CURVA TOTAL PROYECTADA</t>
  </si>
  <si>
    <t>MES/AÑO</t>
  </si>
  <si>
    <t># 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</si>
  <si>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</si>
  <si>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</si>
  <si>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</si>
  <si>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</si>
  <si>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</si>
  <si>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</si>
  <si>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</si>
  <si>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</si>
  <si>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</si>
  <si>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</si>
  <si>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</si>
  <si>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</si>
  <si>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</si>
  <si>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</si>
  <si>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</si>
  <si>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</si>
  <si>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</si>
  <si>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</si>
  <si>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</si>
  <si>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</si>
  <si>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</si>
  <si>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</si>
  <si>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</si>
  <si>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</si>
  <si>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</si>
  <si>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kWh</t>
  </si>
  <si>
    <t xml:space="preserve"> FORMATO DE OFERTAS</t>
  </si>
  <si>
    <t xml:space="preserve"> OFERTA DE SUMINISTRO DE ENERGÍA ELECTRICA AÑOS 2029-2033</t>
  </si>
  <si>
    <t>ENERGIA SOLICITADA</t>
  </si>
  <si>
    <t>PAGUE LO CONTRATADO</t>
  </si>
  <si>
    <t>Oferta (%)  De la Curva Demanda</t>
  </si>
  <si>
    <t>Necesidad TOTAL MES kWh</t>
  </si>
  <si>
    <t>Nivel de cobertura esperado
%</t>
  </si>
  <si>
    <t>Energia Ofrecida kwh</t>
  </si>
  <si>
    <t xml:space="preserve">TOTAL </t>
  </si>
  <si>
    <t>NOMBRE Y FIRMA DEL REPRESENTANTE LEGAL</t>
  </si>
  <si>
    <t>AGENTE PROPONENTE</t>
  </si>
  <si>
    <t>PRODUCTO 001</t>
  </si>
  <si>
    <t>CONVOCATORIA PÚBLICA CP-EBPC2026-001</t>
  </si>
  <si>
    <r>
      <t xml:space="preserve">Precio de Oferta COP/kWh con dos cifras decimales, precio monomio fijo, en pesos contantes de </t>
    </r>
    <r>
      <rPr>
        <b/>
        <sz val="10"/>
        <color rgb="FFFF0000"/>
        <rFont val="Calibri"/>
        <family val="2"/>
        <scheme val="minor"/>
      </rPr>
      <t>octubre 2025</t>
    </r>
    <r>
      <rPr>
        <b/>
        <sz val="10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</si>
</sst>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-&quot;$&quot;* #,##0.00_-;\-&quot;$&quot;* #,##0.00_-;_-&quot;$&quot;* &quot;-&quot;??_-;_-@_-"/>
    <numFmt numFmtId="166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6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4" fillId="0" borderId="0" xfId="0" applyFont="1"/>
    <xf numFmtId="0" fontId="4" fillId="0" borderId="1" xfId="2" applyFont="1" applyBorder="1"/>
    <xf numFmtId="17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/>
    <xf numFmtId="4" fontId="4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0" fontId="6" fillId="0" borderId="0" xfId="1" applyFont="1"/>
    <xf numFmtId="0" fontId="6" fillId="0" borderId="0" xfId="1" applyFont="1" applyAlignment="1">
      <alignment horizontal="left"/>
    </xf>
    <xf numFmtId="0" fontId="3" fillId="2" borderId="20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justify"/>
    </xf>
    <xf numFmtId="3" fontId="3" fillId="0" borderId="0" xfId="1" applyNumberFormat="1" applyFont="1" applyAlignment="1">
      <alignment horizontal="center"/>
    </xf>
    <xf numFmtId="17" fontId="3" fillId="3" borderId="4" xfId="1" applyNumberFormat="1" applyFont="1" applyFill="1" applyBorder="1" applyAlignment="1">
      <alignment horizontal="center" vertical="center"/>
    </xf>
    <xf numFmtId="4" fontId="6" fillId="0" borderId="11" xfId="1" applyNumberFormat="1" applyFont="1" applyBorder="1" applyAlignment="1">
      <alignment horizontal="center" vertical="center"/>
    </xf>
    <xf numFmtId="9" fontId="6" fillId="0" borderId="14" xfId="1" applyNumberFormat="1" applyFont="1" applyBorder="1" applyAlignment="1">
      <alignment horizontal="center" vertical="center"/>
    </xf>
    <xf numFmtId="9" fontId="6" fillId="0" borderId="11" xfId="1" applyNumberFormat="1" applyFont="1" applyBorder="1" applyAlignment="1">
      <alignment horizontal="center" vertical="center"/>
    </xf>
    <xf numFmtId="17" fontId="3" fillId="3" borderId="23" xfId="1" applyNumberFormat="1" applyFont="1" applyFill="1" applyBorder="1" applyAlignment="1">
      <alignment horizontal="center" vertical="center"/>
    </xf>
    <xf numFmtId="4" fontId="6" fillId="0" borderId="20" xfId="1" applyNumberFormat="1" applyFont="1" applyBorder="1" applyAlignment="1">
      <alignment horizontal="center" vertical="center"/>
    </xf>
    <xf numFmtId="9" fontId="6" fillId="0" borderId="24" xfId="1" applyNumberFormat="1" applyFont="1" applyBorder="1" applyAlignment="1">
      <alignment horizontal="center" vertical="center"/>
    </xf>
    <xf numFmtId="9" fontId="6" fillId="0" borderId="15" xfId="1" applyNumberFormat="1" applyFont="1" applyBorder="1" applyAlignment="1">
      <alignment horizontal="center" vertical="center"/>
    </xf>
    <xf numFmtId="9" fontId="6" fillId="0" borderId="20" xfId="1" applyNumberFormat="1" applyFont="1" applyBorder="1" applyAlignment="1">
      <alignment horizontal="center"/>
    </xf>
    <xf numFmtId="4" fontId="6" fillId="0" borderId="28" xfId="1" applyNumberFormat="1" applyFont="1" applyBorder="1" applyAlignment="1">
      <alignment horizontal="center" vertical="center"/>
    </xf>
    <xf numFmtId="0" fontId="3" fillId="0" borderId="26" xfId="1" applyFont="1" applyBorder="1"/>
    <xf numFmtId="4" fontId="3" fillId="0" borderId="27" xfId="1" applyNumberFormat="1" applyFont="1" applyBorder="1" applyAlignment="1">
      <alignment horizontal="center"/>
    </xf>
    <xf numFmtId="43" fontId="6" fillId="0" borderId="26" xfId="1" applyNumberFormat="1" applyFont="1" applyBorder="1" applyAlignment="1">
      <alignment horizontal="center" vertical="center"/>
    </xf>
    <xf numFmtId="9" fontId="6" fillId="0" borderId="3" xfId="1" applyNumberFormat="1" applyFont="1" applyBorder="1" applyAlignment="1">
      <alignment horizontal="center" vertical="center"/>
    </xf>
    <xf numFmtId="0" fontId="6" fillId="0" borderId="3" xfId="1" applyFont="1" applyBorder="1"/>
    <xf numFmtId="0" fontId="8" fillId="0" borderId="5" xfId="1" applyFont="1" applyBorder="1" applyAlignment="1">
      <alignment horizontal="center"/>
    </xf>
    <xf numFmtId="0" fontId="3" fillId="0" borderId="5" xfId="2" applyFont="1" applyBorder="1"/>
    <xf numFmtId="166" fontId="6" fillId="0" borderId="0" xfId="4" applyFont="1"/>
    <xf numFmtId="4" fontId="4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29" xfId="0" applyFont="1" applyBorder="1" applyAlignment="1">
      <alignment horizontal="center" wrapText="1"/>
    </xf>
    <xf numFmtId="165" fontId="6" fillId="0" borderId="22" xfId="3" applyFont="1" applyBorder="1" applyAlignment="1">
      <alignment horizontal="center" vertical="center"/>
    </xf>
    <xf numFmtId="165" fontId="6" fillId="0" borderId="25" xfId="3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3" fillId="0" borderId="0" xfId="2" applyFont="1" applyAlignment="1">
      <alignment horizontal="left"/>
    </xf>
    <xf numFmtId="0" fontId="3" fillId="2" borderId="11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10" xfId="1" applyFont="1" applyBorder="1" applyAlignment="1">
      <alignment horizontal="center"/>
    </xf>
  </cellXfs>
  <cellStyles count="5">
    <cellStyle name="Millares 2 2" xfId="4" xr:uid="{8BDD0638-4369-4B5A-A60E-FEC8FA2815C9}"/>
    <cellStyle name="Moneda 2" xfId="3" xr:uid="{5B60506A-A369-4D88-9686-43E29114582F}"/>
    <cellStyle name="Normal" xfId="0" builtinId="0"/>
    <cellStyle name="Normal 2 2" xfId="1" xr:uid="{176A3C20-CC5D-4AAB-B9E9-79D2877EBEA6}"/>
    <cellStyle name="Normal 3" xfId="2" xr:uid="{6C57B20F-B626-46E1-AFBE-1C77BCA0D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8666-13F8-499D-B80A-E3A523B5E860}">
  <dimension ref="A1:AB73"/>
  <sheetViews>
    <sheetView tabSelected="1" zoomScale="80" zoomScaleNormal="80" workbookViewId="0">
      <pane xSplit="2" ySplit="8" topLeftCell="C9" activePane="bottomRight" state="frozen"/>
      <selection pane="topRight" activeCell="E1" sqref="E1"/>
      <selection pane="bottomLeft" activeCell="A3" sqref="A3"/>
      <selection pane="bottomRight" activeCell="I30" sqref="I30"/>
    </sheetView>
  </sheetViews>
  <sheetFormatPr baseColWidth="10" defaultRowHeight="12.75" x14ac:dyDescent="0.2"/>
  <cols>
    <col min="1" max="1" width="9.42578125" style="5" customWidth="1"/>
    <col min="2" max="2" width="8.28515625" style="5" customWidth="1"/>
    <col min="3" max="3" width="9" style="5" customWidth="1"/>
    <col min="4" max="10" width="9" style="5" bestFit="1" customWidth="1"/>
    <col min="11" max="11" width="8.7109375" style="5" customWidth="1"/>
    <col min="12" max="12" width="8.85546875" style="5" customWidth="1"/>
    <col min="13" max="13" width="9" style="5" customWidth="1"/>
    <col min="14" max="14" width="9.140625" style="5" customWidth="1"/>
    <col min="15" max="15" width="8.7109375" style="5" customWidth="1"/>
    <col min="16" max="16" width="8.85546875" style="5" customWidth="1"/>
    <col min="17" max="18" width="9" style="5" customWidth="1"/>
    <col min="19" max="19" width="8.7109375" style="5" customWidth="1"/>
    <col min="20" max="21" width="9.7109375" style="5" customWidth="1"/>
    <col min="22" max="23" width="9.85546875" style="5" customWidth="1"/>
    <col min="24" max="24" width="10" style="5" customWidth="1"/>
    <col min="25" max="25" width="8.7109375" style="5" customWidth="1"/>
    <col min="26" max="26" width="9.28515625" style="5" customWidth="1"/>
    <col min="27" max="27" width="14.7109375" style="5" bestFit="1" customWidth="1"/>
    <col min="28" max="28" width="16.28515625" style="5" bestFit="1" customWidth="1"/>
    <col min="29" max="29" width="19" style="5" customWidth="1"/>
    <col min="30" max="16384" width="11.42578125" style="5"/>
  </cols>
  <sheetData>
    <row r="1" spans="1:28" x14ac:dyDescent="0.2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"/>
    </row>
    <row r="2" spans="1:28" x14ac:dyDescent="0.2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"/>
    </row>
    <row r="3" spans="1:28" x14ac:dyDescent="0.2">
      <c r="A3" s="42" t="s">
        <v>44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"/>
    </row>
    <row r="4" spans="1:28" x14ac:dyDescent="0.2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"/>
    </row>
    <row r="5" spans="1:28" x14ac:dyDescent="0.2">
      <c r="A5" s="42" t="s">
        <v>43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"/>
    </row>
    <row r="6" spans="1:28" ht="27" customHeight="1" x14ac:dyDescent="0.2">
      <c r="A6" s="43" t="s">
        <v>3</v>
      </c>
      <c r="B6" s="43"/>
    </row>
    <row r="7" spans="1:28" x14ac:dyDescent="0.2">
      <c r="A7" s="39" t="s">
        <v>4</v>
      </c>
      <c r="B7" s="40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41" t="s">
        <v>30</v>
      </c>
    </row>
    <row r="8" spans="1:28" x14ac:dyDescent="0.2">
      <c r="A8" s="39"/>
      <c r="B8" s="40"/>
      <c r="C8" s="6" t="s">
        <v>31</v>
      </c>
      <c r="D8" s="6" t="s">
        <v>31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31</v>
      </c>
      <c r="M8" s="6" t="s">
        <v>31</v>
      </c>
      <c r="N8" s="6" t="s">
        <v>31</v>
      </c>
      <c r="O8" s="6" t="s">
        <v>31</v>
      </c>
      <c r="P8" s="6" t="s">
        <v>31</v>
      </c>
      <c r="Q8" s="6" t="s">
        <v>31</v>
      </c>
      <c r="R8" s="6" t="s">
        <v>31</v>
      </c>
      <c r="S8" s="6" t="s">
        <v>31</v>
      </c>
      <c r="T8" s="6" t="s">
        <v>31</v>
      </c>
      <c r="U8" s="6" t="s">
        <v>31</v>
      </c>
      <c r="V8" s="6" t="s">
        <v>31</v>
      </c>
      <c r="W8" s="6" t="s">
        <v>31</v>
      </c>
      <c r="X8" s="6" t="s">
        <v>31</v>
      </c>
      <c r="Y8" s="6" t="s">
        <v>31</v>
      </c>
      <c r="Z8" s="6" t="s">
        <v>31</v>
      </c>
      <c r="AA8" s="41"/>
    </row>
    <row r="9" spans="1:28" x14ac:dyDescent="0.2">
      <c r="A9" s="7">
        <v>47119</v>
      </c>
      <c r="B9" s="8">
        <f>DAY(EOMONTH(A9,0))</f>
        <v>31</v>
      </c>
      <c r="C9" s="9">
        <v>3300</v>
      </c>
      <c r="D9" s="9">
        <v>3300</v>
      </c>
      <c r="E9" s="9">
        <v>3300</v>
      </c>
      <c r="F9" s="9">
        <v>3300</v>
      </c>
      <c r="G9" s="9">
        <v>3300</v>
      </c>
      <c r="H9" s="9">
        <v>3300</v>
      </c>
      <c r="I9" s="9">
        <v>3300</v>
      </c>
      <c r="J9" s="9">
        <v>3300</v>
      </c>
      <c r="K9" s="9">
        <v>3300</v>
      </c>
      <c r="L9" s="9">
        <v>3300</v>
      </c>
      <c r="M9" s="9">
        <v>3300</v>
      </c>
      <c r="N9" s="9">
        <v>3300</v>
      </c>
      <c r="O9" s="9">
        <v>3300</v>
      </c>
      <c r="P9" s="9">
        <v>3300</v>
      </c>
      <c r="Q9" s="9">
        <v>3300</v>
      </c>
      <c r="R9" s="9">
        <v>3300</v>
      </c>
      <c r="S9" s="9">
        <v>3300</v>
      </c>
      <c r="T9" s="9">
        <v>3300</v>
      </c>
      <c r="U9" s="9">
        <v>3300</v>
      </c>
      <c r="V9" s="9">
        <v>3300</v>
      </c>
      <c r="W9" s="9">
        <v>3300</v>
      </c>
      <c r="X9" s="9">
        <v>3300</v>
      </c>
      <c r="Y9" s="9">
        <v>3300</v>
      </c>
      <c r="Z9" s="9">
        <v>3300</v>
      </c>
      <c r="AA9" s="38">
        <f>+SUM(C9:Z9)*B9</f>
        <v>2455200</v>
      </c>
    </row>
    <row r="10" spans="1:28" x14ac:dyDescent="0.2">
      <c r="A10" s="7">
        <v>47150</v>
      </c>
      <c r="B10" s="8">
        <f>DAY(EOMONTH(A10,0))</f>
        <v>28</v>
      </c>
      <c r="C10" s="9">
        <v>3500</v>
      </c>
      <c r="D10" s="9">
        <v>3500</v>
      </c>
      <c r="E10" s="9">
        <v>3500</v>
      </c>
      <c r="F10" s="9">
        <v>3500</v>
      </c>
      <c r="G10" s="9">
        <v>3500</v>
      </c>
      <c r="H10" s="9">
        <v>3500</v>
      </c>
      <c r="I10" s="9">
        <v>3500</v>
      </c>
      <c r="J10" s="9">
        <v>3500</v>
      </c>
      <c r="K10" s="9">
        <v>3500</v>
      </c>
      <c r="L10" s="9">
        <v>3500</v>
      </c>
      <c r="M10" s="9">
        <v>3500</v>
      </c>
      <c r="N10" s="9">
        <v>3500</v>
      </c>
      <c r="O10" s="9">
        <v>3500</v>
      </c>
      <c r="P10" s="9">
        <v>3500</v>
      </c>
      <c r="Q10" s="9">
        <v>3500</v>
      </c>
      <c r="R10" s="9">
        <v>3500</v>
      </c>
      <c r="S10" s="9">
        <v>3500</v>
      </c>
      <c r="T10" s="9">
        <v>3500</v>
      </c>
      <c r="U10" s="9">
        <v>3500</v>
      </c>
      <c r="V10" s="9">
        <v>3500</v>
      </c>
      <c r="W10" s="9">
        <v>3500</v>
      </c>
      <c r="X10" s="9">
        <v>3500</v>
      </c>
      <c r="Y10" s="9">
        <v>3500</v>
      </c>
      <c r="Z10" s="9">
        <v>3500</v>
      </c>
      <c r="AA10" s="38">
        <f t="shared" ref="AA10:AA68" si="0">+SUM(C10:Z10)*B10</f>
        <v>2352000</v>
      </c>
    </row>
    <row r="11" spans="1:28" x14ac:dyDescent="0.2">
      <c r="A11" s="7">
        <v>47178</v>
      </c>
      <c r="B11" s="8">
        <f t="shared" ref="B11:B18" si="1">DAY(EOMONTH(A11,0))</f>
        <v>31</v>
      </c>
      <c r="C11" s="9">
        <v>3500</v>
      </c>
      <c r="D11" s="9">
        <v>3500</v>
      </c>
      <c r="E11" s="9">
        <v>3500</v>
      </c>
      <c r="F11" s="9">
        <v>3500</v>
      </c>
      <c r="G11" s="9">
        <v>3500</v>
      </c>
      <c r="H11" s="9">
        <v>3500</v>
      </c>
      <c r="I11" s="9">
        <v>3500</v>
      </c>
      <c r="J11" s="9">
        <v>3500</v>
      </c>
      <c r="K11" s="9">
        <v>3500</v>
      </c>
      <c r="L11" s="9">
        <v>3500</v>
      </c>
      <c r="M11" s="9">
        <v>3500</v>
      </c>
      <c r="N11" s="9">
        <v>3500</v>
      </c>
      <c r="O11" s="9">
        <v>3500</v>
      </c>
      <c r="P11" s="9">
        <v>3500</v>
      </c>
      <c r="Q11" s="9">
        <v>3500</v>
      </c>
      <c r="R11" s="9">
        <v>3500</v>
      </c>
      <c r="S11" s="9">
        <v>3500</v>
      </c>
      <c r="T11" s="9">
        <v>3500</v>
      </c>
      <c r="U11" s="9">
        <v>3500</v>
      </c>
      <c r="V11" s="9">
        <v>3500</v>
      </c>
      <c r="W11" s="9">
        <v>3500</v>
      </c>
      <c r="X11" s="9">
        <v>3500</v>
      </c>
      <c r="Y11" s="9">
        <v>3500</v>
      </c>
      <c r="Z11" s="9">
        <v>3500</v>
      </c>
      <c r="AA11" s="38">
        <f t="shared" si="0"/>
        <v>2604000</v>
      </c>
    </row>
    <row r="12" spans="1:28" x14ac:dyDescent="0.2">
      <c r="A12" s="7">
        <v>47209</v>
      </c>
      <c r="B12" s="8">
        <f t="shared" si="1"/>
        <v>30</v>
      </c>
      <c r="C12" s="9">
        <v>3600</v>
      </c>
      <c r="D12" s="9">
        <v>3600</v>
      </c>
      <c r="E12" s="9">
        <v>3600</v>
      </c>
      <c r="F12" s="9">
        <v>3600</v>
      </c>
      <c r="G12" s="9">
        <v>3600</v>
      </c>
      <c r="H12" s="9">
        <v>3600</v>
      </c>
      <c r="I12" s="9">
        <v>3600</v>
      </c>
      <c r="J12" s="9">
        <v>3600</v>
      </c>
      <c r="K12" s="9">
        <v>3600</v>
      </c>
      <c r="L12" s="9">
        <v>3600</v>
      </c>
      <c r="M12" s="9">
        <v>3600</v>
      </c>
      <c r="N12" s="9">
        <v>3600</v>
      </c>
      <c r="O12" s="9">
        <v>3600</v>
      </c>
      <c r="P12" s="9">
        <v>3600</v>
      </c>
      <c r="Q12" s="9">
        <v>3600</v>
      </c>
      <c r="R12" s="9">
        <v>3600</v>
      </c>
      <c r="S12" s="9">
        <v>3600</v>
      </c>
      <c r="T12" s="9">
        <v>3600</v>
      </c>
      <c r="U12" s="9">
        <v>3600</v>
      </c>
      <c r="V12" s="9">
        <v>3600</v>
      </c>
      <c r="W12" s="9">
        <v>3600</v>
      </c>
      <c r="X12" s="9">
        <v>3600</v>
      </c>
      <c r="Y12" s="9">
        <v>3600</v>
      </c>
      <c r="Z12" s="9">
        <v>3600</v>
      </c>
      <c r="AA12" s="38">
        <f t="shared" si="0"/>
        <v>2592000</v>
      </c>
    </row>
    <row r="13" spans="1:28" x14ac:dyDescent="0.2">
      <c r="A13" s="7">
        <v>47239</v>
      </c>
      <c r="B13" s="8">
        <f t="shared" si="1"/>
        <v>31</v>
      </c>
      <c r="C13" s="9">
        <v>3400</v>
      </c>
      <c r="D13" s="9">
        <v>3400</v>
      </c>
      <c r="E13" s="9">
        <v>3400</v>
      </c>
      <c r="F13" s="9">
        <v>3400</v>
      </c>
      <c r="G13" s="9">
        <v>3400</v>
      </c>
      <c r="H13" s="9">
        <v>3400</v>
      </c>
      <c r="I13" s="9">
        <v>3400</v>
      </c>
      <c r="J13" s="9">
        <v>3400</v>
      </c>
      <c r="K13" s="9">
        <v>3400</v>
      </c>
      <c r="L13" s="9">
        <v>3400</v>
      </c>
      <c r="M13" s="9">
        <v>3400</v>
      </c>
      <c r="N13" s="9">
        <v>3400</v>
      </c>
      <c r="O13" s="9">
        <v>3400</v>
      </c>
      <c r="P13" s="9">
        <v>3400</v>
      </c>
      <c r="Q13" s="9">
        <v>3400</v>
      </c>
      <c r="R13" s="9">
        <v>3400</v>
      </c>
      <c r="S13" s="9">
        <v>3400</v>
      </c>
      <c r="T13" s="9">
        <v>3400</v>
      </c>
      <c r="U13" s="9">
        <v>3400</v>
      </c>
      <c r="V13" s="9">
        <v>3400</v>
      </c>
      <c r="W13" s="9">
        <v>3400</v>
      </c>
      <c r="X13" s="9">
        <v>3400</v>
      </c>
      <c r="Y13" s="9">
        <v>3400</v>
      </c>
      <c r="Z13" s="9">
        <v>3400</v>
      </c>
      <c r="AA13" s="38">
        <f t="shared" si="0"/>
        <v>2529600</v>
      </c>
    </row>
    <row r="14" spans="1:28" x14ac:dyDescent="0.2">
      <c r="A14" s="7">
        <v>47270</v>
      </c>
      <c r="B14" s="8">
        <f t="shared" si="1"/>
        <v>30</v>
      </c>
      <c r="C14" s="9">
        <v>3100</v>
      </c>
      <c r="D14" s="9">
        <v>3100</v>
      </c>
      <c r="E14" s="9">
        <v>3100</v>
      </c>
      <c r="F14" s="9">
        <v>3100</v>
      </c>
      <c r="G14" s="9">
        <v>3100</v>
      </c>
      <c r="H14" s="9">
        <v>3100</v>
      </c>
      <c r="I14" s="9">
        <v>3100</v>
      </c>
      <c r="J14" s="9">
        <v>3100</v>
      </c>
      <c r="K14" s="9">
        <v>3100</v>
      </c>
      <c r="L14" s="9">
        <v>3100</v>
      </c>
      <c r="M14" s="9">
        <v>3100</v>
      </c>
      <c r="N14" s="9">
        <v>3100</v>
      </c>
      <c r="O14" s="9">
        <v>3100</v>
      </c>
      <c r="P14" s="9">
        <v>3100</v>
      </c>
      <c r="Q14" s="9">
        <v>3100</v>
      </c>
      <c r="R14" s="9">
        <v>3100</v>
      </c>
      <c r="S14" s="9">
        <v>3100</v>
      </c>
      <c r="T14" s="9">
        <v>3100</v>
      </c>
      <c r="U14" s="9">
        <v>3100</v>
      </c>
      <c r="V14" s="9">
        <v>3100</v>
      </c>
      <c r="W14" s="9">
        <v>3100</v>
      </c>
      <c r="X14" s="9">
        <v>3100</v>
      </c>
      <c r="Y14" s="9">
        <v>3100</v>
      </c>
      <c r="Z14" s="9">
        <v>3100</v>
      </c>
      <c r="AA14" s="38">
        <f t="shared" si="0"/>
        <v>2232000</v>
      </c>
    </row>
    <row r="15" spans="1:28" x14ac:dyDescent="0.2">
      <c r="A15" s="7">
        <v>47300</v>
      </c>
      <c r="B15" s="8">
        <f t="shared" si="1"/>
        <v>31</v>
      </c>
      <c r="C15" s="9">
        <v>3200</v>
      </c>
      <c r="D15" s="9">
        <v>3200</v>
      </c>
      <c r="E15" s="9">
        <v>3200</v>
      </c>
      <c r="F15" s="9">
        <v>3200</v>
      </c>
      <c r="G15" s="9">
        <v>3200</v>
      </c>
      <c r="H15" s="9">
        <v>3200</v>
      </c>
      <c r="I15" s="9">
        <v>3200</v>
      </c>
      <c r="J15" s="9">
        <v>3200</v>
      </c>
      <c r="K15" s="9">
        <v>3200</v>
      </c>
      <c r="L15" s="9">
        <v>3200</v>
      </c>
      <c r="M15" s="9">
        <v>3200</v>
      </c>
      <c r="N15" s="9">
        <v>3200</v>
      </c>
      <c r="O15" s="9">
        <v>3200</v>
      </c>
      <c r="P15" s="9">
        <v>3200</v>
      </c>
      <c r="Q15" s="9">
        <v>3200</v>
      </c>
      <c r="R15" s="9">
        <v>3200</v>
      </c>
      <c r="S15" s="9">
        <v>3200</v>
      </c>
      <c r="T15" s="9">
        <v>3200</v>
      </c>
      <c r="U15" s="9">
        <v>3200</v>
      </c>
      <c r="V15" s="9">
        <v>3200</v>
      </c>
      <c r="W15" s="9">
        <v>3200</v>
      </c>
      <c r="X15" s="9">
        <v>3200</v>
      </c>
      <c r="Y15" s="9">
        <v>3200</v>
      </c>
      <c r="Z15" s="9">
        <v>3200</v>
      </c>
      <c r="AA15" s="38">
        <f t="shared" si="0"/>
        <v>2380800</v>
      </c>
    </row>
    <row r="16" spans="1:28" x14ac:dyDescent="0.2">
      <c r="A16" s="7">
        <v>47331</v>
      </c>
      <c r="B16" s="8">
        <f t="shared" si="1"/>
        <v>31</v>
      </c>
      <c r="C16" s="9">
        <v>3500</v>
      </c>
      <c r="D16" s="9">
        <v>3500</v>
      </c>
      <c r="E16" s="9">
        <v>3500</v>
      </c>
      <c r="F16" s="9">
        <v>3500</v>
      </c>
      <c r="G16" s="9">
        <v>3500</v>
      </c>
      <c r="H16" s="9">
        <v>3500</v>
      </c>
      <c r="I16" s="9">
        <v>3500</v>
      </c>
      <c r="J16" s="9">
        <v>3500</v>
      </c>
      <c r="K16" s="9">
        <v>3500</v>
      </c>
      <c r="L16" s="9">
        <v>3500</v>
      </c>
      <c r="M16" s="9">
        <v>3500</v>
      </c>
      <c r="N16" s="9">
        <v>3500</v>
      </c>
      <c r="O16" s="9">
        <v>3500</v>
      </c>
      <c r="P16" s="9">
        <v>3500</v>
      </c>
      <c r="Q16" s="9">
        <v>3500</v>
      </c>
      <c r="R16" s="9">
        <v>3500</v>
      </c>
      <c r="S16" s="9">
        <v>3500</v>
      </c>
      <c r="T16" s="9">
        <v>3500</v>
      </c>
      <c r="U16" s="9">
        <v>3500</v>
      </c>
      <c r="V16" s="9">
        <v>3500</v>
      </c>
      <c r="W16" s="9">
        <v>3500</v>
      </c>
      <c r="X16" s="9">
        <v>3500</v>
      </c>
      <c r="Y16" s="9">
        <v>3500</v>
      </c>
      <c r="Z16" s="9">
        <v>3500</v>
      </c>
      <c r="AA16" s="38">
        <f t="shared" si="0"/>
        <v>2604000</v>
      </c>
    </row>
    <row r="17" spans="1:27" x14ac:dyDescent="0.2">
      <c r="A17" s="7">
        <v>47362</v>
      </c>
      <c r="B17" s="8">
        <f t="shared" si="1"/>
        <v>30</v>
      </c>
      <c r="C17" s="9">
        <v>3300</v>
      </c>
      <c r="D17" s="9">
        <v>3300</v>
      </c>
      <c r="E17" s="9">
        <v>3300</v>
      </c>
      <c r="F17" s="9">
        <v>3300</v>
      </c>
      <c r="G17" s="9">
        <v>3300</v>
      </c>
      <c r="H17" s="9">
        <v>3300</v>
      </c>
      <c r="I17" s="9">
        <v>3300</v>
      </c>
      <c r="J17" s="9">
        <v>3300</v>
      </c>
      <c r="K17" s="9">
        <v>3300</v>
      </c>
      <c r="L17" s="9">
        <v>3300</v>
      </c>
      <c r="M17" s="9">
        <v>3300</v>
      </c>
      <c r="N17" s="9">
        <v>3300</v>
      </c>
      <c r="O17" s="9">
        <v>3300</v>
      </c>
      <c r="P17" s="9">
        <v>3300</v>
      </c>
      <c r="Q17" s="9">
        <v>3300</v>
      </c>
      <c r="R17" s="9">
        <v>3300</v>
      </c>
      <c r="S17" s="9">
        <v>3300</v>
      </c>
      <c r="T17" s="9">
        <v>3300</v>
      </c>
      <c r="U17" s="9">
        <v>3300</v>
      </c>
      <c r="V17" s="9">
        <v>3300</v>
      </c>
      <c r="W17" s="9">
        <v>3300</v>
      </c>
      <c r="X17" s="9">
        <v>3300</v>
      </c>
      <c r="Y17" s="9">
        <v>3300</v>
      </c>
      <c r="Z17" s="9">
        <v>3300</v>
      </c>
      <c r="AA17" s="38">
        <f t="shared" si="0"/>
        <v>2376000</v>
      </c>
    </row>
    <row r="18" spans="1:27" x14ac:dyDescent="0.2">
      <c r="A18" s="7">
        <v>47392</v>
      </c>
      <c r="B18" s="8">
        <f t="shared" si="1"/>
        <v>31</v>
      </c>
      <c r="C18" s="9">
        <v>3500</v>
      </c>
      <c r="D18" s="9">
        <v>3500</v>
      </c>
      <c r="E18" s="9">
        <v>3500</v>
      </c>
      <c r="F18" s="9">
        <v>3500</v>
      </c>
      <c r="G18" s="9">
        <v>3500</v>
      </c>
      <c r="H18" s="9">
        <v>3500</v>
      </c>
      <c r="I18" s="9">
        <v>3500</v>
      </c>
      <c r="J18" s="9">
        <v>3500</v>
      </c>
      <c r="K18" s="9">
        <v>3500</v>
      </c>
      <c r="L18" s="9">
        <v>3500</v>
      </c>
      <c r="M18" s="9">
        <v>3500</v>
      </c>
      <c r="N18" s="9">
        <v>3500</v>
      </c>
      <c r="O18" s="9">
        <v>3500</v>
      </c>
      <c r="P18" s="9">
        <v>3500</v>
      </c>
      <c r="Q18" s="9">
        <v>3500</v>
      </c>
      <c r="R18" s="9">
        <v>3500</v>
      </c>
      <c r="S18" s="9">
        <v>3500</v>
      </c>
      <c r="T18" s="9">
        <v>3500</v>
      </c>
      <c r="U18" s="9">
        <v>3500</v>
      </c>
      <c r="V18" s="9">
        <v>3500</v>
      </c>
      <c r="W18" s="9">
        <v>3500</v>
      </c>
      <c r="X18" s="9">
        <v>3500</v>
      </c>
      <c r="Y18" s="9">
        <v>3500</v>
      </c>
      <c r="Z18" s="9">
        <v>3500</v>
      </c>
      <c r="AA18" s="38">
        <f t="shared" si="0"/>
        <v>2604000</v>
      </c>
    </row>
    <row r="19" spans="1:27" x14ac:dyDescent="0.2">
      <c r="A19" s="7">
        <v>47423</v>
      </c>
      <c r="B19" s="8">
        <f>DAY(EOMONTH(A19,0))</f>
        <v>30</v>
      </c>
      <c r="C19" s="9">
        <v>3700</v>
      </c>
      <c r="D19" s="9">
        <v>3700</v>
      </c>
      <c r="E19" s="9">
        <v>3700</v>
      </c>
      <c r="F19" s="9">
        <v>3700</v>
      </c>
      <c r="G19" s="9">
        <v>3700</v>
      </c>
      <c r="H19" s="9">
        <v>3700</v>
      </c>
      <c r="I19" s="9">
        <v>3700</v>
      </c>
      <c r="J19" s="9">
        <v>3700</v>
      </c>
      <c r="K19" s="9">
        <v>3700</v>
      </c>
      <c r="L19" s="9">
        <v>3700</v>
      </c>
      <c r="M19" s="9">
        <v>3700</v>
      </c>
      <c r="N19" s="9">
        <v>3700</v>
      </c>
      <c r="O19" s="9">
        <v>3700</v>
      </c>
      <c r="P19" s="9">
        <v>3700</v>
      </c>
      <c r="Q19" s="9">
        <v>3700</v>
      </c>
      <c r="R19" s="9">
        <v>3700</v>
      </c>
      <c r="S19" s="9">
        <v>3700</v>
      </c>
      <c r="T19" s="9">
        <v>3700</v>
      </c>
      <c r="U19" s="9">
        <v>3700</v>
      </c>
      <c r="V19" s="9">
        <v>3700</v>
      </c>
      <c r="W19" s="9">
        <v>3700</v>
      </c>
      <c r="X19" s="9">
        <v>3700</v>
      </c>
      <c r="Y19" s="9">
        <v>3700</v>
      </c>
      <c r="Z19" s="9">
        <v>3700</v>
      </c>
      <c r="AA19" s="38">
        <f t="shared" si="0"/>
        <v>2664000</v>
      </c>
    </row>
    <row r="20" spans="1:27" x14ac:dyDescent="0.2">
      <c r="A20" s="7">
        <v>47453</v>
      </c>
      <c r="B20" s="8">
        <f>DAY(EOMONTH(A20,0))</f>
        <v>31</v>
      </c>
      <c r="C20" s="9">
        <v>3500</v>
      </c>
      <c r="D20" s="9">
        <v>3500</v>
      </c>
      <c r="E20" s="9">
        <v>3500</v>
      </c>
      <c r="F20" s="9">
        <v>3500</v>
      </c>
      <c r="G20" s="9">
        <v>3500</v>
      </c>
      <c r="H20" s="9">
        <v>3500</v>
      </c>
      <c r="I20" s="9">
        <v>3500</v>
      </c>
      <c r="J20" s="9">
        <v>3500</v>
      </c>
      <c r="K20" s="9">
        <v>3500</v>
      </c>
      <c r="L20" s="9">
        <v>3500</v>
      </c>
      <c r="M20" s="9">
        <v>3500</v>
      </c>
      <c r="N20" s="9">
        <v>3500</v>
      </c>
      <c r="O20" s="9">
        <v>3500</v>
      </c>
      <c r="P20" s="9">
        <v>3500</v>
      </c>
      <c r="Q20" s="9">
        <v>3500</v>
      </c>
      <c r="R20" s="9">
        <v>3500</v>
      </c>
      <c r="S20" s="9">
        <v>3500</v>
      </c>
      <c r="T20" s="9">
        <v>3500</v>
      </c>
      <c r="U20" s="9">
        <v>3500</v>
      </c>
      <c r="V20" s="9">
        <v>3500</v>
      </c>
      <c r="W20" s="9">
        <v>3500</v>
      </c>
      <c r="X20" s="9">
        <v>3500</v>
      </c>
      <c r="Y20" s="9">
        <v>3500</v>
      </c>
      <c r="Z20" s="9">
        <v>3500</v>
      </c>
      <c r="AA20" s="38">
        <f t="shared" si="0"/>
        <v>2604000</v>
      </c>
    </row>
    <row r="21" spans="1:27" x14ac:dyDescent="0.2">
      <c r="A21" s="7">
        <v>47484</v>
      </c>
      <c r="B21" s="8">
        <f>DAY(EOMONTH(A21,0))</f>
        <v>31</v>
      </c>
      <c r="C21" s="9">
        <v>3400</v>
      </c>
      <c r="D21" s="9">
        <v>3400</v>
      </c>
      <c r="E21" s="9">
        <v>3400</v>
      </c>
      <c r="F21" s="9">
        <v>3400</v>
      </c>
      <c r="G21" s="9">
        <v>3400</v>
      </c>
      <c r="H21" s="9">
        <v>3400</v>
      </c>
      <c r="I21" s="9">
        <v>3400</v>
      </c>
      <c r="J21" s="9">
        <v>3400</v>
      </c>
      <c r="K21" s="9">
        <v>3400</v>
      </c>
      <c r="L21" s="9">
        <v>3400</v>
      </c>
      <c r="M21" s="9">
        <v>3400</v>
      </c>
      <c r="N21" s="9">
        <v>3400</v>
      </c>
      <c r="O21" s="9">
        <v>3400</v>
      </c>
      <c r="P21" s="9">
        <v>3400</v>
      </c>
      <c r="Q21" s="9">
        <v>3400</v>
      </c>
      <c r="R21" s="9">
        <v>3400</v>
      </c>
      <c r="S21" s="9">
        <v>3400</v>
      </c>
      <c r="T21" s="9">
        <v>3400</v>
      </c>
      <c r="U21" s="9">
        <v>3400</v>
      </c>
      <c r="V21" s="9">
        <v>3400</v>
      </c>
      <c r="W21" s="9">
        <v>3400</v>
      </c>
      <c r="X21" s="9">
        <v>3400</v>
      </c>
      <c r="Y21" s="9">
        <v>3400</v>
      </c>
      <c r="Z21" s="9">
        <v>3400</v>
      </c>
      <c r="AA21" s="38">
        <f t="shared" si="0"/>
        <v>2529600</v>
      </c>
    </row>
    <row r="22" spans="1:27" x14ac:dyDescent="0.2">
      <c r="A22" s="7">
        <v>47515</v>
      </c>
      <c r="B22" s="8">
        <f>DAY(EOMONTH(A22,0))</f>
        <v>28</v>
      </c>
      <c r="C22" s="9">
        <v>3600</v>
      </c>
      <c r="D22" s="9">
        <v>3600</v>
      </c>
      <c r="E22" s="9">
        <v>3600</v>
      </c>
      <c r="F22" s="9">
        <v>3600</v>
      </c>
      <c r="G22" s="9">
        <v>3600</v>
      </c>
      <c r="H22" s="9">
        <v>3600</v>
      </c>
      <c r="I22" s="9">
        <v>3600</v>
      </c>
      <c r="J22" s="9">
        <v>3600</v>
      </c>
      <c r="K22" s="9">
        <v>3600</v>
      </c>
      <c r="L22" s="9">
        <v>3600</v>
      </c>
      <c r="M22" s="9">
        <v>3600</v>
      </c>
      <c r="N22" s="9">
        <v>3600</v>
      </c>
      <c r="O22" s="9">
        <v>3600</v>
      </c>
      <c r="P22" s="9">
        <v>3600</v>
      </c>
      <c r="Q22" s="9">
        <v>3600</v>
      </c>
      <c r="R22" s="9">
        <v>3600</v>
      </c>
      <c r="S22" s="9">
        <v>3600</v>
      </c>
      <c r="T22" s="9">
        <v>3600</v>
      </c>
      <c r="U22" s="9">
        <v>3600</v>
      </c>
      <c r="V22" s="9">
        <v>3600</v>
      </c>
      <c r="W22" s="9">
        <v>3600</v>
      </c>
      <c r="X22" s="9">
        <v>3600</v>
      </c>
      <c r="Y22" s="9">
        <v>3600</v>
      </c>
      <c r="Z22" s="9">
        <v>3600</v>
      </c>
      <c r="AA22" s="38">
        <f t="shared" si="0"/>
        <v>2419200</v>
      </c>
    </row>
    <row r="23" spans="1:27" x14ac:dyDescent="0.2">
      <c r="A23" s="7">
        <v>47543</v>
      </c>
      <c r="B23" s="8">
        <f t="shared" ref="B23:B30" si="2">DAY(EOMONTH(A23,0))</f>
        <v>31</v>
      </c>
      <c r="C23" s="9">
        <v>3600</v>
      </c>
      <c r="D23" s="9">
        <v>3600</v>
      </c>
      <c r="E23" s="9">
        <v>3600</v>
      </c>
      <c r="F23" s="9">
        <v>3600</v>
      </c>
      <c r="G23" s="9">
        <v>3600</v>
      </c>
      <c r="H23" s="9">
        <v>3600</v>
      </c>
      <c r="I23" s="9">
        <v>3600</v>
      </c>
      <c r="J23" s="9">
        <v>3600</v>
      </c>
      <c r="K23" s="9">
        <v>3600</v>
      </c>
      <c r="L23" s="9">
        <v>3600</v>
      </c>
      <c r="M23" s="9">
        <v>3600</v>
      </c>
      <c r="N23" s="9">
        <v>3600</v>
      </c>
      <c r="O23" s="9">
        <v>3600</v>
      </c>
      <c r="P23" s="9">
        <v>3600</v>
      </c>
      <c r="Q23" s="9">
        <v>3600</v>
      </c>
      <c r="R23" s="9">
        <v>3600</v>
      </c>
      <c r="S23" s="9">
        <v>3600</v>
      </c>
      <c r="T23" s="9">
        <v>3600</v>
      </c>
      <c r="U23" s="9">
        <v>3600</v>
      </c>
      <c r="V23" s="9">
        <v>3600</v>
      </c>
      <c r="W23" s="9">
        <v>3600</v>
      </c>
      <c r="X23" s="9">
        <v>3600</v>
      </c>
      <c r="Y23" s="9">
        <v>3600</v>
      </c>
      <c r="Z23" s="9">
        <v>3600</v>
      </c>
      <c r="AA23" s="38">
        <f t="shared" si="0"/>
        <v>2678400</v>
      </c>
    </row>
    <row r="24" spans="1:27" x14ac:dyDescent="0.2">
      <c r="A24" s="7">
        <v>47574</v>
      </c>
      <c r="B24" s="8">
        <f t="shared" si="2"/>
        <v>30</v>
      </c>
      <c r="C24" s="9">
        <v>3700</v>
      </c>
      <c r="D24" s="9">
        <v>3700</v>
      </c>
      <c r="E24" s="9">
        <v>3700</v>
      </c>
      <c r="F24" s="9">
        <v>3700</v>
      </c>
      <c r="G24" s="9">
        <v>3700</v>
      </c>
      <c r="H24" s="9">
        <v>3700</v>
      </c>
      <c r="I24" s="9">
        <v>3700</v>
      </c>
      <c r="J24" s="9">
        <v>3700</v>
      </c>
      <c r="K24" s="9">
        <v>3700</v>
      </c>
      <c r="L24" s="9">
        <v>3700</v>
      </c>
      <c r="M24" s="9">
        <v>3700</v>
      </c>
      <c r="N24" s="9">
        <v>3700</v>
      </c>
      <c r="O24" s="9">
        <v>3700</v>
      </c>
      <c r="P24" s="9">
        <v>3700</v>
      </c>
      <c r="Q24" s="9">
        <v>3700</v>
      </c>
      <c r="R24" s="9">
        <v>3700</v>
      </c>
      <c r="S24" s="9">
        <v>3700</v>
      </c>
      <c r="T24" s="9">
        <v>3700</v>
      </c>
      <c r="U24" s="9">
        <v>3700</v>
      </c>
      <c r="V24" s="9">
        <v>3700</v>
      </c>
      <c r="W24" s="9">
        <v>3700</v>
      </c>
      <c r="X24" s="9">
        <v>3700</v>
      </c>
      <c r="Y24" s="9">
        <v>3700</v>
      </c>
      <c r="Z24" s="9">
        <v>3700</v>
      </c>
      <c r="AA24" s="38">
        <f t="shared" si="0"/>
        <v>2664000</v>
      </c>
    </row>
    <row r="25" spans="1:27" x14ac:dyDescent="0.2">
      <c r="A25" s="7">
        <v>47604</v>
      </c>
      <c r="B25" s="8">
        <f t="shared" si="2"/>
        <v>31</v>
      </c>
      <c r="C25" s="9">
        <v>3500</v>
      </c>
      <c r="D25" s="9">
        <v>3500</v>
      </c>
      <c r="E25" s="9">
        <v>3500</v>
      </c>
      <c r="F25" s="9">
        <v>3500</v>
      </c>
      <c r="G25" s="9">
        <v>3500</v>
      </c>
      <c r="H25" s="9">
        <v>3500</v>
      </c>
      <c r="I25" s="9">
        <v>3500</v>
      </c>
      <c r="J25" s="9">
        <v>3500</v>
      </c>
      <c r="K25" s="9">
        <v>3500</v>
      </c>
      <c r="L25" s="9">
        <v>3500</v>
      </c>
      <c r="M25" s="9">
        <v>3500</v>
      </c>
      <c r="N25" s="9">
        <v>3500</v>
      </c>
      <c r="O25" s="9">
        <v>3500</v>
      </c>
      <c r="P25" s="9">
        <v>3500</v>
      </c>
      <c r="Q25" s="9">
        <v>3500</v>
      </c>
      <c r="R25" s="9">
        <v>3500</v>
      </c>
      <c r="S25" s="9">
        <v>3500</v>
      </c>
      <c r="T25" s="9">
        <v>3500</v>
      </c>
      <c r="U25" s="9">
        <v>3500</v>
      </c>
      <c r="V25" s="9">
        <v>3500</v>
      </c>
      <c r="W25" s="9">
        <v>3500</v>
      </c>
      <c r="X25" s="9">
        <v>3500</v>
      </c>
      <c r="Y25" s="9">
        <v>3500</v>
      </c>
      <c r="Z25" s="9">
        <v>3500</v>
      </c>
      <c r="AA25" s="38">
        <f t="shared" si="0"/>
        <v>2604000</v>
      </c>
    </row>
    <row r="26" spans="1:27" x14ac:dyDescent="0.2">
      <c r="A26" s="7">
        <v>47635</v>
      </c>
      <c r="B26" s="8">
        <f t="shared" si="2"/>
        <v>30</v>
      </c>
      <c r="C26" s="9">
        <v>3200</v>
      </c>
      <c r="D26" s="9">
        <v>3200</v>
      </c>
      <c r="E26" s="9">
        <v>3200</v>
      </c>
      <c r="F26" s="9">
        <v>3200</v>
      </c>
      <c r="G26" s="9">
        <v>3200</v>
      </c>
      <c r="H26" s="9">
        <v>3200</v>
      </c>
      <c r="I26" s="9">
        <v>3200</v>
      </c>
      <c r="J26" s="9">
        <v>3200</v>
      </c>
      <c r="K26" s="9">
        <v>3200</v>
      </c>
      <c r="L26" s="9">
        <v>3200</v>
      </c>
      <c r="M26" s="9">
        <v>3200</v>
      </c>
      <c r="N26" s="9">
        <v>3200</v>
      </c>
      <c r="O26" s="9">
        <v>3200</v>
      </c>
      <c r="P26" s="9">
        <v>3200</v>
      </c>
      <c r="Q26" s="9">
        <v>3200</v>
      </c>
      <c r="R26" s="9">
        <v>3200</v>
      </c>
      <c r="S26" s="9">
        <v>3200</v>
      </c>
      <c r="T26" s="9">
        <v>3200</v>
      </c>
      <c r="U26" s="9">
        <v>3200</v>
      </c>
      <c r="V26" s="9">
        <v>3200</v>
      </c>
      <c r="W26" s="9">
        <v>3200</v>
      </c>
      <c r="X26" s="9">
        <v>3200</v>
      </c>
      <c r="Y26" s="9">
        <v>3200</v>
      </c>
      <c r="Z26" s="9">
        <v>3200</v>
      </c>
      <c r="AA26" s="38">
        <f t="shared" si="0"/>
        <v>2304000</v>
      </c>
    </row>
    <row r="27" spans="1:27" x14ac:dyDescent="0.2">
      <c r="A27" s="7">
        <v>47665</v>
      </c>
      <c r="B27" s="8">
        <f t="shared" si="2"/>
        <v>31</v>
      </c>
      <c r="C27" s="9">
        <v>3300</v>
      </c>
      <c r="D27" s="9">
        <v>3300</v>
      </c>
      <c r="E27" s="9">
        <v>3300</v>
      </c>
      <c r="F27" s="9">
        <v>3300</v>
      </c>
      <c r="G27" s="9">
        <v>3300</v>
      </c>
      <c r="H27" s="9">
        <v>3300</v>
      </c>
      <c r="I27" s="9">
        <v>3300</v>
      </c>
      <c r="J27" s="9">
        <v>3300</v>
      </c>
      <c r="K27" s="9">
        <v>3300</v>
      </c>
      <c r="L27" s="9">
        <v>3300</v>
      </c>
      <c r="M27" s="9">
        <v>3300</v>
      </c>
      <c r="N27" s="9">
        <v>3300</v>
      </c>
      <c r="O27" s="9">
        <v>3300</v>
      </c>
      <c r="P27" s="9">
        <v>3300</v>
      </c>
      <c r="Q27" s="9">
        <v>3300</v>
      </c>
      <c r="R27" s="9">
        <v>3300</v>
      </c>
      <c r="S27" s="9">
        <v>3300</v>
      </c>
      <c r="T27" s="9">
        <v>3300</v>
      </c>
      <c r="U27" s="9">
        <v>3300</v>
      </c>
      <c r="V27" s="9">
        <v>3300</v>
      </c>
      <c r="W27" s="9">
        <v>3300</v>
      </c>
      <c r="X27" s="9">
        <v>3300</v>
      </c>
      <c r="Y27" s="9">
        <v>3300</v>
      </c>
      <c r="Z27" s="9">
        <v>3300</v>
      </c>
      <c r="AA27" s="38">
        <f t="shared" si="0"/>
        <v>2455200</v>
      </c>
    </row>
    <row r="28" spans="1:27" x14ac:dyDescent="0.2">
      <c r="A28" s="7">
        <v>47696</v>
      </c>
      <c r="B28" s="8">
        <f t="shared" si="2"/>
        <v>31</v>
      </c>
      <c r="C28" s="9">
        <v>3600</v>
      </c>
      <c r="D28" s="9">
        <v>3600</v>
      </c>
      <c r="E28" s="9">
        <v>3600</v>
      </c>
      <c r="F28" s="9">
        <v>3600</v>
      </c>
      <c r="G28" s="9">
        <v>3600</v>
      </c>
      <c r="H28" s="9">
        <v>3600</v>
      </c>
      <c r="I28" s="9">
        <v>3600</v>
      </c>
      <c r="J28" s="9">
        <v>3600</v>
      </c>
      <c r="K28" s="9">
        <v>3600</v>
      </c>
      <c r="L28" s="9">
        <v>3600</v>
      </c>
      <c r="M28" s="9">
        <v>3600</v>
      </c>
      <c r="N28" s="9">
        <v>3600</v>
      </c>
      <c r="O28" s="9">
        <v>3600</v>
      </c>
      <c r="P28" s="9">
        <v>3600</v>
      </c>
      <c r="Q28" s="9">
        <v>3600</v>
      </c>
      <c r="R28" s="9">
        <v>3600</v>
      </c>
      <c r="S28" s="9">
        <v>3600</v>
      </c>
      <c r="T28" s="9">
        <v>3600</v>
      </c>
      <c r="U28" s="9">
        <v>3600</v>
      </c>
      <c r="V28" s="9">
        <v>3600</v>
      </c>
      <c r="W28" s="9">
        <v>3600</v>
      </c>
      <c r="X28" s="9">
        <v>3600</v>
      </c>
      <c r="Y28" s="9">
        <v>3600</v>
      </c>
      <c r="Z28" s="9">
        <v>3600</v>
      </c>
      <c r="AA28" s="38">
        <f t="shared" si="0"/>
        <v>2678400</v>
      </c>
    </row>
    <row r="29" spans="1:27" x14ac:dyDescent="0.2">
      <c r="A29" s="7">
        <v>47727</v>
      </c>
      <c r="B29" s="8">
        <f t="shared" si="2"/>
        <v>30</v>
      </c>
      <c r="C29" s="9">
        <v>3400</v>
      </c>
      <c r="D29" s="9">
        <v>3400</v>
      </c>
      <c r="E29" s="9">
        <v>3400</v>
      </c>
      <c r="F29" s="9">
        <v>3400</v>
      </c>
      <c r="G29" s="9">
        <v>3400</v>
      </c>
      <c r="H29" s="9">
        <v>3400</v>
      </c>
      <c r="I29" s="9">
        <v>3400</v>
      </c>
      <c r="J29" s="9">
        <v>3400</v>
      </c>
      <c r="K29" s="9">
        <v>3400</v>
      </c>
      <c r="L29" s="9">
        <v>3400</v>
      </c>
      <c r="M29" s="9">
        <v>3400</v>
      </c>
      <c r="N29" s="9">
        <v>3400</v>
      </c>
      <c r="O29" s="9">
        <v>3400</v>
      </c>
      <c r="P29" s="9">
        <v>3400</v>
      </c>
      <c r="Q29" s="9">
        <v>3400</v>
      </c>
      <c r="R29" s="9">
        <v>3400</v>
      </c>
      <c r="S29" s="9">
        <v>3400</v>
      </c>
      <c r="T29" s="9">
        <v>3400</v>
      </c>
      <c r="U29" s="9">
        <v>3400</v>
      </c>
      <c r="V29" s="9">
        <v>3400</v>
      </c>
      <c r="W29" s="9">
        <v>3400</v>
      </c>
      <c r="X29" s="9">
        <v>3400</v>
      </c>
      <c r="Y29" s="9">
        <v>3400</v>
      </c>
      <c r="Z29" s="9">
        <v>3400</v>
      </c>
      <c r="AA29" s="38">
        <f t="shared" si="0"/>
        <v>2448000</v>
      </c>
    </row>
    <row r="30" spans="1:27" x14ac:dyDescent="0.2">
      <c r="A30" s="7">
        <v>47757</v>
      </c>
      <c r="B30" s="8">
        <f t="shared" si="2"/>
        <v>31</v>
      </c>
      <c r="C30" s="9">
        <v>3600</v>
      </c>
      <c r="D30" s="9">
        <v>3600</v>
      </c>
      <c r="E30" s="9">
        <v>3600</v>
      </c>
      <c r="F30" s="9">
        <v>3600</v>
      </c>
      <c r="G30" s="9">
        <v>3600</v>
      </c>
      <c r="H30" s="9">
        <v>3600</v>
      </c>
      <c r="I30" s="9">
        <v>3600</v>
      </c>
      <c r="J30" s="9">
        <v>3600</v>
      </c>
      <c r="K30" s="9">
        <v>3600</v>
      </c>
      <c r="L30" s="9">
        <v>3600</v>
      </c>
      <c r="M30" s="9">
        <v>3600</v>
      </c>
      <c r="N30" s="9">
        <v>3600</v>
      </c>
      <c r="O30" s="9">
        <v>3600</v>
      </c>
      <c r="P30" s="9">
        <v>3600</v>
      </c>
      <c r="Q30" s="9">
        <v>3600</v>
      </c>
      <c r="R30" s="9">
        <v>3600</v>
      </c>
      <c r="S30" s="9">
        <v>3600</v>
      </c>
      <c r="T30" s="9">
        <v>3600</v>
      </c>
      <c r="U30" s="9">
        <v>3600</v>
      </c>
      <c r="V30" s="9">
        <v>3600</v>
      </c>
      <c r="W30" s="9">
        <v>3600</v>
      </c>
      <c r="X30" s="9">
        <v>3600</v>
      </c>
      <c r="Y30" s="9">
        <v>3600</v>
      </c>
      <c r="Z30" s="9">
        <v>3600</v>
      </c>
      <c r="AA30" s="38">
        <f t="shared" si="0"/>
        <v>2678400</v>
      </c>
    </row>
    <row r="31" spans="1:27" x14ac:dyDescent="0.2">
      <c r="A31" s="7">
        <v>47788</v>
      </c>
      <c r="B31" s="8">
        <f>DAY(EOMONTH(A31,0))</f>
        <v>30</v>
      </c>
      <c r="C31" s="9">
        <v>3800</v>
      </c>
      <c r="D31" s="9">
        <v>3800</v>
      </c>
      <c r="E31" s="9">
        <v>3800</v>
      </c>
      <c r="F31" s="9">
        <v>3800</v>
      </c>
      <c r="G31" s="9">
        <v>3800</v>
      </c>
      <c r="H31" s="9">
        <v>3800</v>
      </c>
      <c r="I31" s="9">
        <v>3800</v>
      </c>
      <c r="J31" s="9">
        <v>3800</v>
      </c>
      <c r="K31" s="9">
        <v>3800</v>
      </c>
      <c r="L31" s="9">
        <v>3800</v>
      </c>
      <c r="M31" s="9">
        <v>3800</v>
      </c>
      <c r="N31" s="9">
        <v>3800</v>
      </c>
      <c r="O31" s="9">
        <v>3800</v>
      </c>
      <c r="P31" s="9">
        <v>3800</v>
      </c>
      <c r="Q31" s="9">
        <v>3800</v>
      </c>
      <c r="R31" s="9">
        <v>3800</v>
      </c>
      <c r="S31" s="9">
        <v>3800</v>
      </c>
      <c r="T31" s="9">
        <v>3800</v>
      </c>
      <c r="U31" s="9">
        <v>3800</v>
      </c>
      <c r="V31" s="9">
        <v>3800</v>
      </c>
      <c r="W31" s="9">
        <v>3800</v>
      </c>
      <c r="X31" s="9">
        <v>3800</v>
      </c>
      <c r="Y31" s="9">
        <v>3800</v>
      </c>
      <c r="Z31" s="9">
        <v>3800</v>
      </c>
      <c r="AA31" s="38">
        <f t="shared" si="0"/>
        <v>2736000</v>
      </c>
    </row>
    <row r="32" spans="1:27" x14ac:dyDescent="0.2">
      <c r="A32" s="7">
        <v>47818</v>
      </c>
      <c r="B32" s="8">
        <f>DAY(EOMONTH(A32,0))</f>
        <v>31</v>
      </c>
      <c r="C32" s="9">
        <v>3600</v>
      </c>
      <c r="D32" s="9">
        <v>3600</v>
      </c>
      <c r="E32" s="9">
        <v>3600</v>
      </c>
      <c r="F32" s="9">
        <v>3600</v>
      </c>
      <c r="G32" s="9">
        <v>3600</v>
      </c>
      <c r="H32" s="9">
        <v>3600</v>
      </c>
      <c r="I32" s="9">
        <v>3600</v>
      </c>
      <c r="J32" s="9">
        <v>3600</v>
      </c>
      <c r="K32" s="9">
        <v>3600</v>
      </c>
      <c r="L32" s="9">
        <v>3600</v>
      </c>
      <c r="M32" s="9">
        <v>3600</v>
      </c>
      <c r="N32" s="9">
        <v>3600</v>
      </c>
      <c r="O32" s="9">
        <v>3600</v>
      </c>
      <c r="P32" s="9">
        <v>3600</v>
      </c>
      <c r="Q32" s="9">
        <v>3600</v>
      </c>
      <c r="R32" s="9">
        <v>3600</v>
      </c>
      <c r="S32" s="9">
        <v>3600</v>
      </c>
      <c r="T32" s="9">
        <v>3600</v>
      </c>
      <c r="U32" s="9">
        <v>3600</v>
      </c>
      <c r="V32" s="9">
        <v>3600</v>
      </c>
      <c r="W32" s="9">
        <v>3600</v>
      </c>
      <c r="X32" s="9">
        <v>3600</v>
      </c>
      <c r="Y32" s="9">
        <v>3600</v>
      </c>
      <c r="Z32" s="9">
        <v>3600</v>
      </c>
      <c r="AA32" s="38">
        <f t="shared" si="0"/>
        <v>2678400</v>
      </c>
    </row>
    <row r="33" spans="1:27" x14ac:dyDescent="0.2">
      <c r="A33" s="7">
        <v>47849</v>
      </c>
      <c r="B33" s="8">
        <f>DAY(EOMONTH(A33,0))</f>
        <v>31</v>
      </c>
      <c r="C33" s="9">
        <v>3500</v>
      </c>
      <c r="D33" s="9">
        <v>3500</v>
      </c>
      <c r="E33" s="9">
        <v>3500</v>
      </c>
      <c r="F33" s="9">
        <v>3500</v>
      </c>
      <c r="G33" s="9">
        <v>3500</v>
      </c>
      <c r="H33" s="9">
        <v>3500</v>
      </c>
      <c r="I33" s="9">
        <v>3500</v>
      </c>
      <c r="J33" s="9">
        <v>3500</v>
      </c>
      <c r="K33" s="9">
        <v>3500</v>
      </c>
      <c r="L33" s="9">
        <v>3500</v>
      </c>
      <c r="M33" s="9">
        <v>3500</v>
      </c>
      <c r="N33" s="9">
        <v>3500</v>
      </c>
      <c r="O33" s="9">
        <v>3500</v>
      </c>
      <c r="P33" s="9">
        <v>3500</v>
      </c>
      <c r="Q33" s="9">
        <v>3500</v>
      </c>
      <c r="R33" s="9">
        <v>3500</v>
      </c>
      <c r="S33" s="9">
        <v>3500</v>
      </c>
      <c r="T33" s="9">
        <v>3500</v>
      </c>
      <c r="U33" s="9">
        <v>3500</v>
      </c>
      <c r="V33" s="9">
        <v>3500</v>
      </c>
      <c r="W33" s="9">
        <v>3500</v>
      </c>
      <c r="X33" s="9">
        <v>3500</v>
      </c>
      <c r="Y33" s="9">
        <v>3500</v>
      </c>
      <c r="Z33" s="9">
        <v>3500</v>
      </c>
      <c r="AA33" s="38">
        <f t="shared" si="0"/>
        <v>2604000</v>
      </c>
    </row>
    <row r="34" spans="1:27" x14ac:dyDescent="0.2">
      <c r="A34" s="7">
        <v>47880</v>
      </c>
      <c r="B34" s="8">
        <f>DAY(EOMONTH(A34,0))</f>
        <v>28</v>
      </c>
      <c r="C34" s="9">
        <v>3700</v>
      </c>
      <c r="D34" s="9">
        <v>3700</v>
      </c>
      <c r="E34" s="9">
        <v>3700</v>
      </c>
      <c r="F34" s="9">
        <v>3700</v>
      </c>
      <c r="G34" s="9">
        <v>3700</v>
      </c>
      <c r="H34" s="9">
        <v>3700</v>
      </c>
      <c r="I34" s="9">
        <v>3700</v>
      </c>
      <c r="J34" s="9">
        <v>3700</v>
      </c>
      <c r="K34" s="9">
        <v>3700</v>
      </c>
      <c r="L34" s="9">
        <v>3700</v>
      </c>
      <c r="M34" s="9">
        <v>3700</v>
      </c>
      <c r="N34" s="9">
        <v>3700</v>
      </c>
      <c r="O34" s="9">
        <v>3700</v>
      </c>
      <c r="P34" s="9">
        <v>3700</v>
      </c>
      <c r="Q34" s="9">
        <v>3700</v>
      </c>
      <c r="R34" s="9">
        <v>3700</v>
      </c>
      <c r="S34" s="9">
        <v>3700</v>
      </c>
      <c r="T34" s="9">
        <v>3700</v>
      </c>
      <c r="U34" s="9">
        <v>3700</v>
      </c>
      <c r="V34" s="9">
        <v>3700</v>
      </c>
      <c r="W34" s="9">
        <v>3700</v>
      </c>
      <c r="X34" s="9">
        <v>3700</v>
      </c>
      <c r="Y34" s="9">
        <v>3700</v>
      </c>
      <c r="Z34" s="9">
        <v>3700</v>
      </c>
      <c r="AA34" s="38">
        <f t="shared" si="0"/>
        <v>2486400</v>
      </c>
    </row>
    <row r="35" spans="1:27" x14ac:dyDescent="0.2">
      <c r="A35" s="7">
        <v>47908</v>
      </c>
      <c r="B35" s="8">
        <f t="shared" ref="B35:B42" si="3">DAY(EOMONTH(A35,0))</f>
        <v>31</v>
      </c>
      <c r="C35" s="9">
        <v>3700</v>
      </c>
      <c r="D35" s="9">
        <v>3700</v>
      </c>
      <c r="E35" s="9">
        <v>3700</v>
      </c>
      <c r="F35" s="9">
        <v>3700</v>
      </c>
      <c r="G35" s="9">
        <v>3700</v>
      </c>
      <c r="H35" s="9">
        <v>3700</v>
      </c>
      <c r="I35" s="9">
        <v>3700</v>
      </c>
      <c r="J35" s="9">
        <v>3700</v>
      </c>
      <c r="K35" s="9">
        <v>3700</v>
      </c>
      <c r="L35" s="9">
        <v>3700</v>
      </c>
      <c r="M35" s="9">
        <v>3700</v>
      </c>
      <c r="N35" s="9">
        <v>3700</v>
      </c>
      <c r="O35" s="9">
        <v>3700</v>
      </c>
      <c r="P35" s="9">
        <v>3700</v>
      </c>
      <c r="Q35" s="9">
        <v>3700</v>
      </c>
      <c r="R35" s="9">
        <v>3700</v>
      </c>
      <c r="S35" s="9">
        <v>3700</v>
      </c>
      <c r="T35" s="9">
        <v>3700</v>
      </c>
      <c r="U35" s="9">
        <v>3700</v>
      </c>
      <c r="V35" s="9">
        <v>3700</v>
      </c>
      <c r="W35" s="9">
        <v>3700</v>
      </c>
      <c r="X35" s="9">
        <v>3700</v>
      </c>
      <c r="Y35" s="9">
        <v>3700</v>
      </c>
      <c r="Z35" s="9">
        <v>3700</v>
      </c>
      <c r="AA35" s="38">
        <f t="shared" si="0"/>
        <v>2752800</v>
      </c>
    </row>
    <row r="36" spans="1:27" x14ac:dyDescent="0.2">
      <c r="A36" s="7">
        <v>47939</v>
      </c>
      <c r="B36" s="8">
        <f t="shared" si="3"/>
        <v>30</v>
      </c>
      <c r="C36" s="9">
        <v>3800</v>
      </c>
      <c r="D36" s="9">
        <v>3800</v>
      </c>
      <c r="E36" s="9">
        <v>3800</v>
      </c>
      <c r="F36" s="9">
        <v>3800</v>
      </c>
      <c r="G36" s="9">
        <v>3800</v>
      </c>
      <c r="H36" s="9">
        <v>3800</v>
      </c>
      <c r="I36" s="9">
        <v>3800</v>
      </c>
      <c r="J36" s="9">
        <v>3800</v>
      </c>
      <c r="K36" s="9">
        <v>3800</v>
      </c>
      <c r="L36" s="9">
        <v>3800</v>
      </c>
      <c r="M36" s="9">
        <v>3800</v>
      </c>
      <c r="N36" s="9">
        <v>3800</v>
      </c>
      <c r="O36" s="9">
        <v>3800</v>
      </c>
      <c r="P36" s="9">
        <v>3800</v>
      </c>
      <c r="Q36" s="9">
        <v>3800</v>
      </c>
      <c r="R36" s="9">
        <v>3800</v>
      </c>
      <c r="S36" s="9">
        <v>3800</v>
      </c>
      <c r="T36" s="9">
        <v>3800</v>
      </c>
      <c r="U36" s="9">
        <v>3800</v>
      </c>
      <c r="V36" s="9">
        <v>3800</v>
      </c>
      <c r="W36" s="9">
        <v>3800</v>
      </c>
      <c r="X36" s="9">
        <v>3800</v>
      </c>
      <c r="Y36" s="9">
        <v>3800</v>
      </c>
      <c r="Z36" s="9">
        <v>3800</v>
      </c>
      <c r="AA36" s="38">
        <f t="shared" si="0"/>
        <v>2736000</v>
      </c>
    </row>
    <row r="37" spans="1:27" x14ac:dyDescent="0.2">
      <c r="A37" s="7">
        <v>47969</v>
      </c>
      <c r="B37" s="8">
        <f t="shared" si="3"/>
        <v>31</v>
      </c>
      <c r="C37" s="9">
        <v>3600</v>
      </c>
      <c r="D37" s="9">
        <v>3600</v>
      </c>
      <c r="E37" s="9">
        <v>3600</v>
      </c>
      <c r="F37" s="9">
        <v>3600</v>
      </c>
      <c r="G37" s="9">
        <v>3600</v>
      </c>
      <c r="H37" s="9">
        <v>3600</v>
      </c>
      <c r="I37" s="9">
        <v>3600</v>
      </c>
      <c r="J37" s="9">
        <v>3600</v>
      </c>
      <c r="K37" s="9">
        <v>3600</v>
      </c>
      <c r="L37" s="9">
        <v>3600</v>
      </c>
      <c r="M37" s="9">
        <v>3600</v>
      </c>
      <c r="N37" s="9">
        <v>3600</v>
      </c>
      <c r="O37" s="9">
        <v>3600</v>
      </c>
      <c r="P37" s="9">
        <v>3600</v>
      </c>
      <c r="Q37" s="9">
        <v>3600</v>
      </c>
      <c r="R37" s="9">
        <v>3600</v>
      </c>
      <c r="S37" s="9">
        <v>3600</v>
      </c>
      <c r="T37" s="9">
        <v>3600</v>
      </c>
      <c r="U37" s="9">
        <v>3600</v>
      </c>
      <c r="V37" s="9">
        <v>3600</v>
      </c>
      <c r="W37" s="9">
        <v>3600</v>
      </c>
      <c r="X37" s="9">
        <v>3600</v>
      </c>
      <c r="Y37" s="9">
        <v>3600</v>
      </c>
      <c r="Z37" s="9">
        <v>3600</v>
      </c>
      <c r="AA37" s="38">
        <f t="shared" si="0"/>
        <v>2678400</v>
      </c>
    </row>
    <row r="38" spans="1:27" x14ac:dyDescent="0.2">
      <c r="A38" s="7">
        <v>48000</v>
      </c>
      <c r="B38" s="8">
        <f t="shared" si="3"/>
        <v>30</v>
      </c>
      <c r="C38" s="9">
        <v>3300</v>
      </c>
      <c r="D38" s="9">
        <v>3300</v>
      </c>
      <c r="E38" s="9">
        <v>3300</v>
      </c>
      <c r="F38" s="9">
        <v>3300</v>
      </c>
      <c r="G38" s="9">
        <v>3300</v>
      </c>
      <c r="H38" s="9">
        <v>3300</v>
      </c>
      <c r="I38" s="9">
        <v>3300</v>
      </c>
      <c r="J38" s="9">
        <v>3300</v>
      </c>
      <c r="K38" s="9">
        <v>3300</v>
      </c>
      <c r="L38" s="9">
        <v>3300</v>
      </c>
      <c r="M38" s="9">
        <v>3300</v>
      </c>
      <c r="N38" s="9">
        <v>3300</v>
      </c>
      <c r="O38" s="9">
        <v>3300</v>
      </c>
      <c r="P38" s="9">
        <v>3300</v>
      </c>
      <c r="Q38" s="9">
        <v>3300</v>
      </c>
      <c r="R38" s="9">
        <v>3300</v>
      </c>
      <c r="S38" s="9">
        <v>3300</v>
      </c>
      <c r="T38" s="9">
        <v>3300</v>
      </c>
      <c r="U38" s="9">
        <v>3300</v>
      </c>
      <c r="V38" s="9">
        <v>3300</v>
      </c>
      <c r="W38" s="9">
        <v>3300</v>
      </c>
      <c r="X38" s="9">
        <v>3300</v>
      </c>
      <c r="Y38" s="9">
        <v>3300</v>
      </c>
      <c r="Z38" s="9">
        <v>3300</v>
      </c>
      <c r="AA38" s="38">
        <f t="shared" si="0"/>
        <v>2376000</v>
      </c>
    </row>
    <row r="39" spans="1:27" x14ac:dyDescent="0.2">
      <c r="A39" s="7">
        <v>48030</v>
      </c>
      <c r="B39" s="8">
        <f t="shared" si="3"/>
        <v>31</v>
      </c>
      <c r="C39" s="9">
        <v>3400</v>
      </c>
      <c r="D39" s="9">
        <v>3400</v>
      </c>
      <c r="E39" s="9">
        <v>3400</v>
      </c>
      <c r="F39" s="9">
        <v>3400</v>
      </c>
      <c r="G39" s="9">
        <v>3400</v>
      </c>
      <c r="H39" s="9">
        <v>3400</v>
      </c>
      <c r="I39" s="9">
        <v>3400</v>
      </c>
      <c r="J39" s="9">
        <v>3400</v>
      </c>
      <c r="K39" s="9">
        <v>3400</v>
      </c>
      <c r="L39" s="9">
        <v>3400</v>
      </c>
      <c r="M39" s="9">
        <v>3400</v>
      </c>
      <c r="N39" s="9">
        <v>3400</v>
      </c>
      <c r="O39" s="9">
        <v>3400</v>
      </c>
      <c r="P39" s="9">
        <v>3400</v>
      </c>
      <c r="Q39" s="9">
        <v>3400</v>
      </c>
      <c r="R39" s="9">
        <v>3400</v>
      </c>
      <c r="S39" s="9">
        <v>3400</v>
      </c>
      <c r="T39" s="9">
        <v>3400</v>
      </c>
      <c r="U39" s="9">
        <v>3400</v>
      </c>
      <c r="V39" s="9">
        <v>3400</v>
      </c>
      <c r="W39" s="9">
        <v>3400</v>
      </c>
      <c r="X39" s="9">
        <v>3400</v>
      </c>
      <c r="Y39" s="9">
        <v>3400</v>
      </c>
      <c r="Z39" s="9">
        <v>3400</v>
      </c>
      <c r="AA39" s="38">
        <f t="shared" si="0"/>
        <v>2529600</v>
      </c>
    </row>
    <row r="40" spans="1:27" x14ac:dyDescent="0.2">
      <c r="A40" s="7">
        <v>48061</v>
      </c>
      <c r="B40" s="8">
        <f t="shared" si="3"/>
        <v>31</v>
      </c>
      <c r="C40" s="9">
        <v>3700</v>
      </c>
      <c r="D40" s="9">
        <v>3700</v>
      </c>
      <c r="E40" s="9">
        <v>3700</v>
      </c>
      <c r="F40" s="9">
        <v>3700</v>
      </c>
      <c r="G40" s="9">
        <v>3700</v>
      </c>
      <c r="H40" s="9">
        <v>3700</v>
      </c>
      <c r="I40" s="9">
        <v>3700</v>
      </c>
      <c r="J40" s="9">
        <v>3700</v>
      </c>
      <c r="K40" s="9">
        <v>3700</v>
      </c>
      <c r="L40" s="9">
        <v>3700</v>
      </c>
      <c r="M40" s="9">
        <v>3700</v>
      </c>
      <c r="N40" s="9">
        <v>3700</v>
      </c>
      <c r="O40" s="9">
        <v>3700</v>
      </c>
      <c r="P40" s="9">
        <v>3700</v>
      </c>
      <c r="Q40" s="9">
        <v>3700</v>
      </c>
      <c r="R40" s="9">
        <v>3700</v>
      </c>
      <c r="S40" s="9">
        <v>3700</v>
      </c>
      <c r="T40" s="9">
        <v>3700</v>
      </c>
      <c r="U40" s="9">
        <v>3700</v>
      </c>
      <c r="V40" s="9">
        <v>3700</v>
      </c>
      <c r="W40" s="9">
        <v>3700</v>
      </c>
      <c r="X40" s="9">
        <v>3700</v>
      </c>
      <c r="Y40" s="9">
        <v>3700</v>
      </c>
      <c r="Z40" s="9">
        <v>3700</v>
      </c>
      <c r="AA40" s="38">
        <f t="shared" si="0"/>
        <v>2752800</v>
      </c>
    </row>
    <row r="41" spans="1:27" x14ac:dyDescent="0.2">
      <c r="A41" s="7">
        <v>48092</v>
      </c>
      <c r="B41" s="8">
        <f t="shared" si="3"/>
        <v>30</v>
      </c>
      <c r="C41" s="9">
        <v>3500</v>
      </c>
      <c r="D41" s="9">
        <v>3500</v>
      </c>
      <c r="E41" s="9">
        <v>3500</v>
      </c>
      <c r="F41" s="9">
        <v>3500</v>
      </c>
      <c r="G41" s="9">
        <v>3500</v>
      </c>
      <c r="H41" s="9">
        <v>3500</v>
      </c>
      <c r="I41" s="9">
        <v>3500</v>
      </c>
      <c r="J41" s="9">
        <v>3500</v>
      </c>
      <c r="K41" s="9">
        <v>3500</v>
      </c>
      <c r="L41" s="9">
        <v>3500</v>
      </c>
      <c r="M41" s="9">
        <v>3500</v>
      </c>
      <c r="N41" s="9">
        <v>3500</v>
      </c>
      <c r="O41" s="9">
        <v>3500</v>
      </c>
      <c r="P41" s="9">
        <v>3500</v>
      </c>
      <c r="Q41" s="9">
        <v>3500</v>
      </c>
      <c r="R41" s="9">
        <v>3500</v>
      </c>
      <c r="S41" s="9">
        <v>3500</v>
      </c>
      <c r="T41" s="9">
        <v>3500</v>
      </c>
      <c r="U41" s="9">
        <v>3500</v>
      </c>
      <c r="V41" s="9">
        <v>3500</v>
      </c>
      <c r="W41" s="9">
        <v>3500</v>
      </c>
      <c r="X41" s="9">
        <v>3500</v>
      </c>
      <c r="Y41" s="9">
        <v>3500</v>
      </c>
      <c r="Z41" s="9">
        <v>3500</v>
      </c>
      <c r="AA41" s="38">
        <f t="shared" si="0"/>
        <v>2520000</v>
      </c>
    </row>
    <row r="42" spans="1:27" x14ac:dyDescent="0.2">
      <c r="A42" s="7">
        <v>48122</v>
      </c>
      <c r="B42" s="8">
        <f t="shared" si="3"/>
        <v>31</v>
      </c>
      <c r="C42" s="9">
        <v>3700</v>
      </c>
      <c r="D42" s="9">
        <v>3700</v>
      </c>
      <c r="E42" s="9">
        <v>3700</v>
      </c>
      <c r="F42" s="9">
        <v>3700</v>
      </c>
      <c r="G42" s="9">
        <v>3700</v>
      </c>
      <c r="H42" s="9">
        <v>3700</v>
      </c>
      <c r="I42" s="9">
        <v>3700</v>
      </c>
      <c r="J42" s="9">
        <v>3700</v>
      </c>
      <c r="K42" s="9">
        <v>3700</v>
      </c>
      <c r="L42" s="9">
        <v>3700</v>
      </c>
      <c r="M42" s="9">
        <v>3700</v>
      </c>
      <c r="N42" s="9">
        <v>3700</v>
      </c>
      <c r="O42" s="9">
        <v>3700</v>
      </c>
      <c r="P42" s="9">
        <v>3700</v>
      </c>
      <c r="Q42" s="9">
        <v>3700</v>
      </c>
      <c r="R42" s="9">
        <v>3700</v>
      </c>
      <c r="S42" s="9">
        <v>3700</v>
      </c>
      <c r="T42" s="9">
        <v>3700</v>
      </c>
      <c r="U42" s="9">
        <v>3700</v>
      </c>
      <c r="V42" s="9">
        <v>3700</v>
      </c>
      <c r="W42" s="9">
        <v>3700</v>
      </c>
      <c r="X42" s="9">
        <v>3700</v>
      </c>
      <c r="Y42" s="9">
        <v>3700</v>
      </c>
      <c r="Z42" s="9">
        <v>3700</v>
      </c>
      <c r="AA42" s="38">
        <f t="shared" si="0"/>
        <v>2752800</v>
      </c>
    </row>
    <row r="43" spans="1:27" x14ac:dyDescent="0.2">
      <c r="A43" s="7">
        <v>48153</v>
      </c>
      <c r="B43" s="8">
        <f>DAY(EOMONTH(A43,0))</f>
        <v>30</v>
      </c>
      <c r="C43" s="9">
        <v>3900</v>
      </c>
      <c r="D43" s="9">
        <v>3900</v>
      </c>
      <c r="E43" s="9">
        <v>3900</v>
      </c>
      <c r="F43" s="9">
        <v>3900</v>
      </c>
      <c r="G43" s="9">
        <v>3900</v>
      </c>
      <c r="H43" s="9">
        <v>3900</v>
      </c>
      <c r="I43" s="9">
        <v>3900</v>
      </c>
      <c r="J43" s="9">
        <v>3900</v>
      </c>
      <c r="K43" s="9">
        <v>3900</v>
      </c>
      <c r="L43" s="9">
        <v>3900</v>
      </c>
      <c r="M43" s="9">
        <v>3900</v>
      </c>
      <c r="N43" s="9">
        <v>3900</v>
      </c>
      <c r="O43" s="9">
        <v>3900</v>
      </c>
      <c r="P43" s="9">
        <v>3900</v>
      </c>
      <c r="Q43" s="9">
        <v>3900</v>
      </c>
      <c r="R43" s="9">
        <v>3900</v>
      </c>
      <c r="S43" s="9">
        <v>3900</v>
      </c>
      <c r="T43" s="9">
        <v>3900</v>
      </c>
      <c r="U43" s="9">
        <v>3900</v>
      </c>
      <c r="V43" s="9">
        <v>3900</v>
      </c>
      <c r="W43" s="9">
        <v>3900</v>
      </c>
      <c r="X43" s="9">
        <v>3900</v>
      </c>
      <c r="Y43" s="9">
        <v>3900</v>
      </c>
      <c r="Z43" s="9">
        <v>3900</v>
      </c>
      <c r="AA43" s="38">
        <f t="shared" si="0"/>
        <v>2808000</v>
      </c>
    </row>
    <row r="44" spans="1:27" x14ac:dyDescent="0.2">
      <c r="A44" s="7">
        <v>48183</v>
      </c>
      <c r="B44" s="8">
        <f>DAY(EOMONTH(A44,0))</f>
        <v>31</v>
      </c>
      <c r="C44" s="9">
        <v>3700</v>
      </c>
      <c r="D44" s="9">
        <v>3700</v>
      </c>
      <c r="E44" s="9">
        <v>3700</v>
      </c>
      <c r="F44" s="9">
        <v>3700</v>
      </c>
      <c r="G44" s="9">
        <v>3700</v>
      </c>
      <c r="H44" s="9">
        <v>3700</v>
      </c>
      <c r="I44" s="9">
        <v>3700</v>
      </c>
      <c r="J44" s="9">
        <v>3700</v>
      </c>
      <c r="K44" s="9">
        <v>3700</v>
      </c>
      <c r="L44" s="9">
        <v>3700</v>
      </c>
      <c r="M44" s="9">
        <v>3700</v>
      </c>
      <c r="N44" s="9">
        <v>3700</v>
      </c>
      <c r="O44" s="9">
        <v>3700</v>
      </c>
      <c r="P44" s="9">
        <v>3700</v>
      </c>
      <c r="Q44" s="9">
        <v>3700</v>
      </c>
      <c r="R44" s="9">
        <v>3700</v>
      </c>
      <c r="S44" s="9">
        <v>3700</v>
      </c>
      <c r="T44" s="9">
        <v>3700</v>
      </c>
      <c r="U44" s="9">
        <v>3700</v>
      </c>
      <c r="V44" s="9">
        <v>3700</v>
      </c>
      <c r="W44" s="9">
        <v>3700</v>
      </c>
      <c r="X44" s="9">
        <v>3700</v>
      </c>
      <c r="Y44" s="9">
        <v>3700</v>
      </c>
      <c r="Z44" s="9">
        <v>3700</v>
      </c>
      <c r="AA44" s="38">
        <f t="shared" si="0"/>
        <v>2752800</v>
      </c>
    </row>
    <row r="45" spans="1:27" x14ac:dyDescent="0.2">
      <c r="A45" s="7">
        <v>48214</v>
      </c>
      <c r="B45" s="8">
        <f>DAY(EOMONTH(A45,0))</f>
        <v>31</v>
      </c>
      <c r="C45" s="9">
        <v>3600</v>
      </c>
      <c r="D45" s="9">
        <v>3600</v>
      </c>
      <c r="E45" s="9">
        <v>3600</v>
      </c>
      <c r="F45" s="9">
        <v>3600</v>
      </c>
      <c r="G45" s="9">
        <v>3600</v>
      </c>
      <c r="H45" s="9">
        <v>3600</v>
      </c>
      <c r="I45" s="9">
        <v>3600</v>
      </c>
      <c r="J45" s="9">
        <v>3600</v>
      </c>
      <c r="K45" s="9">
        <v>3600</v>
      </c>
      <c r="L45" s="9">
        <v>3600</v>
      </c>
      <c r="M45" s="9">
        <v>3600</v>
      </c>
      <c r="N45" s="9">
        <v>3600</v>
      </c>
      <c r="O45" s="9">
        <v>3600</v>
      </c>
      <c r="P45" s="9">
        <v>3600</v>
      </c>
      <c r="Q45" s="9">
        <v>3600</v>
      </c>
      <c r="R45" s="9">
        <v>3600</v>
      </c>
      <c r="S45" s="9">
        <v>3600</v>
      </c>
      <c r="T45" s="9">
        <v>3600</v>
      </c>
      <c r="U45" s="9">
        <v>3600</v>
      </c>
      <c r="V45" s="9">
        <v>3600</v>
      </c>
      <c r="W45" s="9">
        <v>3600</v>
      </c>
      <c r="X45" s="9">
        <v>3600</v>
      </c>
      <c r="Y45" s="9">
        <v>3600</v>
      </c>
      <c r="Z45" s="9">
        <v>3600</v>
      </c>
      <c r="AA45" s="38">
        <f t="shared" si="0"/>
        <v>2678400</v>
      </c>
    </row>
    <row r="46" spans="1:27" x14ac:dyDescent="0.2">
      <c r="A46" s="7">
        <v>48245</v>
      </c>
      <c r="B46" s="8">
        <f>DAY(EOMONTH(A46,0))</f>
        <v>29</v>
      </c>
      <c r="C46" s="9">
        <v>3800</v>
      </c>
      <c r="D46" s="9">
        <v>3800</v>
      </c>
      <c r="E46" s="9">
        <v>3800</v>
      </c>
      <c r="F46" s="9">
        <v>3800</v>
      </c>
      <c r="G46" s="9">
        <v>3800</v>
      </c>
      <c r="H46" s="9">
        <v>3800</v>
      </c>
      <c r="I46" s="9">
        <v>3800</v>
      </c>
      <c r="J46" s="9">
        <v>3800</v>
      </c>
      <c r="K46" s="9">
        <v>3800</v>
      </c>
      <c r="L46" s="9">
        <v>3800</v>
      </c>
      <c r="M46" s="9">
        <v>3800</v>
      </c>
      <c r="N46" s="9">
        <v>3800</v>
      </c>
      <c r="O46" s="9">
        <v>3800</v>
      </c>
      <c r="P46" s="9">
        <v>3800</v>
      </c>
      <c r="Q46" s="9">
        <v>3800</v>
      </c>
      <c r="R46" s="9">
        <v>3800</v>
      </c>
      <c r="S46" s="9">
        <v>3800</v>
      </c>
      <c r="T46" s="9">
        <v>3800</v>
      </c>
      <c r="U46" s="9">
        <v>3800</v>
      </c>
      <c r="V46" s="9">
        <v>3800</v>
      </c>
      <c r="W46" s="9">
        <v>3800</v>
      </c>
      <c r="X46" s="9">
        <v>3800</v>
      </c>
      <c r="Y46" s="9">
        <v>3800</v>
      </c>
      <c r="Z46" s="9">
        <v>3800</v>
      </c>
      <c r="AA46" s="38">
        <f t="shared" si="0"/>
        <v>2644800</v>
      </c>
    </row>
    <row r="47" spans="1:27" x14ac:dyDescent="0.2">
      <c r="A47" s="7">
        <v>48274</v>
      </c>
      <c r="B47" s="8">
        <f t="shared" ref="B47:B54" si="4">DAY(EOMONTH(A47,0))</f>
        <v>31</v>
      </c>
      <c r="C47" s="9">
        <v>3800</v>
      </c>
      <c r="D47" s="9">
        <v>3800</v>
      </c>
      <c r="E47" s="9">
        <v>3800</v>
      </c>
      <c r="F47" s="9">
        <v>3800</v>
      </c>
      <c r="G47" s="9">
        <v>3800</v>
      </c>
      <c r="H47" s="9">
        <v>3800</v>
      </c>
      <c r="I47" s="9">
        <v>3800</v>
      </c>
      <c r="J47" s="9">
        <v>3800</v>
      </c>
      <c r="K47" s="9">
        <v>3800</v>
      </c>
      <c r="L47" s="9">
        <v>3800</v>
      </c>
      <c r="M47" s="9">
        <v>3800</v>
      </c>
      <c r="N47" s="9">
        <v>3800</v>
      </c>
      <c r="O47" s="9">
        <v>3800</v>
      </c>
      <c r="P47" s="9">
        <v>3800</v>
      </c>
      <c r="Q47" s="9">
        <v>3800</v>
      </c>
      <c r="R47" s="9">
        <v>3800</v>
      </c>
      <c r="S47" s="9">
        <v>3800</v>
      </c>
      <c r="T47" s="9">
        <v>3800</v>
      </c>
      <c r="U47" s="9">
        <v>3800</v>
      </c>
      <c r="V47" s="9">
        <v>3800</v>
      </c>
      <c r="W47" s="9">
        <v>3800</v>
      </c>
      <c r="X47" s="9">
        <v>3800</v>
      </c>
      <c r="Y47" s="9">
        <v>3800</v>
      </c>
      <c r="Z47" s="9">
        <v>3800</v>
      </c>
      <c r="AA47" s="38">
        <f t="shared" si="0"/>
        <v>2827200</v>
      </c>
    </row>
    <row r="48" spans="1:27" x14ac:dyDescent="0.2">
      <c r="A48" s="7">
        <v>48305</v>
      </c>
      <c r="B48" s="8">
        <f t="shared" si="4"/>
        <v>30</v>
      </c>
      <c r="C48" s="9">
        <v>3900</v>
      </c>
      <c r="D48" s="9">
        <v>3900</v>
      </c>
      <c r="E48" s="9">
        <v>3900</v>
      </c>
      <c r="F48" s="9">
        <v>3900</v>
      </c>
      <c r="G48" s="9">
        <v>3900</v>
      </c>
      <c r="H48" s="9">
        <v>3900</v>
      </c>
      <c r="I48" s="9">
        <v>3900</v>
      </c>
      <c r="J48" s="9">
        <v>3900</v>
      </c>
      <c r="K48" s="9">
        <v>3900</v>
      </c>
      <c r="L48" s="9">
        <v>3900</v>
      </c>
      <c r="M48" s="9">
        <v>3900</v>
      </c>
      <c r="N48" s="9">
        <v>3900</v>
      </c>
      <c r="O48" s="9">
        <v>3900</v>
      </c>
      <c r="P48" s="9">
        <v>3900</v>
      </c>
      <c r="Q48" s="9">
        <v>3900</v>
      </c>
      <c r="R48" s="9">
        <v>3900</v>
      </c>
      <c r="S48" s="9">
        <v>3900</v>
      </c>
      <c r="T48" s="9">
        <v>3900</v>
      </c>
      <c r="U48" s="9">
        <v>3900</v>
      </c>
      <c r="V48" s="9">
        <v>3900</v>
      </c>
      <c r="W48" s="9">
        <v>3900</v>
      </c>
      <c r="X48" s="9">
        <v>3900</v>
      </c>
      <c r="Y48" s="9">
        <v>3900</v>
      </c>
      <c r="Z48" s="9">
        <v>3900</v>
      </c>
      <c r="AA48" s="38">
        <f>+SUM(C48:Z48)*B48</f>
        <v>2808000</v>
      </c>
    </row>
    <row r="49" spans="1:27" x14ac:dyDescent="0.2">
      <c r="A49" s="7">
        <v>48335</v>
      </c>
      <c r="B49" s="8">
        <f t="shared" si="4"/>
        <v>31</v>
      </c>
      <c r="C49" s="9">
        <v>3700</v>
      </c>
      <c r="D49" s="9">
        <v>3700</v>
      </c>
      <c r="E49" s="9">
        <v>3700</v>
      </c>
      <c r="F49" s="9">
        <v>3700</v>
      </c>
      <c r="G49" s="9">
        <v>3700</v>
      </c>
      <c r="H49" s="9">
        <v>3700</v>
      </c>
      <c r="I49" s="9">
        <v>3700</v>
      </c>
      <c r="J49" s="9">
        <v>3700</v>
      </c>
      <c r="K49" s="9">
        <v>3700</v>
      </c>
      <c r="L49" s="9">
        <v>3700</v>
      </c>
      <c r="M49" s="9">
        <v>3700</v>
      </c>
      <c r="N49" s="9">
        <v>3700</v>
      </c>
      <c r="O49" s="9">
        <v>3700</v>
      </c>
      <c r="P49" s="9">
        <v>3700</v>
      </c>
      <c r="Q49" s="9">
        <v>3700</v>
      </c>
      <c r="R49" s="9">
        <v>3700</v>
      </c>
      <c r="S49" s="9">
        <v>3700</v>
      </c>
      <c r="T49" s="9">
        <v>3700</v>
      </c>
      <c r="U49" s="9">
        <v>3700</v>
      </c>
      <c r="V49" s="9">
        <v>3700</v>
      </c>
      <c r="W49" s="9">
        <v>3700</v>
      </c>
      <c r="X49" s="9">
        <v>3700</v>
      </c>
      <c r="Y49" s="9">
        <v>3700</v>
      </c>
      <c r="Z49" s="9">
        <v>3700</v>
      </c>
      <c r="AA49" s="38">
        <f>+SUM(C49:Z49)*B49</f>
        <v>2752800</v>
      </c>
    </row>
    <row r="50" spans="1:27" x14ac:dyDescent="0.2">
      <c r="A50" s="7">
        <v>48366</v>
      </c>
      <c r="B50" s="8">
        <f t="shared" si="4"/>
        <v>30</v>
      </c>
      <c r="C50" s="9">
        <v>3400</v>
      </c>
      <c r="D50" s="9">
        <v>3400</v>
      </c>
      <c r="E50" s="9">
        <v>3400</v>
      </c>
      <c r="F50" s="9">
        <v>3400</v>
      </c>
      <c r="G50" s="9">
        <v>3400</v>
      </c>
      <c r="H50" s="9">
        <v>3400</v>
      </c>
      <c r="I50" s="9">
        <v>3400</v>
      </c>
      <c r="J50" s="9">
        <v>3400</v>
      </c>
      <c r="K50" s="9">
        <v>3400</v>
      </c>
      <c r="L50" s="9">
        <v>3400</v>
      </c>
      <c r="M50" s="9">
        <v>3400</v>
      </c>
      <c r="N50" s="9">
        <v>3400</v>
      </c>
      <c r="O50" s="9">
        <v>3400</v>
      </c>
      <c r="P50" s="9">
        <v>3400</v>
      </c>
      <c r="Q50" s="9">
        <v>3400</v>
      </c>
      <c r="R50" s="9">
        <v>3400</v>
      </c>
      <c r="S50" s="9">
        <v>3400</v>
      </c>
      <c r="T50" s="9">
        <v>3400</v>
      </c>
      <c r="U50" s="9">
        <v>3400</v>
      </c>
      <c r="V50" s="9">
        <v>3400</v>
      </c>
      <c r="W50" s="9">
        <v>3400</v>
      </c>
      <c r="X50" s="9">
        <v>3400</v>
      </c>
      <c r="Y50" s="9">
        <v>3400</v>
      </c>
      <c r="Z50" s="9">
        <v>3400</v>
      </c>
      <c r="AA50" s="38">
        <f>+SUM(C50:Z50)*B50</f>
        <v>2448000</v>
      </c>
    </row>
    <row r="51" spans="1:27" x14ac:dyDescent="0.2">
      <c r="A51" s="7">
        <v>48396</v>
      </c>
      <c r="B51" s="8">
        <f t="shared" si="4"/>
        <v>31</v>
      </c>
      <c r="C51" s="9">
        <v>3500</v>
      </c>
      <c r="D51" s="9">
        <v>3500</v>
      </c>
      <c r="E51" s="9">
        <v>3500</v>
      </c>
      <c r="F51" s="9">
        <v>3500</v>
      </c>
      <c r="G51" s="9">
        <v>3500</v>
      </c>
      <c r="H51" s="9">
        <v>3500</v>
      </c>
      <c r="I51" s="9">
        <v>3500</v>
      </c>
      <c r="J51" s="9">
        <v>3500</v>
      </c>
      <c r="K51" s="9">
        <v>3500</v>
      </c>
      <c r="L51" s="9">
        <v>3500</v>
      </c>
      <c r="M51" s="9">
        <v>3500</v>
      </c>
      <c r="N51" s="9">
        <v>3500</v>
      </c>
      <c r="O51" s="9">
        <v>3500</v>
      </c>
      <c r="P51" s="9">
        <v>3500</v>
      </c>
      <c r="Q51" s="9">
        <v>3500</v>
      </c>
      <c r="R51" s="9">
        <v>3500</v>
      </c>
      <c r="S51" s="9">
        <v>3500</v>
      </c>
      <c r="T51" s="9">
        <v>3500</v>
      </c>
      <c r="U51" s="9">
        <v>3500</v>
      </c>
      <c r="V51" s="9">
        <v>3500</v>
      </c>
      <c r="W51" s="9">
        <v>3500</v>
      </c>
      <c r="X51" s="9">
        <v>3500</v>
      </c>
      <c r="Y51" s="9">
        <v>3500</v>
      </c>
      <c r="Z51" s="9">
        <v>3500</v>
      </c>
      <c r="AA51" s="38">
        <f t="shared" si="0"/>
        <v>2604000</v>
      </c>
    </row>
    <row r="52" spans="1:27" x14ac:dyDescent="0.2">
      <c r="A52" s="7">
        <v>48427</v>
      </c>
      <c r="B52" s="8">
        <f t="shared" si="4"/>
        <v>31</v>
      </c>
      <c r="C52" s="9">
        <v>3800</v>
      </c>
      <c r="D52" s="9">
        <v>3800</v>
      </c>
      <c r="E52" s="9">
        <v>3800</v>
      </c>
      <c r="F52" s="9">
        <v>3800</v>
      </c>
      <c r="G52" s="9">
        <v>3800</v>
      </c>
      <c r="H52" s="9">
        <v>3800</v>
      </c>
      <c r="I52" s="9">
        <v>3800</v>
      </c>
      <c r="J52" s="9">
        <v>3800</v>
      </c>
      <c r="K52" s="9">
        <v>3800</v>
      </c>
      <c r="L52" s="9">
        <v>3800</v>
      </c>
      <c r="M52" s="9">
        <v>3800</v>
      </c>
      <c r="N52" s="9">
        <v>3800</v>
      </c>
      <c r="O52" s="9">
        <v>3800</v>
      </c>
      <c r="P52" s="9">
        <v>3800</v>
      </c>
      <c r="Q52" s="9">
        <v>3800</v>
      </c>
      <c r="R52" s="9">
        <v>3800</v>
      </c>
      <c r="S52" s="9">
        <v>3800</v>
      </c>
      <c r="T52" s="9">
        <v>3800</v>
      </c>
      <c r="U52" s="9">
        <v>3800</v>
      </c>
      <c r="V52" s="9">
        <v>3800</v>
      </c>
      <c r="W52" s="9">
        <v>3800</v>
      </c>
      <c r="X52" s="9">
        <v>3800</v>
      </c>
      <c r="Y52" s="9">
        <v>3800</v>
      </c>
      <c r="Z52" s="9">
        <v>3800</v>
      </c>
      <c r="AA52" s="38">
        <f t="shared" si="0"/>
        <v>2827200</v>
      </c>
    </row>
    <row r="53" spans="1:27" x14ac:dyDescent="0.2">
      <c r="A53" s="7">
        <v>48458</v>
      </c>
      <c r="B53" s="8">
        <f t="shared" si="4"/>
        <v>30</v>
      </c>
      <c r="C53" s="9">
        <v>3600</v>
      </c>
      <c r="D53" s="9">
        <v>3600</v>
      </c>
      <c r="E53" s="9">
        <v>3600</v>
      </c>
      <c r="F53" s="9">
        <v>3600</v>
      </c>
      <c r="G53" s="9">
        <v>3600</v>
      </c>
      <c r="H53" s="9">
        <v>3600</v>
      </c>
      <c r="I53" s="9">
        <v>3600</v>
      </c>
      <c r="J53" s="9">
        <v>3600</v>
      </c>
      <c r="K53" s="9">
        <v>3600</v>
      </c>
      <c r="L53" s="9">
        <v>3600</v>
      </c>
      <c r="M53" s="9">
        <v>3600</v>
      </c>
      <c r="N53" s="9">
        <v>3600</v>
      </c>
      <c r="O53" s="9">
        <v>3600</v>
      </c>
      <c r="P53" s="9">
        <v>3600</v>
      </c>
      <c r="Q53" s="9">
        <v>3600</v>
      </c>
      <c r="R53" s="9">
        <v>3600</v>
      </c>
      <c r="S53" s="9">
        <v>3600</v>
      </c>
      <c r="T53" s="9">
        <v>3600</v>
      </c>
      <c r="U53" s="9">
        <v>3600</v>
      </c>
      <c r="V53" s="9">
        <v>3600</v>
      </c>
      <c r="W53" s="9">
        <v>3600</v>
      </c>
      <c r="X53" s="9">
        <v>3600</v>
      </c>
      <c r="Y53" s="9">
        <v>3600</v>
      </c>
      <c r="Z53" s="9">
        <v>3600</v>
      </c>
      <c r="AA53" s="38">
        <f t="shared" si="0"/>
        <v>2592000</v>
      </c>
    </row>
    <row r="54" spans="1:27" x14ac:dyDescent="0.2">
      <c r="A54" s="7">
        <v>48488</v>
      </c>
      <c r="B54" s="8">
        <f t="shared" si="4"/>
        <v>31</v>
      </c>
      <c r="C54" s="9">
        <v>3900</v>
      </c>
      <c r="D54" s="9">
        <v>3900</v>
      </c>
      <c r="E54" s="9">
        <v>3900</v>
      </c>
      <c r="F54" s="9">
        <v>3900</v>
      </c>
      <c r="G54" s="9">
        <v>3900</v>
      </c>
      <c r="H54" s="9">
        <v>3900</v>
      </c>
      <c r="I54" s="9">
        <v>3900</v>
      </c>
      <c r="J54" s="9">
        <v>3900</v>
      </c>
      <c r="K54" s="9">
        <v>3900</v>
      </c>
      <c r="L54" s="9">
        <v>3900</v>
      </c>
      <c r="M54" s="9">
        <v>3900</v>
      </c>
      <c r="N54" s="9">
        <v>3900</v>
      </c>
      <c r="O54" s="9">
        <v>3900</v>
      </c>
      <c r="P54" s="9">
        <v>3900</v>
      </c>
      <c r="Q54" s="9">
        <v>3900</v>
      </c>
      <c r="R54" s="9">
        <v>3900</v>
      </c>
      <c r="S54" s="9">
        <v>3900</v>
      </c>
      <c r="T54" s="9">
        <v>3900</v>
      </c>
      <c r="U54" s="9">
        <v>3900</v>
      </c>
      <c r="V54" s="9">
        <v>3900</v>
      </c>
      <c r="W54" s="9">
        <v>3900</v>
      </c>
      <c r="X54" s="9">
        <v>3900</v>
      </c>
      <c r="Y54" s="9">
        <v>3900</v>
      </c>
      <c r="Z54" s="9">
        <v>3900</v>
      </c>
      <c r="AA54" s="38">
        <f t="shared" si="0"/>
        <v>2901600</v>
      </c>
    </row>
    <row r="55" spans="1:27" x14ac:dyDescent="0.2">
      <c r="A55" s="7">
        <v>48519</v>
      </c>
      <c r="B55" s="8">
        <f>DAY(EOMONTH(A55,0))</f>
        <v>30</v>
      </c>
      <c r="C55" s="9">
        <v>4000</v>
      </c>
      <c r="D55" s="9">
        <v>4000</v>
      </c>
      <c r="E55" s="9">
        <v>4000</v>
      </c>
      <c r="F55" s="9">
        <v>4000</v>
      </c>
      <c r="G55" s="9">
        <v>4000</v>
      </c>
      <c r="H55" s="9">
        <v>4000</v>
      </c>
      <c r="I55" s="9">
        <v>4000</v>
      </c>
      <c r="J55" s="9">
        <v>4000</v>
      </c>
      <c r="K55" s="9">
        <v>4000</v>
      </c>
      <c r="L55" s="9">
        <v>4000</v>
      </c>
      <c r="M55" s="9">
        <v>4000</v>
      </c>
      <c r="N55" s="9">
        <v>4000</v>
      </c>
      <c r="O55" s="9">
        <v>4000</v>
      </c>
      <c r="P55" s="9">
        <v>4000</v>
      </c>
      <c r="Q55" s="9">
        <v>4000</v>
      </c>
      <c r="R55" s="9">
        <v>4000</v>
      </c>
      <c r="S55" s="9">
        <v>4000</v>
      </c>
      <c r="T55" s="9">
        <v>4000</v>
      </c>
      <c r="U55" s="9">
        <v>4000</v>
      </c>
      <c r="V55" s="9">
        <v>4000</v>
      </c>
      <c r="W55" s="9">
        <v>4000</v>
      </c>
      <c r="X55" s="9">
        <v>4000</v>
      </c>
      <c r="Y55" s="9">
        <v>4000</v>
      </c>
      <c r="Z55" s="9">
        <v>4000</v>
      </c>
      <c r="AA55" s="38">
        <f t="shared" si="0"/>
        <v>2880000</v>
      </c>
    </row>
    <row r="56" spans="1:27" x14ac:dyDescent="0.2">
      <c r="A56" s="7">
        <v>48549</v>
      </c>
      <c r="B56" s="8">
        <f>DAY(EOMONTH(A56,0))</f>
        <v>31</v>
      </c>
      <c r="C56" s="9">
        <v>3900</v>
      </c>
      <c r="D56" s="9">
        <v>3900</v>
      </c>
      <c r="E56" s="9">
        <v>3900</v>
      </c>
      <c r="F56" s="9">
        <v>3900</v>
      </c>
      <c r="G56" s="9">
        <v>3900</v>
      </c>
      <c r="H56" s="9">
        <v>3900</v>
      </c>
      <c r="I56" s="9">
        <v>3900</v>
      </c>
      <c r="J56" s="9">
        <v>3900</v>
      </c>
      <c r="K56" s="9">
        <v>3900</v>
      </c>
      <c r="L56" s="9">
        <v>3900</v>
      </c>
      <c r="M56" s="9">
        <v>3900</v>
      </c>
      <c r="N56" s="9">
        <v>3900</v>
      </c>
      <c r="O56" s="9">
        <v>3900</v>
      </c>
      <c r="P56" s="9">
        <v>3900</v>
      </c>
      <c r="Q56" s="9">
        <v>3900</v>
      </c>
      <c r="R56" s="9">
        <v>3900</v>
      </c>
      <c r="S56" s="9">
        <v>3900</v>
      </c>
      <c r="T56" s="9">
        <v>3900</v>
      </c>
      <c r="U56" s="9">
        <v>3900</v>
      </c>
      <c r="V56" s="9">
        <v>3900</v>
      </c>
      <c r="W56" s="9">
        <v>3900</v>
      </c>
      <c r="X56" s="9">
        <v>3900</v>
      </c>
      <c r="Y56" s="9">
        <v>3900</v>
      </c>
      <c r="Z56" s="9">
        <v>3900</v>
      </c>
      <c r="AA56" s="38">
        <f t="shared" si="0"/>
        <v>2901600</v>
      </c>
    </row>
    <row r="57" spans="1:27" x14ac:dyDescent="0.2">
      <c r="A57" s="7">
        <v>48580</v>
      </c>
      <c r="B57" s="8">
        <f>DAY(EOMONTH(A57,0))</f>
        <v>31</v>
      </c>
      <c r="C57" s="9">
        <v>3700</v>
      </c>
      <c r="D57" s="9">
        <v>3700</v>
      </c>
      <c r="E57" s="9">
        <v>3700</v>
      </c>
      <c r="F57" s="9">
        <v>3700</v>
      </c>
      <c r="G57" s="9">
        <v>3700</v>
      </c>
      <c r="H57" s="9">
        <v>3700</v>
      </c>
      <c r="I57" s="9">
        <v>3700</v>
      </c>
      <c r="J57" s="9">
        <v>3700</v>
      </c>
      <c r="K57" s="9">
        <v>3700</v>
      </c>
      <c r="L57" s="9">
        <v>3700</v>
      </c>
      <c r="M57" s="9">
        <v>3700</v>
      </c>
      <c r="N57" s="9">
        <v>3700</v>
      </c>
      <c r="O57" s="9">
        <v>3700</v>
      </c>
      <c r="P57" s="9">
        <v>3700</v>
      </c>
      <c r="Q57" s="9">
        <v>3700</v>
      </c>
      <c r="R57" s="9">
        <v>3700</v>
      </c>
      <c r="S57" s="9">
        <v>3700</v>
      </c>
      <c r="T57" s="9">
        <v>3700</v>
      </c>
      <c r="U57" s="9">
        <v>3700</v>
      </c>
      <c r="V57" s="9">
        <v>3700</v>
      </c>
      <c r="W57" s="9">
        <v>3700</v>
      </c>
      <c r="X57" s="9">
        <v>3700</v>
      </c>
      <c r="Y57" s="9">
        <v>3700</v>
      </c>
      <c r="Z57" s="9">
        <v>3700</v>
      </c>
      <c r="AA57" s="38">
        <f t="shared" si="0"/>
        <v>2752800</v>
      </c>
    </row>
    <row r="58" spans="1:27" ht="14.25" customHeight="1" x14ac:dyDescent="0.2">
      <c r="A58" s="7">
        <v>48611</v>
      </c>
      <c r="B58" s="8">
        <f>DAY(EOMONTH(A58,0))</f>
        <v>28</v>
      </c>
      <c r="C58" s="9">
        <v>3900</v>
      </c>
      <c r="D58" s="9">
        <v>3900</v>
      </c>
      <c r="E58" s="9">
        <v>3900</v>
      </c>
      <c r="F58" s="9">
        <v>3900</v>
      </c>
      <c r="G58" s="9">
        <v>3900</v>
      </c>
      <c r="H58" s="9">
        <v>3900</v>
      </c>
      <c r="I58" s="9">
        <v>3900</v>
      </c>
      <c r="J58" s="9">
        <v>3900</v>
      </c>
      <c r="K58" s="9">
        <v>3900</v>
      </c>
      <c r="L58" s="9">
        <v>3900</v>
      </c>
      <c r="M58" s="9">
        <v>3900</v>
      </c>
      <c r="N58" s="9">
        <v>3900</v>
      </c>
      <c r="O58" s="9">
        <v>3900</v>
      </c>
      <c r="P58" s="9">
        <v>3900</v>
      </c>
      <c r="Q58" s="9">
        <v>3900</v>
      </c>
      <c r="R58" s="9">
        <v>3900</v>
      </c>
      <c r="S58" s="9">
        <v>3900</v>
      </c>
      <c r="T58" s="9">
        <v>3900</v>
      </c>
      <c r="U58" s="9">
        <v>3900</v>
      </c>
      <c r="V58" s="9">
        <v>3900</v>
      </c>
      <c r="W58" s="9">
        <v>3900</v>
      </c>
      <c r="X58" s="9">
        <v>3900</v>
      </c>
      <c r="Y58" s="9">
        <v>3900</v>
      </c>
      <c r="Z58" s="9">
        <v>3900</v>
      </c>
      <c r="AA58" s="38">
        <f t="shared" si="0"/>
        <v>2620800</v>
      </c>
    </row>
    <row r="59" spans="1:27" x14ac:dyDescent="0.2">
      <c r="A59" s="7">
        <v>48639</v>
      </c>
      <c r="B59" s="8">
        <f t="shared" ref="B59:B66" si="5">DAY(EOMONTH(A59,0))</f>
        <v>31</v>
      </c>
      <c r="C59" s="9">
        <v>3900</v>
      </c>
      <c r="D59" s="9">
        <v>3900</v>
      </c>
      <c r="E59" s="9">
        <v>3900</v>
      </c>
      <c r="F59" s="9">
        <v>3900</v>
      </c>
      <c r="G59" s="9">
        <v>3900</v>
      </c>
      <c r="H59" s="9">
        <v>3900</v>
      </c>
      <c r="I59" s="9">
        <v>3900</v>
      </c>
      <c r="J59" s="9">
        <v>3900</v>
      </c>
      <c r="K59" s="9">
        <v>3900</v>
      </c>
      <c r="L59" s="9">
        <v>3900</v>
      </c>
      <c r="M59" s="9">
        <v>3900</v>
      </c>
      <c r="N59" s="9">
        <v>3900</v>
      </c>
      <c r="O59" s="9">
        <v>3900</v>
      </c>
      <c r="P59" s="9">
        <v>3900</v>
      </c>
      <c r="Q59" s="9">
        <v>3900</v>
      </c>
      <c r="R59" s="9">
        <v>3900</v>
      </c>
      <c r="S59" s="9">
        <v>3900</v>
      </c>
      <c r="T59" s="9">
        <v>3900</v>
      </c>
      <c r="U59" s="9">
        <v>3900</v>
      </c>
      <c r="V59" s="9">
        <v>3900</v>
      </c>
      <c r="W59" s="9">
        <v>3900</v>
      </c>
      <c r="X59" s="9">
        <v>3900</v>
      </c>
      <c r="Y59" s="9">
        <v>3900</v>
      </c>
      <c r="Z59" s="9">
        <v>3900</v>
      </c>
      <c r="AA59" s="38">
        <f t="shared" si="0"/>
        <v>2901600</v>
      </c>
    </row>
    <row r="60" spans="1:27" x14ac:dyDescent="0.2">
      <c r="A60" s="7">
        <v>48670</v>
      </c>
      <c r="B60" s="8">
        <f t="shared" si="5"/>
        <v>30</v>
      </c>
      <c r="C60" s="9">
        <v>4000</v>
      </c>
      <c r="D60" s="9">
        <v>4000</v>
      </c>
      <c r="E60" s="9">
        <v>4000</v>
      </c>
      <c r="F60" s="9">
        <v>4000</v>
      </c>
      <c r="G60" s="9">
        <v>4000</v>
      </c>
      <c r="H60" s="9">
        <v>4000</v>
      </c>
      <c r="I60" s="9">
        <v>4000</v>
      </c>
      <c r="J60" s="9">
        <v>4000</v>
      </c>
      <c r="K60" s="9">
        <v>4000</v>
      </c>
      <c r="L60" s="9">
        <v>4000</v>
      </c>
      <c r="M60" s="9">
        <v>4000</v>
      </c>
      <c r="N60" s="9">
        <v>4000</v>
      </c>
      <c r="O60" s="9">
        <v>4000</v>
      </c>
      <c r="P60" s="9">
        <v>4000</v>
      </c>
      <c r="Q60" s="9">
        <v>4000</v>
      </c>
      <c r="R60" s="9">
        <v>4000</v>
      </c>
      <c r="S60" s="9">
        <v>4000</v>
      </c>
      <c r="T60" s="9">
        <v>4000</v>
      </c>
      <c r="U60" s="9">
        <v>4000</v>
      </c>
      <c r="V60" s="9">
        <v>4000</v>
      </c>
      <c r="W60" s="9">
        <v>4000</v>
      </c>
      <c r="X60" s="9">
        <v>4000</v>
      </c>
      <c r="Y60" s="9">
        <v>4000</v>
      </c>
      <c r="Z60" s="9">
        <v>4000</v>
      </c>
      <c r="AA60" s="38">
        <f t="shared" si="0"/>
        <v>2880000</v>
      </c>
    </row>
    <row r="61" spans="1:27" x14ac:dyDescent="0.2">
      <c r="A61" s="7">
        <v>48700</v>
      </c>
      <c r="B61" s="8">
        <f t="shared" si="5"/>
        <v>31</v>
      </c>
      <c r="C61" s="9">
        <v>3800</v>
      </c>
      <c r="D61" s="9">
        <v>3800</v>
      </c>
      <c r="E61" s="9">
        <v>3800</v>
      </c>
      <c r="F61" s="9">
        <v>3800</v>
      </c>
      <c r="G61" s="9">
        <v>3800</v>
      </c>
      <c r="H61" s="9">
        <v>3800</v>
      </c>
      <c r="I61" s="9">
        <v>3800</v>
      </c>
      <c r="J61" s="9">
        <v>3800</v>
      </c>
      <c r="K61" s="9">
        <v>3800</v>
      </c>
      <c r="L61" s="9">
        <v>3800</v>
      </c>
      <c r="M61" s="9">
        <v>3800</v>
      </c>
      <c r="N61" s="9">
        <v>3800</v>
      </c>
      <c r="O61" s="9">
        <v>3800</v>
      </c>
      <c r="P61" s="9">
        <v>3800</v>
      </c>
      <c r="Q61" s="9">
        <v>3800</v>
      </c>
      <c r="R61" s="9">
        <v>3800</v>
      </c>
      <c r="S61" s="9">
        <v>3800</v>
      </c>
      <c r="T61" s="9">
        <v>3800</v>
      </c>
      <c r="U61" s="9">
        <v>3800</v>
      </c>
      <c r="V61" s="9">
        <v>3800</v>
      </c>
      <c r="W61" s="9">
        <v>3800</v>
      </c>
      <c r="X61" s="9">
        <v>3800</v>
      </c>
      <c r="Y61" s="9">
        <v>3800</v>
      </c>
      <c r="Z61" s="9">
        <v>3800</v>
      </c>
      <c r="AA61" s="38">
        <f t="shared" si="0"/>
        <v>2827200</v>
      </c>
    </row>
    <row r="62" spans="1:27" x14ac:dyDescent="0.2">
      <c r="A62" s="7">
        <v>48731</v>
      </c>
      <c r="B62" s="8">
        <f t="shared" si="5"/>
        <v>30</v>
      </c>
      <c r="C62" s="9">
        <v>3500</v>
      </c>
      <c r="D62" s="9">
        <v>3500</v>
      </c>
      <c r="E62" s="9">
        <v>3500</v>
      </c>
      <c r="F62" s="9">
        <v>3500</v>
      </c>
      <c r="G62" s="9">
        <v>3500</v>
      </c>
      <c r="H62" s="9">
        <v>3500</v>
      </c>
      <c r="I62" s="9">
        <v>3500</v>
      </c>
      <c r="J62" s="9">
        <v>3500</v>
      </c>
      <c r="K62" s="9">
        <v>3500</v>
      </c>
      <c r="L62" s="9">
        <v>3500</v>
      </c>
      <c r="M62" s="9">
        <v>3500</v>
      </c>
      <c r="N62" s="9">
        <v>3500</v>
      </c>
      <c r="O62" s="9">
        <v>3500</v>
      </c>
      <c r="P62" s="9">
        <v>3500</v>
      </c>
      <c r="Q62" s="9">
        <v>3500</v>
      </c>
      <c r="R62" s="9">
        <v>3500</v>
      </c>
      <c r="S62" s="9">
        <v>3500</v>
      </c>
      <c r="T62" s="9">
        <v>3500</v>
      </c>
      <c r="U62" s="9">
        <v>3500</v>
      </c>
      <c r="V62" s="9">
        <v>3500</v>
      </c>
      <c r="W62" s="9">
        <v>3500</v>
      </c>
      <c r="X62" s="9">
        <v>3500</v>
      </c>
      <c r="Y62" s="9">
        <v>3500</v>
      </c>
      <c r="Z62" s="9">
        <v>3500</v>
      </c>
      <c r="AA62" s="38">
        <f t="shared" si="0"/>
        <v>2520000</v>
      </c>
    </row>
    <row r="63" spans="1:27" x14ac:dyDescent="0.2">
      <c r="A63" s="7">
        <v>48761</v>
      </c>
      <c r="B63" s="8">
        <f t="shared" si="5"/>
        <v>31</v>
      </c>
      <c r="C63" s="9">
        <v>3600</v>
      </c>
      <c r="D63" s="9">
        <v>3600</v>
      </c>
      <c r="E63" s="9">
        <v>3600</v>
      </c>
      <c r="F63" s="9">
        <v>3600</v>
      </c>
      <c r="G63" s="9">
        <v>3600</v>
      </c>
      <c r="H63" s="9">
        <v>3600</v>
      </c>
      <c r="I63" s="9">
        <v>3600</v>
      </c>
      <c r="J63" s="9">
        <v>3600</v>
      </c>
      <c r="K63" s="9">
        <v>3600</v>
      </c>
      <c r="L63" s="9">
        <v>3600</v>
      </c>
      <c r="M63" s="9">
        <v>3600</v>
      </c>
      <c r="N63" s="9">
        <v>3600</v>
      </c>
      <c r="O63" s="9">
        <v>3600</v>
      </c>
      <c r="P63" s="9">
        <v>3600</v>
      </c>
      <c r="Q63" s="9">
        <v>3600</v>
      </c>
      <c r="R63" s="9">
        <v>3600</v>
      </c>
      <c r="S63" s="9">
        <v>3600</v>
      </c>
      <c r="T63" s="9">
        <v>3600</v>
      </c>
      <c r="U63" s="9">
        <v>3600</v>
      </c>
      <c r="V63" s="9">
        <v>3600</v>
      </c>
      <c r="W63" s="9">
        <v>3600</v>
      </c>
      <c r="X63" s="9">
        <v>3600</v>
      </c>
      <c r="Y63" s="9">
        <v>3600</v>
      </c>
      <c r="Z63" s="9">
        <v>3600</v>
      </c>
      <c r="AA63" s="38">
        <f t="shared" si="0"/>
        <v>2678400</v>
      </c>
    </row>
    <row r="64" spans="1:27" x14ac:dyDescent="0.2">
      <c r="A64" s="7">
        <v>48792</v>
      </c>
      <c r="B64" s="8">
        <f t="shared" si="5"/>
        <v>31</v>
      </c>
      <c r="C64" s="9">
        <v>4000</v>
      </c>
      <c r="D64" s="9">
        <v>4000</v>
      </c>
      <c r="E64" s="9">
        <v>4000</v>
      </c>
      <c r="F64" s="9">
        <v>4000</v>
      </c>
      <c r="G64" s="9">
        <v>4000</v>
      </c>
      <c r="H64" s="9">
        <v>4000</v>
      </c>
      <c r="I64" s="9">
        <v>4000</v>
      </c>
      <c r="J64" s="9">
        <v>4000</v>
      </c>
      <c r="K64" s="9">
        <v>4000</v>
      </c>
      <c r="L64" s="9">
        <v>4000</v>
      </c>
      <c r="M64" s="9">
        <v>4000</v>
      </c>
      <c r="N64" s="9">
        <v>4000</v>
      </c>
      <c r="O64" s="9">
        <v>4000</v>
      </c>
      <c r="P64" s="9">
        <v>4000</v>
      </c>
      <c r="Q64" s="9">
        <v>4000</v>
      </c>
      <c r="R64" s="9">
        <v>4000</v>
      </c>
      <c r="S64" s="9">
        <v>4000</v>
      </c>
      <c r="T64" s="9">
        <v>4000</v>
      </c>
      <c r="U64" s="9">
        <v>4000</v>
      </c>
      <c r="V64" s="9">
        <v>4000</v>
      </c>
      <c r="W64" s="9">
        <v>4000</v>
      </c>
      <c r="X64" s="9">
        <v>4000</v>
      </c>
      <c r="Y64" s="9">
        <v>4000</v>
      </c>
      <c r="Z64" s="9">
        <v>4000</v>
      </c>
      <c r="AA64" s="38">
        <f t="shared" si="0"/>
        <v>2976000</v>
      </c>
    </row>
    <row r="65" spans="1:27" x14ac:dyDescent="0.2">
      <c r="A65" s="7">
        <v>48823</v>
      </c>
      <c r="B65" s="8">
        <f t="shared" si="5"/>
        <v>30</v>
      </c>
      <c r="C65" s="9">
        <v>3700</v>
      </c>
      <c r="D65" s="9">
        <v>3700</v>
      </c>
      <c r="E65" s="9">
        <v>3700</v>
      </c>
      <c r="F65" s="9">
        <v>3700</v>
      </c>
      <c r="G65" s="9">
        <v>3700</v>
      </c>
      <c r="H65" s="9">
        <v>3700</v>
      </c>
      <c r="I65" s="9">
        <v>3700</v>
      </c>
      <c r="J65" s="9">
        <v>3700</v>
      </c>
      <c r="K65" s="9">
        <v>3700</v>
      </c>
      <c r="L65" s="9">
        <v>3700</v>
      </c>
      <c r="M65" s="9">
        <v>3700</v>
      </c>
      <c r="N65" s="9">
        <v>3700</v>
      </c>
      <c r="O65" s="9">
        <v>3700</v>
      </c>
      <c r="P65" s="9">
        <v>3700</v>
      </c>
      <c r="Q65" s="9">
        <v>3700</v>
      </c>
      <c r="R65" s="9">
        <v>3700</v>
      </c>
      <c r="S65" s="9">
        <v>3700</v>
      </c>
      <c r="T65" s="9">
        <v>3700</v>
      </c>
      <c r="U65" s="9">
        <v>3700</v>
      </c>
      <c r="V65" s="9">
        <v>3700</v>
      </c>
      <c r="W65" s="9">
        <v>3700</v>
      </c>
      <c r="X65" s="9">
        <v>3700</v>
      </c>
      <c r="Y65" s="9">
        <v>3700</v>
      </c>
      <c r="Z65" s="9">
        <v>3700</v>
      </c>
      <c r="AA65" s="38">
        <f t="shared" si="0"/>
        <v>2664000</v>
      </c>
    </row>
    <row r="66" spans="1:27" x14ac:dyDescent="0.2">
      <c r="A66" s="7">
        <v>48853</v>
      </c>
      <c r="B66" s="8">
        <f t="shared" si="5"/>
        <v>31</v>
      </c>
      <c r="C66" s="9">
        <v>4000</v>
      </c>
      <c r="D66" s="9">
        <v>4000</v>
      </c>
      <c r="E66" s="9">
        <v>4000</v>
      </c>
      <c r="F66" s="9">
        <v>4000</v>
      </c>
      <c r="G66" s="9">
        <v>4000</v>
      </c>
      <c r="H66" s="9">
        <v>4000</v>
      </c>
      <c r="I66" s="9">
        <v>4000</v>
      </c>
      <c r="J66" s="9">
        <v>4000</v>
      </c>
      <c r="K66" s="9">
        <v>4000</v>
      </c>
      <c r="L66" s="9">
        <v>4000</v>
      </c>
      <c r="M66" s="9">
        <v>4000</v>
      </c>
      <c r="N66" s="9">
        <v>4000</v>
      </c>
      <c r="O66" s="9">
        <v>4000</v>
      </c>
      <c r="P66" s="9">
        <v>4000</v>
      </c>
      <c r="Q66" s="9">
        <v>4000</v>
      </c>
      <c r="R66" s="9">
        <v>4000</v>
      </c>
      <c r="S66" s="9">
        <v>4000</v>
      </c>
      <c r="T66" s="9">
        <v>4000</v>
      </c>
      <c r="U66" s="9">
        <v>4000</v>
      </c>
      <c r="V66" s="9">
        <v>4000</v>
      </c>
      <c r="W66" s="9">
        <v>4000</v>
      </c>
      <c r="X66" s="9">
        <v>4000</v>
      </c>
      <c r="Y66" s="9">
        <v>4000</v>
      </c>
      <c r="Z66" s="9">
        <v>4000</v>
      </c>
      <c r="AA66" s="38">
        <f t="shared" si="0"/>
        <v>2976000</v>
      </c>
    </row>
    <row r="67" spans="1:27" x14ac:dyDescent="0.2">
      <c r="A67" s="7">
        <v>48884</v>
      </c>
      <c r="B67" s="8">
        <f>DAY(EOMONTH(A67,0))</f>
        <v>30</v>
      </c>
      <c r="C67" s="9">
        <v>4100</v>
      </c>
      <c r="D67" s="9">
        <v>4100</v>
      </c>
      <c r="E67" s="9">
        <v>4100</v>
      </c>
      <c r="F67" s="9">
        <v>4100</v>
      </c>
      <c r="G67" s="9">
        <v>4100</v>
      </c>
      <c r="H67" s="9">
        <v>4100</v>
      </c>
      <c r="I67" s="9">
        <v>4100</v>
      </c>
      <c r="J67" s="9">
        <v>4100</v>
      </c>
      <c r="K67" s="9">
        <v>4100</v>
      </c>
      <c r="L67" s="9">
        <v>4100</v>
      </c>
      <c r="M67" s="9">
        <v>4100</v>
      </c>
      <c r="N67" s="9">
        <v>4100</v>
      </c>
      <c r="O67" s="9">
        <v>4100</v>
      </c>
      <c r="P67" s="9">
        <v>4100</v>
      </c>
      <c r="Q67" s="9">
        <v>4100</v>
      </c>
      <c r="R67" s="9">
        <v>4100</v>
      </c>
      <c r="S67" s="9">
        <v>4100</v>
      </c>
      <c r="T67" s="9">
        <v>4100</v>
      </c>
      <c r="U67" s="9">
        <v>4100</v>
      </c>
      <c r="V67" s="9">
        <v>4100</v>
      </c>
      <c r="W67" s="9">
        <v>4100</v>
      </c>
      <c r="X67" s="9">
        <v>4100</v>
      </c>
      <c r="Y67" s="9">
        <v>4100</v>
      </c>
      <c r="Z67" s="9">
        <v>4100</v>
      </c>
      <c r="AA67" s="38">
        <f t="shared" si="0"/>
        <v>2952000</v>
      </c>
    </row>
    <row r="68" spans="1:27" x14ac:dyDescent="0.2">
      <c r="A68" s="7">
        <v>48914</v>
      </c>
      <c r="B68" s="8">
        <f>DAY(EOMONTH(A68,0))</f>
        <v>31</v>
      </c>
      <c r="C68" s="9">
        <v>4000</v>
      </c>
      <c r="D68" s="9">
        <v>4000</v>
      </c>
      <c r="E68" s="9">
        <v>4000</v>
      </c>
      <c r="F68" s="9">
        <v>4000</v>
      </c>
      <c r="G68" s="9">
        <v>4000</v>
      </c>
      <c r="H68" s="9">
        <v>4000</v>
      </c>
      <c r="I68" s="9">
        <v>4000</v>
      </c>
      <c r="J68" s="9">
        <v>4000</v>
      </c>
      <c r="K68" s="9">
        <v>4000</v>
      </c>
      <c r="L68" s="9">
        <v>4000</v>
      </c>
      <c r="M68" s="9">
        <v>4000</v>
      </c>
      <c r="N68" s="9">
        <v>4000</v>
      </c>
      <c r="O68" s="9">
        <v>4000</v>
      </c>
      <c r="P68" s="9">
        <v>4000</v>
      </c>
      <c r="Q68" s="9">
        <v>4000</v>
      </c>
      <c r="R68" s="9">
        <v>4000</v>
      </c>
      <c r="S68" s="9">
        <v>4000</v>
      </c>
      <c r="T68" s="9">
        <v>4000</v>
      </c>
      <c r="U68" s="9">
        <v>4000</v>
      </c>
      <c r="V68" s="9">
        <v>4000</v>
      </c>
      <c r="W68" s="9">
        <v>4000</v>
      </c>
      <c r="X68" s="9">
        <v>4000</v>
      </c>
      <c r="Y68" s="9">
        <v>4000</v>
      </c>
      <c r="Z68" s="9">
        <v>4000</v>
      </c>
      <c r="AA68" s="38">
        <f t="shared" si="0"/>
        <v>2976000</v>
      </c>
    </row>
    <row r="69" spans="1:27" x14ac:dyDescent="0.2">
      <c r="AA69" s="10"/>
    </row>
    <row r="71" spans="1:27" x14ac:dyDescent="0.2">
      <c r="AA71" s="11"/>
    </row>
    <row r="72" spans="1:27" x14ac:dyDescent="0.2">
      <c r="AA72" s="11"/>
    </row>
    <row r="73" spans="1:27" x14ac:dyDescent="0.2">
      <c r="AA73" s="12"/>
    </row>
  </sheetData>
  <mergeCells count="9">
    <mergeCell ref="A7:A8"/>
    <mergeCell ref="B7:B8"/>
    <mergeCell ref="AA7:AA8"/>
    <mergeCell ref="A1:AA1"/>
    <mergeCell ref="A2:AA2"/>
    <mergeCell ref="A3:AA3"/>
    <mergeCell ref="A4:AA4"/>
    <mergeCell ref="A5:AA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33D4-9864-47CB-8913-86E564CCB166}">
  <sheetPr>
    <tabColor rgb="FFFF0000"/>
    <pageSetUpPr fitToPage="1"/>
  </sheetPr>
  <dimension ref="A1:H75"/>
  <sheetViews>
    <sheetView showGridLines="0" view="pageBreakPreview" zoomScale="75" zoomScaleNormal="75" zoomScaleSheetLayoutView="75" workbookViewId="0">
      <selection activeCell="D33" sqref="D33"/>
    </sheetView>
  </sheetViews>
  <sheetFormatPr baseColWidth="10" defaultColWidth="11.42578125" defaultRowHeight="12.75" x14ac:dyDescent="0.2"/>
  <cols>
    <col min="1" max="1" width="11.140625" style="13" customWidth="1"/>
    <col min="2" max="4" width="18.7109375" style="13" customWidth="1"/>
    <col min="5" max="5" width="39.7109375" style="13" customWidth="1"/>
    <col min="6" max="16384" width="11.42578125" style="13"/>
  </cols>
  <sheetData>
    <row r="1" spans="1:8" ht="13.5" thickBot="1" x14ac:dyDescent="0.25"/>
    <row r="2" spans="1:8" s="14" customFormat="1" ht="16.5" customHeight="1" x14ac:dyDescent="0.2">
      <c r="A2" s="59" t="s">
        <v>32</v>
      </c>
      <c r="B2" s="60"/>
      <c r="C2" s="60"/>
      <c r="D2" s="60"/>
      <c r="E2" s="61"/>
    </row>
    <row r="3" spans="1:8" s="14" customFormat="1" ht="16.5" customHeight="1" x14ac:dyDescent="0.2">
      <c r="A3" s="62" t="s">
        <v>44</v>
      </c>
      <c r="B3" s="42"/>
      <c r="C3" s="42"/>
      <c r="D3" s="42"/>
      <c r="E3" s="63"/>
    </row>
    <row r="4" spans="1:8" s="14" customFormat="1" ht="16.5" customHeight="1" x14ac:dyDescent="0.2">
      <c r="A4" s="62" t="s">
        <v>33</v>
      </c>
      <c r="B4" s="42"/>
      <c r="C4" s="42"/>
      <c r="D4" s="42"/>
      <c r="E4" s="63"/>
    </row>
    <row r="5" spans="1:8" s="14" customFormat="1" ht="16.5" customHeight="1" x14ac:dyDescent="0.2">
      <c r="A5" s="62" t="s">
        <v>2</v>
      </c>
      <c r="B5" s="42"/>
      <c r="C5" s="42"/>
      <c r="D5" s="42"/>
      <c r="E5" s="63"/>
    </row>
    <row r="6" spans="1:8" s="14" customFormat="1" ht="16.5" customHeight="1" thickBot="1" x14ac:dyDescent="0.25">
      <c r="A6" s="64" t="s">
        <v>43</v>
      </c>
      <c r="B6" s="65"/>
      <c r="C6" s="65"/>
      <c r="D6" s="65"/>
      <c r="E6" s="66"/>
    </row>
    <row r="7" spans="1:8" s="3" customFormat="1" ht="15" customHeight="1" x14ac:dyDescent="0.2">
      <c r="A7" s="48" t="s">
        <v>4</v>
      </c>
      <c r="B7" s="51" t="s">
        <v>34</v>
      </c>
      <c r="C7" s="53" t="s">
        <v>35</v>
      </c>
      <c r="D7" s="54"/>
      <c r="E7" s="55"/>
    </row>
    <row r="8" spans="1:8" s="3" customFormat="1" ht="26.45" customHeight="1" x14ac:dyDescent="0.2">
      <c r="A8" s="49"/>
      <c r="B8" s="52"/>
      <c r="C8" s="56" t="s">
        <v>36</v>
      </c>
      <c r="D8" s="57"/>
      <c r="E8" s="58"/>
    </row>
    <row r="9" spans="1:8" s="3" customFormat="1" ht="53.65" customHeight="1" x14ac:dyDescent="0.2">
      <c r="A9" s="50"/>
      <c r="B9" s="15" t="s">
        <v>37</v>
      </c>
      <c r="C9" s="15" t="s">
        <v>38</v>
      </c>
      <c r="D9" s="15" t="s">
        <v>39</v>
      </c>
      <c r="E9" s="15" t="s">
        <v>45</v>
      </c>
    </row>
    <row r="10" spans="1:8" s="3" customFormat="1" ht="13.5" thickBot="1" x14ac:dyDescent="0.25">
      <c r="A10" s="16"/>
      <c r="B10" s="17"/>
      <c r="C10" s="17"/>
      <c r="D10" s="17"/>
      <c r="E10" s="18"/>
      <c r="H10" s="19"/>
    </row>
    <row r="11" spans="1:8" ht="16.5" customHeight="1" x14ac:dyDescent="0.2">
      <c r="A11" s="20">
        <v>47119</v>
      </c>
      <c r="B11" s="21">
        <v>2455200</v>
      </c>
      <c r="C11" s="22">
        <v>1</v>
      </c>
      <c r="D11" s="23"/>
      <c r="E11" s="44"/>
    </row>
    <row r="12" spans="1:8" ht="16.5" customHeight="1" x14ac:dyDescent="0.2">
      <c r="A12" s="24">
        <v>47150</v>
      </c>
      <c r="B12" s="25">
        <v>2352000</v>
      </c>
      <c r="C12" s="26">
        <v>1</v>
      </c>
      <c r="D12" s="27"/>
      <c r="E12" s="45"/>
    </row>
    <row r="13" spans="1:8" ht="16.5" customHeight="1" x14ac:dyDescent="0.2">
      <c r="A13" s="24">
        <v>47178</v>
      </c>
      <c r="B13" s="25">
        <v>2604000</v>
      </c>
      <c r="C13" s="26">
        <v>1</v>
      </c>
      <c r="D13" s="27"/>
      <c r="E13" s="45"/>
    </row>
    <row r="14" spans="1:8" ht="16.5" customHeight="1" x14ac:dyDescent="0.2">
      <c r="A14" s="24">
        <v>47209</v>
      </c>
      <c r="B14" s="25">
        <v>2592000</v>
      </c>
      <c r="C14" s="26">
        <v>1</v>
      </c>
      <c r="D14" s="27"/>
      <c r="E14" s="45"/>
    </row>
    <row r="15" spans="1:8" ht="16.5" customHeight="1" x14ac:dyDescent="0.2">
      <c r="A15" s="24">
        <v>47239</v>
      </c>
      <c r="B15" s="25">
        <v>2529600</v>
      </c>
      <c r="C15" s="26">
        <v>1</v>
      </c>
      <c r="D15" s="27"/>
      <c r="E15" s="45"/>
    </row>
    <row r="16" spans="1:8" ht="16.5" customHeight="1" x14ac:dyDescent="0.2">
      <c r="A16" s="24">
        <v>47270</v>
      </c>
      <c r="B16" s="25">
        <v>2232000</v>
      </c>
      <c r="C16" s="26">
        <v>1</v>
      </c>
      <c r="D16" s="27"/>
      <c r="E16" s="45"/>
    </row>
    <row r="17" spans="1:5" ht="16.5" customHeight="1" x14ac:dyDescent="0.2">
      <c r="A17" s="24">
        <v>47300</v>
      </c>
      <c r="B17" s="25">
        <v>2380800</v>
      </c>
      <c r="C17" s="26">
        <v>1</v>
      </c>
      <c r="D17" s="27"/>
      <c r="E17" s="45"/>
    </row>
    <row r="18" spans="1:5" ht="16.5" customHeight="1" x14ac:dyDescent="0.2">
      <c r="A18" s="24">
        <v>47331</v>
      </c>
      <c r="B18" s="25">
        <v>2604000</v>
      </c>
      <c r="C18" s="26">
        <v>1</v>
      </c>
      <c r="D18" s="27"/>
      <c r="E18" s="45"/>
    </row>
    <row r="19" spans="1:5" ht="16.5" customHeight="1" x14ac:dyDescent="0.2">
      <c r="A19" s="24">
        <v>47362</v>
      </c>
      <c r="B19" s="25">
        <v>2376000</v>
      </c>
      <c r="C19" s="26">
        <v>1</v>
      </c>
      <c r="D19" s="27"/>
      <c r="E19" s="45"/>
    </row>
    <row r="20" spans="1:5" ht="16.5" customHeight="1" x14ac:dyDescent="0.2">
      <c r="A20" s="24">
        <v>47392</v>
      </c>
      <c r="B20" s="25">
        <v>2604000</v>
      </c>
      <c r="C20" s="26">
        <v>1</v>
      </c>
      <c r="D20" s="27"/>
      <c r="E20" s="45"/>
    </row>
    <row r="21" spans="1:5" ht="16.5" customHeight="1" x14ac:dyDescent="0.2">
      <c r="A21" s="24">
        <v>47423</v>
      </c>
      <c r="B21" s="25">
        <v>2664000</v>
      </c>
      <c r="C21" s="26">
        <v>1</v>
      </c>
      <c r="D21" s="27"/>
      <c r="E21" s="45"/>
    </row>
    <row r="22" spans="1:5" ht="16.5" customHeight="1" x14ac:dyDescent="0.2">
      <c r="A22" s="24">
        <v>47453</v>
      </c>
      <c r="B22" s="25">
        <v>2604000</v>
      </c>
      <c r="C22" s="26">
        <v>1</v>
      </c>
      <c r="D22" s="27"/>
      <c r="E22" s="45"/>
    </row>
    <row r="23" spans="1:5" ht="16.5" customHeight="1" x14ac:dyDescent="0.2">
      <c r="A23" s="24">
        <v>47484</v>
      </c>
      <c r="B23" s="25">
        <v>2529600</v>
      </c>
      <c r="C23" s="26">
        <v>1</v>
      </c>
      <c r="D23" s="27"/>
      <c r="E23" s="45"/>
    </row>
    <row r="24" spans="1:5" ht="16.5" customHeight="1" x14ac:dyDescent="0.2">
      <c r="A24" s="24">
        <v>47515</v>
      </c>
      <c r="B24" s="25">
        <v>2419200</v>
      </c>
      <c r="C24" s="26">
        <v>1</v>
      </c>
      <c r="D24" s="27"/>
      <c r="E24" s="45"/>
    </row>
    <row r="25" spans="1:5" ht="16.5" customHeight="1" x14ac:dyDescent="0.2">
      <c r="A25" s="24">
        <v>47543</v>
      </c>
      <c r="B25" s="25">
        <v>2678400</v>
      </c>
      <c r="C25" s="26">
        <v>1</v>
      </c>
      <c r="D25" s="27"/>
      <c r="E25" s="45"/>
    </row>
    <row r="26" spans="1:5" ht="16.5" customHeight="1" x14ac:dyDescent="0.2">
      <c r="A26" s="24">
        <v>47574</v>
      </c>
      <c r="B26" s="25">
        <v>2664000</v>
      </c>
      <c r="C26" s="26">
        <v>1</v>
      </c>
      <c r="D26" s="27"/>
      <c r="E26" s="45"/>
    </row>
    <row r="27" spans="1:5" ht="16.5" customHeight="1" x14ac:dyDescent="0.2">
      <c r="A27" s="24">
        <v>47604</v>
      </c>
      <c r="B27" s="25">
        <v>2604000</v>
      </c>
      <c r="C27" s="26">
        <v>1</v>
      </c>
      <c r="D27" s="27"/>
      <c r="E27" s="45"/>
    </row>
    <row r="28" spans="1:5" ht="16.5" customHeight="1" x14ac:dyDescent="0.2">
      <c r="A28" s="24">
        <v>47635</v>
      </c>
      <c r="B28" s="25">
        <v>2304000</v>
      </c>
      <c r="C28" s="26">
        <v>1</v>
      </c>
      <c r="D28" s="27"/>
      <c r="E28" s="45"/>
    </row>
    <row r="29" spans="1:5" ht="16.5" customHeight="1" x14ac:dyDescent="0.2">
      <c r="A29" s="24">
        <v>47665</v>
      </c>
      <c r="B29" s="25">
        <v>2455200</v>
      </c>
      <c r="C29" s="26">
        <v>1</v>
      </c>
      <c r="D29" s="27"/>
      <c r="E29" s="45"/>
    </row>
    <row r="30" spans="1:5" ht="16.5" customHeight="1" x14ac:dyDescent="0.2">
      <c r="A30" s="24">
        <v>47696</v>
      </c>
      <c r="B30" s="25">
        <v>2678400</v>
      </c>
      <c r="C30" s="26">
        <v>1</v>
      </c>
      <c r="D30" s="27"/>
      <c r="E30" s="45"/>
    </row>
    <row r="31" spans="1:5" ht="16.5" customHeight="1" x14ac:dyDescent="0.2">
      <c r="A31" s="24">
        <v>47727</v>
      </c>
      <c r="B31" s="25">
        <v>2448000</v>
      </c>
      <c r="C31" s="26">
        <v>1</v>
      </c>
      <c r="D31" s="27"/>
      <c r="E31" s="45"/>
    </row>
    <row r="32" spans="1:5" ht="16.5" customHeight="1" x14ac:dyDescent="0.2">
      <c r="A32" s="24">
        <v>47757</v>
      </c>
      <c r="B32" s="25">
        <v>2678400</v>
      </c>
      <c r="C32" s="26">
        <v>1</v>
      </c>
      <c r="D32" s="28"/>
      <c r="E32" s="45"/>
    </row>
    <row r="33" spans="1:5" ht="16.5" customHeight="1" x14ac:dyDescent="0.2">
      <c r="A33" s="24">
        <v>47788</v>
      </c>
      <c r="B33" s="25">
        <v>2736000</v>
      </c>
      <c r="C33" s="26">
        <v>1</v>
      </c>
      <c r="D33" s="28"/>
      <c r="E33" s="45"/>
    </row>
    <row r="34" spans="1:5" ht="16.5" customHeight="1" x14ac:dyDescent="0.2">
      <c r="A34" s="24">
        <v>47818</v>
      </c>
      <c r="B34" s="25">
        <v>2678400</v>
      </c>
      <c r="C34" s="26">
        <v>1</v>
      </c>
      <c r="D34" s="28"/>
      <c r="E34" s="45"/>
    </row>
    <row r="35" spans="1:5" ht="16.5" customHeight="1" x14ac:dyDescent="0.2">
      <c r="A35" s="24">
        <v>47849</v>
      </c>
      <c r="B35" s="25">
        <v>2604000</v>
      </c>
      <c r="C35" s="26">
        <v>1</v>
      </c>
      <c r="D35" s="28"/>
      <c r="E35" s="45"/>
    </row>
    <row r="36" spans="1:5" ht="16.5" customHeight="1" x14ac:dyDescent="0.2">
      <c r="A36" s="24">
        <v>47880</v>
      </c>
      <c r="B36" s="25">
        <v>2486400</v>
      </c>
      <c r="C36" s="26">
        <v>1</v>
      </c>
      <c r="D36" s="28"/>
      <c r="E36" s="45"/>
    </row>
    <row r="37" spans="1:5" ht="16.5" customHeight="1" x14ac:dyDescent="0.2">
      <c r="A37" s="24">
        <v>47908</v>
      </c>
      <c r="B37" s="25">
        <v>2752800</v>
      </c>
      <c r="C37" s="26">
        <v>1</v>
      </c>
      <c r="D37" s="28"/>
      <c r="E37" s="45"/>
    </row>
    <row r="38" spans="1:5" ht="16.5" customHeight="1" x14ac:dyDescent="0.2">
      <c r="A38" s="24">
        <v>47939</v>
      </c>
      <c r="B38" s="25">
        <v>2736000</v>
      </c>
      <c r="C38" s="26">
        <v>1</v>
      </c>
      <c r="D38" s="28"/>
      <c r="E38" s="45"/>
    </row>
    <row r="39" spans="1:5" ht="16.5" customHeight="1" x14ac:dyDescent="0.2">
      <c r="A39" s="24">
        <v>47969</v>
      </c>
      <c r="B39" s="25">
        <v>2678400</v>
      </c>
      <c r="C39" s="26">
        <v>1</v>
      </c>
      <c r="D39" s="28"/>
      <c r="E39" s="45"/>
    </row>
    <row r="40" spans="1:5" ht="16.5" customHeight="1" x14ac:dyDescent="0.2">
      <c r="A40" s="24">
        <v>48000</v>
      </c>
      <c r="B40" s="25">
        <v>2376000</v>
      </c>
      <c r="C40" s="26">
        <v>1</v>
      </c>
      <c r="D40" s="28"/>
      <c r="E40" s="45"/>
    </row>
    <row r="41" spans="1:5" ht="16.5" customHeight="1" x14ac:dyDescent="0.2">
      <c r="A41" s="24">
        <v>48030</v>
      </c>
      <c r="B41" s="25">
        <v>2529600</v>
      </c>
      <c r="C41" s="26">
        <v>1</v>
      </c>
      <c r="D41" s="28"/>
      <c r="E41" s="45"/>
    </row>
    <row r="42" spans="1:5" ht="16.5" customHeight="1" x14ac:dyDescent="0.2">
      <c r="A42" s="24">
        <v>48061</v>
      </c>
      <c r="B42" s="25">
        <v>2752800</v>
      </c>
      <c r="C42" s="26">
        <v>1</v>
      </c>
      <c r="D42" s="28"/>
      <c r="E42" s="45"/>
    </row>
    <row r="43" spans="1:5" ht="16.5" customHeight="1" x14ac:dyDescent="0.2">
      <c r="A43" s="24">
        <v>48092</v>
      </c>
      <c r="B43" s="25">
        <v>2520000</v>
      </c>
      <c r="C43" s="26">
        <v>1</v>
      </c>
      <c r="D43" s="28"/>
      <c r="E43" s="45"/>
    </row>
    <row r="44" spans="1:5" ht="16.5" customHeight="1" x14ac:dyDescent="0.2">
      <c r="A44" s="24">
        <v>48122</v>
      </c>
      <c r="B44" s="25">
        <v>2752800</v>
      </c>
      <c r="C44" s="26">
        <v>1</v>
      </c>
      <c r="D44" s="28"/>
      <c r="E44" s="45"/>
    </row>
    <row r="45" spans="1:5" ht="16.5" customHeight="1" x14ac:dyDescent="0.2">
      <c r="A45" s="24">
        <v>48153</v>
      </c>
      <c r="B45" s="25">
        <v>2808000</v>
      </c>
      <c r="C45" s="26">
        <v>1</v>
      </c>
      <c r="D45" s="28"/>
      <c r="E45" s="45"/>
    </row>
    <row r="46" spans="1:5" ht="16.5" customHeight="1" x14ac:dyDescent="0.2">
      <c r="A46" s="24">
        <v>48183</v>
      </c>
      <c r="B46" s="25">
        <v>2752800</v>
      </c>
      <c r="C46" s="26">
        <v>1</v>
      </c>
      <c r="D46" s="28"/>
      <c r="E46" s="45"/>
    </row>
    <row r="47" spans="1:5" ht="16.5" customHeight="1" x14ac:dyDescent="0.2">
      <c r="A47" s="24">
        <v>48214</v>
      </c>
      <c r="B47" s="25">
        <v>2678400</v>
      </c>
      <c r="C47" s="26">
        <v>1</v>
      </c>
      <c r="D47" s="28"/>
      <c r="E47" s="45"/>
    </row>
    <row r="48" spans="1:5" ht="16.5" customHeight="1" x14ac:dyDescent="0.2">
      <c r="A48" s="24">
        <v>48245</v>
      </c>
      <c r="B48" s="25">
        <v>2644800</v>
      </c>
      <c r="C48" s="26">
        <v>1</v>
      </c>
      <c r="D48" s="28"/>
      <c r="E48" s="45"/>
    </row>
    <row r="49" spans="1:5" ht="16.5" customHeight="1" x14ac:dyDescent="0.2">
      <c r="A49" s="24">
        <v>48274</v>
      </c>
      <c r="B49" s="25">
        <v>2827200</v>
      </c>
      <c r="C49" s="26">
        <v>1</v>
      </c>
      <c r="D49" s="28"/>
      <c r="E49" s="45"/>
    </row>
    <row r="50" spans="1:5" ht="16.5" customHeight="1" x14ac:dyDescent="0.2">
      <c r="A50" s="24">
        <v>48305</v>
      </c>
      <c r="B50" s="25">
        <v>2808000</v>
      </c>
      <c r="C50" s="26">
        <v>1</v>
      </c>
      <c r="D50" s="28"/>
      <c r="E50" s="45"/>
    </row>
    <row r="51" spans="1:5" ht="16.5" customHeight="1" x14ac:dyDescent="0.2">
      <c r="A51" s="24">
        <v>48335</v>
      </c>
      <c r="B51" s="25">
        <v>2752800</v>
      </c>
      <c r="C51" s="26">
        <v>1</v>
      </c>
      <c r="D51" s="28"/>
      <c r="E51" s="45"/>
    </row>
    <row r="52" spans="1:5" ht="16.5" customHeight="1" x14ac:dyDescent="0.2">
      <c r="A52" s="24">
        <v>48366</v>
      </c>
      <c r="B52" s="25">
        <v>2448000</v>
      </c>
      <c r="C52" s="26">
        <v>1</v>
      </c>
      <c r="D52" s="28"/>
      <c r="E52" s="45"/>
    </row>
    <row r="53" spans="1:5" ht="16.5" customHeight="1" x14ac:dyDescent="0.2">
      <c r="A53" s="24">
        <v>48396</v>
      </c>
      <c r="B53" s="25">
        <v>2604000</v>
      </c>
      <c r="C53" s="26">
        <v>1</v>
      </c>
      <c r="D53" s="28"/>
      <c r="E53" s="45"/>
    </row>
    <row r="54" spans="1:5" ht="16.5" customHeight="1" x14ac:dyDescent="0.2">
      <c r="A54" s="24">
        <v>48427</v>
      </c>
      <c r="B54" s="25">
        <v>2827200</v>
      </c>
      <c r="C54" s="26">
        <v>1</v>
      </c>
      <c r="D54" s="28"/>
      <c r="E54" s="45"/>
    </row>
    <row r="55" spans="1:5" ht="16.5" customHeight="1" x14ac:dyDescent="0.2">
      <c r="A55" s="24">
        <v>48458</v>
      </c>
      <c r="B55" s="25">
        <v>2592000</v>
      </c>
      <c r="C55" s="26">
        <v>1</v>
      </c>
      <c r="D55" s="28"/>
      <c r="E55" s="45"/>
    </row>
    <row r="56" spans="1:5" ht="16.5" customHeight="1" x14ac:dyDescent="0.2">
      <c r="A56" s="24">
        <v>48488</v>
      </c>
      <c r="B56" s="25">
        <v>2901600</v>
      </c>
      <c r="C56" s="26">
        <v>1</v>
      </c>
      <c r="D56" s="28"/>
      <c r="E56" s="45"/>
    </row>
    <row r="57" spans="1:5" ht="16.5" customHeight="1" x14ac:dyDescent="0.2">
      <c r="A57" s="24">
        <v>48519</v>
      </c>
      <c r="B57" s="25">
        <v>2880000</v>
      </c>
      <c r="C57" s="26">
        <v>1</v>
      </c>
      <c r="D57" s="28"/>
      <c r="E57" s="45"/>
    </row>
    <row r="58" spans="1:5" ht="16.5" customHeight="1" x14ac:dyDescent="0.2">
      <c r="A58" s="24">
        <v>48549</v>
      </c>
      <c r="B58" s="25">
        <v>2901600</v>
      </c>
      <c r="C58" s="26">
        <v>1</v>
      </c>
      <c r="D58" s="28"/>
      <c r="E58" s="45"/>
    </row>
    <row r="59" spans="1:5" ht="16.5" customHeight="1" x14ac:dyDescent="0.2">
      <c r="A59" s="24">
        <v>48580</v>
      </c>
      <c r="B59" s="25">
        <v>2752800</v>
      </c>
      <c r="C59" s="26">
        <v>1</v>
      </c>
      <c r="D59" s="28"/>
      <c r="E59" s="45"/>
    </row>
    <row r="60" spans="1:5" ht="16.5" customHeight="1" x14ac:dyDescent="0.2">
      <c r="A60" s="24">
        <v>48611</v>
      </c>
      <c r="B60" s="25">
        <v>2620800</v>
      </c>
      <c r="C60" s="26">
        <v>1</v>
      </c>
      <c r="D60" s="28"/>
      <c r="E60" s="45"/>
    </row>
    <row r="61" spans="1:5" ht="16.5" customHeight="1" x14ac:dyDescent="0.2">
      <c r="A61" s="24">
        <v>48639</v>
      </c>
      <c r="B61" s="25">
        <v>2901600</v>
      </c>
      <c r="C61" s="26">
        <v>1</v>
      </c>
      <c r="D61" s="28"/>
      <c r="E61" s="45"/>
    </row>
    <row r="62" spans="1:5" ht="16.5" customHeight="1" x14ac:dyDescent="0.2">
      <c r="A62" s="24">
        <v>48670</v>
      </c>
      <c r="B62" s="25">
        <v>2880000</v>
      </c>
      <c r="C62" s="26">
        <v>1</v>
      </c>
      <c r="D62" s="28"/>
      <c r="E62" s="45"/>
    </row>
    <row r="63" spans="1:5" ht="16.5" customHeight="1" x14ac:dyDescent="0.2">
      <c r="A63" s="24">
        <v>48700</v>
      </c>
      <c r="B63" s="25">
        <v>2827200</v>
      </c>
      <c r="C63" s="26">
        <v>1</v>
      </c>
      <c r="D63" s="28"/>
      <c r="E63" s="45"/>
    </row>
    <row r="64" spans="1:5" ht="16.5" customHeight="1" x14ac:dyDescent="0.2">
      <c r="A64" s="24">
        <v>48731</v>
      </c>
      <c r="B64" s="25">
        <v>2520000</v>
      </c>
      <c r="C64" s="26">
        <v>1</v>
      </c>
      <c r="D64" s="28"/>
      <c r="E64" s="45"/>
    </row>
    <row r="65" spans="1:5" ht="16.5" customHeight="1" x14ac:dyDescent="0.2">
      <c r="A65" s="24">
        <v>48761</v>
      </c>
      <c r="B65" s="25">
        <v>2678400</v>
      </c>
      <c r="C65" s="26">
        <v>1</v>
      </c>
      <c r="D65" s="28"/>
      <c r="E65" s="45"/>
    </row>
    <row r="66" spans="1:5" ht="16.5" customHeight="1" x14ac:dyDescent="0.2">
      <c r="A66" s="24">
        <v>48792</v>
      </c>
      <c r="B66" s="25">
        <v>2976000</v>
      </c>
      <c r="C66" s="26">
        <v>1</v>
      </c>
      <c r="D66" s="28"/>
      <c r="E66" s="45"/>
    </row>
    <row r="67" spans="1:5" ht="16.5" customHeight="1" x14ac:dyDescent="0.2">
      <c r="A67" s="24">
        <v>48823</v>
      </c>
      <c r="B67" s="25">
        <v>2664000</v>
      </c>
      <c r="C67" s="26">
        <v>1</v>
      </c>
      <c r="D67" s="28"/>
      <c r="E67" s="45"/>
    </row>
    <row r="68" spans="1:5" ht="16.5" customHeight="1" x14ac:dyDescent="0.2">
      <c r="A68" s="24">
        <v>48853</v>
      </c>
      <c r="B68" s="25">
        <v>2976000</v>
      </c>
      <c r="C68" s="26">
        <v>1</v>
      </c>
      <c r="D68" s="28"/>
      <c r="E68" s="45"/>
    </row>
    <row r="69" spans="1:5" ht="16.5" customHeight="1" x14ac:dyDescent="0.2">
      <c r="A69" s="24">
        <v>48884</v>
      </c>
      <c r="B69" s="25">
        <v>2952000</v>
      </c>
      <c r="C69" s="26">
        <v>1</v>
      </c>
      <c r="D69" s="28"/>
      <c r="E69" s="45"/>
    </row>
    <row r="70" spans="1:5" ht="16.5" customHeight="1" thickBot="1" x14ac:dyDescent="0.25">
      <c r="A70" s="24">
        <v>48914</v>
      </c>
      <c r="B70" s="29">
        <v>2976000</v>
      </c>
      <c r="C70" s="26">
        <v>1</v>
      </c>
      <c r="D70" s="28"/>
      <c r="E70" s="45"/>
    </row>
    <row r="71" spans="1:5" ht="13.5" thickBot="1" x14ac:dyDescent="0.25">
      <c r="A71" s="30" t="s">
        <v>40</v>
      </c>
      <c r="B71" s="31">
        <f>SUM(B11:B70)</f>
        <v>159211200</v>
      </c>
      <c r="C71" s="32"/>
      <c r="D71" s="33"/>
      <c r="E71" s="34"/>
    </row>
    <row r="72" spans="1:5" ht="60" customHeight="1" thickBot="1" x14ac:dyDescent="0.25">
      <c r="A72" s="46"/>
      <c r="B72" s="46"/>
      <c r="C72" s="46"/>
      <c r="D72" s="35"/>
      <c r="E72" s="35"/>
    </row>
    <row r="73" spans="1:5" x14ac:dyDescent="0.2">
      <c r="A73" s="36" t="s">
        <v>41</v>
      </c>
      <c r="B73" s="36"/>
    </row>
    <row r="74" spans="1:5" x14ac:dyDescent="0.2">
      <c r="A74" s="47" t="s">
        <v>42</v>
      </c>
      <c r="B74" s="47"/>
    </row>
    <row r="75" spans="1:5" x14ac:dyDescent="0.2">
      <c r="B75" s="37"/>
    </row>
  </sheetData>
  <mergeCells count="12">
    <mergeCell ref="A2:E2"/>
    <mergeCell ref="A3:E3"/>
    <mergeCell ref="A4:E4"/>
    <mergeCell ref="A5:E5"/>
    <mergeCell ref="A6:E6"/>
    <mergeCell ref="E11:E70"/>
    <mergeCell ref="A72:C72"/>
    <mergeCell ref="A74:B74"/>
    <mergeCell ref="A7:A9"/>
    <mergeCell ref="B7:B8"/>
    <mergeCell ref="C7:E7"/>
    <mergeCell ref="C8:E8"/>
  </mergeCells>
  <printOptions horizontalCentered="1" verticalCentered="1"/>
  <pageMargins left="0.98425196850393704" right="0.98425196850393704" top="1.3779527559055118" bottom="1.3779527559055118" header="0.70866141732283472" footer="0.51181102362204722"/>
  <pageSetup scale="4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BE7A-EC3D-4E9C-A99D-339BC65FCC01}">
  <sheetPr filterMode="1"/>
  <dimension ref="D3:L487"/>
  <sheetViews>
    <sheetView topLeftCell="A443" workbookViewId="0">
      <selection activeCell="H485" sqref="H485"/>
    </sheetView>
  </sheetViews>
  <sheetFormatPr baseColWidth="10" defaultRowHeight="15" x14ac:dyDescent="0.25"/>
  <cols>
    <col min="1" max="16384" width="11.42578125" style="2"/>
  </cols>
  <sheetData>
    <row r="3" spans="4:5" x14ac:dyDescent="0.25">
      <c r="D3" s="1">
        <v>3300</v>
      </c>
      <c r="E3" s="2">
        <v>1643216</v>
      </c>
    </row>
    <row r="4" spans="4:5" hidden="1" x14ac:dyDescent="0.25">
      <c r="D4"/>
    </row>
    <row r="5" spans="4:5" hidden="1" x14ac:dyDescent="0.25">
      <c r="D5"/>
    </row>
    <row r="6" spans="4:5" x14ac:dyDescent="0.25">
      <c r="D6" s="1">
        <v>3500</v>
      </c>
      <c r="E6" s="2">
        <v>1360124</v>
      </c>
    </row>
    <row r="7" spans="4:5" hidden="1" x14ac:dyDescent="0.25">
      <c r="D7"/>
    </row>
    <row r="8" spans="4:5" hidden="1" x14ac:dyDescent="0.25">
      <c r="D8"/>
    </row>
    <row r="9" spans="4:5" x14ac:dyDescent="0.25">
      <c r="D9" s="1">
        <v>3500</v>
      </c>
      <c r="E9" s="2">
        <v>1356455</v>
      </c>
    </row>
    <row r="10" spans="4:5" hidden="1" x14ac:dyDescent="0.25">
      <c r="D10"/>
    </row>
    <row r="11" spans="4:5" hidden="1" x14ac:dyDescent="0.25">
      <c r="D11"/>
    </row>
    <row r="12" spans="4:5" x14ac:dyDescent="0.25">
      <c r="D12" s="1">
        <v>3600</v>
      </c>
      <c r="E12" s="2">
        <v>1413080</v>
      </c>
    </row>
    <row r="13" spans="4:5" hidden="1" x14ac:dyDescent="0.25">
      <c r="D13"/>
    </row>
    <row r="14" spans="4:5" hidden="1" x14ac:dyDescent="0.25">
      <c r="D14"/>
    </row>
    <row r="15" spans="4:5" x14ac:dyDescent="0.25">
      <c r="D15" s="1">
        <v>3400</v>
      </c>
      <c r="E15" s="2">
        <v>1372735</v>
      </c>
    </row>
    <row r="16" spans="4:5" hidden="1" x14ac:dyDescent="0.25">
      <c r="D16"/>
    </row>
    <row r="17" spans="4:5" hidden="1" x14ac:dyDescent="0.25">
      <c r="D17"/>
    </row>
    <row r="18" spans="4:5" x14ac:dyDescent="0.25">
      <c r="D18" s="1">
        <v>3100</v>
      </c>
      <c r="E18" s="2">
        <v>1296190</v>
      </c>
    </row>
    <row r="19" spans="4:5" hidden="1" x14ac:dyDescent="0.25">
      <c r="D19"/>
    </row>
    <row r="20" spans="4:5" hidden="1" x14ac:dyDescent="0.25">
      <c r="D20"/>
    </row>
    <row r="21" spans="4:5" x14ac:dyDescent="0.25">
      <c r="D21" s="1">
        <v>3200</v>
      </c>
      <c r="E21" s="2">
        <v>1422313</v>
      </c>
    </row>
    <row r="22" spans="4:5" hidden="1" x14ac:dyDescent="0.25">
      <c r="D22"/>
    </row>
    <row r="23" spans="4:5" hidden="1" x14ac:dyDescent="0.25">
      <c r="D23"/>
    </row>
    <row r="24" spans="4:5" x14ac:dyDescent="0.25">
      <c r="D24" s="1">
        <v>3500</v>
      </c>
      <c r="E24" s="2">
        <v>1485779</v>
      </c>
    </row>
    <row r="25" spans="4:5" hidden="1" x14ac:dyDescent="0.25">
      <c r="D25"/>
    </row>
    <row r="26" spans="4:5" hidden="1" x14ac:dyDescent="0.25">
      <c r="D26"/>
    </row>
    <row r="27" spans="4:5" x14ac:dyDescent="0.25">
      <c r="D27" s="1">
        <v>3300</v>
      </c>
      <c r="E27" s="2">
        <v>1673260</v>
      </c>
    </row>
    <row r="28" spans="4:5" hidden="1" x14ac:dyDescent="0.25">
      <c r="D28"/>
    </row>
    <row r="29" spans="4:5" hidden="1" x14ac:dyDescent="0.25">
      <c r="D29"/>
    </row>
    <row r="30" spans="4:5" x14ac:dyDescent="0.25">
      <c r="D30" s="1">
        <v>3500</v>
      </c>
      <c r="E30" s="2">
        <v>1704809</v>
      </c>
    </row>
    <row r="31" spans="4:5" hidden="1" x14ac:dyDescent="0.25">
      <c r="D31"/>
    </row>
    <row r="32" spans="4:5" hidden="1" x14ac:dyDescent="0.25">
      <c r="D32"/>
    </row>
    <row r="33" spans="4:5" x14ac:dyDescent="0.25">
      <c r="D33" s="1">
        <v>3700</v>
      </c>
      <c r="E33" s="2">
        <v>1359040</v>
      </c>
    </row>
    <row r="34" spans="4:5" hidden="1" x14ac:dyDescent="0.25">
      <c r="D34"/>
    </row>
    <row r="35" spans="4:5" hidden="1" x14ac:dyDescent="0.25">
      <c r="D35"/>
    </row>
    <row r="36" spans="4:5" x14ac:dyDescent="0.25">
      <c r="D36" s="1">
        <v>3500</v>
      </c>
      <c r="E36" s="2">
        <v>1452725</v>
      </c>
    </row>
    <row r="37" spans="4:5" hidden="1" x14ac:dyDescent="0.25">
      <c r="D37"/>
    </row>
    <row r="38" spans="4:5" hidden="1" x14ac:dyDescent="0.25">
      <c r="D38"/>
    </row>
    <row r="39" spans="4:5" x14ac:dyDescent="0.25">
      <c r="D39" s="1">
        <v>3400</v>
      </c>
      <c r="E39" s="2">
        <v>1691507</v>
      </c>
    </row>
    <row r="40" spans="4:5" hidden="1" x14ac:dyDescent="0.25">
      <c r="D40"/>
    </row>
    <row r="41" spans="4:5" hidden="1" x14ac:dyDescent="0.25">
      <c r="D41"/>
    </row>
    <row r="42" spans="4:5" x14ac:dyDescent="0.25">
      <c r="D42" s="1">
        <v>3600</v>
      </c>
      <c r="E42" s="2">
        <v>1404056</v>
      </c>
    </row>
    <row r="43" spans="4:5" hidden="1" x14ac:dyDescent="0.25">
      <c r="D43"/>
    </row>
    <row r="44" spans="4:5" hidden="1" x14ac:dyDescent="0.25">
      <c r="D44"/>
    </row>
    <row r="45" spans="4:5" x14ac:dyDescent="0.25">
      <c r="D45" s="1">
        <v>3600</v>
      </c>
      <c r="E45" s="2">
        <v>1410085</v>
      </c>
    </row>
    <row r="46" spans="4:5" hidden="1" x14ac:dyDescent="0.25">
      <c r="D46"/>
    </row>
    <row r="47" spans="4:5" hidden="1" x14ac:dyDescent="0.25">
      <c r="D47"/>
    </row>
    <row r="48" spans="4:5" x14ac:dyDescent="0.25">
      <c r="D48" s="1">
        <v>3700</v>
      </c>
      <c r="E48" s="2">
        <v>1458266</v>
      </c>
    </row>
    <row r="49" spans="4:5" hidden="1" x14ac:dyDescent="0.25">
      <c r="D49"/>
    </row>
    <row r="50" spans="4:5" hidden="1" x14ac:dyDescent="0.25">
      <c r="D50"/>
    </row>
    <row r="51" spans="4:5" x14ac:dyDescent="0.25">
      <c r="D51" s="1">
        <v>3500</v>
      </c>
      <c r="E51" s="2">
        <v>1420632</v>
      </c>
    </row>
    <row r="52" spans="4:5" hidden="1" x14ac:dyDescent="0.25">
      <c r="D52"/>
    </row>
    <row r="53" spans="4:5" hidden="1" x14ac:dyDescent="0.25">
      <c r="D53"/>
    </row>
    <row r="54" spans="4:5" x14ac:dyDescent="0.25">
      <c r="D54" s="1">
        <v>3200</v>
      </c>
      <c r="E54" s="2">
        <v>1324885</v>
      </c>
    </row>
    <row r="55" spans="4:5" hidden="1" x14ac:dyDescent="0.25">
      <c r="D55"/>
    </row>
    <row r="56" spans="4:5" hidden="1" x14ac:dyDescent="0.25">
      <c r="D56"/>
    </row>
    <row r="57" spans="4:5" x14ac:dyDescent="0.25">
      <c r="D57" s="1">
        <v>3300</v>
      </c>
      <c r="E57" s="2">
        <v>1480970</v>
      </c>
    </row>
    <row r="58" spans="4:5" hidden="1" x14ac:dyDescent="0.25">
      <c r="D58"/>
    </row>
    <row r="59" spans="4:5" hidden="1" x14ac:dyDescent="0.25">
      <c r="D59"/>
    </row>
    <row r="60" spans="4:5" x14ac:dyDescent="0.25">
      <c r="D60" s="1">
        <v>3600</v>
      </c>
      <c r="E60" s="2">
        <v>1536960</v>
      </c>
    </row>
    <row r="61" spans="4:5" hidden="1" x14ac:dyDescent="0.25">
      <c r="D61"/>
    </row>
    <row r="62" spans="4:5" hidden="1" x14ac:dyDescent="0.25">
      <c r="D62"/>
    </row>
    <row r="63" spans="4:5" x14ac:dyDescent="0.25">
      <c r="D63" s="1">
        <v>3400</v>
      </c>
      <c r="E63" s="2">
        <v>1718653</v>
      </c>
    </row>
    <row r="64" spans="4:5" hidden="1" x14ac:dyDescent="0.25">
      <c r="D64"/>
    </row>
    <row r="65" spans="4:5" hidden="1" x14ac:dyDescent="0.25">
      <c r="D65"/>
    </row>
    <row r="66" spans="4:5" x14ac:dyDescent="0.25">
      <c r="D66" s="1">
        <v>3600</v>
      </c>
      <c r="E66" s="2">
        <v>1759445</v>
      </c>
    </row>
    <row r="67" spans="4:5" hidden="1" x14ac:dyDescent="0.25">
      <c r="D67"/>
    </row>
    <row r="68" spans="4:5" hidden="1" x14ac:dyDescent="0.25">
      <c r="D68"/>
    </row>
    <row r="69" spans="4:5" x14ac:dyDescent="0.25">
      <c r="D69" s="1">
        <v>3800</v>
      </c>
      <c r="E69" s="2">
        <v>1402126</v>
      </c>
    </row>
    <row r="70" spans="4:5" hidden="1" x14ac:dyDescent="0.25">
      <c r="D70"/>
    </row>
    <row r="71" spans="4:5" hidden="1" x14ac:dyDescent="0.25">
      <c r="D71"/>
    </row>
    <row r="72" spans="4:5" x14ac:dyDescent="0.25">
      <c r="D72" s="1">
        <v>3600</v>
      </c>
      <c r="E72" s="2">
        <v>1508997</v>
      </c>
    </row>
    <row r="73" spans="4:5" hidden="1" x14ac:dyDescent="0.25">
      <c r="D73"/>
    </row>
    <row r="74" spans="4:5" hidden="1" x14ac:dyDescent="0.25">
      <c r="D74"/>
    </row>
    <row r="75" spans="4:5" x14ac:dyDescent="0.25">
      <c r="D75" s="1">
        <v>3500</v>
      </c>
      <c r="E75" s="2">
        <v>1743588</v>
      </c>
    </row>
    <row r="76" spans="4:5" hidden="1" x14ac:dyDescent="0.25">
      <c r="D76"/>
    </row>
    <row r="77" spans="4:5" hidden="1" x14ac:dyDescent="0.25">
      <c r="D77"/>
    </row>
    <row r="78" spans="4:5" x14ac:dyDescent="0.25">
      <c r="D78" s="1">
        <v>3700</v>
      </c>
      <c r="E78" s="2">
        <v>1451432</v>
      </c>
    </row>
    <row r="79" spans="4:5" hidden="1" x14ac:dyDescent="0.25">
      <c r="D79"/>
    </row>
    <row r="80" spans="4:5" hidden="1" x14ac:dyDescent="0.25">
      <c r="D80"/>
    </row>
    <row r="81" spans="4:5" x14ac:dyDescent="0.25">
      <c r="D81" s="1">
        <v>3700</v>
      </c>
      <c r="E81" s="2">
        <v>1458153</v>
      </c>
    </row>
    <row r="82" spans="4:5" hidden="1" x14ac:dyDescent="0.25">
      <c r="D82"/>
    </row>
    <row r="83" spans="4:5" hidden="1" x14ac:dyDescent="0.25">
      <c r="D83"/>
    </row>
    <row r="84" spans="4:5" x14ac:dyDescent="0.25">
      <c r="D84" s="1">
        <v>3800</v>
      </c>
      <c r="E84" s="2">
        <v>1509748</v>
      </c>
    </row>
    <row r="85" spans="4:5" hidden="1" x14ac:dyDescent="0.25">
      <c r="D85"/>
    </row>
    <row r="86" spans="4:5" hidden="1" x14ac:dyDescent="0.25">
      <c r="D86"/>
    </row>
    <row r="87" spans="4:5" x14ac:dyDescent="0.25">
      <c r="D87" s="1">
        <v>3600</v>
      </c>
      <c r="E87" s="2">
        <v>1456690</v>
      </c>
    </row>
    <row r="88" spans="4:5" hidden="1" x14ac:dyDescent="0.25">
      <c r="D88"/>
    </row>
    <row r="89" spans="4:5" hidden="1" x14ac:dyDescent="0.25">
      <c r="D89"/>
    </row>
    <row r="90" spans="4:5" x14ac:dyDescent="0.25">
      <c r="D90" s="1">
        <v>3300</v>
      </c>
      <c r="E90" s="2">
        <v>1356476</v>
      </c>
    </row>
    <row r="91" spans="4:5" hidden="1" x14ac:dyDescent="0.25">
      <c r="D91"/>
    </row>
    <row r="92" spans="4:5" hidden="1" x14ac:dyDescent="0.25">
      <c r="D92"/>
    </row>
    <row r="93" spans="4:5" x14ac:dyDescent="0.25">
      <c r="D93" s="1">
        <v>3400</v>
      </c>
      <c r="E93" s="2">
        <v>1546195</v>
      </c>
    </row>
    <row r="94" spans="4:5" hidden="1" x14ac:dyDescent="0.25">
      <c r="D94"/>
    </row>
    <row r="95" spans="4:5" hidden="1" x14ac:dyDescent="0.25">
      <c r="D95"/>
    </row>
    <row r="96" spans="4:5" x14ac:dyDescent="0.25">
      <c r="D96" s="1">
        <v>3700</v>
      </c>
      <c r="E96" s="2">
        <v>1577224</v>
      </c>
    </row>
    <row r="97" spans="4:5" hidden="1" x14ac:dyDescent="0.25">
      <c r="D97"/>
    </row>
    <row r="98" spans="4:5" hidden="1" x14ac:dyDescent="0.25">
      <c r="D98"/>
    </row>
    <row r="99" spans="4:5" x14ac:dyDescent="0.25">
      <c r="D99" s="1">
        <v>3500</v>
      </c>
      <c r="E99" s="2">
        <v>1790622</v>
      </c>
    </row>
    <row r="100" spans="4:5" hidden="1" x14ac:dyDescent="0.25">
      <c r="D100"/>
    </row>
    <row r="101" spans="4:5" hidden="1" x14ac:dyDescent="0.25">
      <c r="D101"/>
    </row>
    <row r="102" spans="4:5" x14ac:dyDescent="0.25">
      <c r="D102" s="1">
        <v>3700</v>
      </c>
      <c r="E102" s="2">
        <v>1818039</v>
      </c>
    </row>
    <row r="103" spans="4:5" hidden="1" x14ac:dyDescent="0.25">
      <c r="D103"/>
    </row>
    <row r="104" spans="4:5" hidden="1" x14ac:dyDescent="0.25">
      <c r="D104"/>
    </row>
    <row r="105" spans="4:5" x14ac:dyDescent="0.25">
      <c r="D105" s="1">
        <v>3900</v>
      </c>
      <c r="E105" s="2">
        <v>1441075</v>
      </c>
    </row>
    <row r="106" spans="4:5" hidden="1" x14ac:dyDescent="0.25">
      <c r="D106"/>
    </row>
    <row r="107" spans="4:5" hidden="1" x14ac:dyDescent="0.25">
      <c r="D107"/>
    </row>
    <row r="108" spans="4:5" x14ac:dyDescent="0.25">
      <c r="D108" s="1">
        <v>3700</v>
      </c>
      <c r="E108" s="2">
        <v>1560062</v>
      </c>
    </row>
    <row r="109" spans="4:5" hidden="1" x14ac:dyDescent="0.25">
      <c r="D109"/>
    </row>
    <row r="110" spans="4:5" hidden="1" x14ac:dyDescent="0.25">
      <c r="D110"/>
    </row>
    <row r="111" spans="4:5" x14ac:dyDescent="0.25">
      <c r="D111" s="1">
        <v>3600</v>
      </c>
      <c r="E111" s="2">
        <v>1791673</v>
      </c>
    </row>
    <row r="112" spans="4:5" hidden="1" x14ac:dyDescent="0.25">
      <c r="D112"/>
    </row>
    <row r="113" spans="4:5" hidden="1" x14ac:dyDescent="0.25">
      <c r="D113"/>
    </row>
    <row r="114" spans="4:5" x14ac:dyDescent="0.25">
      <c r="D114" s="1">
        <v>3800</v>
      </c>
      <c r="E114" s="2">
        <v>1548864</v>
      </c>
    </row>
    <row r="115" spans="4:5" hidden="1" x14ac:dyDescent="0.25">
      <c r="D115"/>
    </row>
    <row r="116" spans="4:5" hidden="1" x14ac:dyDescent="0.25">
      <c r="D116"/>
    </row>
    <row r="117" spans="4:5" x14ac:dyDescent="0.25">
      <c r="D117" s="1">
        <v>3800</v>
      </c>
      <c r="E117" s="2">
        <v>1508368</v>
      </c>
    </row>
    <row r="118" spans="4:5" hidden="1" x14ac:dyDescent="0.25">
      <c r="D118"/>
    </row>
    <row r="119" spans="4:5" hidden="1" x14ac:dyDescent="0.25">
      <c r="D119"/>
    </row>
    <row r="120" spans="4:5" x14ac:dyDescent="0.25">
      <c r="D120" s="1">
        <v>3900</v>
      </c>
      <c r="E120" s="2">
        <v>1571384</v>
      </c>
    </row>
    <row r="121" spans="4:5" hidden="1" x14ac:dyDescent="0.25">
      <c r="D121"/>
    </row>
    <row r="122" spans="4:5" hidden="1" x14ac:dyDescent="0.25">
      <c r="D122"/>
    </row>
    <row r="123" spans="4:5" x14ac:dyDescent="0.25">
      <c r="D123" s="1">
        <v>3700</v>
      </c>
      <c r="E123" s="2">
        <v>1500004</v>
      </c>
    </row>
    <row r="124" spans="4:5" hidden="1" x14ac:dyDescent="0.25">
      <c r="D124"/>
    </row>
    <row r="125" spans="4:5" hidden="1" x14ac:dyDescent="0.25">
      <c r="D125"/>
    </row>
    <row r="126" spans="4:5" x14ac:dyDescent="0.25">
      <c r="D126" s="1">
        <v>3400</v>
      </c>
      <c r="E126" s="2">
        <v>1412737</v>
      </c>
    </row>
    <row r="127" spans="4:5" hidden="1" x14ac:dyDescent="0.25">
      <c r="D127"/>
    </row>
    <row r="128" spans="4:5" hidden="1" x14ac:dyDescent="0.25">
      <c r="D128"/>
    </row>
    <row r="129" spans="4:5" x14ac:dyDescent="0.25">
      <c r="D129" s="1">
        <v>3500</v>
      </c>
      <c r="E129" s="2">
        <v>1560041</v>
      </c>
    </row>
    <row r="130" spans="4:5" hidden="1" x14ac:dyDescent="0.25">
      <c r="D130"/>
    </row>
    <row r="131" spans="4:5" hidden="1" x14ac:dyDescent="0.25">
      <c r="D131"/>
    </row>
    <row r="132" spans="4:5" x14ac:dyDescent="0.25">
      <c r="D132" s="1">
        <v>3800</v>
      </c>
      <c r="E132" s="2">
        <v>1626663</v>
      </c>
    </row>
    <row r="133" spans="4:5" hidden="1" x14ac:dyDescent="0.25">
      <c r="D133"/>
    </row>
    <row r="134" spans="4:5" hidden="1" x14ac:dyDescent="0.25">
      <c r="D134"/>
    </row>
    <row r="135" spans="4:5" x14ac:dyDescent="0.25">
      <c r="D135" s="1">
        <v>3600</v>
      </c>
      <c r="E135" s="2">
        <v>1848496</v>
      </c>
    </row>
    <row r="136" spans="4:5" hidden="1" x14ac:dyDescent="0.25">
      <c r="D136"/>
    </row>
    <row r="137" spans="4:5" hidden="1" x14ac:dyDescent="0.25">
      <c r="D137"/>
    </row>
    <row r="138" spans="4:5" x14ac:dyDescent="0.25">
      <c r="D138" s="1">
        <v>3900</v>
      </c>
      <c r="E138" s="2">
        <v>1778318</v>
      </c>
    </row>
    <row r="139" spans="4:5" hidden="1" x14ac:dyDescent="0.25">
      <c r="D139"/>
    </row>
    <row r="140" spans="4:5" hidden="1" x14ac:dyDescent="0.25">
      <c r="D140"/>
    </row>
    <row r="141" spans="4:5" x14ac:dyDescent="0.25">
      <c r="D141" s="1">
        <v>4000</v>
      </c>
      <c r="E141" s="2">
        <v>1516266</v>
      </c>
    </row>
    <row r="142" spans="4:5" hidden="1" x14ac:dyDescent="0.25">
      <c r="D142"/>
    </row>
    <row r="143" spans="4:5" hidden="1" x14ac:dyDescent="0.25">
      <c r="D143"/>
    </row>
    <row r="144" spans="4:5" x14ac:dyDescent="0.25">
      <c r="D144" s="1">
        <v>3900</v>
      </c>
      <c r="E144" s="2">
        <v>1545548</v>
      </c>
    </row>
    <row r="145" spans="4:5" hidden="1" x14ac:dyDescent="0.25">
      <c r="D145"/>
    </row>
    <row r="146" spans="4:5" hidden="1" x14ac:dyDescent="0.25">
      <c r="D146"/>
    </row>
    <row r="147" spans="4:5" x14ac:dyDescent="0.25">
      <c r="D147" s="1">
        <v>3700</v>
      </c>
      <c r="E147" s="2">
        <v>1845623</v>
      </c>
    </row>
    <row r="148" spans="4:5" hidden="1" x14ac:dyDescent="0.25">
      <c r="D148"/>
    </row>
    <row r="149" spans="4:5" hidden="1" x14ac:dyDescent="0.25">
      <c r="D149"/>
    </row>
    <row r="150" spans="4:5" x14ac:dyDescent="0.25">
      <c r="D150" s="1">
        <v>3900</v>
      </c>
      <c r="E150" s="2">
        <v>1557072</v>
      </c>
    </row>
    <row r="151" spans="4:5" hidden="1" x14ac:dyDescent="0.25">
      <c r="D151"/>
    </row>
    <row r="152" spans="4:5" hidden="1" x14ac:dyDescent="0.25">
      <c r="D152"/>
    </row>
    <row r="153" spans="4:5" x14ac:dyDescent="0.25">
      <c r="D153" s="1">
        <v>3900</v>
      </c>
      <c r="E153" s="2">
        <v>1584385</v>
      </c>
    </row>
    <row r="154" spans="4:5" hidden="1" x14ac:dyDescent="0.25">
      <c r="D154"/>
    </row>
    <row r="155" spans="4:5" hidden="1" x14ac:dyDescent="0.25">
      <c r="D155"/>
    </row>
    <row r="156" spans="4:5" x14ac:dyDescent="0.25">
      <c r="D156" s="1">
        <v>4000</v>
      </c>
      <c r="E156" s="2">
        <v>1624284</v>
      </c>
    </row>
    <row r="157" spans="4:5" hidden="1" x14ac:dyDescent="0.25">
      <c r="D157"/>
    </row>
    <row r="158" spans="4:5" hidden="1" x14ac:dyDescent="0.25">
      <c r="D158"/>
    </row>
    <row r="159" spans="4:5" x14ac:dyDescent="0.25">
      <c r="D159" s="1">
        <v>3800</v>
      </c>
      <c r="E159" s="2">
        <v>1564836</v>
      </c>
    </row>
    <row r="160" spans="4:5" hidden="1" x14ac:dyDescent="0.25">
      <c r="D160"/>
    </row>
    <row r="161" spans="4:5" hidden="1" x14ac:dyDescent="0.25">
      <c r="D161"/>
    </row>
    <row r="162" spans="4:5" x14ac:dyDescent="0.25">
      <c r="D162" s="1">
        <v>3500</v>
      </c>
      <c r="E162" s="2">
        <v>1450836</v>
      </c>
    </row>
    <row r="163" spans="4:5" hidden="1" x14ac:dyDescent="0.25">
      <c r="D163"/>
    </row>
    <row r="164" spans="4:5" hidden="1" x14ac:dyDescent="0.25">
      <c r="D164"/>
    </row>
    <row r="165" spans="4:5" x14ac:dyDescent="0.25">
      <c r="D165" s="1">
        <v>3600</v>
      </c>
      <c r="E165" s="2">
        <v>1595653</v>
      </c>
    </row>
    <row r="166" spans="4:5" hidden="1" x14ac:dyDescent="0.25">
      <c r="D166"/>
    </row>
    <row r="167" spans="4:5" hidden="1" x14ac:dyDescent="0.25">
      <c r="D167"/>
    </row>
    <row r="168" spans="4:5" x14ac:dyDescent="0.25">
      <c r="D168" s="1">
        <v>4000</v>
      </c>
      <c r="E168" s="2">
        <v>1639372</v>
      </c>
    </row>
    <row r="169" spans="4:5" hidden="1" x14ac:dyDescent="0.25">
      <c r="D169"/>
    </row>
    <row r="170" spans="4:5" hidden="1" x14ac:dyDescent="0.25">
      <c r="D170"/>
    </row>
    <row r="171" spans="4:5" x14ac:dyDescent="0.25">
      <c r="D171" s="1">
        <v>3700</v>
      </c>
      <c r="E171" s="2">
        <v>1909410</v>
      </c>
    </row>
    <row r="172" spans="4:5" hidden="1" x14ac:dyDescent="0.25">
      <c r="D172"/>
    </row>
    <row r="173" spans="4:5" hidden="1" x14ac:dyDescent="0.25">
      <c r="D173"/>
    </row>
    <row r="174" spans="4:5" x14ac:dyDescent="0.25">
      <c r="D174" s="1">
        <v>4000</v>
      </c>
      <c r="E174" s="2">
        <v>1844055</v>
      </c>
    </row>
    <row r="175" spans="4:5" hidden="1" x14ac:dyDescent="0.25">
      <c r="D175"/>
    </row>
    <row r="176" spans="4:5" hidden="1" x14ac:dyDescent="0.25">
      <c r="D176"/>
    </row>
    <row r="177" spans="4:5" x14ac:dyDescent="0.25">
      <c r="D177" s="1">
        <v>4100</v>
      </c>
      <c r="E177" s="2">
        <v>1575796</v>
      </c>
    </row>
    <row r="178" spans="4:5" hidden="1" x14ac:dyDescent="0.25">
      <c r="D178"/>
    </row>
    <row r="179" spans="4:5" hidden="1" x14ac:dyDescent="0.25">
      <c r="D179"/>
    </row>
    <row r="180" spans="4:5" x14ac:dyDescent="0.25">
      <c r="D180" s="1">
        <v>4000</v>
      </c>
      <c r="E180" s="2">
        <v>1605491</v>
      </c>
    </row>
    <row r="181" spans="4:5" hidden="1" x14ac:dyDescent="0.25"/>
    <row r="182" spans="4:5" hidden="1" x14ac:dyDescent="0.25"/>
    <row r="183" spans="4:5" hidden="1" x14ac:dyDescent="0.25"/>
    <row r="184" spans="4:5" hidden="1" x14ac:dyDescent="0.25"/>
    <row r="185" spans="4:5" hidden="1" x14ac:dyDescent="0.25"/>
    <row r="186" spans="4:5" hidden="1" x14ac:dyDescent="0.25"/>
    <row r="187" spans="4:5" hidden="1" x14ac:dyDescent="0.25"/>
    <row r="188" spans="4:5" hidden="1" x14ac:dyDescent="0.25"/>
    <row r="189" spans="4:5" hidden="1" x14ac:dyDescent="0.25"/>
    <row r="190" spans="4:5" hidden="1" x14ac:dyDescent="0.25"/>
    <row r="191" spans="4:5" hidden="1" x14ac:dyDescent="0.25"/>
    <row r="192" spans="4:5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spans="12:12" hidden="1" x14ac:dyDescent="0.25"/>
    <row r="274" spans="12:12" hidden="1" x14ac:dyDescent="0.25"/>
    <row r="275" spans="12:12" hidden="1" x14ac:dyDescent="0.25"/>
    <row r="276" spans="12:12" hidden="1" x14ac:dyDescent="0.25"/>
    <row r="277" spans="12:12" hidden="1" x14ac:dyDescent="0.25"/>
    <row r="278" spans="12:12" hidden="1" x14ac:dyDescent="0.25">
      <c r="L278" s="2">
        <v>1845623</v>
      </c>
    </row>
    <row r="279" spans="12:12" hidden="1" x14ac:dyDescent="0.25"/>
    <row r="280" spans="12:12" hidden="1" x14ac:dyDescent="0.25"/>
    <row r="281" spans="12:12" hidden="1" x14ac:dyDescent="0.25"/>
    <row r="282" spans="12:12" hidden="1" x14ac:dyDescent="0.25"/>
    <row r="283" spans="12:12" hidden="1" x14ac:dyDescent="0.25"/>
    <row r="284" spans="12:12" hidden="1" x14ac:dyDescent="0.25"/>
    <row r="285" spans="12:12" hidden="1" x14ac:dyDescent="0.25"/>
    <row r="286" spans="12:12" hidden="1" x14ac:dyDescent="0.25"/>
    <row r="287" spans="12:12" hidden="1" x14ac:dyDescent="0.25"/>
    <row r="288" spans="12:12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spans="5:5" hidden="1" x14ac:dyDescent="0.25"/>
    <row r="418" spans="5:5" hidden="1" x14ac:dyDescent="0.25"/>
    <row r="419" spans="5:5" hidden="1" x14ac:dyDescent="0.25"/>
    <row r="420" spans="5:5" hidden="1" x14ac:dyDescent="0.25"/>
    <row r="421" spans="5:5" hidden="1" x14ac:dyDescent="0.25"/>
    <row r="422" spans="5:5" hidden="1" x14ac:dyDescent="0.25"/>
    <row r="423" spans="5:5" hidden="1" x14ac:dyDescent="0.25"/>
    <row r="424" spans="5:5" hidden="1" x14ac:dyDescent="0.25"/>
    <row r="425" spans="5:5" hidden="1" x14ac:dyDescent="0.25"/>
    <row r="428" spans="5:5" x14ac:dyDescent="0.25">
      <c r="E428" s="2">
        <v>1643216</v>
      </c>
    </row>
    <row r="429" spans="5:5" x14ac:dyDescent="0.25">
      <c r="E429" s="2">
        <v>1360124</v>
      </c>
    </row>
    <row r="430" spans="5:5" x14ac:dyDescent="0.25">
      <c r="E430" s="2">
        <v>1356455</v>
      </c>
    </row>
    <row r="431" spans="5:5" x14ac:dyDescent="0.25">
      <c r="E431" s="2">
        <v>1413080</v>
      </c>
    </row>
    <row r="432" spans="5:5" x14ac:dyDescent="0.25">
      <c r="E432" s="2">
        <v>1372735</v>
      </c>
    </row>
    <row r="433" spans="5:5" x14ac:dyDescent="0.25">
      <c r="E433" s="2">
        <v>1296190</v>
      </c>
    </row>
    <row r="434" spans="5:5" x14ac:dyDescent="0.25">
      <c r="E434" s="2">
        <v>1422313</v>
      </c>
    </row>
    <row r="435" spans="5:5" x14ac:dyDescent="0.25">
      <c r="E435" s="2">
        <v>1485779</v>
      </c>
    </row>
    <row r="436" spans="5:5" x14ac:dyDescent="0.25">
      <c r="E436" s="2">
        <v>1673260</v>
      </c>
    </row>
    <row r="437" spans="5:5" x14ac:dyDescent="0.25">
      <c r="E437" s="2">
        <v>1704809</v>
      </c>
    </row>
    <row r="438" spans="5:5" x14ac:dyDescent="0.25">
      <c r="E438" s="2">
        <v>1359040</v>
      </c>
    </row>
    <row r="439" spans="5:5" x14ac:dyDescent="0.25">
      <c r="E439" s="2">
        <v>1452725</v>
      </c>
    </row>
    <row r="440" spans="5:5" x14ac:dyDescent="0.25">
      <c r="E440" s="2">
        <v>1691507</v>
      </c>
    </row>
    <row r="441" spans="5:5" x14ac:dyDescent="0.25">
      <c r="E441" s="2">
        <v>1404056</v>
      </c>
    </row>
    <row r="442" spans="5:5" x14ac:dyDescent="0.25">
      <c r="E442" s="2">
        <v>1410085</v>
      </c>
    </row>
    <row r="443" spans="5:5" x14ac:dyDescent="0.25">
      <c r="E443" s="2">
        <v>1458266</v>
      </c>
    </row>
    <row r="444" spans="5:5" x14ac:dyDescent="0.25">
      <c r="E444" s="2">
        <v>1420632</v>
      </c>
    </row>
    <row r="445" spans="5:5" x14ac:dyDescent="0.25">
      <c r="E445" s="2">
        <v>1324885</v>
      </c>
    </row>
    <row r="446" spans="5:5" x14ac:dyDescent="0.25">
      <c r="E446" s="2">
        <v>1480970</v>
      </c>
    </row>
    <row r="447" spans="5:5" x14ac:dyDescent="0.25">
      <c r="E447" s="2">
        <v>1536960</v>
      </c>
    </row>
    <row r="448" spans="5:5" x14ac:dyDescent="0.25">
      <c r="E448" s="2">
        <v>1718653</v>
      </c>
    </row>
    <row r="449" spans="5:5" x14ac:dyDescent="0.25">
      <c r="E449" s="2">
        <v>1759445</v>
      </c>
    </row>
    <row r="450" spans="5:5" x14ac:dyDescent="0.25">
      <c r="E450" s="2">
        <v>1402126</v>
      </c>
    </row>
    <row r="451" spans="5:5" x14ac:dyDescent="0.25">
      <c r="E451" s="2">
        <v>1508997</v>
      </c>
    </row>
    <row r="452" spans="5:5" x14ac:dyDescent="0.25">
      <c r="E452" s="2">
        <v>1743588</v>
      </c>
    </row>
    <row r="453" spans="5:5" x14ac:dyDescent="0.25">
      <c r="E453" s="2">
        <v>1451432</v>
      </c>
    </row>
    <row r="454" spans="5:5" x14ac:dyDescent="0.25">
      <c r="E454" s="2">
        <v>1458153</v>
      </c>
    </row>
    <row r="455" spans="5:5" x14ac:dyDescent="0.25">
      <c r="E455" s="2">
        <v>1509748</v>
      </c>
    </row>
    <row r="456" spans="5:5" x14ac:dyDescent="0.25">
      <c r="E456" s="2">
        <v>1456690</v>
      </c>
    </row>
    <row r="457" spans="5:5" x14ac:dyDescent="0.25">
      <c r="E457" s="2">
        <v>1356476</v>
      </c>
    </row>
    <row r="458" spans="5:5" x14ac:dyDescent="0.25">
      <c r="E458" s="2">
        <v>1546195</v>
      </c>
    </row>
    <row r="459" spans="5:5" x14ac:dyDescent="0.25">
      <c r="E459" s="2">
        <v>1577224</v>
      </c>
    </row>
    <row r="460" spans="5:5" x14ac:dyDescent="0.25">
      <c r="E460" s="2">
        <v>1790622</v>
      </c>
    </row>
    <row r="461" spans="5:5" x14ac:dyDescent="0.25">
      <c r="E461" s="2">
        <v>1818039</v>
      </c>
    </row>
    <row r="462" spans="5:5" x14ac:dyDescent="0.25">
      <c r="E462" s="2">
        <v>1441075</v>
      </c>
    </row>
    <row r="463" spans="5:5" x14ac:dyDescent="0.25">
      <c r="E463" s="2">
        <v>1560062</v>
      </c>
    </row>
    <row r="464" spans="5:5" x14ac:dyDescent="0.25">
      <c r="E464" s="2">
        <v>1791673</v>
      </c>
    </row>
    <row r="465" spans="5:5" x14ac:dyDescent="0.25">
      <c r="E465" s="2">
        <v>1548864</v>
      </c>
    </row>
    <row r="466" spans="5:5" x14ac:dyDescent="0.25">
      <c r="E466" s="2">
        <v>1508368</v>
      </c>
    </row>
    <row r="467" spans="5:5" x14ac:dyDescent="0.25">
      <c r="E467" s="2">
        <v>1571384</v>
      </c>
    </row>
    <row r="468" spans="5:5" x14ac:dyDescent="0.25">
      <c r="E468" s="2">
        <v>1500004</v>
      </c>
    </row>
    <row r="469" spans="5:5" x14ac:dyDescent="0.25">
      <c r="E469" s="2">
        <v>1412737</v>
      </c>
    </row>
    <row r="470" spans="5:5" x14ac:dyDescent="0.25">
      <c r="E470" s="2">
        <v>1560041</v>
      </c>
    </row>
    <row r="471" spans="5:5" x14ac:dyDescent="0.25">
      <c r="E471" s="2">
        <v>1626663</v>
      </c>
    </row>
    <row r="472" spans="5:5" x14ac:dyDescent="0.25">
      <c r="E472" s="2">
        <v>1848496</v>
      </c>
    </row>
    <row r="473" spans="5:5" x14ac:dyDescent="0.25">
      <c r="E473" s="2">
        <v>1778318</v>
      </c>
    </row>
    <row r="474" spans="5:5" x14ac:dyDescent="0.25">
      <c r="E474" s="2">
        <v>1516266</v>
      </c>
    </row>
    <row r="475" spans="5:5" x14ac:dyDescent="0.25">
      <c r="E475" s="2">
        <v>1545548</v>
      </c>
    </row>
    <row r="476" spans="5:5" x14ac:dyDescent="0.25">
      <c r="E476" s="2">
        <v>1845623</v>
      </c>
    </row>
    <row r="477" spans="5:5" x14ac:dyDescent="0.25">
      <c r="E477" s="2">
        <v>1557072</v>
      </c>
    </row>
    <row r="478" spans="5:5" x14ac:dyDescent="0.25">
      <c r="E478" s="2">
        <v>1584385</v>
      </c>
    </row>
    <row r="479" spans="5:5" x14ac:dyDescent="0.25">
      <c r="E479" s="2">
        <v>1624284</v>
      </c>
    </row>
    <row r="480" spans="5:5" x14ac:dyDescent="0.25">
      <c r="E480" s="2">
        <v>1564836</v>
      </c>
    </row>
    <row r="481" spans="5:5" x14ac:dyDescent="0.25">
      <c r="E481" s="2">
        <v>1450836</v>
      </c>
    </row>
    <row r="482" spans="5:5" x14ac:dyDescent="0.25">
      <c r="E482" s="2">
        <v>1595653</v>
      </c>
    </row>
    <row r="483" spans="5:5" x14ac:dyDescent="0.25">
      <c r="E483" s="2">
        <v>1639372</v>
      </c>
    </row>
    <row r="484" spans="5:5" x14ac:dyDescent="0.25">
      <c r="E484" s="2">
        <v>1909410</v>
      </c>
    </row>
    <row r="485" spans="5:5" x14ac:dyDescent="0.25">
      <c r="E485" s="2">
        <v>1844055</v>
      </c>
    </row>
    <row r="486" spans="5:5" x14ac:dyDescent="0.25">
      <c r="E486" s="2">
        <v>1575796</v>
      </c>
    </row>
    <row r="487" spans="5:5" x14ac:dyDescent="0.25">
      <c r="E487" s="2">
        <v>1605491</v>
      </c>
    </row>
  </sheetData>
  <autoFilter ref="E3:E425" xr:uid="{6611BE7A-EC3D-4E9C-A99D-339BC65FCC01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Plana 2029-2033 (2026-001)</vt:lpstr>
      <vt:lpstr>Cantidad maxima </vt:lpstr>
      <vt:lpstr>intermedio</vt:lpstr>
      <vt:lpstr>'Cantidad maxima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Subgerente Comercialización</dc:creator>
  <cp:lastModifiedBy>Subgerente Comercialización</cp:lastModifiedBy>
  <dcterms:created xsi:type="dcterms:W3CDTF">2025-06-06T15:17:24Z</dcterms:created>
  <dcterms:modified xsi:type="dcterms:W3CDTF">2026-01-22T15:10:23Z</dcterms:modified>
</cp:coreProperties>
</file>