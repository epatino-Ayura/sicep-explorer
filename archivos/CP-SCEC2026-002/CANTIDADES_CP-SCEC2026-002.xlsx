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Z:\Unidades compartidas\9. COMERCIALIZADORA\2. DOCUMENTOS OPERATIVOS\6. PLANEACIÓN\5. MEM\1. COMPRA ENERGÍA\0. SICEP\CP-SCEC2026-002\Pliegos definitivos\"/>
    </mc:Choice>
  </mc:AlternateContent>
  <xr:revisionPtr revIDLastSave="0" documentId="8_{F6083BC8-4391-4173-9A3D-4F0DA284B0B4}" xr6:coauthVersionLast="47" xr6:coauthVersionMax="47" xr10:uidLastSave="{00000000-0000-0000-0000-000000000000}"/>
  <bookViews>
    <workbookView xWindow="-28910" yWindow="-90" windowWidth="29020" windowHeight="15700" tabRatio="923" xr2:uid="{00000000-000D-0000-FFFF-FFFF00000000}"/>
  </bookViews>
  <sheets>
    <sheet name="R-Producto 1" sheetId="45" r:id="rId1"/>
    <sheet name="Producto 1" sheetId="44" r:id="rId2"/>
    <sheet name="R-Producto 2" sheetId="46" r:id="rId3"/>
    <sheet name="Producto 2" sheetId="47" r:id="rId4"/>
  </sheets>
  <definedNames>
    <definedName name="_xlnm.Print_Area" localSheetId="1">'Producto 1'!$B$1:$AB$5</definedName>
    <definedName name="_xlnm.Print_Area" localSheetId="3">'Producto 2'!$B$1:$AB$5</definedName>
    <definedName name="_xlnm.Print_Area" localSheetId="0">'R-Producto 1'!$A$2:$I$34</definedName>
    <definedName name="_xlnm.Print_Area" localSheetId="2">'R-Producto 2'!$A$2:$I$22</definedName>
    <definedName name="Cuadr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5" l="1"/>
  <c r="F12" i="45"/>
  <c r="F13" i="45"/>
  <c r="F14" i="45"/>
  <c r="F15" i="45"/>
  <c r="F16" i="45"/>
  <c r="F17" i="45"/>
  <c r="F18" i="45"/>
  <c r="F19" i="45"/>
  <c r="F20" i="45"/>
  <c r="F21" i="45"/>
  <c r="F22" i="45"/>
  <c r="F23" i="45"/>
  <c r="F24" i="45"/>
  <c r="F25" i="45"/>
  <c r="F10" i="45"/>
  <c r="G26" i="45" s="1"/>
  <c r="AC17" i="47"/>
  <c r="C17" i="47"/>
  <c r="A17" i="47"/>
  <c r="B17" i="47" s="1"/>
  <c r="AC16" i="47"/>
  <c r="C16" i="47"/>
  <c r="A16" i="47"/>
  <c r="B16" i="47" s="1"/>
  <c r="AC15" i="47"/>
  <c r="C15" i="47"/>
  <c r="B15" i="47"/>
  <c r="A15" i="47"/>
  <c r="AC14" i="47"/>
  <c r="C14" i="47"/>
  <c r="A14" i="47"/>
  <c r="B14" i="47" s="1"/>
  <c r="AC13" i="47"/>
  <c r="C13" i="47"/>
  <c r="A13" i="47"/>
  <c r="B13" i="47" s="1"/>
  <c r="AC12" i="47"/>
  <c r="C12" i="47"/>
  <c r="A12" i="47"/>
  <c r="B12" i="47" s="1"/>
  <c r="AC11" i="47"/>
  <c r="C11" i="47"/>
  <c r="A11" i="47"/>
  <c r="B11" i="47" s="1"/>
  <c r="AC10" i="47"/>
  <c r="C10" i="47"/>
  <c r="B10" i="47"/>
  <c r="A10" i="47"/>
  <c r="AC9" i="47"/>
  <c r="C9" i="47"/>
  <c r="B9" i="47"/>
  <c r="A9" i="47"/>
  <c r="AC8" i="47"/>
  <c r="C8" i="47"/>
  <c r="A8" i="47"/>
  <c r="B8" i="47" s="1"/>
  <c r="AC7" i="47"/>
  <c r="C7" i="47"/>
  <c r="A7" i="47"/>
  <c r="B7" i="47" s="1"/>
  <c r="AC6" i="47"/>
  <c r="C6" i="47"/>
  <c r="A6" i="47"/>
  <c r="B6" i="47" s="1"/>
  <c r="B13" i="46"/>
  <c r="B12" i="46"/>
  <c r="B11" i="46"/>
  <c r="B10" i="46"/>
  <c r="AC6" i="44"/>
  <c r="AC7" i="44"/>
  <c r="AC8" i="44"/>
  <c r="AC9" i="44"/>
  <c r="AC10" i="44"/>
  <c r="AC11" i="44"/>
  <c r="AC12" i="44"/>
  <c r="AC13" i="44"/>
  <c r="AC14" i="44"/>
  <c r="AC15" i="44"/>
  <c r="AC16" i="44"/>
  <c r="AC17" i="44"/>
  <c r="AC18" i="44"/>
  <c r="AC19" i="44"/>
  <c r="AC20" i="44"/>
  <c r="AC21" i="44"/>
  <c r="AC22" i="44"/>
  <c r="AC23" i="44"/>
  <c r="AC24" i="44"/>
  <c r="AC25" i="44"/>
  <c r="AC26" i="44"/>
  <c r="AC27" i="44"/>
  <c r="AC28" i="44"/>
  <c r="AC29" i="44"/>
  <c r="AC30" i="44"/>
  <c r="AC31" i="44"/>
  <c r="AC32" i="44"/>
  <c r="AC33" i="44"/>
  <c r="AC34" i="44"/>
  <c r="AC35" i="44"/>
  <c r="AC36" i="44"/>
  <c r="AC37" i="44"/>
  <c r="AC38" i="44"/>
  <c r="AC39" i="44"/>
  <c r="AC40" i="44"/>
  <c r="AC41" i="44"/>
  <c r="AC42" i="44"/>
  <c r="AC43" i="44"/>
  <c r="AC44" i="44"/>
  <c r="AC45" i="44"/>
  <c r="AC46" i="44"/>
  <c r="AC47" i="44"/>
  <c r="AC48" i="44"/>
  <c r="AC49" i="44"/>
  <c r="AC50" i="44"/>
  <c r="AC51" i="44"/>
  <c r="AC52" i="44"/>
  <c r="AC53" i="44"/>
  <c r="C6" i="44" l="1"/>
  <c r="C7" i="44"/>
  <c r="C8" i="44"/>
  <c r="C9" i="44"/>
  <c r="C10" i="44"/>
  <c r="C11" i="44"/>
  <c r="C12" i="44"/>
  <c r="C13" i="44"/>
  <c r="C14" i="44"/>
  <c r="C15" i="44"/>
  <c r="C16" i="44"/>
  <c r="C17" i="44"/>
  <c r="C18" i="44"/>
  <c r="C19" i="44"/>
  <c r="C20" i="44"/>
  <c r="C21" i="44"/>
  <c r="C22" i="44"/>
  <c r="C23" i="44"/>
  <c r="C24" i="44"/>
  <c r="C25" i="44"/>
  <c r="C26" i="44"/>
  <c r="C27" i="44"/>
  <c r="C28" i="44"/>
  <c r="C29" i="44"/>
  <c r="C30" i="44"/>
  <c r="C31" i="44"/>
  <c r="C32" i="44"/>
  <c r="C33" i="44"/>
  <c r="C34" i="44"/>
  <c r="C35" i="44"/>
  <c r="C36" i="44"/>
  <c r="C37" i="44"/>
  <c r="C38" i="44"/>
  <c r="C39" i="44"/>
  <c r="C40" i="44"/>
  <c r="C41" i="44"/>
  <c r="C42" i="44"/>
  <c r="C43" i="44"/>
  <c r="C44" i="44"/>
  <c r="C45" i="44"/>
  <c r="C46" i="44"/>
  <c r="C47" i="44"/>
  <c r="C48" i="44"/>
  <c r="C49" i="44"/>
  <c r="C50" i="44"/>
  <c r="C51" i="44"/>
  <c r="C52" i="44"/>
  <c r="C53" i="44"/>
  <c r="B6" i="44"/>
  <c r="B7" i="44"/>
  <c r="B8" i="44"/>
  <c r="B9" i="44"/>
  <c r="B10" i="44"/>
  <c r="B11" i="44"/>
  <c r="B12" i="44"/>
  <c r="B13" i="44"/>
  <c r="B14" i="44"/>
  <c r="B15" i="44"/>
  <c r="B16" i="44"/>
  <c r="B17" i="44"/>
  <c r="B18" i="44"/>
  <c r="B19" i="44"/>
  <c r="B20" i="44"/>
  <c r="B21" i="44"/>
  <c r="B22" i="44"/>
  <c r="B23" i="44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B38" i="44"/>
  <c r="B39" i="44"/>
  <c r="B40" i="44"/>
  <c r="B41" i="44"/>
  <c r="B42" i="44"/>
  <c r="B43" i="44"/>
  <c r="B44" i="44"/>
  <c r="B45" i="44"/>
  <c r="B46" i="44"/>
  <c r="B47" i="44"/>
  <c r="B48" i="44"/>
  <c r="B49" i="44"/>
  <c r="B50" i="44"/>
  <c r="B51" i="44"/>
  <c r="B52" i="44"/>
  <c r="B53" i="44"/>
  <c r="D14" i="45" l="1"/>
  <c r="D13" i="46"/>
  <c r="F13" i="46" s="1"/>
  <c r="D12" i="46"/>
  <c r="F12" i="46" s="1"/>
  <c r="D18" i="45"/>
  <c r="D21" i="45"/>
  <c r="D24" i="45"/>
  <c r="D23" i="45"/>
  <c r="D22" i="45"/>
  <c r="D20" i="45"/>
  <c r="D16" i="45"/>
  <c r="D17" i="45"/>
  <c r="D15" i="45"/>
  <c r="D19" i="45"/>
  <c r="D25" i="45"/>
  <c r="D10" i="46" l="1"/>
  <c r="D11" i="46"/>
  <c r="F11" i="46" s="1"/>
  <c r="D11" i="45"/>
  <c r="D12" i="45"/>
  <c r="D10" i="45"/>
  <c r="D13" i="45"/>
  <c r="E26" i="45" l="1"/>
  <c r="E14" i="46"/>
  <c r="F10" i="46"/>
  <c r="D14" i="46"/>
  <c r="D26" i="45"/>
  <c r="G14" i="46" l="1"/>
  <c r="F14" i="46"/>
  <c r="F26" i="45"/>
</calcChain>
</file>

<file path=xl/sharedStrings.xml><?xml version="1.0" encoding="utf-8"?>
<sst xmlns="http://schemas.openxmlformats.org/spreadsheetml/2006/main" count="114" uniqueCount="63">
  <si>
    <t>Mes</t>
  </si>
  <si>
    <t>Dias\Horas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</si>
  <si>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</si>
  <si>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</si>
  <si>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</si>
  <si>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</si>
  <si>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</si>
  <si>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</si>
  <si>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</si>
  <si>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</si>
  <si>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</si>
  <si>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</si>
  <si>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</si>
  <si>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</si>
  <si>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</si>
  <si>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</si>
  <si>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</si>
  <si>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</si>
  <si>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</si>
  <si>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</si>
  <si>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</si>
  <si>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</si>
  <si>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</si>
  <si>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</si>
  <si>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</si>
  <si>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May</t>
  </si>
  <si>
    <t>Jun</t>
  </si>
  <si>
    <t>Jul</t>
  </si>
  <si>
    <t>MES</t>
  </si>
  <si>
    <t>NOMBRE DEL OFERENTE</t>
  </si>
  <si>
    <t>% E. Ofertado</t>
  </si>
  <si>
    <t>$/kWh</t>
  </si>
  <si>
    <t>AÑO</t>
  </si>
  <si>
    <t>PRODUCTO  1</t>
  </si>
  <si>
    <t>E. Solicitada
[kWh]</t>
  </si>
  <si>
    <t>E. Ofertada
[kWh]</t>
  </si>
  <si>
    <t xml:space="preserve"> - La tarifa ofertada debe tener dos decimales</t>
  </si>
  <si>
    <t xml:space="preserve"> PRECIOS Y CANTIDADES DE ENERGÍA OFERTADA</t>
  </si>
  <si>
    <t>Año</t>
  </si>
  <si>
    <t xml:space="preserve"> - El Tope Ofertado debe tener máximo dos decimales y corresponde al tope horario para cada hora del mes ofertado.</t>
  </si>
  <si>
    <t>Total</t>
  </si>
  <si>
    <t>N. Días</t>
  </si>
  <si>
    <t>TOTAL PRODUCTO</t>
  </si>
  <si>
    <t>SOL &amp; CIELO ENERGÍA SAS ESP</t>
  </si>
  <si>
    <t>HO1</t>
  </si>
  <si>
    <t>ANEXO 4 - CANTIDADES DE  ENERGÍA ESTIMADAS EN kWh</t>
  </si>
  <si>
    <t>Abr</t>
  </si>
  <si>
    <t>Feb</t>
  </si>
  <si>
    <t>Mar</t>
  </si>
  <si>
    <t>ANEXO 4 - OFERTAS PRODUCTO 1</t>
  </si>
  <si>
    <t xml:space="preserve"> - Por favor complete los campos naranja</t>
  </si>
  <si>
    <t>Ago</t>
  </si>
  <si>
    <t>Sep</t>
  </si>
  <si>
    <t>Oct</t>
  </si>
  <si>
    <t>Nov</t>
  </si>
  <si>
    <t>Dic</t>
  </si>
  <si>
    <t>Ene</t>
  </si>
  <si>
    <t>ANEXO 4 - OFERTAS PRODUCTO 2</t>
  </si>
  <si>
    <t>PRODUCTO  2</t>
  </si>
  <si>
    <t>PERIODO 2026-09-01 A 2026-12-31</t>
  </si>
  <si>
    <t>PERIODO 2026-09-01 A 2027-12-31</t>
  </si>
  <si>
    <t>PERIODO:  DE 1 SEPTIEMBRE 2026 A 31 DICIEMBRE 2027</t>
  </si>
  <si>
    <t>PERIODO:  DE 1 SEPTIEMBRE 2026 A 31 DICIEMBRE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</si>
</sst>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\ _€_-;\-* #,##0\ _€_-;_-* &quot;-&quot;\ _€_-;_-@_-"/>
    <numFmt numFmtId="166" formatCode="_-* #,##0.00\ _€_-;\-* #,##0.00\ _€_-;_-* &quot;-&quot;??\ _€_-;_-@_-"/>
    <numFmt numFmtId="167" formatCode="_(* #,##0.0_);_(* \(#,##0.0\);_(* &quot;-&quot;??_);_(@_)"/>
    <numFmt numFmtId="168" formatCode="_ * #,##0.00_ ;_ * \-#,##0.00_ ;_ * &quot;-&quot;??_ ;_ @_ "/>
    <numFmt numFmtId="170" formatCode="_-* #,##0.00\ _€_-;\-* #,##0.00\ _€_-;_-* &quot;-&quot;\ _€_-;_-@_-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8" fontId="4" fillId="0" borderId="0" applyFont="0" applyFill="0" applyBorder="0" applyAlignment="0" applyProtection="0"/>
    <xf numFmtId="0" fontId="10" fillId="2" borderId="0">
      <alignment horizontal="center" vertical="center"/>
    </xf>
    <xf numFmtId="0" fontId="10" fillId="2" borderId="0"/>
  </cellStyleXfs>
  <cellXfs count="52">
    <xf numFmtId="0" fontId="0" fillId="0" borderId="0" xfId="0"/>
    <xf numFmtId="167" fontId="6" fillId="0" borderId="0" xfId="1" applyNumberFormat="1" applyFont="1" applyFill="1" applyBorder="1" applyAlignment="1">
      <alignment horizontal="center"/>
    </xf>
    <xf numFmtId="0" fontId="6" fillId="0" borderId="0" xfId="3" applyFont="1"/>
    <xf numFmtId="0" fontId="6" fillId="0" borderId="0" xfId="0" applyFont="1"/>
    <xf numFmtId="166" fontId="6" fillId="0" borderId="0" xfId="1" applyFont="1" applyFill="1" applyBorder="1"/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/>
    <xf numFmtId="3" fontId="6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" fontId="9" fillId="0" borderId="5" xfId="0" applyNumberFormat="1" applyFont="1" applyBorder="1" applyAlignment="1">
      <alignment horizontal="center" vertical="center"/>
    </xf>
    <xf numFmtId="165" fontId="6" fillId="0" borderId="6" xfId="2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0" xfId="0" applyFont="1"/>
    <xf numFmtId="0" fontId="6" fillId="0" borderId="0" xfId="0" quotePrefix="1" applyFont="1"/>
    <xf numFmtId="165" fontId="6" fillId="0" borderId="0" xfId="0" applyNumberFormat="1" applyFont="1"/>
    <xf numFmtId="0" fontId="9" fillId="0" borderId="12" xfId="0" applyFont="1" applyBorder="1" applyAlignment="1">
      <alignment horizontal="center" vertical="center"/>
    </xf>
    <xf numFmtId="17" fontId="9" fillId="0" borderId="10" xfId="0" applyNumberFormat="1" applyFont="1" applyBorder="1" applyAlignment="1">
      <alignment horizontal="center" vertical="center"/>
    </xf>
    <xf numFmtId="165" fontId="6" fillId="0" borderId="11" xfId="0" applyNumberFormat="1" applyFont="1" applyBorder="1"/>
    <xf numFmtId="165" fontId="6" fillId="0" borderId="10" xfId="2" applyFont="1" applyFill="1" applyBorder="1" applyAlignment="1">
      <alignment horizontal="center" vertical="center"/>
    </xf>
    <xf numFmtId="165" fontId="6" fillId="0" borderId="14" xfId="2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10" fontId="6" fillId="0" borderId="9" xfId="4" applyNumberFormat="1" applyFont="1" applyFill="1" applyBorder="1" applyAlignment="1" applyProtection="1">
      <alignment horizontal="center" vertical="center"/>
      <protection locked="0"/>
    </xf>
    <xf numFmtId="3" fontId="6" fillId="3" borderId="0" xfId="0" applyNumberFormat="1" applyFont="1" applyFill="1" applyAlignment="1">
      <alignment horizontal="center"/>
    </xf>
    <xf numFmtId="166" fontId="6" fillId="3" borderId="15" xfId="1" applyFont="1" applyFill="1" applyBorder="1" applyAlignment="1" applyProtection="1">
      <alignment horizontal="center" vertical="center"/>
      <protection locked="0"/>
    </xf>
    <xf numFmtId="166" fontId="6" fillId="3" borderId="8" xfId="1" applyFont="1" applyFill="1" applyBorder="1" applyAlignment="1" applyProtection="1">
      <alignment horizontal="center" vertical="center"/>
      <protection locked="0"/>
    </xf>
    <xf numFmtId="10" fontId="6" fillId="3" borderId="1" xfId="1" applyNumberFormat="1" applyFont="1" applyFill="1" applyBorder="1" applyAlignment="1" applyProtection="1">
      <alignment horizontal="center" vertical="center"/>
      <protection locked="0"/>
    </xf>
    <xf numFmtId="10" fontId="6" fillId="3" borderId="15" xfId="1" applyNumberFormat="1" applyFont="1" applyFill="1" applyBorder="1" applyAlignment="1" applyProtection="1">
      <alignment horizontal="center" vertical="center"/>
      <protection locked="0"/>
    </xf>
    <xf numFmtId="10" fontId="6" fillId="3" borderId="8" xfId="1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3" borderId="0" xfId="0" applyFont="1" applyFill="1" applyAlignment="1" applyProtection="1">
      <alignment horizontal="center"/>
      <protection locked="0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65" fontId="6" fillId="0" borderId="17" xfId="2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10" fontId="6" fillId="0" borderId="19" xfId="4" applyNumberFormat="1" applyFont="1" applyFill="1" applyBorder="1" applyAlignment="1" applyProtection="1">
      <alignment horizontal="center" vertical="center"/>
      <protection locked="0"/>
    </xf>
    <xf numFmtId="10" fontId="6" fillId="3" borderId="16" xfId="1" applyNumberFormat="1" applyFont="1" applyFill="1" applyBorder="1" applyAlignment="1" applyProtection="1">
      <alignment vertical="center"/>
      <protection locked="0"/>
    </xf>
    <xf numFmtId="0" fontId="6" fillId="0" borderId="20" xfId="1" quotePrefix="1" applyNumberFormat="1" applyFont="1" applyFill="1" applyBorder="1" applyAlignment="1" applyProtection="1">
      <alignment horizontal="center" vertical="center"/>
      <protection locked="0"/>
    </xf>
    <xf numFmtId="166" fontId="6" fillId="3" borderId="16" xfId="1" applyFont="1" applyFill="1" applyBorder="1" applyAlignment="1" applyProtection="1">
      <alignment vertical="center"/>
      <protection locked="0"/>
    </xf>
    <xf numFmtId="166" fontId="6" fillId="3" borderId="16" xfId="1" applyFont="1" applyFill="1" applyBorder="1" applyAlignment="1" applyProtection="1">
      <alignment horizontal="center" vertical="center"/>
      <protection locked="0"/>
    </xf>
    <xf numFmtId="170" fontId="6" fillId="0" borderId="11" xfId="1" quotePrefix="1" applyNumberFormat="1" applyFont="1" applyFill="1" applyBorder="1" applyAlignment="1" applyProtection="1">
      <alignment horizontal="center" vertical="center"/>
      <protection locked="0"/>
    </xf>
  </cellXfs>
  <cellStyles count="16">
    <cellStyle name="EstiloLabel" xfId="14" xr:uid="{2C7BB463-02AA-496E-A847-06CD13D84712}"/>
    <cellStyle name="Millares" xfId="1" builtinId="3"/>
    <cellStyle name="Millares [0]" xfId="2" builtinId="6"/>
    <cellStyle name="Millares 2" xfId="7" xr:uid="{00000000-0005-0000-0000-000002000000}"/>
    <cellStyle name="Millares 3" xfId="9" xr:uid="{00000000-0005-0000-0000-000003000000}"/>
    <cellStyle name="Millares 4" xfId="13" xr:uid="{6DA14229-D450-4BCD-BD9A-9983C5C088F3}"/>
    <cellStyle name="Moneda 2" xfId="11" xr:uid="{D955DB16-FB66-42B4-A489-4764EC4A4088}"/>
    <cellStyle name="Normal" xfId="0" builtinId="0"/>
    <cellStyle name="Normal 2" xfId="3" xr:uid="{00000000-0005-0000-0000-000005000000}"/>
    <cellStyle name="Normal 2 2" xfId="12" xr:uid="{F7694215-9558-4456-A429-A7EDA9DC2E77}"/>
    <cellStyle name="Normal 3" xfId="5" xr:uid="{00000000-0005-0000-0000-000006000000}"/>
    <cellStyle name="Normal 4" xfId="8" xr:uid="{00000000-0005-0000-0000-000007000000}"/>
    <cellStyle name="Normal 5" xfId="10" xr:uid="{5DCFC1C1-8DB6-495A-8A3C-6EC3855601A8}"/>
    <cellStyle name="Porcentaje" xfId="4" builtinId="5"/>
    <cellStyle name="Porcentaje 2" xfId="6" xr:uid="{00000000-0005-0000-0000-000009000000}"/>
    <cellStyle name="SinEstilo" xfId="15" xr:uid="{7267CCE8-AE0D-4551-9D6A-1AD6FC2BA574}"/>
  </cellStyles>
  <dxfs count="62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.0_);_(* \(#,##0.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B8226-A19B-4A49-BA1D-E2B90CEAFCDE}" name="Tabla1" displayName="Tabla1" ref="A5:AC53" totalsRowShown="0" headerRowDxfId="61" dataDxfId="60" dataCellStyle="Millares">
  <autoFilter ref="A5:AC53" xr:uid="{623B8226-A19B-4A49-BA1D-E2B90CEAFCDE}"/>
  <tableColumns count="29">
    <tableColumn id="1" xr3:uid="{258FC7B1-AB2C-41E9-A4DA-A22C0F76CE93}" name="Año" dataDxfId="0" dataCellStyle="Normal 2">
      <calculatedColumnFormula>ROUNDDOWN((ROW()-6+3*7)/(12*3),0)+2026</calculatedColumnFormula>
    </tableColumn>
    <tableColumn id="2" xr3:uid="{2CFE93B2-E9F0-40B3-9CCD-741BDAA0874C}" name="Mes" dataDxfId="32">
      <calculatedColumnFormula>PROPER(TEXT(DATEVALUE("1/"&amp;MOD(ROUNDDOWN((ROW()-6+8*3)/3,0),12)+1&amp;"/"&amp;Tabla1[[#This Row],[Año]]),"mmm"))</calculatedColumnFormula>
    </tableColumn>
    <tableColumn id="3" xr3:uid="{1DF17EEE-269F-4ACD-9D0D-FC60933DE82B}" name="Dias\Horas" dataDxfId="59">
      <calculatedColumnFormula>CHOOSE(MOD(ROW()-6,3)+1,"Hábil","Sábado","Domingo y Festivo")</calculatedColumnFormula>
    </tableColumn>
    <tableColumn id="4" xr3:uid="{707697F8-85C2-425A-BE80-FD1CB5DE8B72}" name="HO1" dataDxfId="58" dataCellStyle="Millares"/>
    <tableColumn id="5" xr3:uid="{7C3DBE8F-9144-4ABE-A782-F1DADD14A57D}" name="HO2" dataDxfId="57" dataCellStyle="Millares"/>
    <tableColumn id="6" xr3:uid="{DC7A1BE4-942D-4028-A791-AFFB3557B890}" name="HO3" dataDxfId="56" dataCellStyle="Millares"/>
    <tableColumn id="7" xr3:uid="{05840084-9C8D-40A2-BF0D-745725769AF7}" name="HO4" dataDxfId="55" dataCellStyle="Millares"/>
    <tableColumn id="8" xr3:uid="{476F1D24-2E1C-4362-8D75-95E46A3A2D33}" name="HO5" dataDxfId="54" dataCellStyle="Millares"/>
    <tableColumn id="9" xr3:uid="{3BB499EE-3583-40F8-9F65-998958A70E32}" name="HO6" dataDxfId="53" dataCellStyle="Millares"/>
    <tableColumn id="10" xr3:uid="{D60A03BA-156A-48A3-8980-D9BA1B3EF120}" name="HO7" dataDxfId="52" dataCellStyle="Millares"/>
    <tableColumn id="11" xr3:uid="{F8F076C4-25CA-452E-8047-3659C4FAD26F}" name="HO8" dataDxfId="51" dataCellStyle="Millares"/>
    <tableColumn id="12" xr3:uid="{0FB7A36B-4B9B-43A6-8AF2-4886F888D32F}" name="HO9" dataDxfId="50" dataCellStyle="Millares"/>
    <tableColumn id="13" xr3:uid="{7A540E58-AA37-4C1B-88BD-BDEAA76B27CA}" name="H10" dataDxfId="49" dataCellStyle="Millares"/>
    <tableColumn id="14" xr3:uid="{9C4E1837-4D81-4890-B611-89CA84F202BE}" name="H11" dataDxfId="48" dataCellStyle="Millares"/>
    <tableColumn id="15" xr3:uid="{E2A592E3-3D92-4920-BE15-B3346115244D}" name="H12" dataDxfId="47" dataCellStyle="Millares"/>
    <tableColumn id="16" xr3:uid="{4D6B59C0-4646-4E66-A96F-6FDC070B829B}" name="H13" dataDxfId="46" dataCellStyle="Millares"/>
    <tableColumn id="17" xr3:uid="{F071DE44-637F-4744-B382-4E1444E479DE}" name="H14" dataDxfId="45" dataCellStyle="Millares"/>
    <tableColumn id="18" xr3:uid="{50D7028A-6057-4636-9612-C53729934B5E}" name="H15" dataDxfId="44" dataCellStyle="Millares"/>
    <tableColumn id="19" xr3:uid="{A01D35F9-A947-4D26-A92D-F864B52732A9}" name="H16" dataDxfId="43" dataCellStyle="Millares"/>
    <tableColumn id="20" xr3:uid="{79F6CB1F-0146-432F-83EF-BAF9DB2FD289}" name="H17" dataDxfId="42" dataCellStyle="Millares"/>
    <tableColumn id="21" xr3:uid="{CC508A62-EF3E-4686-B86B-F031627D9142}" name="H18" dataDxfId="41" dataCellStyle="Millares"/>
    <tableColumn id="22" xr3:uid="{2F6E929D-CE44-44B3-95DF-92412FAF3013}" name="H19" dataDxfId="40" dataCellStyle="Millares"/>
    <tableColumn id="23" xr3:uid="{AC79BE4C-94C7-44D1-BA95-949C6A4637F1}" name="H20" dataDxfId="39" dataCellStyle="Millares"/>
    <tableColumn id="24" xr3:uid="{FF587CCF-6B2E-4491-B88D-95E97D43BFDE}" name="H21" dataDxfId="38" dataCellStyle="Millares"/>
    <tableColumn id="25" xr3:uid="{FDBBB00F-B638-4DD4-AD11-447BC4227883}" name="H22" dataDxfId="37" dataCellStyle="Millares"/>
    <tableColumn id="26" xr3:uid="{D596B851-B005-48EB-AA3E-E6774E8E1A3B}" name="H23" dataDxfId="36" dataCellStyle="Millares"/>
    <tableColumn id="27" xr3:uid="{09883F07-BBE2-4693-8766-1F8C0694B6F5}" name="H24" dataDxfId="35" dataCellStyle="Millares"/>
    <tableColumn id="28" xr3:uid="{68465093-3698-4221-B23C-85C48A645668}" name="N. Días" dataDxfId="34"/>
    <tableColumn id="29" xr3:uid="{164E94B5-8FC1-41A8-97C2-57A01D3D4044}" name="Total" dataDxfId="33">
      <calculatedColumnFormula>AB6*SUM(D6:AA6)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6BFD0A-33F8-480C-A8F5-0D58DA0BD1AE}" name="Tabla13" displayName="Tabla13" ref="A5:AC17" totalsRowShown="0" headerRowDxfId="31" dataDxfId="30" dataCellStyle="Millares">
  <autoFilter ref="A5:AC17" xr:uid="{623B8226-A19B-4A49-BA1D-E2B90CEAFCDE}"/>
  <tableColumns count="29">
    <tableColumn id="1" xr3:uid="{3489C8E2-B9BE-4028-AF5A-7BF31AFAA433}" name="Año" dataDxfId="29" dataCellStyle="Normal 2">
      <calculatedColumnFormula>ROUNDDOWN((ROW()-6+3*7)/(12*3),0)+2026</calculatedColumnFormula>
    </tableColumn>
    <tableColumn id="2" xr3:uid="{F4754E04-06A1-4D4D-829D-BD500DF91D03}" name="Mes" dataDxfId="28">
      <calculatedColumnFormula>PROPER(TEXT(DATEVALUE("1/"&amp;MOD(ROUNDDOWN((ROW()-6+8*3)/3,0),12)+1&amp;"/"&amp;Tabla13[[#This Row],[Año]]),"mmm"))</calculatedColumnFormula>
    </tableColumn>
    <tableColumn id="3" xr3:uid="{B1DA12A8-A022-44AD-9DBE-15596B3D98CC}" name="Dias\Horas" dataDxfId="27">
      <calculatedColumnFormula>CHOOSE(MOD(ROW()-6,3)+1,"Hábil","Sábado","Domingo y Festivo")</calculatedColumnFormula>
    </tableColumn>
    <tableColumn id="4" xr3:uid="{A7B1AED1-9C3B-42AD-94FF-08E37CFBB2F0}" name="HO1" dataDxfId="26" dataCellStyle="Millares"/>
    <tableColumn id="5" xr3:uid="{2BE68036-3BBE-4822-9CD4-D2A9EF391BA4}" name="HO2" dataDxfId="25" dataCellStyle="Millares"/>
    <tableColumn id="6" xr3:uid="{A9617EE9-C63A-4719-A5A5-38A7B72853EE}" name="HO3" dataDxfId="24" dataCellStyle="Millares"/>
    <tableColumn id="7" xr3:uid="{3700A80D-0B51-41C0-8285-555849CF1E61}" name="HO4" dataDxfId="23" dataCellStyle="Millares"/>
    <tableColumn id="8" xr3:uid="{37B3C873-1D74-4BEF-B3E6-B1281DD69612}" name="HO5" dataDxfId="22" dataCellStyle="Millares"/>
    <tableColumn id="9" xr3:uid="{74CAD1BD-DD97-46BB-B896-980C9495C7A4}" name="HO6" dataDxfId="21" dataCellStyle="Millares"/>
    <tableColumn id="10" xr3:uid="{0FA839D3-CECE-4020-AD5D-DBFB93602625}" name="HO7" dataDxfId="20" dataCellStyle="Millares"/>
    <tableColumn id="11" xr3:uid="{D82AC7C5-34CE-451A-AC4D-1EDFD0EC0D6F}" name="HO8" dataDxfId="19" dataCellStyle="Millares"/>
    <tableColumn id="12" xr3:uid="{4006350C-4196-4092-AA7F-D5EEA833A158}" name="HO9" dataDxfId="18" dataCellStyle="Millares"/>
    <tableColumn id="13" xr3:uid="{055FC8B1-32E6-4F06-BF32-D78C4C45936B}" name="H10" dataDxfId="17" dataCellStyle="Millares"/>
    <tableColumn id="14" xr3:uid="{84E3DF49-8CAB-41E7-B5FF-1C5C492A440E}" name="H11" dataDxfId="16" dataCellStyle="Millares"/>
    <tableColumn id="15" xr3:uid="{F4FAC8C3-442A-481C-BA8D-B805FB70BF5D}" name="H12" dataDxfId="15" dataCellStyle="Millares"/>
    <tableColumn id="16" xr3:uid="{8CEA6E1F-9010-494F-B0C9-BE439302FC05}" name="H13" dataDxfId="14" dataCellStyle="Millares"/>
    <tableColumn id="17" xr3:uid="{6579DB2F-94E5-4F11-9155-404C9A2B1F5A}" name="H14" dataDxfId="13" dataCellStyle="Millares"/>
    <tableColumn id="18" xr3:uid="{11710957-AB03-4028-BB6A-DE44688DE79E}" name="H15" dataDxfId="12" dataCellStyle="Millares"/>
    <tableColumn id="19" xr3:uid="{E05AFE59-078A-494E-A194-2E52B191BA04}" name="H16" dataDxfId="11" dataCellStyle="Millares"/>
    <tableColumn id="20" xr3:uid="{3850BD17-F6C4-40A3-A260-91041DD4BCE4}" name="H17" dataDxfId="10" dataCellStyle="Millares"/>
    <tableColumn id="21" xr3:uid="{6088CA80-47AC-4A17-90E5-2AE1A041D809}" name="H18" dataDxfId="9" dataCellStyle="Millares"/>
    <tableColumn id="22" xr3:uid="{C3964C0E-BB98-4561-AECA-4DD0ACBE2B0E}" name="H19" dataDxfId="8" dataCellStyle="Millares"/>
    <tableColumn id="23" xr3:uid="{02362F2F-C88E-4BC5-B32C-9E5491260D8A}" name="H20" dataDxfId="7" dataCellStyle="Millares"/>
    <tableColumn id="24" xr3:uid="{EC071768-737D-4297-B874-8AE85F37E5CB}" name="H21" dataDxfId="6" dataCellStyle="Millares"/>
    <tableColumn id="25" xr3:uid="{BF16B7B6-4783-40C9-ACD2-4B3D50ABC48C}" name="H22" dataDxfId="5" dataCellStyle="Millares"/>
    <tableColumn id="26" xr3:uid="{2B91413C-1F16-42B7-889F-6B4E2F37F546}" name="H23" dataDxfId="4" dataCellStyle="Millares"/>
    <tableColumn id="27" xr3:uid="{3F07C05C-A593-458D-A28C-E6FAC39A515D}" name="H24" dataDxfId="3" dataCellStyle="Millares"/>
    <tableColumn id="28" xr3:uid="{295ACB15-4C8B-4FFD-8EAC-7FD670B17107}" name="N. Días" dataDxfId="2"/>
    <tableColumn id="29" xr3:uid="{AD7BE7A6-7CF5-43B4-B149-2BB0852417FF}" name="Total" dataDxfId="1">
      <calculatedColumnFormula>AB6*SUM(D6:AA6)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50"/>
  <sheetViews>
    <sheetView showGridLines="0" tabSelected="1" zoomScale="85" zoomScaleNormal="85" workbookViewId="0">
      <selection activeCell="J32" sqref="J32"/>
    </sheetView>
  </sheetViews>
  <sheetFormatPr baseColWidth="10" defaultColWidth="11.453125" defaultRowHeight="15" customHeight="1" x14ac:dyDescent="0.35"/>
  <cols>
    <col min="1" max="1" width="4.1796875" style="3" customWidth="1"/>
    <col min="2" max="2" width="10" style="3" customWidth="1"/>
    <col min="3" max="3" width="18.26953125" style="3" bestFit="1" customWidth="1"/>
    <col min="4" max="7" width="16.81640625" style="3" customWidth="1"/>
    <col min="8" max="8" width="8.1796875" style="3" bestFit="1" customWidth="1"/>
    <col min="9" max="9" width="9.453125" style="3" customWidth="1"/>
    <col min="10" max="16" width="14.54296875" style="3" customWidth="1"/>
    <col min="17" max="20" width="17" style="3" customWidth="1"/>
    <col min="21" max="16384" width="11.453125" style="3"/>
  </cols>
  <sheetData>
    <row r="2" spans="2:21" ht="15" customHeight="1" x14ac:dyDescent="0.35">
      <c r="B2" s="38" t="s">
        <v>49</v>
      </c>
      <c r="C2" s="38"/>
      <c r="D2" s="38"/>
      <c r="E2" s="38"/>
      <c r="F2" s="38"/>
      <c r="G2" s="38"/>
      <c r="H2" s="10"/>
    </row>
    <row r="3" spans="2:21" ht="15" customHeight="1" x14ac:dyDescent="0.35">
      <c r="B3" s="39" t="s">
        <v>29</v>
      </c>
      <c r="C3" s="39"/>
      <c r="D3" s="39"/>
      <c r="E3" s="39"/>
      <c r="F3" s="39"/>
      <c r="G3" s="39"/>
      <c r="H3" s="10"/>
    </row>
    <row r="4" spans="2:21" ht="15" customHeight="1" x14ac:dyDescent="0.35">
      <c r="B4" s="38" t="s">
        <v>37</v>
      </c>
      <c r="C4" s="38"/>
      <c r="D4" s="38"/>
      <c r="E4" s="38"/>
      <c r="F4" s="38"/>
      <c r="G4" s="38"/>
      <c r="H4" s="10"/>
    </row>
    <row r="5" spans="2:21" ht="15" customHeight="1" x14ac:dyDescent="0.35">
      <c r="B5" s="38"/>
      <c r="C5" s="38"/>
      <c r="D5" s="38"/>
      <c r="E5" s="38"/>
      <c r="F5" s="38"/>
      <c r="G5" s="38"/>
      <c r="H5" s="10"/>
    </row>
    <row r="6" spans="2:21" ht="15" customHeight="1" thickBot="1" x14ac:dyDescent="0.4">
      <c r="B6" s="9"/>
      <c r="C6" s="9"/>
      <c r="D6" s="9"/>
      <c r="E6" s="9"/>
      <c r="F6" s="9"/>
      <c r="G6" s="9"/>
      <c r="H6" s="9"/>
      <c r="U6" s="9"/>
    </row>
    <row r="7" spans="2:21" ht="15" customHeight="1" thickBot="1" x14ac:dyDescent="0.4">
      <c r="B7" s="40" t="s">
        <v>33</v>
      </c>
      <c r="C7" s="41"/>
      <c r="D7" s="41"/>
      <c r="E7" s="41"/>
      <c r="F7" s="41"/>
      <c r="G7" s="42"/>
      <c r="H7" s="9"/>
      <c r="U7" s="9"/>
    </row>
    <row r="8" spans="2:21" ht="15" customHeight="1" thickBot="1" x14ac:dyDescent="0.4">
      <c r="B8" s="33" t="s">
        <v>32</v>
      </c>
      <c r="C8" s="33" t="s">
        <v>28</v>
      </c>
      <c r="D8" s="35" t="s">
        <v>60</v>
      </c>
      <c r="E8" s="36"/>
      <c r="F8" s="36"/>
      <c r="G8" s="37"/>
      <c r="H8" s="9"/>
      <c r="U8" s="9"/>
    </row>
    <row r="9" spans="2:21" ht="29.5" thickBot="1" x14ac:dyDescent="0.4">
      <c r="B9" s="34"/>
      <c r="C9" s="34"/>
      <c r="D9" s="11" t="s">
        <v>34</v>
      </c>
      <c r="E9" s="12" t="s">
        <v>30</v>
      </c>
      <c r="F9" s="12" t="s">
        <v>35</v>
      </c>
      <c r="G9" s="25" t="s">
        <v>31</v>
      </c>
      <c r="H9" s="13"/>
      <c r="U9" s="9"/>
    </row>
    <row r="10" spans="2:21" ht="14.5" x14ac:dyDescent="0.35">
      <c r="B10" s="16">
        <v>2026</v>
      </c>
      <c r="C10" s="14" t="s">
        <v>52</v>
      </c>
      <c r="D10" s="15">
        <f>SUMIFS('Producto 1'!$AC:$AC,'Producto 1'!$A:$A,'R-Producto 1'!$B10,'Producto 1'!$B:$B,'R-Producto 1'!$C10)</f>
        <v>1048547.5391780479</v>
      </c>
      <c r="E10" s="30"/>
      <c r="F10" s="24">
        <f>D10*$E$10</f>
        <v>0</v>
      </c>
      <c r="G10" s="50"/>
      <c r="H10" s="13"/>
      <c r="U10" s="9"/>
    </row>
    <row r="11" spans="2:21" ht="14.5" x14ac:dyDescent="0.35">
      <c r="B11" s="16">
        <v>2026</v>
      </c>
      <c r="C11" s="14" t="s">
        <v>53</v>
      </c>
      <c r="D11" s="15">
        <f>SUMIFS('Producto 1'!$AC:$AC,'Producto 1'!$A:$A,'R-Producto 1'!$B11,'Producto 1'!$B:$B,'R-Producto 1'!$C11)</f>
        <v>1099655.7437269194</v>
      </c>
      <c r="E11" s="31"/>
      <c r="F11" s="24">
        <f t="shared" ref="F11:F25" si="0">D11*$E$10</f>
        <v>0</v>
      </c>
      <c r="G11" s="50"/>
      <c r="H11" s="13"/>
      <c r="U11" s="9"/>
    </row>
    <row r="12" spans="2:21" ht="14.5" x14ac:dyDescent="0.35">
      <c r="B12" s="16">
        <v>2026</v>
      </c>
      <c r="C12" s="14" t="s">
        <v>54</v>
      </c>
      <c r="D12" s="15">
        <f>SUMIFS('Producto 1'!$AC:$AC,'Producto 1'!$A:$A,'R-Producto 1'!$B12,'Producto 1'!$B:$B,'R-Producto 1'!$C12)</f>
        <v>1087400.8039998934</v>
      </c>
      <c r="E12" s="31"/>
      <c r="F12" s="24">
        <f t="shared" si="0"/>
        <v>0</v>
      </c>
      <c r="G12" s="50"/>
      <c r="H12" s="13"/>
      <c r="U12" s="9"/>
    </row>
    <row r="13" spans="2:21" ht="15" customHeight="1" x14ac:dyDescent="0.35">
      <c r="B13" s="16">
        <v>2026</v>
      </c>
      <c r="C13" s="14" t="s">
        <v>55</v>
      </c>
      <c r="D13" s="15">
        <f>SUMIFS('Producto 1'!$AC:$AC,'Producto 1'!$A:$A,'R-Producto 1'!$B13,'Producto 1'!$B:$B,'R-Producto 1'!$C13)</f>
        <v>1172043.0306025615</v>
      </c>
      <c r="E13" s="31"/>
      <c r="F13" s="24">
        <f t="shared" si="0"/>
        <v>0</v>
      </c>
      <c r="G13" s="50"/>
      <c r="H13" s="13"/>
      <c r="U13" s="9"/>
    </row>
    <row r="14" spans="2:21" ht="15" customHeight="1" x14ac:dyDescent="0.35">
      <c r="B14" s="16">
        <v>2027</v>
      </c>
      <c r="C14" s="14" t="s">
        <v>56</v>
      </c>
      <c r="D14" s="15">
        <f>SUMIFS('Producto 1'!$AC:$AC,'Producto 1'!$A:$A,'R-Producto 1'!$B14,'Producto 1'!$B:$B,'R-Producto 1'!$C14)</f>
        <v>1162293.1646813648</v>
      </c>
      <c r="E14" s="31"/>
      <c r="F14" s="24">
        <f t="shared" si="0"/>
        <v>0</v>
      </c>
      <c r="G14" s="28"/>
      <c r="H14" s="13"/>
      <c r="U14" s="9"/>
    </row>
    <row r="15" spans="2:21" ht="15" customHeight="1" x14ac:dyDescent="0.35">
      <c r="B15" s="16">
        <v>2027</v>
      </c>
      <c r="C15" s="14" t="s">
        <v>47</v>
      </c>
      <c r="D15" s="15">
        <f>SUMIFS('Producto 1'!$AC:$AC,'Producto 1'!$A:$A,'R-Producto 1'!$B15,'Producto 1'!$B:$B,'R-Producto 1'!$C15)</f>
        <v>1124901.1532859961</v>
      </c>
      <c r="E15" s="31"/>
      <c r="F15" s="24">
        <f t="shared" si="0"/>
        <v>0</v>
      </c>
      <c r="G15" s="28"/>
      <c r="H15" s="13"/>
      <c r="U15" s="9"/>
    </row>
    <row r="16" spans="2:21" ht="15" customHeight="1" x14ac:dyDescent="0.35">
      <c r="B16" s="16">
        <v>2027</v>
      </c>
      <c r="C16" s="14" t="s">
        <v>48</v>
      </c>
      <c r="D16" s="15">
        <f>SUMIFS('Producto 1'!$AC:$AC,'Producto 1'!$A:$A,'R-Producto 1'!$B16,'Producto 1'!$B:$B,'R-Producto 1'!$C16)</f>
        <v>1227606.6492946357</v>
      </c>
      <c r="E16" s="31"/>
      <c r="F16" s="24">
        <f t="shared" si="0"/>
        <v>0</v>
      </c>
      <c r="G16" s="28"/>
      <c r="H16" s="13"/>
      <c r="U16" s="9"/>
    </row>
    <row r="17" spans="1:21" ht="15" customHeight="1" x14ac:dyDescent="0.35">
      <c r="B17" s="16">
        <v>2027</v>
      </c>
      <c r="C17" s="14" t="s">
        <v>46</v>
      </c>
      <c r="D17" s="15">
        <f>SUMIFS('Producto 1'!$AC:$AC,'Producto 1'!$A:$A,'R-Producto 1'!$B17,'Producto 1'!$B:$B,'R-Producto 1'!$C17)</f>
        <v>1253357.9827777667</v>
      </c>
      <c r="E17" s="31"/>
      <c r="F17" s="24">
        <f t="shared" si="0"/>
        <v>0</v>
      </c>
      <c r="G17" s="28"/>
      <c r="H17" s="13"/>
      <c r="U17" s="9"/>
    </row>
    <row r="18" spans="1:21" ht="15" customHeight="1" x14ac:dyDescent="0.35">
      <c r="B18" s="16">
        <v>2027</v>
      </c>
      <c r="C18" s="14" t="s">
        <v>25</v>
      </c>
      <c r="D18" s="15">
        <f>SUMIFS('Producto 1'!$AC:$AC,'Producto 1'!$A:$A,'R-Producto 1'!$B18,'Producto 1'!$B:$B,'R-Producto 1'!$C18)</f>
        <v>1261078.1114880473</v>
      </c>
      <c r="E18" s="31"/>
      <c r="F18" s="24">
        <f t="shared" si="0"/>
        <v>0</v>
      </c>
      <c r="G18" s="28"/>
      <c r="H18" s="13"/>
      <c r="U18" s="9"/>
    </row>
    <row r="19" spans="1:21" ht="15" customHeight="1" x14ac:dyDescent="0.35">
      <c r="B19" s="16">
        <v>2027</v>
      </c>
      <c r="C19" s="14" t="s">
        <v>26</v>
      </c>
      <c r="D19" s="15">
        <f>SUMIFS('Producto 1'!$AC:$AC,'Producto 1'!$A:$A,'R-Producto 1'!$B19,'Producto 1'!$B:$B,'R-Producto 1'!$C19)</f>
        <v>1269315.4252911913</v>
      </c>
      <c r="E19" s="31"/>
      <c r="F19" s="24">
        <f t="shared" si="0"/>
        <v>0</v>
      </c>
      <c r="G19" s="28"/>
      <c r="H19" s="13"/>
      <c r="U19" s="9"/>
    </row>
    <row r="20" spans="1:21" ht="15" customHeight="1" x14ac:dyDescent="0.35">
      <c r="B20" s="16">
        <v>2027</v>
      </c>
      <c r="C20" s="14" t="s">
        <v>27</v>
      </c>
      <c r="D20" s="15">
        <f>SUMIFS('Producto 1'!$AC:$AC,'Producto 1'!$A:$A,'R-Producto 1'!$B20,'Producto 1'!$B:$B,'R-Producto 1'!$C20)</f>
        <v>1285618.9948237899</v>
      </c>
      <c r="E20" s="31"/>
      <c r="F20" s="24">
        <f t="shared" si="0"/>
        <v>0</v>
      </c>
      <c r="G20" s="28"/>
      <c r="H20" s="13"/>
      <c r="U20" s="9"/>
    </row>
    <row r="21" spans="1:21" ht="15" customHeight="1" x14ac:dyDescent="0.35">
      <c r="B21" s="16">
        <v>2027</v>
      </c>
      <c r="C21" s="14" t="s">
        <v>51</v>
      </c>
      <c r="D21" s="15">
        <f>SUMIFS('Producto 1'!$AC:$AC,'Producto 1'!$A:$A,'R-Producto 1'!$B21,'Producto 1'!$B:$B,'R-Producto 1'!$C21)</f>
        <v>1291794.5517643515</v>
      </c>
      <c r="E21" s="31"/>
      <c r="F21" s="24">
        <f t="shared" si="0"/>
        <v>0</v>
      </c>
      <c r="G21" s="28"/>
      <c r="H21" s="13"/>
      <c r="U21" s="9"/>
    </row>
    <row r="22" spans="1:21" ht="15" customHeight="1" x14ac:dyDescent="0.35">
      <c r="B22" s="16">
        <v>2027</v>
      </c>
      <c r="C22" s="14" t="s">
        <v>52</v>
      </c>
      <c r="D22" s="15">
        <f>SUMIFS('Producto 1'!$AC:$AC,'Producto 1'!$A:$A,'R-Producto 1'!$B22,'Producto 1'!$B:$B,'R-Producto 1'!$C22)</f>
        <v>1287734.5331618735</v>
      </c>
      <c r="E22" s="31"/>
      <c r="F22" s="24">
        <f t="shared" si="0"/>
        <v>0</v>
      </c>
      <c r="G22" s="28"/>
      <c r="H22" s="13"/>
      <c r="U22" s="9"/>
    </row>
    <row r="23" spans="1:21" ht="15" customHeight="1" x14ac:dyDescent="0.35">
      <c r="B23" s="16">
        <v>2027</v>
      </c>
      <c r="C23" s="14" t="s">
        <v>53</v>
      </c>
      <c r="D23" s="15">
        <f>SUMIFS('Producto 1'!$AC:$AC,'Producto 1'!$A:$A,'R-Producto 1'!$B23,'Producto 1'!$B:$B,'R-Producto 1'!$C23)</f>
        <v>1285618.9948237899</v>
      </c>
      <c r="E23" s="31"/>
      <c r="F23" s="24">
        <f t="shared" si="0"/>
        <v>0</v>
      </c>
      <c r="G23" s="28"/>
      <c r="H23" s="13"/>
      <c r="U23" s="9"/>
    </row>
    <row r="24" spans="1:21" ht="15" customHeight="1" x14ac:dyDescent="0.35">
      <c r="B24" s="16">
        <v>2027</v>
      </c>
      <c r="C24" s="14" t="s">
        <v>54</v>
      </c>
      <c r="D24" s="15">
        <f>SUMIFS('Producto 1'!$AC:$AC,'Producto 1'!$A:$A,'R-Producto 1'!$B24,'Producto 1'!$B:$B,'R-Producto 1'!$C24)</f>
        <v>1250896.3174205089</v>
      </c>
      <c r="E24" s="31"/>
      <c r="F24" s="24">
        <f t="shared" si="0"/>
        <v>0</v>
      </c>
      <c r="G24" s="28"/>
      <c r="H24" s="13"/>
      <c r="U24" s="9"/>
    </row>
    <row r="25" spans="1:21" thickBot="1" x14ac:dyDescent="0.4">
      <c r="B25" s="16">
        <v>2027</v>
      </c>
      <c r="C25" s="14" t="s">
        <v>55</v>
      </c>
      <c r="D25" s="15">
        <f>SUMIFS('Producto 1'!$AC:$AC,'Producto 1'!$A:$A,'R-Producto 1'!$B25,'Producto 1'!$B:$B,'R-Producto 1'!$C25)</f>
        <v>1310213.6596350337</v>
      </c>
      <c r="E25" s="32"/>
      <c r="F25" s="24">
        <f t="shared" si="0"/>
        <v>0</v>
      </c>
      <c r="G25" s="29"/>
      <c r="H25" s="13"/>
      <c r="U25" s="9"/>
    </row>
    <row r="26" spans="1:21" ht="15" customHeight="1" thickBot="1" x14ac:dyDescent="0.4">
      <c r="A26" s="17"/>
      <c r="B26" s="20"/>
      <c r="C26" s="21" t="s">
        <v>42</v>
      </c>
      <c r="D26" s="22">
        <f>SUM(D10:D25)</f>
        <v>19418076.655955773</v>
      </c>
      <c r="E26" s="26">
        <f>(E10*SUM(D10:D25))/SUM(D10:D25)</f>
        <v>0</v>
      </c>
      <c r="F26" s="23">
        <f>SUM(F10:F25)</f>
        <v>0</v>
      </c>
      <c r="G26" s="51" t="e">
        <f>(G10*SUM(F10:F13)+G14*SUM(F14:F25))/SUM(F10:F25)</f>
        <v>#DIV/0!</v>
      </c>
      <c r="H26" s="13"/>
    </row>
    <row r="27" spans="1:21" ht="15" customHeight="1" x14ac:dyDescent="0.35">
      <c r="A27" s="17"/>
      <c r="H27" s="13"/>
    </row>
    <row r="28" spans="1:21" ht="15" customHeight="1" x14ac:dyDescent="0.35">
      <c r="A28" s="17"/>
      <c r="B28" s="18" t="s">
        <v>50</v>
      </c>
      <c r="H28" s="13"/>
    </row>
    <row r="29" spans="1:21" ht="15" customHeight="1" x14ac:dyDescent="0.35">
      <c r="A29" s="17"/>
      <c r="B29" s="3" t="s">
        <v>39</v>
      </c>
      <c r="H29" s="13"/>
    </row>
    <row r="30" spans="1:21" ht="15" customHeight="1" x14ac:dyDescent="0.35">
      <c r="A30" s="17"/>
      <c r="B30" s="3" t="s">
        <v>36</v>
      </c>
      <c r="E30" s="19"/>
      <c r="H30" s="13"/>
    </row>
    <row r="31" spans="1:21" ht="15" customHeight="1" x14ac:dyDescent="0.35">
      <c r="A31" s="17"/>
      <c r="E31" s="19"/>
      <c r="H31" s="13"/>
    </row>
    <row r="32" spans="1:21" ht="15" customHeight="1" x14ac:dyDescent="0.35">
      <c r="A32" s="17"/>
      <c r="H32" s="13"/>
    </row>
    <row r="33" spans="1:8" ht="15" customHeight="1" x14ac:dyDescent="0.35">
      <c r="A33" s="17"/>
      <c r="H33" s="13"/>
    </row>
    <row r="34" spans="1:8" ht="15" customHeight="1" x14ac:dyDescent="0.35">
      <c r="A34" s="17"/>
      <c r="H34" s="13"/>
    </row>
    <row r="35" spans="1:8" ht="15" customHeight="1" x14ac:dyDescent="0.35">
      <c r="A35" s="17"/>
      <c r="H35" s="13"/>
    </row>
    <row r="36" spans="1:8" ht="15" customHeight="1" x14ac:dyDescent="0.35">
      <c r="A36" s="17"/>
      <c r="H36" s="13"/>
    </row>
    <row r="37" spans="1:8" ht="15" customHeight="1" x14ac:dyDescent="0.35">
      <c r="A37" s="17"/>
      <c r="H37" s="13"/>
    </row>
    <row r="38" spans="1:8" ht="15" customHeight="1" x14ac:dyDescent="0.35">
      <c r="A38" s="17"/>
      <c r="H38" s="13"/>
    </row>
    <row r="39" spans="1:8" ht="15" customHeight="1" x14ac:dyDescent="0.35">
      <c r="A39" s="17"/>
      <c r="H39" s="13"/>
    </row>
    <row r="40" spans="1:8" ht="15" customHeight="1" x14ac:dyDescent="0.35">
      <c r="A40" s="17"/>
      <c r="H40" s="13"/>
    </row>
    <row r="41" spans="1:8" ht="15" customHeight="1" x14ac:dyDescent="0.35">
      <c r="A41" s="17"/>
      <c r="H41" s="13"/>
    </row>
    <row r="42" spans="1:8" ht="15" customHeight="1" x14ac:dyDescent="0.35">
      <c r="A42" s="17"/>
      <c r="H42" s="13"/>
    </row>
    <row r="43" spans="1:8" ht="15" customHeight="1" x14ac:dyDescent="0.35">
      <c r="A43" s="17"/>
      <c r="H43" s="13"/>
    </row>
    <row r="44" spans="1:8" ht="15" customHeight="1" x14ac:dyDescent="0.35">
      <c r="A44" s="17"/>
      <c r="H44" s="13"/>
    </row>
    <row r="45" spans="1:8" ht="15" customHeight="1" x14ac:dyDescent="0.35">
      <c r="A45" s="17"/>
      <c r="H45" s="13"/>
    </row>
    <row r="46" spans="1:8" ht="15" customHeight="1" x14ac:dyDescent="0.35">
      <c r="A46" s="17"/>
      <c r="H46" s="13"/>
    </row>
    <row r="47" spans="1:8" ht="15" customHeight="1" x14ac:dyDescent="0.35">
      <c r="A47" s="17"/>
      <c r="H47" s="13"/>
    </row>
    <row r="48" spans="1:8" ht="15" customHeight="1" x14ac:dyDescent="0.35">
      <c r="A48" s="17"/>
      <c r="H48" s="13"/>
    </row>
    <row r="49" spans="1:8" ht="15" customHeight="1" x14ac:dyDescent="0.35">
      <c r="A49" s="17"/>
      <c r="H49" s="13"/>
    </row>
    <row r="50" spans="1:8" ht="15" customHeight="1" x14ac:dyDescent="0.35">
      <c r="A50" s="17"/>
      <c r="H50" s="13"/>
    </row>
    <row r="51" spans="1:8" ht="15" customHeight="1" x14ac:dyDescent="0.35">
      <c r="A51" s="17"/>
      <c r="H51" s="13"/>
    </row>
    <row r="52" spans="1:8" ht="15" customHeight="1" x14ac:dyDescent="0.35">
      <c r="A52" s="17"/>
      <c r="H52" s="13"/>
    </row>
    <row r="53" spans="1:8" ht="15" customHeight="1" x14ac:dyDescent="0.35">
      <c r="A53" s="17"/>
      <c r="H53" s="13"/>
    </row>
    <row r="54" spans="1:8" ht="15" customHeight="1" x14ac:dyDescent="0.35">
      <c r="A54" s="17"/>
      <c r="H54" s="13"/>
    </row>
    <row r="55" spans="1:8" ht="15" customHeight="1" x14ac:dyDescent="0.35">
      <c r="A55" s="17"/>
      <c r="H55" s="13"/>
    </row>
    <row r="56" spans="1:8" ht="15" customHeight="1" x14ac:dyDescent="0.35">
      <c r="A56" s="17"/>
      <c r="H56" s="13"/>
    </row>
    <row r="57" spans="1:8" ht="15" customHeight="1" x14ac:dyDescent="0.35">
      <c r="A57" s="17"/>
      <c r="H57" s="13"/>
    </row>
    <row r="58" spans="1:8" ht="15" customHeight="1" x14ac:dyDescent="0.35">
      <c r="A58" s="17"/>
      <c r="H58" s="13"/>
    </row>
    <row r="59" spans="1:8" ht="15" customHeight="1" x14ac:dyDescent="0.35">
      <c r="A59" s="17"/>
      <c r="H59" s="13"/>
    </row>
    <row r="60" spans="1:8" ht="15" customHeight="1" x14ac:dyDescent="0.35">
      <c r="A60" s="17"/>
      <c r="H60" s="13"/>
    </row>
    <row r="61" spans="1:8" ht="15" customHeight="1" x14ac:dyDescent="0.35">
      <c r="A61" s="17"/>
      <c r="H61" s="13"/>
    </row>
    <row r="62" spans="1:8" ht="15" customHeight="1" x14ac:dyDescent="0.35">
      <c r="A62" s="17"/>
      <c r="H62" s="13"/>
    </row>
    <row r="63" spans="1:8" ht="15" customHeight="1" x14ac:dyDescent="0.35">
      <c r="A63" s="17"/>
      <c r="H63" s="13"/>
    </row>
    <row r="64" spans="1:8" ht="15" customHeight="1" x14ac:dyDescent="0.35">
      <c r="A64" s="17"/>
      <c r="H64" s="13"/>
    </row>
    <row r="65" spans="1:8" ht="15" customHeight="1" x14ac:dyDescent="0.35">
      <c r="A65" s="17"/>
      <c r="H65" s="13"/>
    </row>
    <row r="66" spans="1:8" ht="15" customHeight="1" x14ac:dyDescent="0.35">
      <c r="A66" s="17"/>
      <c r="H66" s="13"/>
    </row>
    <row r="67" spans="1:8" ht="15" customHeight="1" x14ac:dyDescent="0.35">
      <c r="A67" s="17"/>
      <c r="H67" s="13"/>
    </row>
    <row r="68" spans="1:8" ht="15" customHeight="1" x14ac:dyDescent="0.35">
      <c r="A68" s="17"/>
      <c r="H68" s="13"/>
    </row>
    <row r="69" spans="1:8" ht="15" customHeight="1" x14ac:dyDescent="0.35">
      <c r="A69" s="17"/>
      <c r="H69" s="13"/>
    </row>
    <row r="70" spans="1:8" ht="15" customHeight="1" x14ac:dyDescent="0.35">
      <c r="A70" s="17"/>
      <c r="H70" s="13"/>
    </row>
    <row r="71" spans="1:8" ht="15" customHeight="1" x14ac:dyDescent="0.35">
      <c r="A71" s="17"/>
      <c r="H71" s="13"/>
    </row>
    <row r="72" spans="1:8" ht="15" customHeight="1" x14ac:dyDescent="0.35">
      <c r="A72" s="17"/>
      <c r="H72" s="13"/>
    </row>
    <row r="73" spans="1:8" ht="15" customHeight="1" x14ac:dyDescent="0.35">
      <c r="A73" s="17"/>
      <c r="H73" s="13"/>
    </row>
    <row r="74" spans="1:8" ht="15" customHeight="1" x14ac:dyDescent="0.35">
      <c r="A74" s="17"/>
      <c r="H74" s="13"/>
    </row>
    <row r="75" spans="1:8" ht="15" customHeight="1" x14ac:dyDescent="0.35">
      <c r="A75" s="17"/>
      <c r="H75" s="13"/>
    </row>
    <row r="76" spans="1:8" ht="15" customHeight="1" x14ac:dyDescent="0.35">
      <c r="A76" s="17"/>
      <c r="H76" s="13"/>
    </row>
    <row r="77" spans="1:8" ht="15" customHeight="1" x14ac:dyDescent="0.35">
      <c r="A77" s="17"/>
      <c r="H77" s="13"/>
    </row>
    <row r="78" spans="1:8" ht="15" customHeight="1" x14ac:dyDescent="0.35">
      <c r="A78" s="17"/>
      <c r="H78" s="13"/>
    </row>
    <row r="79" spans="1:8" ht="15" customHeight="1" x14ac:dyDescent="0.35">
      <c r="A79" s="17"/>
      <c r="H79" s="13"/>
    </row>
    <row r="80" spans="1:8" ht="15" customHeight="1" x14ac:dyDescent="0.35">
      <c r="A80" s="17"/>
      <c r="H80" s="13"/>
    </row>
    <row r="81" spans="1:8" ht="15" customHeight="1" x14ac:dyDescent="0.35">
      <c r="A81" s="17"/>
      <c r="H81" s="13"/>
    </row>
    <row r="82" spans="1:8" ht="15" customHeight="1" x14ac:dyDescent="0.35">
      <c r="A82" s="17"/>
      <c r="H82" s="13"/>
    </row>
    <row r="83" spans="1:8" ht="15" customHeight="1" x14ac:dyDescent="0.35">
      <c r="A83" s="17"/>
      <c r="H83" s="13"/>
    </row>
    <row r="84" spans="1:8" ht="15" customHeight="1" x14ac:dyDescent="0.35">
      <c r="A84" s="17"/>
      <c r="H84" s="13"/>
    </row>
    <row r="85" spans="1:8" ht="15" customHeight="1" x14ac:dyDescent="0.35">
      <c r="A85" s="17"/>
      <c r="H85" s="13"/>
    </row>
    <row r="86" spans="1:8" ht="15" customHeight="1" x14ac:dyDescent="0.35">
      <c r="A86" s="17"/>
      <c r="H86" s="13"/>
    </row>
    <row r="87" spans="1:8" ht="15" customHeight="1" x14ac:dyDescent="0.35">
      <c r="A87" s="17"/>
      <c r="H87" s="13"/>
    </row>
    <row r="88" spans="1:8" ht="15" customHeight="1" x14ac:dyDescent="0.35">
      <c r="A88" s="17"/>
      <c r="H88" s="13"/>
    </row>
    <row r="89" spans="1:8" ht="15" customHeight="1" x14ac:dyDescent="0.35">
      <c r="A89" s="17"/>
      <c r="H89" s="13"/>
    </row>
    <row r="90" spans="1:8" ht="15" customHeight="1" x14ac:dyDescent="0.35">
      <c r="A90" s="17"/>
      <c r="H90" s="13"/>
    </row>
    <row r="91" spans="1:8" ht="15" customHeight="1" x14ac:dyDescent="0.35">
      <c r="A91" s="17"/>
      <c r="H91" s="13"/>
    </row>
    <row r="92" spans="1:8" ht="15" customHeight="1" x14ac:dyDescent="0.35">
      <c r="A92" s="17"/>
      <c r="H92" s="13"/>
    </row>
    <row r="93" spans="1:8" ht="15" customHeight="1" x14ac:dyDescent="0.35">
      <c r="A93" s="17"/>
      <c r="H93" s="13"/>
    </row>
    <row r="94" spans="1:8" ht="15" customHeight="1" x14ac:dyDescent="0.35">
      <c r="A94" s="17"/>
      <c r="H94" s="13"/>
    </row>
    <row r="95" spans="1:8" ht="15" customHeight="1" x14ac:dyDescent="0.35">
      <c r="A95" s="17"/>
      <c r="H95" s="13"/>
    </row>
    <row r="96" spans="1:8" ht="15" customHeight="1" x14ac:dyDescent="0.35">
      <c r="A96" s="17"/>
      <c r="H96" s="13"/>
    </row>
    <row r="97" spans="1:8" ht="15" customHeight="1" x14ac:dyDescent="0.35">
      <c r="A97" s="17"/>
      <c r="H97" s="13"/>
    </row>
    <row r="98" spans="1:8" ht="15" customHeight="1" x14ac:dyDescent="0.35">
      <c r="A98" s="17"/>
      <c r="H98" s="13"/>
    </row>
    <row r="99" spans="1:8" ht="15" customHeight="1" x14ac:dyDescent="0.35">
      <c r="A99" s="17"/>
      <c r="H99" s="13"/>
    </row>
    <row r="100" spans="1:8" ht="15" customHeight="1" x14ac:dyDescent="0.35">
      <c r="A100" s="17"/>
      <c r="H100" s="13"/>
    </row>
    <row r="101" spans="1:8" ht="15" customHeight="1" x14ac:dyDescent="0.35">
      <c r="A101" s="17"/>
      <c r="H101" s="13"/>
    </row>
    <row r="102" spans="1:8" ht="15" customHeight="1" x14ac:dyDescent="0.35">
      <c r="A102" s="17"/>
      <c r="H102" s="13"/>
    </row>
    <row r="103" spans="1:8" ht="15" customHeight="1" x14ac:dyDescent="0.35">
      <c r="A103" s="17"/>
      <c r="H103" s="13"/>
    </row>
    <row r="104" spans="1:8" ht="15" customHeight="1" x14ac:dyDescent="0.35">
      <c r="A104" s="17"/>
      <c r="H104" s="13"/>
    </row>
    <row r="105" spans="1:8" ht="15" customHeight="1" x14ac:dyDescent="0.35">
      <c r="A105" s="17"/>
      <c r="H105" s="13"/>
    </row>
    <row r="106" spans="1:8" ht="15" customHeight="1" x14ac:dyDescent="0.35">
      <c r="A106" s="17"/>
      <c r="H106" s="13"/>
    </row>
    <row r="107" spans="1:8" ht="15" customHeight="1" x14ac:dyDescent="0.35">
      <c r="A107" s="17"/>
      <c r="H107" s="13"/>
    </row>
    <row r="108" spans="1:8" ht="15" customHeight="1" x14ac:dyDescent="0.35">
      <c r="A108" s="17"/>
      <c r="H108" s="13"/>
    </row>
    <row r="109" spans="1:8" ht="15" customHeight="1" x14ac:dyDescent="0.35">
      <c r="A109" s="17"/>
      <c r="H109" s="13"/>
    </row>
    <row r="110" spans="1:8" ht="15" customHeight="1" x14ac:dyDescent="0.35">
      <c r="A110" s="17"/>
      <c r="H110" s="13"/>
    </row>
    <row r="111" spans="1:8" ht="15" customHeight="1" x14ac:dyDescent="0.35">
      <c r="A111" s="17"/>
      <c r="H111" s="13"/>
    </row>
    <row r="112" spans="1:8" ht="15" customHeight="1" x14ac:dyDescent="0.35">
      <c r="A112" s="17"/>
      <c r="H112" s="13"/>
    </row>
    <row r="113" spans="1:8" ht="15" customHeight="1" x14ac:dyDescent="0.35">
      <c r="A113" s="17"/>
      <c r="H113" s="13"/>
    </row>
    <row r="114" spans="1:8" ht="15" customHeight="1" x14ac:dyDescent="0.35">
      <c r="A114" s="17"/>
      <c r="H114" s="13"/>
    </row>
    <row r="115" spans="1:8" ht="15" customHeight="1" x14ac:dyDescent="0.35">
      <c r="A115" s="17"/>
      <c r="H115" s="13"/>
    </row>
    <row r="116" spans="1:8" ht="15" customHeight="1" x14ac:dyDescent="0.35">
      <c r="A116" s="17"/>
      <c r="H116" s="13"/>
    </row>
    <row r="117" spans="1:8" ht="15" customHeight="1" x14ac:dyDescent="0.35">
      <c r="A117" s="17"/>
      <c r="H117" s="13"/>
    </row>
    <row r="118" spans="1:8" ht="15" customHeight="1" x14ac:dyDescent="0.35">
      <c r="A118" s="17"/>
      <c r="H118" s="13"/>
    </row>
    <row r="119" spans="1:8" ht="15" customHeight="1" x14ac:dyDescent="0.35">
      <c r="A119" s="17"/>
      <c r="H119" s="13"/>
    </row>
    <row r="120" spans="1:8" ht="15" customHeight="1" x14ac:dyDescent="0.35">
      <c r="A120" s="17"/>
      <c r="H120" s="13"/>
    </row>
    <row r="121" spans="1:8" ht="15" customHeight="1" x14ac:dyDescent="0.35">
      <c r="A121" s="17"/>
      <c r="H121" s="13"/>
    </row>
    <row r="122" spans="1:8" ht="15" customHeight="1" x14ac:dyDescent="0.35">
      <c r="A122" s="17"/>
      <c r="H122" s="13"/>
    </row>
    <row r="123" spans="1:8" ht="15" customHeight="1" x14ac:dyDescent="0.35">
      <c r="A123" s="17"/>
      <c r="H123" s="13"/>
    </row>
    <row r="124" spans="1:8" ht="15" customHeight="1" x14ac:dyDescent="0.35">
      <c r="A124" s="17"/>
      <c r="H124" s="13"/>
    </row>
    <row r="125" spans="1:8" ht="15" customHeight="1" x14ac:dyDescent="0.35">
      <c r="A125" s="17"/>
      <c r="H125" s="13"/>
    </row>
    <row r="126" spans="1:8" ht="15" customHeight="1" x14ac:dyDescent="0.35">
      <c r="A126" s="17"/>
      <c r="H126" s="13"/>
    </row>
    <row r="127" spans="1:8" ht="15" customHeight="1" x14ac:dyDescent="0.35">
      <c r="A127" s="17"/>
      <c r="H127" s="13"/>
    </row>
    <row r="128" spans="1:8" ht="15" customHeight="1" x14ac:dyDescent="0.35">
      <c r="A128" s="17"/>
      <c r="H128" s="13"/>
    </row>
    <row r="129" spans="1:8" ht="15" customHeight="1" x14ac:dyDescent="0.35">
      <c r="A129" s="17"/>
      <c r="H129" s="13"/>
    </row>
    <row r="130" spans="1:8" ht="15" customHeight="1" x14ac:dyDescent="0.35">
      <c r="A130" s="17"/>
      <c r="H130" s="13"/>
    </row>
    <row r="131" spans="1:8" ht="15" customHeight="1" x14ac:dyDescent="0.35">
      <c r="A131" s="17"/>
      <c r="H131" s="13"/>
    </row>
    <row r="132" spans="1:8" ht="15" customHeight="1" x14ac:dyDescent="0.35">
      <c r="A132" s="17"/>
      <c r="H132" s="13"/>
    </row>
    <row r="133" spans="1:8" ht="15" customHeight="1" x14ac:dyDescent="0.35">
      <c r="A133" s="17"/>
      <c r="H133" s="13"/>
    </row>
    <row r="134" spans="1:8" ht="15" customHeight="1" x14ac:dyDescent="0.35">
      <c r="A134" s="17"/>
      <c r="H134" s="13"/>
    </row>
    <row r="135" spans="1:8" ht="15" customHeight="1" x14ac:dyDescent="0.35">
      <c r="A135" s="17"/>
      <c r="H135" s="13"/>
    </row>
    <row r="136" spans="1:8" ht="15" customHeight="1" x14ac:dyDescent="0.35">
      <c r="A136" s="17"/>
      <c r="H136" s="13"/>
    </row>
    <row r="137" spans="1:8" ht="15" customHeight="1" x14ac:dyDescent="0.35">
      <c r="A137" s="17"/>
      <c r="H137" s="13"/>
    </row>
    <row r="138" spans="1:8" ht="15" customHeight="1" x14ac:dyDescent="0.35">
      <c r="A138" s="17"/>
      <c r="H138" s="13"/>
    </row>
    <row r="139" spans="1:8" ht="15" customHeight="1" x14ac:dyDescent="0.35">
      <c r="A139" s="17"/>
      <c r="H139" s="13"/>
    </row>
    <row r="140" spans="1:8" ht="15" customHeight="1" x14ac:dyDescent="0.35">
      <c r="A140" s="17"/>
      <c r="H140" s="13"/>
    </row>
    <row r="141" spans="1:8" ht="15" customHeight="1" x14ac:dyDescent="0.35">
      <c r="A141" s="17"/>
      <c r="H141" s="13"/>
    </row>
    <row r="142" spans="1:8" ht="15" customHeight="1" x14ac:dyDescent="0.35">
      <c r="A142" s="17"/>
      <c r="H142" s="13"/>
    </row>
    <row r="143" spans="1:8" ht="15" customHeight="1" x14ac:dyDescent="0.35">
      <c r="A143" s="17"/>
      <c r="H143" s="13"/>
    </row>
    <row r="144" spans="1:8" ht="15" customHeight="1" x14ac:dyDescent="0.35">
      <c r="A144" s="17"/>
      <c r="H144" s="13"/>
    </row>
    <row r="145" spans="1:8" ht="15" customHeight="1" x14ac:dyDescent="0.35">
      <c r="A145" s="17"/>
      <c r="H145" s="13"/>
    </row>
    <row r="146" spans="1:8" ht="15" customHeight="1" x14ac:dyDescent="0.35">
      <c r="A146" s="17"/>
      <c r="H146" s="13"/>
    </row>
    <row r="147" spans="1:8" ht="15" customHeight="1" x14ac:dyDescent="0.35">
      <c r="A147" s="17"/>
      <c r="H147" s="13"/>
    </row>
    <row r="148" spans="1:8" ht="15" customHeight="1" x14ac:dyDescent="0.35">
      <c r="A148" s="17"/>
      <c r="H148" s="13"/>
    </row>
    <row r="149" spans="1:8" ht="15" customHeight="1" x14ac:dyDescent="0.35">
      <c r="A149" s="17"/>
      <c r="H149" s="13"/>
    </row>
    <row r="150" spans="1:8" ht="15" customHeight="1" x14ac:dyDescent="0.35">
      <c r="A150" s="17"/>
      <c r="H150" s="13"/>
    </row>
  </sheetData>
  <mergeCells count="11">
    <mergeCell ref="B2:G2"/>
    <mergeCell ref="B3:G3"/>
    <mergeCell ref="B4:G4"/>
    <mergeCell ref="B5:G5"/>
    <mergeCell ref="B7:G7"/>
    <mergeCell ref="G10:G13"/>
    <mergeCell ref="G14:G25"/>
    <mergeCell ref="B8:B9"/>
    <mergeCell ref="C8:C9"/>
    <mergeCell ref="D8:G8"/>
    <mergeCell ref="E10:E25"/>
  </mergeCells>
  <phoneticPr fontId="5" type="noConversion"/>
  <printOptions horizontalCentered="1"/>
  <pageMargins left="0.35433070866141736" right="0.35433070866141736" top="1.5748031496062993" bottom="0.19685039370078741" header="0" footer="0"/>
  <pageSetup scale="8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"/>
  <sheetViews>
    <sheetView showGridLines="0" zoomScale="80" zoomScaleNormal="80" workbookViewId="0">
      <pane xSplit="3" ySplit="5" topLeftCell="E6" activePane="bottomRight" state="frozen"/>
      <selection activeCell="A32" sqref="A32"/>
      <selection pane="topRight" activeCell="A32" sqref="A32"/>
      <selection pane="bottomLeft" activeCell="A32" sqref="A32"/>
      <selection pane="bottomRight" activeCell="C12" sqref="C12"/>
    </sheetView>
  </sheetViews>
  <sheetFormatPr baseColWidth="10" defaultColWidth="11.453125" defaultRowHeight="14.5" x14ac:dyDescent="0.35"/>
  <cols>
    <col min="1" max="1" width="10.81640625" style="2" customWidth="1"/>
    <col min="2" max="2" width="12.453125" style="2" bestFit="1" customWidth="1"/>
    <col min="3" max="3" width="19.1796875" style="2" bestFit="1" customWidth="1"/>
    <col min="4" max="27" width="11" style="4" customWidth="1"/>
    <col min="28" max="28" width="10.54296875" style="2" customWidth="1"/>
    <col min="29" max="30" width="12.54296875" style="2" customWidth="1"/>
    <col min="31" max="31" width="12.54296875" style="3" customWidth="1"/>
    <col min="32" max="34" width="11.453125" style="3" customWidth="1"/>
    <col min="35" max="35" width="13.1796875" style="2" bestFit="1" customWidth="1"/>
    <col min="36" max="16384" width="11.453125" style="2"/>
  </cols>
  <sheetData>
    <row r="1" spans="1:35" ht="18.5" x14ac:dyDescent="0.45">
      <c r="B1" s="43" t="s">
        <v>45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</row>
    <row r="2" spans="1:35" ht="18.5" x14ac:dyDescent="0.45">
      <c r="B2" s="43" t="s">
        <v>43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5" ht="18.5" x14ac:dyDescent="0.45">
      <c r="B3" s="43" t="s">
        <v>61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</row>
    <row r="5" spans="1:35" x14ac:dyDescent="0.35">
      <c r="A5" s="5" t="s">
        <v>38</v>
      </c>
      <c r="B5" s="5" t="s">
        <v>0</v>
      </c>
      <c r="C5" s="3" t="s">
        <v>1</v>
      </c>
      <c r="D5" s="6" t="s">
        <v>44</v>
      </c>
      <c r="E5" s="27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18</v>
      </c>
      <c r="V5" s="6" t="s">
        <v>19</v>
      </c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  <c r="AB5" s="6" t="s">
        <v>41</v>
      </c>
      <c r="AC5" s="6" t="s">
        <v>40</v>
      </c>
    </row>
    <row r="6" spans="1:35" x14ac:dyDescent="0.35">
      <c r="A6" s="3">
        <v>2026</v>
      </c>
      <c r="B6" s="5" t="str">
        <f>PROPER(TEXT(DATEVALUE("1/"&amp;MOD(ROUNDDOWN((ROW()-6+8*3)/3,0),12)+1&amp;"/"&amp;Tabla1[[#This Row],[Año]]),"mmm"))</f>
        <v>Sep</v>
      </c>
      <c r="C6" s="7" t="str">
        <f t="shared" ref="C6:C34" si="0">CHOOSE(MOD(ROW()-6,3)+1,"Hábil","Sábado","Domingo y Festivo")</f>
        <v>Hábil</v>
      </c>
      <c r="D6" s="1">
        <v>1767.408460821194</v>
      </c>
      <c r="E6" s="1">
        <v>1692.7667733592141</v>
      </c>
      <c r="F6" s="1">
        <v>1629.8751063607069</v>
      </c>
      <c r="G6" s="1">
        <v>1568.9018200108731</v>
      </c>
      <c r="H6" s="1">
        <v>1538.4315092341701</v>
      </c>
      <c r="I6" s="1">
        <v>1549.334378182029</v>
      </c>
      <c r="J6" s="1">
        <v>1605.780891020778</v>
      </c>
      <c r="K6" s="1">
        <v>1726.2156694067801</v>
      </c>
      <c r="L6" s="1">
        <v>1523.887011505914</v>
      </c>
      <c r="M6" s="1">
        <v>1054.822131017349</v>
      </c>
      <c r="N6" s="1">
        <v>833.59663409100369</v>
      </c>
      <c r="O6" s="1">
        <v>953.98792509154703</v>
      </c>
      <c r="P6" s="1">
        <v>576.69279927822106</v>
      </c>
      <c r="Q6" s="1">
        <v>568.67695677858478</v>
      </c>
      <c r="R6" s="1">
        <v>1051.4952572612599</v>
      </c>
      <c r="S6" s="1">
        <v>1371.2542863387471</v>
      </c>
      <c r="T6" s="1">
        <v>1873.02733796146</v>
      </c>
      <c r="U6" s="1">
        <v>2439.0529026529989</v>
      </c>
      <c r="V6" s="1">
        <v>2389.1964828746982</v>
      </c>
      <c r="W6" s="1">
        <v>2221.7919337745789</v>
      </c>
      <c r="X6" s="1">
        <v>2233.9785702319741</v>
      </c>
      <c r="Y6" s="1">
        <v>2199.0390264133498</v>
      </c>
      <c r="Z6" s="1">
        <v>2051.9294793005129</v>
      </c>
      <c r="AA6" s="1">
        <v>1910.3981974071589</v>
      </c>
      <c r="AB6" s="8">
        <v>22</v>
      </c>
      <c r="AC6" s="8">
        <f t="shared" ref="AC6:AC53" si="1">AB6*SUM(D6:AA6)</f>
        <v>843293.91388825211</v>
      </c>
      <c r="AI6"/>
    </row>
    <row r="7" spans="1:35" x14ac:dyDescent="0.35">
      <c r="A7" s="3">
        <v>2026</v>
      </c>
      <c r="B7" s="5" t="str">
        <f>PROPER(TEXT(DATEVALUE("1/"&amp;MOD(ROUNDDOWN((ROW()-6+8*3)/3,0),12)+1&amp;"/"&amp;Tabla1[[#This Row],[Año]]),"mmm"))</f>
        <v>Sep</v>
      </c>
      <c r="C7" s="7" t="str">
        <f t="shared" si="0"/>
        <v>Sábado</v>
      </c>
      <c r="D7" s="1">
        <v>1829.608857241544</v>
      </c>
      <c r="E7" s="1">
        <v>1779.434228267316</v>
      </c>
      <c r="F7" s="1">
        <v>1717.4066785746029</v>
      </c>
      <c r="G7" s="1">
        <v>1636.53027200971</v>
      </c>
      <c r="H7" s="1">
        <v>1583.0348546033069</v>
      </c>
      <c r="I7" s="1">
        <v>1517.429810294632</v>
      </c>
      <c r="J7" s="1">
        <v>1242.088097742801</v>
      </c>
      <c r="K7" s="1">
        <v>802.30669480116637</v>
      </c>
      <c r="L7" s="1">
        <v>593.0421686605207</v>
      </c>
      <c r="M7" s="1">
        <v>301.66240086017979</v>
      </c>
      <c r="N7" s="1">
        <v>244.9639596011327</v>
      </c>
      <c r="O7" s="1">
        <v>167.42983379065481</v>
      </c>
      <c r="P7" s="1">
        <v>78.654100391538435</v>
      </c>
      <c r="Q7" s="1">
        <v>32.484048087514878</v>
      </c>
      <c r="R7" s="1">
        <v>111.1206068985985</v>
      </c>
      <c r="S7" s="1">
        <v>251.60005398491549</v>
      </c>
      <c r="T7" s="1">
        <v>653.93765705378507</v>
      </c>
      <c r="U7" s="1">
        <v>1402.002540017329</v>
      </c>
      <c r="V7" s="1">
        <v>1882.1450567658569</v>
      </c>
      <c r="W7" s="1">
        <v>1955.98547252967</v>
      </c>
      <c r="X7" s="1">
        <v>1960.6565839728489</v>
      </c>
      <c r="Y7" s="1">
        <v>1963.733660406971</v>
      </c>
      <c r="Z7" s="1">
        <v>1902.4039312556249</v>
      </c>
      <c r="AA7" s="1">
        <v>1820.86799596932</v>
      </c>
      <c r="AB7" s="8">
        <v>4</v>
      </c>
      <c r="AC7" s="8">
        <f t="shared" si="1"/>
        <v>109722.11825512617</v>
      </c>
      <c r="AI7"/>
    </row>
    <row r="8" spans="1:35" x14ac:dyDescent="0.35">
      <c r="A8" s="3">
        <v>2026</v>
      </c>
      <c r="B8" s="5" t="str">
        <f>PROPER(TEXT(DATEVALUE("1/"&amp;MOD(ROUNDDOWN((ROW()-6+8*3)/3,0),12)+1&amp;"/"&amp;Tabla1[[#This Row],[Año]]),"mmm"))</f>
        <v>Sep</v>
      </c>
      <c r="C8" s="7" t="str">
        <f t="shared" si="0"/>
        <v>Domingo y Festivo</v>
      </c>
      <c r="D8" s="1">
        <v>1733.0578382316939</v>
      </c>
      <c r="E8" s="1">
        <v>1678.6378338097859</v>
      </c>
      <c r="F8" s="1">
        <v>1616.707762595559</v>
      </c>
      <c r="G8" s="1">
        <v>1550.0872024900209</v>
      </c>
      <c r="H8" s="1">
        <v>1508.0571159560061</v>
      </c>
      <c r="I8" s="1">
        <v>1409.587898747129</v>
      </c>
      <c r="J8" s="1">
        <v>992.07848418090475</v>
      </c>
      <c r="K8" s="1">
        <v>243.30779963724871</v>
      </c>
      <c r="L8" s="1">
        <v>43.072820768610697</v>
      </c>
      <c r="M8" s="1">
        <v>31.276695536037259</v>
      </c>
      <c r="N8" s="1">
        <v>19.0702343712036</v>
      </c>
      <c r="O8" s="1">
        <v>10.2553402162834</v>
      </c>
      <c r="P8" s="1">
        <v>10.55343187753115</v>
      </c>
      <c r="Q8" s="1">
        <v>20.487646473723711</v>
      </c>
      <c r="R8" s="1">
        <v>31.577089590233339</v>
      </c>
      <c r="S8" s="1">
        <v>95.475636435954243</v>
      </c>
      <c r="T8" s="1">
        <v>517.35574362483976</v>
      </c>
      <c r="U8" s="1">
        <v>1183.879959222859</v>
      </c>
      <c r="V8" s="1">
        <v>1750.5327623860539</v>
      </c>
      <c r="W8" s="1">
        <v>1907.7043625162951</v>
      </c>
      <c r="X8" s="1">
        <v>1962.4827121524349</v>
      </c>
      <c r="Y8" s="1">
        <v>1955.4361943937149</v>
      </c>
      <c r="Z8" s="1">
        <v>1855.4318395468561</v>
      </c>
      <c r="AA8" s="1">
        <v>1756.76235390643</v>
      </c>
      <c r="AB8" s="8">
        <v>4</v>
      </c>
      <c r="AC8" s="8">
        <f t="shared" si="1"/>
        <v>95531.50703466963</v>
      </c>
      <c r="AI8"/>
    </row>
    <row r="9" spans="1:35" x14ac:dyDescent="0.35">
      <c r="A9" s="3">
        <v>2026</v>
      </c>
      <c r="B9" s="5" t="str">
        <f>PROPER(TEXT(DATEVALUE("1/"&amp;MOD(ROUNDDOWN((ROW()-6+8*3)/3,0),12)+1&amp;"/"&amp;Tabla1[[#This Row],[Año]]),"mmm"))</f>
        <v>Oct</v>
      </c>
      <c r="C9" s="7" t="str">
        <f t="shared" si="0"/>
        <v>Hábil</v>
      </c>
      <c r="D9" s="1">
        <v>1813.59132371187</v>
      </c>
      <c r="E9" s="1">
        <v>1734.350232192488</v>
      </c>
      <c r="F9" s="1">
        <v>1667.3142644071711</v>
      </c>
      <c r="G9" s="1">
        <v>1604.39361352383</v>
      </c>
      <c r="H9" s="1">
        <v>1571.614892891927</v>
      </c>
      <c r="I9" s="1">
        <v>1572.425130106391</v>
      </c>
      <c r="J9" s="1">
        <v>1624.2818614863229</v>
      </c>
      <c r="K9" s="1">
        <v>1774.580036297865</v>
      </c>
      <c r="L9" s="1">
        <v>1584.022917921626</v>
      </c>
      <c r="M9" s="1">
        <v>1151.631411574991</v>
      </c>
      <c r="N9" s="1">
        <v>932.03107807773551</v>
      </c>
      <c r="O9" s="1">
        <v>986.8840116399449</v>
      </c>
      <c r="P9" s="1">
        <v>629.03859994395941</v>
      </c>
      <c r="Q9" s="1">
        <v>672.98765288495804</v>
      </c>
      <c r="R9" s="1">
        <v>1191.7058568971479</v>
      </c>
      <c r="S9" s="1">
        <v>1555.390670768121</v>
      </c>
      <c r="T9" s="1">
        <v>2014.512464532291</v>
      </c>
      <c r="U9" s="1">
        <v>2515.021386837162</v>
      </c>
      <c r="V9" s="1">
        <v>2420.074669185421</v>
      </c>
      <c r="W9" s="1">
        <v>2251.675752498551</v>
      </c>
      <c r="X9" s="1">
        <v>2270.3538005015289</v>
      </c>
      <c r="Y9" s="1">
        <v>2235.1764548332949</v>
      </c>
      <c r="Z9" s="1">
        <v>2091.6466797253288</v>
      </c>
      <c r="AA9" s="1">
        <v>1955.1061099921101</v>
      </c>
      <c r="AB9" s="8">
        <v>21</v>
      </c>
      <c r="AC9" s="8">
        <f t="shared" si="1"/>
        <v>836216.02832107281</v>
      </c>
      <c r="AI9"/>
    </row>
    <row r="10" spans="1:35" x14ac:dyDescent="0.35">
      <c r="A10" s="3">
        <v>2026</v>
      </c>
      <c r="B10" s="5" t="str">
        <f>PROPER(TEXT(DATEVALUE("1/"&amp;MOD(ROUNDDOWN((ROW()-6+8*3)/3,0),12)+1&amp;"/"&amp;Tabla1[[#This Row],[Año]]),"mmm"))</f>
        <v>Oct</v>
      </c>
      <c r="C10" s="7" t="str">
        <f t="shared" si="0"/>
        <v>Sábado</v>
      </c>
      <c r="D10" s="1">
        <v>1874.820937888843</v>
      </c>
      <c r="E10" s="1">
        <v>1813.4130986702801</v>
      </c>
      <c r="F10" s="1">
        <v>1748.614287881408</v>
      </c>
      <c r="G10" s="1">
        <v>1660.955349120961</v>
      </c>
      <c r="H10" s="1">
        <v>1597.390179438105</v>
      </c>
      <c r="I10" s="1">
        <v>1511.9928884062281</v>
      </c>
      <c r="J10" s="1">
        <v>1210.2634112180499</v>
      </c>
      <c r="K10" s="1">
        <v>779.7380996625111</v>
      </c>
      <c r="L10" s="1">
        <v>627.11415320337392</v>
      </c>
      <c r="M10" s="1">
        <v>453.22772002198019</v>
      </c>
      <c r="N10" s="1">
        <v>351.33879001572768</v>
      </c>
      <c r="O10" s="1">
        <v>304.14323707664778</v>
      </c>
      <c r="P10" s="1">
        <v>143.18724911595061</v>
      </c>
      <c r="Q10" s="1">
        <v>76.319472410696633</v>
      </c>
      <c r="R10" s="1">
        <v>167.85741769706539</v>
      </c>
      <c r="S10" s="1">
        <v>288.50920924966499</v>
      </c>
      <c r="T10" s="1">
        <v>697.03470738108842</v>
      </c>
      <c r="U10" s="1">
        <v>1370.167643901412</v>
      </c>
      <c r="V10" s="1">
        <v>1862.8047017187621</v>
      </c>
      <c r="W10" s="1">
        <v>1935.4493630380321</v>
      </c>
      <c r="X10" s="1">
        <v>1944.736274912299</v>
      </c>
      <c r="Y10" s="1">
        <v>1952.990994842273</v>
      </c>
      <c r="Z10" s="1">
        <v>1894.997754908961</v>
      </c>
      <c r="AA10" s="1">
        <v>1815.164465494192</v>
      </c>
      <c r="AB10" s="8">
        <v>5</v>
      </c>
      <c r="AC10" s="8">
        <f t="shared" si="1"/>
        <v>140411.15703637252</v>
      </c>
      <c r="AI10"/>
    </row>
    <row r="11" spans="1:35" x14ac:dyDescent="0.35">
      <c r="A11" s="3">
        <v>2026</v>
      </c>
      <c r="B11" s="5" t="str">
        <f>PROPER(TEXT(DATEVALUE("1/"&amp;MOD(ROUNDDOWN((ROW()-6+8*3)/3,0),12)+1&amp;"/"&amp;Tabla1[[#This Row],[Año]]),"mmm"))</f>
        <v>Oct</v>
      </c>
      <c r="C11" s="7" t="str">
        <f t="shared" si="0"/>
        <v>Domingo y Festivo</v>
      </c>
      <c r="D11" s="1">
        <v>1785.446822413604</v>
      </c>
      <c r="E11" s="1">
        <v>1731.680591097037</v>
      </c>
      <c r="F11" s="1">
        <v>1664.140721178296</v>
      </c>
      <c r="G11" s="1">
        <v>1592.467204719625</v>
      </c>
      <c r="H11" s="1">
        <v>1543.9234560052271</v>
      </c>
      <c r="I11" s="1">
        <v>1440.1937831880909</v>
      </c>
      <c r="J11" s="1">
        <v>1017.0404595425661</v>
      </c>
      <c r="K11" s="1">
        <v>270.28049854673628</v>
      </c>
      <c r="L11" s="1">
        <v>69.423261900658105</v>
      </c>
      <c r="M11" s="1">
        <v>42.980243733663301</v>
      </c>
      <c r="N11" s="1">
        <v>24.92923025874288</v>
      </c>
      <c r="O11" s="1">
        <v>15.51479311749125</v>
      </c>
      <c r="P11" s="1">
        <v>15.546741671363421</v>
      </c>
      <c r="Q11" s="1">
        <v>26.225009255387491</v>
      </c>
      <c r="R11" s="1">
        <v>41.113145912662631</v>
      </c>
      <c r="S11" s="1">
        <v>131.6014075452297</v>
      </c>
      <c r="T11" s="1">
        <v>558.2646566849802</v>
      </c>
      <c r="U11" s="1">
        <v>1208.110471359186</v>
      </c>
      <c r="V11" s="1">
        <v>1778.6476928807599</v>
      </c>
      <c r="W11" s="1">
        <v>1941.8589130303219</v>
      </c>
      <c r="X11" s="1">
        <v>2004.32163741621</v>
      </c>
      <c r="Y11" s="1">
        <v>2000.41486383398</v>
      </c>
      <c r="Z11" s="1">
        <v>1900.08671799076</v>
      </c>
      <c r="AA11" s="1">
        <v>1801.4993506122009</v>
      </c>
      <c r="AB11" s="8">
        <v>5</v>
      </c>
      <c r="AC11" s="8">
        <f t="shared" si="1"/>
        <v>123028.55836947392</v>
      </c>
      <c r="AI11"/>
    </row>
    <row r="12" spans="1:35" x14ac:dyDescent="0.35">
      <c r="A12" s="3">
        <v>2026</v>
      </c>
      <c r="B12" s="5" t="str">
        <f>PROPER(TEXT(DATEVALUE("1/"&amp;MOD(ROUNDDOWN((ROW()-6+8*3)/3,0),12)+1&amp;"/"&amp;Tabla1[[#This Row],[Año]]),"mmm"))</f>
        <v>Nov</v>
      </c>
      <c r="C12" s="7" t="str">
        <f t="shared" si="0"/>
        <v>Hábil</v>
      </c>
      <c r="D12" s="1">
        <v>1880.981542121797</v>
      </c>
      <c r="E12" s="1">
        <v>1804.3317700244679</v>
      </c>
      <c r="F12" s="1">
        <v>1737.056385995591</v>
      </c>
      <c r="G12" s="1">
        <v>1669.5170856755101</v>
      </c>
      <c r="H12" s="1">
        <v>1633.283971134982</v>
      </c>
      <c r="I12" s="1">
        <v>1621.233142977017</v>
      </c>
      <c r="J12" s="1">
        <v>1643.823208366146</v>
      </c>
      <c r="K12" s="1">
        <v>1775.3364790324731</v>
      </c>
      <c r="L12" s="1">
        <v>1595.6096672931769</v>
      </c>
      <c r="M12" s="1">
        <v>1171.371769127283</v>
      </c>
      <c r="N12" s="1">
        <v>1022.7009027558109</v>
      </c>
      <c r="O12" s="1">
        <v>1084.1803158474829</v>
      </c>
      <c r="P12" s="1">
        <v>688.69030285924475</v>
      </c>
      <c r="Q12" s="1">
        <v>712.32218021973154</v>
      </c>
      <c r="R12" s="1">
        <v>1325.296511617029</v>
      </c>
      <c r="S12" s="1">
        <v>1705.321601410795</v>
      </c>
      <c r="T12" s="1">
        <v>2182.255242267116</v>
      </c>
      <c r="U12" s="1">
        <v>2621.4797546356031</v>
      </c>
      <c r="V12" s="1">
        <v>2477.1060050359479</v>
      </c>
      <c r="W12" s="1">
        <v>2312.1206291064641</v>
      </c>
      <c r="X12" s="1">
        <v>2331.318493477339</v>
      </c>
      <c r="Y12" s="1">
        <v>2293.2042863800748</v>
      </c>
      <c r="Z12" s="1">
        <v>2144.638310646284</v>
      </c>
      <c r="AA12" s="1">
        <v>2009.691529133559</v>
      </c>
      <c r="AB12" s="8">
        <v>19</v>
      </c>
      <c r="AC12" s="8">
        <f t="shared" si="1"/>
        <v>787414.55065567768</v>
      </c>
      <c r="AI12"/>
    </row>
    <row r="13" spans="1:35" x14ac:dyDescent="0.35">
      <c r="A13" s="3">
        <v>2026</v>
      </c>
      <c r="B13" s="5" t="str">
        <f>PROPER(TEXT(DATEVALUE("1/"&amp;MOD(ROUNDDOWN((ROW()-6+8*3)/3,0),12)+1&amp;"/"&amp;Tabla1[[#This Row],[Año]]),"mmm"))</f>
        <v>Nov</v>
      </c>
      <c r="C13" s="7" t="str">
        <f t="shared" si="0"/>
        <v>Sábado</v>
      </c>
      <c r="D13" s="1">
        <v>1973.1989629712591</v>
      </c>
      <c r="E13" s="1">
        <v>1920.965860060953</v>
      </c>
      <c r="F13" s="1">
        <v>1856.0553532325041</v>
      </c>
      <c r="G13" s="1">
        <v>1758.1168483044121</v>
      </c>
      <c r="H13" s="1">
        <v>1692.7126501555049</v>
      </c>
      <c r="I13" s="1">
        <v>1616.3373490962811</v>
      </c>
      <c r="J13" s="1">
        <v>1326.596337339746</v>
      </c>
      <c r="K13" s="1">
        <v>968.89132558320478</v>
      </c>
      <c r="L13" s="1">
        <v>934.66602452398649</v>
      </c>
      <c r="M13" s="1">
        <v>486.96782637507471</v>
      </c>
      <c r="N13" s="1">
        <v>414.8033214469823</v>
      </c>
      <c r="O13" s="1">
        <v>363.6888146185355</v>
      </c>
      <c r="P13" s="1">
        <v>255.7077117082282</v>
      </c>
      <c r="Q13" s="1">
        <v>145.46481461853381</v>
      </c>
      <c r="R13" s="1">
        <v>303.10932144698228</v>
      </c>
      <c r="S13" s="1">
        <v>497.75382637507471</v>
      </c>
      <c r="T13" s="1">
        <v>835.65802452398646</v>
      </c>
      <c r="U13" s="1">
        <v>1487.9513255832051</v>
      </c>
      <c r="V13" s="1">
        <v>1948.05233733974</v>
      </c>
      <c r="W13" s="1">
        <v>2015.867349096281</v>
      </c>
      <c r="X13" s="1">
        <v>2018.9606501554999</v>
      </c>
      <c r="Y13" s="1">
        <v>2015.314848304412</v>
      </c>
      <c r="Z13" s="1">
        <v>1958.763353232504</v>
      </c>
      <c r="AA13" s="1">
        <v>1869.4678600609509</v>
      </c>
      <c r="AB13" s="8">
        <v>4</v>
      </c>
      <c r="AC13" s="8">
        <f t="shared" si="1"/>
        <v>122660.28838461539</v>
      </c>
      <c r="AI13"/>
    </row>
    <row r="14" spans="1:35" x14ac:dyDescent="0.35">
      <c r="A14" s="3">
        <v>2026</v>
      </c>
      <c r="B14" s="5" t="str">
        <f>PROPER(TEXT(DATEVALUE("1/"&amp;MOD(ROUNDDOWN((ROW()-6+8*3)/3,0),12)+1&amp;"/"&amp;Tabla1[[#This Row],[Año]]),"mmm"))</f>
        <v>Nov</v>
      </c>
      <c r="C14" s="7" t="str">
        <f t="shared" si="0"/>
        <v>Domingo y Festivo</v>
      </c>
      <c r="D14" s="1">
        <v>1841.674338771792</v>
      </c>
      <c r="E14" s="1">
        <v>1783.677686990701</v>
      </c>
      <c r="F14" s="1">
        <v>1712.870197784782</v>
      </c>
      <c r="G14" s="1">
        <v>1632.945567328142</v>
      </c>
      <c r="H14" s="1">
        <v>1574.0963455546821</v>
      </c>
      <c r="I14" s="1">
        <v>1457.9654294567099</v>
      </c>
      <c r="J14" s="1">
        <v>1023.817685730417</v>
      </c>
      <c r="K14" s="1">
        <v>282.10614958609392</v>
      </c>
      <c r="L14" s="1">
        <v>80.778001755582522</v>
      </c>
      <c r="M14" s="1">
        <v>57.027511121087969</v>
      </c>
      <c r="N14" s="1">
        <v>40.805951469113268</v>
      </c>
      <c r="O14" s="1">
        <v>29.92884908512254</v>
      </c>
      <c r="P14" s="1">
        <v>28.212493482111778</v>
      </c>
      <c r="Q14" s="1">
        <v>35.687049287388703</v>
      </c>
      <c r="R14" s="1">
        <v>58.504439160489667</v>
      </c>
      <c r="S14" s="1">
        <v>158.52418753573099</v>
      </c>
      <c r="T14" s="1">
        <v>598.48982639716144</v>
      </c>
      <c r="U14" s="1">
        <v>1239.13840375155</v>
      </c>
      <c r="V14" s="1">
        <v>1815.0515770847021</v>
      </c>
      <c r="W14" s="1">
        <v>1984.070772636936</v>
      </c>
      <c r="X14" s="1">
        <v>2049.601321007533</v>
      </c>
      <c r="Y14" s="1">
        <v>2048.6317333225061</v>
      </c>
      <c r="Z14" s="1">
        <v>1950.1555585658391</v>
      </c>
      <c r="AA14" s="1">
        <v>1848.5196316481449</v>
      </c>
      <c r="AB14" s="8">
        <v>7</v>
      </c>
      <c r="AC14" s="8">
        <f t="shared" si="1"/>
        <v>177325.96495960024</v>
      </c>
      <c r="AI14"/>
    </row>
    <row r="15" spans="1:35" x14ac:dyDescent="0.35">
      <c r="A15" s="3">
        <v>2026</v>
      </c>
      <c r="B15" s="5" t="str">
        <f>PROPER(TEXT(DATEVALUE("1/"&amp;MOD(ROUNDDOWN((ROW()-6+8*3)/3,0),12)+1&amp;"/"&amp;Tabla1[[#This Row],[Año]]),"mmm"))</f>
        <v>Dic</v>
      </c>
      <c r="C15" s="7" t="str">
        <f t="shared" si="0"/>
        <v>Hábil</v>
      </c>
      <c r="D15" s="1">
        <v>1921.1314818332869</v>
      </c>
      <c r="E15" s="1">
        <v>1844.0900977239969</v>
      </c>
      <c r="F15" s="1">
        <v>1776.392752749749</v>
      </c>
      <c r="G15" s="1">
        <v>1708.4298984919881</v>
      </c>
      <c r="H15" s="1">
        <v>1671.80050152237</v>
      </c>
      <c r="I15" s="1">
        <v>1659.4076684365609</v>
      </c>
      <c r="J15" s="1">
        <v>1681.733313469731</v>
      </c>
      <c r="K15" s="1">
        <v>1813.0777681622701</v>
      </c>
      <c r="L15" s="1">
        <v>1633.2892493609879</v>
      </c>
      <c r="M15" s="1">
        <v>1209.100958279209</v>
      </c>
      <c r="N15" s="1">
        <v>1060.5876324971509</v>
      </c>
      <c r="O15" s="1">
        <v>1122.3217835527139</v>
      </c>
      <c r="P15" s="1">
        <v>727.16634593157983</v>
      </c>
      <c r="Q15" s="1">
        <v>751.18983530402716</v>
      </c>
      <c r="R15" s="1">
        <v>1364.586127646696</v>
      </c>
      <c r="S15" s="1">
        <v>1745.0347713781409</v>
      </c>
      <c r="T15" s="1">
        <v>2222.3646946635522</v>
      </c>
      <c r="U15" s="1">
        <v>2661.931211959884</v>
      </c>
      <c r="V15" s="1">
        <v>2517.8218827161868</v>
      </c>
      <c r="W15" s="1">
        <v>2353.0053227604908</v>
      </c>
      <c r="X15" s="1">
        <v>2372.2648941933512</v>
      </c>
      <c r="Y15" s="1">
        <v>2334.101080011972</v>
      </c>
      <c r="Z15" s="1">
        <v>2185.3775636887681</v>
      </c>
      <c r="AA15" s="1">
        <v>2050.1760442121531</v>
      </c>
      <c r="AB15" s="8">
        <v>21</v>
      </c>
      <c r="AC15" s="8">
        <f t="shared" si="1"/>
        <v>890114.04049148294</v>
      </c>
      <c r="AI15"/>
    </row>
    <row r="16" spans="1:35" x14ac:dyDescent="0.35">
      <c r="A16" s="3">
        <v>2026</v>
      </c>
      <c r="B16" s="5" t="str">
        <f>PROPER(TEXT(DATEVALUE("1/"&amp;MOD(ROUNDDOWN((ROW()-6+8*3)/3,0),12)+1&amp;"/"&amp;Tabla1[[#This Row],[Año]]),"mmm"))</f>
        <v>Dic</v>
      </c>
      <c r="C16" s="7" t="str">
        <f t="shared" si="0"/>
        <v>Sábado</v>
      </c>
      <c r="D16" s="1">
        <v>2028.967502203403</v>
      </c>
      <c r="E16" s="1">
        <v>1975.656730618264</v>
      </c>
      <c r="F16" s="1">
        <v>1907.9589600933521</v>
      </c>
      <c r="G16" s="1">
        <v>1806.715149980158</v>
      </c>
      <c r="H16" s="1">
        <v>1736.482595598153</v>
      </c>
      <c r="I16" s="1">
        <v>1653.9031094500051</v>
      </c>
      <c r="J16" s="1">
        <v>1359.8846469038419</v>
      </c>
      <c r="K16" s="1">
        <v>996.75998349043084</v>
      </c>
      <c r="L16" s="1">
        <v>952.299488098692</v>
      </c>
      <c r="M16" s="1">
        <v>492.98019266596287</v>
      </c>
      <c r="N16" s="1">
        <v>414.86384925337609</v>
      </c>
      <c r="O16" s="1">
        <v>363.17217565728652</v>
      </c>
      <c r="P16" s="1">
        <v>258.38825340587272</v>
      </c>
      <c r="Q16" s="1">
        <v>151.64732367093481</v>
      </c>
      <c r="R16" s="1">
        <v>312.84160934581212</v>
      </c>
      <c r="S16" s="1">
        <v>505.33359418556091</v>
      </c>
      <c r="T16" s="1">
        <v>850.52092699283287</v>
      </c>
      <c r="U16" s="1">
        <v>1510.3767126666701</v>
      </c>
      <c r="V16" s="1">
        <v>1979.286999553975</v>
      </c>
      <c r="W16" s="1">
        <v>2053.8583098983281</v>
      </c>
      <c r="X16" s="1">
        <v>2061.8451623158612</v>
      </c>
      <c r="Y16" s="1">
        <v>2063.12124923495</v>
      </c>
      <c r="Z16" s="1">
        <v>2010.50139203617</v>
      </c>
      <c r="AA16" s="1">
        <v>1923.469881956868</v>
      </c>
      <c r="AB16" s="8">
        <v>4</v>
      </c>
      <c r="AC16" s="8">
        <f t="shared" si="1"/>
        <v>125483.34319710705</v>
      </c>
      <c r="AI16"/>
    </row>
    <row r="17" spans="1:35" x14ac:dyDescent="0.35">
      <c r="A17" s="3">
        <v>2026</v>
      </c>
      <c r="B17" s="5" t="str">
        <f>PROPER(TEXT(DATEVALUE("1/"&amp;MOD(ROUNDDOWN((ROW()-6+8*3)/3,0),12)+1&amp;"/"&amp;Tabla1[[#This Row],[Año]]),"mmm"))</f>
        <v>Dic</v>
      </c>
      <c r="C17" s="7" t="str">
        <f t="shared" si="0"/>
        <v>Domingo y Festivo</v>
      </c>
      <c r="D17" s="1">
        <v>1897.893769718864</v>
      </c>
      <c r="E17" s="1">
        <v>1838.360687402959</v>
      </c>
      <c r="F17" s="1">
        <v>1768.544534906428</v>
      </c>
      <c r="G17" s="1">
        <v>1682.449172635844</v>
      </c>
      <c r="H17" s="1">
        <v>1613.4357764554941</v>
      </c>
      <c r="I17" s="1">
        <v>1484.101094156742</v>
      </c>
      <c r="J17" s="1">
        <v>1036.7994281961981</v>
      </c>
      <c r="K17" s="1">
        <v>297.3820678178912</v>
      </c>
      <c r="L17" s="1">
        <v>90.389235752988</v>
      </c>
      <c r="M17" s="1">
        <v>61.445839094557769</v>
      </c>
      <c r="N17" s="1">
        <v>40.667671628005017</v>
      </c>
      <c r="O17" s="1">
        <v>29.479230159780911</v>
      </c>
      <c r="P17" s="1">
        <v>28.650919083315959</v>
      </c>
      <c r="Q17" s="1">
        <v>38.246544818240579</v>
      </c>
      <c r="R17" s="1">
        <v>57.61896400612639</v>
      </c>
      <c r="S17" s="1">
        <v>163.9013248898668</v>
      </c>
      <c r="T17" s="1">
        <v>651.51946806537342</v>
      </c>
      <c r="U17" s="1">
        <v>1281.2279557866009</v>
      </c>
      <c r="V17" s="1">
        <v>1863.502374998171</v>
      </c>
      <c r="W17" s="1">
        <v>2034.091333837174</v>
      </c>
      <c r="X17" s="1">
        <v>2104.5302292680549</v>
      </c>
      <c r="Y17" s="1">
        <v>2105.986924824284</v>
      </c>
      <c r="Z17" s="1">
        <v>2006.3184054619619</v>
      </c>
      <c r="AA17" s="1">
        <v>1897.7315326969881</v>
      </c>
      <c r="AB17" s="8">
        <v>6</v>
      </c>
      <c r="AC17" s="8">
        <f t="shared" si="1"/>
        <v>156445.64691397146</v>
      </c>
      <c r="AI17"/>
    </row>
    <row r="18" spans="1:35" x14ac:dyDescent="0.35">
      <c r="A18" s="3">
        <v>2027</v>
      </c>
      <c r="B18" s="5" t="str">
        <f>PROPER(TEXT(DATEVALUE("1/"&amp;MOD(ROUNDDOWN((ROW()-6+8*3)/3,0),12)+1&amp;"/"&amp;Tabla1[[#This Row],[Año]]),"mmm"))</f>
        <v>Ene</v>
      </c>
      <c r="C18" s="7" t="str">
        <f t="shared" si="0"/>
        <v>Hábil</v>
      </c>
      <c r="D18" s="1">
        <v>1959.554249174442</v>
      </c>
      <c r="E18" s="1">
        <v>1883.566444632507</v>
      </c>
      <c r="F18" s="1">
        <v>1816.8292312866499</v>
      </c>
      <c r="G18" s="1">
        <v>1749.6676293345361</v>
      </c>
      <c r="H18" s="1">
        <v>1713.626001327322</v>
      </c>
      <c r="I18" s="1">
        <v>1701.567398377219</v>
      </c>
      <c r="J18" s="1">
        <v>1723.950957487993</v>
      </c>
      <c r="K18" s="1">
        <v>1855.07306345135</v>
      </c>
      <c r="L18" s="1">
        <v>1674.7970858125479</v>
      </c>
      <c r="M18" s="1">
        <v>1249.889445299121</v>
      </c>
      <c r="N18" s="1">
        <v>1100.4739019662741</v>
      </c>
      <c r="O18" s="1">
        <v>1161.1844519870101</v>
      </c>
      <c r="P18" s="1">
        <v>764.95378656595096</v>
      </c>
      <c r="Q18" s="1">
        <v>787.92369637104377</v>
      </c>
      <c r="R18" s="1">
        <v>1400.359857085321</v>
      </c>
      <c r="S18" s="1">
        <v>1780.0072485111191</v>
      </c>
      <c r="T18" s="1">
        <v>2256.7494028341271</v>
      </c>
      <c r="U18" s="1">
        <v>2695.9816899947518</v>
      </c>
      <c r="V18" s="1">
        <v>2551.814446673452</v>
      </c>
      <c r="W18" s="1">
        <v>2387.2202354469368</v>
      </c>
      <c r="X18" s="1">
        <v>2406.9672657173178</v>
      </c>
      <c r="Y18" s="1">
        <v>2369.522800967587</v>
      </c>
      <c r="Z18" s="1">
        <v>2221.7015021951711</v>
      </c>
      <c r="AA18" s="1">
        <v>2087.5235837533828</v>
      </c>
      <c r="AB18" s="8">
        <v>19</v>
      </c>
      <c r="AC18" s="8">
        <f t="shared" si="1"/>
        <v>822717.20214880968</v>
      </c>
      <c r="AI18"/>
    </row>
    <row r="19" spans="1:35" x14ac:dyDescent="0.35">
      <c r="A19" s="3">
        <v>2027</v>
      </c>
      <c r="B19" s="5" t="str">
        <f>PROPER(TEXT(DATEVALUE("1/"&amp;MOD(ROUNDDOWN((ROW()-6+8*3)/3,0),12)+1&amp;"/"&amp;Tabla1[[#This Row],[Año]]),"mmm"))</f>
        <v>Ene</v>
      </c>
      <c r="C19" s="7" t="str">
        <f t="shared" si="0"/>
        <v>Sábado</v>
      </c>
      <c r="D19" s="1">
        <v>2069.132360623084</v>
      </c>
      <c r="E19" s="1">
        <v>2005.432901152742</v>
      </c>
      <c r="F19" s="1">
        <v>1930.441545685137</v>
      </c>
      <c r="G19" s="1">
        <v>1820.081457874692</v>
      </c>
      <c r="H19" s="1">
        <v>1741.5878783950011</v>
      </c>
      <c r="I19" s="1">
        <v>1641.4317159141301</v>
      </c>
      <c r="J19" s="1">
        <v>1343.8181076789519</v>
      </c>
      <c r="K19" s="1">
        <v>936.13350412561545</v>
      </c>
      <c r="L19" s="1">
        <v>818.92489778163076</v>
      </c>
      <c r="M19" s="1">
        <v>506.46822619300701</v>
      </c>
      <c r="N19" s="1">
        <v>391.48149177441582</v>
      </c>
      <c r="O19" s="1">
        <v>327.4855634187212</v>
      </c>
      <c r="P19" s="1">
        <v>198.88038707929539</v>
      </c>
      <c r="Q19" s="1">
        <v>113.11115572222501</v>
      </c>
      <c r="R19" s="1">
        <v>233.1597611621666</v>
      </c>
      <c r="S19" s="1">
        <v>393.12355510165071</v>
      </c>
      <c r="T19" s="1">
        <v>765.37862784055324</v>
      </c>
      <c r="U19" s="1">
        <v>1469.3388990128451</v>
      </c>
      <c r="V19" s="1">
        <v>1983.565845577079</v>
      </c>
      <c r="W19" s="1">
        <v>2079.1787084665102</v>
      </c>
      <c r="X19" s="1">
        <v>2104.5132730754299</v>
      </c>
      <c r="Y19" s="1">
        <v>2121.1981120992459</v>
      </c>
      <c r="Z19" s="1">
        <v>2068.8726470681859</v>
      </c>
      <c r="AA19" s="1">
        <v>1987.7238429182839</v>
      </c>
      <c r="AB19" s="8">
        <v>5</v>
      </c>
      <c r="AC19" s="8">
        <f t="shared" si="1"/>
        <v>155252.32232870298</v>
      </c>
      <c r="AI19"/>
    </row>
    <row r="20" spans="1:35" x14ac:dyDescent="0.35">
      <c r="A20" s="3">
        <v>2027</v>
      </c>
      <c r="B20" s="5" t="str">
        <f>PROPER(TEXT(DATEVALUE("1/"&amp;MOD(ROUNDDOWN((ROW()-6+8*3)/3,0),12)+1&amp;"/"&amp;Tabla1[[#This Row],[Año]]),"mmm"))</f>
        <v>Ene</v>
      </c>
      <c r="C20" s="7" t="str">
        <f t="shared" si="0"/>
        <v>Domingo y Festivo</v>
      </c>
      <c r="D20" s="1">
        <v>1933.9487975282241</v>
      </c>
      <c r="E20" s="1">
        <v>1872.6551332789429</v>
      </c>
      <c r="F20" s="1">
        <v>1796.00071736672</v>
      </c>
      <c r="G20" s="1">
        <v>1707.3514503103979</v>
      </c>
      <c r="H20" s="1">
        <v>1637.226845802348</v>
      </c>
      <c r="I20" s="1">
        <v>1507.643229383687</v>
      </c>
      <c r="J20" s="1">
        <v>1058.5176386580081</v>
      </c>
      <c r="K20" s="1">
        <v>300.46352444855751</v>
      </c>
      <c r="L20" s="1">
        <v>87.782761241635868</v>
      </c>
      <c r="M20" s="1">
        <v>53.834669385879891</v>
      </c>
      <c r="N20" s="1">
        <v>30.06345777410624</v>
      </c>
      <c r="O20" s="1">
        <v>18.08619635216704</v>
      </c>
      <c r="P20" s="1">
        <v>18.715916805126799</v>
      </c>
      <c r="Q20" s="1">
        <v>31.906207314036269</v>
      </c>
      <c r="R20" s="1">
        <v>56.754377109259877</v>
      </c>
      <c r="S20" s="1">
        <v>163.27644260158289</v>
      </c>
      <c r="T20" s="1">
        <v>627.30513599588664</v>
      </c>
      <c r="U20" s="1">
        <v>1282.755114173081</v>
      </c>
      <c r="V20" s="1">
        <v>1870.9472335300629</v>
      </c>
      <c r="W20" s="1">
        <v>2049.038474067987</v>
      </c>
      <c r="X20" s="1">
        <v>2124.4581038628048</v>
      </c>
      <c r="Y20" s="1">
        <v>2131.0794907142631</v>
      </c>
      <c r="Z20" s="1">
        <v>2036.5676331791369</v>
      </c>
      <c r="AA20" s="1">
        <v>1935.5700496663731</v>
      </c>
      <c r="AB20" s="8">
        <v>7</v>
      </c>
      <c r="AC20" s="8">
        <f t="shared" si="1"/>
        <v>184323.64020385197</v>
      </c>
      <c r="AI20"/>
    </row>
    <row r="21" spans="1:35" x14ac:dyDescent="0.35">
      <c r="A21" s="3">
        <v>2027</v>
      </c>
      <c r="B21" s="5" t="str">
        <f>PROPER(TEXT(DATEVALUE("1/"&amp;MOD(ROUNDDOWN((ROW()-6+8*3)/3,0),12)+1&amp;"/"&amp;Tabla1[[#This Row],[Año]]),"mmm"))</f>
        <v>Feb</v>
      </c>
      <c r="C21" s="7" t="str">
        <f t="shared" si="0"/>
        <v>Hábil</v>
      </c>
      <c r="D21" s="1">
        <v>2041.5215701348361</v>
      </c>
      <c r="E21" s="1">
        <v>1958.4566728303</v>
      </c>
      <c r="F21" s="1">
        <v>1880.8961888413421</v>
      </c>
      <c r="G21" s="1">
        <v>1801.893821700769</v>
      </c>
      <c r="H21" s="1">
        <v>1753.5826575822559</v>
      </c>
      <c r="I21" s="1">
        <v>1730.6800761252</v>
      </c>
      <c r="J21" s="1">
        <v>1748.8344747020831</v>
      </c>
      <c r="K21" s="1">
        <v>1870.093900885686</v>
      </c>
      <c r="L21" s="1">
        <v>1684.237445856457</v>
      </c>
      <c r="M21" s="1">
        <v>1251.452957867675</v>
      </c>
      <c r="N21" s="1">
        <v>1102.8437395380349</v>
      </c>
      <c r="O21" s="1">
        <v>1174.51308552264</v>
      </c>
      <c r="P21" s="1">
        <v>774.67379614817605</v>
      </c>
      <c r="Q21" s="1">
        <v>779.06455171588186</v>
      </c>
      <c r="R21" s="1">
        <v>1387.920871084232</v>
      </c>
      <c r="S21" s="1">
        <v>1786.5692823163181</v>
      </c>
      <c r="T21" s="1">
        <v>2294.5481038923758</v>
      </c>
      <c r="U21" s="1">
        <v>2759.1586755251078</v>
      </c>
      <c r="V21" s="1">
        <v>2628.082278437766</v>
      </c>
      <c r="W21" s="1">
        <v>2470.4968362014069</v>
      </c>
      <c r="X21" s="1">
        <v>2495.711180725446</v>
      </c>
      <c r="Y21" s="1">
        <v>2461.2185806524972</v>
      </c>
      <c r="Z21" s="1">
        <v>2313.7752390705882</v>
      </c>
      <c r="AA21" s="1">
        <v>2175.1786463009012</v>
      </c>
      <c r="AB21" s="8">
        <v>20</v>
      </c>
      <c r="AC21" s="8">
        <f t="shared" si="1"/>
        <v>886508.09267315955</v>
      </c>
      <c r="AI21"/>
    </row>
    <row r="22" spans="1:35" x14ac:dyDescent="0.35">
      <c r="A22" s="3">
        <v>2027</v>
      </c>
      <c r="B22" s="5" t="str">
        <f>PROPER(TEXT(DATEVALUE("1/"&amp;MOD(ROUNDDOWN((ROW()-6+8*3)/3,0),12)+1&amp;"/"&amp;Tabla1[[#This Row],[Año]]),"mmm"))</f>
        <v>Feb</v>
      </c>
      <c r="C22" s="7" t="str">
        <f t="shared" si="0"/>
        <v>Sábado</v>
      </c>
      <c r="D22" s="1">
        <v>2137.1921652948122</v>
      </c>
      <c r="E22" s="1">
        <v>2079.020013998188</v>
      </c>
      <c r="F22" s="1">
        <v>2002.9932147945699</v>
      </c>
      <c r="G22" s="1">
        <v>1889.5187304572819</v>
      </c>
      <c r="H22" s="1">
        <v>1805.2176171874751</v>
      </c>
      <c r="I22" s="1">
        <v>1707.8722588324929</v>
      </c>
      <c r="J22" s="1">
        <v>1396.517122355408</v>
      </c>
      <c r="K22" s="1">
        <v>1018.026885334188</v>
      </c>
      <c r="L22" s="1">
        <v>965.26173721874386</v>
      </c>
      <c r="M22" s="1">
        <v>502.5325301603965</v>
      </c>
      <c r="N22" s="1">
        <v>419.87019288691982</v>
      </c>
      <c r="O22" s="1">
        <v>363.50644020299029</v>
      </c>
      <c r="P22" s="1">
        <v>255.88240535736199</v>
      </c>
      <c r="Q22" s="1">
        <v>151.57855665398469</v>
      </c>
      <c r="R22" s="1">
        <v>320.3393558576027</v>
      </c>
      <c r="S22" s="1">
        <v>530.51984019489055</v>
      </c>
      <c r="T22" s="1">
        <v>887.32095346470737</v>
      </c>
      <c r="U22" s="1">
        <v>1560.584311819679</v>
      </c>
      <c r="V22" s="1">
        <v>2042.2994482967631</v>
      </c>
      <c r="W22" s="1">
        <v>2130.8996853179842</v>
      </c>
      <c r="X22" s="1">
        <v>2152.5328334334281</v>
      </c>
      <c r="Y22" s="1">
        <v>2163.9180404917761</v>
      </c>
      <c r="Z22" s="1">
        <v>2117.8643777652528</v>
      </c>
      <c r="AA22" s="1">
        <v>2033.8181304491829</v>
      </c>
      <c r="AB22" s="8">
        <v>4</v>
      </c>
      <c r="AC22" s="8">
        <f t="shared" si="1"/>
        <v>130540.34739130433</v>
      </c>
      <c r="AI22"/>
    </row>
    <row r="23" spans="1:35" x14ac:dyDescent="0.35">
      <c r="A23" s="3">
        <v>2027</v>
      </c>
      <c r="B23" s="5" t="str">
        <f>PROPER(TEXT(DATEVALUE("1/"&amp;MOD(ROUNDDOWN((ROW()-6+8*3)/3,0),12)+1&amp;"/"&amp;Tabla1[[#This Row],[Año]]),"mmm"))</f>
        <v>Feb</v>
      </c>
      <c r="C23" s="7" t="str">
        <f t="shared" si="0"/>
        <v>Domingo y Festivo</v>
      </c>
      <c r="D23" s="1">
        <v>1983.888561856176</v>
      </c>
      <c r="E23" s="1">
        <v>1920.21966551833</v>
      </c>
      <c r="F23" s="1">
        <v>1843.3159752924751</v>
      </c>
      <c r="G23" s="1">
        <v>1747.6514769777821</v>
      </c>
      <c r="H23" s="1">
        <v>1667.2271173310951</v>
      </c>
      <c r="I23" s="1">
        <v>1525.4054670851281</v>
      </c>
      <c r="J23" s="1">
        <v>1065.3805197422539</v>
      </c>
      <c r="K23" s="1">
        <v>313.85990550591379</v>
      </c>
      <c r="L23" s="1">
        <v>96.198484865871364</v>
      </c>
      <c r="M23" s="1">
        <v>58.738588100619488</v>
      </c>
      <c r="N23" s="1">
        <v>32.167330983589721</v>
      </c>
      <c r="O23" s="1">
        <v>18.295500776230629</v>
      </c>
      <c r="P23" s="1">
        <v>18.06843978288461</v>
      </c>
      <c r="Q23" s="1">
        <v>31.50162183501649</v>
      </c>
      <c r="R23" s="1">
        <v>57.679597775156452</v>
      </c>
      <c r="S23" s="1">
        <v>173.26552466127731</v>
      </c>
      <c r="T23" s="1">
        <v>672.04559859368965</v>
      </c>
      <c r="U23" s="1">
        <v>1314.008677411075</v>
      </c>
      <c r="V23" s="1">
        <v>1908.790767611091</v>
      </c>
      <c r="W23" s="1">
        <v>2091.284238990288</v>
      </c>
      <c r="X23" s="1">
        <v>2172.2099453446172</v>
      </c>
      <c r="Y23" s="1">
        <v>2182.0184135384411</v>
      </c>
      <c r="Z23" s="1">
        <v>2087.995384941185</v>
      </c>
      <c r="AA23" s="1">
        <v>1981.96150086283</v>
      </c>
      <c r="AB23" s="8">
        <v>4</v>
      </c>
      <c r="AC23" s="8">
        <f t="shared" si="1"/>
        <v>107852.71322153206</v>
      </c>
      <c r="AI23"/>
    </row>
    <row r="24" spans="1:35" x14ac:dyDescent="0.35">
      <c r="A24" s="3">
        <v>2027</v>
      </c>
      <c r="B24" s="5" t="str">
        <f>PROPER(TEXT(DATEVALUE("1/"&amp;MOD(ROUNDDOWN((ROW()-6+8*3)/3,0),12)+1&amp;"/"&amp;Tabla1[[#This Row],[Año]]),"mmm"))</f>
        <v>Mar</v>
      </c>
      <c r="C24" s="7" t="str">
        <f t="shared" si="0"/>
        <v>Hábil</v>
      </c>
      <c r="D24" s="1">
        <v>2076.9951183600128</v>
      </c>
      <c r="E24" s="1">
        <v>1996.124254405458</v>
      </c>
      <c r="F24" s="1">
        <v>1922.6838529591921</v>
      </c>
      <c r="G24" s="1">
        <v>1847.411050923163</v>
      </c>
      <c r="H24" s="1">
        <v>1802.500359102459</v>
      </c>
      <c r="I24" s="1">
        <v>1781.2767226495821</v>
      </c>
      <c r="J24" s="1">
        <v>1794.599602084601</v>
      </c>
      <c r="K24" s="1">
        <v>1917.698705850233</v>
      </c>
      <c r="L24" s="1">
        <v>1730.907403239861</v>
      </c>
      <c r="M24" s="1">
        <v>1301.268470202858</v>
      </c>
      <c r="N24" s="1">
        <v>1150.0315914302671</v>
      </c>
      <c r="O24" s="1">
        <v>1211.0632973133011</v>
      </c>
      <c r="P24" s="1">
        <v>817.99080665432552</v>
      </c>
      <c r="Q24" s="1">
        <v>846.4963874815096</v>
      </c>
      <c r="R24" s="1">
        <v>1466.096551807258</v>
      </c>
      <c r="S24" s="1">
        <v>1853.4898952961551</v>
      </c>
      <c r="T24" s="1">
        <v>2338.9948413512079</v>
      </c>
      <c r="U24" s="1">
        <v>2787.213397829018</v>
      </c>
      <c r="V24" s="1">
        <v>2651.842828539845</v>
      </c>
      <c r="W24" s="1">
        <v>2495.0211961288478</v>
      </c>
      <c r="X24" s="1">
        <v>2520.9884576385671</v>
      </c>
      <c r="Y24" s="1">
        <v>2487.9005050118221</v>
      </c>
      <c r="Z24" s="1">
        <v>2342.1067890922768</v>
      </c>
      <c r="AA24" s="1">
        <v>2207.534414262378</v>
      </c>
      <c r="AB24" s="8">
        <v>20</v>
      </c>
      <c r="AC24" s="8">
        <f t="shared" si="1"/>
        <v>906964.72999228397</v>
      </c>
      <c r="AI24"/>
    </row>
    <row r="25" spans="1:35" x14ac:dyDescent="0.35">
      <c r="A25" s="3">
        <v>2027</v>
      </c>
      <c r="B25" s="5" t="str">
        <f>PROPER(TEXT(DATEVALUE("1/"&amp;MOD(ROUNDDOWN((ROW()-6+8*3)/3,0),12)+1&amp;"/"&amp;Tabla1[[#This Row],[Año]]),"mmm"))</f>
        <v>Mar</v>
      </c>
      <c r="C25" s="7" t="str">
        <f t="shared" si="0"/>
        <v>Sábado</v>
      </c>
      <c r="D25" s="1">
        <v>2172.8943585938</v>
      </c>
      <c r="E25" s="1">
        <v>2102.131246264903</v>
      </c>
      <c r="F25" s="1">
        <v>2019.7110392020049</v>
      </c>
      <c r="G25" s="1">
        <v>1898.9216178725601</v>
      </c>
      <c r="H25" s="1">
        <v>1805.529809510366</v>
      </c>
      <c r="I25" s="1">
        <v>1687.7125193946099</v>
      </c>
      <c r="J25" s="1">
        <v>1363.985229768761</v>
      </c>
      <c r="K25" s="1">
        <v>916.26458074906077</v>
      </c>
      <c r="L25" s="1">
        <v>758.36915231864646</v>
      </c>
      <c r="M25" s="1">
        <v>471.67946692530808</v>
      </c>
      <c r="N25" s="1">
        <v>367.06602927213731</v>
      </c>
      <c r="O25" s="1">
        <v>290.91897197595921</v>
      </c>
      <c r="P25" s="1">
        <v>153.66151948418761</v>
      </c>
      <c r="Q25" s="1">
        <v>95.628433564989237</v>
      </c>
      <c r="R25" s="1">
        <v>227.47395398178861</v>
      </c>
      <c r="S25" s="1">
        <v>393.64257228073018</v>
      </c>
      <c r="T25" s="1">
        <v>787.96395202695919</v>
      </c>
      <c r="U25" s="1">
        <v>1516.4814838250261</v>
      </c>
      <c r="V25" s="1">
        <v>2046.39177437748</v>
      </c>
      <c r="W25" s="1">
        <v>2157.4706132518681</v>
      </c>
      <c r="X25" s="1">
        <v>2193.29976169163</v>
      </c>
      <c r="Y25" s="1">
        <v>2222.351519013805</v>
      </c>
      <c r="Z25" s="1">
        <v>2173.9525090427369</v>
      </c>
      <c r="AA25" s="1">
        <v>2100.659182789544</v>
      </c>
      <c r="AB25" s="8">
        <v>4</v>
      </c>
      <c r="AC25" s="8">
        <f t="shared" si="1"/>
        <v>127696.64518871547</v>
      </c>
    </row>
    <row r="26" spans="1:35" x14ac:dyDescent="0.35">
      <c r="A26" s="3">
        <v>2027</v>
      </c>
      <c r="B26" s="5" t="str">
        <f>PROPER(TEXT(DATEVALUE("1/"&amp;MOD(ROUNDDOWN((ROW()-6+8*3)/3,0),12)+1&amp;"/"&amp;Tabla1[[#This Row],[Año]]),"mmm"))</f>
        <v>Mar</v>
      </c>
      <c r="C26" s="7" t="str">
        <f t="shared" si="0"/>
        <v>Domingo y Festivo</v>
      </c>
      <c r="D26" s="1">
        <v>2035.691385023991</v>
      </c>
      <c r="E26" s="1">
        <v>1969.536430263121</v>
      </c>
      <c r="F26" s="1">
        <v>1888.49076175403</v>
      </c>
      <c r="G26" s="1">
        <v>1787.310634270945</v>
      </c>
      <c r="H26" s="1">
        <v>1700.372875583532</v>
      </c>
      <c r="I26" s="1">
        <v>1551.4839338052241</v>
      </c>
      <c r="J26" s="1">
        <v>1084.3194266770779</v>
      </c>
      <c r="K26" s="1">
        <v>326.07353360321628</v>
      </c>
      <c r="L26" s="1">
        <v>102.5594317121319</v>
      </c>
      <c r="M26" s="1">
        <v>60.518301837563648</v>
      </c>
      <c r="N26" s="1">
        <v>30.949463218497161</v>
      </c>
      <c r="O26" s="1">
        <v>15.86798334200739</v>
      </c>
      <c r="P26" s="1">
        <v>16.30164013834678</v>
      </c>
      <c r="Q26" s="1">
        <v>32.220880613501379</v>
      </c>
      <c r="R26" s="1">
        <v>62.540834836878084</v>
      </c>
      <c r="S26" s="1">
        <v>183.64239089138999</v>
      </c>
      <c r="T26" s="1">
        <v>688.93586386452978</v>
      </c>
      <c r="U26" s="1">
        <v>1337.966234214254</v>
      </c>
      <c r="V26" s="1">
        <v>1939.8878841995429</v>
      </c>
      <c r="W26" s="1">
        <v>2129.1066344162618</v>
      </c>
      <c r="X26" s="1">
        <v>2215.8850220216332</v>
      </c>
      <c r="Y26" s="1">
        <v>2230.2747233247719</v>
      </c>
      <c r="Z26" s="1">
        <v>2139.2492762295542</v>
      </c>
      <c r="AA26" s="1">
        <v>2034.4250418203301</v>
      </c>
      <c r="AB26" s="8">
        <v>7</v>
      </c>
      <c r="AC26" s="8">
        <f t="shared" si="1"/>
        <v>192945.27411363632</v>
      </c>
    </row>
    <row r="27" spans="1:35" x14ac:dyDescent="0.35">
      <c r="A27" s="3">
        <v>2027</v>
      </c>
      <c r="B27" s="5" t="str">
        <f>PROPER(TEXT(DATEVALUE("1/"&amp;MOD(ROUNDDOWN((ROW()-6+8*3)/3,0),12)+1&amp;"/"&amp;Tabla1[[#This Row],[Año]]),"mmm"))</f>
        <v>Abr</v>
      </c>
      <c r="C27" s="7" t="str">
        <f t="shared" si="0"/>
        <v>Hábil</v>
      </c>
      <c r="D27" s="1">
        <v>2155.370718271462</v>
      </c>
      <c r="E27" s="1">
        <v>2064.038830870014</v>
      </c>
      <c r="F27" s="1">
        <v>1977.9736253368901</v>
      </c>
      <c r="G27" s="1">
        <v>1889.529743952583</v>
      </c>
      <c r="H27" s="1">
        <v>1831.9767028894289</v>
      </c>
      <c r="I27" s="1">
        <v>1799.2912012458939</v>
      </c>
      <c r="J27" s="1">
        <v>1794.9330767629569</v>
      </c>
      <c r="K27" s="1">
        <v>1886.4020801761289</v>
      </c>
      <c r="L27" s="1">
        <v>1691.79560098928</v>
      </c>
      <c r="M27" s="1">
        <v>1252.3464232074159</v>
      </c>
      <c r="N27" s="1">
        <v>1076.86701381225</v>
      </c>
      <c r="O27" s="1">
        <v>1122.664350509559</v>
      </c>
      <c r="P27" s="1">
        <v>758.10563143518323</v>
      </c>
      <c r="Q27" s="1">
        <v>819.32210400429608</v>
      </c>
      <c r="R27" s="1">
        <v>1444.4268307205939</v>
      </c>
      <c r="S27" s="1">
        <v>1835.756909813088</v>
      </c>
      <c r="T27" s="1">
        <v>2327.111211259622</v>
      </c>
      <c r="U27" s="1">
        <v>2813.0480480133551</v>
      </c>
      <c r="V27" s="1">
        <v>2702.0374053750738</v>
      </c>
      <c r="W27" s="1">
        <v>2558.9744031846949</v>
      </c>
      <c r="X27" s="1">
        <v>2591.8865105286332</v>
      </c>
      <c r="Y27" s="1">
        <v>2565.3266965141788</v>
      </c>
      <c r="Z27" s="1">
        <v>2424.3529268263328</v>
      </c>
      <c r="AA27" s="1">
        <v>2288.322980653204</v>
      </c>
      <c r="AB27" s="8">
        <v>22</v>
      </c>
      <c r="AC27" s="8">
        <f t="shared" si="1"/>
        <v>1004780.9425797465</v>
      </c>
    </row>
    <row r="28" spans="1:35" x14ac:dyDescent="0.35">
      <c r="A28" s="3">
        <v>2027</v>
      </c>
      <c r="B28" s="5" t="str">
        <f>PROPER(TEXT(DATEVALUE("1/"&amp;MOD(ROUNDDOWN((ROW()-6+8*3)/3,0),12)+1&amp;"/"&amp;Tabla1[[#This Row],[Año]]),"mmm"))</f>
        <v>Abr</v>
      </c>
      <c r="C28" s="7" t="str">
        <f t="shared" si="0"/>
        <v>Sábado</v>
      </c>
      <c r="D28" s="1">
        <v>2252.8144396498869</v>
      </c>
      <c r="E28" s="1">
        <v>2190.2015873334922</v>
      </c>
      <c r="F28" s="1">
        <v>2106.0666792505508</v>
      </c>
      <c r="G28" s="1">
        <v>1981.36923239523</v>
      </c>
      <c r="H28" s="1">
        <v>1883.495129317467</v>
      </c>
      <c r="I28" s="1">
        <v>1771.1517306895801</v>
      </c>
      <c r="J28" s="1">
        <v>1444.395595133821</v>
      </c>
      <c r="K28" s="1">
        <v>1051.150952864002</v>
      </c>
      <c r="L28" s="1">
        <v>985.28348166492628</v>
      </c>
      <c r="M28" s="1">
        <v>511.99693535344892</v>
      </c>
      <c r="N28" s="1">
        <v>422.04170788061708</v>
      </c>
      <c r="O28" s="1">
        <v>362.146512466123</v>
      </c>
      <c r="P28" s="1">
        <v>254.9931443448219</v>
      </c>
      <c r="Q28" s="1">
        <v>155.12999666121581</v>
      </c>
      <c r="R28" s="1">
        <v>331.99890474415662</v>
      </c>
      <c r="S28" s="1">
        <v>553.40235159947656</v>
      </c>
      <c r="T28" s="1">
        <v>923.77645467725335</v>
      </c>
      <c r="U28" s="1">
        <v>1612.037853305126</v>
      </c>
      <c r="V28" s="1">
        <v>2109.1539888608859</v>
      </c>
      <c r="W28" s="1">
        <v>2212.5086311307041</v>
      </c>
      <c r="X28" s="1">
        <v>2247.2441023297811</v>
      </c>
      <c r="Y28" s="1">
        <v>2269.1866486412591</v>
      </c>
      <c r="Z28" s="1">
        <v>2230.4258761140909</v>
      </c>
      <c r="AA28" s="1">
        <v>2149.911071528586</v>
      </c>
      <c r="AB28" s="8">
        <v>4</v>
      </c>
      <c r="AC28" s="8">
        <f t="shared" si="1"/>
        <v>136047.53203174603</v>
      </c>
    </row>
    <row r="29" spans="1:35" x14ac:dyDescent="0.35">
      <c r="A29" s="3">
        <v>2027</v>
      </c>
      <c r="B29" s="5" t="str">
        <f>PROPER(TEXT(DATEVALUE("1/"&amp;MOD(ROUNDDOWN((ROW()-6+8*3)/3,0),12)+1&amp;"/"&amp;Tabla1[[#This Row],[Año]]),"mmm"))</f>
        <v>Abr</v>
      </c>
      <c r="C29" s="7" t="str">
        <f t="shared" si="0"/>
        <v>Domingo y Festivo</v>
      </c>
      <c r="D29" s="1">
        <v>2088.506837732019</v>
      </c>
      <c r="E29" s="1">
        <v>2019.620658033444</v>
      </c>
      <c r="F29" s="1">
        <v>1934.0387542635619</v>
      </c>
      <c r="G29" s="1">
        <v>1826.83354669203</v>
      </c>
      <c r="H29" s="1">
        <v>1732.868708759943</v>
      </c>
      <c r="I29" s="1">
        <v>1576.2678686974721</v>
      </c>
      <c r="J29" s="1">
        <v>1101.4332583552921</v>
      </c>
      <c r="K29" s="1">
        <v>335.79029262759008</v>
      </c>
      <c r="L29" s="1">
        <v>105.8331668877475</v>
      </c>
      <c r="M29" s="1">
        <v>58.645475597027144</v>
      </c>
      <c r="N29" s="1">
        <v>25.876205042398482</v>
      </c>
      <c r="O29" s="1">
        <v>9.667402895818384</v>
      </c>
      <c r="P29" s="1">
        <v>10.73222560008645</v>
      </c>
      <c r="Q29" s="1">
        <v>29.2863649155309</v>
      </c>
      <c r="R29" s="1">
        <v>64.206433258121621</v>
      </c>
      <c r="S29" s="1">
        <v>191.44659994514791</v>
      </c>
      <c r="T29" s="1">
        <v>704.00657225755776</v>
      </c>
      <c r="U29" s="1">
        <v>1360.8096590804539</v>
      </c>
      <c r="V29" s="1">
        <v>1970.418164690735</v>
      </c>
      <c r="W29" s="1">
        <v>2166.9356174763911</v>
      </c>
      <c r="X29" s="1">
        <v>2260.0212099989908</v>
      </c>
      <c r="Y29" s="1">
        <v>2279.4294122278229</v>
      </c>
      <c r="Z29" s="1">
        <v>2191.6411415677539</v>
      </c>
      <c r="AA29" s="1">
        <v>2088.061464965599</v>
      </c>
      <c r="AB29" s="8">
        <v>4</v>
      </c>
      <c r="AC29" s="8">
        <f t="shared" si="1"/>
        <v>112529.50816627414</v>
      </c>
    </row>
    <row r="30" spans="1:35" x14ac:dyDescent="0.35">
      <c r="A30" s="3">
        <v>2027</v>
      </c>
      <c r="B30" s="5" t="str">
        <f>PROPER(TEXT(DATEVALUE("1/"&amp;MOD(ROUNDDOWN((ROW()-6+8*3)/3,0),12)+1&amp;"/"&amp;Tabla1[[#This Row],[Año]]),"mmm"))</f>
        <v>May</v>
      </c>
      <c r="C30" s="7" t="str">
        <f t="shared" si="0"/>
        <v>Hábil</v>
      </c>
      <c r="D30" s="1">
        <v>2216.5813452540779</v>
      </c>
      <c r="E30" s="1">
        <v>2122.4846540770109</v>
      </c>
      <c r="F30" s="1">
        <v>2031.917123827322</v>
      </c>
      <c r="G30" s="1">
        <v>1936.827771418212</v>
      </c>
      <c r="H30" s="1">
        <v>1870.664189441698</v>
      </c>
      <c r="I30" s="1">
        <v>1828.342190394098</v>
      </c>
      <c r="J30" s="1">
        <v>1822.3833117106201</v>
      </c>
      <c r="K30" s="1">
        <v>1929.015428480539</v>
      </c>
      <c r="L30" s="1">
        <v>1729.7708625410289</v>
      </c>
      <c r="M30" s="1">
        <v>1292.708712565244</v>
      </c>
      <c r="N30" s="1">
        <v>1138.781048341973</v>
      </c>
      <c r="O30" s="1">
        <v>1202.9293596262651</v>
      </c>
      <c r="P30" s="1">
        <v>817.85205987380436</v>
      </c>
      <c r="Q30" s="1">
        <v>858.93085631402914</v>
      </c>
      <c r="R30" s="1">
        <v>1495.1973339321389</v>
      </c>
      <c r="S30" s="1">
        <v>1902.7724758149329</v>
      </c>
      <c r="T30" s="1">
        <v>2409.636584107247</v>
      </c>
      <c r="U30" s="1">
        <v>2879.1322673653622</v>
      </c>
      <c r="V30" s="1">
        <v>2763.3074618383139</v>
      </c>
      <c r="W30" s="1">
        <v>2623.2032398052379</v>
      </c>
      <c r="X30" s="1">
        <v>2661.9188583763271</v>
      </c>
      <c r="Y30" s="1">
        <v>2636.6289030889538</v>
      </c>
      <c r="Z30" s="1">
        <v>2493.3197252069631</v>
      </c>
      <c r="AA30" s="1">
        <v>2355.704045501619</v>
      </c>
      <c r="AB30" s="8">
        <v>19</v>
      </c>
      <c r="AC30" s="8">
        <f t="shared" si="1"/>
        <v>893380.1863691574</v>
      </c>
    </row>
    <row r="31" spans="1:35" x14ac:dyDescent="0.35">
      <c r="A31" s="3">
        <v>2027</v>
      </c>
      <c r="B31" s="5" t="str">
        <f>PROPER(TEXT(DATEVALUE("1/"&amp;MOD(ROUNDDOWN((ROW()-6+8*3)/3,0),12)+1&amp;"/"&amp;Tabla1[[#This Row],[Año]]),"mmm"))</f>
        <v>May</v>
      </c>
      <c r="C31" s="7" t="str">
        <f t="shared" si="0"/>
        <v>Sábado</v>
      </c>
      <c r="D31" s="1">
        <v>2314.846485353642</v>
      </c>
      <c r="E31" s="1">
        <v>2249.376818596369</v>
      </c>
      <c r="F31" s="1">
        <v>2160.2819779828142</v>
      </c>
      <c r="G31" s="1">
        <v>2028.867377459798</v>
      </c>
      <c r="H31" s="1">
        <v>1922.984710368936</v>
      </c>
      <c r="I31" s="1">
        <v>1801.8953024579951</v>
      </c>
      <c r="J31" s="1">
        <v>1466.260064305015</v>
      </c>
      <c r="K31" s="1">
        <v>1064.616763524094</v>
      </c>
      <c r="L31" s="1">
        <v>991.41197311655071</v>
      </c>
      <c r="M31" s="1">
        <v>512.35809662559188</v>
      </c>
      <c r="N31" s="1">
        <v>418.60725218477103</v>
      </c>
      <c r="O31" s="1">
        <v>357.15555827106652</v>
      </c>
      <c r="P31" s="1">
        <v>250.79965658749279</v>
      </c>
      <c r="Q31" s="1">
        <v>154.04238465939821</v>
      </c>
      <c r="R31" s="1">
        <v>336.12270791630033</v>
      </c>
      <c r="S31" s="1">
        <v>564.49673369987079</v>
      </c>
      <c r="T31" s="1">
        <v>943.13428625912456</v>
      </c>
      <c r="U31" s="1">
        <v>1640.3975546572719</v>
      </c>
      <c r="V31" s="1">
        <v>2146.649141271339</v>
      </c>
      <c r="W31" s="1">
        <v>2258.658790513347</v>
      </c>
      <c r="X31" s="1">
        <v>2300.9874414081132</v>
      </c>
      <c r="Y31" s="1">
        <v>2328.9522033674489</v>
      </c>
      <c r="Z31" s="1">
        <v>2294.2404730688272</v>
      </c>
      <c r="AA31" s="1">
        <v>2215.5336496258792</v>
      </c>
      <c r="AB31" s="8">
        <v>4</v>
      </c>
      <c r="AC31" s="8">
        <f t="shared" si="1"/>
        <v>138890.70961312426</v>
      </c>
    </row>
    <row r="32" spans="1:35" x14ac:dyDescent="0.35">
      <c r="A32" s="3">
        <v>2027</v>
      </c>
      <c r="B32" s="5" t="str">
        <f>PROPER(TEXT(DATEVALUE("1/"&amp;MOD(ROUNDDOWN((ROW()-6+8*3)/3,0),12)+1&amp;"/"&amp;Tabla1[[#This Row],[Año]]),"mmm"))</f>
        <v>May</v>
      </c>
      <c r="C32" s="7" t="str">
        <f t="shared" si="0"/>
        <v>Domingo y Festivo</v>
      </c>
      <c r="D32" s="1">
        <v>2137.660052350519</v>
      </c>
      <c r="E32" s="1">
        <v>2064.963655420705</v>
      </c>
      <c r="F32" s="1">
        <v>1970.90111782146</v>
      </c>
      <c r="G32" s="1">
        <v>1856.5286132564561</v>
      </c>
      <c r="H32" s="1">
        <v>1755.9821637624759</v>
      </c>
      <c r="I32" s="1">
        <v>1590.1712881750921</v>
      </c>
      <c r="J32" s="1">
        <v>1091.59517774664</v>
      </c>
      <c r="K32" s="1">
        <v>323.24543236558372</v>
      </c>
      <c r="L32" s="1">
        <v>102.28487953626031</v>
      </c>
      <c r="M32" s="1">
        <v>50.392465090698778</v>
      </c>
      <c r="N32" s="1">
        <v>14.894719149544979</v>
      </c>
      <c r="O32" s="1">
        <v>0</v>
      </c>
      <c r="P32" s="1">
        <v>1.4843918100989411</v>
      </c>
      <c r="Q32" s="1">
        <v>24.489192655527461</v>
      </c>
      <c r="R32" s="1">
        <v>65.660901764394367</v>
      </c>
      <c r="S32" s="1">
        <v>203.64362324485049</v>
      </c>
      <c r="T32" s="1">
        <v>721.12695926169488</v>
      </c>
      <c r="U32" s="1">
        <v>1385.0486237626319</v>
      </c>
      <c r="V32" s="1">
        <v>2006.0866950834829</v>
      </c>
      <c r="W32" s="1">
        <v>2209.7987946867352</v>
      </c>
      <c r="X32" s="1">
        <v>2307.6073315606332</v>
      </c>
      <c r="Y32" s="1">
        <v>2329.7771852727128</v>
      </c>
      <c r="Z32" s="1">
        <v>2243.948779805839</v>
      </c>
      <c r="AA32" s="1">
        <v>2143.6098946366501</v>
      </c>
      <c r="AB32" s="8">
        <v>8</v>
      </c>
      <c r="AC32" s="8">
        <f t="shared" si="1"/>
        <v>228807.21550576555</v>
      </c>
    </row>
    <row r="33" spans="1:29" x14ac:dyDescent="0.35">
      <c r="A33" s="3">
        <v>2027</v>
      </c>
      <c r="B33" s="5" t="str">
        <f>PROPER(TEXT(DATEVALUE("1/"&amp;MOD(ROUNDDOWN((ROW()-6+8*3)/3,0),12)+1&amp;"/"&amp;Tabla1[[#This Row],[Año]]),"mmm"))</f>
        <v>Jun</v>
      </c>
      <c r="C33" s="7" t="str">
        <f t="shared" si="0"/>
        <v>Hábil</v>
      </c>
      <c r="D33" s="1">
        <v>2216.5813452540779</v>
      </c>
      <c r="E33" s="1">
        <v>2122.4846540770109</v>
      </c>
      <c r="F33" s="1">
        <v>2031.917123827322</v>
      </c>
      <c r="G33" s="1">
        <v>1936.827771418212</v>
      </c>
      <c r="H33" s="1">
        <v>1870.664189441698</v>
      </c>
      <c r="I33" s="1">
        <v>1828.342190394098</v>
      </c>
      <c r="J33" s="1">
        <v>1822.3833117106201</v>
      </c>
      <c r="K33" s="1">
        <v>1929.015428480539</v>
      </c>
      <c r="L33" s="1">
        <v>1729.7708625410289</v>
      </c>
      <c r="M33" s="1">
        <v>1292.708712565244</v>
      </c>
      <c r="N33" s="1">
        <v>1138.781048341973</v>
      </c>
      <c r="O33" s="1">
        <v>1202.9293596262651</v>
      </c>
      <c r="P33" s="1">
        <v>817.85205987380436</v>
      </c>
      <c r="Q33" s="1">
        <v>858.93085631402914</v>
      </c>
      <c r="R33" s="1">
        <v>1495.1973339321389</v>
      </c>
      <c r="S33" s="1">
        <v>1902.7724758149329</v>
      </c>
      <c r="T33" s="1">
        <v>2409.636584107247</v>
      </c>
      <c r="U33" s="1">
        <v>2879.1322673653622</v>
      </c>
      <c r="V33" s="1">
        <v>2763.3074618383139</v>
      </c>
      <c r="W33" s="1">
        <v>2623.2032398052379</v>
      </c>
      <c r="X33" s="1">
        <v>2661.9188583763271</v>
      </c>
      <c r="Y33" s="1">
        <v>2636.6289030889538</v>
      </c>
      <c r="Z33" s="1">
        <v>2493.3197252069631</v>
      </c>
      <c r="AA33" s="1">
        <v>2355.704045501619</v>
      </c>
      <c r="AB33" s="8">
        <v>21</v>
      </c>
      <c r="AC33" s="8">
        <f t="shared" si="1"/>
        <v>987420.20598696347</v>
      </c>
    </row>
    <row r="34" spans="1:29" x14ac:dyDescent="0.35">
      <c r="A34" s="3">
        <v>2027</v>
      </c>
      <c r="B34" s="5" t="str">
        <f>PROPER(TEXT(DATEVALUE("1/"&amp;MOD(ROUNDDOWN((ROW()-6+8*3)/3,0),12)+1&amp;"/"&amp;Tabla1[[#This Row],[Año]]),"mmm"))</f>
        <v>Jun</v>
      </c>
      <c r="C34" s="7" t="str">
        <f t="shared" si="0"/>
        <v>Sábado</v>
      </c>
      <c r="D34" s="1">
        <v>2314.846485353642</v>
      </c>
      <c r="E34" s="1">
        <v>2249.376818596369</v>
      </c>
      <c r="F34" s="1">
        <v>2160.2819779828142</v>
      </c>
      <c r="G34" s="1">
        <v>2028.867377459798</v>
      </c>
      <c r="H34" s="1">
        <v>1922.984710368936</v>
      </c>
      <c r="I34" s="1">
        <v>1801.8953024579951</v>
      </c>
      <c r="J34" s="1">
        <v>1466.260064305015</v>
      </c>
      <c r="K34" s="1">
        <v>1064.616763524094</v>
      </c>
      <c r="L34" s="1">
        <v>991.41197311655071</v>
      </c>
      <c r="M34" s="1">
        <v>512.35809662559188</v>
      </c>
      <c r="N34" s="1">
        <v>418.60725218477103</v>
      </c>
      <c r="O34" s="1">
        <v>357.15555827106652</v>
      </c>
      <c r="P34" s="1">
        <v>250.79965658749279</v>
      </c>
      <c r="Q34" s="1">
        <v>154.04238465939821</v>
      </c>
      <c r="R34" s="1">
        <v>336.12270791630033</v>
      </c>
      <c r="S34" s="1">
        <v>564.49673369987079</v>
      </c>
      <c r="T34" s="1">
        <v>943.13428625912456</v>
      </c>
      <c r="U34" s="1">
        <v>1640.3975546572719</v>
      </c>
      <c r="V34" s="1">
        <v>2146.649141271339</v>
      </c>
      <c r="W34" s="1">
        <v>2258.658790513347</v>
      </c>
      <c r="X34" s="1">
        <v>2300.9874414081132</v>
      </c>
      <c r="Y34" s="1">
        <v>2328.9522033674489</v>
      </c>
      <c r="Z34" s="1">
        <v>2294.2404730688272</v>
      </c>
      <c r="AA34" s="1">
        <v>2215.5336496258792</v>
      </c>
      <c r="AB34" s="8">
        <v>4</v>
      </c>
      <c r="AC34" s="8">
        <f t="shared" si="1"/>
        <v>138890.70961312426</v>
      </c>
    </row>
    <row r="35" spans="1:29" x14ac:dyDescent="0.35">
      <c r="A35" s="3">
        <v>2027</v>
      </c>
      <c r="B35" s="5" t="str">
        <f>PROPER(TEXT(DATEVALUE("1/"&amp;MOD(ROUNDDOWN((ROW()-6+8*3)/3,0),12)+1&amp;"/"&amp;Tabla1[[#This Row],[Año]]),"mmm"))</f>
        <v>Jun</v>
      </c>
      <c r="C35" s="7" t="str">
        <f t="shared" ref="C35:C53" si="2">CHOOSE(MOD(ROW()-6,3)+1,"Hábil","Sábado","Domingo y Festivo")</f>
        <v>Domingo y Festivo</v>
      </c>
      <c r="D35" s="1">
        <v>2137.660052350519</v>
      </c>
      <c r="E35" s="1">
        <v>2064.963655420705</v>
      </c>
      <c r="F35" s="1">
        <v>1970.90111782146</v>
      </c>
      <c r="G35" s="1">
        <v>1856.5286132564561</v>
      </c>
      <c r="H35" s="1">
        <v>1755.9821637624759</v>
      </c>
      <c r="I35" s="1">
        <v>1590.1712881750921</v>
      </c>
      <c r="J35" s="1">
        <v>1091.59517774664</v>
      </c>
      <c r="K35" s="1">
        <v>323.24543236558372</v>
      </c>
      <c r="L35" s="1">
        <v>102.28487953626031</v>
      </c>
      <c r="M35" s="1">
        <v>50.392465090698778</v>
      </c>
      <c r="N35" s="1">
        <v>14.894719149544979</v>
      </c>
      <c r="O35" s="1">
        <v>0</v>
      </c>
      <c r="P35" s="1">
        <v>1.4843918100989411</v>
      </c>
      <c r="Q35" s="1">
        <v>24.489192655527461</v>
      </c>
      <c r="R35" s="1">
        <v>65.660901764394367</v>
      </c>
      <c r="S35" s="1">
        <v>203.64362324485049</v>
      </c>
      <c r="T35" s="1">
        <v>721.12695926169488</v>
      </c>
      <c r="U35" s="1">
        <v>1385.0486237626319</v>
      </c>
      <c r="V35" s="1">
        <v>2006.0866950834829</v>
      </c>
      <c r="W35" s="1">
        <v>2209.7987946867352</v>
      </c>
      <c r="X35" s="1">
        <v>2307.6073315606332</v>
      </c>
      <c r="Y35" s="1">
        <v>2329.7771852727128</v>
      </c>
      <c r="Z35" s="1">
        <v>2243.948779805839</v>
      </c>
      <c r="AA35" s="1">
        <v>2143.6098946366501</v>
      </c>
      <c r="AB35" s="8">
        <v>5</v>
      </c>
      <c r="AC35" s="8">
        <f t="shared" si="1"/>
        <v>143004.50969110348</v>
      </c>
    </row>
    <row r="36" spans="1:29" x14ac:dyDescent="0.35">
      <c r="A36" s="3">
        <v>2027</v>
      </c>
      <c r="B36" s="5" t="str">
        <f>PROPER(TEXT(DATEVALUE("1/"&amp;MOD(ROUNDDOWN((ROW()-6+8*3)/3,0),12)+1&amp;"/"&amp;Tabla1[[#This Row],[Año]]),"mmm"))</f>
        <v>Jul</v>
      </c>
      <c r="C36" s="7" t="str">
        <f t="shared" si="2"/>
        <v>Hábil</v>
      </c>
      <c r="D36" s="1">
        <v>2216.5813452540779</v>
      </c>
      <c r="E36" s="1">
        <v>2122.4846540770109</v>
      </c>
      <c r="F36" s="1">
        <v>2031.917123827322</v>
      </c>
      <c r="G36" s="1">
        <v>1936.827771418212</v>
      </c>
      <c r="H36" s="1">
        <v>1870.664189441698</v>
      </c>
      <c r="I36" s="1">
        <v>1828.342190394098</v>
      </c>
      <c r="J36" s="1">
        <v>1822.3833117106201</v>
      </c>
      <c r="K36" s="1">
        <v>1929.015428480539</v>
      </c>
      <c r="L36" s="1">
        <v>1729.7708625410289</v>
      </c>
      <c r="M36" s="1">
        <v>1292.708712565244</v>
      </c>
      <c r="N36" s="1">
        <v>1138.781048341973</v>
      </c>
      <c r="O36" s="1">
        <v>1202.9293596262651</v>
      </c>
      <c r="P36" s="1">
        <v>817.85205987380436</v>
      </c>
      <c r="Q36" s="1">
        <v>858.93085631402914</v>
      </c>
      <c r="R36" s="1">
        <v>1495.1973339321389</v>
      </c>
      <c r="S36" s="1">
        <v>1902.7724758149329</v>
      </c>
      <c r="T36" s="1">
        <v>2409.636584107247</v>
      </c>
      <c r="U36" s="1">
        <v>2879.1322673653622</v>
      </c>
      <c r="V36" s="1">
        <v>2763.3074618383139</v>
      </c>
      <c r="W36" s="1">
        <v>2623.2032398052379</v>
      </c>
      <c r="X36" s="1">
        <v>2661.9188583763271</v>
      </c>
      <c r="Y36" s="1">
        <v>2636.6289030889538</v>
      </c>
      <c r="Z36" s="1">
        <v>2493.3197252069631</v>
      </c>
      <c r="AA36" s="1">
        <v>2355.704045501619</v>
      </c>
      <c r="AB36" s="8">
        <v>20</v>
      </c>
      <c r="AC36" s="8">
        <f t="shared" si="1"/>
        <v>940400.19617806049</v>
      </c>
    </row>
    <row r="37" spans="1:29" x14ac:dyDescent="0.35">
      <c r="A37" s="3">
        <v>2027</v>
      </c>
      <c r="B37" s="5" t="str">
        <f>PROPER(TEXT(DATEVALUE("1/"&amp;MOD(ROUNDDOWN((ROW()-6+8*3)/3,0),12)+1&amp;"/"&amp;Tabla1[[#This Row],[Año]]),"mmm"))</f>
        <v>Jul</v>
      </c>
      <c r="C37" s="7" t="str">
        <f t="shared" si="2"/>
        <v>Sábado</v>
      </c>
      <c r="D37" s="1">
        <v>2314.846485353642</v>
      </c>
      <c r="E37" s="1">
        <v>2249.376818596369</v>
      </c>
      <c r="F37" s="1">
        <v>2160.2819779828142</v>
      </c>
      <c r="G37" s="1">
        <v>2028.867377459798</v>
      </c>
      <c r="H37" s="1">
        <v>1922.984710368936</v>
      </c>
      <c r="I37" s="1">
        <v>1801.8953024579951</v>
      </c>
      <c r="J37" s="1">
        <v>1466.260064305015</v>
      </c>
      <c r="K37" s="1">
        <v>1064.616763524094</v>
      </c>
      <c r="L37" s="1">
        <v>991.41197311655071</v>
      </c>
      <c r="M37" s="1">
        <v>512.35809662559188</v>
      </c>
      <c r="N37" s="1">
        <v>418.60725218477103</v>
      </c>
      <c r="O37" s="1">
        <v>357.15555827106652</v>
      </c>
      <c r="P37" s="1">
        <v>250.79965658749279</v>
      </c>
      <c r="Q37" s="1">
        <v>154.04238465939821</v>
      </c>
      <c r="R37" s="1">
        <v>336.12270791630033</v>
      </c>
      <c r="S37" s="1">
        <v>564.49673369987079</v>
      </c>
      <c r="T37" s="1">
        <v>943.13428625912456</v>
      </c>
      <c r="U37" s="1">
        <v>1640.3975546572719</v>
      </c>
      <c r="V37" s="1">
        <v>2146.649141271339</v>
      </c>
      <c r="W37" s="1">
        <v>2258.658790513347</v>
      </c>
      <c r="X37" s="1">
        <v>2300.9874414081132</v>
      </c>
      <c r="Y37" s="1">
        <v>2328.9522033674489</v>
      </c>
      <c r="Z37" s="1">
        <v>2294.2404730688272</v>
      </c>
      <c r="AA37" s="1">
        <v>2215.5336496258792</v>
      </c>
      <c r="AB37" s="8">
        <v>5</v>
      </c>
      <c r="AC37" s="8">
        <f t="shared" si="1"/>
        <v>173613.38701640532</v>
      </c>
    </row>
    <row r="38" spans="1:29" x14ac:dyDescent="0.35">
      <c r="A38" s="3">
        <v>2027</v>
      </c>
      <c r="B38" s="5" t="str">
        <f>PROPER(TEXT(DATEVALUE("1/"&amp;MOD(ROUNDDOWN((ROW()-6+8*3)/3,0),12)+1&amp;"/"&amp;Tabla1[[#This Row],[Año]]),"mmm"))</f>
        <v>Jul</v>
      </c>
      <c r="C38" s="7" t="str">
        <f t="shared" si="2"/>
        <v>Domingo y Festivo</v>
      </c>
      <c r="D38" s="1">
        <v>2137.660052350519</v>
      </c>
      <c r="E38" s="1">
        <v>2064.963655420705</v>
      </c>
      <c r="F38" s="1">
        <v>1970.90111782146</v>
      </c>
      <c r="G38" s="1">
        <v>1856.5286132564561</v>
      </c>
      <c r="H38" s="1">
        <v>1755.9821637624759</v>
      </c>
      <c r="I38" s="1">
        <v>1590.1712881750921</v>
      </c>
      <c r="J38" s="1">
        <v>1091.59517774664</v>
      </c>
      <c r="K38" s="1">
        <v>323.24543236558372</v>
      </c>
      <c r="L38" s="1">
        <v>102.28487953626031</v>
      </c>
      <c r="M38" s="1">
        <v>50.392465090698778</v>
      </c>
      <c r="N38" s="1">
        <v>14.894719149544979</v>
      </c>
      <c r="O38" s="1">
        <v>0</v>
      </c>
      <c r="P38" s="1">
        <v>1.4843918100989411</v>
      </c>
      <c r="Q38" s="1">
        <v>24.489192655527461</v>
      </c>
      <c r="R38" s="1">
        <v>65.660901764394367</v>
      </c>
      <c r="S38" s="1">
        <v>203.64362324485049</v>
      </c>
      <c r="T38" s="1">
        <v>721.12695926169488</v>
      </c>
      <c r="U38" s="1">
        <v>1385.0486237626319</v>
      </c>
      <c r="V38" s="1">
        <v>2006.0866950834829</v>
      </c>
      <c r="W38" s="1">
        <v>2209.7987946867352</v>
      </c>
      <c r="X38" s="1">
        <v>2307.6073315606332</v>
      </c>
      <c r="Y38" s="1">
        <v>2329.7771852727128</v>
      </c>
      <c r="Z38" s="1">
        <v>2243.948779805839</v>
      </c>
      <c r="AA38" s="1">
        <v>2143.6098946366501</v>
      </c>
      <c r="AB38" s="8">
        <v>6</v>
      </c>
      <c r="AC38" s="8">
        <f t="shared" si="1"/>
        <v>171605.41162932417</v>
      </c>
    </row>
    <row r="39" spans="1:29" x14ac:dyDescent="0.35">
      <c r="A39" s="3">
        <v>2027</v>
      </c>
      <c r="B39" s="5" t="str">
        <f>PROPER(TEXT(DATEVALUE("1/"&amp;MOD(ROUNDDOWN((ROW()-6+8*3)/3,0),12)+1&amp;"/"&amp;Tabla1[[#This Row],[Año]]),"mmm"))</f>
        <v>Ago</v>
      </c>
      <c r="C39" s="7" t="str">
        <f t="shared" si="2"/>
        <v>Hábil</v>
      </c>
      <c r="D39" s="1">
        <v>2216.5813452540779</v>
      </c>
      <c r="E39" s="1">
        <v>2122.4846540770109</v>
      </c>
      <c r="F39" s="1">
        <v>2031.917123827322</v>
      </c>
      <c r="G39" s="1">
        <v>1936.827771418212</v>
      </c>
      <c r="H39" s="1">
        <v>1870.664189441698</v>
      </c>
      <c r="I39" s="1">
        <v>1828.342190394098</v>
      </c>
      <c r="J39" s="1">
        <v>1822.3833117106201</v>
      </c>
      <c r="K39" s="1">
        <v>1929.015428480539</v>
      </c>
      <c r="L39" s="1">
        <v>1729.7708625410289</v>
      </c>
      <c r="M39" s="1">
        <v>1292.708712565244</v>
      </c>
      <c r="N39" s="1">
        <v>1138.781048341973</v>
      </c>
      <c r="O39" s="1">
        <v>1202.9293596262651</v>
      </c>
      <c r="P39" s="1">
        <v>817.85205987380436</v>
      </c>
      <c r="Q39" s="1">
        <v>858.93085631402914</v>
      </c>
      <c r="R39" s="1">
        <v>1495.1973339321389</v>
      </c>
      <c r="S39" s="1">
        <v>1902.7724758149329</v>
      </c>
      <c r="T39" s="1">
        <v>2409.636584107247</v>
      </c>
      <c r="U39" s="1">
        <v>2879.1322673653622</v>
      </c>
      <c r="V39" s="1">
        <v>2763.3074618383139</v>
      </c>
      <c r="W39" s="1">
        <v>2623.2032398052379</v>
      </c>
      <c r="X39" s="1">
        <v>2661.9188583763271</v>
      </c>
      <c r="Y39" s="1">
        <v>2636.6289030889538</v>
      </c>
      <c r="Z39" s="1">
        <v>2493.3197252069631</v>
      </c>
      <c r="AA39" s="1">
        <v>2355.704045501619</v>
      </c>
      <c r="AB39" s="8">
        <v>21</v>
      </c>
      <c r="AC39" s="8">
        <f t="shared" si="1"/>
        <v>987420.20598696347</v>
      </c>
    </row>
    <row r="40" spans="1:29" x14ac:dyDescent="0.35">
      <c r="A40" s="3">
        <v>2027</v>
      </c>
      <c r="B40" s="5" t="str">
        <f>PROPER(TEXT(DATEVALUE("1/"&amp;MOD(ROUNDDOWN((ROW()-6+8*3)/3,0),12)+1&amp;"/"&amp;Tabla1[[#This Row],[Año]]),"mmm"))</f>
        <v>Ago</v>
      </c>
      <c r="C40" s="7" t="str">
        <f t="shared" si="2"/>
        <v>Sábado</v>
      </c>
      <c r="D40" s="1">
        <v>2314.846485353642</v>
      </c>
      <c r="E40" s="1">
        <v>2249.376818596369</v>
      </c>
      <c r="F40" s="1">
        <v>2160.2819779828142</v>
      </c>
      <c r="G40" s="1">
        <v>2028.867377459798</v>
      </c>
      <c r="H40" s="1">
        <v>1922.984710368936</v>
      </c>
      <c r="I40" s="1">
        <v>1801.8953024579951</v>
      </c>
      <c r="J40" s="1">
        <v>1466.260064305015</v>
      </c>
      <c r="K40" s="1">
        <v>1064.616763524094</v>
      </c>
      <c r="L40" s="1">
        <v>991.41197311655071</v>
      </c>
      <c r="M40" s="1">
        <v>512.35809662559188</v>
      </c>
      <c r="N40" s="1">
        <v>418.60725218477103</v>
      </c>
      <c r="O40" s="1">
        <v>357.15555827106652</v>
      </c>
      <c r="P40" s="1">
        <v>250.79965658749279</v>
      </c>
      <c r="Q40" s="1">
        <v>154.04238465939821</v>
      </c>
      <c r="R40" s="1">
        <v>336.12270791630033</v>
      </c>
      <c r="S40" s="1">
        <v>564.49673369987079</v>
      </c>
      <c r="T40" s="1">
        <v>943.13428625912456</v>
      </c>
      <c r="U40" s="1">
        <v>1640.3975546572719</v>
      </c>
      <c r="V40" s="1">
        <v>2146.649141271339</v>
      </c>
      <c r="W40" s="1">
        <v>2258.658790513347</v>
      </c>
      <c r="X40" s="1">
        <v>2300.9874414081132</v>
      </c>
      <c r="Y40" s="1">
        <v>2328.9522033674489</v>
      </c>
      <c r="Z40" s="1">
        <v>2294.2404730688272</v>
      </c>
      <c r="AA40" s="1">
        <v>2215.5336496258792</v>
      </c>
      <c r="AB40" s="8">
        <v>3</v>
      </c>
      <c r="AC40" s="8">
        <f t="shared" si="1"/>
        <v>104168.03220984319</v>
      </c>
    </row>
    <row r="41" spans="1:29" x14ac:dyDescent="0.35">
      <c r="A41" s="3">
        <v>2027</v>
      </c>
      <c r="B41" s="5" t="str">
        <f>PROPER(TEXT(DATEVALUE("1/"&amp;MOD(ROUNDDOWN((ROW()-6+8*3)/3,0),12)+1&amp;"/"&amp;Tabla1[[#This Row],[Año]]),"mmm"))</f>
        <v>Ago</v>
      </c>
      <c r="C41" s="7" t="str">
        <f t="shared" si="2"/>
        <v>Domingo y Festivo</v>
      </c>
      <c r="D41" s="1">
        <v>2137.660052350519</v>
      </c>
      <c r="E41" s="1">
        <v>2064.963655420705</v>
      </c>
      <c r="F41" s="1">
        <v>1970.90111782146</v>
      </c>
      <c r="G41" s="1">
        <v>1856.5286132564561</v>
      </c>
      <c r="H41" s="1">
        <v>1755.9821637624759</v>
      </c>
      <c r="I41" s="1">
        <v>1590.1712881750921</v>
      </c>
      <c r="J41" s="1">
        <v>1091.59517774664</v>
      </c>
      <c r="K41" s="1">
        <v>323.24543236558372</v>
      </c>
      <c r="L41" s="1">
        <v>102.28487953626031</v>
      </c>
      <c r="M41" s="1">
        <v>50.392465090698778</v>
      </c>
      <c r="N41" s="1">
        <v>14.894719149544979</v>
      </c>
      <c r="O41" s="1">
        <v>0</v>
      </c>
      <c r="P41" s="1">
        <v>1.4843918100989411</v>
      </c>
      <c r="Q41" s="1">
        <v>24.489192655527461</v>
      </c>
      <c r="R41" s="1">
        <v>65.660901764394367</v>
      </c>
      <c r="S41" s="1">
        <v>203.64362324485049</v>
      </c>
      <c r="T41" s="1">
        <v>721.12695926169488</v>
      </c>
      <c r="U41" s="1">
        <v>1385.0486237626319</v>
      </c>
      <c r="V41" s="1">
        <v>2006.0866950834829</v>
      </c>
      <c r="W41" s="1">
        <v>2209.7987946867352</v>
      </c>
      <c r="X41" s="1">
        <v>2307.6073315606332</v>
      </c>
      <c r="Y41" s="1">
        <v>2329.7771852727128</v>
      </c>
      <c r="Z41" s="1">
        <v>2243.948779805839</v>
      </c>
      <c r="AA41" s="1">
        <v>2143.6098946366501</v>
      </c>
      <c r="AB41" s="8">
        <v>7</v>
      </c>
      <c r="AC41" s="8">
        <f t="shared" si="1"/>
        <v>200206.31356754486</v>
      </c>
    </row>
    <row r="42" spans="1:29" x14ac:dyDescent="0.35">
      <c r="A42" s="3">
        <v>2027</v>
      </c>
      <c r="B42" s="5" t="str">
        <f>PROPER(TEXT(DATEVALUE("1/"&amp;MOD(ROUNDDOWN((ROW()-6+8*3)/3,0),12)+1&amp;"/"&amp;Tabla1[[#This Row],[Año]]),"mmm"))</f>
        <v>Sep</v>
      </c>
      <c r="C42" s="7" t="str">
        <f t="shared" si="2"/>
        <v>Hábil</v>
      </c>
      <c r="D42" s="1">
        <v>2216.5813452540779</v>
      </c>
      <c r="E42" s="1">
        <v>2122.4846540770109</v>
      </c>
      <c r="F42" s="1">
        <v>2031.917123827322</v>
      </c>
      <c r="G42" s="1">
        <v>1936.827771418212</v>
      </c>
      <c r="H42" s="1">
        <v>1870.664189441698</v>
      </c>
      <c r="I42" s="1">
        <v>1828.342190394098</v>
      </c>
      <c r="J42" s="1">
        <v>1822.3833117106201</v>
      </c>
      <c r="K42" s="1">
        <v>1929.015428480539</v>
      </c>
      <c r="L42" s="1">
        <v>1729.7708625410289</v>
      </c>
      <c r="M42" s="1">
        <v>1292.708712565244</v>
      </c>
      <c r="N42" s="1">
        <v>1138.781048341973</v>
      </c>
      <c r="O42" s="1">
        <v>1202.9293596262651</v>
      </c>
      <c r="P42" s="1">
        <v>817.85205987380436</v>
      </c>
      <c r="Q42" s="1">
        <v>858.93085631402914</v>
      </c>
      <c r="R42" s="1">
        <v>1495.1973339321389</v>
      </c>
      <c r="S42" s="1">
        <v>1902.7724758149329</v>
      </c>
      <c r="T42" s="1">
        <v>2409.636584107247</v>
      </c>
      <c r="U42" s="1">
        <v>2879.1322673653622</v>
      </c>
      <c r="V42" s="1">
        <v>2763.3074618383139</v>
      </c>
      <c r="W42" s="1">
        <v>2623.2032398052379</v>
      </c>
      <c r="X42" s="1">
        <v>2661.9188583763271</v>
      </c>
      <c r="Y42" s="1">
        <v>2636.6289030889538</v>
      </c>
      <c r="Z42" s="1">
        <v>2493.3197252069631</v>
      </c>
      <c r="AA42" s="1">
        <v>2355.704045501619</v>
      </c>
      <c r="AB42" s="8">
        <v>22</v>
      </c>
      <c r="AC42" s="8">
        <f t="shared" si="1"/>
        <v>1034440.2157958664</v>
      </c>
    </row>
    <row r="43" spans="1:29" x14ac:dyDescent="0.35">
      <c r="A43" s="3">
        <v>2027</v>
      </c>
      <c r="B43" s="5" t="str">
        <f>PROPER(TEXT(DATEVALUE("1/"&amp;MOD(ROUNDDOWN((ROW()-6+8*3)/3,0),12)+1&amp;"/"&amp;Tabla1[[#This Row],[Año]]),"mmm"))</f>
        <v>Sep</v>
      </c>
      <c r="C43" s="7" t="str">
        <f t="shared" si="2"/>
        <v>Sábado</v>
      </c>
      <c r="D43" s="1">
        <v>2314.846485353642</v>
      </c>
      <c r="E43" s="1">
        <v>2249.376818596369</v>
      </c>
      <c r="F43" s="1">
        <v>2160.2819779828142</v>
      </c>
      <c r="G43" s="1">
        <v>2028.867377459798</v>
      </c>
      <c r="H43" s="1">
        <v>1922.984710368936</v>
      </c>
      <c r="I43" s="1">
        <v>1801.8953024579951</v>
      </c>
      <c r="J43" s="1">
        <v>1466.260064305015</v>
      </c>
      <c r="K43" s="1">
        <v>1064.616763524094</v>
      </c>
      <c r="L43" s="1">
        <v>991.41197311655071</v>
      </c>
      <c r="M43" s="1">
        <v>512.35809662559188</v>
      </c>
      <c r="N43" s="1">
        <v>418.60725218477103</v>
      </c>
      <c r="O43" s="1">
        <v>357.15555827106652</v>
      </c>
      <c r="P43" s="1">
        <v>250.79965658749279</v>
      </c>
      <c r="Q43" s="1">
        <v>154.04238465939821</v>
      </c>
      <c r="R43" s="1">
        <v>336.12270791630033</v>
      </c>
      <c r="S43" s="1">
        <v>564.49673369987079</v>
      </c>
      <c r="T43" s="1">
        <v>943.13428625912456</v>
      </c>
      <c r="U43" s="1">
        <v>1640.3975546572719</v>
      </c>
      <c r="V43" s="1">
        <v>2146.649141271339</v>
      </c>
      <c r="W43" s="1">
        <v>2258.658790513347</v>
      </c>
      <c r="X43" s="1">
        <v>2300.9874414081132</v>
      </c>
      <c r="Y43" s="1">
        <v>2328.9522033674489</v>
      </c>
      <c r="Z43" s="1">
        <v>2294.2404730688272</v>
      </c>
      <c r="AA43" s="1">
        <v>2215.5336496258792</v>
      </c>
      <c r="AB43" s="8">
        <v>4</v>
      </c>
      <c r="AC43" s="8">
        <f t="shared" si="1"/>
        <v>138890.70961312426</v>
      </c>
    </row>
    <row r="44" spans="1:29" x14ac:dyDescent="0.35">
      <c r="A44" s="3">
        <v>2027</v>
      </c>
      <c r="B44" s="5" t="str">
        <f>PROPER(TEXT(DATEVALUE("1/"&amp;MOD(ROUNDDOWN((ROW()-6+8*3)/3,0),12)+1&amp;"/"&amp;Tabla1[[#This Row],[Año]]),"mmm"))</f>
        <v>Sep</v>
      </c>
      <c r="C44" s="7" t="str">
        <f t="shared" si="2"/>
        <v>Domingo y Festivo</v>
      </c>
      <c r="D44" s="1">
        <v>2137.660052350519</v>
      </c>
      <c r="E44" s="1">
        <v>2064.963655420705</v>
      </c>
      <c r="F44" s="1">
        <v>1970.90111782146</v>
      </c>
      <c r="G44" s="1">
        <v>1856.5286132564561</v>
      </c>
      <c r="H44" s="1">
        <v>1755.9821637624759</v>
      </c>
      <c r="I44" s="1">
        <v>1590.1712881750921</v>
      </c>
      <c r="J44" s="1">
        <v>1091.59517774664</v>
      </c>
      <c r="K44" s="1">
        <v>323.24543236558372</v>
      </c>
      <c r="L44" s="1">
        <v>102.28487953626031</v>
      </c>
      <c r="M44" s="1">
        <v>50.392465090698778</v>
      </c>
      <c r="N44" s="1">
        <v>14.894719149544979</v>
      </c>
      <c r="O44" s="1">
        <v>0</v>
      </c>
      <c r="P44" s="1">
        <v>1.4843918100989411</v>
      </c>
      <c r="Q44" s="1">
        <v>24.489192655527461</v>
      </c>
      <c r="R44" s="1">
        <v>65.660901764394367</v>
      </c>
      <c r="S44" s="1">
        <v>203.64362324485049</v>
      </c>
      <c r="T44" s="1">
        <v>721.12695926169488</v>
      </c>
      <c r="U44" s="1">
        <v>1385.0486237626319</v>
      </c>
      <c r="V44" s="1">
        <v>2006.0866950834829</v>
      </c>
      <c r="W44" s="1">
        <v>2209.7987946867352</v>
      </c>
      <c r="X44" s="1">
        <v>2307.6073315606332</v>
      </c>
      <c r="Y44" s="1">
        <v>2329.7771852727128</v>
      </c>
      <c r="Z44" s="1">
        <v>2243.948779805839</v>
      </c>
      <c r="AA44" s="1">
        <v>2143.6098946366501</v>
      </c>
      <c r="AB44" s="8">
        <v>4</v>
      </c>
      <c r="AC44" s="8">
        <f t="shared" si="1"/>
        <v>114403.60775288277</v>
      </c>
    </row>
    <row r="45" spans="1:29" x14ac:dyDescent="0.35">
      <c r="A45" s="3">
        <v>2027</v>
      </c>
      <c r="B45" s="5" t="str">
        <f>PROPER(TEXT(DATEVALUE("1/"&amp;MOD(ROUNDDOWN((ROW()-6+8*3)/3,0),12)+1&amp;"/"&amp;Tabla1[[#This Row],[Año]]),"mmm"))</f>
        <v>Oct</v>
      </c>
      <c r="C45" s="7" t="str">
        <f t="shared" si="2"/>
        <v>Hábil</v>
      </c>
      <c r="D45" s="1">
        <v>2216.5813452540779</v>
      </c>
      <c r="E45" s="1">
        <v>2122.4846540770109</v>
      </c>
      <c r="F45" s="1">
        <v>2031.917123827322</v>
      </c>
      <c r="G45" s="1">
        <v>1936.827771418212</v>
      </c>
      <c r="H45" s="1">
        <v>1870.664189441698</v>
      </c>
      <c r="I45" s="1">
        <v>1828.342190394098</v>
      </c>
      <c r="J45" s="1">
        <v>1822.3833117106201</v>
      </c>
      <c r="K45" s="1">
        <v>1929.015428480539</v>
      </c>
      <c r="L45" s="1">
        <v>1729.7708625410289</v>
      </c>
      <c r="M45" s="1">
        <v>1292.708712565244</v>
      </c>
      <c r="N45" s="1">
        <v>1138.781048341973</v>
      </c>
      <c r="O45" s="1">
        <v>1202.9293596262651</v>
      </c>
      <c r="P45" s="1">
        <v>817.85205987380436</v>
      </c>
      <c r="Q45" s="1">
        <v>858.93085631402914</v>
      </c>
      <c r="R45" s="1">
        <v>1495.1973339321389</v>
      </c>
      <c r="S45" s="1">
        <v>1902.7724758149329</v>
      </c>
      <c r="T45" s="1">
        <v>2409.636584107247</v>
      </c>
      <c r="U45" s="1">
        <v>2879.1322673653622</v>
      </c>
      <c r="V45" s="1">
        <v>2763.3074618383139</v>
      </c>
      <c r="W45" s="1">
        <v>2623.2032398052379</v>
      </c>
      <c r="X45" s="1">
        <v>2661.9188583763271</v>
      </c>
      <c r="Y45" s="1">
        <v>2636.6289030889538</v>
      </c>
      <c r="Z45" s="1">
        <v>2493.3197252069631</v>
      </c>
      <c r="AA45" s="1">
        <v>2355.704045501619</v>
      </c>
      <c r="AB45" s="8">
        <v>20</v>
      </c>
      <c r="AC45" s="8">
        <f t="shared" si="1"/>
        <v>940400.19617806049</v>
      </c>
    </row>
    <row r="46" spans="1:29" x14ac:dyDescent="0.35">
      <c r="A46" s="3">
        <v>2027</v>
      </c>
      <c r="B46" s="5" t="str">
        <f>PROPER(TEXT(DATEVALUE("1/"&amp;MOD(ROUNDDOWN((ROW()-6+8*3)/3,0),12)+1&amp;"/"&amp;Tabla1[[#This Row],[Año]]),"mmm"))</f>
        <v>Oct</v>
      </c>
      <c r="C46" s="7" t="str">
        <f t="shared" si="2"/>
        <v>Sábado</v>
      </c>
      <c r="D46" s="1">
        <v>2314.846485353642</v>
      </c>
      <c r="E46" s="1">
        <v>2249.376818596369</v>
      </c>
      <c r="F46" s="1">
        <v>2160.2819779828142</v>
      </c>
      <c r="G46" s="1">
        <v>2028.867377459798</v>
      </c>
      <c r="H46" s="1">
        <v>1922.984710368936</v>
      </c>
      <c r="I46" s="1">
        <v>1801.8953024579951</v>
      </c>
      <c r="J46" s="1">
        <v>1466.260064305015</v>
      </c>
      <c r="K46" s="1">
        <v>1064.616763524094</v>
      </c>
      <c r="L46" s="1">
        <v>991.41197311655071</v>
      </c>
      <c r="M46" s="1">
        <v>512.35809662559188</v>
      </c>
      <c r="N46" s="1">
        <v>418.60725218477103</v>
      </c>
      <c r="O46" s="1">
        <v>357.15555827106652</v>
      </c>
      <c r="P46" s="1">
        <v>250.79965658749279</v>
      </c>
      <c r="Q46" s="1">
        <v>154.04238465939821</v>
      </c>
      <c r="R46" s="1">
        <v>336.12270791630033</v>
      </c>
      <c r="S46" s="1">
        <v>564.49673369987079</v>
      </c>
      <c r="T46" s="1">
        <v>943.13428625912456</v>
      </c>
      <c r="U46" s="1">
        <v>1640.3975546572719</v>
      </c>
      <c r="V46" s="1">
        <v>2146.649141271339</v>
      </c>
      <c r="W46" s="1">
        <v>2258.658790513347</v>
      </c>
      <c r="X46" s="1">
        <v>2300.9874414081132</v>
      </c>
      <c r="Y46" s="1">
        <v>2328.9522033674489</v>
      </c>
      <c r="Z46" s="1">
        <v>2294.2404730688272</v>
      </c>
      <c r="AA46" s="1">
        <v>2215.5336496258792</v>
      </c>
      <c r="AB46" s="8">
        <v>5</v>
      </c>
      <c r="AC46" s="8">
        <f t="shared" si="1"/>
        <v>173613.38701640532</v>
      </c>
    </row>
    <row r="47" spans="1:29" x14ac:dyDescent="0.35">
      <c r="A47" s="3">
        <v>2027</v>
      </c>
      <c r="B47" s="5" t="str">
        <f>PROPER(TEXT(DATEVALUE("1/"&amp;MOD(ROUNDDOWN((ROW()-6+8*3)/3,0),12)+1&amp;"/"&amp;Tabla1[[#This Row],[Año]]),"mmm"))</f>
        <v>Oct</v>
      </c>
      <c r="C47" s="7" t="str">
        <f t="shared" si="2"/>
        <v>Domingo y Festivo</v>
      </c>
      <c r="D47" s="1">
        <v>2137.660052350519</v>
      </c>
      <c r="E47" s="1">
        <v>2064.963655420705</v>
      </c>
      <c r="F47" s="1">
        <v>1970.90111782146</v>
      </c>
      <c r="G47" s="1">
        <v>1856.5286132564561</v>
      </c>
      <c r="H47" s="1">
        <v>1755.9821637624759</v>
      </c>
      <c r="I47" s="1">
        <v>1590.1712881750921</v>
      </c>
      <c r="J47" s="1">
        <v>1091.59517774664</v>
      </c>
      <c r="K47" s="1">
        <v>323.24543236558372</v>
      </c>
      <c r="L47" s="1">
        <v>102.28487953626031</v>
      </c>
      <c r="M47" s="1">
        <v>50.392465090698778</v>
      </c>
      <c r="N47" s="1">
        <v>14.894719149544979</v>
      </c>
      <c r="O47" s="1">
        <v>0</v>
      </c>
      <c r="P47" s="1">
        <v>1.4843918100989411</v>
      </c>
      <c r="Q47" s="1">
        <v>24.489192655527461</v>
      </c>
      <c r="R47" s="1">
        <v>65.660901764394367</v>
      </c>
      <c r="S47" s="1">
        <v>203.64362324485049</v>
      </c>
      <c r="T47" s="1">
        <v>721.12695926169488</v>
      </c>
      <c r="U47" s="1">
        <v>1385.0486237626319</v>
      </c>
      <c r="V47" s="1">
        <v>2006.0866950834829</v>
      </c>
      <c r="W47" s="1">
        <v>2209.7987946867352</v>
      </c>
      <c r="X47" s="1">
        <v>2307.6073315606332</v>
      </c>
      <c r="Y47" s="1">
        <v>2329.7771852727128</v>
      </c>
      <c r="Z47" s="1">
        <v>2243.948779805839</v>
      </c>
      <c r="AA47" s="1">
        <v>2143.6098946366501</v>
      </c>
      <c r="AB47" s="8">
        <v>6</v>
      </c>
      <c r="AC47" s="8">
        <f t="shared" si="1"/>
        <v>171605.41162932417</v>
      </c>
    </row>
    <row r="48" spans="1:29" x14ac:dyDescent="0.35">
      <c r="A48" s="3">
        <v>2027</v>
      </c>
      <c r="B48" s="5" t="str">
        <f>PROPER(TEXT(DATEVALUE("1/"&amp;MOD(ROUNDDOWN((ROW()-6+8*3)/3,0),12)+1&amp;"/"&amp;Tabla1[[#This Row],[Año]]),"mmm"))</f>
        <v>Nov</v>
      </c>
      <c r="C48" s="7" t="str">
        <f t="shared" si="2"/>
        <v>Hábil</v>
      </c>
      <c r="D48" s="1">
        <v>2216.5813452540779</v>
      </c>
      <c r="E48" s="1">
        <v>2122.4846540770109</v>
      </c>
      <c r="F48" s="1">
        <v>2031.917123827322</v>
      </c>
      <c r="G48" s="1">
        <v>1936.827771418212</v>
      </c>
      <c r="H48" s="1">
        <v>1870.664189441698</v>
      </c>
      <c r="I48" s="1">
        <v>1828.342190394098</v>
      </c>
      <c r="J48" s="1">
        <v>1822.3833117106201</v>
      </c>
      <c r="K48" s="1">
        <v>1929.015428480539</v>
      </c>
      <c r="L48" s="1">
        <v>1729.7708625410289</v>
      </c>
      <c r="M48" s="1">
        <v>1292.708712565244</v>
      </c>
      <c r="N48" s="1">
        <v>1138.781048341973</v>
      </c>
      <c r="O48" s="1">
        <v>1202.9293596262651</v>
      </c>
      <c r="P48" s="1">
        <v>817.85205987380436</v>
      </c>
      <c r="Q48" s="1">
        <v>858.93085631402914</v>
      </c>
      <c r="R48" s="1">
        <v>1495.1973339321389</v>
      </c>
      <c r="S48" s="1">
        <v>1902.7724758149329</v>
      </c>
      <c r="T48" s="1">
        <v>2409.636584107247</v>
      </c>
      <c r="U48" s="1">
        <v>2879.1322673653622</v>
      </c>
      <c r="V48" s="1">
        <v>2763.3074618383139</v>
      </c>
      <c r="W48" s="1">
        <v>2623.2032398052379</v>
      </c>
      <c r="X48" s="1">
        <v>2661.9188583763271</v>
      </c>
      <c r="Y48" s="1">
        <v>2636.6289030889538</v>
      </c>
      <c r="Z48" s="1">
        <v>2493.3197252069631</v>
      </c>
      <c r="AA48" s="1">
        <v>2355.704045501619</v>
      </c>
      <c r="AB48" s="8">
        <v>20</v>
      </c>
      <c r="AC48" s="8">
        <f t="shared" si="1"/>
        <v>940400.19617806049</v>
      </c>
    </row>
    <row r="49" spans="1:29" x14ac:dyDescent="0.35">
      <c r="A49" s="3">
        <v>2027</v>
      </c>
      <c r="B49" s="5" t="str">
        <f>PROPER(TEXT(DATEVALUE("1/"&amp;MOD(ROUNDDOWN((ROW()-6+8*3)/3,0),12)+1&amp;"/"&amp;Tabla1[[#This Row],[Año]]),"mmm"))</f>
        <v>Nov</v>
      </c>
      <c r="C49" s="7" t="str">
        <f t="shared" si="2"/>
        <v>Sábado</v>
      </c>
      <c r="D49" s="1">
        <v>2314.846485353642</v>
      </c>
      <c r="E49" s="1">
        <v>2249.376818596369</v>
      </c>
      <c r="F49" s="1">
        <v>2160.2819779828142</v>
      </c>
      <c r="G49" s="1">
        <v>2028.867377459798</v>
      </c>
      <c r="H49" s="1">
        <v>1922.984710368936</v>
      </c>
      <c r="I49" s="1">
        <v>1801.8953024579951</v>
      </c>
      <c r="J49" s="1">
        <v>1466.260064305015</v>
      </c>
      <c r="K49" s="1">
        <v>1064.616763524094</v>
      </c>
      <c r="L49" s="1">
        <v>991.41197311655071</v>
      </c>
      <c r="M49" s="1">
        <v>512.35809662559188</v>
      </c>
      <c r="N49" s="1">
        <v>418.60725218477103</v>
      </c>
      <c r="O49" s="1">
        <v>357.15555827106652</v>
      </c>
      <c r="P49" s="1">
        <v>250.79965658749279</v>
      </c>
      <c r="Q49" s="1">
        <v>154.04238465939821</v>
      </c>
      <c r="R49" s="1">
        <v>336.12270791630033</v>
      </c>
      <c r="S49" s="1">
        <v>564.49673369987079</v>
      </c>
      <c r="T49" s="1">
        <v>943.13428625912456</v>
      </c>
      <c r="U49" s="1">
        <v>1640.3975546572719</v>
      </c>
      <c r="V49" s="1">
        <v>2146.649141271339</v>
      </c>
      <c r="W49" s="1">
        <v>2258.658790513347</v>
      </c>
      <c r="X49" s="1">
        <v>2300.9874414081132</v>
      </c>
      <c r="Y49" s="1">
        <v>2328.9522033674489</v>
      </c>
      <c r="Z49" s="1">
        <v>2294.2404730688272</v>
      </c>
      <c r="AA49" s="1">
        <v>2215.5336496258792</v>
      </c>
      <c r="AB49" s="8">
        <v>4</v>
      </c>
      <c r="AC49" s="8">
        <f t="shared" si="1"/>
        <v>138890.70961312426</v>
      </c>
    </row>
    <row r="50" spans="1:29" x14ac:dyDescent="0.35">
      <c r="A50" s="3">
        <v>2027</v>
      </c>
      <c r="B50" s="5" t="str">
        <f>PROPER(TEXT(DATEVALUE("1/"&amp;MOD(ROUNDDOWN((ROW()-6+8*3)/3,0),12)+1&amp;"/"&amp;Tabla1[[#This Row],[Año]]),"mmm"))</f>
        <v>Nov</v>
      </c>
      <c r="C50" s="7" t="str">
        <f t="shared" si="2"/>
        <v>Domingo y Festivo</v>
      </c>
      <c r="D50" s="1">
        <v>2137.660052350519</v>
      </c>
      <c r="E50" s="1">
        <v>2064.963655420705</v>
      </c>
      <c r="F50" s="1">
        <v>1970.90111782146</v>
      </c>
      <c r="G50" s="1">
        <v>1856.5286132564561</v>
      </c>
      <c r="H50" s="1">
        <v>1755.9821637624759</v>
      </c>
      <c r="I50" s="1">
        <v>1590.1712881750921</v>
      </c>
      <c r="J50" s="1">
        <v>1091.59517774664</v>
      </c>
      <c r="K50" s="1">
        <v>323.24543236558372</v>
      </c>
      <c r="L50" s="1">
        <v>102.28487953626031</v>
      </c>
      <c r="M50" s="1">
        <v>50.392465090698778</v>
      </c>
      <c r="N50" s="1">
        <v>14.894719149544979</v>
      </c>
      <c r="O50" s="1">
        <v>0</v>
      </c>
      <c r="P50" s="1">
        <v>1.4843918100989411</v>
      </c>
      <c r="Q50" s="1">
        <v>24.489192655527461</v>
      </c>
      <c r="R50" s="1">
        <v>65.660901764394367</v>
      </c>
      <c r="S50" s="1">
        <v>203.64362324485049</v>
      </c>
      <c r="T50" s="1">
        <v>721.12695926169488</v>
      </c>
      <c r="U50" s="1">
        <v>1385.0486237626319</v>
      </c>
      <c r="V50" s="1">
        <v>2006.0866950834829</v>
      </c>
      <c r="W50" s="1">
        <v>2209.7987946867352</v>
      </c>
      <c r="X50" s="1">
        <v>2307.6073315606332</v>
      </c>
      <c r="Y50" s="1">
        <v>2329.7771852727128</v>
      </c>
      <c r="Z50" s="1">
        <v>2243.948779805839</v>
      </c>
      <c r="AA50" s="1">
        <v>2143.6098946366501</v>
      </c>
      <c r="AB50" s="8">
        <v>6</v>
      </c>
      <c r="AC50" s="8">
        <f t="shared" si="1"/>
        <v>171605.41162932417</v>
      </c>
    </row>
    <row r="51" spans="1:29" x14ac:dyDescent="0.35">
      <c r="A51" s="3">
        <v>2027</v>
      </c>
      <c r="B51" s="5" t="str">
        <f>PROPER(TEXT(DATEVALUE("1/"&amp;MOD(ROUNDDOWN((ROW()-6+8*3)/3,0),12)+1&amp;"/"&amp;Tabla1[[#This Row],[Año]]),"mmm"))</f>
        <v>Dic</v>
      </c>
      <c r="C51" s="7" t="str">
        <f t="shared" si="2"/>
        <v>Hábil</v>
      </c>
      <c r="D51" s="1">
        <v>2216.5813452540779</v>
      </c>
      <c r="E51" s="1">
        <v>2122.4846540770109</v>
      </c>
      <c r="F51" s="1">
        <v>2031.917123827322</v>
      </c>
      <c r="G51" s="1">
        <v>1936.827771418212</v>
      </c>
      <c r="H51" s="1">
        <v>1870.664189441698</v>
      </c>
      <c r="I51" s="1">
        <v>1828.342190394098</v>
      </c>
      <c r="J51" s="1">
        <v>1822.3833117106201</v>
      </c>
      <c r="K51" s="1">
        <v>1929.015428480539</v>
      </c>
      <c r="L51" s="1">
        <v>1729.7708625410289</v>
      </c>
      <c r="M51" s="1">
        <v>1292.708712565244</v>
      </c>
      <c r="N51" s="1">
        <v>1138.781048341973</v>
      </c>
      <c r="O51" s="1">
        <v>1202.9293596262651</v>
      </c>
      <c r="P51" s="1">
        <v>817.85205987380436</v>
      </c>
      <c r="Q51" s="1">
        <v>858.93085631402914</v>
      </c>
      <c r="R51" s="1">
        <v>1495.1973339321389</v>
      </c>
      <c r="S51" s="1">
        <v>1902.7724758149329</v>
      </c>
      <c r="T51" s="1">
        <v>2409.636584107247</v>
      </c>
      <c r="U51" s="1">
        <v>2879.1322673653622</v>
      </c>
      <c r="V51" s="1">
        <v>2763.3074618383139</v>
      </c>
      <c r="W51" s="1">
        <v>2623.2032398052379</v>
      </c>
      <c r="X51" s="1">
        <v>2661.9188583763271</v>
      </c>
      <c r="Y51" s="1">
        <v>2636.6289030889538</v>
      </c>
      <c r="Z51" s="1">
        <v>2493.3197252069631</v>
      </c>
      <c r="AA51" s="1">
        <v>2355.704045501619</v>
      </c>
      <c r="AB51" s="8">
        <v>22</v>
      </c>
      <c r="AC51" s="8">
        <f t="shared" si="1"/>
        <v>1034440.2157958664</v>
      </c>
    </row>
    <row r="52" spans="1:29" x14ac:dyDescent="0.35">
      <c r="A52" s="3">
        <v>2027</v>
      </c>
      <c r="B52" s="5" t="str">
        <f>PROPER(TEXT(DATEVALUE("1/"&amp;MOD(ROUNDDOWN((ROW()-6+8*3)/3,0),12)+1&amp;"/"&amp;Tabla1[[#This Row],[Año]]),"mmm"))</f>
        <v>Dic</v>
      </c>
      <c r="C52" s="7" t="str">
        <f t="shared" si="2"/>
        <v>Sábado</v>
      </c>
      <c r="D52" s="1">
        <v>2314.846485353642</v>
      </c>
      <c r="E52" s="1">
        <v>2249.376818596369</v>
      </c>
      <c r="F52" s="1">
        <v>2160.2819779828142</v>
      </c>
      <c r="G52" s="1">
        <v>2028.867377459798</v>
      </c>
      <c r="H52" s="1">
        <v>1922.984710368936</v>
      </c>
      <c r="I52" s="1">
        <v>1801.8953024579951</v>
      </c>
      <c r="J52" s="1">
        <v>1466.260064305015</v>
      </c>
      <c r="K52" s="1">
        <v>1064.616763524094</v>
      </c>
      <c r="L52" s="1">
        <v>991.41197311655071</v>
      </c>
      <c r="M52" s="1">
        <v>512.35809662559188</v>
      </c>
      <c r="N52" s="1">
        <v>418.60725218477103</v>
      </c>
      <c r="O52" s="1">
        <v>357.15555827106652</v>
      </c>
      <c r="P52" s="1">
        <v>250.79965658749279</v>
      </c>
      <c r="Q52" s="1">
        <v>154.04238465939821</v>
      </c>
      <c r="R52" s="1">
        <v>336.12270791630033</v>
      </c>
      <c r="S52" s="1">
        <v>564.49673369987079</v>
      </c>
      <c r="T52" s="1">
        <v>943.13428625912456</v>
      </c>
      <c r="U52" s="1">
        <v>1640.3975546572719</v>
      </c>
      <c r="V52" s="1">
        <v>2146.649141271339</v>
      </c>
      <c r="W52" s="1">
        <v>2258.658790513347</v>
      </c>
      <c r="X52" s="1">
        <v>2300.9874414081132</v>
      </c>
      <c r="Y52" s="1">
        <v>2328.9522033674489</v>
      </c>
      <c r="Z52" s="1">
        <v>2294.2404730688272</v>
      </c>
      <c r="AA52" s="1">
        <v>2215.5336496258792</v>
      </c>
      <c r="AB52" s="8">
        <v>3</v>
      </c>
      <c r="AC52" s="8">
        <f t="shared" si="1"/>
        <v>104168.03220984319</v>
      </c>
    </row>
    <row r="53" spans="1:29" x14ac:dyDescent="0.35">
      <c r="A53" s="3">
        <v>2027</v>
      </c>
      <c r="B53" s="5" t="str">
        <f>PROPER(TEXT(DATEVALUE("1/"&amp;MOD(ROUNDDOWN((ROW()-6+8*3)/3,0),12)+1&amp;"/"&amp;Tabla1[[#This Row],[Año]]),"mmm"))</f>
        <v>Dic</v>
      </c>
      <c r="C53" s="7" t="str">
        <f t="shared" si="2"/>
        <v>Domingo y Festivo</v>
      </c>
      <c r="D53" s="1">
        <v>2137.660052350519</v>
      </c>
      <c r="E53" s="1">
        <v>2064.963655420705</v>
      </c>
      <c r="F53" s="1">
        <v>1970.90111782146</v>
      </c>
      <c r="G53" s="1">
        <v>1856.5286132564561</v>
      </c>
      <c r="H53" s="1">
        <v>1755.9821637624759</v>
      </c>
      <c r="I53" s="1">
        <v>1590.1712881750921</v>
      </c>
      <c r="J53" s="1">
        <v>1091.59517774664</v>
      </c>
      <c r="K53" s="1">
        <v>323.24543236558372</v>
      </c>
      <c r="L53" s="1">
        <v>102.28487953626031</v>
      </c>
      <c r="M53" s="1">
        <v>50.392465090698778</v>
      </c>
      <c r="N53" s="1">
        <v>14.894719149544979</v>
      </c>
      <c r="O53" s="1">
        <v>0</v>
      </c>
      <c r="P53" s="1">
        <v>1.4843918100989411</v>
      </c>
      <c r="Q53" s="1">
        <v>24.489192655527461</v>
      </c>
      <c r="R53" s="1">
        <v>65.660901764394367</v>
      </c>
      <c r="S53" s="1">
        <v>203.64362324485049</v>
      </c>
      <c r="T53" s="1">
        <v>721.12695926169488</v>
      </c>
      <c r="U53" s="1">
        <v>1385.0486237626319</v>
      </c>
      <c r="V53" s="1">
        <v>2006.0866950834829</v>
      </c>
      <c r="W53" s="1">
        <v>2209.7987946867352</v>
      </c>
      <c r="X53" s="1">
        <v>2307.6073315606332</v>
      </c>
      <c r="Y53" s="1">
        <v>2329.7771852727128</v>
      </c>
      <c r="Z53" s="1">
        <v>2243.948779805839</v>
      </c>
      <c r="AA53" s="1">
        <v>2143.6098946366501</v>
      </c>
      <c r="AB53" s="8">
        <v>6</v>
      </c>
      <c r="AC53" s="8">
        <f t="shared" si="1"/>
        <v>171605.41162932417</v>
      </c>
    </row>
  </sheetData>
  <mergeCells count="3">
    <mergeCell ref="B1:AB1"/>
    <mergeCell ref="B2:AB2"/>
    <mergeCell ref="B3:AB3"/>
  </mergeCells>
  <phoneticPr fontId="5" type="noConversion"/>
  <printOptions horizontalCentered="1"/>
  <pageMargins left="0" right="0" top="0" bottom="0" header="0" footer="0"/>
  <pageSetup scale="85" orientation="landscape" r:id="rId1"/>
  <headerFooter alignWithMargins="0"/>
  <ignoredErrors>
    <ignoredError sqref="A4:A53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AE90-D994-47EF-AA3D-5F6EDC322800}">
  <dimension ref="A2:U138"/>
  <sheetViews>
    <sheetView showGridLines="0" zoomScale="85" zoomScaleNormal="85" workbookViewId="0">
      <selection activeCell="D14" sqref="D14"/>
    </sheetView>
  </sheetViews>
  <sheetFormatPr baseColWidth="10" defaultColWidth="11.453125" defaultRowHeight="15" customHeight="1" x14ac:dyDescent="0.35"/>
  <cols>
    <col min="1" max="1" width="4.1796875" style="3" customWidth="1"/>
    <col min="2" max="2" width="10" style="3" customWidth="1"/>
    <col min="3" max="3" width="18.26953125" style="3" bestFit="1" customWidth="1"/>
    <col min="4" max="7" width="16.81640625" style="3" customWidth="1"/>
    <col min="8" max="8" width="8.1796875" style="3" bestFit="1" customWidth="1"/>
    <col min="9" max="9" width="9.453125" style="3" customWidth="1"/>
    <col min="10" max="16" width="14.54296875" style="3" customWidth="1"/>
    <col min="17" max="20" width="17" style="3" customWidth="1"/>
    <col min="21" max="16384" width="11.453125" style="3"/>
  </cols>
  <sheetData>
    <row r="2" spans="1:21" ht="15" customHeight="1" x14ac:dyDescent="0.35">
      <c r="B2" s="38" t="s">
        <v>57</v>
      </c>
      <c r="C2" s="38"/>
      <c r="D2" s="38"/>
      <c r="E2" s="38"/>
      <c r="F2" s="38"/>
      <c r="G2" s="38"/>
      <c r="H2" s="10"/>
    </row>
    <row r="3" spans="1:21" ht="15" customHeight="1" x14ac:dyDescent="0.35">
      <c r="B3" s="39" t="s">
        <v>29</v>
      </c>
      <c r="C3" s="39"/>
      <c r="D3" s="39"/>
      <c r="E3" s="39"/>
      <c r="F3" s="39"/>
      <c r="G3" s="39"/>
      <c r="H3" s="10"/>
    </row>
    <row r="4" spans="1:21" ht="15" customHeight="1" x14ac:dyDescent="0.35">
      <c r="B4" s="38" t="s">
        <v>37</v>
      </c>
      <c r="C4" s="38"/>
      <c r="D4" s="38"/>
      <c r="E4" s="38"/>
      <c r="F4" s="38"/>
      <c r="G4" s="38"/>
      <c r="H4" s="10"/>
    </row>
    <row r="5" spans="1:21" ht="15" customHeight="1" x14ac:dyDescent="0.35">
      <c r="B5" s="38"/>
      <c r="C5" s="38"/>
      <c r="D5" s="38"/>
      <c r="E5" s="38"/>
      <c r="F5" s="38"/>
      <c r="G5" s="38"/>
      <c r="H5" s="10"/>
    </row>
    <row r="6" spans="1:21" ht="15" customHeight="1" thickBot="1" x14ac:dyDescent="0.4">
      <c r="B6" s="9"/>
      <c r="C6" s="9"/>
      <c r="D6" s="9"/>
      <c r="E6" s="9"/>
      <c r="F6" s="9"/>
      <c r="G6" s="9"/>
      <c r="H6" s="9"/>
      <c r="U6" s="9"/>
    </row>
    <row r="7" spans="1:21" ht="15" customHeight="1" thickBot="1" x14ac:dyDescent="0.4">
      <c r="B7" s="40" t="s">
        <v>58</v>
      </c>
      <c r="C7" s="41"/>
      <c r="D7" s="41"/>
      <c r="E7" s="41"/>
      <c r="F7" s="41"/>
      <c r="G7" s="42"/>
      <c r="H7" s="9"/>
      <c r="U7" s="9"/>
    </row>
    <row r="8" spans="1:21" ht="15" customHeight="1" thickBot="1" x14ac:dyDescent="0.4">
      <c r="B8" s="33" t="s">
        <v>32</v>
      </c>
      <c r="C8" s="33" t="s">
        <v>28</v>
      </c>
      <c r="D8" s="35" t="s">
        <v>59</v>
      </c>
      <c r="E8" s="36"/>
      <c r="F8" s="36"/>
      <c r="G8" s="37"/>
      <c r="H8" s="9"/>
      <c r="U8" s="9"/>
    </row>
    <row r="9" spans="1:21" ht="29.5" thickBot="1" x14ac:dyDescent="0.4">
      <c r="B9" s="34"/>
      <c r="C9" s="34"/>
      <c r="D9" s="11" t="s">
        <v>34</v>
      </c>
      <c r="E9" s="45" t="s">
        <v>30</v>
      </c>
      <c r="F9" s="12" t="s">
        <v>35</v>
      </c>
      <c r="G9" s="25" t="s">
        <v>31</v>
      </c>
      <c r="H9" s="13"/>
      <c r="U9" s="9"/>
    </row>
    <row r="10" spans="1:21" ht="15" customHeight="1" x14ac:dyDescent="0.35">
      <c r="B10" s="16">
        <f t="shared" ref="B10:B13" si="0">ROUNDDOWN((ROW()-10+7)/12,0)+2026</f>
        <v>2026</v>
      </c>
      <c r="C10" s="14" t="s">
        <v>52</v>
      </c>
      <c r="D10" s="24">
        <f>SUMIFS('Producto 1'!$AC:$AC,'Producto 1'!$A:$A,'R-Producto 2'!$B10,'Producto 1'!$B:$B,'R-Producto 2'!$C10)</f>
        <v>1048547.5391780479</v>
      </c>
      <c r="E10" s="47"/>
      <c r="F10" s="44">
        <f t="shared" ref="F10:F13" si="1">D10*E10</f>
        <v>0</v>
      </c>
      <c r="G10" s="49"/>
      <c r="H10" s="13"/>
      <c r="U10" s="9"/>
    </row>
    <row r="11" spans="1:21" ht="15" customHeight="1" x14ac:dyDescent="0.35">
      <c r="B11" s="16">
        <f t="shared" si="0"/>
        <v>2026</v>
      </c>
      <c r="C11" s="14" t="s">
        <v>53</v>
      </c>
      <c r="D11" s="24">
        <f>SUMIFS('Producto 1'!$AC:$AC,'Producto 1'!$A:$A,'R-Producto 2'!$B11,'Producto 1'!$B:$B,'R-Producto 2'!$C11)</f>
        <v>1099655.7437269194</v>
      </c>
      <c r="E11" s="47"/>
      <c r="F11" s="44">
        <f t="shared" si="1"/>
        <v>0</v>
      </c>
      <c r="G11" s="49"/>
      <c r="H11" s="13"/>
      <c r="U11" s="9"/>
    </row>
    <row r="12" spans="1:21" ht="15" customHeight="1" x14ac:dyDescent="0.35">
      <c r="B12" s="16">
        <f t="shared" si="0"/>
        <v>2026</v>
      </c>
      <c r="C12" s="14" t="s">
        <v>54</v>
      </c>
      <c r="D12" s="24">
        <f>SUMIFS('Producto 1'!$AC:$AC,'Producto 1'!$A:$A,'R-Producto 2'!$B12,'Producto 1'!$B:$B,'R-Producto 2'!$C12)</f>
        <v>1087400.8039998934</v>
      </c>
      <c r="E12" s="47"/>
      <c r="F12" s="44">
        <f t="shared" si="1"/>
        <v>0</v>
      </c>
      <c r="G12" s="49"/>
      <c r="H12" s="13"/>
      <c r="U12" s="9"/>
    </row>
    <row r="13" spans="1:21" ht="15" customHeight="1" thickBot="1" x14ac:dyDescent="0.4">
      <c r="B13" s="16">
        <f t="shared" si="0"/>
        <v>2026</v>
      </c>
      <c r="C13" s="14" t="s">
        <v>55</v>
      </c>
      <c r="D13" s="24">
        <f>SUMIFS('Producto 1'!$AC:$AC,'Producto 1'!$A:$A,'R-Producto 2'!$B13,'Producto 1'!$B:$B,'R-Producto 2'!$C13)</f>
        <v>1172043.0306025615</v>
      </c>
      <c r="E13" s="47"/>
      <c r="F13" s="44">
        <f t="shared" si="1"/>
        <v>0</v>
      </c>
      <c r="G13" s="49"/>
      <c r="H13" s="13"/>
      <c r="U13" s="9"/>
    </row>
    <row r="14" spans="1:21" ht="15" customHeight="1" thickBot="1" x14ac:dyDescent="0.4">
      <c r="A14" s="17"/>
      <c r="B14" s="20"/>
      <c r="C14" s="21" t="s">
        <v>42</v>
      </c>
      <c r="D14" s="22">
        <f>SUM(D10:D13)</f>
        <v>4407647.1175074223</v>
      </c>
      <c r="E14" s="46">
        <f>(SUMPRODUCT(D10:D13,E10:E13)/SUM(D10:D13))</f>
        <v>0</v>
      </c>
      <c r="F14" s="23">
        <f>SUM(F10:F13)</f>
        <v>0</v>
      </c>
      <c r="G14" s="48" t="e">
        <f>(SUMPRODUCT(G10:G13,F10:F13)/SUM(F10:F13))</f>
        <v>#DIV/0!</v>
      </c>
      <c r="H14" s="13"/>
    </row>
    <row r="15" spans="1:21" ht="15" customHeight="1" x14ac:dyDescent="0.35">
      <c r="A15" s="17"/>
      <c r="H15" s="13"/>
    </row>
    <row r="16" spans="1:21" ht="15" customHeight="1" x14ac:dyDescent="0.35">
      <c r="A16" s="17"/>
      <c r="B16" s="18" t="s">
        <v>50</v>
      </c>
      <c r="H16" s="13"/>
    </row>
    <row r="17" spans="1:8" ht="15" customHeight="1" x14ac:dyDescent="0.35">
      <c r="A17" s="17"/>
      <c r="B17" s="3" t="s">
        <v>39</v>
      </c>
      <c r="H17" s="13"/>
    </row>
    <row r="18" spans="1:8" ht="15" customHeight="1" x14ac:dyDescent="0.35">
      <c r="A18" s="17"/>
      <c r="B18" s="3" t="s">
        <v>36</v>
      </c>
      <c r="E18" s="19"/>
      <c r="H18" s="13"/>
    </row>
    <row r="19" spans="1:8" ht="15" customHeight="1" x14ac:dyDescent="0.35">
      <c r="A19" s="17"/>
      <c r="E19" s="19"/>
      <c r="H19" s="13"/>
    </row>
    <row r="20" spans="1:8" ht="15" customHeight="1" x14ac:dyDescent="0.35">
      <c r="A20" s="17"/>
      <c r="H20" s="13"/>
    </row>
    <row r="21" spans="1:8" ht="15" customHeight="1" x14ac:dyDescent="0.35">
      <c r="A21" s="17"/>
      <c r="H21" s="13"/>
    </row>
    <row r="22" spans="1:8" ht="15" customHeight="1" x14ac:dyDescent="0.35">
      <c r="A22" s="17"/>
      <c r="H22" s="13"/>
    </row>
    <row r="23" spans="1:8" ht="15" customHeight="1" x14ac:dyDescent="0.35">
      <c r="A23" s="17"/>
      <c r="H23" s="13"/>
    </row>
    <row r="24" spans="1:8" ht="15" customHeight="1" x14ac:dyDescent="0.35">
      <c r="A24" s="17"/>
      <c r="H24" s="13"/>
    </row>
    <row r="25" spans="1:8" ht="15" customHeight="1" x14ac:dyDescent="0.35">
      <c r="A25" s="17"/>
      <c r="H25" s="13"/>
    </row>
    <row r="26" spans="1:8" ht="15" customHeight="1" x14ac:dyDescent="0.35">
      <c r="A26" s="17"/>
      <c r="H26" s="13"/>
    </row>
    <row r="27" spans="1:8" ht="15" customHeight="1" x14ac:dyDescent="0.35">
      <c r="A27" s="17"/>
      <c r="H27" s="13"/>
    </row>
    <row r="28" spans="1:8" ht="15" customHeight="1" x14ac:dyDescent="0.35">
      <c r="A28" s="17"/>
      <c r="H28" s="13"/>
    </row>
    <row r="29" spans="1:8" ht="15" customHeight="1" x14ac:dyDescent="0.35">
      <c r="A29" s="17"/>
      <c r="H29" s="13"/>
    </row>
    <row r="30" spans="1:8" ht="15" customHeight="1" x14ac:dyDescent="0.35">
      <c r="A30" s="17"/>
      <c r="H30" s="13"/>
    </row>
    <row r="31" spans="1:8" ht="15" customHeight="1" x14ac:dyDescent="0.35">
      <c r="A31" s="17"/>
      <c r="H31" s="13"/>
    </row>
    <row r="32" spans="1:8" ht="15" customHeight="1" x14ac:dyDescent="0.35">
      <c r="A32" s="17"/>
      <c r="H32" s="13"/>
    </row>
    <row r="33" spans="1:8" ht="15" customHeight="1" x14ac:dyDescent="0.35">
      <c r="A33" s="17"/>
      <c r="H33" s="13"/>
    </row>
    <row r="34" spans="1:8" ht="15" customHeight="1" x14ac:dyDescent="0.35">
      <c r="A34" s="17"/>
      <c r="H34" s="13"/>
    </row>
    <row r="35" spans="1:8" ht="15" customHeight="1" x14ac:dyDescent="0.35">
      <c r="A35" s="17"/>
      <c r="H35" s="13"/>
    </row>
    <row r="36" spans="1:8" ht="15" customHeight="1" x14ac:dyDescent="0.35">
      <c r="A36" s="17"/>
      <c r="H36" s="13"/>
    </row>
    <row r="37" spans="1:8" ht="15" customHeight="1" x14ac:dyDescent="0.35">
      <c r="A37" s="17"/>
      <c r="H37" s="13"/>
    </row>
    <row r="38" spans="1:8" ht="15" customHeight="1" x14ac:dyDescent="0.35">
      <c r="A38" s="17"/>
      <c r="H38" s="13"/>
    </row>
    <row r="39" spans="1:8" ht="15" customHeight="1" x14ac:dyDescent="0.35">
      <c r="A39" s="17"/>
      <c r="H39" s="13"/>
    </row>
    <row r="40" spans="1:8" ht="15" customHeight="1" x14ac:dyDescent="0.35">
      <c r="A40" s="17"/>
      <c r="H40" s="13"/>
    </row>
    <row r="41" spans="1:8" ht="15" customHeight="1" x14ac:dyDescent="0.35">
      <c r="A41" s="17"/>
      <c r="H41" s="13"/>
    </row>
    <row r="42" spans="1:8" ht="15" customHeight="1" x14ac:dyDescent="0.35">
      <c r="A42" s="17"/>
      <c r="H42" s="13"/>
    </row>
    <row r="43" spans="1:8" ht="15" customHeight="1" x14ac:dyDescent="0.35">
      <c r="A43" s="17"/>
      <c r="H43" s="13"/>
    </row>
    <row r="44" spans="1:8" ht="15" customHeight="1" x14ac:dyDescent="0.35">
      <c r="A44" s="17"/>
      <c r="H44" s="13"/>
    </row>
    <row r="45" spans="1:8" ht="15" customHeight="1" x14ac:dyDescent="0.35">
      <c r="A45" s="17"/>
      <c r="H45" s="13"/>
    </row>
    <row r="46" spans="1:8" ht="15" customHeight="1" x14ac:dyDescent="0.35">
      <c r="A46" s="17"/>
      <c r="H46" s="13"/>
    </row>
    <row r="47" spans="1:8" ht="15" customHeight="1" x14ac:dyDescent="0.35">
      <c r="A47" s="17"/>
      <c r="H47" s="13"/>
    </row>
    <row r="48" spans="1:8" ht="15" customHeight="1" x14ac:dyDescent="0.35">
      <c r="A48" s="17"/>
      <c r="H48" s="13"/>
    </row>
    <row r="49" spans="1:8" ht="15" customHeight="1" x14ac:dyDescent="0.35">
      <c r="A49" s="17"/>
      <c r="H49" s="13"/>
    </row>
    <row r="50" spans="1:8" ht="15" customHeight="1" x14ac:dyDescent="0.35">
      <c r="A50" s="17"/>
      <c r="H50" s="13"/>
    </row>
    <row r="51" spans="1:8" ht="15" customHeight="1" x14ac:dyDescent="0.35">
      <c r="A51" s="17"/>
      <c r="H51" s="13"/>
    </row>
    <row r="52" spans="1:8" ht="15" customHeight="1" x14ac:dyDescent="0.35">
      <c r="A52" s="17"/>
      <c r="H52" s="13"/>
    </row>
    <row r="53" spans="1:8" ht="15" customHeight="1" x14ac:dyDescent="0.35">
      <c r="A53" s="17"/>
      <c r="H53" s="13"/>
    </row>
    <row r="54" spans="1:8" ht="15" customHeight="1" x14ac:dyDescent="0.35">
      <c r="A54" s="17"/>
      <c r="H54" s="13"/>
    </row>
    <row r="55" spans="1:8" ht="15" customHeight="1" x14ac:dyDescent="0.35">
      <c r="A55" s="17"/>
      <c r="H55" s="13"/>
    </row>
    <row r="56" spans="1:8" ht="15" customHeight="1" x14ac:dyDescent="0.35">
      <c r="A56" s="17"/>
      <c r="H56" s="13"/>
    </row>
    <row r="57" spans="1:8" ht="15" customHeight="1" x14ac:dyDescent="0.35">
      <c r="A57" s="17"/>
      <c r="H57" s="13"/>
    </row>
    <row r="58" spans="1:8" ht="15" customHeight="1" x14ac:dyDescent="0.35">
      <c r="A58" s="17"/>
      <c r="H58" s="13"/>
    </row>
    <row r="59" spans="1:8" ht="15" customHeight="1" x14ac:dyDescent="0.35">
      <c r="A59" s="17"/>
      <c r="H59" s="13"/>
    </row>
    <row r="60" spans="1:8" ht="15" customHeight="1" x14ac:dyDescent="0.35">
      <c r="A60" s="17"/>
      <c r="H60" s="13"/>
    </row>
    <row r="61" spans="1:8" ht="15" customHeight="1" x14ac:dyDescent="0.35">
      <c r="A61" s="17"/>
      <c r="H61" s="13"/>
    </row>
    <row r="62" spans="1:8" ht="15" customHeight="1" x14ac:dyDescent="0.35">
      <c r="A62" s="17"/>
      <c r="H62" s="13"/>
    </row>
    <row r="63" spans="1:8" ht="15" customHeight="1" x14ac:dyDescent="0.35">
      <c r="A63" s="17"/>
      <c r="H63" s="13"/>
    </row>
    <row r="64" spans="1:8" ht="15" customHeight="1" x14ac:dyDescent="0.35">
      <c r="A64" s="17"/>
      <c r="H64" s="13"/>
    </row>
    <row r="65" spans="1:8" ht="15" customHeight="1" x14ac:dyDescent="0.35">
      <c r="A65" s="17"/>
      <c r="H65" s="13"/>
    </row>
    <row r="66" spans="1:8" ht="15" customHeight="1" x14ac:dyDescent="0.35">
      <c r="A66" s="17"/>
      <c r="H66" s="13"/>
    </row>
    <row r="67" spans="1:8" ht="15" customHeight="1" x14ac:dyDescent="0.35">
      <c r="A67" s="17"/>
      <c r="H67" s="13"/>
    </row>
    <row r="68" spans="1:8" ht="15" customHeight="1" x14ac:dyDescent="0.35">
      <c r="A68" s="17"/>
      <c r="H68" s="13"/>
    </row>
    <row r="69" spans="1:8" ht="15" customHeight="1" x14ac:dyDescent="0.35">
      <c r="A69" s="17"/>
      <c r="H69" s="13"/>
    </row>
    <row r="70" spans="1:8" ht="15" customHeight="1" x14ac:dyDescent="0.35">
      <c r="A70" s="17"/>
      <c r="H70" s="13"/>
    </row>
    <row r="71" spans="1:8" ht="15" customHeight="1" x14ac:dyDescent="0.35">
      <c r="A71" s="17"/>
      <c r="H71" s="13"/>
    </row>
    <row r="72" spans="1:8" ht="15" customHeight="1" x14ac:dyDescent="0.35">
      <c r="A72" s="17"/>
      <c r="H72" s="13"/>
    </row>
    <row r="73" spans="1:8" ht="15" customHeight="1" x14ac:dyDescent="0.35">
      <c r="A73" s="17"/>
      <c r="H73" s="13"/>
    </row>
    <row r="74" spans="1:8" ht="15" customHeight="1" x14ac:dyDescent="0.35">
      <c r="A74" s="17"/>
      <c r="H74" s="13"/>
    </row>
    <row r="75" spans="1:8" ht="15" customHeight="1" x14ac:dyDescent="0.35">
      <c r="A75" s="17"/>
      <c r="H75" s="13"/>
    </row>
    <row r="76" spans="1:8" ht="15" customHeight="1" x14ac:dyDescent="0.35">
      <c r="A76" s="17"/>
      <c r="H76" s="13"/>
    </row>
    <row r="77" spans="1:8" ht="15" customHeight="1" x14ac:dyDescent="0.35">
      <c r="A77" s="17"/>
      <c r="H77" s="13"/>
    </row>
    <row r="78" spans="1:8" ht="15" customHeight="1" x14ac:dyDescent="0.35">
      <c r="A78" s="17"/>
      <c r="H78" s="13"/>
    </row>
    <row r="79" spans="1:8" ht="15" customHeight="1" x14ac:dyDescent="0.35">
      <c r="A79" s="17"/>
      <c r="H79" s="13"/>
    </row>
    <row r="80" spans="1:8" ht="15" customHeight="1" x14ac:dyDescent="0.35">
      <c r="A80" s="17"/>
      <c r="H80" s="13"/>
    </row>
    <row r="81" spans="1:8" ht="15" customHeight="1" x14ac:dyDescent="0.35">
      <c r="A81" s="17"/>
      <c r="H81" s="13"/>
    </row>
    <row r="82" spans="1:8" ht="15" customHeight="1" x14ac:dyDescent="0.35">
      <c r="A82" s="17"/>
      <c r="H82" s="13"/>
    </row>
    <row r="83" spans="1:8" ht="15" customHeight="1" x14ac:dyDescent="0.35">
      <c r="A83" s="17"/>
      <c r="H83" s="13"/>
    </row>
    <row r="84" spans="1:8" ht="15" customHeight="1" x14ac:dyDescent="0.35">
      <c r="A84" s="17"/>
      <c r="H84" s="13"/>
    </row>
    <row r="85" spans="1:8" ht="15" customHeight="1" x14ac:dyDescent="0.35">
      <c r="A85" s="17"/>
      <c r="H85" s="13"/>
    </row>
    <row r="86" spans="1:8" ht="15" customHeight="1" x14ac:dyDescent="0.35">
      <c r="A86" s="17"/>
      <c r="H86" s="13"/>
    </row>
    <row r="87" spans="1:8" ht="15" customHeight="1" x14ac:dyDescent="0.35">
      <c r="A87" s="17"/>
      <c r="H87" s="13"/>
    </row>
    <row r="88" spans="1:8" ht="15" customHeight="1" x14ac:dyDescent="0.35">
      <c r="A88" s="17"/>
      <c r="H88" s="13"/>
    </row>
    <row r="89" spans="1:8" ht="15" customHeight="1" x14ac:dyDescent="0.35">
      <c r="A89" s="17"/>
      <c r="H89" s="13"/>
    </row>
    <row r="90" spans="1:8" ht="15" customHeight="1" x14ac:dyDescent="0.35">
      <c r="A90" s="17"/>
      <c r="H90" s="13"/>
    </row>
    <row r="91" spans="1:8" ht="15" customHeight="1" x14ac:dyDescent="0.35">
      <c r="A91" s="17"/>
      <c r="H91" s="13"/>
    </row>
    <row r="92" spans="1:8" ht="15" customHeight="1" x14ac:dyDescent="0.35">
      <c r="A92" s="17"/>
      <c r="H92" s="13"/>
    </row>
    <row r="93" spans="1:8" ht="15" customHeight="1" x14ac:dyDescent="0.35">
      <c r="A93" s="17"/>
      <c r="H93" s="13"/>
    </row>
    <row r="94" spans="1:8" ht="15" customHeight="1" x14ac:dyDescent="0.35">
      <c r="A94" s="17"/>
      <c r="H94" s="13"/>
    </row>
    <row r="95" spans="1:8" ht="15" customHeight="1" x14ac:dyDescent="0.35">
      <c r="A95" s="17"/>
      <c r="H95" s="13"/>
    </row>
    <row r="96" spans="1:8" ht="15" customHeight="1" x14ac:dyDescent="0.35">
      <c r="A96" s="17"/>
      <c r="H96" s="13"/>
    </row>
    <row r="97" spans="1:8" ht="15" customHeight="1" x14ac:dyDescent="0.35">
      <c r="A97" s="17"/>
      <c r="H97" s="13"/>
    </row>
    <row r="98" spans="1:8" ht="15" customHeight="1" x14ac:dyDescent="0.35">
      <c r="A98" s="17"/>
      <c r="H98" s="13"/>
    </row>
    <row r="99" spans="1:8" ht="15" customHeight="1" x14ac:dyDescent="0.35">
      <c r="A99" s="17"/>
      <c r="H99" s="13"/>
    </row>
    <row r="100" spans="1:8" ht="15" customHeight="1" x14ac:dyDescent="0.35">
      <c r="A100" s="17"/>
      <c r="H100" s="13"/>
    </row>
    <row r="101" spans="1:8" ht="15" customHeight="1" x14ac:dyDescent="0.35">
      <c r="A101" s="17"/>
      <c r="H101" s="13"/>
    </row>
    <row r="102" spans="1:8" ht="15" customHeight="1" x14ac:dyDescent="0.35">
      <c r="A102" s="17"/>
      <c r="H102" s="13"/>
    </row>
    <row r="103" spans="1:8" ht="15" customHeight="1" x14ac:dyDescent="0.35">
      <c r="A103" s="17"/>
      <c r="H103" s="13"/>
    </row>
    <row r="104" spans="1:8" ht="15" customHeight="1" x14ac:dyDescent="0.35">
      <c r="A104" s="17"/>
      <c r="H104" s="13"/>
    </row>
    <row r="105" spans="1:8" ht="15" customHeight="1" x14ac:dyDescent="0.35">
      <c r="A105" s="17"/>
      <c r="H105" s="13"/>
    </row>
    <row r="106" spans="1:8" ht="15" customHeight="1" x14ac:dyDescent="0.35">
      <c r="A106" s="17"/>
      <c r="H106" s="13"/>
    </row>
    <row r="107" spans="1:8" ht="15" customHeight="1" x14ac:dyDescent="0.35">
      <c r="A107" s="17"/>
      <c r="H107" s="13"/>
    </row>
    <row r="108" spans="1:8" ht="15" customHeight="1" x14ac:dyDescent="0.35">
      <c r="A108" s="17"/>
      <c r="H108" s="13"/>
    </row>
    <row r="109" spans="1:8" ht="15" customHeight="1" x14ac:dyDescent="0.35">
      <c r="A109" s="17"/>
      <c r="H109" s="13"/>
    </row>
    <row r="110" spans="1:8" ht="15" customHeight="1" x14ac:dyDescent="0.35">
      <c r="A110" s="17"/>
      <c r="H110" s="13"/>
    </row>
    <row r="111" spans="1:8" ht="15" customHeight="1" x14ac:dyDescent="0.35">
      <c r="A111" s="17"/>
      <c r="H111" s="13"/>
    </row>
    <row r="112" spans="1:8" ht="15" customHeight="1" x14ac:dyDescent="0.35">
      <c r="A112" s="17"/>
      <c r="H112" s="13"/>
    </row>
    <row r="113" spans="1:8" ht="15" customHeight="1" x14ac:dyDescent="0.35">
      <c r="A113" s="17"/>
      <c r="H113" s="13"/>
    </row>
    <row r="114" spans="1:8" ht="15" customHeight="1" x14ac:dyDescent="0.35">
      <c r="A114" s="17"/>
      <c r="H114" s="13"/>
    </row>
    <row r="115" spans="1:8" ht="15" customHeight="1" x14ac:dyDescent="0.35">
      <c r="A115" s="17"/>
      <c r="H115" s="13"/>
    </row>
    <row r="116" spans="1:8" ht="15" customHeight="1" x14ac:dyDescent="0.35">
      <c r="A116" s="17"/>
      <c r="H116" s="13"/>
    </row>
    <row r="117" spans="1:8" ht="15" customHeight="1" x14ac:dyDescent="0.35">
      <c r="A117" s="17"/>
      <c r="H117" s="13"/>
    </row>
    <row r="118" spans="1:8" ht="15" customHeight="1" x14ac:dyDescent="0.35">
      <c r="A118" s="17"/>
      <c r="H118" s="13"/>
    </row>
    <row r="119" spans="1:8" ht="15" customHeight="1" x14ac:dyDescent="0.35">
      <c r="A119" s="17"/>
      <c r="H119" s="13"/>
    </row>
    <row r="120" spans="1:8" ht="15" customHeight="1" x14ac:dyDescent="0.35">
      <c r="A120" s="17"/>
      <c r="H120" s="13"/>
    </row>
    <row r="121" spans="1:8" ht="15" customHeight="1" x14ac:dyDescent="0.35">
      <c r="A121" s="17"/>
      <c r="H121" s="13"/>
    </row>
    <row r="122" spans="1:8" ht="15" customHeight="1" x14ac:dyDescent="0.35">
      <c r="A122" s="17"/>
      <c r="H122" s="13"/>
    </row>
    <row r="123" spans="1:8" ht="15" customHeight="1" x14ac:dyDescent="0.35">
      <c r="A123" s="17"/>
      <c r="H123" s="13"/>
    </row>
    <row r="124" spans="1:8" ht="15" customHeight="1" x14ac:dyDescent="0.35">
      <c r="A124" s="17"/>
      <c r="H124" s="13"/>
    </row>
    <row r="125" spans="1:8" ht="15" customHeight="1" x14ac:dyDescent="0.35">
      <c r="A125" s="17"/>
      <c r="H125" s="13"/>
    </row>
    <row r="126" spans="1:8" ht="15" customHeight="1" x14ac:dyDescent="0.35">
      <c r="A126" s="17"/>
      <c r="H126" s="13"/>
    </row>
    <row r="127" spans="1:8" ht="15" customHeight="1" x14ac:dyDescent="0.35">
      <c r="A127" s="17"/>
      <c r="H127" s="13"/>
    </row>
    <row r="128" spans="1:8" ht="15" customHeight="1" x14ac:dyDescent="0.35">
      <c r="A128" s="17"/>
      <c r="H128" s="13"/>
    </row>
    <row r="129" spans="1:8" ht="15" customHeight="1" x14ac:dyDescent="0.35">
      <c r="A129" s="17"/>
      <c r="H129" s="13"/>
    </row>
    <row r="130" spans="1:8" ht="15" customHeight="1" x14ac:dyDescent="0.35">
      <c r="A130" s="17"/>
      <c r="H130" s="13"/>
    </row>
    <row r="131" spans="1:8" ht="15" customHeight="1" x14ac:dyDescent="0.35">
      <c r="A131" s="17"/>
      <c r="H131" s="13"/>
    </row>
    <row r="132" spans="1:8" ht="15" customHeight="1" x14ac:dyDescent="0.35">
      <c r="A132" s="17"/>
      <c r="H132" s="13"/>
    </row>
    <row r="133" spans="1:8" ht="15" customHeight="1" x14ac:dyDescent="0.35">
      <c r="A133" s="17"/>
      <c r="H133" s="13"/>
    </row>
    <row r="134" spans="1:8" ht="15" customHeight="1" x14ac:dyDescent="0.35">
      <c r="A134" s="17"/>
      <c r="H134" s="13"/>
    </row>
    <row r="135" spans="1:8" ht="15" customHeight="1" x14ac:dyDescent="0.35">
      <c r="A135" s="17"/>
      <c r="H135" s="13"/>
    </row>
    <row r="136" spans="1:8" ht="15" customHeight="1" x14ac:dyDescent="0.35">
      <c r="A136" s="17"/>
      <c r="H136" s="13"/>
    </row>
    <row r="137" spans="1:8" ht="15" customHeight="1" x14ac:dyDescent="0.35">
      <c r="A137" s="17"/>
      <c r="H137" s="13"/>
    </row>
    <row r="138" spans="1:8" ht="15" customHeight="1" x14ac:dyDescent="0.35">
      <c r="A138" s="17"/>
      <c r="H138" s="13"/>
    </row>
  </sheetData>
  <mergeCells count="8">
    <mergeCell ref="B2:G2"/>
    <mergeCell ref="B3:G3"/>
    <mergeCell ref="B4:G4"/>
    <mergeCell ref="B5:G5"/>
    <mergeCell ref="B7:G7"/>
    <mergeCell ref="B8:B9"/>
    <mergeCell ref="C8:C9"/>
    <mergeCell ref="D8:G8"/>
  </mergeCells>
  <printOptions horizontalCentered="1"/>
  <pageMargins left="0.35433070866141736" right="0.35433070866141736" top="1.5748031496062993" bottom="0.19685039370078741" header="0" footer="0"/>
  <pageSetup scale="8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DD9F-515E-474C-AFC7-73E23BA2349F}">
  <dimension ref="A1:AI17"/>
  <sheetViews>
    <sheetView showGridLines="0" zoomScale="80" zoomScaleNormal="80" workbookViewId="0">
      <pane xSplit="3" ySplit="5" topLeftCell="D6" activePane="bottomRight" state="frozen"/>
      <selection activeCell="A32" sqref="A32"/>
      <selection pane="topRight" activeCell="A32" sqref="A32"/>
      <selection pane="bottomLeft" activeCell="A32" sqref="A32"/>
      <selection pane="bottomRight" activeCell="R26" sqref="R25:R26"/>
    </sheetView>
  </sheetViews>
  <sheetFormatPr baseColWidth="10" defaultColWidth="11.453125" defaultRowHeight="14.5" x14ac:dyDescent="0.35"/>
  <cols>
    <col min="1" max="1" width="10.81640625" style="2" customWidth="1"/>
    <col min="2" max="2" width="12.453125" style="2" bestFit="1" customWidth="1"/>
    <col min="3" max="3" width="19.1796875" style="2" bestFit="1" customWidth="1"/>
    <col min="4" max="27" width="11" style="4" customWidth="1"/>
    <col min="28" max="28" width="10.54296875" style="2" customWidth="1"/>
    <col min="29" max="30" width="12.54296875" style="2" customWidth="1"/>
    <col min="31" max="31" width="12.54296875" style="3" customWidth="1"/>
    <col min="32" max="34" width="11.453125" style="3" customWidth="1"/>
    <col min="35" max="35" width="13.1796875" style="2" bestFit="1" customWidth="1"/>
    <col min="36" max="16384" width="11.453125" style="2"/>
  </cols>
  <sheetData>
    <row r="1" spans="1:35" ht="18.5" x14ac:dyDescent="0.45">
      <c r="B1" s="43" t="s">
        <v>45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</row>
    <row r="2" spans="1:35" ht="18.5" x14ac:dyDescent="0.45">
      <c r="B2" s="43" t="s">
        <v>43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5" ht="18.5" x14ac:dyDescent="0.45">
      <c r="B3" s="43" t="s">
        <v>62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</row>
    <row r="5" spans="1:35" x14ac:dyDescent="0.35">
      <c r="A5" s="5" t="s">
        <v>38</v>
      </c>
      <c r="B5" s="5" t="s">
        <v>0</v>
      </c>
      <c r="C5" s="3" t="s">
        <v>1</v>
      </c>
      <c r="D5" s="6" t="s">
        <v>44</v>
      </c>
      <c r="E5" s="27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18</v>
      </c>
      <c r="V5" s="6" t="s">
        <v>19</v>
      </c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  <c r="AB5" s="6" t="s">
        <v>41</v>
      </c>
      <c r="AC5" s="6" t="s">
        <v>40</v>
      </c>
    </row>
    <row r="6" spans="1:35" x14ac:dyDescent="0.35">
      <c r="A6" s="3">
        <f t="shared" ref="A6:A17" si="0">ROUNDDOWN((ROW()-6+3*7)/(12*3),0)+2026</f>
        <v>2026</v>
      </c>
      <c r="B6" s="5" t="str">
        <f>PROPER(TEXT(DATEVALUE("1/"&amp;MOD(ROUNDDOWN((ROW()-6+8*3)/3,0),12)+1&amp;"/"&amp;Tabla13[[#This Row],[Año]]),"mmm"))</f>
        <v>Sep</v>
      </c>
      <c r="C6" s="7" t="str">
        <f t="shared" ref="C6:C17" si="1">CHOOSE(MOD(ROW()-6,3)+1,"Hábil","Sábado","Domingo y Festivo")</f>
        <v>Hábil</v>
      </c>
      <c r="D6" s="1">
        <v>1767.408460821194</v>
      </c>
      <c r="E6" s="1">
        <v>1692.7667733592141</v>
      </c>
      <c r="F6" s="1">
        <v>1629.8751063607069</v>
      </c>
      <c r="G6" s="1">
        <v>1568.9018200108731</v>
      </c>
      <c r="H6" s="1">
        <v>1538.4315092341701</v>
      </c>
      <c r="I6" s="1">
        <v>1549.334378182029</v>
      </c>
      <c r="J6" s="1">
        <v>1605.780891020778</v>
      </c>
      <c r="K6" s="1">
        <v>1726.2156694067801</v>
      </c>
      <c r="L6" s="1">
        <v>1523.887011505914</v>
      </c>
      <c r="M6" s="1">
        <v>1054.822131017349</v>
      </c>
      <c r="N6" s="1">
        <v>833.59663409100369</v>
      </c>
      <c r="O6" s="1">
        <v>953.98792509154703</v>
      </c>
      <c r="P6" s="1">
        <v>576.69279927822106</v>
      </c>
      <c r="Q6" s="1">
        <v>568.67695677858478</v>
      </c>
      <c r="R6" s="1">
        <v>1051.4952572612599</v>
      </c>
      <c r="S6" s="1">
        <v>1371.2542863387471</v>
      </c>
      <c r="T6" s="1">
        <v>1873.02733796146</v>
      </c>
      <c r="U6" s="1">
        <v>2439.0529026529989</v>
      </c>
      <c r="V6" s="1">
        <v>2389.1964828746982</v>
      </c>
      <c r="W6" s="1">
        <v>2221.7919337745789</v>
      </c>
      <c r="X6" s="1">
        <v>2233.9785702319741</v>
      </c>
      <c r="Y6" s="1">
        <v>2199.0390264133498</v>
      </c>
      <c r="Z6" s="1">
        <v>2051.9294793005129</v>
      </c>
      <c r="AA6" s="1">
        <v>1910.3981974071589</v>
      </c>
      <c r="AB6" s="8">
        <v>22</v>
      </c>
      <c r="AC6" s="8">
        <f t="shared" ref="AC6:AC17" si="2">AB6*SUM(D6:AA6)</f>
        <v>843293.91388825211</v>
      </c>
      <c r="AI6"/>
    </row>
    <row r="7" spans="1:35" x14ac:dyDescent="0.35">
      <c r="A7" s="3">
        <f t="shared" si="0"/>
        <v>2026</v>
      </c>
      <c r="B7" s="5" t="str">
        <f>PROPER(TEXT(DATEVALUE("1/"&amp;MOD(ROUNDDOWN((ROW()-6+8*3)/3,0),12)+1&amp;"/"&amp;Tabla13[[#This Row],[Año]]),"mmm"))</f>
        <v>Sep</v>
      </c>
      <c r="C7" s="7" t="str">
        <f t="shared" si="1"/>
        <v>Sábado</v>
      </c>
      <c r="D7" s="1">
        <v>1829.608857241544</v>
      </c>
      <c r="E7" s="1">
        <v>1779.434228267316</v>
      </c>
      <c r="F7" s="1">
        <v>1717.4066785746029</v>
      </c>
      <c r="G7" s="1">
        <v>1636.53027200971</v>
      </c>
      <c r="H7" s="1">
        <v>1583.0348546033069</v>
      </c>
      <c r="I7" s="1">
        <v>1517.429810294632</v>
      </c>
      <c r="J7" s="1">
        <v>1242.088097742801</v>
      </c>
      <c r="K7" s="1">
        <v>802.30669480116637</v>
      </c>
      <c r="L7" s="1">
        <v>593.0421686605207</v>
      </c>
      <c r="M7" s="1">
        <v>301.66240086017979</v>
      </c>
      <c r="N7" s="1">
        <v>244.9639596011327</v>
      </c>
      <c r="O7" s="1">
        <v>167.42983379065481</v>
      </c>
      <c r="P7" s="1">
        <v>78.654100391538435</v>
      </c>
      <c r="Q7" s="1">
        <v>32.484048087514878</v>
      </c>
      <c r="R7" s="1">
        <v>111.1206068985985</v>
      </c>
      <c r="S7" s="1">
        <v>251.60005398491549</v>
      </c>
      <c r="T7" s="1">
        <v>653.93765705378507</v>
      </c>
      <c r="U7" s="1">
        <v>1402.002540017329</v>
      </c>
      <c r="V7" s="1">
        <v>1882.1450567658569</v>
      </c>
      <c r="W7" s="1">
        <v>1955.98547252967</v>
      </c>
      <c r="X7" s="1">
        <v>1960.6565839728489</v>
      </c>
      <c r="Y7" s="1">
        <v>1963.733660406971</v>
      </c>
      <c r="Z7" s="1">
        <v>1902.4039312556249</v>
      </c>
      <c r="AA7" s="1">
        <v>1820.86799596932</v>
      </c>
      <c r="AB7" s="8">
        <v>4</v>
      </c>
      <c r="AC7" s="8">
        <f t="shared" si="2"/>
        <v>109722.11825512617</v>
      </c>
      <c r="AI7"/>
    </row>
    <row r="8" spans="1:35" x14ac:dyDescent="0.35">
      <c r="A8" s="3">
        <f t="shared" si="0"/>
        <v>2026</v>
      </c>
      <c r="B8" s="5" t="str">
        <f>PROPER(TEXT(DATEVALUE("1/"&amp;MOD(ROUNDDOWN((ROW()-6+8*3)/3,0),12)+1&amp;"/"&amp;Tabla13[[#This Row],[Año]]),"mmm"))</f>
        <v>Sep</v>
      </c>
      <c r="C8" s="7" t="str">
        <f t="shared" si="1"/>
        <v>Domingo y Festivo</v>
      </c>
      <c r="D8" s="1">
        <v>1733.0578382316939</v>
      </c>
      <c r="E8" s="1">
        <v>1678.6378338097859</v>
      </c>
      <c r="F8" s="1">
        <v>1616.707762595559</v>
      </c>
      <c r="G8" s="1">
        <v>1550.0872024900209</v>
      </c>
      <c r="H8" s="1">
        <v>1508.0571159560061</v>
      </c>
      <c r="I8" s="1">
        <v>1409.587898747129</v>
      </c>
      <c r="J8" s="1">
        <v>992.07848418090475</v>
      </c>
      <c r="K8" s="1">
        <v>243.30779963724871</v>
      </c>
      <c r="L8" s="1">
        <v>43.072820768610697</v>
      </c>
      <c r="M8" s="1">
        <v>31.276695536037259</v>
      </c>
      <c r="N8" s="1">
        <v>19.0702343712036</v>
      </c>
      <c r="O8" s="1">
        <v>10.2553402162834</v>
      </c>
      <c r="P8" s="1">
        <v>10.55343187753115</v>
      </c>
      <c r="Q8" s="1">
        <v>20.487646473723711</v>
      </c>
      <c r="R8" s="1">
        <v>31.577089590233339</v>
      </c>
      <c r="S8" s="1">
        <v>95.475636435954243</v>
      </c>
      <c r="T8" s="1">
        <v>517.35574362483976</v>
      </c>
      <c r="U8" s="1">
        <v>1183.879959222859</v>
      </c>
      <c r="V8" s="1">
        <v>1750.5327623860539</v>
      </c>
      <c r="W8" s="1">
        <v>1907.7043625162951</v>
      </c>
      <c r="X8" s="1">
        <v>1962.4827121524349</v>
      </c>
      <c r="Y8" s="1">
        <v>1955.4361943937149</v>
      </c>
      <c r="Z8" s="1">
        <v>1855.4318395468561</v>
      </c>
      <c r="AA8" s="1">
        <v>1756.76235390643</v>
      </c>
      <c r="AB8" s="8">
        <v>4</v>
      </c>
      <c r="AC8" s="8">
        <f t="shared" si="2"/>
        <v>95531.50703466963</v>
      </c>
      <c r="AI8"/>
    </row>
    <row r="9" spans="1:35" x14ac:dyDescent="0.35">
      <c r="A9" s="3">
        <f t="shared" si="0"/>
        <v>2026</v>
      </c>
      <c r="B9" s="5" t="str">
        <f>PROPER(TEXT(DATEVALUE("1/"&amp;MOD(ROUNDDOWN((ROW()-6+8*3)/3,0),12)+1&amp;"/"&amp;Tabla13[[#This Row],[Año]]),"mmm"))</f>
        <v>Oct</v>
      </c>
      <c r="C9" s="7" t="str">
        <f t="shared" si="1"/>
        <v>Hábil</v>
      </c>
      <c r="D9" s="1">
        <v>1813.59132371187</v>
      </c>
      <c r="E9" s="1">
        <v>1734.350232192488</v>
      </c>
      <c r="F9" s="1">
        <v>1667.3142644071711</v>
      </c>
      <c r="G9" s="1">
        <v>1604.39361352383</v>
      </c>
      <c r="H9" s="1">
        <v>1571.614892891927</v>
      </c>
      <c r="I9" s="1">
        <v>1572.425130106391</v>
      </c>
      <c r="J9" s="1">
        <v>1624.2818614863229</v>
      </c>
      <c r="K9" s="1">
        <v>1774.580036297865</v>
      </c>
      <c r="L9" s="1">
        <v>1584.022917921626</v>
      </c>
      <c r="M9" s="1">
        <v>1151.631411574991</v>
      </c>
      <c r="N9" s="1">
        <v>932.03107807773551</v>
      </c>
      <c r="O9" s="1">
        <v>986.8840116399449</v>
      </c>
      <c r="P9" s="1">
        <v>629.03859994395941</v>
      </c>
      <c r="Q9" s="1">
        <v>672.98765288495804</v>
      </c>
      <c r="R9" s="1">
        <v>1191.7058568971479</v>
      </c>
      <c r="S9" s="1">
        <v>1555.390670768121</v>
      </c>
      <c r="T9" s="1">
        <v>2014.512464532291</v>
      </c>
      <c r="U9" s="1">
        <v>2515.021386837162</v>
      </c>
      <c r="V9" s="1">
        <v>2420.074669185421</v>
      </c>
      <c r="W9" s="1">
        <v>2251.675752498551</v>
      </c>
      <c r="X9" s="1">
        <v>2270.3538005015289</v>
      </c>
      <c r="Y9" s="1">
        <v>2235.1764548332949</v>
      </c>
      <c r="Z9" s="1">
        <v>2091.6466797253288</v>
      </c>
      <c r="AA9" s="1">
        <v>1955.1061099921101</v>
      </c>
      <c r="AB9" s="8">
        <v>21</v>
      </c>
      <c r="AC9" s="8">
        <f t="shared" si="2"/>
        <v>836216.02832107281</v>
      </c>
      <c r="AI9"/>
    </row>
    <row r="10" spans="1:35" x14ac:dyDescent="0.35">
      <c r="A10" s="3">
        <f t="shared" si="0"/>
        <v>2026</v>
      </c>
      <c r="B10" s="5" t="str">
        <f>PROPER(TEXT(DATEVALUE("1/"&amp;MOD(ROUNDDOWN((ROW()-6+8*3)/3,0),12)+1&amp;"/"&amp;Tabla13[[#This Row],[Año]]),"mmm"))</f>
        <v>Oct</v>
      </c>
      <c r="C10" s="7" t="str">
        <f t="shared" si="1"/>
        <v>Sábado</v>
      </c>
      <c r="D10" s="1">
        <v>1874.820937888843</v>
      </c>
      <c r="E10" s="1">
        <v>1813.4130986702801</v>
      </c>
      <c r="F10" s="1">
        <v>1748.614287881408</v>
      </c>
      <c r="G10" s="1">
        <v>1660.955349120961</v>
      </c>
      <c r="H10" s="1">
        <v>1597.390179438105</v>
      </c>
      <c r="I10" s="1">
        <v>1511.9928884062281</v>
      </c>
      <c r="J10" s="1">
        <v>1210.2634112180499</v>
      </c>
      <c r="K10" s="1">
        <v>779.7380996625111</v>
      </c>
      <c r="L10" s="1">
        <v>627.11415320337392</v>
      </c>
      <c r="M10" s="1">
        <v>453.22772002198019</v>
      </c>
      <c r="N10" s="1">
        <v>351.33879001572768</v>
      </c>
      <c r="O10" s="1">
        <v>304.14323707664778</v>
      </c>
      <c r="P10" s="1">
        <v>143.18724911595061</v>
      </c>
      <c r="Q10" s="1">
        <v>76.319472410696633</v>
      </c>
      <c r="R10" s="1">
        <v>167.85741769706539</v>
      </c>
      <c r="S10" s="1">
        <v>288.50920924966499</v>
      </c>
      <c r="T10" s="1">
        <v>697.03470738108842</v>
      </c>
      <c r="U10" s="1">
        <v>1370.167643901412</v>
      </c>
      <c r="V10" s="1">
        <v>1862.8047017187621</v>
      </c>
      <c r="W10" s="1">
        <v>1935.4493630380321</v>
      </c>
      <c r="X10" s="1">
        <v>1944.736274912299</v>
      </c>
      <c r="Y10" s="1">
        <v>1952.990994842273</v>
      </c>
      <c r="Z10" s="1">
        <v>1894.997754908961</v>
      </c>
      <c r="AA10" s="1">
        <v>1815.164465494192</v>
      </c>
      <c r="AB10" s="8">
        <v>5</v>
      </c>
      <c r="AC10" s="8">
        <f t="shared" si="2"/>
        <v>140411.15703637252</v>
      </c>
      <c r="AI10"/>
    </row>
    <row r="11" spans="1:35" x14ac:dyDescent="0.35">
      <c r="A11" s="3">
        <f t="shared" si="0"/>
        <v>2026</v>
      </c>
      <c r="B11" s="5" t="str">
        <f>PROPER(TEXT(DATEVALUE("1/"&amp;MOD(ROUNDDOWN((ROW()-6+8*3)/3,0),12)+1&amp;"/"&amp;Tabla13[[#This Row],[Año]]),"mmm"))</f>
        <v>Oct</v>
      </c>
      <c r="C11" s="7" t="str">
        <f t="shared" si="1"/>
        <v>Domingo y Festivo</v>
      </c>
      <c r="D11" s="1">
        <v>1785.446822413604</v>
      </c>
      <c r="E11" s="1">
        <v>1731.680591097037</v>
      </c>
      <c r="F11" s="1">
        <v>1664.140721178296</v>
      </c>
      <c r="G11" s="1">
        <v>1592.467204719625</v>
      </c>
      <c r="H11" s="1">
        <v>1543.9234560052271</v>
      </c>
      <c r="I11" s="1">
        <v>1440.1937831880909</v>
      </c>
      <c r="J11" s="1">
        <v>1017.0404595425661</v>
      </c>
      <c r="K11" s="1">
        <v>270.28049854673628</v>
      </c>
      <c r="L11" s="1">
        <v>69.423261900658105</v>
      </c>
      <c r="M11" s="1">
        <v>42.980243733663301</v>
      </c>
      <c r="N11" s="1">
        <v>24.92923025874288</v>
      </c>
      <c r="O11" s="1">
        <v>15.51479311749125</v>
      </c>
      <c r="P11" s="1">
        <v>15.546741671363421</v>
      </c>
      <c r="Q11" s="1">
        <v>26.225009255387491</v>
      </c>
      <c r="R11" s="1">
        <v>41.113145912662631</v>
      </c>
      <c r="S11" s="1">
        <v>131.6014075452297</v>
      </c>
      <c r="T11" s="1">
        <v>558.2646566849802</v>
      </c>
      <c r="U11" s="1">
        <v>1208.110471359186</v>
      </c>
      <c r="V11" s="1">
        <v>1778.6476928807599</v>
      </c>
      <c r="W11" s="1">
        <v>1941.8589130303219</v>
      </c>
      <c r="X11" s="1">
        <v>2004.32163741621</v>
      </c>
      <c r="Y11" s="1">
        <v>2000.41486383398</v>
      </c>
      <c r="Z11" s="1">
        <v>1900.08671799076</v>
      </c>
      <c r="AA11" s="1">
        <v>1801.4993506122009</v>
      </c>
      <c r="AB11" s="8">
        <v>5</v>
      </c>
      <c r="AC11" s="8">
        <f t="shared" si="2"/>
        <v>123028.55836947392</v>
      </c>
      <c r="AI11"/>
    </row>
    <row r="12" spans="1:35" x14ac:dyDescent="0.35">
      <c r="A12" s="3">
        <f t="shared" si="0"/>
        <v>2026</v>
      </c>
      <c r="B12" s="5" t="str">
        <f>PROPER(TEXT(DATEVALUE("1/"&amp;MOD(ROUNDDOWN((ROW()-6+8*3)/3,0),12)+1&amp;"/"&amp;Tabla13[[#This Row],[Año]]),"mmm"))</f>
        <v>Nov</v>
      </c>
      <c r="C12" s="7" t="str">
        <f t="shared" si="1"/>
        <v>Hábil</v>
      </c>
      <c r="D12" s="1">
        <v>1880.981542121797</v>
      </c>
      <c r="E12" s="1">
        <v>1804.3317700244679</v>
      </c>
      <c r="F12" s="1">
        <v>1737.056385995591</v>
      </c>
      <c r="G12" s="1">
        <v>1669.5170856755101</v>
      </c>
      <c r="H12" s="1">
        <v>1633.283971134982</v>
      </c>
      <c r="I12" s="1">
        <v>1621.233142977017</v>
      </c>
      <c r="J12" s="1">
        <v>1643.823208366146</v>
      </c>
      <c r="K12" s="1">
        <v>1775.3364790324731</v>
      </c>
      <c r="L12" s="1">
        <v>1595.6096672931769</v>
      </c>
      <c r="M12" s="1">
        <v>1171.371769127283</v>
      </c>
      <c r="N12" s="1">
        <v>1022.7009027558109</v>
      </c>
      <c r="O12" s="1">
        <v>1084.1803158474829</v>
      </c>
      <c r="P12" s="1">
        <v>688.69030285924475</v>
      </c>
      <c r="Q12" s="1">
        <v>712.32218021973154</v>
      </c>
      <c r="R12" s="1">
        <v>1325.296511617029</v>
      </c>
      <c r="S12" s="1">
        <v>1705.321601410795</v>
      </c>
      <c r="T12" s="1">
        <v>2182.255242267116</v>
      </c>
      <c r="U12" s="1">
        <v>2621.4797546356031</v>
      </c>
      <c r="V12" s="1">
        <v>2477.1060050359479</v>
      </c>
      <c r="W12" s="1">
        <v>2312.1206291064641</v>
      </c>
      <c r="X12" s="1">
        <v>2331.318493477339</v>
      </c>
      <c r="Y12" s="1">
        <v>2293.2042863800748</v>
      </c>
      <c r="Z12" s="1">
        <v>2144.638310646284</v>
      </c>
      <c r="AA12" s="1">
        <v>2009.691529133559</v>
      </c>
      <c r="AB12" s="8">
        <v>19</v>
      </c>
      <c r="AC12" s="8">
        <f t="shared" si="2"/>
        <v>787414.55065567768</v>
      </c>
      <c r="AI12"/>
    </row>
    <row r="13" spans="1:35" x14ac:dyDescent="0.35">
      <c r="A13" s="3">
        <f t="shared" si="0"/>
        <v>2026</v>
      </c>
      <c r="B13" s="5" t="str">
        <f>PROPER(TEXT(DATEVALUE("1/"&amp;MOD(ROUNDDOWN((ROW()-6+8*3)/3,0),12)+1&amp;"/"&amp;Tabla13[[#This Row],[Año]]),"mmm"))</f>
        <v>Nov</v>
      </c>
      <c r="C13" s="7" t="str">
        <f t="shared" si="1"/>
        <v>Sábado</v>
      </c>
      <c r="D13" s="1">
        <v>1973.1989629712591</v>
      </c>
      <c r="E13" s="1">
        <v>1920.965860060953</v>
      </c>
      <c r="F13" s="1">
        <v>1856.0553532325041</v>
      </c>
      <c r="G13" s="1">
        <v>1758.1168483044121</v>
      </c>
      <c r="H13" s="1">
        <v>1692.7126501555049</v>
      </c>
      <c r="I13" s="1">
        <v>1616.3373490962811</v>
      </c>
      <c r="J13" s="1">
        <v>1326.596337339746</v>
      </c>
      <c r="K13" s="1">
        <v>968.89132558320478</v>
      </c>
      <c r="L13" s="1">
        <v>934.66602452398649</v>
      </c>
      <c r="M13" s="1">
        <v>486.96782637507471</v>
      </c>
      <c r="N13" s="1">
        <v>414.8033214469823</v>
      </c>
      <c r="O13" s="1">
        <v>363.6888146185355</v>
      </c>
      <c r="P13" s="1">
        <v>255.7077117082282</v>
      </c>
      <c r="Q13" s="1">
        <v>145.46481461853381</v>
      </c>
      <c r="R13" s="1">
        <v>303.10932144698228</v>
      </c>
      <c r="S13" s="1">
        <v>497.75382637507471</v>
      </c>
      <c r="T13" s="1">
        <v>835.65802452398646</v>
      </c>
      <c r="U13" s="1">
        <v>1487.9513255832051</v>
      </c>
      <c r="V13" s="1">
        <v>1948.05233733974</v>
      </c>
      <c r="W13" s="1">
        <v>2015.867349096281</v>
      </c>
      <c r="X13" s="1">
        <v>2018.9606501554999</v>
      </c>
      <c r="Y13" s="1">
        <v>2015.314848304412</v>
      </c>
      <c r="Z13" s="1">
        <v>1958.763353232504</v>
      </c>
      <c r="AA13" s="1">
        <v>1869.4678600609509</v>
      </c>
      <c r="AB13" s="8">
        <v>4</v>
      </c>
      <c r="AC13" s="8">
        <f t="shared" si="2"/>
        <v>122660.28838461539</v>
      </c>
      <c r="AI13"/>
    </row>
    <row r="14" spans="1:35" x14ac:dyDescent="0.35">
      <c r="A14" s="3">
        <f t="shared" si="0"/>
        <v>2026</v>
      </c>
      <c r="B14" s="5" t="str">
        <f>PROPER(TEXT(DATEVALUE("1/"&amp;MOD(ROUNDDOWN((ROW()-6+8*3)/3,0),12)+1&amp;"/"&amp;Tabla13[[#This Row],[Año]]),"mmm"))</f>
        <v>Nov</v>
      </c>
      <c r="C14" s="7" t="str">
        <f t="shared" si="1"/>
        <v>Domingo y Festivo</v>
      </c>
      <c r="D14" s="1">
        <v>1841.674338771792</v>
      </c>
      <c r="E14" s="1">
        <v>1783.677686990701</v>
      </c>
      <c r="F14" s="1">
        <v>1712.870197784782</v>
      </c>
      <c r="G14" s="1">
        <v>1632.945567328142</v>
      </c>
      <c r="H14" s="1">
        <v>1574.0963455546821</v>
      </c>
      <c r="I14" s="1">
        <v>1457.9654294567099</v>
      </c>
      <c r="J14" s="1">
        <v>1023.817685730417</v>
      </c>
      <c r="K14" s="1">
        <v>282.10614958609392</v>
      </c>
      <c r="L14" s="1">
        <v>80.778001755582522</v>
      </c>
      <c r="M14" s="1">
        <v>57.027511121087969</v>
      </c>
      <c r="N14" s="1">
        <v>40.805951469113268</v>
      </c>
      <c r="O14" s="1">
        <v>29.92884908512254</v>
      </c>
      <c r="P14" s="1">
        <v>28.212493482111778</v>
      </c>
      <c r="Q14" s="1">
        <v>35.687049287388703</v>
      </c>
      <c r="R14" s="1">
        <v>58.504439160489667</v>
      </c>
      <c r="S14" s="1">
        <v>158.52418753573099</v>
      </c>
      <c r="T14" s="1">
        <v>598.48982639716144</v>
      </c>
      <c r="U14" s="1">
        <v>1239.13840375155</v>
      </c>
      <c r="V14" s="1">
        <v>1815.0515770847021</v>
      </c>
      <c r="W14" s="1">
        <v>1984.070772636936</v>
      </c>
      <c r="X14" s="1">
        <v>2049.601321007533</v>
      </c>
      <c r="Y14" s="1">
        <v>2048.6317333225061</v>
      </c>
      <c r="Z14" s="1">
        <v>1950.1555585658391</v>
      </c>
      <c r="AA14" s="1">
        <v>1848.5196316481449</v>
      </c>
      <c r="AB14" s="8">
        <v>7</v>
      </c>
      <c r="AC14" s="8">
        <f t="shared" si="2"/>
        <v>177325.96495960024</v>
      </c>
      <c r="AI14"/>
    </row>
    <row r="15" spans="1:35" x14ac:dyDescent="0.35">
      <c r="A15" s="3">
        <f t="shared" si="0"/>
        <v>2026</v>
      </c>
      <c r="B15" s="5" t="str">
        <f>PROPER(TEXT(DATEVALUE("1/"&amp;MOD(ROUNDDOWN((ROW()-6+8*3)/3,0),12)+1&amp;"/"&amp;Tabla13[[#This Row],[Año]]),"mmm"))</f>
        <v>Dic</v>
      </c>
      <c r="C15" s="7" t="str">
        <f t="shared" si="1"/>
        <v>Hábil</v>
      </c>
      <c r="D15" s="1">
        <v>1921.1314818332869</v>
      </c>
      <c r="E15" s="1">
        <v>1844.0900977239969</v>
      </c>
      <c r="F15" s="1">
        <v>1776.392752749749</v>
      </c>
      <c r="G15" s="1">
        <v>1708.4298984919881</v>
      </c>
      <c r="H15" s="1">
        <v>1671.80050152237</v>
      </c>
      <c r="I15" s="1">
        <v>1659.4076684365609</v>
      </c>
      <c r="J15" s="1">
        <v>1681.733313469731</v>
      </c>
      <c r="K15" s="1">
        <v>1813.0777681622701</v>
      </c>
      <c r="L15" s="1">
        <v>1633.2892493609879</v>
      </c>
      <c r="M15" s="1">
        <v>1209.100958279209</v>
      </c>
      <c r="N15" s="1">
        <v>1060.5876324971509</v>
      </c>
      <c r="O15" s="1">
        <v>1122.3217835527139</v>
      </c>
      <c r="P15" s="1">
        <v>727.16634593157983</v>
      </c>
      <c r="Q15" s="1">
        <v>751.18983530402716</v>
      </c>
      <c r="R15" s="1">
        <v>1364.586127646696</v>
      </c>
      <c r="S15" s="1">
        <v>1745.0347713781409</v>
      </c>
      <c r="T15" s="1">
        <v>2222.3646946635522</v>
      </c>
      <c r="U15" s="1">
        <v>2661.931211959884</v>
      </c>
      <c r="V15" s="1">
        <v>2517.8218827161868</v>
      </c>
      <c r="W15" s="1">
        <v>2353.0053227604908</v>
      </c>
      <c r="X15" s="1">
        <v>2372.2648941933512</v>
      </c>
      <c r="Y15" s="1">
        <v>2334.101080011972</v>
      </c>
      <c r="Z15" s="1">
        <v>2185.3775636887681</v>
      </c>
      <c r="AA15" s="1">
        <v>2050.1760442121531</v>
      </c>
      <c r="AB15" s="8">
        <v>21</v>
      </c>
      <c r="AC15" s="8">
        <f t="shared" si="2"/>
        <v>890114.04049148294</v>
      </c>
      <c r="AI15"/>
    </row>
    <row r="16" spans="1:35" x14ac:dyDescent="0.35">
      <c r="A16" s="3">
        <f t="shared" si="0"/>
        <v>2026</v>
      </c>
      <c r="B16" s="5" t="str">
        <f>PROPER(TEXT(DATEVALUE("1/"&amp;MOD(ROUNDDOWN((ROW()-6+8*3)/3,0),12)+1&amp;"/"&amp;Tabla13[[#This Row],[Año]]),"mmm"))</f>
        <v>Dic</v>
      </c>
      <c r="C16" s="7" t="str">
        <f t="shared" si="1"/>
        <v>Sábado</v>
      </c>
      <c r="D16" s="1">
        <v>2028.967502203403</v>
      </c>
      <c r="E16" s="1">
        <v>1975.656730618264</v>
      </c>
      <c r="F16" s="1">
        <v>1907.9589600933521</v>
      </c>
      <c r="G16" s="1">
        <v>1806.715149980158</v>
      </c>
      <c r="H16" s="1">
        <v>1736.482595598153</v>
      </c>
      <c r="I16" s="1">
        <v>1653.9031094500051</v>
      </c>
      <c r="J16" s="1">
        <v>1359.8846469038419</v>
      </c>
      <c r="K16" s="1">
        <v>996.75998349043084</v>
      </c>
      <c r="L16" s="1">
        <v>952.299488098692</v>
      </c>
      <c r="M16" s="1">
        <v>492.98019266596287</v>
      </c>
      <c r="N16" s="1">
        <v>414.86384925337609</v>
      </c>
      <c r="O16" s="1">
        <v>363.17217565728652</v>
      </c>
      <c r="P16" s="1">
        <v>258.38825340587272</v>
      </c>
      <c r="Q16" s="1">
        <v>151.64732367093481</v>
      </c>
      <c r="R16" s="1">
        <v>312.84160934581212</v>
      </c>
      <c r="S16" s="1">
        <v>505.33359418556091</v>
      </c>
      <c r="T16" s="1">
        <v>850.52092699283287</v>
      </c>
      <c r="U16" s="1">
        <v>1510.3767126666701</v>
      </c>
      <c r="V16" s="1">
        <v>1979.286999553975</v>
      </c>
      <c r="W16" s="1">
        <v>2053.8583098983281</v>
      </c>
      <c r="X16" s="1">
        <v>2061.8451623158612</v>
      </c>
      <c r="Y16" s="1">
        <v>2063.12124923495</v>
      </c>
      <c r="Z16" s="1">
        <v>2010.50139203617</v>
      </c>
      <c r="AA16" s="1">
        <v>1923.469881956868</v>
      </c>
      <c r="AB16" s="8">
        <v>4</v>
      </c>
      <c r="AC16" s="8">
        <f t="shared" si="2"/>
        <v>125483.34319710705</v>
      </c>
      <c r="AI16"/>
    </row>
    <row r="17" spans="1:35" x14ac:dyDescent="0.35">
      <c r="A17" s="3">
        <f t="shared" si="0"/>
        <v>2026</v>
      </c>
      <c r="B17" s="5" t="str">
        <f>PROPER(TEXT(DATEVALUE("1/"&amp;MOD(ROUNDDOWN((ROW()-6+8*3)/3,0),12)+1&amp;"/"&amp;Tabla13[[#This Row],[Año]]),"mmm"))</f>
        <v>Dic</v>
      </c>
      <c r="C17" s="7" t="str">
        <f t="shared" si="1"/>
        <v>Domingo y Festivo</v>
      </c>
      <c r="D17" s="1">
        <v>1897.893769718864</v>
      </c>
      <c r="E17" s="1">
        <v>1838.360687402959</v>
      </c>
      <c r="F17" s="1">
        <v>1768.544534906428</v>
      </c>
      <c r="G17" s="1">
        <v>1682.449172635844</v>
      </c>
      <c r="H17" s="1">
        <v>1613.4357764554941</v>
      </c>
      <c r="I17" s="1">
        <v>1484.101094156742</v>
      </c>
      <c r="J17" s="1">
        <v>1036.7994281961981</v>
      </c>
      <c r="K17" s="1">
        <v>297.3820678178912</v>
      </c>
      <c r="L17" s="1">
        <v>90.389235752988</v>
      </c>
      <c r="M17" s="1">
        <v>61.445839094557769</v>
      </c>
      <c r="N17" s="1">
        <v>40.667671628005017</v>
      </c>
      <c r="O17" s="1">
        <v>29.479230159780911</v>
      </c>
      <c r="P17" s="1">
        <v>28.650919083315959</v>
      </c>
      <c r="Q17" s="1">
        <v>38.246544818240579</v>
      </c>
      <c r="R17" s="1">
        <v>57.61896400612639</v>
      </c>
      <c r="S17" s="1">
        <v>163.9013248898668</v>
      </c>
      <c r="T17" s="1">
        <v>651.51946806537342</v>
      </c>
      <c r="U17" s="1">
        <v>1281.2279557866009</v>
      </c>
      <c r="V17" s="1">
        <v>1863.502374998171</v>
      </c>
      <c r="W17" s="1">
        <v>2034.091333837174</v>
      </c>
      <c r="X17" s="1">
        <v>2104.5302292680549</v>
      </c>
      <c r="Y17" s="1">
        <v>2105.986924824284</v>
      </c>
      <c r="Z17" s="1">
        <v>2006.3184054619619</v>
      </c>
      <c r="AA17" s="1">
        <v>1897.7315326969881</v>
      </c>
      <c r="AB17" s="8">
        <v>6</v>
      </c>
      <c r="AC17" s="8">
        <f t="shared" si="2"/>
        <v>156445.64691397146</v>
      </c>
      <c r="AI17"/>
    </row>
  </sheetData>
  <mergeCells count="3">
    <mergeCell ref="B1:AB1"/>
    <mergeCell ref="B2:AB2"/>
    <mergeCell ref="B3:AB3"/>
  </mergeCells>
  <printOptions horizontalCentered="1"/>
  <pageMargins left="0" right="0" top="0" bottom="0" header="0" footer="0"/>
  <pageSetup scale="85" orientation="landscape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AC2BEAA0673E4F96E3E812374ED63B" ma:contentTypeVersion="13" ma:contentTypeDescription="Crear nuevo documento." ma:contentTypeScope="" ma:versionID="6319f4532de6641ac6714d5a67f368fe">
  <xsd:schema xmlns:xsd="http://www.w3.org/2001/XMLSchema" xmlns:xs="http://www.w3.org/2001/XMLSchema" xmlns:p="http://schemas.microsoft.com/office/2006/metadata/properties" xmlns:ns3="17d7484c-5d63-455e-a643-8ffc912959b2" xmlns:ns4="f2ea09fb-d89d-450e-9152-1201866d5bdf" targetNamespace="http://schemas.microsoft.com/office/2006/metadata/properties" ma:root="true" ma:fieldsID="cd67d8f73cf7af585497377d416b8844" ns3:_="" ns4:_="">
    <xsd:import namespace="17d7484c-5d63-455e-a643-8ffc912959b2"/>
    <xsd:import namespace="f2ea09fb-d89d-450e-9152-1201866d5bd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7484c-5d63-455e-a643-8ffc912959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a09fb-d89d-450e-9152-1201866d5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6B836D-6621-493F-A2DB-AA779A11A46E}">
  <ds:schemaRefs>
    <ds:schemaRef ds:uri="http://www.w3.org/XML/1998/namespace"/>
    <ds:schemaRef ds:uri="http://purl.org/dc/dcmitype/"/>
    <ds:schemaRef ds:uri="http://purl.org/dc/terms/"/>
    <ds:schemaRef ds:uri="17d7484c-5d63-455e-a643-8ffc912959b2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2ea09fb-d89d-450e-9152-1201866d5bd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1CAA727-A1DF-4EA8-8DD1-F543E8F9D6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BA4F86-A06D-48A5-B02F-2693D503C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d7484c-5d63-455e-a643-8ffc912959b2"/>
    <ds:schemaRef ds:uri="f2ea09fb-d89d-450e-9152-1201866d5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R-Producto 1</vt:lpstr>
      <vt:lpstr>Producto 1</vt:lpstr>
      <vt:lpstr>R-Producto 2</vt:lpstr>
      <vt:lpstr>Producto 2</vt:lpstr>
      <vt:lpstr>'Producto 1'!Área_de_impresión</vt:lpstr>
      <vt:lpstr>'Producto 2'!Área_de_impresión</vt:lpstr>
      <vt:lpstr>'R-Producto 1'!Área_de_impresión</vt:lpstr>
      <vt:lpstr>'R-Producto 2'!Área_de_impresión</vt:lpstr>
    </vt:vector>
  </TitlesOfParts>
  <Company>ECO-ECA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Jackeline Vega</dc:creator>
  <cp:lastModifiedBy>MARIA TERESA</cp:lastModifiedBy>
  <cp:lastPrinted>2025-07-18T19:15:32Z</cp:lastPrinted>
  <dcterms:created xsi:type="dcterms:W3CDTF">2010-11-25T21:03:36Z</dcterms:created>
  <dcterms:modified xsi:type="dcterms:W3CDTF">2026-07-15T22:09:09Z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0x010100D6AC2BEAA0673E4F96E3E812374ED63B</vt:lpwstr>
  </property>
</Properties>
</file>