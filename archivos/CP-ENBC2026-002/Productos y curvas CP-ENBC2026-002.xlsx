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lsia.sharepoint.com/teams/LojAvengers-AdmineB/Documentos compartidos/3. Biters/Negocio/Trading/Contratos/Convocatoria SICEP 2026-02/Terminos de referencia - Preliminares/"/>
    </mc:Choice>
  </mc:AlternateContent>
  <xr:revisionPtr revIDLastSave="6" documentId="13_ncr:1_{77A4E828-1395-4DCC-8062-553244DF8B37}" xr6:coauthVersionLast="47" xr6:coauthVersionMax="47" xr10:uidLastSave="{CFEE6ABF-5A4B-489E-8631-7AB6B9218C45}"/>
  <bookViews>
    <workbookView xWindow="-110" yWindow="-110" windowWidth="19420" windowHeight="11500" xr2:uid="{2E131CFD-914A-4705-B14C-A3E520FAAF68}"/>
  </bookViews>
  <sheets>
    <sheet name="Oferta Producto 1" sheetId="3" r:id="rId1"/>
    <sheet name="Curvas Prod 1" sheetId="6" r:id="rId2"/>
    <sheet name="Oferta Producto 2" sheetId="18" r:id="rId3"/>
    <sheet name="Curvas Prod 2" sheetId="17" r:id="rId4"/>
    <sheet name="Oferta Producto 3" sheetId="19" r:id="rId5"/>
    <sheet name="Curvas Prod 3" sheetId="20" r:id="rId6"/>
    <sheet name="Oferta Producto 4" sheetId="23" r:id="rId7"/>
    <sheet name="Curvas Prod 4" sheetId="24" r:id="rId8"/>
    <sheet name="Curva de la oferta Prod 3" sheetId="14" state="hidden" r:id="rId9"/>
  </sheets>
  <externalReferences>
    <externalReference r:id="rId10"/>
  </externalReferences>
  <definedNames>
    <definedName name="_xlnm.Print_Area" localSheetId="0">'Oferta Producto 1'!$A$1:$G$15</definedName>
    <definedName name="_xlnm.Print_Area" localSheetId="2">'Oferta Producto 2'!$A$1:$G$28</definedName>
    <definedName name="_xlnm.Print_Area" localSheetId="4">'Oferta Producto 3'!$A$1:$G$27</definedName>
    <definedName name="_xlnm.Print_Area" localSheetId="6">'Oferta Producto 4'!$A$1:$G$24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" i="20" l="1" a="1"/>
  <c r="C6" i="17" l="1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AB101" i="24" l="1"/>
  <c r="A101" i="24"/>
  <c r="AB100" i="24"/>
  <c r="A100" i="24"/>
  <c r="AB99" i="24"/>
  <c r="A99" i="24"/>
  <c r="AB98" i="24"/>
  <c r="A98" i="24"/>
  <c r="AB97" i="24"/>
  <c r="A97" i="24"/>
  <c r="AB96" i="24"/>
  <c r="A96" i="24"/>
  <c r="AB95" i="24"/>
  <c r="A95" i="24"/>
  <c r="AB94" i="24"/>
  <c r="A94" i="24"/>
  <c r="AB93" i="24"/>
  <c r="A93" i="24"/>
  <c r="AB92" i="24"/>
  <c r="A92" i="24"/>
  <c r="AB91" i="24"/>
  <c r="A91" i="24"/>
  <c r="AB90" i="24"/>
  <c r="A90" i="24"/>
  <c r="AB89" i="24"/>
  <c r="A89" i="24"/>
  <c r="AB88" i="24"/>
  <c r="A88" i="24"/>
  <c r="AB87" i="24"/>
  <c r="A87" i="24"/>
  <c r="AB86" i="24"/>
  <c r="A86" i="24"/>
  <c r="AB85" i="24"/>
  <c r="A85" i="24"/>
  <c r="AB84" i="24"/>
  <c r="A84" i="24"/>
  <c r="AB83" i="24"/>
  <c r="A83" i="24"/>
  <c r="AB82" i="24"/>
  <c r="A82" i="24"/>
  <c r="AB81" i="24"/>
  <c r="A81" i="24"/>
  <c r="AB80" i="24"/>
  <c r="A80" i="24"/>
  <c r="AB79" i="24"/>
  <c r="A79" i="24"/>
  <c r="AB78" i="24"/>
  <c r="A78" i="24"/>
  <c r="AB77" i="24"/>
  <c r="A77" i="24"/>
  <c r="AB76" i="24"/>
  <c r="A76" i="24"/>
  <c r="AB75" i="24"/>
  <c r="A75" i="24"/>
  <c r="AB74" i="24"/>
  <c r="A74" i="24"/>
  <c r="AB73" i="24"/>
  <c r="A73" i="24"/>
  <c r="AB72" i="24"/>
  <c r="A72" i="24"/>
  <c r="AB71" i="24"/>
  <c r="A71" i="24"/>
  <c r="AB70" i="24"/>
  <c r="A70" i="24"/>
  <c r="AB69" i="24"/>
  <c r="A69" i="24"/>
  <c r="AB68" i="24"/>
  <c r="A68" i="24"/>
  <c r="AB67" i="24"/>
  <c r="A67" i="24"/>
  <c r="AB66" i="24"/>
  <c r="A66" i="24"/>
  <c r="AB65" i="24"/>
  <c r="A65" i="24"/>
  <c r="AB64" i="24"/>
  <c r="A64" i="24"/>
  <c r="AB63" i="24"/>
  <c r="A63" i="24"/>
  <c r="AB62" i="24"/>
  <c r="A62" i="24"/>
  <c r="AB61" i="24"/>
  <c r="A61" i="24"/>
  <c r="AB60" i="24"/>
  <c r="A60" i="24"/>
  <c r="AB59" i="24"/>
  <c r="A59" i="24"/>
  <c r="AB58" i="24"/>
  <c r="A58" i="24"/>
  <c r="AB57" i="24"/>
  <c r="A57" i="24"/>
  <c r="AB56" i="24"/>
  <c r="A56" i="24"/>
  <c r="AB55" i="24"/>
  <c r="A55" i="24"/>
  <c r="AB54" i="24"/>
  <c r="A54" i="24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Z6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O60" i="24" l="1"/>
  <c r="S60" i="24"/>
  <c r="D60" i="24"/>
  <c r="R60" i="24"/>
  <c r="Q60" i="24"/>
  <c r="P60" i="24"/>
  <c r="Y60" i="24"/>
  <c r="I60" i="24"/>
  <c r="F60" i="24"/>
  <c r="V60" i="24"/>
  <c r="N60" i="24"/>
  <c r="H60" i="24"/>
  <c r="E60" i="24"/>
  <c r="C60" i="24"/>
  <c r="Z60" i="24"/>
  <c r="U60" i="24"/>
  <c r="J60" i="24"/>
  <c r="X60" i="24"/>
  <c r="W60" i="24"/>
  <c r="T60" i="24"/>
  <c r="M60" i="24"/>
  <c r="G60" i="24"/>
  <c r="L60" i="24"/>
  <c r="K60" i="24"/>
  <c r="W55" i="24"/>
  <c r="I55" i="24"/>
  <c r="R55" i="24"/>
  <c r="C55" i="24"/>
  <c r="Y55" i="24"/>
  <c r="H55" i="24"/>
  <c r="X55" i="24"/>
  <c r="G55" i="24"/>
  <c r="O55" i="24"/>
  <c r="P55" i="24"/>
  <c r="K55" i="24"/>
  <c r="E55" i="24"/>
  <c r="S55" i="24"/>
  <c r="V55" i="24"/>
  <c r="Q55" i="24"/>
  <c r="L55" i="24"/>
  <c r="J55" i="24"/>
  <c r="D55" i="24"/>
  <c r="F55" i="24"/>
  <c r="U55" i="24"/>
  <c r="T55" i="24"/>
  <c r="N55" i="24"/>
  <c r="M55" i="24"/>
  <c r="Z55" i="24"/>
  <c r="W97" i="24"/>
  <c r="I97" i="24"/>
  <c r="S97" i="24"/>
  <c r="E97" i="24"/>
  <c r="P97" i="24"/>
  <c r="Y97" i="24"/>
  <c r="K97" i="24"/>
  <c r="X97" i="24"/>
  <c r="D97" i="24"/>
  <c r="Q97" i="24"/>
  <c r="M97" i="24"/>
  <c r="U97" i="24"/>
  <c r="T97" i="24"/>
  <c r="R97" i="24"/>
  <c r="L97" i="24"/>
  <c r="G97" i="24"/>
  <c r="O97" i="24"/>
  <c r="C97" i="24"/>
  <c r="H97" i="24"/>
  <c r="F97" i="24"/>
  <c r="J97" i="24"/>
  <c r="V97" i="24"/>
  <c r="Z97" i="24"/>
  <c r="N97" i="24"/>
  <c r="M77" i="24"/>
  <c r="R77" i="24"/>
  <c r="C77" i="24"/>
  <c r="X77" i="24"/>
  <c r="I77" i="24"/>
  <c r="S77" i="24"/>
  <c r="Q77" i="24"/>
  <c r="P77" i="24"/>
  <c r="L77" i="24"/>
  <c r="Z77" i="24"/>
  <c r="H77" i="24"/>
  <c r="N77" i="24"/>
  <c r="F77" i="24"/>
  <c r="T77" i="24"/>
  <c r="G77" i="24"/>
  <c r="E77" i="24"/>
  <c r="Y77" i="24"/>
  <c r="K77" i="24"/>
  <c r="W77" i="24"/>
  <c r="V77" i="24"/>
  <c r="U77" i="24"/>
  <c r="O77" i="24"/>
  <c r="J77" i="24"/>
  <c r="D77" i="24"/>
  <c r="U58" i="24"/>
  <c r="G58" i="24"/>
  <c r="V58" i="24"/>
  <c r="F58" i="24"/>
  <c r="Q58" i="24"/>
  <c r="P58" i="24"/>
  <c r="O58" i="24"/>
  <c r="Y58" i="24"/>
  <c r="I58" i="24"/>
  <c r="H58" i="24"/>
  <c r="X58" i="24"/>
  <c r="S58" i="24"/>
  <c r="K58" i="24"/>
  <c r="T58" i="24"/>
  <c r="R58" i="24"/>
  <c r="L58" i="24"/>
  <c r="D58" i="24"/>
  <c r="Z58" i="24"/>
  <c r="W58" i="24"/>
  <c r="M58" i="24"/>
  <c r="N58" i="24"/>
  <c r="C58" i="24"/>
  <c r="J58" i="24"/>
  <c r="E58" i="24"/>
  <c r="U79" i="24"/>
  <c r="G79" i="24"/>
  <c r="O79" i="24"/>
  <c r="V79" i="24"/>
  <c r="F79" i="24"/>
  <c r="X79" i="24"/>
  <c r="E79" i="24"/>
  <c r="W79" i="24"/>
  <c r="D79" i="24"/>
  <c r="T79" i="24"/>
  <c r="C79" i="24"/>
  <c r="Q79" i="24"/>
  <c r="M79" i="24"/>
  <c r="S79" i="24"/>
  <c r="L79" i="24"/>
  <c r="I79" i="24"/>
  <c r="Z79" i="24"/>
  <c r="P79" i="24"/>
  <c r="K79" i="24"/>
  <c r="H79" i="24"/>
  <c r="R79" i="24"/>
  <c r="N79" i="24"/>
  <c r="J79" i="24"/>
  <c r="Y79" i="24"/>
  <c r="Y66" i="24"/>
  <c r="K66" i="24"/>
  <c r="Z66" i="24"/>
  <c r="J66" i="24"/>
  <c r="T66" i="24"/>
  <c r="D66" i="24"/>
  <c r="S66" i="24"/>
  <c r="C66" i="24"/>
  <c r="R66" i="24"/>
  <c r="O66" i="24"/>
  <c r="L66" i="24"/>
  <c r="W66" i="24"/>
  <c r="P66" i="24"/>
  <c r="I66" i="24"/>
  <c r="V66" i="24"/>
  <c r="U66" i="24"/>
  <c r="M66" i="24"/>
  <c r="F66" i="24"/>
  <c r="X66" i="24"/>
  <c r="H66" i="24"/>
  <c r="G66" i="24"/>
  <c r="Q66" i="24"/>
  <c r="N66" i="24"/>
  <c r="E66" i="24"/>
  <c r="Y87" i="24"/>
  <c r="K87" i="24"/>
  <c r="S87" i="24"/>
  <c r="D87" i="24"/>
  <c r="N87" i="24"/>
  <c r="Z87" i="24"/>
  <c r="J87" i="24"/>
  <c r="Q87" i="24"/>
  <c r="P87" i="24"/>
  <c r="O87" i="24"/>
  <c r="I87" i="24"/>
  <c r="X87" i="24"/>
  <c r="F87" i="24"/>
  <c r="V87" i="24"/>
  <c r="R87" i="24"/>
  <c r="E87" i="24"/>
  <c r="G87" i="24"/>
  <c r="C87" i="24"/>
  <c r="L87" i="24"/>
  <c r="H87" i="24"/>
  <c r="U87" i="24"/>
  <c r="W87" i="24"/>
  <c r="T87" i="24"/>
  <c r="M87" i="24"/>
  <c r="O74" i="24"/>
  <c r="N74" i="24"/>
  <c r="W74" i="24"/>
  <c r="G74" i="24"/>
  <c r="V74" i="24"/>
  <c r="F74" i="24"/>
  <c r="U74" i="24"/>
  <c r="E74" i="24"/>
  <c r="R74" i="24"/>
  <c r="M74" i="24"/>
  <c r="I74" i="24"/>
  <c r="Z74" i="24"/>
  <c r="T74" i="24"/>
  <c r="K74" i="24"/>
  <c r="H74" i="24"/>
  <c r="D74" i="24"/>
  <c r="Y74" i="24"/>
  <c r="L74" i="24"/>
  <c r="Q74" i="24"/>
  <c r="J74" i="24"/>
  <c r="C74" i="24"/>
  <c r="X74" i="24"/>
  <c r="P74" i="24"/>
  <c r="S74" i="24"/>
  <c r="O88" i="24"/>
  <c r="Y88" i="24"/>
  <c r="J88" i="24"/>
  <c r="T88" i="24"/>
  <c r="E88" i="24"/>
  <c r="Q88" i="24"/>
  <c r="L88" i="24"/>
  <c r="K88" i="24"/>
  <c r="I88" i="24"/>
  <c r="X88" i="24"/>
  <c r="F88" i="24"/>
  <c r="U88" i="24"/>
  <c r="G88" i="24"/>
  <c r="V88" i="24"/>
  <c r="M88" i="24"/>
  <c r="Z88" i="24"/>
  <c r="W88" i="24"/>
  <c r="S88" i="24"/>
  <c r="N88" i="24"/>
  <c r="C88" i="24"/>
  <c r="H88" i="24"/>
  <c r="D88" i="24"/>
  <c r="R88" i="24"/>
  <c r="P88" i="24"/>
  <c r="O95" i="24"/>
  <c r="Y95" i="24"/>
  <c r="K95" i="24"/>
  <c r="V95" i="24"/>
  <c r="H95" i="24"/>
  <c r="Q95" i="24"/>
  <c r="C95" i="24"/>
  <c r="M95" i="24"/>
  <c r="Z95" i="24"/>
  <c r="F95" i="24"/>
  <c r="U95" i="24"/>
  <c r="S95" i="24"/>
  <c r="R95" i="24"/>
  <c r="P95" i="24"/>
  <c r="J95" i="24"/>
  <c r="E95" i="24"/>
  <c r="G95" i="24"/>
  <c r="L95" i="24"/>
  <c r="X95" i="24"/>
  <c r="D95" i="24"/>
  <c r="N95" i="24"/>
  <c r="I95" i="24"/>
  <c r="W95" i="24"/>
  <c r="T95" i="24"/>
  <c r="S54" i="24"/>
  <c r="E54" i="24"/>
  <c r="L54" i="24"/>
  <c r="P54" i="24"/>
  <c r="O54" i="24"/>
  <c r="W54" i="24"/>
  <c r="G54" i="24"/>
  <c r="T54" i="24"/>
  <c r="M54" i="24"/>
  <c r="I54" i="24"/>
  <c r="V54" i="24"/>
  <c r="Z54" i="24"/>
  <c r="Y54" i="24"/>
  <c r="K54" i="24"/>
  <c r="R54" i="24"/>
  <c r="Q54" i="24"/>
  <c r="N54" i="24"/>
  <c r="J54" i="24"/>
  <c r="C54" i="24"/>
  <c r="X54" i="24"/>
  <c r="U54" i="24"/>
  <c r="H54" i="24"/>
  <c r="F54" i="24"/>
  <c r="D54" i="24"/>
  <c r="S61" i="24"/>
  <c r="E61" i="24"/>
  <c r="Y61" i="24"/>
  <c r="J61" i="24"/>
  <c r="K61" i="24"/>
  <c r="Z61" i="24"/>
  <c r="I61" i="24"/>
  <c r="X61" i="24"/>
  <c r="H61" i="24"/>
  <c r="Q61" i="24"/>
  <c r="C61" i="24"/>
  <c r="T61" i="24"/>
  <c r="O61" i="24"/>
  <c r="F61" i="24"/>
  <c r="M61" i="24"/>
  <c r="L61" i="24"/>
  <c r="P61" i="24"/>
  <c r="G61" i="24"/>
  <c r="W61" i="24"/>
  <c r="N61" i="24"/>
  <c r="R61" i="24"/>
  <c r="V61" i="24"/>
  <c r="D61" i="24"/>
  <c r="U61" i="24"/>
  <c r="S68" i="24"/>
  <c r="E68" i="24"/>
  <c r="W68" i="24"/>
  <c r="H68" i="24"/>
  <c r="U68" i="24"/>
  <c r="D68" i="24"/>
  <c r="T68" i="24"/>
  <c r="C68" i="24"/>
  <c r="R68" i="24"/>
  <c r="O68" i="24"/>
  <c r="L68" i="24"/>
  <c r="Z68" i="24"/>
  <c r="Q68" i="24"/>
  <c r="M68" i="24"/>
  <c r="F68" i="24"/>
  <c r="J68" i="24"/>
  <c r="I68" i="24"/>
  <c r="N68" i="24"/>
  <c r="V68" i="24"/>
  <c r="P68" i="24"/>
  <c r="Y68" i="24"/>
  <c r="X68" i="24"/>
  <c r="K68" i="24"/>
  <c r="G68" i="24"/>
  <c r="S75" i="24"/>
  <c r="E75" i="24"/>
  <c r="U75" i="24"/>
  <c r="F75" i="24"/>
  <c r="O75" i="24"/>
  <c r="N75" i="24"/>
  <c r="M75" i="24"/>
  <c r="Z75" i="24"/>
  <c r="J75" i="24"/>
  <c r="W75" i="24"/>
  <c r="G75" i="24"/>
  <c r="I75" i="24"/>
  <c r="V75" i="24"/>
  <c r="L75" i="24"/>
  <c r="R75" i="24"/>
  <c r="Q75" i="24"/>
  <c r="H75" i="24"/>
  <c r="X75" i="24"/>
  <c r="P75" i="24"/>
  <c r="K75" i="24"/>
  <c r="Y75" i="24"/>
  <c r="T75" i="24"/>
  <c r="D75" i="24"/>
  <c r="C75" i="24"/>
  <c r="S82" i="24"/>
  <c r="E82" i="24"/>
  <c r="R82" i="24"/>
  <c r="C82" i="24"/>
  <c r="Y82" i="24"/>
  <c r="J82" i="24"/>
  <c r="V82" i="24"/>
  <c r="D82" i="24"/>
  <c r="U82" i="24"/>
  <c r="T82" i="24"/>
  <c r="O82" i="24"/>
  <c r="L82" i="24"/>
  <c r="F82" i="24"/>
  <c r="X82" i="24"/>
  <c r="P82" i="24"/>
  <c r="H82" i="24"/>
  <c r="W82" i="24"/>
  <c r="I82" i="24"/>
  <c r="Z82" i="24"/>
  <c r="Q82" i="24"/>
  <c r="M82" i="24"/>
  <c r="N82" i="24"/>
  <c r="K82" i="24"/>
  <c r="G82" i="24"/>
  <c r="S89" i="24"/>
  <c r="E89" i="24"/>
  <c r="P89" i="24"/>
  <c r="Z89" i="24"/>
  <c r="K89" i="24"/>
  <c r="W89" i="24"/>
  <c r="H89" i="24"/>
  <c r="G89" i="24"/>
  <c r="Y89" i="24"/>
  <c r="F89" i="24"/>
  <c r="X89" i="24"/>
  <c r="D89" i="24"/>
  <c r="T89" i="24"/>
  <c r="O89" i="24"/>
  <c r="M89" i="24"/>
  <c r="C89" i="24"/>
  <c r="Q89" i="24"/>
  <c r="U89" i="24"/>
  <c r="I89" i="24"/>
  <c r="R89" i="24"/>
  <c r="N89" i="24"/>
  <c r="J89" i="24"/>
  <c r="L89" i="24"/>
  <c r="V89" i="24"/>
  <c r="S96" i="24"/>
  <c r="E96" i="24"/>
  <c r="O96" i="24"/>
  <c r="Z96" i="24"/>
  <c r="L96" i="24"/>
  <c r="U96" i="24"/>
  <c r="G96" i="24"/>
  <c r="I96" i="24"/>
  <c r="V96" i="24"/>
  <c r="Q96" i="24"/>
  <c r="T96" i="24"/>
  <c r="R96" i="24"/>
  <c r="P96" i="24"/>
  <c r="K96" i="24"/>
  <c r="F96" i="24"/>
  <c r="X96" i="24"/>
  <c r="J96" i="24"/>
  <c r="C96" i="24"/>
  <c r="Y96" i="24"/>
  <c r="M96" i="24"/>
  <c r="W96" i="24"/>
  <c r="N96" i="24"/>
  <c r="D96" i="24"/>
  <c r="H96" i="24"/>
  <c r="W76" i="24"/>
  <c r="I76" i="24"/>
  <c r="L76" i="24"/>
  <c r="R76" i="24"/>
  <c r="Y76" i="24"/>
  <c r="G76" i="24"/>
  <c r="X76" i="24"/>
  <c r="F76" i="24"/>
  <c r="V76" i="24"/>
  <c r="E76" i="24"/>
  <c r="S76" i="24"/>
  <c r="O76" i="24"/>
  <c r="K76" i="24"/>
  <c r="C76" i="24"/>
  <c r="Z76" i="24"/>
  <c r="N76" i="24"/>
  <c r="T76" i="24"/>
  <c r="M76" i="24"/>
  <c r="U76" i="24"/>
  <c r="P76" i="24"/>
  <c r="J76" i="24"/>
  <c r="D76" i="24"/>
  <c r="H76" i="24"/>
  <c r="Q76" i="24"/>
  <c r="M70" i="24"/>
  <c r="T70" i="24"/>
  <c r="E70" i="24"/>
  <c r="V70" i="24"/>
  <c r="F70" i="24"/>
  <c r="U70" i="24"/>
  <c r="D70" i="24"/>
  <c r="S70" i="24"/>
  <c r="C70" i="24"/>
  <c r="P70" i="24"/>
  <c r="L70" i="24"/>
  <c r="W70" i="24"/>
  <c r="O70" i="24"/>
  <c r="H70" i="24"/>
  <c r="X70" i="24"/>
  <c r="N70" i="24"/>
  <c r="G70" i="24"/>
  <c r="Y70" i="24"/>
  <c r="R70" i="24"/>
  <c r="Z70" i="24"/>
  <c r="J70" i="24"/>
  <c r="Q70" i="24"/>
  <c r="K70" i="24"/>
  <c r="I70" i="24"/>
  <c r="M91" i="24"/>
  <c r="T91" i="24"/>
  <c r="F91" i="24"/>
  <c r="P91" i="24"/>
  <c r="Z91" i="24"/>
  <c r="J91" i="24"/>
  <c r="W91" i="24"/>
  <c r="G91" i="24"/>
  <c r="S91" i="24"/>
  <c r="R91" i="24"/>
  <c r="Q91" i="24"/>
  <c r="L91" i="24"/>
  <c r="H91" i="24"/>
  <c r="U91" i="24"/>
  <c r="K91" i="24"/>
  <c r="Y91" i="24"/>
  <c r="O91" i="24"/>
  <c r="C91" i="24"/>
  <c r="N91" i="24"/>
  <c r="I91" i="24"/>
  <c r="X91" i="24"/>
  <c r="V91" i="24"/>
  <c r="E91" i="24"/>
  <c r="D91" i="24"/>
  <c r="M98" i="24"/>
  <c r="W98" i="24"/>
  <c r="I98" i="24"/>
  <c r="T98" i="24"/>
  <c r="F98" i="24"/>
  <c r="O98" i="24"/>
  <c r="S98" i="24"/>
  <c r="L98" i="24"/>
  <c r="H98" i="24"/>
  <c r="V98" i="24"/>
  <c r="U98" i="24"/>
  <c r="R98" i="24"/>
  <c r="N98" i="24"/>
  <c r="G98" i="24"/>
  <c r="K98" i="24"/>
  <c r="C98" i="24"/>
  <c r="Q98" i="24"/>
  <c r="X98" i="24"/>
  <c r="E98" i="24"/>
  <c r="Z98" i="24"/>
  <c r="Y98" i="24"/>
  <c r="P98" i="24"/>
  <c r="J98" i="24"/>
  <c r="D98" i="24"/>
  <c r="O81" i="24"/>
  <c r="L81" i="24"/>
  <c r="S81" i="24"/>
  <c r="D81" i="24"/>
  <c r="J81" i="24"/>
  <c r="Z81" i="24"/>
  <c r="I81" i="24"/>
  <c r="Y81" i="24"/>
  <c r="H81" i="24"/>
  <c r="V81" i="24"/>
  <c r="E81" i="24"/>
  <c r="R81" i="24"/>
  <c r="T81" i="24"/>
  <c r="N81" i="24"/>
  <c r="C81" i="24"/>
  <c r="X81" i="24"/>
  <c r="W81" i="24"/>
  <c r="P81" i="24"/>
  <c r="G81" i="24"/>
  <c r="U81" i="24"/>
  <c r="M81" i="24"/>
  <c r="K81" i="24"/>
  <c r="F81" i="24"/>
  <c r="Q81" i="24"/>
  <c r="W90" i="24"/>
  <c r="I90" i="24"/>
  <c r="P90" i="24"/>
  <c r="X90" i="24"/>
  <c r="G90" i="24"/>
  <c r="R90" i="24"/>
  <c r="N90" i="24"/>
  <c r="V90" i="24"/>
  <c r="C90" i="24"/>
  <c r="U90" i="24"/>
  <c r="T90" i="24"/>
  <c r="O90" i="24"/>
  <c r="K90" i="24"/>
  <c r="S90" i="24"/>
  <c r="J90" i="24"/>
  <c r="E90" i="24"/>
  <c r="Z90" i="24"/>
  <c r="Y90" i="24"/>
  <c r="Q90" i="24"/>
  <c r="M90" i="24"/>
  <c r="F90" i="24"/>
  <c r="D90" i="24"/>
  <c r="L90" i="24"/>
  <c r="H90" i="24"/>
  <c r="M84" i="24"/>
  <c r="P84" i="24"/>
  <c r="Y84" i="24"/>
  <c r="J84" i="24"/>
  <c r="V84" i="24"/>
  <c r="G84" i="24"/>
  <c r="L84" i="24"/>
  <c r="K84" i="24"/>
  <c r="I84" i="24"/>
  <c r="X84" i="24"/>
  <c r="E84" i="24"/>
  <c r="T84" i="24"/>
  <c r="O84" i="24"/>
  <c r="D84" i="24"/>
  <c r="R84" i="24"/>
  <c r="W84" i="24"/>
  <c r="Q84" i="24"/>
  <c r="N84" i="24"/>
  <c r="F84" i="24"/>
  <c r="C84" i="24"/>
  <c r="S84" i="24"/>
  <c r="U84" i="24"/>
  <c r="Z84" i="24"/>
  <c r="H84" i="24"/>
  <c r="Q64" i="24"/>
  <c r="C64" i="24"/>
  <c r="M64" i="24"/>
  <c r="T64" i="24"/>
  <c r="D64" i="24"/>
  <c r="S64" i="24"/>
  <c r="R64" i="24"/>
  <c r="Z64" i="24"/>
  <c r="J64" i="24"/>
  <c r="W64" i="24"/>
  <c r="O64" i="24"/>
  <c r="K64" i="24"/>
  <c r="Y64" i="24"/>
  <c r="E64" i="24"/>
  <c r="F64" i="24"/>
  <c r="U64" i="24"/>
  <c r="H64" i="24"/>
  <c r="X64" i="24"/>
  <c r="V64" i="24"/>
  <c r="P64" i="24"/>
  <c r="I64" i="24"/>
  <c r="G64" i="24"/>
  <c r="N64" i="24"/>
  <c r="L64" i="24"/>
  <c r="Q71" i="24"/>
  <c r="C71" i="24"/>
  <c r="Z71" i="24"/>
  <c r="K71" i="24"/>
  <c r="N71" i="24"/>
  <c r="M71" i="24"/>
  <c r="L71" i="24"/>
  <c r="X71" i="24"/>
  <c r="H71" i="24"/>
  <c r="U71" i="24"/>
  <c r="E71" i="24"/>
  <c r="D71" i="24"/>
  <c r="V71" i="24"/>
  <c r="R71" i="24"/>
  <c r="G71" i="24"/>
  <c r="I71" i="24"/>
  <c r="F71" i="24"/>
  <c r="Y71" i="24"/>
  <c r="O71" i="24"/>
  <c r="W71" i="24"/>
  <c r="T71" i="24"/>
  <c r="P71" i="24"/>
  <c r="S71" i="24"/>
  <c r="J71" i="24"/>
  <c r="Q78" i="24"/>
  <c r="C78" i="24"/>
  <c r="X78" i="24"/>
  <c r="I78" i="24"/>
  <c r="O78" i="24"/>
  <c r="L78" i="24"/>
  <c r="K78" i="24"/>
  <c r="J78" i="24"/>
  <c r="W78" i="24"/>
  <c r="F78" i="24"/>
  <c r="T78" i="24"/>
  <c r="R78" i="24"/>
  <c r="H78" i="24"/>
  <c r="D78" i="24"/>
  <c r="U78" i="24"/>
  <c r="V78" i="24"/>
  <c r="S78" i="24"/>
  <c r="M78" i="24"/>
  <c r="Z78" i="24"/>
  <c r="Y78" i="24"/>
  <c r="P78" i="24"/>
  <c r="N78" i="24"/>
  <c r="G78" i="24"/>
  <c r="E78" i="24"/>
  <c r="Q85" i="24"/>
  <c r="C85" i="24"/>
  <c r="V85" i="24"/>
  <c r="G85" i="24"/>
  <c r="P85" i="24"/>
  <c r="M85" i="24"/>
  <c r="Z85" i="24"/>
  <c r="H85" i="24"/>
  <c r="Y85" i="24"/>
  <c r="F85" i="24"/>
  <c r="X85" i="24"/>
  <c r="E85" i="24"/>
  <c r="T85" i="24"/>
  <c r="O85" i="24"/>
  <c r="S85" i="24"/>
  <c r="K85" i="24"/>
  <c r="D85" i="24"/>
  <c r="W85" i="24"/>
  <c r="L85" i="24"/>
  <c r="J85" i="24"/>
  <c r="R85" i="24"/>
  <c r="U85" i="24"/>
  <c r="N85" i="24"/>
  <c r="I85" i="24"/>
  <c r="Q92" i="24"/>
  <c r="C92" i="24"/>
  <c r="X92" i="24"/>
  <c r="J92" i="24"/>
  <c r="S92" i="24"/>
  <c r="E92" i="24"/>
  <c r="I92" i="24"/>
  <c r="U92" i="24"/>
  <c r="P92" i="24"/>
  <c r="R92" i="24"/>
  <c r="O92" i="24"/>
  <c r="N92" i="24"/>
  <c r="K92" i="24"/>
  <c r="F92" i="24"/>
  <c r="D92" i="24"/>
  <c r="W92" i="24"/>
  <c r="H92" i="24"/>
  <c r="V92" i="24"/>
  <c r="T92" i="24"/>
  <c r="M92" i="24"/>
  <c r="Y92" i="24"/>
  <c r="G92" i="24"/>
  <c r="Z92" i="24"/>
  <c r="L92" i="24"/>
  <c r="Q99" i="24"/>
  <c r="C99" i="24"/>
  <c r="M99" i="24"/>
  <c r="X99" i="24"/>
  <c r="J99" i="24"/>
  <c r="S99" i="24"/>
  <c r="E99" i="24"/>
  <c r="O99" i="24"/>
  <c r="H99" i="24"/>
  <c r="W99" i="24"/>
  <c r="D99" i="24"/>
  <c r="V99" i="24"/>
  <c r="U99" i="24"/>
  <c r="T99" i="24"/>
  <c r="N99" i="24"/>
  <c r="I99" i="24"/>
  <c r="P99" i="24"/>
  <c r="G99" i="24"/>
  <c r="L99" i="24"/>
  <c r="K99" i="24"/>
  <c r="F99" i="24"/>
  <c r="R99" i="24"/>
  <c r="Z99" i="24"/>
  <c r="Y99" i="24"/>
  <c r="O67" i="24"/>
  <c r="Q67" i="24"/>
  <c r="L67" i="24"/>
  <c r="K67" i="24"/>
  <c r="Z67" i="24"/>
  <c r="J67" i="24"/>
  <c r="W67" i="24"/>
  <c r="G67" i="24"/>
  <c r="T67" i="24"/>
  <c r="D67" i="24"/>
  <c r="X67" i="24"/>
  <c r="R67" i="24"/>
  <c r="M67" i="24"/>
  <c r="C67" i="24"/>
  <c r="V67" i="24"/>
  <c r="P67" i="24"/>
  <c r="E67" i="24"/>
  <c r="S67" i="24"/>
  <c r="I67" i="24"/>
  <c r="H67" i="24"/>
  <c r="F67" i="24"/>
  <c r="N67" i="24"/>
  <c r="U67" i="24"/>
  <c r="Y67" i="24"/>
  <c r="W62" i="24"/>
  <c r="I62" i="24"/>
  <c r="P62" i="24"/>
  <c r="S62" i="24"/>
  <c r="C62" i="24"/>
  <c r="R62" i="24"/>
  <c r="Q62" i="24"/>
  <c r="Z62" i="24"/>
  <c r="J62" i="24"/>
  <c r="Y62" i="24"/>
  <c r="D62" i="24"/>
  <c r="T62" i="24"/>
  <c r="M62" i="24"/>
  <c r="F62" i="24"/>
  <c r="U62" i="24"/>
  <c r="O62" i="24"/>
  <c r="K62" i="24"/>
  <c r="E62" i="24"/>
  <c r="X62" i="24"/>
  <c r="N62" i="24"/>
  <c r="V62" i="24"/>
  <c r="G62" i="24"/>
  <c r="L62" i="24"/>
  <c r="H62" i="24"/>
  <c r="W83" i="24"/>
  <c r="I83" i="24"/>
  <c r="Y83" i="24"/>
  <c r="J83" i="24"/>
  <c r="S83" i="24"/>
  <c r="D83" i="24"/>
  <c r="P83" i="24"/>
  <c r="Q83" i="24"/>
  <c r="O83" i="24"/>
  <c r="N83" i="24"/>
  <c r="K83" i="24"/>
  <c r="Z83" i="24"/>
  <c r="F83" i="24"/>
  <c r="G83" i="24"/>
  <c r="V83" i="24"/>
  <c r="L83" i="24"/>
  <c r="T83" i="24"/>
  <c r="R83" i="24"/>
  <c r="E83" i="24"/>
  <c r="X83" i="24"/>
  <c r="M83" i="24"/>
  <c r="U83" i="24"/>
  <c r="H83" i="24"/>
  <c r="C83" i="24"/>
  <c r="M56" i="24"/>
  <c r="X56" i="24"/>
  <c r="I56" i="24"/>
  <c r="Q56" i="24"/>
  <c r="P56" i="24"/>
  <c r="W56" i="24"/>
  <c r="G56" i="24"/>
  <c r="L56" i="24"/>
  <c r="F56" i="24"/>
  <c r="V56" i="24"/>
  <c r="C56" i="24"/>
  <c r="O56" i="24"/>
  <c r="H56" i="24"/>
  <c r="E56" i="24"/>
  <c r="U56" i="24"/>
  <c r="Z56" i="24"/>
  <c r="Y56" i="24"/>
  <c r="T56" i="24"/>
  <c r="S56" i="24"/>
  <c r="K56" i="24"/>
  <c r="J56" i="24"/>
  <c r="R56" i="24"/>
  <c r="N56" i="24"/>
  <c r="D56" i="24"/>
  <c r="Q57" i="24"/>
  <c r="C57" i="24"/>
  <c r="O57" i="24"/>
  <c r="Y57" i="24"/>
  <c r="I57" i="24"/>
  <c r="X57" i="24"/>
  <c r="H57" i="24"/>
  <c r="W57" i="24"/>
  <c r="P57" i="24"/>
  <c r="J57" i="24"/>
  <c r="Z57" i="24"/>
  <c r="D57" i="24"/>
  <c r="T57" i="24"/>
  <c r="L57" i="24"/>
  <c r="M57" i="24"/>
  <c r="K57" i="24"/>
  <c r="E57" i="24"/>
  <c r="V57" i="24"/>
  <c r="S57" i="24"/>
  <c r="U57" i="24"/>
  <c r="R57" i="24"/>
  <c r="N57" i="24"/>
  <c r="G57" i="24"/>
  <c r="F57" i="24"/>
  <c r="U65" i="24"/>
  <c r="G65" i="24"/>
  <c r="S65" i="24"/>
  <c r="D65" i="24"/>
  <c r="L65" i="24"/>
  <c r="K65" i="24"/>
  <c r="Z65" i="24"/>
  <c r="J65" i="24"/>
  <c r="W65" i="24"/>
  <c r="R65" i="24"/>
  <c r="V65" i="24"/>
  <c r="O65" i="24"/>
  <c r="I65" i="24"/>
  <c r="Y65" i="24"/>
  <c r="M65" i="24"/>
  <c r="H65" i="24"/>
  <c r="C65" i="24"/>
  <c r="P65" i="24"/>
  <c r="N65" i="24"/>
  <c r="E65" i="24"/>
  <c r="F65" i="24"/>
  <c r="T65" i="24"/>
  <c r="Q65" i="24"/>
  <c r="X65" i="24"/>
  <c r="U72" i="24"/>
  <c r="G72" i="24"/>
  <c r="Q72" i="24"/>
  <c r="W72" i="24"/>
  <c r="F72" i="24"/>
  <c r="V72" i="24"/>
  <c r="E72" i="24"/>
  <c r="T72" i="24"/>
  <c r="D72" i="24"/>
  <c r="P72" i="24"/>
  <c r="M72" i="24"/>
  <c r="H72" i="24"/>
  <c r="Y72" i="24"/>
  <c r="R72" i="24"/>
  <c r="J72" i="24"/>
  <c r="S72" i="24"/>
  <c r="O72" i="24"/>
  <c r="K72" i="24"/>
  <c r="Z72" i="24"/>
  <c r="I72" i="24"/>
  <c r="C72" i="24"/>
  <c r="X72" i="24"/>
  <c r="L72" i="24"/>
  <c r="N72" i="24"/>
  <c r="U86" i="24"/>
  <c r="G86" i="24"/>
  <c r="M86" i="24"/>
  <c r="W86" i="24"/>
  <c r="H86" i="24"/>
  <c r="S86" i="24"/>
  <c r="D86" i="24"/>
  <c r="V86" i="24"/>
  <c r="T86" i="24"/>
  <c r="R86" i="24"/>
  <c r="O86" i="24"/>
  <c r="K86" i="24"/>
  <c r="Z86" i="24"/>
  <c r="P86" i="24"/>
  <c r="J86" i="24"/>
  <c r="Q86" i="24"/>
  <c r="I86" i="24"/>
  <c r="X86" i="24"/>
  <c r="N86" i="24"/>
  <c r="L86" i="24"/>
  <c r="F86" i="24"/>
  <c r="Y86" i="24"/>
  <c r="E86" i="24"/>
  <c r="C86" i="24"/>
  <c r="U93" i="24"/>
  <c r="G93" i="24"/>
  <c r="Q93" i="24"/>
  <c r="N93" i="24"/>
  <c r="W93" i="24"/>
  <c r="I93" i="24"/>
  <c r="V93" i="24"/>
  <c r="C93" i="24"/>
  <c r="O93" i="24"/>
  <c r="K93" i="24"/>
  <c r="R93" i="24"/>
  <c r="P93" i="24"/>
  <c r="M93" i="24"/>
  <c r="H93" i="24"/>
  <c r="D93" i="24"/>
  <c r="S93" i="24"/>
  <c r="E93" i="24"/>
  <c r="X93" i="24"/>
  <c r="T93" i="24"/>
  <c r="L93" i="24"/>
  <c r="F93" i="24"/>
  <c r="J93" i="24"/>
  <c r="Y93" i="24"/>
  <c r="Z93" i="24"/>
  <c r="U100" i="24"/>
  <c r="G100" i="24"/>
  <c r="Q100" i="24"/>
  <c r="C100" i="24"/>
  <c r="N100" i="24"/>
  <c r="W100" i="24"/>
  <c r="I100" i="24"/>
  <c r="K100" i="24"/>
  <c r="X100" i="24"/>
  <c r="D100" i="24"/>
  <c r="S100" i="24"/>
  <c r="Y100" i="24"/>
  <c r="V100" i="24"/>
  <c r="T100" i="24"/>
  <c r="O100" i="24"/>
  <c r="J100" i="24"/>
  <c r="E100" i="24"/>
  <c r="Z100" i="24"/>
  <c r="H100" i="24"/>
  <c r="M100" i="24"/>
  <c r="R100" i="24"/>
  <c r="P100" i="24"/>
  <c r="L100" i="24"/>
  <c r="F100" i="24"/>
  <c r="W69" i="24"/>
  <c r="I69" i="24"/>
  <c r="N69" i="24"/>
  <c r="M69" i="24"/>
  <c r="L69" i="24"/>
  <c r="K69" i="24"/>
  <c r="X69" i="24"/>
  <c r="G69" i="24"/>
  <c r="T69" i="24"/>
  <c r="D69" i="24"/>
  <c r="Z69" i="24"/>
  <c r="S69" i="24"/>
  <c r="P69" i="24"/>
  <c r="E69" i="24"/>
  <c r="U69" i="24"/>
  <c r="R69" i="24"/>
  <c r="J69" i="24"/>
  <c r="C69" i="24"/>
  <c r="Y69" i="24"/>
  <c r="Q69" i="24"/>
  <c r="O69" i="24"/>
  <c r="H69" i="24"/>
  <c r="F69" i="24"/>
  <c r="V69" i="24"/>
  <c r="M63" i="24"/>
  <c r="V63" i="24"/>
  <c r="G63" i="24"/>
  <c r="K63" i="24"/>
  <c r="Z63" i="24"/>
  <c r="J63" i="24"/>
  <c r="Y63" i="24"/>
  <c r="I63" i="24"/>
  <c r="R63" i="24"/>
  <c r="W63" i="24"/>
  <c r="Q63" i="24"/>
  <c r="N63" i="24"/>
  <c r="D63" i="24"/>
  <c r="X63" i="24"/>
  <c r="S63" i="24"/>
  <c r="L63" i="24"/>
  <c r="H63" i="24"/>
  <c r="E63" i="24"/>
  <c r="C63" i="24"/>
  <c r="F63" i="24"/>
  <c r="T63" i="24"/>
  <c r="U63" i="24"/>
  <c r="O63" i="24"/>
  <c r="P63" i="24"/>
  <c r="Y59" i="24"/>
  <c r="K59" i="24"/>
  <c r="M59" i="24"/>
  <c r="Z59" i="24"/>
  <c r="I59" i="24"/>
  <c r="X59" i="24"/>
  <c r="H59" i="24"/>
  <c r="W59" i="24"/>
  <c r="G59" i="24"/>
  <c r="Q59" i="24"/>
  <c r="E59" i="24"/>
  <c r="U59" i="24"/>
  <c r="R59" i="24"/>
  <c r="J59" i="24"/>
  <c r="S59" i="24"/>
  <c r="N59" i="24"/>
  <c r="C59" i="24"/>
  <c r="V59" i="24"/>
  <c r="F59" i="24"/>
  <c r="D59" i="24"/>
  <c r="P59" i="24"/>
  <c r="T59" i="24"/>
  <c r="L59" i="24"/>
  <c r="O59" i="24"/>
  <c r="Y73" i="24"/>
  <c r="K73" i="24"/>
  <c r="W73" i="24"/>
  <c r="H73" i="24"/>
  <c r="O73" i="24"/>
  <c r="N73" i="24"/>
  <c r="M73" i="24"/>
  <c r="Z73" i="24"/>
  <c r="I73" i="24"/>
  <c r="U73" i="24"/>
  <c r="E73" i="24"/>
  <c r="F73" i="24"/>
  <c r="X73" i="24"/>
  <c r="S73" i="24"/>
  <c r="J73" i="24"/>
  <c r="T73" i="24"/>
  <c r="P73" i="24"/>
  <c r="V73" i="24"/>
  <c r="R73" i="24"/>
  <c r="G73" i="24"/>
  <c r="D73" i="24"/>
  <c r="Q73" i="24"/>
  <c r="L73" i="24"/>
  <c r="C73" i="24"/>
  <c r="Y80" i="24"/>
  <c r="K80" i="24"/>
  <c r="U80" i="24"/>
  <c r="F80" i="24"/>
  <c r="M80" i="24"/>
  <c r="Q80" i="24"/>
  <c r="P80" i="24"/>
  <c r="O80" i="24"/>
  <c r="J80" i="24"/>
  <c r="X80" i="24"/>
  <c r="G80" i="24"/>
  <c r="W80" i="24"/>
  <c r="R80" i="24"/>
  <c r="I80" i="24"/>
  <c r="L80" i="24"/>
  <c r="H80" i="24"/>
  <c r="C80" i="24"/>
  <c r="S80" i="24"/>
  <c r="Z80" i="24"/>
  <c r="N80" i="24"/>
  <c r="E80" i="24"/>
  <c r="V80" i="24"/>
  <c r="T80" i="24"/>
  <c r="D80" i="24"/>
  <c r="Y94" i="24"/>
  <c r="K94" i="24"/>
  <c r="U94" i="24"/>
  <c r="G94" i="24"/>
  <c r="R94" i="24"/>
  <c r="D94" i="24"/>
  <c r="M94" i="24"/>
  <c r="Q94" i="24"/>
  <c r="J94" i="24"/>
  <c r="Z94" i="24"/>
  <c r="F94" i="24"/>
  <c r="S94" i="24"/>
  <c r="P94" i="24"/>
  <c r="O94" i="24"/>
  <c r="I94" i="24"/>
  <c r="C94" i="24"/>
  <c r="V94" i="24"/>
  <c r="L94" i="24"/>
  <c r="X94" i="24"/>
  <c r="W94" i="24"/>
  <c r="T94" i="24"/>
  <c r="E94" i="24"/>
  <c r="H94" i="24"/>
  <c r="N94" i="24"/>
  <c r="Y101" i="24"/>
  <c r="K101" i="24"/>
  <c r="U101" i="24"/>
  <c r="G101" i="24"/>
  <c r="R101" i="24"/>
  <c r="D101" i="24"/>
  <c r="M101" i="24"/>
  <c r="Z101" i="24"/>
  <c r="F101" i="24"/>
  <c r="S101" i="24"/>
  <c r="O101" i="24"/>
  <c r="X101" i="24"/>
  <c r="W101" i="24"/>
  <c r="V101" i="24"/>
  <c r="P101" i="24"/>
  <c r="J101" i="24"/>
  <c r="Q101" i="24"/>
  <c r="H101" i="24"/>
  <c r="T101" i="24"/>
  <c r="N101" i="24"/>
  <c r="L101" i="24"/>
  <c r="C101" i="24"/>
  <c r="I101" i="24"/>
  <c r="E101" i="24"/>
  <c r="C3" i="24" a="1"/>
  <c r="C3" i="20" a="1"/>
  <c r="AA54" i="24" l="1"/>
  <c r="AA87" i="24" l="1"/>
  <c r="AA67" i="24"/>
  <c r="AA75" i="24"/>
  <c r="AA95" i="24"/>
  <c r="AA100" i="24"/>
  <c r="AA81" i="24"/>
  <c r="AA88" i="24"/>
  <c r="AA73" i="24"/>
  <c r="AA99" i="24"/>
  <c r="AA83" i="24"/>
  <c r="AA82" i="24"/>
  <c r="AA61" i="24"/>
  <c r="AA89" i="24"/>
  <c r="AA101" i="24"/>
  <c r="AA62" i="24"/>
  <c r="AA58" i="24"/>
  <c r="AA79" i="24"/>
  <c r="AA69" i="24"/>
  <c r="AA91" i="24"/>
  <c r="AA63" i="24"/>
  <c r="AA97" i="24"/>
  <c r="AA80" i="24"/>
  <c r="AA68" i="24"/>
  <c r="AA56" i="24"/>
  <c r="AA77" i="24"/>
  <c r="AA59" i="24"/>
  <c r="AA71" i="24"/>
  <c r="AA93" i="24"/>
  <c r="AA85" i="24"/>
  <c r="AA74" i="24"/>
  <c r="AA96" i="24"/>
  <c r="AA86" i="24"/>
  <c r="AA94" i="24"/>
  <c r="AA57" i="24"/>
  <c r="AA92" i="24"/>
  <c r="AA70" i="24"/>
  <c r="AA66" i="24"/>
  <c r="AA90" i="24"/>
  <c r="AA98" i="24"/>
  <c r="AA65" i="24"/>
  <c r="AA76" i="24"/>
  <c r="AA55" i="24"/>
  <c r="AA72" i="24"/>
  <c r="AA84" i="24"/>
  <c r="AA60" i="24"/>
  <c r="AA64" i="24"/>
  <c r="AA78" i="24"/>
  <c r="X17" i="20" l="1"/>
  <c r="P9" i="20"/>
  <c r="I13" i="20"/>
  <c r="H16" i="20"/>
  <c r="J13" i="20"/>
  <c r="F17" i="20"/>
  <c r="O9" i="20"/>
  <c r="N12" i="20"/>
  <c r="Q9" i="20"/>
  <c r="R9" i="20"/>
  <c r="K13" i="20"/>
  <c r="G17" i="20"/>
  <c r="P17" i="20"/>
  <c r="R17" i="20"/>
  <c r="W10" i="20"/>
  <c r="V13" i="20"/>
  <c r="G7" i="20"/>
  <c r="X10" i="20"/>
  <c r="T14" i="20"/>
  <c r="S17" i="20"/>
  <c r="D16" i="20"/>
  <c r="E16" i="20"/>
  <c r="S9" i="20"/>
  <c r="N13" i="20"/>
  <c r="H7" i="20"/>
  <c r="Y10" i="20"/>
  <c r="U14" i="20"/>
  <c r="I7" i="20"/>
  <c r="Z10" i="20"/>
  <c r="V14" i="20"/>
  <c r="D8" i="20"/>
  <c r="C11" i="20"/>
  <c r="W14" i="20"/>
  <c r="E8" i="20"/>
  <c r="Y11" i="20"/>
  <c r="X14" i="20"/>
  <c r="H8" i="20"/>
  <c r="Z11" i="20"/>
  <c r="J8" i="20"/>
  <c r="L12" i="20"/>
  <c r="Q8" i="20"/>
  <c r="M12" i="20"/>
  <c r="F16" i="20"/>
  <c r="G16" i="20"/>
  <c r="K7" i="20"/>
  <c r="F10" i="20"/>
  <c r="P12" i="20"/>
  <c r="X13" i="20"/>
  <c r="K15" i="20"/>
  <c r="L16" i="20"/>
  <c r="U17" i="20"/>
  <c r="V8" i="20"/>
  <c r="G10" i="20"/>
  <c r="I11" i="20"/>
  <c r="Q12" i="20"/>
  <c r="Y13" i="20"/>
  <c r="L15" i="20"/>
  <c r="V17" i="20"/>
  <c r="X8" i="20"/>
  <c r="N7" i="20"/>
  <c r="Y8" i="20"/>
  <c r="I10" i="20"/>
  <c r="Q11" i="20"/>
  <c r="S12" i="20"/>
  <c r="F14" i="20"/>
  <c r="N15" i="20"/>
  <c r="V16" i="20"/>
  <c r="Q17" i="20"/>
  <c r="C17" i="20"/>
  <c r="M16" i="20"/>
  <c r="W15" i="20"/>
  <c r="I15" i="20"/>
  <c r="S14" i="20"/>
  <c r="E14" i="20"/>
  <c r="O13" i="20"/>
  <c r="Y12" i="20"/>
  <c r="K12" i="20"/>
  <c r="U11" i="20"/>
  <c r="G11" i="20"/>
  <c r="Q10" i="20"/>
  <c r="C10" i="20"/>
  <c r="M9" i="20"/>
  <c r="W8" i="20"/>
  <c r="I8" i="20"/>
  <c r="S7" i="20"/>
  <c r="E7" i="20"/>
  <c r="O17" i="20"/>
  <c r="Y16" i="20"/>
  <c r="K16" i="20"/>
  <c r="U15" i="20"/>
  <c r="G15" i="20"/>
  <c r="Q14" i="20"/>
  <c r="C14" i="20"/>
  <c r="M13" i="20"/>
  <c r="W12" i="20"/>
  <c r="I12" i="20"/>
  <c r="S11" i="20"/>
  <c r="E11" i="20"/>
  <c r="O10" i="20"/>
  <c r="Y9" i="20"/>
  <c r="K9" i="20"/>
  <c r="U8" i="20"/>
  <c r="G8" i="20"/>
  <c r="Q7" i="20"/>
  <c r="C7" i="20"/>
  <c r="N17" i="20"/>
  <c r="X16" i="20"/>
  <c r="J16" i="20"/>
  <c r="T15" i="20"/>
  <c r="F15" i="20"/>
  <c r="P14" i="20"/>
  <c r="Z13" i="20"/>
  <c r="L13" i="20"/>
  <c r="V12" i="20"/>
  <c r="H12" i="20"/>
  <c r="R11" i="20"/>
  <c r="D11" i="20"/>
  <c r="N10" i="20"/>
  <c r="X9" i="20"/>
  <c r="J9" i="20"/>
  <c r="T8" i="20"/>
  <c r="F8" i="20"/>
  <c r="P7" i="20"/>
  <c r="M17" i="20"/>
  <c r="T16" i="20"/>
  <c r="C16" i="20"/>
  <c r="J15" i="20"/>
  <c r="N14" i="20"/>
  <c r="U13" i="20"/>
  <c r="D13" i="20"/>
  <c r="J12" i="20"/>
  <c r="O11" i="20"/>
  <c r="V10" i="20"/>
  <c r="E10" i="20"/>
  <c r="I9" i="20"/>
  <c r="P8" i="20"/>
  <c r="W7" i="20"/>
  <c r="F7" i="20"/>
  <c r="H17" i="20"/>
  <c r="L17" i="20"/>
  <c r="S16" i="20"/>
  <c r="Z15" i="20"/>
  <c r="H15" i="20"/>
  <c r="M14" i="20"/>
  <c r="T13" i="20"/>
  <c r="C13" i="20"/>
  <c r="G12" i="20"/>
  <c r="N11" i="20"/>
  <c r="U10" i="20"/>
  <c r="D10" i="20"/>
  <c r="H9" i="20"/>
  <c r="O8" i="20"/>
  <c r="V7" i="20"/>
  <c r="D7" i="20"/>
  <c r="P10" i="20"/>
  <c r="K17" i="20"/>
  <c r="R16" i="20"/>
  <c r="Y15" i="20"/>
  <c r="E15" i="20"/>
  <c r="L14" i="20"/>
  <c r="S13" i="20"/>
  <c r="Z12" i="20"/>
  <c r="F12" i="20"/>
  <c r="M11" i="20"/>
  <c r="T10" i="20"/>
  <c r="Z9" i="20"/>
  <c r="G9" i="20"/>
  <c r="N8" i="20"/>
  <c r="U7" i="20"/>
  <c r="U12" i="20"/>
  <c r="D9" i="20"/>
  <c r="J17" i="20"/>
  <c r="Q16" i="20"/>
  <c r="X15" i="20"/>
  <c r="D15" i="20"/>
  <c r="K14" i="20"/>
  <c r="R13" i="20"/>
  <c r="X12" i="20"/>
  <c r="E12" i="20"/>
  <c r="L11" i="20"/>
  <c r="S10" i="20"/>
  <c r="W9" i="20"/>
  <c r="F9" i="20"/>
  <c r="M8" i="20"/>
  <c r="T7" i="20"/>
  <c r="Z17" i="20"/>
  <c r="I17" i="20"/>
  <c r="P16" i="20"/>
  <c r="V15" i="20"/>
  <c r="C15" i="20"/>
  <c r="J14" i="20"/>
  <c r="Q13" i="20"/>
  <c r="D12" i="20"/>
  <c r="K11" i="20"/>
  <c r="R10" i="20"/>
  <c r="V9" i="20"/>
  <c r="E9" i="20"/>
  <c r="L8" i="20"/>
  <c r="R7" i="20"/>
  <c r="Y17" i="20"/>
  <c r="O16" i="20"/>
  <c r="S15" i="20"/>
  <c r="Z14" i="20"/>
  <c r="I14" i="20"/>
  <c r="P13" i="20"/>
  <c r="T12" i="20"/>
  <c r="C12" i="20"/>
  <c r="J11" i="20"/>
  <c r="U9" i="20"/>
  <c r="K8" i="20"/>
  <c r="O7" i="20"/>
  <c r="F11" i="20"/>
  <c r="I16" i="20"/>
  <c r="H10" i="20"/>
  <c r="R12" i="20"/>
  <c r="D14" i="20"/>
  <c r="M15" i="20"/>
  <c r="U16" i="20"/>
  <c r="W17" i="20"/>
  <c r="X7" i="20"/>
  <c r="Z8" i="20"/>
  <c r="J10" i="20"/>
  <c r="T11" i="20"/>
  <c r="E13" i="20"/>
  <c r="G14" i="20"/>
  <c r="O15" i="20"/>
  <c r="W16" i="20"/>
  <c r="J7" i="20"/>
  <c r="S8" i="20"/>
  <c r="L7" i="20"/>
  <c r="N16" i="20"/>
  <c r="P11" i="20"/>
  <c r="Y7" i="20"/>
  <c r="C9" i="20"/>
  <c r="K10" i="20"/>
  <c r="V11" i="20"/>
  <c r="F13" i="20"/>
  <c r="H14" i="20"/>
  <c r="P15" i="20"/>
  <c r="Z16" i="20"/>
  <c r="R8" i="20"/>
  <c r="T9" i="20"/>
  <c r="O12" i="20"/>
  <c r="W13" i="20"/>
  <c r="Y14" i="20"/>
  <c r="T17" i="20"/>
  <c r="H11" i="20"/>
  <c r="M7" i="20"/>
  <c r="Z7" i="20"/>
  <c r="L9" i="20"/>
  <c r="L10" i="20"/>
  <c r="W11" i="20"/>
  <c r="G13" i="20"/>
  <c r="O14" i="20"/>
  <c r="Q15" i="20"/>
  <c r="D17" i="20"/>
  <c r="C8" i="20"/>
  <c r="N9" i="20"/>
  <c r="M10" i="20"/>
  <c r="X11" i="20"/>
  <c r="H13" i="20"/>
  <c r="R14" i="20"/>
  <c r="R15" i="20"/>
  <c r="E17" i="20"/>
  <c r="O6" i="20" l="1"/>
  <c r="M6" i="20"/>
  <c r="Z6" i="20"/>
  <c r="L6" i="20"/>
  <c r="J6" i="20"/>
  <c r="I6" i="20"/>
  <c r="Y6" i="20"/>
  <c r="H6" i="20"/>
  <c r="G6" i="20"/>
  <c r="X6" i="20"/>
  <c r="W6" i="20"/>
  <c r="F6" i="20"/>
  <c r="V6" i="20"/>
  <c r="E6" i="20"/>
  <c r="S6" i="20"/>
  <c r="R6" i="20"/>
  <c r="Q6" i="20"/>
  <c r="P6" i="20"/>
  <c r="K6" i="20"/>
  <c r="N6" i="20"/>
  <c r="D6" i="20"/>
  <c r="C6" i="20"/>
  <c r="U6" i="20"/>
  <c r="T6" i="20"/>
  <c r="F10" i="3" l="1"/>
  <c r="F21" i="19"/>
  <c r="AB53" i="24"/>
  <c r="A53" i="24"/>
  <c r="AB52" i="24"/>
  <c r="A52" i="24"/>
  <c r="AB51" i="24"/>
  <c r="A51" i="24"/>
  <c r="AB50" i="24"/>
  <c r="A50" i="24"/>
  <c r="AB49" i="24"/>
  <c r="A49" i="24"/>
  <c r="AB48" i="24"/>
  <c r="A48" i="24"/>
  <c r="AB47" i="24"/>
  <c r="A47" i="24"/>
  <c r="AB46" i="24"/>
  <c r="A46" i="24"/>
  <c r="AB45" i="24"/>
  <c r="A45" i="24"/>
  <c r="AB44" i="24"/>
  <c r="A44" i="24"/>
  <c r="AB43" i="24"/>
  <c r="A43" i="24"/>
  <c r="AB42" i="24"/>
  <c r="A42" i="24"/>
  <c r="AB41" i="24"/>
  <c r="A41" i="24"/>
  <c r="AB40" i="24"/>
  <c r="A40" i="24"/>
  <c r="AB39" i="24"/>
  <c r="A39" i="24"/>
  <c r="AB38" i="24"/>
  <c r="A38" i="24"/>
  <c r="AB37" i="24"/>
  <c r="A37" i="24"/>
  <c r="AB36" i="24"/>
  <c r="A36" i="24"/>
  <c r="AB35" i="24"/>
  <c r="A35" i="24"/>
  <c r="AB34" i="24"/>
  <c r="A34" i="24"/>
  <c r="AB33" i="24"/>
  <c r="A33" i="24"/>
  <c r="AB32" i="24"/>
  <c r="A32" i="24"/>
  <c r="AB31" i="24"/>
  <c r="A31" i="24"/>
  <c r="AB30" i="24"/>
  <c r="A30" i="24"/>
  <c r="AB29" i="24"/>
  <c r="A29" i="24"/>
  <c r="AB28" i="24"/>
  <c r="A28" i="24"/>
  <c r="AB27" i="24"/>
  <c r="A27" i="24"/>
  <c r="AB26" i="24"/>
  <c r="A26" i="24"/>
  <c r="AB25" i="24"/>
  <c r="A25" i="24"/>
  <c r="AB24" i="24"/>
  <c r="A24" i="24"/>
  <c r="AB23" i="24"/>
  <c r="A23" i="24"/>
  <c r="AB22" i="24"/>
  <c r="A22" i="24"/>
  <c r="AB21" i="24"/>
  <c r="A21" i="24"/>
  <c r="AB20" i="24"/>
  <c r="A20" i="24"/>
  <c r="AB19" i="24"/>
  <c r="A19" i="24"/>
  <c r="AB18" i="24"/>
  <c r="A18" i="24"/>
  <c r="AB17" i="24"/>
  <c r="A17" i="24"/>
  <c r="AB16" i="24"/>
  <c r="A16" i="24"/>
  <c r="AB15" i="24"/>
  <c r="A15" i="24"/>
  <c r="AB14" i="24"/>
  <c r="A14" i="24"/>
  <c r="AB13" i="24"/>
  <c r="A13" i="24"/>
  <c r="AB12" i="24"/>
  <c r="A12" i="24"/>
  <c r="AB11" i="24"/>
  <c r="A11" i="24"/>
  <c r="AB10" i="24"/>
  <c r="A10" i="24"/>
  <c r="AB9" i="24"/>
  <c r="A9" i="24"/>
  <c r="AB8" i="24"/>
  <c r="A8" i="24"/>
  <c r="AB7" i="24"/>
  <c r="A7" i="24"/>
  <c r="AB6" i="24"/>
  <c r="A6" i="24"/>
  <c r="X39" i="24" l="1"/>
  <c r="J39" i="24"/>
  <c r="W39" i="24"/>
  <c r="I39" i="24"/>
  <c r="Z39" i="24"/>
  <c r="H39" i="24"/>
  <c r="Q39" i="24"/>
  <c r="L39" i="24"/>
  <c r="Y39" i="24"/>
  <c r="D39" i="24"/>
  <c r="V39" i="24"/>
  <c r="C39" i="24"/>
  <c r="O39" i="24"/>
  <c r="U39" i="24"/>
  <c r="T39" i="24"/>
  <c r="S39" i="24"/>
  <c r="N39" i="24"/>
  <c r="G39" i="24"/>
  <c r="F39" i="24"/>
  <c r="E39" i="24"/>
  <c r="P39" i="24"/>
  <c r="R39" i="24"/>
  <c r="M39" i="24"/>
  <c r="K39" i="24"/>
  <c r="N33" i="24"/>
  <c r="M33" i="24"/>
  <c r="V33" i="24"/>
  <c r="F33" i="24"/>
  <c r="AA33" i="24" s="1"/>
  <c r="O33" i="24"/>
  <c r="X33" i="24"/>
  <c r="H33" i="24"/>
  <c r="W33" i="24"/>
  <c r="C33" i="24"/>
  <c r="U33" i="24"/>
  <c r="L33" i="24"/>
  <c r="J33" i="24"/>
  <c r="I33" i="24"/>
  <c r="E33" i="24"/>
  <c r="G33" i="24"/>
  <c r="Z33" i="24"/>
  <c r="P33" i="24"/>
  <c r="Y33" i="24"/>
  <c r="T33" i="24"/>
  <c r="R33" i="24"/>
  <c r="S33" i="24"/>
  <c r="Q33" i="24"/>
  <c r="K33" i="24"/>
  <c r="D33" i="24"/>
  <c r="Z6" i="24"/>
  <c r="L6" i="24"/>
  <c r="K6" i="24"/>
  <c r="W6" i="24"/>
  <c r="G6" i="24"/>
  <c r="V6" i="24"/>
  <c r="F6" i="24"/>
  <c r="AA6" i="24" s="1"/>
  <c r="U6" i="24"/>
  <c r="E6" i="24"/>
  <c r="Q6" i="24"/>
  <c r="C6" i="24"/>
  <c r="Y6" i="24"/>
  <c r="X6" i="24"/>
  <c r="T6" i="24"/>
  <c r="P6" i="24"/>
  <c r="O6" i="24"/>
  <c r="S6" i="24"/>
  <c r="R6" i="24"/>
  <c r="N6" i="24"/>
  <c r="M6" i="24"/>
  <c r="J6" i="24"/>
  <c r="I6" i="24"/>
  <c r="H6" i="24"/>
  <c r="D6" i="24"/>
  <c r="Z13" i="24"/>
  <c r="L13" i="24"/>
  <c r="X13" i="24"/>
  <c r="I13" i="24"/>
  <c r="W13" i="24"/>
  <c r="H13" i="24"/>
  <c r="K13" i="24"/>
  <c r="J13" i="24"/>
  <c r="G13" i="24"/>
  <c r="T13" i="24"/>
  <c r="C13" i="24"/>
  <c r="AA13" i="24" s="1"/>
  <c r="Y13" i="24"/>
  <c r="V13" i="24"/>
  <c r="R13" i="24"/>
  <c r="P13" i="24"/>
  <c r="U13" i="24"/>
  <c r="Q13" i="24"/>
  <c r="S13" i="24"/>
  <c r="O13" i="24"/>
  <c r="N13" i="24"/>
  <c r="M13" i="24"/>
  <c r="F13" i="24"/>
  <c r="D13" i="24"/>
  <c r="E13" i="24"/>
  <c r="R20" i="24"/>
  <c r="D20" i="24"/>
  <c r="AA20" i="24" s="1"/>
  <c r="Q20" i="24"/>
  <c r="C20" i="24"/>
  <c r="X20" i="24"/>
  <c r="H20" i="24"/>
  <c r="O20" i="24"/>
  <c r="I20" i="24"/>
  <c r="Z20" i="24"/>
  <c r="G20" i="24"/>
  <c r="S20" i="24"/>
  <c r="K20" i="24"/>
  <c r="J20" i="24"/>
  <c r="F20" i="24"/>
  <c r="W20" i="24"/>
  <c r="L20" i="24"/>
  <c r="E20" i="24"/>
  <c r="Y20" i="24"/>
  <c r="P20" i="24"/>
  <c r="V20" i="24"/>
  <c r="U20" i="24"/>
  <c r="T20" i="24"/>
  <c r="N20" i="24"/>
  <c r="M20" i="24"/>
  <c r="R27" i="24"/>
  <c r="D27" i="24"/>
  <c r="Q27" i="24"/>
  <c r="C27" i="24"/>
  <c r="T27" i="24"/>
  <c r="K27" i="24"/>
  <c r="V27" i="24"/>
  <c r="F27" i="24"/>
  <c r="W27" i="24"/>
  <c r="U27" i="24"/>
  <c r="L27" i="24"/>
  <c r="X27" i="24"/>
  <c r="S27" i="24"/>
  <c r="P27" i="24"/>
  <c r="J27" i="24"/>
  <c r="Y27" i="24"/>
  <c r="O27" i="24"/>
  <c r="E27" i="24"/>
  <c r="N27" i="24"/>
  <c r="M27" i="24"/>
  <c r="H27" i="24"/>
  <c r="G27" i="24"/>
  <c r="I27" i="24"/>
  <c r="Z27" i="24"/>
  <c r="R34" i="24"/>
  <c r="D34" i="24"/>
  <c r="Q34" i="24"/>
  <c r="C34" i="24"/>
  <c r="N34" i="24"/>
  <c r="W34" i="24"/>
  <c r="G34" i="24"/>
  <c r="P34" i="24"/>
  <c r="U34" i="24"/>
  <c r="T34" i="24"/>
  <c r="J34" i="24"/>
  <c r="L34" i="24"/>
  <c r="K34" i="24"/>
  <c r="I34" i="24"/>
  <c r="F34" i="24"/>
  <c r="E34" i="24"/>
  <c r="Z34" i="24"/>
  <c r="O34" i="24"/>
  <c r="Y34" i="24"/>
  <c r="X34" i="24"/>
  <c r="V34" i="24"/>
  <c r="S34" i="24"/>
  <c r="H34" i="24"/>
  <c r="M34" i="24"/>
  <c r="R41" i="24"/>
  <c r="D41" i="24"/>
  <c r="Q41" i="24"/>
  <c r="C41" i="24"/>
  <c r="X41" i="24"/>
  <c r="J41" i="24"/>
  <c r="L41" i="24"/>
  <c r="U41" i="24"/>
  <c r="N41" i="24"/>
  <c r="V41" i="24"/>
  <c r="T41" i="24"/>
  <c r="I41" i="24"/>
  <c r="F41" i="24"/>
  <c r="E41" i="24"/>
  <c r="AA41" i="24" s="1"/>
  <c r="W41" i="24"/>
  <c r="G41" i="24"/>
  <c r="Z41" i="24"/>
  <c r="Y41" i="24"/>
  <c r="S41" i="24"/>
  <c r="P41" i="24"/>
  <c r="O41" i="24"/>
  <c r="M41" i="24"/>
  <c r="K41" i="24"/>
  <c r="H41" i="24"/>
  <c r="M48" i="24"/>
  <c r="U48" i="24"/>
  <c r="F48" i="24"/>
  <c r="AA48" i="24" s="1"/>
  <c r="T48" i="24"/>
  <c r="E48" i="24"/>
  <c r="L48" i="24"/>
  <c r="Y48" i="24"/>
  <c r="G48" i="24"/>
  <c r="P48" i="24"/>
  <c r="I48" i="24"/>
  <c r="O48" i="24"/>
  <c r="N48" i="24"/>
  <c r="Z48" i="24"/>
  <c r="K48" i="24"/>
  <c r="J48" i="24"/>
  <c r="D48" i="24"/>
  <c r="H48" i="24"/>
  <c r="S48" i="24"/>
  <c r="R48" i="24"/>
  <c r="Q48" i="24"/>
  <c r="C48" i="24"/>
  <c r="X48" i="24"/>
  <c r="W48" i="24"/>
  <c r="V48" i="24"/>
  <c r="X46" i="24"/>
  <c r="J46" i="24"/>
  <c r="W46" i="24"/>
  <c r="I46" i="24"/>
  <c r="P46" i="24"/>
  <c r="Q46" i="24"/>
  <c r="Z46" i="24"/>
  <c r="G46" i="24"/>
  <c r="S46" i="24"/>
  <c r="N46" i="24"/>
  <c r="M46" i="24"/>
  <c r="D46" i="24"/>
  <c r="Y46" i="24"/>
  <c r="V46" i="24"/>
  <c r="R46" i="24"/>
  <c r="O46" i="24"/>
  <c r="L46" i="24"/>
  <c r="E46" i="24"/>
  <c r="K46" i="24"/>
  <c r="H46" i="24"/>
  <c r="C46" i="24"/>
  <c r="F46" i="24"/>
  <c r="U46" i="24"/>
  <c r="T46" i="24"/>
  <c r="V12" i="24"/>
  <c r="H12" i="24"/>
  <c r="R12" i="24"/>
  <c r="C12" i="24"/>
  <c r="Q12" i="24"/>
  <c r="P12" i="24"/>
  <c r="O12" i="24"/>
  <c r="N12" i="24"/>
  <c r="J12" i="24"/>
  <c r="Z12" i="24"/>
  <c r="D12" i="24"/>
  <c r="Y12" i="24"/>
  <c r="S12" i="24"/>
  <c r="X12" i="24"/>
  <c r="W12" i="24"/>
  <c r="T12" i="24"/>
  <c r="M12" i="24"/>
  <c r="U12" i="24"/>
  <c r="L12" i="24"/>
  <c r="K12" i="24"/>
  <c r="I12" i="24"/>
  <c r="G12" i="24"/>
  <c r="F12" i="24"/>
  <c r="E12" i="24"/>
  <c r="V21" i="24"/>
  <c r="H21" i="24"/>
  <c r="U21" i="24"/>
  <c r="G21" i="24"/>
  <c r="P21" i="24"/>
  <c r="Y21" i="24"/>
  <c r="I21" i="24"/>
  <c r="W21" i="24"/>
  <c r="C21" i="24"/>
  <c r="T21" i="24"/>
  <c r="M21" i="24"/>
  <c r="K21" i="24"/>
  <c r="J21" i="24"/>
  <c r="F21" i="24"/>
  <c r="AA21" i="24" s="1"/>
  <c r="Z21" i="24"/>
  <c r="R21" i="24"/>
  <c r="Q21" i="24"/>
  <c r="E21" i="24"/>
  <c r="D21" i="24"/>
  <c r="O21" i="24"/>
  <c r="N21" i="24"/>
  <c r="L21" i="24"/>
  <c r="S21" i="24"/>
  <c r="X21" i="24"/>
  <c r="V42" i="24"/>
  <c r="H42" i="24"/>
  <c r="U42" i="24"/>
  <c r="G42" i="24"/>
  <c r="N42" i="24"/>
  <c r="X42" i="24"/>
  <c r="E42" i="24"/>
  <c r="O42" i="24"/>
  <c r="Z42" i="24"/>
  <c r="I42" i="24"/>
  <c r="S42" i="24"/>
  <c r="R42" i="24"/>
  <c r="J42" i="24"/>
  <c r="K42" i="24"/>
  <c r="F42" i="24"/>
  <c r="AA42" i="24" s="1"/>
  <c r="D42" i="24"/>
  <c r="C42" i="24"/>
  <c r="W42" i="24"/>
  <c r="T42" i="24"/>
  <c r="Q42" i="24"/>
  <c r="L42" i="24"/>
  <c r="P42" i="24"/>
  <c r="M42" i="24"/>
  <c r="Y42" i="24"/>
  <c r="Z22" i="24"/>
  <c r="L22" i="24"/>
  <c r="Y22" i="24"/>
  <c r="K22" i="24"/>
  <c r="X22" i="24"/>
  <c r="H22" i="24"/>
  <c r="Q22" i="24"/>
  <c r="R22" i="24"/>
  <c r="P22" i="24"/>
  <c r="G22" i="24"/>
  <c r="J22" i="24"/>
  <c r="I22" i="24"/>
  <c r="F22" i="24"/>
  <c r="W22" i="24"/>
  <c r="N22" i="24"/>
  <c r="C22" i="24"/>
  <c r="V22" i="24"/>
  <c r="U22" i="24"/>
  <c r="S22" i="24"/>
  <c r="O22" i="24"/>
  <c r="T22" i="24"/>
  <c r="M22" i="24"/>
  <c r="E22" i="24"/>
  <c r="D22" i="24"/>
  <c r="AA22" i="24" s="1"/>
  <c r="Z36" i="24"/>
  <c r="L36" i="24"/>
  <c r="Y36" i="24"/>
  <c r="K36" i="24"/>
  <c r="P36" i="24"/>
  <c r="W36" i="24"/>
  <c r="G36" i="24"/>
  <c r="R36" i="24"/>
  <c r="N36" i="24"/>
  <c r="M36" i="24"/>
  <c r="X36" i="24"/>
  <c r="D36" i="24"/>
  <c r="S36" i="24"/>
  <c r="Q36" i="24"/>
  <c r="J36" i="24"/>
  <c r="O36" i="24"/>
  <c r="F36" i="24"/>
  <c r="E36" i="24"/>
  <c r="V36" i="24"/>
  <c r="U36" i="24"/>
  <c r="T36" i="24"/>
  <c r="I36" i="24"/>
  <c r="H36" i="24"/>
  <c r="C36" i="24"/>
  <c r="Z43" i="24"/>
  <c r="L43" i="24"/>
  <c r="Y43" i="24"/>
  <c r="K43" i="24"/>
  <c r="R43" i="24"/>
  <c r="D43" i="24"/>
  <c r="Q43" i="24"/>
  <c r="H43" i="24"/>
  <c r="T43" i="24"/>
  <c r="S43" i="24"/>
  <c r="P43" i="24"/>
  <c r="G43" i="24"/>
  <c r="N43" i="24"/>
  <c r="M43" i="24"/>
  <c r="I43" i="24"/>
  <c r="J43" i="24"/>
  <c r="C43" i="24"/>
  <c r="AA43" i="24" s="1"/>
  <c r="W43" i="24"/>
  <c r="F43" i="24"/>
  <c r="X43" i="24"/>
  <c r="V43" i="24"/>
  <c r="U43" i="24"/>
  <c r="O43" i="24"/>
  <c r="E43" i="24"/>
  <c r="U50" i="24"/>
  <c r="G50" i="24"/>
  <c r="R50" i="24"/>
  <c r="C50" i="24"/>
  <c r="Q50" i="24"/>
  <c r="Y50" i="24"/>
  <c r="J50" i="24"/>
  <c r="O50" i="24"/>
  <c r="Z50" i="24"/>
  <c r="F50" i="24"/>
  <c r="S50" i="24"/>
  <c r="N50" i="24"/>
  <c r="M50" i="24"/>
  <c r="D50" i="24"/>
  <c r="X50" i="24"/>
  <c r="W50" i="24"/>
  <c r="V50" i="24"/>
  <c r="L50" i="24"/>
  <c r="K50" i="24"/>
  <c r="T50" i="24"/>
  <c r="P50" i="24"/>
  <c r="I50" i="24"/>
  <c r="AA50" i="24" s="1"/>
  <c r="H50" i="24"/>
  <c r="E50" i="24"/>
  <c r="X18" i="24"/>
  <c r="J18" i="24"/>
  <c r="W18" i="24"/>
  <c r="I18" i="24"/>
  <c r="V18" i="24"/>
  <c r="F18" i="24"/>
  <c r="O18" i="24"/>
  <c r="R18" i="24"/>
  <c r="Q18" i="24"/>
  <c r="H18" i="24"/>
  <c r="K18" i="24"/>
  <c r="G18" i="24"/>
  <c r="E18" i="24"/>
  <c r="Y18" i="24"/>
  <c r="U18" i="24"/>
  <c r="T18" i="24"/>
  <c r="D18" i="24"/>
  <c r="S18" i="24"/>
  <c r="P18" i="24"/>
  <c r="N18" i="24"/>
  <c r="M18" i="24"/>
  <c r="L18" i="24"/>
  <c r="C18" i="24"/>
  <c r="Z18" i="24"/>
  <c r="N19" i="24"/>
  <c r="M19" i="24"/>
  <c r="AA19" i="24" s="1"/>
  <c r="P19" i="24"/>
  <c r="W19" i="24"/>
  <c r="G19" i="24"/>
  <c r="L19" i="24"/>
  <c r="K19" i="24"/>
  <c r="V19" i="24"/>
  <c r="D19" i="24"/>
  <c r="I19" i="24"/>
  <c r="H19" i="24"/>
  <c r="F19" i="24"/>
  <c r="X19" i="24"/>
  <c r="Z19" i="24"/>
  <c r="T19" i="24"/>
  <c r="S19" i="24"/>
  <c r="Y19" i="24"/>
  <c r="U19" i="24"/>
  <c r="R19" i="24"/>
  <c r="E19" i="24"/>
  <c r="Q19" i="24"/>
  <c r="O19" i="24"/>
  <c r="J19" i="24"/>
  <c r="C19" i="24"/>
  <c r="Q49" i="24"/>
  <c r="C49" i="24"/>
  <c r="L49" i="24"/>
  <c r="Z49" i="24"/>
  <c r="K49" i="24"/>
  <c r="S49" i="24"/>
  <c r="D49" i="24"/>
  <c r="U49" i="24"/>
  <c r="J49" i="24"/>
  <c r="W49" i="24"/>
  <c r="E49" i="24"/>
  <c r="O49" i="24"/>
  <c r="N49" i="24"/>
  <c r="T49" i="24"/>
  <c r="M49" i="24"/>
  <c r="R49" i="24"/>
  <c r="P49" i="24"/>
  <c r="G49" i="24"/>
  <c r="Y49" i="24"/>
  <c r="V49" i="24"/>
  <c r="X49" i="24"/>
  <c r="I49" i="24"/>
  <c r="H49" i="24"/>
  <c r="F49" i="24"/>
  <c r="T15" i="24"/>
  <c r="F15" i="24"/>
  <c r="V15" i="24"/>
  <c r="G15" i="24"/>
  <c r="U15" i="24"/>
  <c r="E15" i="24"/>
  <c r="N15" i="24"/>
  <c r="Q15" i="24"/>
  <c r="P15" i="24"/>
  <c r="O15" i="24"/>
  <c r="J15" i="24"/>
  <c r="D15" i="24"/>
  <c r="C15" i="24"/>
  <c r="X15" i="24"/>
  <c r="W15" i="24"/>
  <c r="Z15" i="24"/>
  <c r="K15" i="24"/>
  <c r="Y15" i="24"/>
  <c r="S15" i="24"/>
  <c r="R15" i="24"/>
  <c r="M15" i="24"/>
  <c r="L15" i="24"/>
  <c r="I15" i="24"/>
  <c r="H15" i="24"/>
  <c r="Y51" i="24"/>
  <c r="K51" i="24"/>
  <c r="X51" i="24"/>
  <c r="I51" i="24"/>
  <c r="W51" i="24"/>
  <c r="H51" i="24"/>
  <c r="P51" i="24"/>
  <c r="L51" i="24"/>
  <c r="T51" i="24"/>
  <c r="N51" i="24"/>
  <c r="Q51" i="24"/>
  <c r="O51" i="24"/>
  <c r="D51" i="24"/>
  <c r="C51" i="24"/>
  <c r="U51" i="24"/>
  <c r="S51" i="24"/>
  <c r="Z51" i="24"/>
  <c r="G51" i="24"/>
  <c r="V51" i="24"/>
  <c r="R51" i="24"/>
  <c r="M51" i="24"/>
  <c r="J51" i="24"/>
  <c r="F51" i="24"/>
  <c r="E51" i="24"/>
  <c r="R11" i="24"/>
  <c r="D11" i="24"/>
  <c r="AA11" i="24" s="1"/>
  <c r="L11" i="24"/>
  <c r="Z11" i="24"/>
  <c r="K11" i="24"/>
  <c r="W11" i="24"/>
  <c r="F11" i="24"/>
  <c r="V11" i="24"/>
  <c r="E11" i="24"/>
  <c r="U11" i="24"/>
  <c r="C11" i="24"/>
  <c r="P11" i="24"/>
  <c r="Y11" i="24"/>
  <c r="Q11" i="24"/>
  <c r="X11" i="24"/>
  <c r="O11" i="24"/>
  <c r="T11" i="24"/>
  <c r="S11" i="24"/>
  <c r="N11" i="24"/>
  <c r="M11" i="24"/>
  <c r="J11" i="24"/>
  <c r="I11" i="24"/>
  <c r="H11" i="24"/>
  <c r="G11" i="24"/>
  <c r="N26" i="24"/>
  <c r="M26" i="24"/>
  <c r="Z26" i="24"/>
  <c r="J26" i="24"/>
  <c r="S26" i="24"/>
  <c r="C26" i="24"/>
  <c r="L26" i="24"/>
  <c r="X26" i="24"/>
  <c r="E26" i="24"/>
  <c r="W26" i="24"/>
  <c r="D26" i="24"/>
  <c r="P26" i="24"/>
  <c r="T26" i="24"/>
  <c r="R26" i="24"/>
  <c r="Q26" i="24"/>
  <c r="H26" i="24"/>
  <c r="G26" i="24"/>
  <c r="F26" i="24"/>
  <c r="O26" i="24"/>
  <c r="Y26" i="24"/>
  <c r="V26" i="24"/>
  <c r="U26" i="24"/>
  <c r="K26" i="24"/>
  <c r="I26" i="24"/>
  <c r="X9" i="24"/>
  <c r="J9" i="24"/>
  <c r="O9" i="24"/>
  <c r="N9" i="24"/>
  <c r="S9" i="24"/>
  <c r="R9" i="24"/>
  <c r="Q9" i="24"/>
  <c r="K9" i="24"/>
  <c r="Y9" i="24"/>
  <c r="C9" i="24"/>
  <c r="W9" i="24"/>
  <c r="V9" i="24"/>
  <c r="AA9" i="24" s="1"/>
  <c r="U9" i="24"/>
  <c r="P9" i="24"/>
  <c r="M9" i="24"/>
  <c r="L9" i="24"/>
  <c r="T9" i="24"/>
  <c r="I9" i="24"/>
  <c r="H9" i="24"/>
  <c r="G9" i="24"/>
  <c r="Z9" i="24"/>
  <c r="F9" i="24"/>
  <c r="D9" i="24"/>
  <c r="E9" i="24"/>
  <c r="X25" i="24"/>
  <c r="J25" i="24"/>
  <c r="W25" i="24"/>
  <c r="I25" i="24"/>
  <c r="R25" i="24"/>
  <c r="K25" i="24"/>
  <c r="T25" i="24"/>
  <c r="D25" i="24"/>
  <c r="AA25" i="24" s="1"/>
  <c r="G25" i="24"/>
  <c r="F25" i="24"/>
  <c r="Q25" i="24"/>
  <c r="P25" i="24"/>
  <c r="O25" i="24"/>
  <c r="N25" i="24"/>
  <c r="E25" i="24"/>
  <c r="U25" i="24"/>
  <c r="S25" i="24"/>
  <c r="Z25" i="24"/>
  <c r="Y25" i="24"/>
  <c r="M25" i="24"/>
  <c r="V25" i="24"/>
  <c r="L25" i="24"/>
  <c r="H25" i="24"/>
  <c r="C25" i="24"/>
  <c r="N40" i="24"/>
  <c r="M40" i="24"/>
  <c r="T40" i="24"/>
  <c r="R40" i="24"/>
  <c r="Z40" i="24"/>
  <c r="I40" i="24"/>
  <c r="U40" i="24"/>
  <c r="D40" i="24"/>
  <c r="W40" i="24"/>
  <c r="V40" i="24"/>
  <c r="K40" i="24"/>
  <c r="C40" i="24"/>
  <c r="X40" i="24"/>
  <c r="Y40" i="24"/>
  <c r="P40" i="24"/>
  <c r="S40" i="24"/>
  <c r="Q40" i="24"/>
  <c r="O40" i="24"/>
  <c r="J40" i="24"/>
  <c r="L40" i="24"/>
  <c r="H40" i="24"/>
  <c r="G40" i="24"/>
  <c r="F40" i="24"/>
  <c r="E40" i="24"/>
  <c r="P7" i="24"/>
  <c r="R7" i="24"/>
  <c r="C7" i="24"/>
  <c r="O7" i="24"/>
  <c r="N7" i="24"/>
  <c r="M7" i="24"/>
  <c r="Y7" i="24"/>
  <c r="I7" i="24"/>
  <c r="X7" i="24"/>
  <c r="D7" i="24"/>
  <c r="W7" i="24"/>
  <c r="L7" i="24"/>
  <c r="V7" i="24"/>
  <c r="S7" i="24"/>
  <c r="U7" i="24"/>
  <c r="T7" i="24"/>
  <c r="Q7" i="24"/>
  <c r="K7" i="24"/>
  <c r="J7" i="24"/>
  <c r="H7" i="24"/>
  <c r="Z7" i="24"/>
  <c r="G7" i="24"/>
  <c r="F7" i="24"/>
  <c r="E7" i="24"/>
  <c r="V28" i="24"/>
  <c r="H28" i="24"/>
  <c r="U28" i="24"/>
  <c r="G28" i="24"/>
  <c r="L28" i="24"/>
  <c r="S28" i="24"/>
  <c r="C28" i="24"/>
  <c r="N28" i="24"/>
  <c r="R28" i="24"/>
  <c r="Q28" i="24"/>
  <c r="I28" i="24"/>
  <c r="Y28" i="24"/>
  <c r="X28" i="24"/>
  <c r="W28" i="24"/>
  <c r="M28" i="24"/>
  <c r="T28" i="24"/>
  <c r="E28" i="24"/>
  <c r="Z28" i="24"/>
  <c r="P28" i="24"/>
  <c r="O28" i="24"/>
  <c r="K28" i="24"/>
  <c r="J28" i="24"/>
  <c r="F28" i="24"/>
  <c r="D28" i="24"/>
  <c r="X16" i="24"/>
  <c r="J16" i="24"/>
  <c r="Q16" i="24"/>
  <c r="M16" i="24"/>
  <c r="L16" i="24"/>
  <c r="U16" i="24"/>
  <c r="E16" i="24"/>
  <c r="N16" i="24"/>
  <c r="K16" i="24"/>
  <c r="I16" i="24"/>
  <c r="Y16" i="24"/>
  <c r="D16" i="24"/>
  <c r="G16" i="24"/>
  <c r="F16" i="24"/>
  <c r="P16" i="24"/>
  <c r="C16" i="24"/>
  <c r="Z16" i="24"/>
  <c r="W16" i="24"/>
  <c r="V16" i="24"/>
  <c r="T16" i="24"/>
  <c r="S16" i="24"/>
  <c r="R16" i="24"/>
  <c r="O16" i="24"/>
  <c r="H16" i="24"/>
  <c r="P37" i="24"/>
  <c r="O37" i="24"/>
  <c r="X37" i="24"/>
  <c r="H37" i="24"/>
  <c r="Q37" i="24"/>
  <c r="Z37" i="24"/>
  <c r="J37" i="24"/>
  <c r="K37" i="24"/>
  <c r="I37" i="24"/>
  <c r="U37" i="24"/>
  <c r="T37" i="24"/>
  <c r="S37" i="24"/>
  <c r="R37" i="24"/>
  <c r="N37" i="24"/>
  <c r="G37" i="24"/>
  <c r="M37" i="24"/>
  <c r="L37" i="24"/>
  <c r="F37" i="24"/>
  <c r="E37" i="24"/>
  <c r="D37" i="24"/>
  <c r="C37" i="24"/>
  <c r="Y37" i="24"/>
  <c r="W37" i="24"/>
  <c r="V37" i="24"/>
  <c r="N10" i="24"/>
  <c r="U10" i="24"/>
  <c r="F10" i="24"/>
  <c r="T10" i="24"/>
  <c r="E10" i="24"/>
  <c r="L10" i="24"/>
  <c r="K10" i="24"/>
  <c r="J10" i="24"/>
  <c r="W10" i="24"/>
  <c r="D10" i="24"/>
  <c r="Y10" i="24"/>
  <c r="X10" i="24"/>
  <c r="O10" i="24"/>
  <c r="V10" i="24"/>
  <c r="S10" i="24"/>
  <c r="R10" i="24"/>
  <c r="Q10" i="24"/>
  <c r="P10" i="24"/>
  <c r="M10" i="24"/>
  <c r="I10" i="24"/>
  <c r="H10" i="24"/>
  <c r="Z10" i="24"/>
  <c r="G10" i="24"/>
  <c r="C10" i="24"/>
  <c r="AA10" i="24" s="1"/>
  <c r="T31" i="24"/>
  <c r="F31" i="24"/>
  <c r="S31" i="24"/>
  <c r="E31" i="24"/>
  <c r="V31" i="24"/>
  <c r="D31" i="24"/>
  <c r="M31" i="24"/>
  <c r="X31" i="24"/>
  <c r="H31" i="24"/>
  <c r="J31" i="24"/>
  <c r="I31" i="24"/>
  <c r="R31" i="24"/>
  <c r="C31" i="24"/>
  <c r="Z31" i="24"/>
  <c r="U31" i="24"/>
  <c r="W31" i="24"/>
  <c r="Q31" i="24"/>
  <c r="P31" i="24"/>
  <c r="Y31" i="24"/>
  <c r="O31" i="24"/>
  <c r="N31" i="24"/>
  <c r="L31" i="24"/>
  <c r="K31" i="24"/>
  <c r="G31" i="24"/>
  <c r="T38" i="24"/>
  <c r="F38" i="24"/>
  <c r="S38" i="24"/>
  <c r="E38" i="24"/>
  <c r="P38" i="24"/>
  <c r="Y38" i="24"/>
  <c r="I38" i="24"/>
  <c r="R38" i="24"/>
  <c r="H38" i="24"/>
  <c r="G38" i="24"/>
  <c r="Q38" i="24"/>
  <c r="W38" i="24"/>
  <c r="V38" i="24"/>
  <c r="O38" i="24"/>
  <c r="U38" i="24"/>
  <c r="L38" i="24"/>
  <c r="N38" i="24"/>
  <c r="K38" i="24"/>
  <c r="Z38" i="24"/>
  <c r="M38" i="24"/>
  <c r="X38" i="24"/>
  <c r="J38" i="24"/>
  <c r="D38" i="24"/>
  <c r="C38" i="24"/>
  <c r="Y52" i="24"/>
  <c r="O52" i="24"/>
  <c r="P52" i="24"/>
  <c r="N52" i="24"/>
  <c r="V52" i="24"/>
  <c r="G52" i="24"/>
  <c r="Z52" i="24"/>
  <c r="F52" i="24"/>
  <c r="T52" i="24"/>
  <c r="Q52" i="24"/>
  <c r="I52" i="24"/>
  <c r="R52" i="24"/>
  <c r="M52" i="24"/>
  <c r="D52" i="24"/>
  <c r="J52" i="24"/>
  <c r="H52" i="24"/>
  <c r="C52" i="24"/>
  <c r="AA52" i="24" s="1"/>
  <c r="E52" i="24"/>
  <c r="X52" i="24"/>
  <c r="W52" i="24"/>
  <c r="U52" i="24"/>
  <c r="K52" i="24"/>
  <c r="S52" i="24"/>
  <c r="L52" i="24"/>
  <c r="X32" i="24"/>
  <c r="J32" i="24"/>
  <c r="W32" i="24"/>
  <c r="I32" i="24"/>
  <c r="N32" i="24"/>
  <c r="U32" i="24"/>
  <c r="E32" i="24"/>
  <c r="P32" i="24"/>
  <c r="F32" i="24"/>
  <c r="Z32" i="24"/>
  <c r="D32" i="24"/>
  <c r="Q32" i="24"/>
  <c r="H32" i="24"/>
  <c r="G32" i="24"/>
  <c r="C32" i="24"/>
  <c r="V32" i="24"/>
  <c r="O32" i="24"/>
  <c r="M32" i="24"/>
  <c r="L32" i="24"/>
  <c r="K32" i="24"/>
  <c r="T32" i="24"/>
  <c r="Y32" i="24"/>
  <c r="S32" i="24"/>
  <c r="R32" i="24"/>
  <c r="W47" i="24"/>
  <c r="I47" i="24"/>
  <c r="O47" i="24"/>
  <c r="N47" i="24"/>
  <c r="U47" i="24"/>
  <c r="F47" i="24"/>
  <c r="K47" i="24"/>
  <c r="T47" i="24"/>
  <c r="M47" i="24"/>
  <c r="P47" i="24"/>
  <c r="L47" i="24"/>
  <c r="Z47" i="24"/>
  <c r="C47" i="24"/>
  <c r="E47" i="24"/>
  <c r="D47" i="24"/>
  <c r="X47" i="24"/>
  <c r="S47" i="24"/>
  <c r="R47" i="24"/>
  <c r="V47" i="24"/>
  <c r="Y47" i="24"/>
  <c r="G47" i="24"/>
  <c r="Q47" i="24"/>
  <c r="J47" i="24"/>
  <c r="H47" i="24"/>
  <c r="P14" i="24"/>
  <c r="O14" i="24"/>
  <c r="N14" i="24"/>
  <c r="W14" i="24"/>
  <c r="V14" i="24"/>
  <c r="E14" i="24"/>
  <c r="U14" i="24"/>
  <c r="D14" i="24"/>
  <c r="T14" i="24"/>
  <c r="C14" i="24"/>
  <c r="M14" i="24"/>
  <c r="F14" i="24"/>
  <c r="Q14" i="24"/>
  <c r="Z14" i="24"/>
  <c r="Y14" i="24"/>
  <c r="X14" i="24"/>
  <c r="S14" i="24"/>
  <c r="R14" i="24"/>
  <c r="L14" i="24"/>
  <c r="K14" i="24"/>
  <c r="J14" i="24"/>
  <c r="I14" i="24"/>
  <c r="G14" i="24"/>
  <c r="H14" i="24"/>
  <c r="V35" i="24"/>
  <c r="H35" i="24"/>
  <c r="U35" i="24"/>
  <c r="G35" i="24"/>
  <c r="X35" i="24"/>
  <c r="F35" i="24"/>
  <c r="O35" i="24"/>
  <c r="Z35" i="24"/>
  <c r="J35" i="24"/>
  <c r="Q35" i="24"/>
  <c r="P35" i="24"/>
  <c r="E35" i="24"/>
  <c r="N35" i="24"/>
  <c r="M35" i="24"/>
  <c r="L35" i="24"/>
  <c r="K35" i="24"/>
  <c r="C35" i="24"/>
  <c r="W35" i="24"/>
  <c r="T35" i="24"/>
  <c r="S35" i="24"/>
  <c r="D35" i="24"/>
  <c r="AA35" i="24" s="1"/>
  <c r="R35" i="24"/>
  <c r="I35" i="24"/>
  <c r="Y35" i="24"/>
  <c r="T8" i="24"/>
  <c r="F8" i="24"/>
  <c r="X8" i="24"/>
  <c r="I8" i="24"/>
  <c r="W8" i="24"/>
  <c r="Z8" i="24"/>
  <c r="H8" i="24"/>
  <c r="Y8" i="24"/>
  <c r="G8" i="24"/>
  <c r="V8" i="24"/>
  <c r="E8" i="24"/>
  <c r="Q8" i="24"/>
  <c r="U8" i="24"/>
  <c r="O8" i="24"/>
  <c r="N8" i="24"/>
  <c r="S8" i="24"/>
  <c r="R8" i="24"/>
  <c r="P8" i="24"/>
  <c r="M8" i="24"/>
  <c r="L8" i="24"/>
  <c r="K8" i="24"/>
  <c r="J8" i="24"/>
  <c r="C8" i="24"/>
  <c r="D8" i="24"/>
  <c r="AA8" i="24" s="1"/>
  <c r="Z29" i="24"/>
  <c r="L29" i="24"/>
  <c r="Y29" i="24"/>
  <c r="K29" i="24"/>
  <c r="T29" i="24"/>
  <c r="D29" i="24"/>
  <c r="M29" i="24"/>
  <c r="V29" i="24"/>
  <c r="F29" i="24"/>
  <c r="P29" i="24"/>
  <c r="O29" i="24"/>
  <c r="E29" i="24"/>
  <c r="X29" i="24"/>
  <c r="W29" i="24"/>
  <c r="Q29" i="24"/>
  <c r="I29" i="24"/>
  <c r="H29" i="24"/>
  <c r="R29" i="24"/>
  <c r="G29" i="24"/>
  <c r="C29" i="24"/>
  <c r="AA29" i="24" s="1"/>
  <c r="U29" i="24"/>
  <c r="S29" i="24"/>
  <c r="N29" i="24"/>
  <c r="J29" i="24"/>
  <c r="P23" i="24"/>
  <c r="O23" i="24"/>
  <c r="R23" i="24"/>
  <c r="Y23" i="24"/>
  <c r="I23" i="24"/>
  <c r="T23" i="24"/>
  <c r="D23" i="24"/>
  <c r="M23" i="24"/>
  <c r="L23" i="24"/>
  <c r="X23" i="24"/>
  <c r="AA23" i="24" s="1"/>
  <c r="E23" i="24"/>
  <c r="K23" i="24"/>
  <c r="J23" i="24"/>
  <c r="H23" i="24"/>
  <c r="F23" i="24"/>
  <c r="C23" i="24"/>
  <c r="Z23" i="24"/>
  <c r="W23" i="24"/>
  <c r="V23" i="24"/>
  <c r="U23" i="24"/>
  <c r="S23" i="24"/>
  <c r="Q23" i="24"/>
  <c r="G23" i="24"/>
  <c r="N23" i="24"/>
  <c r="P30" i="24"/>
  <c r="O30" i="24"/>
  <c r="L30" i="24"/>
  <c r="U30" i="24"/>
  <c r="E30" i="24"/>
  <c r="N30" i="24"/>
  <c r="K30" i="24"/>
  <c r="J30" i="24"/>
  <c r="W30" i="24"/>
  <c r="C30" i="24"/>
  <c r="D30" i="24"/>
  <c r="Z30" i="24"/>
  <c r="Y30" i="24"/>
  <c r="S30" i="24"/>
  <c r="V30" i="24"/>
  <c r="T30" i="24"/>
  <c r="H30" i="24"/>
  <c r="R30" i="24"/>
  <c r="G30" i="24"/>
  <c r="Q30" i="24"/>
  <c r="M30" i="24"/>
  <c r="I30" i="24"/>
  <c r="F30" i="24"/>
  <c r="X30" i="24"/>
  <c r="P44" i="24"/>
  <c r="O44" i="24"/>
  <c r="V44" i="24"/>
  <c r="H44" i="24"/>
  <c r="K44" i="24"/>
  <c r="T44" i="24"/>
  <c r="C44" i="24"/>
  <c r="M44" i="24"/>
  <c r="R44" i="24"/>
  <c r="Q44" i="24"/>
  <c r="F44" i="24"/>
  <c r="U44" i="24"/>
  <c r="S44" i="24"/>
  <c r="N44" i="24"/>
  <c r="L44" i="24"/>
  <c r="G44" i="24"/>
  <c r="AA44" i="24" s="1"/>
  <c r="X44" i="24"/>
  <c r="W44" i="24"/>
  <c r="J44" i="24"/>
  <c r="I44" i="24"/>
  <c r="E44" i="24"/>
  <c r="D44" i="24"/>
  <c r="Y44" i="24"/>
  <c r="Z44" i="24"/>
  <c r="T17" i="24"/>
  <c r="S17" i="24"/>
  <c r="N17" i="24"/>
  <c r="W17" i="24"/>
  <c r="G17" i="24"/>
  <c r="X17" i="24"/>
  <c r="E17" i="24"/>
  <c r="V17" i="24"/>
  <c r="D17" i="24"/>
  <c r="M17" i="24"/>
  <c r="J17" i="24"/>
  <c r="I17" i="24"/>
  <c r="H17" i="24"/>
  <c r="Y17" i="24"/>
  <c r="O17" i="24"/>
  <c r="L17" i="24"/>
  <c r="K17" i="24"/>
  <c r="F17" i="24"/>
  <c r="C17" i="24"/>
  <c r="Z17" i="24"/>
  <c r="U17" i="24"/>
  <c r="R17" i="24"/>
  <c r="P17" i="24"/>
  <c r="Q17" i="24"/>
  <c r="T24" i="24"/>
  <c r="F24" i="24"/>
  <c r="S24" i="24"/>
  <c r="E24" i="24"/>
  <c r="Z24" i="24"/>
  <c r="J24" i="24"/>
  <c r="Q24" i="24"/>
  <c r="L24" i="24"/>
  <c r="K24" i="24"/>
  <c r="I24" i="24"/>
  <c r="V24" i="24"/>
  <c r="O24" i="24"/>
  <c r="N24" i="24"/>
  <c r="M24" i="24"/>
  <c r="C24" i="24"/>
  <c r="U24" i="24"/>
  <c r="R24" i="24"/>
  <c r="P24" i="24"/>
  <c r="H24" i="24"/>
  <c r="G24" i="24"/>
  <c r="D24" i="24"/>
  <c r="AA24" i="24" s="1"/>
  <c r="Y24" i="24"/>
  <c r="X24" i="24"/>
  <c r="W24" i="24"/>
  <c r="T45" i="24"/>
  <c r="F45" i="24"/>
  <c r="S45" i="24"/>
  <c r="E45" i="24"/>
  <c r="Z45" i="24"/>
  <c r="L45" i="24"/>
  <c r="W45" i="24"/>
  <c r="D45" i="24"/>
  <c r="N45" i="24"/>
  <c r="Y45" i="24"/>
  <c r="H45" i="24"/>
  <c r="P45" i="24"/>
  <c r="O45" i="24"/>
  <c r="C45" i="24"/>
  <c r="AA45" i="24" s="1"/>
  <c r="X45" i="24"/>
  <c r="V45" i="24"/>
  <c r="R45" i="24"/>
  <c r="U45" i="24"/>
  <c r="K45" i="24"/>
  <c r="G45" i="24"/>
  <c r="Q45" i="24"/>
  <c r="M45" i="24"/>
  <c r="J45" i="24"/>
  <c r="I45" i="24"/>
  <c r="O53" i="24"/>
  <c r="U53" i="24"/>
  <c r="F53" i="24"/>
  <c r="X53" i="24"/>
  <c r="H53" i="24"/>
  <c r="W53" i="24"/>
  <c r="G53" i="24"/>
  <c r="N53" i="24"/>
  <c r="V53" i="24"/>
  <c r="Q53" i="24"/>
  <c r="L53" i="24"/>
  <c r="Z53" i="24"/>
  <c r="D53" i="24"/>
  <c r="T53" i="24"/>
  <c r="S53" i="24"/>
  <c r="I53" i="24"/>
  <c r="Y53" i="24"/>
  <c r="R53" i="24"/>
  <c r="P53" i="24"/>
  <c r="M53" i="24"/>
  <c r="E53" i="24"/>
  <c r="C53" i="24"/>
  <c r="K53" i="24"/>
  <c r="J53" i="24"/>
  <c r="AB102" i="24"/>
  <c r="AA47" i="24"/>
  <c r="AA37" i="24" l="1"/>
  <c r="AA51" i="24"/>
  <c r="AA38" i="24"/>
  <c r="AA49" i="24"/>
  <c r="AA27" i="24"/>
  <c r="AA15" i="24"/>
  <c r="AA39" i="24"/>
  <c r="AA12" i="24"/>
  <c r="AA53" i="24"/>
  <c r="AA32" i="24"/>
  <c r="AA34" i="24"/>
  <c r="AA46" i="24"/>
  <c r="AA26" i="24"/>
  <c r="AA36" i="24"/>
  <c r="AA18" i="24"/>
  <c r="AA30" i="24"/>
  <c r="AA17" i="24"/>
  <c r="AA14" i="24"/>
  <c r="AA40" i="24"/>
  <c r="AA16" i="24"/>
  <c r="AA28" i="24"/>
  <c r="AA31" i="24"/>
  <c r="AC18" i="20" l="1"/>
  <c r="AB17" i="20"/>
  <c r="A17" i="20"/>
  <c r="AB16" i="20"/>
  <c r="A16" i="20"/>
  <c r="AB15" i="20"/>
  <c r="A15" i="20"/>
  <c r="AB14" i="20"/>
  <c r="A14" i="20"/>
  <c r="AB13" i="20"/>
  <c r="A13" i="20"/>
  <c r="AB12" i="20"/>
  <c r="A12" i="20"/>
  <c r="AB11" i="20"/>
  <c r="A11" i="20"/>
  <c r="AB10" i="20"/>
  <c r="A10" i="20"/>
  <c r="AB9" i="20"/>
  <c r="A9" i="20"/>
  <c r="AB8" i="20"/>
  <c r="A8" i="20"/>
  <c r="AB7" i="20"/>
  <c r="A7" i="20"/>
  <c r="AB6" i="20"/>
  <c r="A6" i="20"/>
  <c r="AC18" i="17"/>
  <c r="AB17" i="17"/>
  <c r="A17" i="17"/>
  <c r="AB16" i="17"/>
  <c r="A16" i="17"/>
  <c r="AB15" i="17"/>
  <c r="A15" i="17"/>
  <c r="AB14" i="17"/>
  <c r="A14" i="17"/>
  <c r="AB13" i="17"/>
  <c r="A13" i="17"/>
  <c r="AB12" i="17"/>
  <c r="A12" i="17"/>
  <c r="AB11" i="17"/>
  <c r="A11" i="17"/>
  <c r="AB10" i="17"/>
  <c r="A10" i="17"/>
  <c r="AB9" i="17"/>
  <c r="A9" i="17"/>
  <c r="AB8" i="17"/>
  <c r="A8" i="17"/>
  <c r="AB7" i="17"/>
  <c r="A7" i="17"/>
  <c r="AB6" i="17"/>
  <c r="A6" i="17"/>
  <c r="AB18" i="20" l="1"/>
  <c r="AB18" i="17"/>
  <c r="H18" i="20" l="1"/>
  <c r="O18" i="20"/>
  <c r="F18" i="20"/>
  <c r="P18" i="20"/>
  <c r="R18" i="20"/>
  <c r="AA16" i="20"/>
  <c r="U18" i="17"/>
  <c r="M18" i="17"/>
  <c r="J18" i="17"/>
  <c r="L18" i="17"/>
  <c r="C18" i="20"/>
  <c r="C11" i="19" s="1"/>
  <c r="E11" i="19" s="1"/>
  <c r="Z18" i="20"/>
  <c r="Q18" i="20"/>
  <c r="K18" i="20"/>
  <c r="U18" i="20"/>
  <c r="I18" i="20"/>
  <c r="Y18" i="20"/>
  <c r="X18" i="20"/>
  <c r="W18" i="20"/>
  <c r="V18" i="20"/>
  <c r="S18" i="20"/>
  <c r="N18" i="20"/>
  <c r="O18" i="17"/>
  <c r="K18" i="17"/>
  <c r="P18" i="17"/>
  <c r="AA7" i="17"/>
  <c r="G18" i="17"/>
  <c r="Z18" i="17"/>
  <c r="S18" i="17"/>
  <c r="AA10" i="17"/>
  <c r="AA9" i="20"/>
  <c r="AA12" i="20"/>
  <c r="AA6" i="20"/>
  <c r="M18" i="20"/>
  <c r="E18" i="20"/>
  <c r="T18" i="20"/>
  <c r="G18" i="20"/>
  <c r="L18" i="20"/>
  <c r="J18" i="20"/>
  <c r="AA15" i="20"/>
  <c r="AA14" i="20"/>
  <c r="AA13" i="20"/>
  <c r="AA7" i="20"/>
  <c r="D18" i="20"/>
  <c r="AA10" i="20"/>
  <c r="AA8" i="20"/>
  <c r="AA17" i="20"/>
  <c r="AA11" i="20"/>
  <c r="T18" i="17"/>
  <c r="X18" i="17"/>
  <c r="AA8" i="17"/>
  <c r="AA11" i="17"/>
  <c r="R18" i="17"/>
  <c r="Y18" i="17"/>
  <c r="AA15" i="17"/>
  <c r="D18" i="17"/>
  <c r="W18" i="17"/>
  <c r="E18" i="17"/>
  <c r="H18" i="17"/>
  <c r="Q18" i="17"/>
  <c r="AA13" i="17"/>
  <c r="I18" i="17"/>
  <c r="C18" i="17"/>
  <c r="AA17" i="17"/>
  <c r="AA14" i="17"/>
  <c r="AA16" i="17"/>
  <c r="AA6" i="17"/>
  <c r="V18" i="17"/>
  <c r="AA12" i="17"/>
  <c r="N18" i="17"/>
  <c r="F18" i="17"/>
  <c r="AA9" i="17"/>
  <c r="C10" i="19" l="1"/>
  <c r="E10" i="19" s="1"/>
  <c r="C14" i="18"/>
  <c r="E14" i="18" s="1"/>
  <c r="C19" i="19"/>
  <c r="E19" i="19" s="1"/>
  <c r="C20" i="19"/>
  <c r="E20" i="19" s="1"/>
  <c r="C9" i="18"/>
  <c r="E9" i="18" s="1"/>
  <c r="C10" i="18"/>
  <c r="E10" i="18" s="1"/>
  <c r="C18" i="18"/>
  <c r="C17" i="18"/>
  <c r="C18" i="19"/>
  <c r="E18" i="19" s="1"/>
  <c r="C16" i="19"/>
  <c r="E16" i="19" s="1"/>
  <c r="C15" i="19"/>
  <c r="E15" i="19" s="1"/>
  <c r="C13" i="19"/>
  <c r="E13" i="19" s="1"/>
  <c r="C14" i="19"/>
  <c r="E14" i="19" s="1"/>
  <c r="C9" i="19"/>
  <c r="AA18" i="20"/>
  <c r="C17" i="19"/>
  <c r="E17" i="19" s="1"/>
  <c r="C12" i="19"/>
  <c r="E12" i="19" s="1"/>
  <c r="C11" i="18"/>
  <c r="C19" i="18"/>
  <c r="C12" i="18"/>
  <c r="C13" i="18"/>
  <c r="C20" i="18"/>
  <c r="C15" i="18"/>
  <c r="E15" i="18" s="1"/>
  <c r="C16" i="18"/>
  <c r="E16" i="18" s="1"/>
  <c r="AA18" i="17"/>
  <c r="E13" i="18" l="1"/>
  <c r="E12" i="18"/>
  <c r="E11" i="18"/>
  <c r="E19" i="18"/>
  <c r="E18" i="18"/>
  <c r="E17" i="18"/>
  <c r="E20" i="18"/>
  <c r="C21" i="19"/>
  <c r="E9" i="19"/>
  <c r="C21" i="18"/>
  <c r="E21" i="19" l="1"/>
  <c r="D21" i="19" s="1"/>
  <c r="E21" i="18"/>
  <c r="D21" i="18" l="1"/>
  <c r="F21" i="18"/>
  <c r="Z127" i="14"/>
  <c r="Y127" i="14"/>
  <c r="X127" i="14"/>
  <c r="W127" i="14"/>
  <c r="V127" i="14"/>
  <c r="U127" i="14"/>
  <c r="J127" i="14"/>
  <c r="I127" i="14"/>
  <c r="H127" i="14"/>
  <c r="G127" i="14"/>
  <c r="F127" i="14"/>
  <c r="E127" i="14"/>
  <c r="D127" i="14"/>
  <c r="C127" i="14"/>
  <c r="Z126" i="14"/>
  <c r="Y126" i="14"/>
  <c r="X126" i="14"/>
  <c r="W126" i="14"/>
  <c r="V126" i="14"/>
  <c r="U126" i="14"/>
  <c r="J126" i="14"/>
  <c r="I126" i="14"/>
  <c r="H126" i="14"/>
  <c r="G126" i="14"/>
  <c r="F126" i="14"/>
  <c r="E126" i="14"/>
  <c r="D126" i="14"/>
  <c r="C126" i="14"/>
  <c r="Z125" i="14"/>
  <c r="Y125" i="14"/>
  <c r="X125" i="14"/>
  <c r="W125" i="14"/>
  <c r="V125" i="14"/>
  <c r="U125" i="14"/>
  <c r="J125" i="14"/>
  <c r="I125" i="14"/>
  <c r="H125" i="14"/>
  <c r="G125" i="14"/>
  <c r="F125" i="14"/>
  <c r="E125" i="14"/>
  <c r="D125" i="14"/>
  <c r="C125" i="14"/>
  <c r="Z124" i="14"/>
  <c r="Y124" i="14"/>
  <c r="X124" i="14"/>
  <c r="W124" i="14"/>
  <c r="V124" i="14"/>
  <c r="U124" i="14"/>
  <c r="J124" i="14"/>
  <c r="I124" i="14"/>
  <c r="H124" i="14"/>
  <c r="G124" i="14"/>
  <c r="F124" i="14"/>
  <c r="E124" i="14"/>
  <c r="D124" i="14"/>
  <c r="C124" i="14"/>
  <c r="Z123" i="14"/>
  <c r="Y123" i="14"/>
  <c r="X123" i="14"/>
  <c r="W123" i="14"/>
  <c r="V123" i="14"/>
  <c r="U123" i="14"/>
  <c r="J123" i="14"/>
  <c r="I123" i="14"/>
  <c r="H123" i="14"/>
  <c r="G123" i="14"/>
  <c r="F123" i="14"/>
  <c r="E123" i="14"/>
  <c r="D123" i="14"/>
  <c r="C123" i="14"/>
  <c r="Z122" i="14"/>
  <c r="Y122" i="14"/>
  <c r="X122" i="14"/>
  <c r="W122" i="14"/>
  <c r="V122" i="14"/>
  <c r="U122" i="14"/>
  <c r="J122" i="14"/>
  <c r="I122" i="14"/>
  <c r="H122" i="14"/>
  <c r="G122" i="14"/>
  <c r="F122" i="14"/>
  <c r="E122" i="14"/>
  <c r="D122" i="14"/>
  <c r="C122" i="14"/>
  <c r="Z121" i="14"/>
  <c r="Y121" i="14"/>
  <c r="X121" i="14"/>
  <c r="W121" i="14"/>
  <c r="V121" i="14"/>
  <c r="U121" i="14"/>
  <c r="J121" i="14"/>
  <c r="I121" i="14"/>
  <c r="H121" i="14"/>
  <c r="G121" i="14"/>
  <c r="F121" i="14"/>
  <c r="E121" i="14"/>
  <c r="D121" i="14"/>
  <c r="C121" i="14"/>
  <c r="Z120" i="14"/>
  <c r="Y120" i="14"/>
  <c r="X120" i="14"/>
  <c r="W120" i="14"/>
  <c r="V120" i="14"/>
  <c r="U120" i="14"/>
  <c r="J120" i="14"/>
  <c r="I120" i="14"/>
  <c r="H120" i="14"/>
  <c r="G120" i="14"/>
  <c r="F120" i="14"/>
  <c r="E120" i="14"/>
  <c r="D120" i="14"/>
  <c r="C120" i="14"/>
  <c r="Z119" i="14"/>
  <c r="Y119" i="14"/>
  <c r="X119" i="14"/>
  <c r="W119" i="14"/>
  <c r="V119" i="14"/>
  <c r="U119" i="14"/>
  <c r="J119" i="14"/>
  <c r="I119" i="14"/>
  <c r="H119" i="14"/>
  <c r="G119" i="14"/>
  <c r="F119" i="14"/>
  <c r="E119" i="14"/>
  <c r="D119" i="14"/>
  <c r="C119" i="14"/>
  <c r="Z118" i="14"/>
  <c r="Y118" i="14"/>
  <c r="X118" i="14"/>
  <c r="W118" i="14"/>
  <c r="V118" i="14"/>
  <c r="U118" i="14"/>
  <c r="J118" i="14"/>
  <c r="I118" i="14"/>
  <c r="H118" i="14"/>
  <c r="G118" i="14"/>
  <c r="F118" i="14"/>
  <c r="E118" i="14"/>
  <c r="D118" i="14"/>
  <c r="C118" i="14"/>
  <c r="Z117" i="14"/>
  <c r="Y117" i="14"/>
  <c r="X117" i="14"/>
  <c r="W117" i="14"/>
  <c r="V117" i="14"/>
  <c r="U117" i="14"/>
  <c r="J117" i="14"/>
  <c r="I117" i="14"/>
  <c r="H117" i="14"/>
  <c r="G117" i="14"/>
  <c r="F117" i="14"/>
  <c r="E117" i="14"/>
  <c r="D117" i="14"/>
  <c r="C117" i="14"/>
  <c r="Z116" i="14"/>
  <c r="Y116" i="14"/>
  <c r="X116" i="14"/>
  <c r="W116" i="14"/>
  <c r="V116" i="14"/>
  <c r="U116" i="14"/>
  <c r="J116" i="14"/>
  <c r="I116" i="14"/>
  <c r="H116" i="14"/>
  <c r="G116" i="14"/>
  <c r="F116" i="14"/>
  <c r="E116" i="14"/>
  <c r="D116" i="14"/>
  <c r="C116" i="14"/>
  <c r="Z115" i="14"/>
  <c r="Y115" i="14"/>
  <c r="X115" i="14"/>
  <c r="W115" i="14"/>
  <c r="V115" i="14"/>
  <c r="U115" i="14"/>
  <c r="J115" i="14"/>
  <c r="I115" i="14"/>
  <c r="H115" i="14"/>
  <c r="G115" i="14"/>
  <c r="F115" i="14"/>
  <c r="E115" i="14"/>
  <c r="D115" i="14"/>
  <c r="C115" i="14"/>
  <c r="Z114" i="14"/>
  <c r="Y114" i="14"/>
  <c r="X114" i="14"/>
  <c r="W114" i="14"/>
  <c r="V114" i="14"/>
  <c r="U114" i="14"/>
  <c r="J114" i="14"/>
  <c r="I114" i="14"/>
  <c r="H114" i="14"/>
  <c r="G114" i="14"/>
  <c r="F114" i="14"/>
  <c r="E114" i="14"/>
  <c r="D114" i="14"/>
  <c r="C114" i="14"/>
  <c r="Z113" i="14"/>
  <c r="Y113" i="14"/>
  <c r="X113" i="14"/>
  <c r="W113" i="14"/>
  <c r="V113" i="14"/>
  <c r="U113" i="14"/>
  <c r="J113" i="14"/>
  <c r="I113" i="14"/>
  <c r="H113" i="14"/>
  <c r="G113" i="14"/>
  <c r="F113" i="14"/>
  <c r="E113" i="14"/>
  <c r="D113" i="14"/>
  <c r="C113" i="14"/>
  <c r="Z112" i="14"/>
  <c r="Y112" i="14"/>
  <c r="X112" i="14"/>
  <c r="W112" i="14"/>
  <c r="V112" i="14"/>
  <c r="U112" i="14"/>
  <c r="J112" i="14"/>
  <c r="I112" i="14"/>
  <c r="H112" i="14"/>
  <c r="G112" i="14"/>
  <c r="F112" i="14"/>
  <c r="E112" i="14"/>
  <c r="D112" i="14"/>
  <c r="C112" i="14"/>
  <c r="Z111" i="14"/>
  <c r="Y111" i="14"/>
  <c r="X111" i="14"/>
  <c r="W111" i="14"/>
  <c r="V111" i="14"/>
  <c r="U111" i="14"/>
  <c r="J111" i="14"/>
  <c r="I111" i="14"/>
  <c r="H111" i="14"/>
  <c r="G111" i="14"/>
  <c r="F111" i="14"/>
  <c r="E111" i="14"/>
  <c r="D111" i="14"/>
  <c r="C111" i="14"/>
  <c r="Z110" i="14"/>
  <c r="Y110" i="14"/>
  <c r="X110" i="14"/>
  <c r="W110" i="14"/>
  <c r="V110" i="14"/>
  <c r="U110" i="14"/>
  <c r="J110" i="14"/>
  <c r="I110" i="14"/>
  <c r="H110" i="14"/>
  <c r="G110" i="14"/>
  <c r="F110" i="14"/>
  <c r="E110" i="14"/>
  <c r="D110" i="14"/>
  <c r="C110" i="14"/>
  <c r="Z109" i="14"/>
  <c r="Y109" i="14"/>
  <c r="X109" i="14"/>
  <c r="W109" i="14"/>
  <c r="V109" i="14"/>
  <c r="U109" i="14"/>
  <c r="J109" i="14"/>
  <c r="I109" i="14"/>
  <c r="H109" i="14"/>
  <c r="G109" i="14"/>
  <c r="F109" i="14"/>
  <c r="E109" i="14"/>
  <c r="D109" i="14"/>
  <c r="C109" i="14"/>
  <c r="Z108" i="14"/>
  <c r="Y108" i="14"/>
  <c r="X108" i="14"/>
  <c r="W108" i="14"/>
  <c r="V108" i="14"/>
  <c r="U108" i="14"/>
  <c r="J108" i="14"/>
  <c r="I108" i="14"/>
  <c r="H108" i="14"/>
  <c r="G108" i="14"/>
  <c r="F108" i="14"/>
  <c r="E108" i="14"/>
  <c r="D108" i="14"/>
  <c r="C108" i="14"/>
  <c r="Z107" i="14"/>
  <c r="Y107" i="14"/>
  <c r="X107" i="14"/>
  <c r="W107" i="14"/>
  <c r="V107" i="14"/>
  <c r="U107" i="14"/>
  <c r="J107" i="14"/>
  <c r="I107" i="14"/>
  <c r="H107" i="14"/>
  <c r="G107" i="14"/>
  <c r="F107" i="14"/>
  <c r="E107" i="14"/>
  <c r="D107" i="14"/>
  <c r="C107" i="14"/>
  <c r="Z106" i="14"/>
  <c r="Y106" i="14"/>
  <c r="X106" i="14"/>
  <c r="W106" i="14"/>
  <c r="V106" i="14"/>
  <c r="U106" i="14"/>
  <c r="J106" i="14"/>
  <c r="I106" i="14"/>
  <c r="H106" i="14"/>
  <c r="G106" i="14"/>
  <c r="F106" i="14"/>
  <c r="E106" i="14"/>
  <c r="D106" i="14"/>
  <c r="C106" i="14"/>
  <c r="Z105" i="14"/>
  <c r="Y105" i="14"/>
  <c r="X105" i="14"/>
  <c r="W105" i="14"/>
  <c r="V105" i="14"/>
  <c r="U105" i="14"/>
  <c r="J105" i="14"/>
  <c r="I105" i="14"/>
  <c r="H105" i="14"/>
  <c r="G105" i="14"/>
  <c r="F105" i="14"/>
  <c r="E105" i="14"/>
  <c r="D105" i="14"/>
  <c r="C105" i="14"/>
  <c r="Z104" i="14"/>
  <c r="Y104" i="14"/>
  <c r="X104" i="14"/>
  <c r="W104" i="14"/>
  <c r="V104" i="14"/>
  <c r="U104" i="14"/>
  <c r="J104" i="14"/>
  <c r="I104" i="14"/>
  <c r="H104" i="14"/>
  <c r="G104" i="14"/>
  <c r="F104" i="14"/>
  <c r="E104" i="14"/>
  <c r="D104" i="14"/>
  <c r="C104" i="14"/>
  <c r="Z103" i="14"/>
  <c r="Y103" i="14"/>
  <c r="X103" i="14"/>
  <c r="W103" i="14"/>
  <c r="V103" i="14"/>
  <c r="U103" i="14"/>
  <c r="J103" i="14"/>
  <c r="I103" i="14"/>
  <c r="H103" i="14"/>
  <c r="G103" i="14"/>
  <c r="F103" i="14"/>
  <c r="E103" i="14"/>
  <c r="D103" i="14"/>
  <c r="C103" i="14"/>
  <c r="Z102" i="14"/>
  <c r="Y102" i="14"/>
  <c r="X102" i="14"/>
  <c r="W102" i="14"/>
  <c r="V102" i="14"/>
  <c r="U102" i="14"/>
  <c r="J102" i="14"/>
  <c r="I102" i="14"/>
  <c r="H102" i="14"/>
  <c r="G102" i="14"/>
  <c r="F102" i="14"/>
  <c r="E102" i="14"/>
  <c r="D102" i="14"/>
  <c r="C102" i="14"/>
  <c r="Z101" i="14"/>
  <c r="Y101" i="14"/>
  <c r="X101" i="14"/>
  <c r="W101" i="14"/>
  <c r="V101" i="14"/>
  <c r="U101" i="14"/>
  <c r="J101" i="14"/>
  <c r="I101" i="14"/>
  <c r="H101" i="14"/>
  <c r="G101" i="14"/>
  <c r="F101" i="14"/>
  <c r="E101" i="14"/>
  <c r="D101" i="14"/>
  <c r="C101" i="14"/>
  <c r="Z100" i="14"/>
  <c r="Y100" i="14"/>
  <c r="X100" i="14"/>
  <c r="W100" i="14"/>
  <c r="V100" i="14"/>
  <c r="U100" i="14"/>
  <c r="J100" i="14"/>
  <c r="I100" i="14"/>
  <c r="H100" i="14"/>
  <c r="G100" i="14"/>
  <c r="F100" i="14"/>
  <c r="E100" i="14"/>
  <c r="D100" i="14"/>
  <c r="C100" i="14"/>
  <c r="Z99" i="14"/>
  <c r="Y99" i="14"/>
  <c r="X99" i="14"/>
  <c r="W99" i="14"/>
  <c r="V99" i="14"/>
  <c r="U99" i="14"/>
  <c r="J99" i="14"/>
  <c r="I99" i="14"/>
  <c r="H99" i="14"/>
  <c r="G99" i="14"/>
  <c r="F99" i="14"/>
  <c r="E99" i="14"/>
  <c r="D99" i="14"/>
  <c r="C99" i="14"/>
  <c r="Z98" i="14"/>
  <c r="Y98" i="14"/>
  <c r="X98" i="14"/>
  <c r="W98" i="14"/>
  <c r="V98" i="14"/>
  <c r="U98" i="14"/>
  <c r="J98" i="14"/>
  <c r="I98" i="14"/>
  <c r="H98" i="14"/>
  <c r="G98" i="14"/>
  <c r="F98" i="14"/>
  <c r="E98" i="14"/>
  <c r="D98" i="14"/>
  <c r="C98" i="14"/>
  <c r="Z97" i="14"/>
  <c r="Y97" i="14"/>
  <c r="X97" i="14"/>
  <c r="W97" i="14"/>
  <c r="V97" i="14"/>
  <c r="U97" i="14"/>
  <c r="J97" i="14"/>
  <c r="I97" i="14"/>
  <c r="H97" i="14"/>
  <c r="G97" i="14"/>
  <c r="F97" i="14"/>
  <c r="E97" i="14"/>
  <c r="D97" i="14"/>
  <c r="C97" i="14"/>
  <c r="Z96" i="14"/>
  <c r="Y96" i="14"/>
  <c r="X96" i="14"/>
  <c r="W96" i="14"/>
  <c r="V96" i="14"/>
  <c r="U96" i="14"/>
  <c r="J96" i="14"/>
  <c r="I96" i="14"/>
  <c r="H96" i="14"/>
  <c r="G96" i="14"/>
  <c r="F96" i="14"/>
  <c r="E96" i="14"/>
  <c r="D96" i="14"/>
  <c r="C96" i="14"/>
  <c r="Z95" i="14"/>
  <c r="Y95" i="14"/>
  <c r="X95" i="14"/>
  <c r="W95" i="14"/>
  <c r="V95" i="14"/>
  <c r="U95" i="14"/>
  <c r="J95" i="14"/>
  <c r="I95" i="14"/>
  <c r="H95" i="14"/>
  <c r="G95" i="14"/>
  <c r="F95" i="14"/>
  <c r="E95" i="14"/>
  <c r="D95" i="14"/>
  <c r="C95" i="14"/>
  <c r="Z94" i="14"/>
  <c r="Y94" i="14"/>
  <c r="X94" i="14"/>
  <c r="W94" i="14"/>
  <c r="V94" i="14"/>
  <c r="U94" i="14"/>
  <c r="J94" i="14"/>
  <c r="I94" i="14"/>
  <c r="H94" i="14"/>
  <c r="G94" i="14"/>
  <c r="F94" i="14"/>
  <c r="E94" i="14"/>
  <c r="D94" i="14"/>
  <c r="C94" i="14"/>
  <c r="Z93" i="14"/>
  <c r="Y93" i="14"/>
  <c r="X93" i="14"/>
  <c r="W93" i="14"/>
  <c r="V93" i="14"/>
  <c r="U93" i="14"/>
  <c r="J93" i="14"/>
  <c r="I93" i="14"/>
  <c r="H93" i="14"/>
  <c r="G93" i="14"/>
  <c r="F93" i="14"/>
  <c r="E93" i="14"/>
  <c r="D93" i="14"/>
  <c r="C93" i="14"/>
  <c r="Z92" i="14"/>
  <c r="Y92" i="14"/>
  <c r="X92" i="14"/>
  <c r="W92" i="14"/>
  <c r="V92" i="14"/>
  <c r="U92" i="14"/>
  <c r="J92" i="14"/>
  <c r="I92" i="14"/>
  <c r="H92" i="14"/>
  <c r="G92" i="14"/>
  <c r="F92" i="14"/>
  <c r="E92" i="14"/>
  <c r="D92" i="14"/>
  <c r="C92" i="14"/>
  <c r="Z91" i="14"/>
  <c r="Y91" i="14"/>
  <c r="X91" i="14"/>
  <c r="W91" i="14"/>
  <c r="V91" i="14"/>
  <c r="U91" i="14"/>
  <c r="J91" i="14"/>
  <c r="I91" i="14"/>
  <c r="H91" i="14"/>
  <c r="G91" i="14"/>
  <c r="F91" i="14"/>
  <c r="E91" i="14"/>
  <c r="D91" i="14"/>
  <c r="C91" i="14"/>
  <c r="Z90" i="14"/>
  <c r="Y90" i="14"/>
  <c r="X90" i="14"/>
  <c r="W90" i="14"/>
  <c r="V90" i="14"/>
  <c r="U90" i="14"/>
  <c r="J90" i="14"/>
  <c r="I90" i="14"/>
  <c r="H90" i="14"/>
  <c r="G90" i="14"/>
  <c r="F90" i="14"/>
  <c r="E90" i="14"/>
  <c r="D90" i="14"/>
  <c r="C90" i="14"/>
  <c r="Z89" i="14"/>
  <c r="Y89" i="14"/>
  <c r="X89" i="14"/>
  <c r="W89" i="14"/>
  <c r="V89" i="14"/>
  <c r="U89" i="14"/>
  <c r="J89" i="14"/>
  <c r="I89" i="14"/>
  <c r="H89" i="14"/>
  <c r="G89" i="14"/>
  <c r="F89" i="14"/>
  <c r="E89" i="14"/>
  <c r="D89" i="14"/>
  <c r="C89" i="14"/>
  <c r="Z88" i="14"/>
  <c r="Y88" i="14"/>
  <c r="X88" i="14"/>
  <c r="W88" i="14"/>
  <c r="V88" i="14"/>
  <c r="U88" i="14"/>
  <c r="J88" i="14"/>
  <c r="I88" i="14"/>
  <c r="H88" i="14"/>
  <c r="G88" i="14"/>
  <c r="F88" i="14"/>
  <c r="E88" i="14"/>
  <c r="D88" i="14"/>
  <c r="C88" i="14"/>
  <c r="Z87" i="14"/>
  <c r="Y87" i="14"/>
  <c r="X87" i="14"/>
  <c r="W87" i="14"/>
  <c r="V87" i="14"/>
  <c r="U87" i="14"/>
  <c r="J87" i="14"/>
  <c r="I87" i="14"/>
  <c r="H87" i="14"/>
  <c r="G87" i="14"/>
  <c r="F87" i="14"/>
  <c r="E87" i="14"/>
  <c r="D87" i="14"/>
  <c r="C87" i="14"/>
  <c r="Z86" i="14"/>
  <c r="Y86" i="14"/>
  <c r="X86" i="14"/>
  <c r="W86" i="14"/>
  <c r="V86" i="14"/>
  <c r="U86" i="14"/>
  <c r="J86" i="14"/>
  <c r="I86" i="14"/>
  <c r="H86" i="14"/>
  <c r="G86" i="14"/>
  <c r="F86" i="14"/>
  <c r="E86" i="14"/>
  <c r="D86" i="14"/>
  <c r="C86" i="14"/>
  <c r="Z85" i="14"/>
  <c r="Y85" i="14"/>
  <c r="X85" i="14"/>
  <c r="W85" i="14"/>
  <c r="V85" i="14"/>
  <c r="U85" i="14"/>
  <c r="J85" i="14"/>
  <c r="I85" i="14"/>
  <c r="H85" i="14"/>
  <c r="G85" i="14"/>
  <c r="F85" i="14"/>
  <c r="E85" i="14"/>
  <c r="D85" i="14"/>
  <c r="C85" i="14"/>
  <c r="Z84" i="14"/>
  <c r="Y84" i="14"/>
  <c r="X84" i="14"/>
  <c r="W84" i="14"/>
  <c r="V84" i="14"/>
  <c r="U84" i="14"/>
  <c r="J84" i="14"/>
  <c r="I84" i="14"/>
  <c r="H84" i="14"/>
  <c r="G84" i="14"/>
  <c r="F84" i="14"/>
  <c r="E84" i="14"/>
  <c r="D84" i="14"/>
  <c r="C84" i="14"/>
  <c r="Z83" i="14"/>
  <c r="Y83" i="14"/>
  <c r="X83" i="14"/>
  <c r="W83" i="14"/>
  <c r="V83" i="14"/>
  <c r="U83" i="14"/>
  <c r="J83" i="14"/>
  <c r="I83" i="14"/>
  <c r="H83" i="14"/>
  <c r="G83" i="14"/>
  <c r="F83" i="14"/>
  <c r="E83" i="14"/>
  <c r="D83" i="14"/>
  <c r="C83" i="14"/>
  <c r="Z82" i="14"/>
  <c r="Y82" i="14"/>
  <c r="X82" i="14"/>
  <c r="W82" i="14"/>
  <c r="V82" i="14"/>
  <c r="U82" i="14"/>
  <c r="J82" i="14"/>
  <c r="I82" i="14"/>
  <c r="H82" i="14"/>
  <c r="G82" i="14"/>
  <c r="F82" i="14"/>
  <c r="E82" i="14"/>
  <c r="D82" i="14"/>
  <c r="C82" i="14"/>
  <c r="Z81" i="14"/>
  <c r="Y81" i="14"/>
  <c r="X81" i="14"/>
  <c r="W81" i="14"/>
  <c r="V81" i="14"/>
  <c r="U81" i="14"/>
  <c r="J81" i="14"/>
  <c r="I81" i="14"/>
  <c r="H81" i="14"/>
  <c r="G81" i="14"/>
  <c r="F81" i="14"/>
  <c r="E81" i="14"/>
  <c r="D81" i="14"/>
  <c r="C81" i="14"/>
  <c r="Z80" i="14"/>
  <c r="Y80" i="14"/>
  <c r="X80" i="14"/>
  <c r="W80" i="14"/>
  <c r="V80" i="14"/>
  <c r="U80" i="14"/>
  <c r="J80" i="14"/>
  <c r="I80" i="14"/>
  <c r="H80" i="14"/>
  <c r="G80" i="14"/>
  <c r="F80" i="14"/>
  <c r="E80" i="14"/>
  <c r="D80" i="14"/>
  <c r="C80" i="14"/>
  <c r="Z79" i="14"/>
  <c r="Y79" i="14"/>
  <c r="X79" i="14"/>
  <c r="W79" i="14"/>
  <c r="V79" i="14"/>
  <c r="U79" i="14"/>
  <c r="J79" i="14"/>
  <c r="I79" i="14"/>
  <c r="H79" i="14"/>
  <c r="G79" i="14"/>
  <c r="F79" i="14"/>
  <c r="E79" i="14"/>
  <c r="D79" i="14"/>
  <c r="C79" i="14"/>
  <c r="Z78" i="14"/>
  <c r="Y78" i="14"/>
  <c r="X78" i="14"/>
  <c r="W78" i="14"/>
  <c r="V78" i="14"/>
  <c r="U78" i="14"/>
  <c r="J78" i="14"/>
  <c r="I78" i="14"/>
  <c r="H78" i="14"/>
  <c r="G78" i="14"/>
  <c r="F78" i="14"/>
  <c r="E78" i="14"/>
  <c r="D78" i="14"/>
  <c r="C78" i="14"/>
  <c r="Z77" i="14"/>
  <c r="Y77" i="14"/>
  <c r="X77" i="14"/>
  <c r="W77" i="14"/>
  <c r="V77" i="14"/>
  <c r="U77" i="14"/>
  <c r="J77" i="14"/>
  <c r="I77" i="14"/>
  <c r="H77" i="14"/>
  <c r="G77" i="14"/>
  <c r="F77" i="14"/>
  <c r="E77" i="14"/>
  <c r="D77" i="14"/>
  <c r="C77" i="14"/>
  <c r="Z76" i="14"/>
  <c r="Y76" i="14"/>
  <c r="X76" i="14"/>
  <c r="W76" i="14"/>
  <c r="V76" i="14"/>
  <c r="U76" i="14"/>
  <c r="J76" i="14"/>
  <c r="I76" i="14"/>
  <c r="H76" i="14"/>
  <c r="G76" i="14"/>
  <c r="F76" i="14"/>
  <c r="E76" i="14"/>
  <c r="D76" i="14"/>
  <c r="C76" i="14"/>
  <c r="Z75" i="14"/>
  <c r="Y75" i="14"/>
  <c r="X75" i="14"/>
  <c r="W75" i="14"/>
  <c r="V75" i="14"/>
  <c r="U75" i="14"/>
  <c r="J75" i="14"/>
  <c r="I75" i="14"/>
  <c r="H75" i="14"/>
  <c r="G75" i="14"/>
  <c r="F75" i="14"/>
  <c r="E75" i="14"/>
  <c r="D75" i="14"/>
  <c r="C75" i="14"/>
  <c r="Z74" i="14"/>
  <c r="Y74" i="14"/>
  <c r="X74" i="14"/>
  <c r="W74" i="14"/>
  <c r="V74" i="14"/>
  <c r="U74" i="14"/>
  <c r="J74" i="14"/>
  <c r="I74" i="14"/>
  <c r="H74" i="14"/>
  <c r="G74" i="14"/>
  <c r="F74" i="14"/>
  <c r="E74" i="14"/>
  <c r="D74" i="14"/>
  <c r="C74" i="14"/>
  <c r="Z73" i="14"/>
  <c r="Y73" i="14"/>
  <c r="X73" i="14"/>
  <c r="W73" i="14"/>
  <c r="V73" i="14"/>
  <c r="U73" i="14"/>
  <c r="J73" i="14"/>
  <c r="I73" i="14"/>
  <c r="H73" i="14"/>
  <c r="G73" i="14"/>
  <c r="F73" i="14"/>
  <c r="E73" i="14"/>
  <c r="D73" i="14"/>
  <c r="C73" i="14"/>
  <c r="Z72" i="14"/>
  <c r="Y72" i="14"/>
  <c r="X72" i="14"/>
  <c r="W72" i="14"/>
  <c r="V72" i="14"/>
  <c r="U72" i="14"/>
  <c r="J72" i="14"/>
  <c r="I72" i="14"/>
  <c r="H72" i="14"/>
  <c r="G72" i="14"/>
  <c r="F72" i="14"/>
  <c r="E72" i="14"/>
  <c r="D72" i="14"/>
  <c r="C72" i="14"/>
  <c r="Z71" i="14"/>
  <c r="Y71" i="14"/>
  <c r="X71" i="14"/>
  <c r="W71" i="14"/>
  <c r="V71" i="14"/>
  <c r="U71" i="14"/>
  <c r="J71" i="14"/>
  <c r="I71" i="14"/>
  <c r="H71" i="14"/>
  <c r="G71" i="14"/>
  <c r="F71" i="14"/>
  <c r="E71" i="14"/>
  <c r="D71" i="14"/>
  <c r="C71" i="14"/>
  <c r="Z70" i="14"/>
  <c r="Y70" i="14"/>
  <c r="X70" i="14"/>
  <c r="W70" i="14"/>
  <c r="V70" i="14"/>
  <c r="U70" i="14"/>
  <c r="J70" i="14"/>
  <c r="I70" i="14"/>
  <c r="H70" i="14"/>
  <c r="G70" i="14"/>
  <c r="F70" i="14"/>
  <c r="E70" i="14"/>
  <c r="D70" i="14"/>
  <c r="C70" i="14"/>
  <c r="Z69" i="14"/>
  <c r="Y69" i="14"/>
  <c r="X69" i="14"/>
  <c r="W69" i="14"/>
  <c r="V69" i="14"/>
  <c r="U69" i="14"/>
  <c r="J69" i="14"/>
  <c r="I69" i="14"/>
  <c r="H69" i="14"/>
  <c r="G69" i="14"/>
  <c r="F69" i="14"/>
  <c r="E69" i="14"/>
  <c r="D69" i="14"/>
  <c r="C69" i="14"/>
  <c r="Z68" i="14"/>
  <c r="Y68" i="14"/>
  <c r="X68" i="14"/>
  <c r="W68" i="14"/>
  <c r="V68" i="14"/>
  <c r="U68" i="14"/>
  <c r="J68" i="14"/>
  <c r="I68" i="14"/>
  <c r="H68" i="14"/>
  <c r="G68" i="14"/>
  <c r="F68" i="14"/>
  <c r="E68" i="14"/>
  <c r="D68" i="14"/>
  <c r="C68" i="14"/>
  <c r="Z67" i="14"/>
  <c r="Y67" i="14"/>
  <c r="X67" i="14"/>
  <c r="W67" i="14"/>
  <c r="V67" i="14"/>
  <c r="U67" i="14"/>
  <c r="J67" i="14"/>
  <c r="I67" i="14"/>
  <c r="H67" i="14"/>
  <c r="G67" i="14"/>
  <c r="F67" i="14"/>
  <c r="E67" i="14"/>
  <c r="D67" i="14"/>
  <c r="C67" i="14"/>
  <c r="Z66" i="14"/>
  <c r="Y66" i="14"/>
  <c r="X66" i="14"/>
  <c r="W66" i="14"/>
  <c r="V66" i="14"/>
  <c r="U66" i="14"/>
  <c r="J66" i="14"/>
  <c r="I66" i="14"/>
  <c r="H66" i="14"/>
  <c r="G66" i="14"/>
  <c r="F66" i="14"/>
  <c r="E66" i="14"/>
  <c r="D66" i="14"/>
  <c r="C66" i="14"/>
  <c r="Z65" i="14"/>
  <c r="Y65" i="14"/>
  <c r="X65" i="14"/>
  <c r="W65" i="14"/>
  <c r="V65" i="14"/>
  <c r="U65" i="14"/>
  <c r="J65" i="14"/>
  <c r="I65" i="14"/>
  <c r="H65" i="14"/>
  <c r="G65" i="14"/>
  <c r="F65" i="14"/>
  <c r="E65" i="14"/>
  <c r="D65" i="14"/>
  <c r="C65" i="14"/>
  <c r="Z64" i="14"/>
  <c r="Y64" i="14"/>
  <c r="X64" i="14"/>
  <c r="W64" i="14"/>
  <c r="V64" i="14"/>
  <c r="U64" i="14"/>
  <c r="J64" i="14"/>
  <c r="I64" i="14"/>
  <c r="H64" i="14"/>
  <c r="G64" i="14"/>
  <c r="F64" i="14"/>
  <c r="E64" i="14"/>
  <c r="D64" i="14"/>
  <c r="C64" i="14"/>
  <c r="Z63" i="14"/>
  <c r="Y63" i="14"/>
  <c r="X63" i="14"/>
  <c r="W63" i="14"/>
  <c r="V63" i="14"/>
  <c r="U63" i="14"/>
  <c r="J63" i="14"/>
  <c r="I63" i="14"/>
  <c r="H63" i="14"/>
  <c r="G63" i="14"/>
  <c r="F63" i="14"/>
  <c r="E63" i="14"/>
  <c r="D63" i="14"/>
  <c r="C63" i="14"/>
  <c r="Z62" i="14"/>
  <c r="Y62" i="14"/>
  <c r="X62" i="14"/>
  <c r="W62" i="14"/>
  <c r="V62" i="14"/>
  <c r="U62" i="14"/>
  <c r="J62" i="14"/>
  <c r="I62" i="14"/>
  <c r="H62" i="14"/>
  <c r="G62" i="14"/>
  <c r="F62" i="14"/>
  <c r="E62" i="14"/>
  <c r="D62" i="14"/>
  <c r="C62" i="14"/>
  <c r="Z61" i="14"/>
  <c r="Y61" i="14"/>
  <c r="X61" i="14"/>
  <c r="W61" i="14"/>
  <c r="V61" i="14"/>
  <c r="U61" i="14"/>
  <c r="J61" i="14"/>
  <c r="I61" i="14"/>
  <c r="H61" i="14"/>
  <c r="G61" i="14"/>
  <c r="F61" i="14"/>
  <c r="E61" i="14"/>
  <c r="D61" i="14"/>
  <c r="C61" i="14"/>
  <c r="Z60" i="14"/>
  <c r="Y60" i="14"/>
  <c r="X60" i="14"/>
  <c r="W60" i="14"/>
  <c r="V60" i="14"/>
  <c r="U60" i="14"/>
  <c r="J60" i="14"/>
  <c r="I60" i="14"/>
  <c r="H60" i="14"/>
  <c r="G60" i="14"/>
  <c r="F60" i="14"/>
  <c r="E60" i="14"/>
  <c r="D60" i="14"/>
  <c r="C60" i="14"/>
  <c r="Z59" i="14"/>
  <c r="Y59" i="14"/>
  <c r="X59" i="14"/>
  <c r="W59" i="14"/>
  <c r="V59" i="14"/>
  <c r="U59" i="14"/>
  <c r="J59" i="14"/>
  <c r="I59" i="14"/>
  <c r="H59" i="14"/>
  <c r="G59" i="14"/>
  <c r="F59" i="14"/>
  <c r="E59" i="14"/>
  <c r="D59" i="14"/>
  <c r="C59" i="14"/>
  <c r="Z58" i="14"/>
  <c r="Y58" i="14"/>
  <c r="X58" i="14"/>
  <c r="W58" i="14"/>
  <c r="V58" i="14"/>
  <c r="U58" i="14"/>
  <c r="J58" i="14"/>
  <c r="I58" i="14"/>
  <c r="H58" i="14"/>
  <c r="G58" i="14"/>
  <c r="F58" i="14"/>
  <c r="E58" i="14"/>
  <c r="D58" i="14"/>
  <c r="C58" i="14"/>
  <c r="Z57" i="14"/>
  <c r="Y57" i="14"/>
  <c r="X57" i="14"/>
  <c r="W57" i="14"/>
  <c r="V57" i="14"/>
  <c r="U57" i="14"/>
  <c r="J57" i="14"/>
  <c r="I57" i="14"/>
  <c r="H57" i="14"/>
  <c r="G57" i="14"/>
  <c r="F57" i="14"/>
  <c r="E57" i="14"/>
  <c r="D57" i="14"/>
  <c r="C57" i="14"/>
  <c r="Z56" i="14"/>
  <c r="Y56" i="14"/>
  <c r="X56" i="14"/>
  <c r="W56" i="14"/>
  <c r="V56" i="14"/>
  <c r="U56" i="14"/>
  <c r="J56" i="14"/>
  <c r="I56" i="14"/>
  <c r="H56" i="14"/>
  <c r="G56" i="14"/>
  <c r="F56" i="14"/>
  <c r="E56" i="14"/>
  <c r="D56" i="14"/>
  <c r="C56" i="14"/>
  <c r="Z55" i="14"/>
  <c r="Y55" i="14"/>
  <c r="X55" i="14"/>
  <c r="W55" i="14"/>
  <c r="V55" i="14"/>
  <c r="U55" i="14"/>
  <c r="J55" i="14"/>
  <c r="I55" i="14"/>
  <c r="H55" i="14"/>
  <c r="G55" i="14"/>
  <c r="F55" i="14"/>
  <c r="E55" i="14"/>
  <c r="D55" i="14"/>
  <c r="C55" i="14"/>
  <c r="Z54" i="14"/>
  <c r="Y54" i="14"/>
  <c r="X54" i="14"/>
  <c r="W54" i="14"/>
  <c r="V54" i="14"/>
  <c r="U54" i="14"/>
  <c r="J54" i="14"/>
  <c r="I54" i="14"/>
  <c r="H54" i="14"/>
  <c r="G54" i="14"/>
  <c r="F54" i="14"/>
  <c r="E54" i="14"/>
  <c r="D54" i="14"/>
  <c r="C54" i="14"/>
  <c r="Z53" i="14"/>
  <c r="Y53" i="14"/>
  <c r="X53" i="14"/>
  <c r="W53" i="14"/>
  <c r="V53" i="14"/>
  <c r="U53" i="14"/>
  <c r="J53" i="14"/>
  <c r="I53" i="14"/>
  <c r="H53" i="14"/>
  <c r="G53" i="14"/>
  <c r="F53" i="14"/>
  <c r="E53" i="14"/>
  <c r="D53" i="14"/>
  <c r="C53" i="14"/>
  <c r="Z52" i="14"/>
  <c r="Y52" i="14"/>
  <c r="X52" i="14"/>
  <c r="W52" i="14"/>
  <c r="V52" i="14"/>
  <c r="U52" i="14"/>
  <c r="J52" i="14"/>
  <c r="I52" i="14"/>
  <c r="H52" i="14"/>
  <c r="G52" i="14"/>
  <c r="F52" i="14"/>
  <c r="E52" i="14"/>
  <c r="D52" i="14"/>
  <c r="C52" i="14"/>
  <c r="Z51" i="14"/>
  <c r="Y51" i="14"/>
  <c r="X51" i="14"/>
  <c r="W51" i="14"/>
  <c r="V51" i="14"/>
  <c r="U51" i="14"/>
  <c r="J51" i="14"/>
  <c r="I51" i="14"/>
  <c r="H51" i="14"/>
  <c r="G51" i="14"/>
  <c r="F51" i="14"/>
  <c r="E51" i="14"/>
  <c r="D51" i="14"/>
  <c r="C51" i="14"/>
  <c r="Z50" i="14"/>
  <c r="Y50" i="14"/>
  <c r="X50" i="14"/>
  <c r="W50" i="14"/>
  <c r="V50" i="14"/>
  <c r="U50" i="14"/>
  <c r="J50" i="14"/>
  <c r="I50" i="14"/>
  <c r="H50" i="14"/>
  <c r="G50" i="14"/>
  <c r="F50" i="14"/>
  <c r="E50" i="14"/>
  <c r="D50" i="14"/>
  <c r="C50" i="14"/>
  <c r="Z49" i="14"/>
  <c r="Y49" i="14"/>
  <c r="X49" i="14"/>
  <c r="W49" i="14"/>
  <c r="V49" i="14"/>
  <c r="U49" i="14"/>
  <c r="J49" i="14"/>
  <c r="I49" i="14"/>
  <c r="H49" i="14"/>
  <c r="G49" i="14"/>
  <c r="F49" i="14"/>
  <c r="E49" i="14"/>
  <c r="D49" i="14"/>
  <c r="C49" i="14"/>
  <c r="Z48" i="14"/>
  <c r="Y48" i="14"/>
  <c r="X48" i="14"/>
  <c r="W48" i="14"/>
  <c r="V48" i="14"/>
  <c r="U48" i="14"/>
  <c r="J48" i="14"/>
  <c r="I48" i="14"/>
  <c r="H48" i="14"/>
  <c r="G48" i="14"/>
  <c r="F48" i="14"/>
  <c r="E48" i="14"/>
  <c r="D48" i="14"/>
  <c r="C48" i="14"/>
  <c r="Z47" i="14"/>
  <c r="Y47" i="14"/>
  <c r="X47" i="14"/>
  <c r="W47" i="14"/>
  <c r="V47" i="14"/>
  <c r="U47" i="14"/>
  <c r="J47" i="14"/>
  <c r="I47" i="14"/>
  <c r="H47" i="14"/>
  <c r="G47" i="14"/>
  <c r="F47" i="14"/>
  <c r="E47" i="14"/>
  <c r="D47" i="14"/>
  <c r="C47" i="14"/>
  <c r="Z46" i="14"/>
  <c r="Y46" i="14"/>
  <c r="X46" i="14"/>
  <c r="W46" i="14"/>
  <c r="V46" i="14"/>
  <c r="U46" i="14"/>
  <c r="J46" i="14"/>
  <c r="I46" i="14"/>
  <c r="H46" i="14"/>
  <c r="G46" i="14"/>
  <c r="F46" i="14"/>
  <c r="E46" i="14"/>
  <c r="D46" i="14"/>
  <c r="C46" i="14"/>
  <c r="Z45" i="14"/>
  <c r="Y45" i="14"/>
  <c r="X45" i="14"/>
  <c r="W45" i="14"/>
  <c r="V45" i="14"/>
  <c r="U45" i="14"/>
  <c r="J45" i="14"/>
  <c r="I45" i="14"/>
  <c r="H45" i="14"/>
  <c r="G45" i="14"/>
  <c r="F45" i="14"/>
  <c r="E45" i="14"/>
  <c r="D45" i="14"/>
  <c r="C45" i="14"/>
  <c r="Z44" i="14"/>
  <c r="Y44" i="14"/>
  <c r="X44" i="14"/>
  <c r="W44" i="14"/>
  <c r="V44" i="14"/>
  <c r="U44" i="14"/>
  <c r="J44" i="14"/>
  <c r="I44" i="14"/>
  <c r="H44" i="14"/>
  <c r="G44" i="14"/>
  <c r="F44" i="14"/>
  <c r="E44" i="14"/>
  <c r="D44" i="14"/>
  <c r="C44" i="14"/>
  <c r="Z43" i="14"/>
  <c r="Y43" i="14"/>
  <c r="X43" i="14"/>
  <c r="W43" i="14"/>
  <c r="V43" i="14"/>
  <c r="U43" i="14"/>
  <c r="J43" i="14"/>
  <c r="I43" i="14"/>
  <c r="H43" i="14"/>
  <c r="G43" i="14"/>
  <c r="F43" i="14"/>
  <c r="E43" i="14"/>
  <c r="D43" i="14"/>
  <c r="C43" i="14"/>
  <c r="Z42" i="14"/>
  <c r="Y42" i="14"/>
  <c r="X42" i="14"/>
  <c r="W42" i="14"/>
  <c r="V42" i="14"/>
  <c r="U42" i="14"/>
  <c r="J42" i="14"/>
  <c r="I42" i="14"/>
  <c r="H42" i="14"/>
  <c r="G42" i="14"/>
  <c r="F42" i="14"/>
  <c r="E42" i="14"/>
  <c r="D42" i="14"/>
  <c r="C42" i="14"/>
  <c r="Z41" i="14"/>
  <c r="Y41" i="14"/>
  <c r="X41" i="14"/>
  <c r="W41" i="14"/>
  <c r="V41" i="14"/>
  <c r="U41" i="14"/>
  <c r="J41" i="14"/>
  <c r="I41" i="14"/>
  <c r="H41" i="14"/>
  <c r="G41" i="14"/>
  <c r="F41" i="14"/>
  <c r="E41" i="14"/>
  <c r="D41" i="14"/>
  <c r="C41" i="14"/>
  <c r="Z40" i="14"/>
  <c r="Y40" i="14"/>
  <c r="X40" i="14"/>
  <c r="W40" i="14"/>
  <c r="V40" i="14"/>
  <c r="U40" i="14"/>
  <c r="J40" i="14"/>
  <c r="I40" i="14"/>
  <c r="H40" i="14"/>
  <c r="G40" i="14"/>
  <c r="F40" i="14"/>
  <c r="E40" i="14"/>
  <c r="D40" i="14"/>
  <c r="C40" i="14"/>
  <c r="Z39" i="14"/>
  <c r="Y39" i="14"/>
  <c r="X39" i="14"/>
  <c r="W39" i="14"/>
  <c r="V39" i="14"/>
  <c r="U39" i="14"/>
  <c r="J39" i="14"/>
  <c r="I39" i="14"/>
  <c r="H39" i="14"/>
  <c r="G39" i="14"/>
  <c r="F39" i="14"/>
  <c r="E39" i="14"/>
  <c r="D39" i="14"/>
  <c r="C39" i="14"/>
  <c r="Z38" i="14"/>
  <c r="Y38" i="14"/>
  <c r="X38" i="14"/>
  <c r="W38" i="14"/>
  <c r="V38" i="14"/>
  <c r="U38" i="14"/>
  <c r="J38" i="14"/>
  <c r="I38" i="14"/>
  <c r="H38" i="14"/>
  <c r="G38" i="14"/>
  <c r="F38" i="14"/>
  <c r="E38" i="14"/>
  <c r="D38" i="14"/>
  <c r="C38" i="14"/>
  <c r="Z37" i="14"/>
  <c r="Y37" i="14"/>
  <c r="X37" i="14"/>
  <c r="W37" i="14"/>
  <c r="V37" i="14"/>
  <c r="U37" i="14"/>
  <c r="J37" i="14"/>
  <c r="I37" i="14"/>
  <c r="H37" i="14"/>
  <c r="G37" i="14"/>
  <c r="F37" i="14"/>
  <c r="E37" i="14"/>
  <c r="D37" i="14"/>
  <c r="C37" i="14"/>
  <c r="Z36" i="14"/>
  <c r="Y36" i="14"/>
  <c r="X36" i="14"/>
  <c r="W36" i="14"/>
  <c r="V36" i="14"/>
  <c r="U36" i="14"/>
  <c r="J36" i="14"/>
  <c r="I36" i="14"/>
  <c r="H36" i="14"/>
  <c r="G36" i="14"/>
  <c r="F36" i="14"/>
  <c r="E36" i="14"/>
  <c r="D36" i="14"/>
  <c r="C36" i="14"/>
  <c r="Z35" i="14"/>
  <c r="Y35" i="14"/>
  <c r="X35" i="14"/>
  <c r="W35" i="14"/>
  <c r="V35" i="14"/>
  <c r="U35" i="14"/>
  <c r="J35" i="14"/>
  <c r="I35" i="14"/>
  <c r="H35" i="14"/>
  <c r="G35" i="14"/>
  <c r="F35" i="14"/>
  <c r="E35" i="14"/>
  <c r="D35" i="14"/>
  <c r="C35" i="14"/>
  <c r="Z34" i="14"/>
  <c r="Y34" i="14"/>
  <c r="X34" i="14"/>
  <c r="W34" i="14"/>
  <c r="V34" i="14"/>
  <c r="U34" i="14"/>
  <c r="J34" i="14"/>
  <c r="I34" i="14"/>
  <c r="H34" i="14"/>
  <c r="G34" i="14"/>
  <c r="F34" i="14"/>
  <c r="E34" i="14"/>
  <c r="D34" i="14"/>
  <c r="C34" i="14"/>
  <c r="Z33" i="14"/>
  <c r="Y33" i="14"/>
  <c r="X33" i="14"/>
  <c r="W33" i="14"/>
  <c r="V33" i="14"/>
  <c r="U33" i="14"/>
  <c r="J33" i="14"/>
  <c r="I33" i="14"/>
  <c r="H33" i="14"/>
  <c r="G33" i="14"/>
  <c r="F33" i="14"/>
  <c r="E33" i="14"/>
  <c r="D33" i="14"/>
  <c r="C33" i="14"/>
  <c r="Z32" i="14"/>
  <c r="Y32" i="14"/>
  <c r="X32" i="14"/>
  <c r="W32" i="14"/>
  <c r="V32" i="14"/>
  <c r="U32" i="14"/>
  <c r="J32" i="14"/>
  <c r="I32" i="14"/>
  <c r="H32" i="14"/>
  <c r="G32" i="14"/>
  <c r="F32" i="14"/>
  <c r="E32" i="14"/>
  <c r="D32" i="14"/>
  <c r="C32" i="14"/>
  <c r="Z31" i="14"/>
  <c r="Y31" i="14"/>
  <c r="X31" i="14"/>
  <c r="W31" i="14"/>
  <c r="V31" i="14"/>
  <c r="U31" i="14"/>
  <c r="J31" i="14"/>
  <c r="I31" i="14"/>
  <c r="H31" i="14"/>
  <c r="G31" i="14"/>
  <c r="F31" i="14"/>
  <c r="E31" i="14"/>
  <c r="D31" i="14"/>
  <c r="C31" i="14"/>
  <c r="Z30" i="14"/>
  <c r="Y30" i="14"/>
  <c r="X30" i="14"/>
  <c r="W30" i="14"/>
  <c r="V30" i="14"/>
  <c r="U30" i="14"/>
  <c r="J30" i="14"/>
  <c r="I30" i="14"/>
  <c r="H30" i="14"/>
  <c r="G30" i="14"/>
  <c r="F30" i="14"/>
  <c r="E30" i="14"/>
  <c r="D30" i="14"/>
  <c r="C30" i="14"/>
  <c r="Z29" i="14"/>
  <c r="Y29" i="14"/>
  <c r="X29" i="14"/>
  <c r="W29" i="14"/>
  <c r="V29" i="14"/>
  <c r="U29" i="14"/>
  <c r="J29" i="14"/>
  <c r="I29" i="14"/>
  <c r="H29" i="14"/>
  <c r="G29" i="14"/>
  <c r="F29" i="14"/>
  <c r="E29" i="14"/>
  <c r="D29" i="14"/>
  <c r="C29" i="14"/>
  <c r="Z28" i="14"/>
  <c r="Y28" i="14"/>
  <c r="X28" i="14"/>
  <c r="W28" i="14"/>
  <c r="V28" i="14"/>
  <c r="U28" i="14"/>
  <c r="J28" i="14"/>
  <c r="I28" i="14"/>
  <c r="H28" i="14"/>
  <c r="G28" i="14"/>
  <c r="F28" i="14"/>
  <c r="E28" i="14"/>
  <c r="D28" i="14"/>
  <c r="C28" i="14"/>
  <c r="Z27" i="14"/>
  <c r="Y27" i="14"/>
  <c r="X27" i="14"/>
  <c r="W27" i="14"/>
  <c r="V27" i="14"/>
  <c r="U27" i="14"/>
  <c r="J27" i="14"/>
  <c r="I27" i="14"/>
  <c r="H27" i="14"/>
  <c r="G27" i="14"/>
  <c r="F27" i="14"/>
  <c r="E27" i="14"/>
  <c r="D27" i="14"/>
  <c r="C27" i="14"/>
  <c r="Z26" i="14"/>
  <c r="Y26" i="14"/>
  <c r="X26" i="14"/>
  <c r="W26" i="14"/>
  <c r="V26" i="14"/>
  <c r="U26" i="14"/>
  <c r="J26" i="14"/>
  <c r="I26" i="14"/>
  <c r="H26" i="14"/>
  <c r="G26" i="14"/>
  <c r="F26" i="14"/>
  <c r="E26" i="14"/>
  <c r="D26" i="14"/>
  <c r="C26" i="14"/>
  <c r="Z25" i="14"/>
  <c r="Y25" i="14"/>
  <c r="X25" i="14"/>
  <c r="W25" i="14"/>
  <c r="V25" i="14"/>
  <c r="U25" i="14"/>
  <c r="J25" i="14"/>
  <c r="I25" i="14"/>
  <c r="H25" i="14"/>
  <c r="G25" i="14"/>
  <c r="F25" i="14"/>
  <c r="E25" i="14"/>
  <c r="D25" i="14"/>
  <c r="C25" i="14"/>
  <c r="Z24" i="14"/>
  <c r="Y24" i="14"/>
  <c r="X24" i="14"/>
  <c r="W24" i="14"/>
  <c r="V24" i="14"/>
  <c r="U24" i="14"/>
  <c r="J24" i="14"/>
  <c r="I24" i="14"/>
  <c r="H24" i="14"/>
  <c r="G24" i="14"/>
  <c r="F24" i="14"/>
  <c r="E24" i="14"/>
  <c r="D24" i="14"/>
  <c r="C24" i="14"/>
  <c r="Z23" i="14"/>
  <c r="Y23" i="14"/>
  <c r="X23" i="14"/>
  <c r="W23" i="14"/>
  <c r="V23" i="14"/>
  <c r="U23" i="14"/>
  <c r="J23" i="14"/>
  <c r="I23" i="14"/>
  <c r="H23" i="14"/>
  <c r="G23" i="14"/>
  <c r="F23" i="14"/>
  <c r="E23" i="14"/>
  <c r="D23" i="14"/>
  <c r="C23" i="14"/>
  <c r="Z22" i="14"/>
  <c r="Y22" i="14"/>
  <c r="X22" i="14"/>
  <c r="W22" i="14"/>
  <c r="V22" i="14"/>
  <c r="U22" i="14"/>
  <c r="J22" i="14"/>
  <c r="I22" i="14"/>
  <c r="H22" i="14"/>
  <c r="G22" i="14"/>
  <c r="F22" i="14"/>
  <c r="E22" i="14"/>
  <c r="D22" i="14"/>
  <c r="C22" i="14"/>
  <c r="Z21" i="14"/>
  <c r="Y21" i="14"/>
  <c r="X21" i="14"/>
  <c r="W21" i="14"/>
  <c r="V21" i="14"/>
  <c r="U21" i="14"/>
  <c r="J21" i="14"/>
  <c r="I21" i="14"/>
  <c r="H21" i="14"/>
  <c r="G21" i="14"/>
  <c r="F21" i="14"/>
  <c r="E21" i="14"/>
  <c r="D21" i="14"/>
  <c r="C21" i="14"/>
  <c r="Z20" i="14"/>
  <c r="Y20" i="14"/>
  <c r="X20" i="14"/>
  <c r="W20" i="14"/>
  <c r="V20" i="14"/>
  <c r="U20" i="14"/>
  <c r="J20" i="14"/>
  <c r="I20" i="14"/>
  <c r="H20" i="14"/>
  <c r="G20" i="14"/>
  <c r="F20" i="14"/>
  <c r="E20" i="14"/>
  <c r="D20" i="14"/>
  <c r="C20" i="14"/>
  <c r="Z19" i="14"/>
  <c r="Y19" i="14"/>
  <c r="X19" i="14"/>
  <c r="W19" i="14"/>
  <c r="V19" i="14"/>
  <c r="U19" i="14"/>
  <c r="J19" i="14"/>
  <c r="I19" i="14"/>
  <c r="H19" i="14"/>
  <c r="G19" i="14"/>
  <c r="F19" i="14"/>
  <c r="E19" i="14"/>
  <c r="D19" i="14"/>
  <c r="C19" i="14"/>
  <c r="Z18" i="14"/>
  <c r="Y18" i="14"/>
  <c r="X18" i="14"/>
  <c r="W18" i="14"/>
  <c r="V18" i="14"/>
  <c r="U18" i="14"/>
  <c r="J18" i="14"/>
  <c r="I18" i="14"/>
  <c r="H18" i="14"/>
  <c r="G18" i="14"/>
  <c r="F18" i="14"/>
  <c r="E18" i="14"/>
  <c r="D18" i="14"/>
  <c r="C18" i="14"/>
  <c r="Z17" i="14"/>
  <c r="Y17" i="14"/>
  <c r="X17" i="14"/>
  <c r="W17" i="14"/>
  <c r="V17" i="14"/>
  <c r="U17" i="14"/>
  <c r="J17" i="14"/>
  <c r="I17" i="14"/>
  <c r="H17" i="14"/>
  <c r="G17" i="14"/>
  <c r="F17" i="14"/>
  <c r="E17" i="14"/>
  <c r="D17" i="14"/>
  <c r="C17" i="14"/>
  <c r="Z16" i="14"/>
  <c r="Y16" i="14"/>
  <c r="X16" i="14"/>
  <c r="W16" i="14"/>
  <c r="V16" i="14"/>
  <c r="U16" i="14"/>
  <c r="J16" i="14"/>
  <c r="I16" i="14"/>
  <c r="H16" i="14"/>
  <c r="G16" i="14"/>
  <c r="F16" i="14"/>
  <c r="E16" i="14"/>
  <c r="D16" i="14"/>
  <c r="C16" i="14"/>
  <c r="Z15" i="14"/>
  <c r="Y15" i="14"/>
  <c r="X15" i="14"/>
  <c r="W15" i="14"/>
  <c r="V15" i="14"/>
  <c r="U15" i="14"/>
  <c r="J15" i="14"/>
  <c r="I15" i="14"/>
  <c r="H15" i="14"/>
  <c r="G15" i="14"/>
  <c r="F15" i="14"/>
  <c r="E15" i="14"/>
  <c r="D15" i="14"/>
  <c r="C15" i="14"/>
  <c r="Z14" i="14"/>
  <c r="Y14" i="14"/>
  <c r="X14" i="14"/>
  <c r="W14" i="14"/>
  <c r="V14" i="14"/>
  <c r="U14" i="14"/>
  <c r="J14" i="14"/>
  <c r="I14" i="14"/>
  <c r="H14" i="14"/>
  <c r="G14" i="14"/>
  <c r="F14" i="14"/>
  <c r="E14" i="14"/>
  <c r="D14" i="14"/>
  <c r="C14" i="14"/>
  <c r="Z13" i="14"/>
  <c r="Y13" i="14"/>
  <c r="X13" i="14"/>
  <c r="W13" i="14"/>
  <c r="V13" i="14"/>
  <c r="U13" i="14"/>
  <c r="J13" i="14"/>
  <c r="I13" i="14"/>
  <c r="H13" i="14"/>
  <c r="G13" i="14"/>
  <c r="F13" i="14"/>
  <c r="E13" i="14"/>
  <c r="D13" i="14"/>
  <c r="C13" i="14"/>
  <c r="Z12" i="14"/>
  <c r="Y12" i="14"/>
  <c r="X12" i="14"/>
  <c r="W12" i="14"/>
  <c r="V12" i="14"/>
  <c r="U12" i="14"/>
  <c r="J12" i="14"/>
  <c r="I12" i="14"/>
  <c r="H12" i="14"/>
  <c r="G12" i="14"/>
  <c r="F12" i="14"/>
  <c r="E12" i="14"/>
  <c r="D12" i="14"/>
  <c r="C12" i="14"/>
  <c r="Z11" i="14"/>
  <c r="Y11" i="14"/>
  <c r="X11" i="14"/>
  <c r="W11" i="14"/>
  <c r="V11" i="14"/>
  <c r="U11" i="14"/>
  <c r="J11" i="14"/>
  <c r="I11" i="14"/>
  <c r="H11" i="14"/>
  <c r="G11" i="14"/>
  <c r="F11" i="14"/>
  <c r="E11" i="14"/>
  <c r="D11" i="14"/>
  <c r="C11" i="14"/>
  <c r="Z10" i="14"/>
  <c r="Y10" i="14"/>
  <c r="X10" i="14"/>
  <c r="W10" i="14"/>
  <c r="V10" i="14"/>
  <c r="U10" i="14"/>
  <c r="J10" i="14"/>
  <c r="I10" i="14"/>
  <c r="H10" i="14"/>
  <c r="G10" i="14"/>
  <c r="F10" i="14"/>
  <c r="E10" i="14"/>
  <c r="D10" i="14"/>
  <c r="C10" i="14"/>
  <c r="Z9" i="14"/>
  <c r="Y9" i="14"/>
  <c r="X9" i="14"/>
  <c r="W9" i="14"/>
  <c r="V9" i="14"/>
  <c r="U9" i="14"/>
  <c r="J9" i="14"/>
  <c r="I9" i="14"/>
  <c r="H9" i="14"/>
  <c r="G9" i="14"/>
  <c r="F9" i="14"/>
  <c r="E9" i="14"/>
  <c r="D9" i="14"/>
  <c r="C9" i="14"/>
  <c r="Z8" i="14"/>
  <c r="Y8" i="14"/>
  <c r="X8" i="14"/>
  <c r="W8" i="14"/>
  <c r="V8" i="14"/>
  <c r="U8" i="14"/>
  <c r="J8" i="14"/>
  <c r="I8" i="14"/>
  <c r="H8" i="14"/>
  <c r="G8" i="14"/>
  <c r="F8" i="14"/>
  <c r="E8" i="14"/>
  <c r="D8" i="14"/>
  <c r="C8" i="14"/>
  <c r="AD8" i="14" l="1"/>
  <c r="AB127" i="14" l="1"/>
  <c r="A127" i="14"/>
  <c r="AB126" i="14"/>
  <c r="A126" i="14"/>
  <c r="AB125" i="14"/>
  <c r="A125" i="14"/>
  <c r="AB124" i="14"/>
  <c r="A124" i="14"/>
  <c r="AB123" i="14"/>
  <c r="A123" i="14"/>
  <c r="AB122" i="14"/>
  <c r="A122" i="14"/>
  <c r="AB121" i="14"/>
  <c r="A121" i="14"/>
  <c r="AB120" i="14"/>
  <c r="A120" i="14"/>
  <c r="AB119" i="14"/>
  <c r="A119" i="14"/>
  <c r="AB118" i="14"/>
  <c r="A118" i="14"/>
  <c r="AB117" i="14"/>
  <c r="A117" i="14"/>
  <c r="AB116" i="14"/>
  <c r="A116" i="14"/>
  <c r="AB115" i="14"/>
  <c r="A115" i="14"/>
  <c r="AB114" i="14"/>
  <c r="A114" i="14"/>
  <c r="AB113" i="14"/>
  <c r="A113" i="14"/>
  <c r="AB112" i="14"/>
  <c r="A112" i="14"/>
  <c r="AB111" i="14"/>
  <c r="A111" i="14"/>
  <c r="AB110" i="14"/>
  <c r="A110" i="14"/>
  <c r="AB109" i="14"/>
  <c r="A109" i="14"/>
  <c r="AB108" i="14"/>
  <c r="A108" i="14"/>
  <c r="AB107" i="14"/>
  <c r="A107" i="14"/>
  <c r="AB106" i="14"/>
  <c r="A106" i="14"/>
  <c r="AB105" i="14"/>
  <c r="A105" i="14"/>
  <c r="AB104" i="14"/>
  <c r="A104" i="14"/>
  <c r="AB103" i="14"/>
  <c r="A103" i="14"/>
  <c r="AB102" i="14"/>
  <c r="A102" i="14"/>
  <c r="AB101" i="14"/>
  <c r="A101" i="14"/>
  <c r="AB100" i="14"/>
  <c r="A100" i="14"/>
  <c r="AB99" i="14"/>
  <c r="A99" i="14"/>
  <c r="AB98" i="14"/>
  <c r="A98" i="14"/>
  <c r="AB97" i="14"/>
  <c r="A97" i="14"/>
  <c r="AB96" i="14"/>
  <c r="A96" i="14"/>
  <c r="AB95" i="14"/>
  <c r="A95" i="14"/>
  <c r="AB94" i="14"/>
  <c r="A94" i="14"/>
  <c r="AB93" i="14"/>
  <c r="A93" i="14"/>
  <c r="AB92" i="14"/>
  <c r="A92" i="14"/>
  <c r="AB91" i="14"/>
  <c r="A91" i="14"/>
  <c r="AB90" i="14"/>
  <c r="A90" i="14"/>
  <c r="AB89" i="14"/>
  <c r="A89" i="14"/>
  <c r="AB88" i="14"/>
  <c r="A88" i="14"/>
  <c r="AB87" i="14"/>
  <c r="A87" i="14"/>
  <c r="AB86" i="14"/>
  <c r="A86" i="14"/>
  <c r="AB85" i="14"/>
  <c r="A85" i="14"/>
  <c r="AB84" i="14"/>
  <c r="A84" i="14"/>
  <c r="AB83" i="14"/>
  <c r="A83" i="14"/>
  <c r="AB82" i="14"/>
  <c r="A82" i="14"/>
  <c r="AB81" i="14"/>
  <c r="A81" i="14"/>
  <c r="AB80" i="14"/>
  <c r="A80" i="14"/>
  <c r="AB79" i="14"/>
  <c r="A79" i="14"/>
  <c r="AB78" i="14"/>
  <c r="A78" i="14"/>
  <c r="AB77" i="14"/>
  <c r="A77" i="14"/>
  <c r="AB76" i="14"/>
  <c r="A76" i="14"/>
  <c r="AB75" i="14"/>
  <c r="A75" i="14"/>
  <c r="AB74" i="14"/>
  <c r="A74" i="14"/>
  <c r="AB73" i="14"/>
  <c r="A73" i="14"/>
  <c r="AB72" i="14"/>
  <c r="A72" i="14"/>
  <c r="AB71" i="14"/>
  <c r="A71" i="14"/>
  <c r="AB70" i="14"/>
  <c r="A70" i="14"/>
  <c r="AB69" i="14"/>
  <c r="A69" i="14"/>
  <c r="AB68" i="14"/>
  <c r="A68" i="14"/>
  <c r="AB67" i="14"/>
  <c r="A67" i="14"/>
  <c r="AB66" i="14"/>
  <c r="A66" i="14"/>
  <c r="AB65" i="14"/>
  <c r="A65" i="14"/>
  <c r="AB64" i="14"/>
  <c r="A64" i="14"/>
  <c r="AB63" i="14"/>
  <c r="A63" i="14"/>
  <c r="AB62" i="14"/>
  <c r="A62" i="14"/>
  <c r="AB61" i="14"/>
  <c r="A61" i="14"/>
  <c r="AB60" i="14"/>
  <c r="A60" i="14"/>
  <c r="AB59" i="14"/>
  <c r="A59" i="14"/>
  <c r="AB58" i="14"/>
  <c r="A58" i="14"/>
  <c r="AB57" i="14"/>
  <c r="A57" i="14"/>
  <c r="AB56" i="14"/>
  <c r="A56" i="14"/>
  <c r="AB55" i="14"/>
  <c r="A55" i="14"/>
  <c r="AB54" i="14"/>
  <c r="A54" i="14"/>
  <c r="AB53" i="14"/>
  <c r="A53" i="14"/>
  <c r="AB52" i="14"/>
  <c r="A52" i="14"/>
  <c r="AB51" i="14"/>
  <c r="A51" i="14"/>
  <c r="AB50" i="14"/>
  <c r="A50" i="14"/>
  <c r="AB49" i="14"/>
  <c r="A49" i="14"/>
  <c r="AB48" i="14"/>
  <c r="A48" i="14"/>
  <c r="AB47" i="14"/>
  <c r="A47" i="14"/>
  <c r="AB46" i="14"/>
  <c r="A46" i="14"/>
  <c r="AB45" i="14"/>
  <c r="A45" i="14"/>
  <c r="AB44" i="14"/>
  <c r="A44" i="14"/>
  <c r="AB43" i="14"/>
  <c r="A43" i="14"/>
  <c r="AB42" i="14"/>
  <c r="A42" i="14"/>
  <c r="AB41" i="14"/>
  <c r="A41" i="14"/>
  <c r="AB40" i="14"/>
  <c r="A40" i="14"/>
  <c r="AB39" i="14"/>
  <c r="A39" i="14"/>
  <c r="AB38" i="14"/>
  <c r="A38" i="14"/>
  <c r="AB37" i="14"/>
  <c r="A37" i="14"/>
  <c r="AB36" i="14"/>
  <c r="A36" i="14"/>
  <c r="AB35" i="14"/>
  <c r="A35" i="14"/>
  <c r="AB34" i="14"/>
  <c r="A34" i="14"/>
  <c r="AB33" i="14"/>
  <c r="A33" i="14"/>
  <c r="AB32" i="14"/>
  <c r="A32" i="14"/>
  <c r="AB31" i="14"/>
  <c r="A31" i="14"/>
  <c r="AB30" i="14"/>
  <c r="A30" i="14"/>
  <c r="AB29" i="14"/>
  <c r="A29" i="14"/>
  <c r="AB28" i="14"/>
  <c r="A28" i="14"/>
  <c r="AB27" i="14"/>
  <c r="A27" i="14"/>
  <c r="AB26" i="14"/>
  <c r="A26" i="14"/>
  <c r="AB25" i="14"/>
  <c r="A25" i="14"/>
  <c r="AB24" i="14"/>
  <c r="A24" i="14"/>
  <c r="AB23" i="14"/>
  <c r="A23" i="14"/>
  <c r="AB22" i="14"/>
  <c r="A22" i="14"/>
  <c r="AB21" i="14"/>
  <c r="A21" i="14"/>
  <c r="AB20" i="14"/>
  <c r="A20" i="14"/>
  <c r="AB19" i="14"/>
  <c r="A19" i="14"/>
  <c r="AB18" i="14"/>
  <c r="A18" i="14"/>
  <c r="AB17" i="14"/>
  <c r="A17" i="14"/>
  <c r="AB16" i="14"/>
  <c r="A16" i="14"/>
  <c r="AB15" i="14"/>
  <c r="A15" i="14"/>
  <c r="AB14" i="14"/>
  <c r="A14" i="14"/>
  <c r="AB13" i="14"/>
  <c r="A13" i="14"/>
  <c r="AB12" i="14"/>
  <c r="A12" i="14"/>
  <c r="AB11" i="14"/>
  <c r="A11" i="14"/>
  <c r="AB10" i="14"/>
  <c r="A10" i="14"/>
  <c r="AB9" i="14"/>
  <c r="A9" i="14"/>
  <c r="AB8" i="14"/>
  <c r="A8" i="14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J128" i="14" l="1"/>
  <c r="V128" i="14"/>
  <c r="F128" i="14"/>
  <c r="W128" i="14"/>
  <c r="X128" i="14"/>
  <c r="I128" i="14"/>
  <c r="H128" i="14"/>
  <c r="Y128" i="14"/>
  <c r="G128" i="14"/>
  <c r="Z128" i="14"/>
  <c r="D128" i="14"/>
  <c r="AB128" i="14"/>
  <c r="E128" i="14"/>
  <c r="U128" i="14"/>
  <c r="AD127" i="14" l="1"/>
  <c r="AD119" i="14"/>
  <c r="AD111" i="14"/>
  <c r="AD103" i="14"/>
  <c r="AD95" i="14"/>
  <c r="AD87" i="14"/>
  <c r="AD79" i="14"/>
  <c r="AD71" i="14"/>
  <c r="AD63" i="14"/>
  <c r="AD55" i="14"/>
  <c r="AD47" i="14"/>
  <c r="AD39" i="14"/>
  <c r="AD31" i="14"/>
  <c r="AD23" i="14"/>
  <c r="AD15" i="14"/>
  <c r="AD126" i="14"/>
  <c r="AD118" i="14"/>
  <c r="AD110" i="14"/>
  <c r="AD102" i="14"/>
  <c r="AD94" i="14"/>
  <c r="AD86" i="14"/>
  <c r="AD78" i="14"/>
  <c r="AD70" i="14"/>
  <c r="AD62" i="14"/>
  <c r="AD54" i="14"/>
  <c r="AD46" i="14"/>
  <c r="AD38" i="14"/>
  <c r="AD30" i="14"/>
  <c r="AD22" i="14"/>
  <c r="AD14" i="14"/>
  <c r="AD125" i="14"/>
  <c r="AD117" i="14"/>
  <c r="AD109" i="14"/>
  <c r="AD101" i="14"/>
  <c r="AD93" i="14"/>
  <c r="AD85" i="14"/>
  <c r="AD77" i="14"/>
  <c r="AD69" i="14"/>
  <c r="AD61" i="14"/>
  <c r="AD53" i="14"/>
  <c r="AD45" i="14"/>
  <c r="AD37" i="14"/>
  <c r="AD29" i="14"/>
  <c r="AD21" i="14"/>
  <c r="AD124" i="14"/>
  <c r="AD116" i="14"/>
  <c r="AD108" i="14"/>
  <c r="AD100" i="14"/>
  <c r="AD92" i="14"/>
  <c r="AD84" i="14"/>
  <c r="AD76" i="14"/>
  <c r="AD68" i="14"/>
  <c r="AD60" i="14"/>
  <c r="AD52" i="14"/>
  <c r="AD44" i="14"/>
  <c r="AD36" i="14"/>
  <c r="AD28" i="14"/>
  <c r="AD20" i="14"/>
  <c r="AD123" i="14"/>
  <c r="AD115" i="14"/>
  <c r="AD107" i="14"/>
  <c r="AD99" i="14"/>
  <c r="AD91" i="14"/>
  <c r="AD83" i="14"/>
  <c r="AD75" i="14"/>
  <c r="AD67" i="14"/>
  <c r="AD59" i="14"/>
  <c r="AD51" i="14"/>
  <c r="AD43" i="14"/>
  <c r="AD35" i="14"/>
  <c r="AD27" i="14"/>
  <c r="AD19" i="14"/>
  <c r="AD122" i="14"/>
  <c r="AD114" i="14"/>
  <c r="AD106" i="14"/>
  <c r="AD98" i="14"/>
  <c r="AD90" i="14"/>
  <c r="AD82" i="14"/>
  <c r="AD74" i="14"/>
  <c r="AD66" i="14"/>
  <c r="AD58" i="14"/>
  <c r="AD50" i="14"/>
  <c r="AD42" i="14"/>
  <c r="AD34" i="14"/>
  <c r="AD26" i="14"/>
  <c r="AD18" i="14"/>
  <c r="AD121" i="14"/>
  <c r="AD113" i="14"/>
  <c r="AD105" i="14"/>
  <c r="AD97" i="14"/>
  <c r="AD89" i="14"/>
  <c r="AD81" i="14"/>
  <c r="AD73" i="14"/>
  <c r="AD65" i="14"/>
  <c r="AD57" i="14"/>
  <c r="AD49" i="14"/>
  <c r="AD41" i="14"/>
  <c r="AD33" i="14"/>
  <c r="AD25" i="14"/>
  <c r="AD17" i="14"/>
  <c r="AD120" i="14"/>
  <c r="AD112" i="14"/>
  <c r="AD104" i="14"/>
  <c r="AD96" i="14"/>
  <c r="AD88" i="14"/>
  <c r="AD80" i="14"/>
  <c r="AD72" i="14"/>
  <c r="AD64" i="14"/>
  <c r="AD56" i="14"/>
  <c r="AD48" i="14"/>
  <c r="AD40" i="14"/>
  <c r="AD32" i="14"/>
  <c r="AD24" i="14"/>
  <c r="AD16" i="14"/>
  <c r="AD13" i="14"/>
  <c r="AD12" i="14"/>
  <c r="AD10" i="14"/>
  <c r="AD11" i="14"/>
  <c r="AD9" i="14"/>
  <c r="C128" i="14" l="1"/>
  <c r="K58" i="14" s="1"/>
  <c r="N72" i="14" l="1"/>
  <c r="O115" i="14"/>
  <c r="Q107" i="14"/>
  <c r="L31" i="14"/>
  <c r="P31" i="14"/>
  <c r="L74" i="14"/>
  <c r="M121" i="14"/>
  <c r="T68" i="14"/>
  <c r="L77" i="14"/>
  <c r="T125" i="14"/>
  <c r="T77" i="14"/>
  <c r="P75" i="14"/>
  <c r="T73" i="14"/>
  <c r="O71" i="14"/>
  <c r="S25" i="14"/>
  <c r="S71" i="14"/>
  <c r="T114" i="14"/>
  <c r="S49" i="14"/>
  <c r="N74" i="14"/>
  <c r="S109" i="14"/>
  <c r="S48" i="14"/>
  <c r="K69" i="14"/>
  <c r="S77" i="14"/>
  <c r="L23" i="14"/>
  <c r="S68" i="14"/>
  <c r="K72" i="14"/>
  <c r="L75" i="14"/>
  <c r="O79" i="14"/>
  <c r="S105" i="14"/>
  <c r="P111" i="14"/>
  <c r="L27" i="14"/>
  <c r="P23" i="14"/>
  <c r="L50" i="14"/>
  <c r="S122" i="14"/>
  <c r="Q71" i="14"/>
  <c r="S113" i="14"/>
  <c r="Q115" i="14"/>
  <c r="M21" i="14"/>
  <c r="Q27" i="14"/>
  <c r="L49" i="14"/>
  <c r="N125" i="14"/>
  <c r="N79" i="14"/>
  <c r="T71" i="14"/>
  <c r="N78" i="14"/>
  <c r="Q79" i="14"/>
  <c r="M107" i="14"/>
  <c r="R111" i="14"/>
  <c r="M29" i="14"/>
  <c r="O45" i="14"/>
  <c r="P50" i="14"/>
  <c r="P117" i="14"/>
  <c r="N71" i="14"/>
  <c r="S74" i="14"/>
  <c r="K79" i="14"/>
  <c r="R75" i="14"/>
  <c r="M115" i="14"/>
  <c r="S23" i="14"/>
  <c r="N25" i="14"/>
  <c r="S46" i="14"/>
  <c r="M52" i="14"/>
  <c r="R116" i="14"/>
  <c r="K75" i="14"/>
  <c r="L79" i="14"/>
  <c r="L108" i="14"/>
  <c r="N111" i="14"/>
  <c r="K22" i="14"/>
  <c r="K26" i="14"/>
  <c r="P55" i="14"/>
  <c r="Q48" i="14"/>
  <c r="T65" i="14"/>
  <c r="L69" i="14"/>
  <c r="T79" i="14"/>
  <c r="M75" i="14"/>
  <c r="T106" i="14"/>
  <c r="O107" i="14"/>
  <c r="K23" i="14"/>
  <c r="O24" i="14"/>
  <c r="P52" i="14"/>
  <c r="L125" i="14"/>
  <c r="R60" i="14"/>
  <c r="L78" i="14"/>
  <c r="L68" i="14"/>
  <c r="N68" i="14"/>
  <c r="M68" i="14"/>
  <c r="M76" i="14"/>
  <c r="O72" i="14"/>
  <c r="P68" i="14"/>
  <c r="P76" i="14"/>
  <c r="Q72" i="14"/>
  <c r="R68" i="14"/>
  <c r="R76" i="14"/>
  <c r="L112" i="14"/>
  <c r="T107" i="14"/>
  <c r="T115" i="14"/>
  <c r="K106" i="14"/>
  <c r="K110" i="14"/>
  <c r="K114" i="14"/>
  <c r="M108" i="14"/>
  <c r="N104" i="14"/>
  <c r="N112" i="14"/>
  <c r="O108" i="14"/>
  <c r="P104" i="14"/>
  <c r="P112" i="14"/>
  <c r="Q108" i="14"/>
  <c r="R104" i="14"/>
  <c r="R112" i="14"/>
  <c r="R30" i="14"/>
  <c r="R27" i="14"/>
  <c r="R26" i="14"/>
  <c r="T23" i="14"/>
  <c r="T27" i="14"/>
  <c r="T31" i="14"/>
  <c r="M22" i="14"/>
  <c r="M30" i="14"/>
  <c r="N26" i="14"/>
  <c r="S27" i="14"/>
  <c r="O25" i="14"/>
  <c r="S26" i="14"/>
  <c r="P24" i="14"/>
  <c r="Q20" i="14"/>
  <c r="Q28" i="14"/>
  <c r="R53" i="14"/>
  <c r="K47" i="14"/>
  <c r="O44" i="14"/>
  <c r="T53" i="14"/>
  <c r="N51" i="14"/>
  <c r="O51" i="14"/>
  <c r="K49" i="14"/>
  <c r="R51" i="14"/>
  <c r="K52" i="14"/>
  <c r="M53" i="14"/>
  <c r="Q50" i="14"/>
  <c r="L122" i="14"/>
  <c r="K116" i="14"/>
  <c r="K124" i="14"/>
  <c r="M124" i="14"/>
  <c r="O116" i="14"/>
  <c r="P120" i="14"/>
  <c r="R117" i="14"/>
  <c r="N60" i="14"/>
  <c r="L56" i="14"/>
  <c r="S76" i="14"/>
  <c r="T76" i="14"/>
  <c r="N77" i="14"/>
  <c r="K78" i="14"/>
  <c r="K68" i="14"/>
  <c r="S70" i="14"/>
  <c r="T70" i="14"/>
  <c r="M69" i="14"/>
  <c r="M77" i="14"/>
  <c r="O73" i="14"/>
  <c r="P69" i="14"/>
  <c r="P77" i="14"/>
  <c r="Q73" i="14"/>
  <c r="R69" i="14"/>
  <c r="R77" i="14"/>
  <c r="L115" i="14"/>
  <c r="T108" i="14"/>
  <c r="K104" i="14"/>
  <c r="S106" i="14"/>
  <c r="S110" i="14"/>
  <c r="S114" i="14"/>
  <c r="M109" i="14"/>
  <c r="N105" i="14"/>
  <c r="N113" i="14"/>
  <c r="O109" i="14"/>
  <c r="P105" i="14"/>
  <c r="P113" i="14"/>
  <c r="Q109" i="14"/>
  <c r="R105" i="14"/>
  <c r="R113" i="14"/>
  <c r="R25" i="14"/>
  <c r="S22" i="14"/>
  <c r="L20" i="14"/>
  <c r="L24" i="14"/>
  <c r="L28" i="14"/>
  <c r="K25" i="14"/>
  <c r="M23" i="14"/>
  <c r="M31" i="14"/>
  <c r="N27" i="14"/>
  <c r="S28" i="14"/>
  <c r="O26" i="14"/>
  <c r="K29" i="14"/>
  <c r="P25" i="14"/>
  <c r="Q21" i="14"/>
  <c r="Q29" i="14"/>
  <c r="T51" i="14"/>
  <c r="N48" i="14"/>
  <c r="R45" i="14"/>
  <c r="L54" i="14"/>
  <c r="N54" i="14"/>
  <c r="S52" i="14"/>
  <c r="N50" i="14"/>
  <c r="N53" i="14"/>
  <c r="T54" i="14"/>
  <c r="M54" i="14"/>
  <c r="Q52" i="14"/>
  <c r="L123" i="14"/>
  <c r="K117" i="14"/>
  <c r="K125" i="14"/>
  <c r="M126" i="14"/>
  <c r="O118" i="14"/>
  <c r="P124" i="14"/>
  <c r="R120" i="14"/>
  <c r="S61" i="14"/>
  <c r="S60" i="14"/>
  <c r="T69" i="14"/>
  <c r="N70" i="14"/>
  <c r="K71" i="14"/>
  <c r="L71" i="14"/>
  <c r="M70" i="14"/>
  <c r="M78" i="14"/>
  <c r="O74" i="14"/>
  <c r="P70" i="14"/>
  <c r="P78" i="14"/>
  <c r="Q74" i="14"/>
  <c r="R70" i="14"/>
  <c r="R78" i="14"/>
  <c r="L106" i="14"/>
  <c r="T109" i="14"/>
  <c r="L104" i="14"/>
  <c r="K107" i="14"/>
  <c r="K111" i="14"/>
  <c r="K115" i="14"/>
  <c r="M110" i="14"/>
  <c r="N106" i="14"/>
  <c r="N114" i="14"/>
  <c r="O110" i="14"/>
  <c r="P106" i="14"/>
  <c r="P114" i="14"/>
  <c r="Q110" i="14"/>
  <c r="R106" i="14"/>
  <c r="R114" i="14"/>
  <c r="K20" i="14"/>
  <c r="K24" i="14"/>
  <c r="T20" i="14"/>
  <c r="T24" i="14"/>
  <c r="T28" i="14"/>
  <c r="K27" i="14"/>
  <c r="M24" i="14"/>
  <c r="N20" i="14"/>
  <c r="N28" i="14"/>
  <c r="S29" i="14"/>
  <c r="O27" i="14"/>
  <c r="S30" i="14"/>
  <c r="P26" i="14"/>
  <c r="Q22" i="14"/>
  <c r="Q30" i="14"/>
  <c r="T47" i="14"/>
  <c r="P49" i="14"/>
  <c r="T46" i="14"/>
  <c r="R55" i="14"/>
  <c r="S55" i="14"/>
  <c r="K53" i="14"/>
  <c r="T52" i="14"/>
  <c r="S54" i="14"/>
  <c r="M44" i="14"/>
  <c r="O52" i="14"/>
  <c r="Q53" i="14"/>
  <c r="T116" i="14"/>
  <c r="K118" i="14"/>
  <c r="K126" i="14"/>
  <c r="N116" i="14"/>
  <c r="O120" i="14"/>
  <c r="P125" i="14"/>
  <c r="R124" i="14"/>
  <c r="K64" i="14"/>
  <c r="R103" i="14"/>
  <c r="R95" i="14"/>
  <c r="Q99" i="14"/>
  <c r="P103" i="14"/>
  <c r="P95" i="14"/>
  <c r="O99" i="14"/>
  <c r="N103" i="14"/>
  <c r="M101" i="14"/>
  <c r="M93" i="14"/>
  <c r="N92" i="14"/>
  <c r="S100" i="14"/>
  <c r="K97" i="14"/>
  <c r="K94" i="14"/>
  <c r="N93" i="14"/>
  <c r="T92" i="14"/>
  <c r="R91" i="14"/>
  <c r="R83" i="14"/>
  <c r="Q87" i="14"/>
  <c r="P91" i="14"/>
  <c r="P83" i="14"/>
  <c r="O87" i="14"/>
  <c r="M91" i="14"/>
  <c r="M83" i="14"/>
  <c r="N84" i="14"/>
  <c r="T83" i="14"/>
  <c r="L81" i="14"/>
  <c r="K81" i="14"/>
  <c r="T82" i="14"/>
  <c r="S82" i="14"/>
  <c r="K80" i="14"/>
  <c r="Q43" i="14"/>
  <c r="Q37" i="14"/>
  <c r="P41" i="14"/>
  <c r="P33" i="14"/>
  <c r="O40" i="14"/>
  <c r="O32" i="14"/>
  <c r="N37" i="14"/>
  <c r="M41" i="14"/>
  <c r="M33" i="14"/>
  <c r="L41" i="14"/>
  <c r="L37" i="14"/>
  <c r="L33" i="14"/>
  <c r="S40" i="14"/>
  <c r="S36" i="14"/>
  <c r="R40" i="14"/>
  <c r="R67" i="14"/>
  <c r="Q64" i="14"/>
  <c r="Q56" i="14"/>
  <c r="O65" i="14"/>
  <c r="O57" i="14"/>
  <c r="M61" i="14"/>
  <c r="L63" i="14"/>
  <c r="N65" i="14"/>
  <c r="S67" i="14"/>
  <c r="S57" i="14"/>
  <c r="N59" i="14"/>
  <c r="L59" i="14"/>
  <c r="L62" i="14"/>
  <c r="S63" i="14"/>
  <c r="T59" i="14"/>
  <c r="R127" i="14"/>
  <c r="R119" i="14"/>
  <c r="Q123" i="14"/>
  <c r="P127" i="14"/>
  <c r="P119" i="14"/>
  <c r="O123" i="14"/>
  <c r="N127" i="14"/>
  <c r="N119" i="14"/>
  <c r="M123" i="14"/>
  <c r="S127" i="14"/>
  <c r="S123" i="14"/>
  <c r="S119" i="14"/>
  <c r="T127" i="14"/>
  <c r="T119" i="14"/>
  <c r="L124" i="14"/>
  <c r="Q55" i="14"/>
  <c r="Q47" i="14"/>
  <c r="M55" i="14"/>
  <c r="M47" i="14"/>
  <c r="S51" i="14"/>
  <c r="K55" i="14"/>
  <c r="O46" i="14"/>
  <c r="R102" i="14"/>
  <c r="R94" i="14"/>
  <c r="Q98" i="14"/>
  <c r="P102" i="14"/>
  <c r="P94" i="14"/>
  <c r="O98" i="14"/>
  <c r="N102" i="14"/>
  <c r="M100" i="14"/>
  <c r="M92" i="14"/>
  <c r="L101" i="14"/>
  <c r="L97" i="14"/>
  <c r="S96" i="14"/>
  <c r="S93" i="14"/>
  <c r="K103" i="14"/>
  <c r="N95" i="14"/>
  <c r="R90" i="14"/>
  <c r="R82" i="14"/>
  <c r="Q86" i="14"/>
  <c r="P90" i="14"/>
  <c r="P82" i="14"/>
  <c r="O86" i="14"/>
  <c r="M90" i="14"/>
  <c r="M82" i="14"/>
  <c r="K82" i="14"/>
  <c r="N81" i="14"/>
  <c r="T80" i="14"/>
  <c r="S80" i="14"/>
  <c r="N80" i="14"/>
  <c r="L80" i="14"/>
  <c r="S84" i="14"/>
  <c r="M43" i="14"/>
  <c r="Q36" i="14"/>
  <c r="P40" i="14"/>
  <c r="P32" i="14"/>
  <c r="O39" i="14"/>
  <c r="K35" i="14"/>
  <c r="N36" i="14"/>
  <c r="M40" i="14"/>
  <c r="M32" i="14"/>
  <c r="T40" i="14"/>
  <c r="T36" i="14"/>
  <c r="T32" i="14"/>
  <c r="K40" i="14"/>
  <c r="K36" i="14"/>
  <c r="S34" i="14"/>
  <c r="R66" i="14"/>
  <c r="Q63" i="14"/>
  <c r="P67" i="14"/>
  <c r="O64" i="14"/>
  <c r="O56" i="14"/>
  <c r="M60" i="14"/>
  <c r="T62" i="14"/>
  <c r="K63" i="14"/>
  <c r="L65" i="14"/>
  <c r="N56" i="14"/>
  <c r="R57" i="14"/>
  <c r="T58" i="14"/>
  <c r="T61" i="14"/>
  <c r="K62" i="14"/>
  <c r="L66" i="14"/>
  <c r="R126" i="14"/>
  <c r="R118" i="14"/>
  <c r="Q122" i="14"/>
  <c r="P126" i="14"/>
  <c r="P118" i="14"/>
  <c r="O122" i="14"/>
  <c r="N126" i="14"/>
  <c r="N118" i="14"/>
  <c r="M122" i="14"/>
  <c r="K127" i="14"/>
  <c r="K123" i="14"/>
  <c r="K119" i="14"/>
  <c r="T126" i="14"/>
  <c r="T118" i="14"/>
  <c r="L116" i="14"/>
  <c r="R101" i="14"/>
  <c r="R93" i="14"/>
  <c r="Q97" i="14"/>
  <c r="P101" i="14"/>
  <c r="P93" i="14"/>
  <c r="O97" i="14"/>
  <c r="N101" i="14"/>
  <c r="M99" i="14"/>
  <c r="K102" i="14"/>
  <c r="T100" i="14"/>
  <c r="T96" i="14"/>
  <c r="L94" i="14"/>
  <c r="L103" i="14"/>
  <c r="S102" i="14"/>
  <c r="T101" i="14"/>
  <c r="R89" i="14"/>
  <c r="R81" i="14"/>
  <c r="Q85" i="14"/>
  <c r="P89" i="14"/>
  <c r="P81" i="14"/>
  <c r="O85" i="14"/>
  <c r="M89" i="14"/>
  <c r="M81" i="14"/>
  <c r="S81" i="14"/>
  <c r="S91" i="14"/>
  <c r="N91" i="14"/>
  <c r="L91" i="14"/>
  <c r="K91" i="14"/>
  <c r="N90" i="14"/>
  <c r="T89" i="14"/>
  <c r="S43" i="14"/>
  <c r="Q35" i="14"/>
  <c r="P39" i="14"/>
  <c r="K34" i="14"/>
  <c r="O38" i="14"/>
  <c r="O43" i="14"/>
  <c r="N35" i="14"/>
  <c r="M39" i="14"/>
  <c r="S35" i="14"/>
  <c r="L40" i="14"/>
  <c r="L36" i="14"/>
  <c r="L32" i="14"/>
  <c r="S39" i="14"/>
  <c r="R36" i="14"/>
  <c r="R32" i="14"/>
  <c r="R65" i="14"/>
  <c r="Q62" i="14"/>
  <c r="P66" i="14"/>
  <c r="O63" i="14"/>
  <c r="M67" i="14"/>
  <c r="M59" i="14"/>
  <c r="P61" i="14"/>
  <c r="S62" i="14"/>
  <c r="T64" i="14"/>
  <c r="N67" i="14"/>
  <c r="R100" i="14"/>
  <c r="R92" i="14"/>
  <c r="Q96" i="14"/>
  <c r="P100" i="14"/>
  <c r="P92" i="14"/>
  <c r="O96" i="14"/>
  <c r="N100" i="14"/>
  <c r="M98" i="14"/>
  <c r="S101" i="14"/>
  <c r="N97" i="14"/>
  <c r="N94" i="14"/>
  <c r="T93" i="14"/>
  <c r="T102" i="14"/>
  <c r="K99" i="14"/>
  <c r="L102" i="14"/>
  <c r="R88" i="14"/>
  <c r="R80" i="14"/>
  <c r="Q84" i="14"/>
  <c r="P88" i="14"/>
  <c r="P80" i="14"/>
  <c r="O84" i="14"/>
  <c r="M88" i="14"/>
  <c r="M80" i="14"/>
  <c r="T91" i="14"/>
  <c r="L89" i="14"/>
  <c r="K89" i="14"/>
  <c r="T90" i="14"/>
  <c r="S90" i="14"/>
  <c r="K88" i="14"/>
  <c r="L90" i="14"/>
  <c r="Q42" i="14"/>
  <c r="Q34" i="14"/>
  <c r="P38" i="14"/>
  <c r="K33" i="14"/>
  <c r="O37" i="14"/>
  <c r="N42" i="14"/>
  <c r="N34" i="14"/>
  <c r="M38" i="14"/>
  <c r="S32" i="14"/>
  <c r="T39" i="14"/>
  <c r="T35" i="14"/>
  <c r="K43" i="14"/>
  <c r="K39" i="14"/>
  <c r="R34" i="14"/>
  <c r="R33" i="14"/>
  <c r="R64" i="14"/>
  <c r="Q61" i="14"/>
  <c r="P65" i="14"/>
  <c r="O62" i="14"/>
  <c r="M66" i="14"/>
  <c r="M58" i="14"/>
  <c r="K60" i="14"/>
  <c r="N61" i="14"/>
  <c r="R62" i="14"/>
  <c r="K65" i="14"/>
  <c r="L67" i="14"/>
  <c r="K56" i="14"/>
  <c r="R99" i="14"/>
  <c r="Q103" i="14"/>
  <c r="Q95" i="14"/>
  <c r="P99" i="14"/>
  <c r="O103" i="14"/>
  <c r="O95" i="14"/>
  <c r="N99" i="14"/>
  <c r="M97" i="14"/>
  <c r="K98" i="14"/>
  <c r="K95" i="14"/>
  <c r="K92" i="14"/>
  <c r="S103" i="14"/>
  <c r="L99" i="14"/>
  <c r="S98" i="14"/>
  <c r="T97" i="14"/>
  <c r="R87" i="14"/>
  <c r="Q91" i="14"/>
  <c r="Q83" i="14"/>
  <c r="P87" i="14"/>
  <c r="O91" i="14"/>
  <c r="O83" i="14"/>
  <c r="M87" i="14"/>
  <c r="K90" i="14"/>
  <c r="N89" i="14"/>
  <c r="T88" i="14"/>
  <c r="S88" i="14"/>
  <c r="N88" i="14"/>
  <c r="L88" i="14"/>
  <c r="S87" i="14"/>
  <c r="K85" i="14"/>
  <c r="Q41" i="14"/>
  <c r="Q33" i="14"/>
  <c r="P37" i="14"/>
  <c r="K32" i="14"/>
  <c r="O36" i="14"/>
  <c r="N41" i="14"/>
  <c r="N33" i="14"/>
  <c r="M37" i="14"/>
  <c r="L43" i="14"/>
  <c r="L39" i="14"/>
  <c r="L35" i="14"/>
  <c r="S42" i="14"/>
  <c r="S38" i="14"/>
  <c r="R37" i="14"/>
  <c r="R41" i="14"/>
  <c r="R63" i="14"/>
  <c r="Q60" i="14"/>
  <c r="P64" i="14"/>
  <c r="O61" i="14"/>
  <c r="M65" i="14"/>
  <c r="M57" i="14"/>
  <c r="S59" i="14"/>
  <c r="R59" i="14"/>
  <c r="L61" i="14"/>
  <c r="S64" i="14"/>
  <c r="T66" i="14"/>
  <c r="K67" i="14"/>
  <c r="S58" i="14"/>
  <c r="R58" i="14"/>
  <c r="P58" i="14"/>
  <c r="R123" i="14"/>
  <c r="Q127" i="14"/>
  <c r="Q119" i="14"/>
  <c r="P123" i="14"/>
  <c r="O127" i="14"/>
  <c r="O119" i="14"/>
  <c r="N123" i="14"/>
  <c r="M127" i="14"/>
  <c r="M119" i="14"/>
  <c r="S125" i="14"/>
  <c r="S121" i="14"/>
  <c r="S117" i="14"/>
  <c r="T123" i="14"/>
  <c r="L121" i="14"/>
  <c r="L119" i="14"/>
  <c r="Q51" i="14"/>
  <c r="O55" i="14"/>
  <c r="M51" i="14"/>
  <c r="L55" i="14"/>
  <c r="S47" i="14"/>
  <c r="O50" i="14"/>
  <c r="L53" i="14"/>
  <c r="K45" i="14"/>
  <c r="T49" i="14"/>
  <c r="R52" i="14"/>
  <c r="P44" i="14"/>
  <c r="O48" i="14"/>
  <c r="N52" i="14"/>
  <c r="N44" i="14"/>
  <c r="N55" i="14"/>
  <c r="R98" i="14"/>
  <c r="Q102" i="14"/>
  <c r="Q94" i="14"/>
  <c r="P98" i="14"/>
  <c r="O102" i="14"/>
  <c r="O94" i="14"/>
  <c r="N98" i="14"/>
  <c r="M96" i="14"/>
  <c r="S97" i="14"/>
  <c r="S94" i="14"/>
  <c r="T103" i="14"/>
  <c r="K100" i="14"/>
  <c r="T98" i="14"/>
  <c r="K96" i="14"/>
  <c r="K93" i="14"/>
  <c r="R86" i="14"/>
  <c r="Q90" i="14"/>
  <c r="Q82" i="14"/>
  <c r="P86" i="14"/>
  <c r="O90" i="14"/>
  <c r="O82" i="14"/>
  <c r="M86" i="14"/>
  <c r="S89" i="14"/>
  <c r="K87" i="14"/>
  <c r="N86" i="14"/>
  <c r="L86" i="14"/>
  <c r="K86" i="14"/>
  <c r="T87" i="14"/>
  <c r="L85" i="14"/>
  <c r="N87" i="14"/>
  <c r="Q40" i="14"/>
  <c r="Q32" i="14"/>
  <c r="P36" i="14"/>
  <c r="P43" i="14"/>
  <c r="O35" i="14"/>
  <c r="N40" i="14"/>
  <c r="N32" i="14"/>
  <c r="M36" i="14"/>
  <c r="T42" i="14"/>
  <c r="T38" i="14"/>
  <c r="T34" i="14"/>
  <c r="K42" i="14"/>
  <c r="K38" i="14"/>
  <c r="R38" i="14"/>
  <c r="R42" i="14"/>
  <c r="Q67" i="14"/>
  <c r="Q59" i="14"/>
  <c r="P63" i="14"/>
  <c r="O60" i="14"/>
  <c r="M64" i="14"/>
  <c r="M56" i="14"/>
  <c r="N58" i="14"/>
  <c r="L58" i="14"/>
  <c r="T60" i="14"/>
  <c r="P62" i="14"/>
  <c r="N64" i="14"/>
  <c r="S66" i="14"/>
  <c r="N57" i="14"/>
  <c r="L57" i="14"/>
  <c r="K57" i="14"/>
  <c r="R122" i="14"/>
  <c r="Q126" i="14"/>
  <c r="Q118" i="14"/>
  <c r="P122" i="14"/>
  <c r="R97" i="14"/>
  <c r="Q101" i="14"/>
  <c r="Q93" i="14"/>
  <c r="P97" i="14"/>
  <c r="O101" i="14"/>
  <c r="O93" i="14"/>
  <c r="M103" i="14"/>
  <c r="M95" i="14"/>
  <c r="L95" i="14"/>
  <c r="L92" i="14"/>
  <c r="L100" i="14"/>
  <c r="S99" i="14"/>
  <c r="L96" i="14"/>
  <c r="S95" i="14"/>
  <c r="L98" i="14"/>
  <c r="R85" i="14"/>
  <c r="Q89" i="14"/>
  <c r="Q81" i="14"/>
  <c r="P85" i="14"/>
  <c r="O89" i="14"/>
  <c r="O81" i="14"/>
  <c r="M85" i="14"/>
  <c r="L87" i="14"/>
  <c r="S86" i="14"/>
  <c r="K84" i="14"/>
  <c r="T85" i="14"/>
  <c r="S85" i="14"/>
  <c r="N85" i="14"/>
  <c r="T84" i="14"/>
  <c r="T81" i="14"/>
  <c r="Q39" i="14"/>
  <c r="R43" i="14"/>
  <c r="P35" i="14"/>
  <c r="O42" i="14"/>
  <c r="O34" i="14"/>
  <c r="N39" i="14"/>
  <c r="N43" i="14"/>
  <c r="M35" i="14"/>
  <c r="L42" i="14"/>
  <c r="L38" i="14"/>
  <c r="L34" i="14"/>
  <c r="S41" i="14"/>
  <c r="S37" i="14"/>
  <c r="R39" i="14"/>
  <c r="S33" i="14"/>
  <c r="Q66" i="14"/>
  <c r="Q58" i="14"/>
  <c r="O67" i="14"/>
  <c r="O59" i="14"/>
  <c r="M63" i="14"/>
  <c r="K66" i="14"/>
  <c r="R56" i="14"/>
  <c r="T57" i="14"/>
  <c r="P59" i="14"/>
  <c r="K61" i="14"/>
  <c r="N62" i="14"/>
  <c r="L64" i="14"/>
  <c r="N66" i="14"/>
  <c r="T56" i="14"/>
  <c r="N63" i="14"/>
  <c r="R121" i="14"/>
  <c r="Q125" i="14"/>
  <c r="Q117" i="14"/>
  <c r="P121" i="14"/>
  <c r="O125" i="14"/>
  <c r="O117" i="14"/>
  <c r="N121" i="14"/>
  <c r="M125" i="14"/>
  <c r="M117" i="14"/>
  <c r="S124" i="14"/>
  <c r="S120" i="14"/>
  <c r="S116" i="14"/>
  <c r="T121" i="14"/>
  <c r="L120" i="14"/>
  <c r="L118" i="14"/>
  <c r="Q49" i="14"/>
  <c r="O53" i="14"/>
  <c r="M49" i="14"/>
  <c r="P53" i="14"/>
  <c r="N45" i="14"/>
  <c r="T48" i="14"/>
  <c r="P51" i="14"/>
  <c r="T55" i="14"/>
  <c r="O47" i="14"/>
  <c r="K50" i="14"/>
  <c r="R96" i="14"/>
  <c r="Q100" i="14"/>
  <c r="Q92" i="14"/>
  <c r="P96" i="14"/>
  <c r="O100" i="14"/>
  <c r="O92" i="14"/>
  <c r="M102" i="14"/>
  <c r="M94" i="14"/>
  <c r="T94" i="14"/>
  <c r="K101" i="14"/>
  <c r="T99" i="14"/>
  <c r="N96" i="14"/>
  <c r="T95" i="14"/>
  <c r="L93" i="14"/>
  <c r="S92" i="14"/>
  <c r="R84" i="14"/>
  <c r="Q88" i="14"/>
  <c r="Q80" i="14"/>
  <c r="P84" i="14"/>
  <c r="O88" i="14"/>
  <c r="O80" i="14"/>
  <c r="M84" i="14"/>
  <c r="T86" i="14"/>
  <c r="L84" i="14"/>
  <c r="S83" i="14"/>
  <c r="N83" i="14"/>
  <c r="L83" i="14"/>
  <c r="K83" i="14"/>
  <c r="N82" i="14"/>
  <c r="L82" i="14"/>
  <c r="Q38" i="14"/>
  <c r="P42" i="14"/>
  <c r="P34" i="14"/>
  <c r="O41" i="14"/>
  <c r="O33" i="14"/>
  <c r="N38" i="14"/>
  <c r="M42" i="14"/>
  <c r="M34" i="14"/>
  <c r="T41" i="14"/>
  <c r="T37" i="14"/>
  <c r="T33" i="14"/>
  <c r="K41" i="14"/>
  <c r="K37" i="14"/>
  <c r="R35" i="14"/>
  <c r="T43" i="14"/>
  <c r="Q65" i="14"/>
  <c r="Q57" i="14"/>
  <c r="O66" i="14"/>
  <c r="O58" i="14"/>
  <c r="K77" i="14"/>
  <c r="S79" i="14"/>
  <c r="S69" i="14"/>
  <c r="L70" i="14"/>
  <c r="T72" i="14"/>
  <c r="N73" i="14"/>
  <c r="S73" i="14"/>
  <c r="M71" i="14"/>
  <c r="M79" i="14"/>
  <c r="O75" i="14"/>
  <c r="P71" i="14"/>
  <c r="P79" i="14"/>
  <c r="Q75" i="14"/>
  <c r="R71" i="14"/>
  <c r="R79" i="14"/>
  <c r="L114" i="14"/>
  <c r="T110" i="14"/>
  <c r="S104" i="14"/>
  <c r="S107" i="14"/>
  <c r="S111" i="14"/>
  <c r="S115" i="14"/>
  <c r="M111" i="14"/>
  <c r="N107" i="14"/>
  <c r="N115" i="14"/>
  <c r="O111" i="14"/>
  <c r="P107" i="14"/>
  <c r="P115" i="14"/>
  <c r="Q111" i="14"/>
  <c r="R107" i="14"/>
  <c r="R115" i="14"/>
  <c r="R20" i="14"/>
  <c r="R29" i="14"/>
  <c r="L21" i="14"/>
  <c r="L25" i="14"/>
  <c r="L29" i="14"/>
  <c r="K28" i="14"/>
  <c r="M25" i="14"/>
  <c r="N21" i="14"/>
  <c r="N29" i="14"/>
  <c r="O20" i="14"/>
  <c r="O28" i="14"/>
  <c r="S31" i="14"/>
  <c r="P27" i="14"/>
  <c r="Q23" i="14"/>
  <c r="Q31" i="14"/>
  <c r="R46" i="14"/>
  <c r="S50" i="14"/>
  <c r="L47" i="14"/>
  <c r="S45" i="14"/>
  <c r="R44" i="14"/>
  <c r="P54" i="14"/>
  <c r="R54" i="14"/>
  <c r="K44" i="14"/>
  <c r="M45" i="14"/>
  <c r="O54" i="14"/>
  <c r="Q54" i="14"/>
  <c r="T117" i="14"/>
  <c r="S118" i="14"/>
  <c r="S126" i="14"/>
  <c r="N117" i="14"/>
  <c r="O121" i="14"/>
  <c r="Q116" i="14"/>
  <c r="R125" i="14"/>
  <c r="K59" i="14"/>
  <c r="P56" i="14"/>
  <c r="Q19" i="14"/>
  <c r="Q18" i="14"/>
  <c r="Q17" i="14"/>
  <c r="Q16" i="14"/>
  <c r="Q15" i="14"/>
  <c r="Q14" i="14"/>
  <c r="Q13" i="14"/>
  <c r="Q12" i="14"/>
  <c r="Q11" i="14"/>
  <c r="Q10" i="14"/>
  <c r="Q9" i="14"/>
  <c r="P19" i="14"/>
  <c r="P18" i="14"/>
  <c r="P17" i="14"/>
  <c r="P16" i="14"/>
  <c r="P15" i="14"/>
  <c r="P14" i="14"/>
  <c r="P13" i="14"/>
  <c r="P12" i="14"/>
  <c r="P11" i="14"/>
  <c r="P10" i="14"/>
  <c r="P9" i="14"/>
  <c r="O19" i="14"/>
  <c r="O18" i="14"/>
  <c r="O17" i="14"/>
  <c r="O16" i="14"/>
  <c r="O15" i="14"/>
  <c r="O14" i="14"/>
  <c r="O13" i="14"/>
  <c r="O12" i="14"/>
  <c r="O11" i="14"/>
  <c r="O10" i="14"/>
  <c r="O9" i="14"/>
  <c r="N19" i="14"/>
  <c r="N18" i="14"/>
  <c r="N17" i="14"/>
  <c r="N16" i="14"/>
  <c r="N15" i="14"/>
  <c r="N14" i="14"/>
  <c r="N13" i="14"/>
  <c r="N12" i="14"/>
  <c r="N11" i="14"/>
  <c r="N10" i="14"/>
  <c r="N9" i="14"/>
  <c r="M19" i="14"/>
  <c r="M18" i="14"/>
  <c r="M17" i="14"/>
  <c r="M16" i="14"/>
  <c r="M15" i="14"/>
  <c r="M14" i="14"/>
  <c r="M13" i="14"/>
  <c r="M12" i="14"/>
  <c r="M11" i="14"/>
  <c r="M10" i="14"/>
  <c r="M9" i="14"/>
  <c r="T19" i="14"/>
  <c r="L19" i="14"/>
  <c r="T18" i="14"/>
  <c r="L18" i="14"/>
  <c r="T17" i="14"/>
  <c r="L17" i="14"/>
  <c r="T16" i="14"/>
  <c r="L16" i="14"/>
  <c r="T15" i="14"/>
  <c r="L15" i="14"/>
  <c r="T14" i="14"/>
  <c r="L14" i="14"/>
  <c r="T13" i="14"/>
  <c r="L13" i="14"/>
  <c r="T12" i="14"/>
  <c r="L12" i="14"/>
  <c r="T11" i="14"/>
  <c r="L11" i="14"/>
  <c r="T10" i="14"/>
  <c r="L10" i="14"/>
  <c r="T9" i="14"/>
  <c r="L9" i="14"/>
  <c r="K15" i="14"/>
  <c r="R14" i="14"/>
  <c r="S13" i="14"/>
  <c r="S19" i="14"/>
  <c r="R12" i="14"/>
  <c r="R19" i="14"/>
  <c r="S10" i="14"/>
  <c r="S14" i="14"/>
  <c r="K14" i="14"/>
  <c r="R13" i="14"/>
  <c r="S12" i="14"/>
  <c r="K13" i="14"/>
  <c r="S11" i="14"/>
  <c r="S18" i="14"/>
  <c r="K12" i="14"/>
  <c r="K16" i="14"/>
  <c r="R11" i="14"/>
  <c r="K19" i="14"/>
  <c r="R18" i="14"/>
  <c r="S17" i="14"/>
  <c r="K11" i="14"/>
  <c r="R10" i="14"/>
  <c r="S9" i="14"/>
  <c r="R16" i="14"/>
  <c r="K9" i="14"/>
  <c r="R15" i="14"/>
  <c r="K18" i="14"/>
  <c r="R17" i="14"/>
  <c r="S16" i="14"/>
  <c r="K10" i="14"/>
  <c r="R9" i="14"/>
  <c r="K17" i="14"/>
  <c r="S15" i="14"/>
  <c r="N69" i="14"/>
  <c r="K70" i="14"/>
  <c r="S72" i="14"/>
  <c r="L73" i="14"/>
  <c r="T75" i="14"/>
  <c r="K74" i="14"/>
  <c r="M72" i="14"/>
  <c r="O68" i="14"/>
  <c r="O76" i="14"/>
  <c r="P72" i="14"/>
  <c r="Q68" i="14"/>
  <c r="Q76" i="14"/>
  <c r="R72" i="14"/>
  <c r="L111" i="14"/>
  <c r="L107" i="14"/>
  <c r="T111" i="14"/>
  <c r="K105" i="14"/>
  <c r="K108" i="14"/>
  <c r="K112" i="14"/>
  <c r="M104" i="14"/>
  <c r="M112" i="14"/>
  <c r="N108" i="14"/>
  <c r="O104" i="14"/>
  <c r="O112" i="14"/>
  <c r="P108" i="14"/>
  <c r="Q104" i="14"/>
  <c r="Q112" i="14"/>
  <c r="R108" i="14"/>
  <c r="R23" i="14"/>
  <c r="R28" i="14"/>
  <c r="K21" i="14"/>
  <c r="T21" i="14"/>
  <c r="T25" i="14"/>
  <c r="T29" i="14"/>
  <c r="K30" i="14"/>
  <c r="M26" i="14"/>
  <c r="N22" i="14"/>
  <c r="N30" i="14"/>
  <c r="O21" i="14"/>
  <c r="O29" i="14"/>
  <c r="P20" i="14"/>
  <c r="P28" i="14"/>
  <c r="Q24" i="14"/>
  <c r="R50" i="14"/>
  <c r="L44" i="14"/>
  <c r="K51" i="14"/>
  <c r="R49" i="14"/>
  <c r="K46" i="14"/>
  <c r="T45" i="14"/>
  <c r="S44" i="14"/>
  <c r="T44" i="14"/>
  <c r="P46" i="14"/>
  <c r="M46" i="14"/>
  <c r="Q44" i="14"/>
  <c r="L127" i="14"/>
  <c r="T120" i="14"/>
  <c r="K120" i="14"/>
  <c r="M116" i="14"/>
  <c r="N120" i="14"/>
  <c r="O124" i="14"/>
  <c r="Q120" i="14"/>
  <c r="S56" i="14"/>
  <c r="P60" i="14"/>
  <c r="T67" i="14"/>
  <c r="K73" i="14"/>
  <c r="S75" i="14"/>
  <c r="L76" i="14"/>
  <c r="N76" i="14"/>
  <c r="M73" i="14"/>
  <c r="O69" i="14"/>
  <c r="O77" i="14"/>
  <c r="P73" i="14"/>
  <c r="Q69" i="14"/>
  <c r="Q77" i="14"/>
  <c r="R73" i="14"/>
  <c r="L110" i="14"/>
  <c r="T105" i="14"/>
  <c r="T112" i="14"/>
  <c r="T104" i="14"/>
  <c r="S108" i="14"/>
  <c r="S112" i="14"/>
  <c r="M105" i="14"/>
  <c r="M113" i="14"/>
  <c r="N109" i="14"/>
  <c r="O105" i="14"/>
  <c r="O113" i="14"/>
  <c r="P109" i="14"/>
  <c r="Q105" i="14"/>
  <c r="Q113" i="14"/>
  <c r="R109" i="14"/>
  <c r="R24" i="14"/>
  <c r="S20" i="14"/>
  <c r="S21" i="14"/>
  <c r="L22" i="14"/>
  <c r="L26" i="14"/>
  <c r="L30" i="14"/>
  <c r="K31" i="14"/>
  <c r="M27" i="14"/>
  <c r="N23" i="14"/>
  <c r="N31" i="14"/>
  <c r="O22" i="14"/>
  <c r="O30" i="14"/>
  <c r="P21" i="14"/>
  <c r="P29" i="14"/>
  <c r="Q25" i="14"/>
  <c r="O49" i="14"/>
  <c r="L52" i="14"/>
  <c r="S53" i="14"/>
  <c r="T50" i="14"/>
  <c r="N47" i="14"/>
  <c r="L46" i="14"/>
  <c r="N46" i="14"/>
  <c r="L45" i="14"/>
  <c r="K48" i="14"/>
  <c r="M48" i="14"/>
  <c r="Q45" i="14"/>
  <c r="L126" i="14"/>
  <c r="T122" i="14"/>
  <c r="K121" i="14"/>
  <c r="M118" i="14"/>
  <c r="N122" i="14"/>
  <c r="O126" i="14"/>
  <c r="Q121" i="14"/>
  <c r="R61" i="14"/>
  <c r="T63" i="14"/>
  <c r="S65" i="14"/>
  <c r="L72" i="14"/>
  <c r="T74" i="14"/>
  <c r="N75" i="14"/>
  <c r="K76" i="14"/>
  <c r="S78" i="14"/>
  <c r="T78" i="14"/>
  <c r="M74" i="14"/>
  <c r="O70" i="14"/>
  <c r="O78" i="14"/>
  <c r="P74" i="14"/>
  <c r="Q70" i="14"/>
  <c r="Q78" i="14"/>
  <c r="R74" i="14"/>
  <c r="L109" i="14"/>
  <c r="L113" i="14"/>
  <c r="T113" i="14"/>
  <c r="L105" i="14"/>
  <c r="K109" i="14"/>
  <c r="K113" i="14"/>
  <c r="M106" i="14"/>
  <c r="M114" i="14"/>
  <c r="N110" i="14"/>
  <c r="O106" i="14"/>
  <c r="O114" i="14"/>
  <c r="P110" i="14"/>
  <c r="Q106" i="14"/>
  <c r="Q114" i="14"/>
  <c r="R110" i="14"/>
  <c r="R31" i="14"/>
  <c r="R21" i="14"/>
  <c r="R22" i="14"/>
  <c r="T22" i="14"/>
  <c r="T26" i="14"/>
  <c r="T30" i="14"/>
  <c r="M20" i="14"/>
  <c r="M28" i="14"/>
  <c r="N24" i="14"/>
  <c r="S24" i="14"/>
  <c r="O23" i="14"/>
  <c r="O31" i="14"/>
  <c r="P22" i="14"/>
  <c r="P30" i="14"/>
  <c r="Q26" i="14"/>
  <c r="L48" i="14"/>
  <c r="P45" i="14"/>
  <c r="K54" i="14"/>
  <c r="L51" i="14"/>
  <c r="P48" i="14"/>
  <c r="R48" i="14"/>
  <c r="P47" i="14"/>
  <c r="R47" i="14"/>
  <c r="N49" i="14"/>
  <c r="M50" i="14"/>
  <c r="Q46" i="14"/>
  <c r="L117" i="14"/>
  <c r="T124" i="14"/>
  <c r="K122" i="14"/>
  <c r="M120" i="14"/>
  <c r="N124" i="14"/>
  <c r="P116" i="14"/>
  <c r="Q124" i="14"/>
  <c r="L60" i="14"/>
  <c r="P57" i="14"/>
  <c r="M62" i="14"/>
  <c r="R8" i="14"/>
  <c r="Q8" i="14"/>
  <c r="P8" i="14"/>
  <c r="O8" i="14"/>
  <c r="N8" i="14"/>
  <c r="M8" i="14"/>
  <c r="T8" i="14"/>
  <c r="L8" i="14"/>
  <c r="S8" i="14"/>
  <c r="K8" i="14"/>
  <c r="A6" i="6"/>
  <c r="AA68" i="14" l="1"/>
  <c r="AC68" i="14" s="1"/>
  <c r="AA79" i="14"/>
  <c r="AC79" i="14" s="1"/>
  <c r="AA94" i="14"/>
  <c r="AC94" i="14" s="1"/>
  <c r="AA77" i="14"/>
  <c r="AC77" i="14" s="1"/>
  <c r="AA62" i="14"/>
  <c r="AC62" i="14" s="1"/>
  <c r="AA48" i="14"/>
  <c r="AC48" i="14" s="1"/>
  <c r="AA31" i="14"/>
  <c r="AC31" i="14" s="1"/>
  <c r="AA70" i="14"/>
  <c r="AC70" i="14" s="1"/>
  <c r="AA47" i="14"/>
  <c r="AC47" i="14" s="1"/>
  <c r="AA69" i="14"/>
  <c r="AC69" i="14" s="1"/>
  <c r="AA51" i="14"/>
  <c r="AC51" i="14" s="1"/>
  <c r="AA28" i="14"/>
  <c r="AC28" i="14" s="1"/>
  <c r="AA108" i="14"/>
  <c r="AC108" i="14" s="1"/>
  <c r="AA111" i="14"/>
  <c r="AC111" i="14" s="1"/>
  <c r="AA74" i="14"/>
  <c r="AC74" i="14" s="1"/>
  <c r="AA121" i="14"/>
  <c r="AC121" i="14" s="1"/>
  <c r="AA25" i="14"/>
  <c r="AC25" i="14" s="1"/>
  <c r="AA107" i="14"/>
  <c r="AC107" i="14" s="1"/>
  <c r="AA115" i="14"/>
  <c r="AC115" i="14" s="1"/>
  <c r="AA75" i="14"/>
  <c r="AC75" i="14" s="1"/>
  <c r="AA72" i="14"/>
  <c r="AC72" i="14" s="1"/>
  <c r="AA41" i="14"/>
  <c r="AC41" i="14" s="1"/>
  <c r="AA38" i="14"/>
  <c r="AC38" i="14" s="1"/>
  <c r="AA102" i="14"/>
  <c r="AC102" i="14" s="1"/>
  <c r="AA125" i="14"/>
  <c r="AC125" i="14" s="1"/>
  <c r="AA63" i="14"/>
  <c r="AC63" i="14" s="1"/>
  <c r="AA58" i="14"/>
  <c r="AC58" i="14" s="1"/>
  <c r="AA40" i="14"/>
  <c r="AC40" i="14" s="1"/>
  <c r="AA90" i="14"/>
  <c r="AC90" i="14" s="1"/>
  <c r="AA100" i="14"/>
  <c r="AC100" i="14" s="1"/>
  <c r="AA98" i="14"/>
  <c r="AC98" i="14" s="1"/>
  <c r="AA37" i="14"/>
  <c r="AC37" i="14" s="1"/>
  <c r="AA32" i="14"/>
  <c r="AC32" i="14" s="1"/>
  <c r="AA105" i="14"/>
  <c r="AC105" i="14" s="1"/>
  <c r="AA96" i="14"/>
  <c r="AC96" i="14" s="1"/>
  <c r="AA35" i="14"/>
  <c r="AC35" i="14" s="1"/>
  <c r="AA103" i="14"/>
  <c r="AC103" i="14" s="1"/>
  <c r="AA60" i="14"/>
  <c r="AC60" i="14" s="1"/>
  <c r="AA54" i="14"/>
  <c r="AC54" i="14" s="1"/>
  <c r="AA21" i="14"/>
  <c r="AC21" i="14" s="1"/>
  <c r="AA109" i="14"/>
  <c r="AC109" i="14" s="1"/>
  <c r="AA53" i="14"/>
  <c r="AC53" i="14" s="1"/>
  <c r="AA26" i="14"/>
  <c r="AC26" i="14" s="1"/>
  <c r="AA71" i="14"/>
  <c r="AC71" i="14" s="1"/>
  <c r="AA66" i="14"/>
  <c r="AC66" i="14" s="1"/>
  <c r="AA33" i="14"/>
  <c r="AC33" i="14" s="1"/>
  <c r="AA34" i="14"/>
  <c r="AC34" i="14" s="1"/>
  <c r="AA84" i="14"/>
  <c r="AC84" i="14" s="1"/>
  <c r="AA36" i="14"/>
  <c r="AC36" i="14" s="1"/>
  <c r="AA123" i="14"/>
  <c r="AC123" i="14" s="1"/>
  <c r="AA55" i="14"/>
  <c r="AC55" i="14" s="1"/>
  <c r="AA119" i="14"/>
  <c r="AC119" i="14" s="1"/>
  <c r="AA93" i="14"/>
  <c r="AC93" i="14" s="1"/>
  <c r="AA106" i="14"/>
  <c r="AC106" i="14" s="1"/>
  <c r="AA67" i="14"/>
  <c r="AC67" i="14" s="1"/>
  <c r="AA85" i="14"/>
  <c r="AC85" i="14" s="1"/>
  <c r="AA86" i="14"/>
  <c r="AC86" i="14" s="1"/>
  <c r="AA88" i="14"/>
  <c r="AC88" i="14" s="1"/>
  <c r="AA101" i="14"/>
  <c r="AC101" i="14" s="1"/>
  <c r="AA43" i="14"/>
  <c r="AC43" i="14" s="1"/>
  <c r="AA59" i="14"/>
  <c r="AC59" i="14" s="1"/>
  <c r="AA83" i="14"/>
  <c r="AC83" i="14" s="1"/>
  <c r="AA116" i="14"/>
  <c r="AC116" i="14" s="1"/>
  <c r="AA56" i="14"/>
  <c r="AC56" i="14" s="1"/>
  <c r="AA113" i="14"/>
  <c r="AC113" i="14" s="1"/>
  <c r="AA57" i="14"/>
  <c r="AC57" i="14" s="1"/>
  <c r="AA61" i="14"/>
  <c r="AC61" i="14" s="1"/>
  <c r="AA87" i="14"/>
  <c r="AC87" i="14" s="1"/>
  <c r="AA95" i="14"/>
  <c r="AC95" i="14" s="1"/>
  <c r="AA65" i="14"/>
  <c r="AC65" i="14" s="1"/>
  <c r="AA42" i="14"/>
  <c r="AC42" i="14" s="1"/>
  <c r="AA80" i="14"/>
  <c r="AC80" i="14" s="1"/>
  <c r="AA39" i="14"/>
  <c r="AC39" i="14" s="1"/>
  <c r="AA89" i="14"/>
  <c r="AC89" i="14" s="1"/>
  <c r="AA97" i="14"/>
  <c r="AC97" i="14" s="1"/>
  <c r="AA118" i="14"/>
  <c r="AC118" i="14" s="1"/>
  <c r="AA64" i="14"/>
  <c r="AC64" i="14" s="1"/>
  <c r="AA82" i="14"/>
  <c r="AC82" i="14" s="1"/>
  <c r="AA92" i="14"/>
  <c r="AC92" i="14" s="1"/>
  <c r="AA124" i="14"/>
  <c r="AC124" i="14" s="1"/>
  <c r="AA127" i="14"/>
  <c r="AC127" i="14" s="1"/>
  <c r="AA81" i="14"/>
  <c r="AC81" i="14" s="1"/>
  <c r="AA91" i="14"/>
  <c r="AC91" i="14" s="1"/>
  <c r="AA99" i="14"/>
  <c r="AC99" i="14" s="1"/>
  <c r="AA52" i="14"/>
  <c r="AC52" i="14" s="1"/>
  <c r="AA27" i="14"/>
  <c r="AC27" i="14" s="1"/>
  <c r="AA117" i="14"/>
  <c r="AC117" i="14" s="1"/>
  <c r="AA29" i="14"/>
  <c r="AC29" i="14" s="1"/>
  <c r="AA24" i="14"/>
  <c r="AC24" i="14" s="1"/>
  <c r="AA104" i="14"/>
  <c r="AC104" i="14" s="1"/>
  <c r="AA49" i="14"/>
  <c r="AC49" i="14" s="1"/>
  <c r="AA20" i="14"/>
  <c r="AC20" i="14" s="1"/>
  <c r="AA110" i="14"/>
  <c r="AC110" i="14" s="1"/>
  <c r="AA76" i="14"/>
  <c r="AC76" i="14" s="1"/>
  <c r="AA23" i="14"/>
  <c r="AC23" i="14" s="1"/>
  <c r="AA126" i="14"/>
  <c r="AC126" i="14" s="1"/>
  <c r="AA73" i="14"/>
  <c r="AC73" i="14" s="1"/>
  <c r="AA120" i="14"/>
  <c r="AC120" i="14" s="1"/>
  <c r="AA46" i="14"/>
  <c r="AC46" i="14" s="1"/>
  <c r="AA112" i="14"/>
  <c r="AC112" i="14" s="1"/>
  <c r="AA44" i="14"/>
  <c r="AC44" i="14" s="1"/>
  <c r="AA50" i="14"/>
  <c r="AC50" i="14" s="1"/>
  <c r="AA45" i="14"/>
  <c r="AC45" i="14" s="1"/>
  <c r="AA114" i="14"/>
  <c r="AC114" i="14" s="1"/>
  <c r="AA30" i="14"/>
  <c r="AC30" i="14" s="1"/>
  <c r="AA22" i="14"/>
  <c r="AC22" i="14" s="1"/>
  <c r="AA122" i="14"/>
  <c r="AC122" i="14" s="1"/>
  <c r="AA78" i="14"/>
  <c r="AC78" i="14" s="1"/>
  <c r="S128" i="14"/>
  <c r="AA19" i="14"/>
  <c r="AC19" i="14" s="1"/>
  <c r="AA16" i="14"/>
  <c r="AC16" i="14" s="1"/>
  <c r="R128" i="14"/>
  <c r="AA10" i="14"/>
  <c r="AC10" i="14" s="1"/>
  <c r="AA11" i="14"/>
  <c r="AC11" i="14" s="1"/>
  <c r="AA13" i="14"/>
  <c r="AC13" i="14" s="1"/>
  <c r="O128" i="14"/>
  <c r="AA18" i="14"/>
  <c r="AC18" i="14" s="1"/>
  <c r="AA17" i="14"/>
  <c r="AC17" i="14" s="1"/>
  <c r="L128" i="14"/>
  <c r="T128" i="14"/>
  <c r="Q128" i="14"/>
  <c r="AA14" i="14"/>
  <c r="AC14" i="14" s="1"/>
  <c r="AA12" i="14"/>
  <c r="AC12" i="14" s="1"/>
  <c r="N128" i="14"/>
  <c r="P128" i="14"/>
  <c r="K128" i="14"/>
  <c r="AA8" i="14"/>
  <c r="M128" i="14"/>
  <c r="AA15" i="14"/>
  <c r="AC15" i="14" s="1"/>
  <c r="AA9" i="14"/>
  <c r="AC9" i="14" s="1"/>
  <c r="AC8" i="14" l="1"/>
  <c r="AC128" i="14" s="1"/>
  <c r="AA128" i="14"/>
  <c r="AB6" i="6" l="1"/>
  <c r="AB7" i="6" l="1"/>
  <c r="C7" i="6" l="1"/>
  <c r="Z7" i="6" l="1"/>
  <c r="R7" i="6"/>
  <c r="J7" i="6"/>
  <c r="G7" i="6"/>
  <c r="K7" i="6"/>
  <c r="Y7" i="6"/>
  <c r="Q7" i="6"/>
  <c r="I7" i="6"/>
  <c r="O7" i="6"/>
  <c r="S7" i="6"/>
  <c r="X7" i="6"/>
  <c r="P7" i="6"/>
  <c r="H7" i="6"/>
  <c r="W7" i="6"/>
  <c r="V7" i="6"/>
  <c r="N7" i="6"/>
  <c r="F7" i="6"/>
  <c r="T7" i="6"/>
  <c r="U7" i="6"/>
  <c r="M7" i="6"/>
  <c r="E7" i="6"/>
  <c r="L7" i="6"/>
  <c r="D7" i="6"/>
  <c r="C9" i="3" l="1"/>
  <c r="AA6" i="6"/>
  <c r="E9" i="3" l="1"/>
  <c r="C10" i="3"/>
  <c r="AC7" i="6"/>
  <c r="AA7" i="6"/>
  <c r="E10" i="3" l="1"/>
  <c r="D10" i="3" s="1"/>
  <c r="S102" i="24"/>
  <c r="Q102" i="24"/>
  <c r="J102" i="24"/>
  <c r="I102" i="24"/>
  <c r="M102" i="24"/>
  <c r="X102" i="24"/>
  <c r="U102" i="24"/>
  <c r="Y102" i="24"/>
  <c r="L102" i="24"/>
  <c r="O102" i="24"/>
  <c r="P102" i="24"/>
  <c r="H102" i="24"/>
  <c r="W102" i="24"/>
  <c r="R102" i="24"/>
  <c r="N102" i="24"/>
  <c r="F102" i="24"/>
  <c r="G102" i="24"/>
  <c r="T102" i="24"/>
  <c r="K102" i="24"/>
  <c r="E102" i="24"/>
  <c r="V102" i="24"/>
  <c r="Z102" i="24"/>
  <c r="D102" i="24" l="1"/>
  <c r="C13" i="23"/>
  <c r="E13" i="23" s="1"/>
  <c r="C12" i="23"/>
  <c r="E12" i="23" s="1"/>
  <c r="C102" i="24"/>
  <c r="C11" i="23" s="1"/>
  <c r="E11" i="23" s="1"/>
  <c r="AA7" i="24"/>
  <c r="AA102" i="24" s="1"/>
  <c r="C15" i="23" l="1"/>
  <c r="E15" i="23" s="1"/>
  <c r="C16" i="23"/>
  <c r="E16" i="23" s="1"/>
  <c r="C10" i="23"/>
  <c r="E10" i="23" s="1"/>
  <c r="C14" i="23"/>
  <c r="E14" i="23" s="1"/>
  <c r="C9" i="23"/>
  <c r="AC102" i="24"/>
  <c r="E9" i="23" l="1"/>
  <c r="C17" i="23"/>
  <c r="E17" i="23" l="1"/>
  <c r="D17" i="23" s="1"/>
  <c r="F17" i="23" l="1"/>
  <c r="C3" i="24"/>
  <c r="AC6" i="20"/>
  <c r="C3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<sst xmlns="http://schemas.openxmlformats.org/spreadsheetml/2006/main" count="212" uniqueCount="69">
  <si>
    <t>PRODUCTO No. 1</t>
  </si>
  <si>
    <t>AÑO</t>
  </si>
  <si>
    <t>ENERGIA SOLICITADA kWh/AÑO</t>
  </si>
  <si>
    <t xml:space="preserve">% OFERTADO </t>
  </si>
  <si>
    <t>ENERGIA OFERTADA kWh/AÑO</t>
  </si>
  <si>
    <t>PRECIO OFERTADO  $/kWh</t>
  </si>
  <si>
    <t>TOTAL</t>
  </si>
  <si>
    <t>Términos y condiciones</t>
  </si>
  <si>
    <t>Periodo</t>
  </si>
  <si>
    <t>H00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</si>
  <si>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</si>
  <si>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</si>
  <si>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</si>
  <si>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</si>
  <si>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</si>
  <si>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</si>
  <si>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</si>
  <si>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</si>
  <si>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</si>
  <si>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</si>
  <si>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</si>
  <si>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</si>
  <si>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</si>
  <si>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</si>
  <si>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</si>
  <si>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</si>
  <si>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</si>
  <si>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</si>
  <si>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</si>
  <si>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</si>
  <si>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</si>
  <si>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</si>
  <si>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</si>
  <si>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TOTAL DÍA</t>
  </si>
  <si>
    <t>Días/</t>
  </si>
  <si>
    <t>TOTAL MES</t>
  </si>
  <si>
    <t>mes</t>
  </si>
  <si>
    <t xml:space="preserve">TOTAL PERIODO </t>
  </si>
  <si>
    <t>% Distribución oferta</t>
  </si>
  <si>
    <t>PRODUCTO No. 3</t>
  </si>
  <si>
    <t>CURVAS REQUERIDAS PRODUCTO 3 PERIODO 2026 A 2035 MODALIDAD PAGUE LO CONTRATADO - kWh</t>
  </si>
  <si>
    <t>PAGUE LO CONTRATADO PERIODO 2028</t>
  </si>
  <si>
    <t>PAGUE LO CONTRATADO PERIODO 2027</t>
  </si>
  <si>
    <t>PAGUE LO CONTRATADO PERIODO 2026</t>
  </si>
  <si>
    <t>PRODUCTO No. 2</t>
  </si>
  <si>
    <t>PRODUCTO No. 4</t>
  </si>
  <si>
    <t>CURVAS REQUERIDAS PRODUCTO 3 PERIODO 2028 MODALIDAD PAGUE LO CONTRATADO - kWh</t>
  </si>
  <si>
    <t>CURVAS REQUERIDAS PRODUCTO 2 PERIODO 2027 MODALIDAD PAGUE LO CONTRATADO - kWh</t>
  </si>
  <si>
    <t>CURVAS REQUERIDAS PRODUCTO 1 PERIODO 2026 MODALIDAD PAGUE LO CONTRATADO - kWh</t>
  </si>
  <si>
    <t>El procentaje ofrecido se distribuirá a prorrata de la curva de carga horaria, según las cantidades indicadas en "Curvas Prod 2"</t>
  </si>
  <si>
    <t>El procentaje ofrecido se distribuirá a prorrata de la curva de carga horaria, según las cantidades indicadas en "Curvas Prod 3"</t>
  </si>
  <si>
    <t>El procentaje ofrecido se distribuirá a prorrata de la curva de carga horaria, según las cantidades indicadas en "Curvas Prod 4"</t>
  </si>
  <si>
    <t xml:space="preserve">OFERENTE: </t>
  </si>
  <si>
    <t>El porcentaje ofrecido se distribuirá a prorrata de la curva de carga horaria, según las cantidades indicadas en "Curvas Prod 1"</t>
  </si>
  <si>
    <t>PERIODO</t>
  </si>
  <si>
    <t>PAGUE LO CONTRATADO PERIODO 2029 A 2032</t>
  </si>
  <si>
    <t>CURVAS REQUERIDAS PRODUCTO 4 PERIODO 2029 A 2032 MODALIDAD PAGUE LO CONTRATADO - kWh</t>
  </si>
  <si>
    <t>La oferta deberá cubrir al menos un mes dentro de cada trimestre</t>
  </si>
  <si>
    <t xml:space="preserve">Oferta por mes. Condicionado a un único porcentaje para todo el mes. 
Un único precio para el periodo. </t>
  </si>
  <si>
    <t>Ofertas por mes: Condicionado a que se oferte al menos 6 meses del año, un porcentaje de al menos el 15% de lo requerido para cada periodo. La diferencia del mes con la oferta con menor porcentaje y el mes con mayor porcentaje, no podrá superar 20 punto porcentuales (ejemplo: supóngase que la oferta para el mes con el menor porcentaje ofertado es del 20% del total demanda, entonces la oferta para el mes de mayor porcentaje deberá ser menor o igual al 40%).</t>
  </si>
  <si>
    <t>Precio diferenciado por mes</t>
  </si>
  <si>
    <t xml:space="preserve">Ofertas por mes: Condicionado a que se oferte los 12 meses, con un porcentaje de al menos el 10% de lo requerido para cada mes.
La diferencia del mes con la oferta con menor porcentaje y el mes con mayor porcentaje, no podrá superar 20 punto porcentuales (ejemplo: supóngase que la oferta para el mes con el menor porcentaje ofertado es del 20% del total demanda, entonces la oferta para el mes de mayor porcentaje deberá ser menor o igual al 40%). </t>
  </si>
  <si>
    <t>Precio único para toda la vigencia.</t>
  </si>
  <si>
    <t>El periodo de contratación comprende ocho (8) años, contados desde el 1 de enero de 2029 hasta el 31 de diciembre de 2036. Dicho periodo se divide en dos (2) bloques independientes de cuatro (4) años cada uno, así:
Bloque A – años 2029, 2030, 2031 y 2032
Bloque B – años 2033, 2034, 2035 y 2036</t>
  </si>
  <si>
    <t>El precio es diferenciado por año.</t>
  </si>
  <si>
    <t>El oferente podrá ofertar un porcentaje de energía (%) único para cada bloque de forma independiente. Esto es un unico porcentaje para el bloque A y un unico porcentaje para el bloque B.</t>
  </si>
  <si>
    <t>ENERGIA SOLICITADA kWh/MES</t>
  </si>
  <si>
    <t>ENERGIA OFERTADA kWh/MES</t>
  </si>
  <si>
    <t>PRECIO OFERTADO EN $ / kWh DE ABRIL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</si>
</sst>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 * #,##0_ ;_ * \-#,##0_ ;_ * &quot;-&quot;??_ ;_ @_ "/>
    <numFmt numFmtId="166" formatCode="#,##0.0000_ ;\-#,##0.0000\ "/>
    <numFmt numFmtId="167" formatCode="mmm/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7"/>
      <name val="Calibri Light"/>
      <family val="2"/>
      <scheme val="major"/>
    </font>
    <font>
      <sz val="7"/>
      <color theme="1"/>
      <name val="Calibri Light"/>
      <family val="2"/>
      <scheme val="major"/>
    </font>
    <font>
      <b/>
      <sz val="7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8"/>
      <name val="Calibri"/>
      <family val="2"/>
      <scheme val="minor"/>
    </font>
    <font>
      <sz val="7"/>
      <color theme="0"/>
      <name val="Calibri Light"/>
      <family val="2"/>
      <scheme val="maj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BFBFB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BFBFB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2" tint="-0.24997711111789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theme="2" tint="-0.249977111117893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theme="2" tint="-0.249977111117893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theme="2" tint="-0.24997711111789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BFBFBF"/>
      </bottom>
      <diagonal/>
    </border>
    <border>
      <left style="thin">
        <color indexed="64"/>
      </left>
      <right style="thin">
        <color indexed="64"/>
      </right>
      <top style="medium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theme="6"/>
      </top>
      <bottom style="medium">
        <color rgb="FFBFBFBF"/>
      </bottom>
      <diagonal/>
    </border>
    <border>
      <left style="thin">
        <color indexed="64"/>
      </left>
      <right style="thin">
        <color indexed="64"/>
      </right>
      <top style="medium">
        <color theme="6"/>
      </top>
      <bottom style="medium">
        <color rgb="FFBFBFBF"/>
      </bottom>
      <diagonal/>
    </border>
    <border>
      <left style="thin">
        <color indexed="64"/>
      </left>
      <right style="thin">
        <color indexed="64"/>
      </right>
      <top style="medium">
        <color rgb="FFBFBFBF"/>
      </top>
      <bottom/>
      <diagonal/>
    </border>
    <border>
      <left style="thin">
        <color indexed="64"/>
      </left>
      <right style="thin">
        <color indexed="64"/>
      </right>
      <top style="medium">
        <color rgb="FFBFBFBF"/>
      </top>
      <bottom style="medium">
        <color theme="2" tint="-0.249977111117893"/>
      </bottom>
      <diagonal/>
    </border>
    <border>
      <left style="thin">
        <color indexed="64"/>
      </left>
      <right style="thin">
        <color indexed="64"/>
      </right>
      <top/>
      <bottom style="medium">
        <color theme="2" tint="-0.249977111117893"/>
      </bottom>
      <diagonal/>
    </border>
    <border>
      <left style="thin">
        <color indexed="64"/>
      </left>
      <right style="thin">
        <color indexed="64"/>
      </right>
      <top style="medium">
        <color theme="2" tint="-0.249977111117893"/>
      </top>
      <bottom style="medium">
        <color theme="2" tint="-0.249977111117893"/>
      </bottom>
      <diagonal/>
    </border>
    <border>
      <left style="thin">
        <color indexed="64"/>
      </left>
      <right style="thin">
        <color indexed="64"/>
      </right>
      <top style="medium">
        <color theme="2" tint="-0.249977111117893"/>
      </top>
      <bottom/>
      <diagonal/>
    </border>
    <border>
      <left style="thin">
        <color indexed="64"/>
      </left>
      <right style="medium">
        <color indexed="64"/>
      </right>
      <top style="medium">
        <color theme="2" tint="-0.249977111117893"/>
      </top>
      <bottom style="medium">
        <color theme="2" tint="-0.249977111117893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theme="2" tint="-0.249977111117893"/>
      </bottom>
      <diagonal/>
    </border>
    <border>
      <left style="thin">
        <color indexed="64"/>
      </left>
      <right style="medium">
        <color indexed="64"/>
      </right>
      <top style="medium">
        <color theme="2" tint="-0.24997711111789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0" tint="-0.249977111117893"/>
      </top>
      <bottom style="medium">
        <color rgb="FFBFBFBF"/>
      </bottom>
      <diagonal/>
    </border>
    <border>
      <left style="thin">
        <color indexed="64"/>
      </left>
      <right style="thin">
        <color indexed="64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 style="medium">
        <color theme="0" tint="-0.249977111117893"/>
      </bottom>
      <diagonal/>
    </border>
    <border>
      <left style="thin">
        <color indexed="64"/>
      </left>
      <right style="thin">
        <color indexed="64"/>
      </right>
      <top style="medium">
        <color theme="0" tint="-0.249977111117893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/>
    </xf>
    <xf numFmtId="164" fontId="4" fillId="0" borderId="0" xfId="1" applyNumberFormat="1" applyFont="1" applyFill="1" applyBorder="1" applyAlignment="1">
      <alignment vertical="center"/>
    </xf>
    <xf numFmtId="164" fontId="5" fillId="0" borderId="0" xfId="1" applyNumberFormat="1" applyFont="1" applyFill="1" applyBorder="1" applyAlignment="1">
      <alignment vertical="center"/>
    </xf>
    <xf numFmtId="43" fontId="0" fillId="0" borderId="0" xfId="1" applyFont="1"/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4" fontId="5" fillId="0" borderId="0" xfId="1" applyNumberFormat="1" applyFont="1" applyBorder="1" applyAlignment="1">
      <alignment vertical="center"/>
    </xf>
    <xf numFmtId="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/>
    <xf numFmtId="3" fontId="0" fillId="0" borderId="0" xfId="0" applyNumberFormat="1"/>
    <xf numFmtId="164" fontId="0" fillId="0" borderId="0" xfId="1" applyNumberFormat="1" applyFont="1"/>
    <xf numFmtId="0" fontId="8" fillId="0" borderId="0" xfId="0" applyFont="1"/>
    <xf numFmtId="0" fontId="7" fillId="0" borderId="0" xfId="0" applyFont="1"/>
    <xf numFmtId="0" fontId="10" fillId="0" borderId="5" xfId="0" applyFont="1" applyBorder="1" applyAlignment="1">
      <alignment horizontal="center" vertical="center" wrapText="1"/>
    </xf>
    <xf numFmtId="17" fontId="10" fillId="0" borderId="5" xfId="0" applyNumberFormat="1" applyFont="1" applyBorder="1" applyAlignment="1">
      <alignment horizontal="center" vertical="center"/>
    </xf>
    <xf numFmtId="165" fontId="11" fillId="0" borderId="5" xfId="0" applyNumberFormat="1" applyFont="1" applyBorder="1" applyAlignment="1">
      <alignment vertical="center"/>
    </xf>
    <xf numFmtId="3" fontId="11" fillId="0" borderId="5" xfId="1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2" fontId="10" fillId="0" borderId="5" xfId="1" applyNumberFormat="1" applyFont="1" applyBorder="1" applyAlignment="1">
      <alignment horizontal="center" vertical="center"/>
    </xf>
    <xf numFmtId="164" fontId="10" fillId="0" borderId="5" xfId="1" applyNumberFormat="1" applyFont="1" applyBorder="1" applyAlignment="1">
      <alignment horizontal="center" vertical="center"/>
    </xf>
    <xf numFmtId="3" fontId="10" fillId="0" borderId="5" xfId="1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4" fontId="11" fillId="0" borderId="5" xfId="1" applyNumberFormat="1" applyFont="1" applyBorder="1" applyAlignment="1">
      <alignment horizontal="center" vertical="center"/>
    </xf>
    <xf numFmtId="166" fontId="8" fillId="0" borderId="0" xfId="0" applyNumberFormat="1" applyFont="1"/>
    <xf numFmtId="43" fontId="0" fillId="0" borderId="0" xfId="0" applyNumberFormat="1"/>
    <xf numFmtId="9" fontId="8" fillId="0" borderId="0" xfId="2" applyFont="1"/>
    <xf numFmtId="10" fontId="8" fillId="0" borderId="5" xfId="2" applyNumberFormat="1" applyFont="1" applyBorder="1"/>
    <xf numFmtId="4" fontId="0" fillId="0" borderId="0" xfId="0" applyNumberFormat="1"/>
    <xf numFmtId="2" fontId="5" fillId="0" borderId="21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10" fontId="5" fillId="0" borderId="18" xfId="2" applyNumberFormat="1" applyFont="1" applyBorder="1" applyAlignment="1">
      <alignment vertical="center"/>
    </xf>
    <xf numFmtId="4" fontId="5" fillId="0" borderId="18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0" fontId="5" fillId="0" borderId="23" xfId="2" applyNumberFormat="1" applyFont="1" applyBorder="1" applyAlignment="1">
      <alignment vertical="center"/>
    </xf>
    <xf numFmtId="10" fontId="13" fillId="2" borderId="4" xfId="2" applyNumberFormat="1" applyFont="1" applyFill="1" applyBorder="1" applyAlignment="1">
      <alignment vertical="center"/>
    </xf>
    <xf numFmtId="3" fontId="4" fillId="0" borderId="4" xfId="0" applyNumberFormat="1" applyFont="1" applyBorder="1" applyAlignment="1">
      <alignment horizontal="center" vertical="center"/>
    </xf>
    <xf numFmtId="1" fontId="4" fillId="0" borderId="26" xfId="0" applyNumberFormat="1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12" fillId="0" borderId="0" xfId="0" applyFont="1" applyAlignment="1">
      <alignment horizontal="right"/>
    </xf>
    <xf numFmtId="2" fontId="13" fillId="2" borderId="24" xfId="0" applyNumberFormat="1" applyFont="1" applyFill="1" applyBorder="1" applyAlignment="1">
      <alignment horizontal="center" vertical="center"/>
    </xf>
    <xf numFmtId="0" fontId="15" fillId="0" borderId="0" xfId="0" applyFont="1"/>
    <xf numFmtId="43" fontId="8" fillId="0" borderId="0" xfId="0" applyNumberFormat="1" applyFont="1"/>
    <xf numFmtId="43" fontId="11" fillId="0" borderId="5" xfId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 vertical="center"/>
    </xf>
    <xf numFmtId="3" fontId="4" fillId="0" borderId="30" xfId="0" applyNumberFormat="1" applyFont="1" applyBorder="1" applyAlignment="1">
      <alignment horizontal="center" vertical="center"/>
    </xf>
    <xf numFmtId="4" fontId="4" fillId="0" borderId="30" xfId="0" applyNumberFormat="1" applyFont="1" applyBorder="1" applyAlignment="1">
      <alignment horizontal="center" vertical="center"/>
    </xf>
    <xf numFmtId="4" fontId="4" fillId="0" borderId="31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1" fontId="4" fillId="0" borderId="32" xfId="0" applyNumberFormat="1" applyFont="1" applyBorder="1" applyAlignment="1">
      <alignment horizontal="center" vertical="center"/>
    </xf>
    <xf numFmtId="3" fontId="4" fillId="0" borderId="33" xfId="0" applyNumberFormat="1" applyFont="1" applyBorder="1" applyAlignment="1">
      <alignment horizontal="center" vertical="center"/>
    </xf>
    <xf numFmtId="3" fontId="4" fillId="0" borderId="34" xfId="0" applyNumberFormat="1" applyFont="1" applyBorder="1" applyAlignment="1">
      <alignment horizontal="center" vertical="center"/>
    </xf>
    <xf numFmtId="10" fontId="13" fillId="2" borderId="1" xfId="2" applyNumberFormat="1" applyFont="1" applyFill="1" applyBorder="1" applyAlignment="1">
      <alignment vertical="center"/>
    </xf>
    <xf numFmtId="10" fontId="13" fillId="2" borderId="2" xfId="2" applyNumberFormat="1" applyFont="1" applyFill="1" applyBorder="1" applyAlignment="1">
      <alignment vertical="center"/>
    </xf>
    <xf numFmtId="2" fontId="13" fillId="2" borderId="19" xfId="0" applyNumberFormat="1" applyFont="1" applyFill="1" applyBorder="1" applyAlignment="1">
      <alignment vertical="center"/>
    </xf>
    <xf numFmtId="2" fontId="13" fillId="2" borderId="20" xfId="0" applyNumberFormat="1" applyFont="1" applyFill="1" applyBorder="1" applyAlignment="1">
      <alignment vertical="center"/>
    </xf>
    <xf numFmtId="2" fontId="13" fillId="2" borderId="10" xfId="0" applyNumberFormat="1" applyFont="1" applyFill="1" applyBorder="1" applyAlignment="1">
      <alignment vertical="center"/>
    </xf>
    <xf numFmtId="10" fontId="13" fillId="2" borderId="36" xfId="2" applyNumberFormat="1" applyFont="1" applyFill="1" applyBorder="1" applyAlignment="1">
      <alignment vertical="center"/>
    </xf>
    <xf numFmtId="10" fontId="13" fillId="2" borderId="37" xfId="2" applyNumberFormat="1" applyFont="1" applyFill="1" applyBorder="1" applyAlignment="1">
      <alignment vertical="center"/>
    </xf>
    <xf numFmtId="10" fontId="13" fillId="2" borderId="38" xfId="2" applyNumberFormat="1" applyFont="1" applyFill="1" applyBorder="1" applyAlignment="1">
      <alignment vertical="center"/>
    </xf>
    <xf numFmtId="2" fontId="13" fillId="2" borderId="24" xfId="0" applyNumberFormat="1" applyFont="1" applyFill="1" applyBorder="1" applyAlignment="1">
      <alignment vertical="center"/>
    </xf>
    <xf numFmtId="2" fontId="13" fillId="2" borderId="39" xfId="0" applyNumberFormat="1" applyFont="1" applyFill="1" applyBorder="1" applyAlignment="1">
      <alignment vertical="center"/>
    </xf>
    <xf numFmtId="4" fontId="4" fillId="0" borderId="35" xfId="0" applyNumberFormat="1" applyFont="1" applyBorder="1" applyAlignment="1">
      <alignment horizontal="center" vertical="center"/>
    </xf>
    <xf numFmtId="2" fontId="13" fillId="2" borderId="40" xfId="0" applyNumberFormat="1" applyFont="1" applyFill="1" applyBorder="1" applyAlignment="1">
      <alignment vertical="center"/>
    </xf>
    <xf numFmtId="2" fontId="13" fillId="2" borderId="41" xfId="0" applyNumberFormat="1" applyFont="1" applyFill="1" applyBorder="1" applyAlignment="1">
      <alignment vertical="center"/>
    </xf>
    <xf numFmtId="10" fontId="13" fillId="2" borderId="4" xfId="2" applyNumberFormat="1" applyFont="1" applyFill="1" applyBorder="1" applyAlignment="1">
      <alignment horizontal="center" vertical="center"/>
    </xf>
    <xf numFmtId="10" fontId="13" fillId="2" borderId="1" xfId="2" applyNumberFormat="1" applyFont="1" applyFill="1" applyBorder="1" applyAlignment="1">
      <alignment horizontal="center" vertical="center"/>
    </xf>
    <xf numFmtId="9" fontId="0" fillId="0" borderId="0" xfId="0" applyNumberFormat="1"/>
    <xf numFmtId="3" fontId="4" fillId="0" borderId="35" xfId="0" applyNumberFormat="1" applyFont="1" applyBorder="1" applyAlignment="1">
      <alignment horizontal="center" vertical="center"/>
    </xf>
    <xf numFmtId="164" fontId="16" fillId="0" borderId="0" xfId="1" applyNumberFormat="1" applyFont="1"/>
    <xf numFmtId="3" fontId="4" fillId="0" borderId="42" xfId="0" applyNumberFormat="1" applyFont="1" applyBorder="1" applyAlignment="1">
      <alignment horizontal="center" vertical="center"/>
    </xf>
    <xf numFmtId="10" fontId="13" fillId="2" borderId="44" xfId="2" applyNumberFormat="1" applyFont="1" applyFill="1" applyBorder="1" applyAlignment="1">
      <alignment horizontal="center" vertical="center"/>
    </xf>
    <xf numFmtId="10" fontId="13" fillId="2" borderId="45" xfId="2" applyNumberFormat="1" applyFont="1" applyFill="1" applyBorder="1" applyAlignment="1">
      <alignment horizontal="center" vertical="center"/>
    </xf>
    <xf numFmtId="10" fontId="13" fillId="2" borderId="43" xfId="2" applyNumberFormat="1" applyFont="1" applyFill="1" applyBorder="1" applyAlignment="1">
      <alignment horizontal="center" vertical="center"/>
    </xf>
    <xf numFmtId="10" fontId="5" fillId="0" borderId="46" xfId="2" applyNumberFormat="1" applyFont="1" applyBorder="1" applyAlignment="1">
      <alignment horizontal="center" vertical="center"/>
    </xf>
    <xf numFmtId="10" fontId="5" fillId="0" borderId="18" xfId="2" applyNumberFormat="1" applyFont="1" applyBorder="1" applyAlignment="1">
      <alignment horizontal="center" vertical="center"/>
    </xf>
    <xf numFmtId="164" fontId="0" fillId="0" borderId="0" xfId="0" applyNumberFormat="1"/>
    <xf numFmtId="164" fontId="11" fillId="0" borderId="5" xfId="1" applyNumberFormat="1" applyFont="1" applyBorder="1" applyAlignment="1">
      <alignment vertical="center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wrapText="1"/>
    </xf>
    <xf numFmtId="0" fontId="10" fillId="0" borderId="5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2" fontId="13" fillId="2" borderId="19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1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10" fontId="13" fillId="2" borderId="7" xfId="2" applyNumberFormat="1" applyFont="1" applyFill="1" applyBorder="1" applyAlignment="1">
      <alignment horizontal="center" vertical="center"/>
    </xf>
    <xf numFmtId="10" fontId="13" fillId="2" borderId="4" xfId="2" applyNumberFormat="1" applyFont="1" applyFill="1" applyBorder="1" applyAlignment="1">
      <alignment horizontal="center" vertical="center"/>
    </xf>
    <xf numFmtId="10" fontId="13" fillId="2" borderId="18" xfId="2" applyNumberFormat="1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66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lsia.sharepoint.com/teams/LojAvengers-AdmineB/Documentos%20compartidos/3.%20Biters/Negocio/Trading/Contratos/Convocatoria%20SICEP%202026-01/Terminos%20de%20referencia%20-%20Preliminares/Curva%20horaria.xlsx" TargetMode="External"/><Relationship Id="rId1" Type="http://schemas.openxmlformats.org/officeDocument/2006/relationships/externalLinkPath" Target="Curva%20horar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manda regulada historica"/>
      <sheetName val="Dias festivos"/>
      <sheetName val="Curva Base"/>
      <sheetName val="Proyección a contratar"/>
    </sheetNames>
    <sheetDataSet>
      <sheetData sheetId="0" refreshError="1"/>
      <sheetData sheetId="1" refreshError="1"/>
      <sheetData sheetId="2">
        <row r="8">
          <cell r="G8">
            <v>3.2307492907517277E-2</v>
          </cell>
        </row>
        <row r="9">
          <cell r="G9">
            <v>3.0391331498771872E-2</v>
          </cell>
        </row>
        <row r="10">
          <cell r="G10">
            <v>2.9135505722269913E-2</v>
          </cell>
        </row>
        <row r="11">
          <cell r="G11">
            <v>2.8265462980432091E-2</v>
          </cell>
        </row>
        <row r="12">
          <cell r="G12">
            <v>2.8615879288345157E-2</v>
          </cell>
        </row>
        <row r="13">
          <cell r="G13">
            <v>3.0599734331162413E-2</v>
          </cell>
        </row>
        <row r="14">
          <cell r="G14">
            <v>3.2579809815239724E-2</v>
          </cell>
        </row>
        <row r="15">
          <cell r="G15">
            <v>3.6200875664461118E-2</v>
          </cell>
        </row>
        <row r="16">
          <cell r="G16">
            <v>4.0579719081870802E-2</v>
          </cell>
        </row>
        <row r="17">
          <cell r="G17">
            <v>4.3490916714062917E-2</v>
          </cell>
        </row>
        <row r="18">
          <cell r="G18">
            <v>4.7251248221735584E-2</v>
          </cell>
        </row>
        <row r="19">
          <cell r="G19">
            <v>4.9474783293219506E-2</v>
          </cell>
        </row>
        <row r="20">
          <cell r="G20">
            <v>4.9977987214980715E-2</v>
          </cell>
        </row>
        <row r="21">
          <cell r="G21">
            <v>5.057448963408398E-2</v>
          </cell>
        </row>
        <row r="22">
          <cell r="G22">
            <v>5.1623693043861711E-2</v>
          </cell>
        </row>
        <row r="23">
          <cell r="G23">
            <v>5.1745687137136169E-2</v>
          </cell>
        </row>
        <row r="24">
          <cell r="G24">
            <v>5.0916592110727597E-2</v>
          </cell>
        </row>
        <row r="25">
          <cell r="G25">
            <v>4.9104570722809653E-2</v>
          </cell>
        </row>
        <row r="26">
          <cell r="G26">
            <v>5.0017211367767447E-2</v>
          </cell>
        </row>
        <row r="27">
          <cell r="G27">
            <v>5.0468137882567578E-2</v>
          </cell>
        </row>
        <row r="28">
          <cell r="G28">
            <v>4.7490883326962406E-2</v>
          </cell>
        </row>
        <row r="29">
          <cell r="G29">
            <v>4.356870614251851E-2</v>
          </cell>
        </row>
        <row r="30">
          <cell r="G30">
            <v>3.9802254564889367E-2</v>
          </cell>
        </row>
        <row r="31">
          <cell r="G31">
            <v>3.5817027332606791E-2</v>
          </cell>
        </row>
      </sheetData>
      <sheetData sheetId="3">
        <row r="8">
          <cell r="P8">
            <v>6300000</v>
          </cell>
          <cell r="Q8">
            <v>7200000</v>
          </cell>
          <cell r="R8">
            <v>7400000</v>
          </cell>
          <cell r="S8">
            <v>8200000</v>
          </cell>
          <cell r="T8">
            <v>8600000</v>
          </cell>
          <cell r="U8">
            <v>9400000</v>
          </cell>
          <cell r="V8">
            <v>9900000</v>
          </cell>
          <cell r="W8">
            <v>10600000</v>
          </cell>
          <cell r="X8">
            <v>11400000</v>
          </cell>
          <cell r="Y8">
            <v>11900000</v>
          </cell>
          <cell r="Z8">
            <v>12800000</v>
          </cell>
          <cell r="AA8">
            <v>13400000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5BA76A-B364-4039-BE32-EEC468BD02D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bb8367a-1f06-489c-a595-fca41430be1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DA6E-7917-4972-9119-174A55FDE3A5}">
  <dimension ref="B2:J14"/>
  <sheetViews>
    <sheetView showGridLines="0" tabSelected="1" view="pageBreakPreview" zoomScaleNormal="100" zoomScaleSheetLayoutView="100" workbookViewId="0">
      <selection activeCell="I4" sqref="I4"/>
    </sheetView>
  </sheetViews>
  <sheetFormatPr baseColWidth="10" defaultColWidth="11.453125" defaultRowHeight="14.5" x14ac:dyDescent="0.35"/>
  <cols>
    <col min="1" max="1" width="7.7265625" customWidth="1"/>
    <col min="2" max="6" width="14.7265625" customWidth="1"/>
    <col min="7" max="7" width="16.81640625" customWidth="1"/>
    <col min="8" max="8" width="14.1796875" bestFit="1" customWidth="1"/>
    <col min="9" max="9" width="13.453125" bestFit="1" customWidth="1"/>
    <col min="10" max="10" width="13.1796875" bestFit="1" customWidth="1"/>
  </cols>
  <sheetData>
    <row r="2" spans="2:10" x14ac:dyDescent="0.35">
      <c r="B2" s="84" t="s">
        <v>0</v>
      </c>
      <c r="C2" s="84"/>
      <c r="D2" s="84"/>
      <c r="E2" s="84"/>
      <c r="F2" s="84"/>
      <c r="G2" s="1"/>
    </row>
    <row r="3" spans="2:10" x14ac:dyDescent="0.35">
      <c r="B3" s="84" t="s">
        <v>43</v>
      </c>
      <c r="C3" s="84"/>
      <c r="D3" s="84"/>
      <c r="E3" s="84"/>
      <c r="F3" s="84"/>
      <c r="G3" s="1"/>
    </row>
    <row r="4" spans="2:10" x14ac:dyDescent="0.35">
      <c r="B4" s="84" t="s">
        <v>68</v>
      </c>
      <c r="C4" s="84"/>
      <c r="D4" s="84"/>
      <c r="E4" s="84"/>
      <c r="F4" s="84"/>
      <c r="G4" s="1"/>
    </row>
    <row r="5" spans="2:10" ht="15" thickBot="1" x14ac:dyDescent="0.4">
      <c r="B5" s="44" t="s">
        <v>52</v>
      </c>
      <c r="C5" s="42"/>
      <c r="E5" s="42"/>
    </row>
    <row r="6" spans="2:10" ht="15" thickBot="1" x14ac:dyDescent="0.4">
      <c r="D6" s="43"/>
    </row>
    <row r="7" spans="2:10" ht="15" customHeight="1" x14ac:dyDescent="0.35">
      <c r="B7" s="85" t="s">
        <v>54</v>
      </c>
      <c r="C7" s="87" t="s">
        <v>66</v>
      </c>
      <c r="D7" s="87" t="s">
        <v>3</v>
      </c>
      <c r="E7" s="87" t="s">
        <v>67</v>
      </c>
      <c r="F7" s="89" t="s">
        <v>5</v>
      </c>
      <c r="G7" s="2"/>
    </row>
    <row r="8" spans="2:10" ht="23.15" customHeight="1" x14ac:dyDescent="0.35">
      <c r="B8" s="86"/>
      <c r="C8" s="88"/>
      <c r="D8" s="88"/>
      <c r="E8" s="88"/>
      <c r="F8" s="90"/>
      <c r="G8" s="2"/>
      <c r="I8" s="14"/>
    </row>
    <row r="9" spans="2:10" ht="15" thickBot="1" x14ac:dyDescent="0.4">
      <c r="B9" s="37">
        <v>46357</v>
      </c>
      <c r="C9" s="3">
        <f ca="1">SUMIF('Curvas Prod 1'!B:AC,'Oferta Producto 1'!B9,'Curvas Prod 1'!AC:AC)</f>
        <v>4999680</v>
      </c>
      <c r="D9" s="39"/>
      <c r="E9" s="25">
        <f t="shared" ref="E9" ca="1" si="0">C9*D9</f>
        <v>0</v>
      </c>
      <c r="F9" s="45"/>
      <c r="G9" s="4"/>
      <c r="H9" s="14"/>
      <c r="I9" s="28"/>
    </row>
    <row r="10" spans="2:10" ht="15" thickBot="1" x14ac:dyDescent="0.4">
      <c r="B10" s="33" t="s">
        <v>6</v>
      </c>
      <c r="C10" s="34">
        <f ca="1">SUM(C9:C9)</f>
        <v>4999680</v>
      </c>
      <c r="D10" s="38">
        <f ca="1">(E10/C10)</f>
        <v>0</v>
      </c>
      <c r="E10" s="36">
        <f ca="1">SUM(E9:E9)</f>
        <v>0</v>
      </c>
      <c r="F10" s="32">
        <f>F9</f>
        <v>0</v>
      </c>
      <c r="G10" s="5"/>
      <c r="H10" s="6"/>
    </row>
    <row r="11" spans="2:10" x14ac:dyDescent="0.35">
      <c r="B11" s="7"/>
      <c r="C11" s="8"/>
      <c r="D11" s="9"/>
      <c r="E11" s="10"/>
      <c r="F11" s="11"/>
      <c r="G11" s="11"/>
      <c r="H11" s="6"/>
    </row>
    <row r="12" spans="2:10" x14ac:dyDescent="0.35">
      <c r="B12" s="7" t="s">
        <v>7</v>
      </c>
      <c r="C12" s="8"/>
      <c r="D12" s="9"/>
      <c r="E12" s="10"/>
      <c r="F12" s="11"/>
      <c r="G12" s="11"/>
      <c r="H12" s="6"/>
      <c r="I12" s="13"/>
    </row>
    <row r="13" spans="2:10" ht="24.75" customHeight="1" x14ac:dyDescent="0.35">
      <c r="B13" s="92" t="s">
        <v>53</v>
      </c>
      <c r="C13" s="92"/>
      <c r="D13" s="92"/>
      <c r="E13" s="92"/>
      <c r="F13" s="92"/>
      <c r="G13" s="11"/>
      <c r="H13" s="6"/>
      <c r="I13" s="13"/>
      <c r="J13" s="12"/>
    </row>
    <row r="14" spans="2:10" ht="25.5" customHeight="1" x14ac:dyDescent="0.35">
      <c r="B14" s="92" t="s">
        <v>58</v>
      </c>
      <c r="C14" s="92"/>
      <c r="D14" s="92"/>
      <c r="E14" s="92"/>
      <c r="F14" s="92"/>
    </row>
  </sheetData>
  <mergeCells count="10">
    <mergeCell ref="B14:F14"/>
    <mergeCell ref="B13:F13"/>
    <mergeCell ref="B2:F2"/>
    <mergeCell ref="B3:F3"/>
    <mergeCell ref="B4:F4"/>
    <mergeCell ref="B7:B8"/>
    <mergeCell ref="C7:C8"/>
    <mergeCell ref="D7:D8"/>
    <mergeCell ref="E7:E8"/>
    <mergeCell ref="F7:F8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6AC2-DEE1-4661-BBE8-8A14B96530A7}">
  <dimension ref="A1:AG13"/>
  <sheetViews>
    <sheetView showGridLines="0" zoomScale="85" zoomScaleNormal="85" workbookViewId="0">
      <pane xSplit="2" ySplit="5" topLeftCell="T6" activePane="bottomRight" state="frozen"/>
      <selection pane="topRight" activeCell="B1" sqref="B1"/>
      <selection pane="bottomLeft" activeCell="A6" sqref="A6"/>
      <selection pane="bottomRight" activeCell="B1" sqref="B1:AC2"/>
    </sheetView>
  </sheetViews>
  <sheetFormatPr baseColWidth="10" defaultColWidth="8" defaultRowHeight="9.5" x14ac:dyDescent="0.25"/>
  <cols>
    <col min="1" max="1" width="4.54296875" style="15" customWidth="1"/>
    <col min="2" max="2" width="15.7265625" style="15" bestFit="1" customWidth="1"/>
    <col min="3" max="26" width="12.453125" style="15" bestFit="1" customWidth="1"/>
    <col min="27" max="27" width="14.7265625" style="15" bestFit="1" customWidth="1"/>
    <col min="28" max="28" width="7.81640625" style="15" bestFit="1" customWidth="1"/>
    <col min="29" max="29" width="15" style="15" bestFit="1" customWidth="1"/>
    <col min="30" max="30" width="10.26953125" style="15" bestFit="1" customWidth="1"/>
    <col min="31" max="31" width="17.54296875" style="15" bestFit="1" customWidth="1"/>
    <col min="32" max="32" width="19" style="15" bestFit="1" customWidth="1"/>
    <col min="33" max="16384" width="8" style="15"/>
  </cols>
  <sheetData>
    <row r="1" spans="1:33" x14ac:dyDescent="0.25">
      <c r="B1" s="94" t="s">
        <v>48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6"/>
    </row>
    <row r="2" spans="1:33" ht="14.5" x14ac:dyDescent="0.35">
      <c r="B2" s="97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9"/>
      <c r="AE2"/>
      <c r="AF2"/>
      <c r="AG2"/>
    </row>
    <row r="3" spans="1:33" ht="14.5" x14ac:dyDescent="0.35">
      <c r="C3" s="46">
        <v>3.3672284448329162E-2</v>
      </c>
      <c r="D3" s="46">
        <v>3.1596140343108918E-2</v>
      </c>
      <c r="E3" s="46">
        <v>3.0233761913209808E-2</v>
      </c>
      <c r="F3" s="46">
        <v>2.9323057193749585E-2</v>
      </c>
      <c r="G3" s="46">
        <v>2.9386973981643968E-2</v>
      </c>
      <c r="H3" s="46">
        <v>3.0686907698867019E-2</v>
      </c>
      <c r="I3" s="46">
        <v>3.2139912618722941E-2</v>
      </c>
      <c r="J3" s="46">
        <v>3.5466074268310048E-2</v>
      </c>
      <c r="K3" s="46">
        <v>3.9534316729229663E-2</v>
      </c>
      <c r="L3" s="46">
        <v>4.2437734280386309E-2</v>
      </c>
      <c r="M3" s="46">
        <v>4.6204844520964454E-2</v>
      </c>
      <c r="N3" s="46">
        <v>4.8523097298207724E-2</v>
      </c>
      <c r="O3" s="46">
        <v>4.914093701278606E-2</v>
      </c>
      <c r="P3" s="46">
        <v>4.9778772330260339E-2</v>
      </c>
      <c r="Q3" s="46">
        <v>5.065126669590013E-2</v>
      </c>
      <c r="R3" s="46">
        <v>5.0929375044325126E-2</v>
      </c>
      <c r="S3" s="46">
        <v>5.0440746603806041E-2</v>
      </c>
      <c r="T3" s="46">
        <v>4.9233950624020278E-2</v>
      </c>
      <c r="U3" s="46">
        <v>5.0415304835520494E-2</v>
      </c>
      <c r="V3" s="46">
        <v>5.0708731998743588E-2</v>
      </c>
      <c r="W3" s="46">
        <v>4.7977163585321898E-2</v>
      </c>
      <c r="X3" s="46">
        <v>4.422077128333686E-2</v>
      </c>
      <c r="Y3" s="46">
        <v>4.058612626984414E-2</v>
      </c>
      <c r="Z3" s="46">
        <v>3.6711748421405524E-2</v>
      </c>
      <c r="AC3" s="16"/>
      <c r="AE3"/>
      <c r="AF3"/>
      <c r="AG3"/>
    </row>
    <row r="4" spans="1:33" ht="15" customHeight="1" x14ac:dyDescent="0.35">
      <c r="B4" s="93" t="s">
        <v>8</v>
      </c>
      <c r="C4" s="93" t="s">
        <v>9</v>
      </c>
      <c r="D4" s="93" t="s">
        <v>10</v>
      </c>
      <c r="E4" s="93" t="s">
        <v>11</v>
      </c>
      <c r="F4" s="93" t="s">
        <v>12</v>
      </c>
      <c r="G4" s="93" t="s">
        <v>13</v>
      </c>
      <c r="H4" s="93" t="s">
        <v>14</v>
      </c>
      <c r="I4" s="93" t="s">
        <v>15</v>
      </c>
      <c r="J4" s="93" t="s">
        <v>16</v>
      </c>
      <c r="K4" s="93" t="s">
        <v>17</v>
      </c>
      <c r="L4" s="93" t="s">
        <v>18</v>
      </c>
      <c r="M4" s="93" t="s">
        <v>19</v>
      </c>
      <c r="N4" s="93" t="s">
        <v>20</v>
      </c>
      <c r="O4" s="93" t="s">
        <v>21</v>
      </c>
      <c r="P4" s="93" t="s">
        <v>22</v>
      </c>
      <c r="Q4" s="93" t="s">
        <v>23</v>
      </c>
      <c r="R4" s="93" t="s">
        <v>24</v>
      </c>
      <c r="S4" s="93" t="s">
        <v>25</v>
      </c>
      <c r="T4" s="93" t="s">
        <v>26</v>
      </c>
      <c r="U4" s="93" t="s">
        <v>27</v>
      </c>
      <c r="V4" s="93" t="s">
        <v>28</v>
      </c>
      <c r="W4" s="93" t="s">
        <v>29</v>
      </c>
      <c r="X4" s="93" t="s">
        <v>30</v>
      </c>
      <c r="Y4" s="93" t="s">
        <v>31</v>
      </c>
      <c r="Z4" s="93" t="s">
        <v>32</v>
      </c>
      <c r="AA4" s="93" t="s">
        <v>33</v>
      </c>
      <c r="AB4" s="17" t="s">
        <v>34</v>
      </c>
      <c r="AC4" s="93" t="s">
        <v>35</v>
      </c>
      <c r="AE4"/>
      <c r="AF4"/>
      <c r="AG4"/>
    </row>
    <row r="5" spans="1:33" ht="14.5" x14ac:dyDescent="0.35"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17" t="s">
        <v>36</v>
      </c>
      <c r="AC5" s="93"/>
      <c r="AE5"/>
      <c r="AF5"/>
      <c r="AG5"/>
    </row>
    <row r="6" spans="1:33" ht="14.5" x14ac:dyDescent="0.35">
      <c r="A6" s="15">
        <f t="shared" ref="A6" si="0">YEAR(B6)</f>
        <v>2026</v>
      </c>
      <c r="B6" s="18">
        <v>46357</v>
      </c>
      <c r="C6" s="26">
        <f>ROUND(($AC6/$AB6)/24,0)</f>
        <v>6720</v>
      </c>
      <c r="D6" s="26">
        <f t="shared" ref="D6:Z6" si="1">ROUND(($AC6/$AB6)/24,0)</f>
        <v>6720</v>
      </c>
      <c r="E6" s="26">
        <f t="shared" si="1"/>
        <v>6720</v>
      </c>
      <c r="F6" s="26">
        <f t="shared" si="1"/>
        <v>6720</v>
      </c>
      <c r="G6" s="26">
        <f t="shared" si="1"/>
        <v>6720</v>
      </c>
      <c r="H6" s="26">
        <f t="shared" si="1"/>
        <v>6720</v>
      </c>
      <c r="I6" s="26">
        <f t="shared" si="1"/>
        <v>6720</v>
      </c>
      <c r="J6" s="26">
        <f t="shared" si="1"/>
        <v>6720</v>
      </c>
      <c r="K6" s="26">
        <f t="shared" si="1"/>
        <v>6720</v>
      </c>
      <c r="L6" s="26">
        <f t="shared" si="1"/>
        <v>6720</v>
      </c>
      <c r="M6" s="26">
        <f t="shared" si="1"/>
        <v>6720</v>
      </c>
      <c r="N6" s="26">
        <f t="shared" si="1"/>
        <v>6720</v>
      </c>
      <c r="O6" s="26">
        <f t="shared" si="1"/>
        <v>6720</v>
      </c>
      <c r="P6" s="26">
        <f t="shared" si="1"/>
        <v>6720</v>
      </c>
      <c r="Q6" s="26">
        <f t="shared" si="1"/>
        <v>6720</v>
      </c>
      <c r="R6" s="26">
        <f t="shared" si="1"/>
        <v>6720</v>
      </c>
      <c r="S6" s="26">
        <f t="shared" si="1"/>
        <v>6720</v>
      </c>
      <c r="T6" s="26">
        <f t="shared" si="1"/>
        <v>6720</v>
      </c>
      <c r="U6" s="26">
        <f t="shared" si="1"/>
        <v>6720</v>
      </c>
      <c r="V6" s="26">
        <f t="shared" si="1"/>
        <v>6720</v>
      </c>
      <c r="W6" s="26">
        <f t="shared" si="1"/>
        <v>6720</v>
      </c>
      <c r="X6" s="26">
        <f t="shared" si="1"/>
        <v>6720</v>
      </c>
      <c r="Y6" s="26">
        <f t="shared" si="1"/>
        <v>6720</v>
      </c>
      <c r="Z6" s="26">
        <f t="shared" si="1"/>
        <v>6720</v>
      </c>
      <c r="AA6" s="26">
        <f t="shared" ref="AA6" si="2">SUM(C6:Z6)</f>
        <v>161280</v>
      </c>
      <c r="AB6" s="19">
        <f t="shared" ref="AB6" si="3">DAY(EOMONTH(B6,0))</f>
        <v>31</v>
      </c>
      <c r="AC6" s="20">
        <v>4999680</v>
      </c>
      <c r="AD6" s="27"/>
      <c r="AE6" s="28"/>
      <c r="AF6"/>
      <c r="AG6"/>
    </row>
    <row r="7" spans="1:33" ht="14.5" x14ac:dyDescent="0.35">
      <c r="B7" s="21" t="s">
        <v>37</v>
      </c>
      <c r="C7" s="22">
        <f t="shared" ref="C7:AC7" si="4">+SUM(C6:C6)</f>
        <v>6720</v>
      </c>
      <c r="D7" s="22">
        <f t="shared" si="4"/>
        <v>6720</v>
      </c>
      <c r="E7" s="22">
        <f t="shared" si="4"/>
        <v>6720</v>
      </c>
      <c r="F7" s="22">
        <f t="shared" si="4"/>
        <v>6720</v>
      </c>
      <c r="G7" s="22">
        <f t="shared" si="4"/>
        <v>6720</v>
      </c>
      <c r="H7" s="22">
        <f t="shared" si="4"/>
        <v>6720</v>
      </c>
      <c r="I7" s="22">
        <f t="shared" si="4"/>
        <v>6720</v>
      </c>
      <c r="J7" s="22">
        <f t="shared" si="4"/>
        <v>6720</v>
      </c>
      <c r="K7" s="22">
        <f t="shared" si="4"/>
        <v>6720</v>
      </c>
      <c r="L7" s="22">
        <f t="shared" si="4"/>
        <v>6720</v>
      </c>
      <c r="M7" s="22">
        <f t="shared" si="4"/>
        <v>6720</v>
      </c>
      <c r="N7" s="22">
        <f t="shared" si="4"/>
        <v>6720</v>
      </c>
      <c r="O7" s="22">
        <f t="shared" si="4"/>
        <v>6720</v>
      </c>
      <c r="P7" s="22">
        <f t="shared" si="4"/>
        <v>6720</v>
      </c>
      <c r="Q7" s="22">
        <f t="shared" si="4"/>
        <v>6720</v>
      </c>
      <c r="R7" s="22">
        <f t="shared" si="4"/>
        <v>6720</v>
      </c>
      <c r="S7" s="22">
        <f t="shared" si="4"/>
        <v>6720</v>
      </c>
      <c r="T7" s="22">
        <f t="shared" si="4"/>
        <v>6720</v>
      </c>
      <c r="U7" s="22">
        <f t="shared" si="4"/>
        <v>6720</v>
      </c>
      <c r="V7" s="22">
        <f t="shared" si="4"/>
        <v>6720</v>
      </c>
      <c r="W7" s="22">
        <f t="shared" si="4"/>
        <v>6720</v>
      </c>
      <c r="X7" s="22">
        <f t="shared" si="4"/>
        <v>6720</v>
      </c>
      <c r="Y7" s="22">
        <f t="shared" si="4"/>
        <v>6720</v>
      </c>
      <c r="Z7" s="22">
        <f t="shared" si="4"/>
        <v>6720</v>
      </c>
      <c r="AA7" s="22">
        <f t="shared" si="4"/>
        <v>161280</v>
      </c>
      <c r="AB7" s="23">
        <f t="shared" si="4"/>
        <v>31</v>
      </c>
      <c r="AC7" s="24">
        <f t="shared" si="4"/>
        <v>4999680</v>
      </c>
      <c r="AD7" s="27"/>
      <c r="AE7"/>
    </row>
    <row r="9" spans="1:33" x14ac:dyDescent="0.25">
      <c r="C9" s="47"/>
    </row>
    <row r="10" spans="1:33" x14ac:dyDescent="0.25"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spans="1:33" x14ac:dyDescent="0.25">
      <c r="AA11" s="47"/>
    </row>
    <row r="13" spans="1:33" x14ac:dyDescent="0.25">
      <c r="AA13" s="47"/>
    </row>
  </sheetData>
  <mergeCells count="28">
    <mergeCell ref="P4:P5"/>
    <mergeCell ref="B1:AC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AC4:AC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</mergeCells>
  <phoneticPr fontId="14" type="noConversion"/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BFE95-5CD0-4FC6-981D-2EF99DA22726}">
  <dimension ref="B2:K28"/>
  <sheetViews>
    <sheetView showGridLines="0" view="pageBreakPreview" zoomScaleNormal="100" zoomScaleSheetLayoutView="100" workbookViewId="0">
      <selection activeCell="I24" sqref="I24"/>
    </sheetView>
  </sheetViews>
  <sheetFormatPr baseColWidth="10" defaultColWidth="11.453125" defaultRowHeight="14.5" x14ac:dyDescent="0.35"/>
  <cols>
    <col min="1" max="1" width="7.7265625" customWidth="1"/>
    <col min="2" max="6" width="14.7265625" customWidth="1"/>
    <col min="7" max="7" width="16.81640625" customWidth="1"/>
    <col min="8" max="8" width="14.1796875" bestFit="1" customWidth="1"/>
    <col min="9" max="9" width="13.453125" bestFit="1" customWidth="1"/>
    <col min="10" max="10" width="13.1796875" bestFit="1" customWidth="1"/>
  </cols>
  <sheetData>
    <row r="2" spans="2:11" x14ac:dyDescent="0.35">
      <c r="B2" s="84" t="s">
        <v>44</v>
      </c>
      <c r="C2" s="84"/>
      <c r="D2" s="84"/>
      <c r="E2" s="84"/>
      <c r="F2" s="84"/>
      <c r="G2" s="1"/>
    </row>
    <row r="3" spans="2:11" x14ac:dyDescent="0.35">
      <c r="B3" s="84" t="s">
        <v>42</v>
      </c>
      <c r="C3" s="84"/>
      <c r="D3" s="84"/>
      <c r="E3" s="84"/>
      <c r="F3" s="84"/>
      <c r="G3" s="1"/>
    </row>
    <row r="4" spans="2:11" x14ac:dyDescent="0.35">
      <c r="B4" s="84" t="s">
        <v>68</v>
      </c>
      <c r="C4" s="84"/>
      <c r="D4" s="84"/>
      <c r="E4" s="84"/>
      <c r="F4" s="84"/>
      <c r="G4" s="1"/>
    </row>
    <row r="5" spans="2:11" ht="15" thickBot="1" x14ac:dyDescent="0.4">
      <c r="B5" s="44" t="s">
        <v>52</v>
      </c>
      <c r="C5" s="42"/>
      <c r="D5" s="42"/>
      <c r="E5" s="42"/>
      <c r="F5" s="1"/>
      <c r="G5" s="1"/>
    </row>
    <row r="6" spans="2:11" ht="15" thickBot="1" x14ac:dyDescent="0.4"/>
    <row r="7" spans="2:11" ht="15" customHeight="1" x14ac:dyDescent="0.35">
      <c r="B7" s="85" t="s">
        <v>1</v>
      </c>
      <c r="C7" s="87" t="s">
        <v>66</v>
      </c>
      <c r="D7" s="87" t="s">
        <v>3</v>
      </c>
      <c r="E7" s="87" t="s">
        <v>67</v>
      </c>
      <c r="F7" s="89" t="s">
        <v>5</v>
      </c>
      <c r="G7" s="2"/>
    </row>
    <row r="8" spans="2:11" ht="23.15" customHeight="1" x14ac:dyDescent="0.35">
      <c r="B8" s="86"/>
      <c r="C8" s="88"/>
      <c r="D8" s="88"/>
      <c r="E8" s="88"/>
      <c r="F8" s="90"/>
      <c r="G8" s="2"/>
    </row>
    <row r="9" spans="2:11" ht="15" thickBot="1" x14ac:dyDescent="0.4">
      <c r="B9" s="37">
        <v>46388</v>
      </c>
      <c r="C9" s="3">
        <f ca="1">SUMIF('Curvas Prod 2'!B:AC,'Oferta Producto 2'!B9,'Curvas Prod 2'!AC:AC)</f>
        <v>2100312</v>
      </c>
      <c r="D9" s="58"/>
      <c r="E9" s="25">
        <f ca="1">C9*D9</f>
        <v>0</v>
      </c>
      <c r="F9" s="60"/>
      <c r="G9" s="4"/>
      <c r="H9" s="14"/>
      <c r="K9" s="13"/>
    </row>
    <row r="10" spans="2:11" ht="15" thickBot="1" x14ac:dyDescent="0.4">
      <c r="B10" s="37">
        <v>46419</v>
      </c>
      <c r="C10" s="3">
        <f ca="1">SUMIF('Curvas Prod 2'!B:AC,'Oferta Producto 2'!B10,'Curvas Prod 2'!AC:AC)</f>
        <v>3200064</v>
      </c>
      <c r="D10" s="64"/>
      <c r="E10" s="25">
        <f t="shared" ref="E10:E20" ca="1" si="0">C10*D10</f>
        <v>0</v>
      </c>
      <c r="F10" s="67"/>
      <c r="G10" s="4"/>
      <c r="H10" s="14"/>
    </row>
    <row r="11" spans="2:11" ht="15" thickBot="1" x14ac:dyDescent="0.4">
      <c r="B11" s="37">
        <v>46447</v>
      </c>
      <c r="C11" s="3">
        <f ca="1">SUMIF('Curvas Prod 2'!B:AC,'Oferta Producto 2'!B11,'Curvas Prod 2'!AC:AC)</f>
        <v>2900112</v>
      </c>
      <c r="D11" s="63"/>
      <c r="E11" s="25">
        <f t="shared" ca="1" si="0"/>
        <v>0</v>
      </c>
      <c r="F11" s="66"/>
      <c r="G11" s="4"/>
      <c r="H11" s="14"/>
      <c r="I11" s="14"/>
      <c r="J11" s="73"/>
    </row>
    <row r="12" spans="2:11" ht="15" thickBot="1" x14ac:dyDescent="0.4">
      <c r="B12" s="37">
        <v>46478</v>
      </c>
      <c r="C12" s="3">
        <f ca="1">SUMIF('Curvas Prod 2'!B:AC,'Oferta Producto 2'!B12,'Curvas Prod 2'!AC:AC)</f>
        <v>3499920</v>
      </c>
      <c r="D12" s="63"/>
      <c r="E12" s="25">
        <f t="shared" ca="1" si="0"/>
        <v>0</v>
      </c>
      <c r="F12" s="61"/>
      <c r="G12" s="4"/>
      <c r="H12" s="14"/>
      <c r="I12" s="14"/>
    </row>
    <row r="13" spans="2:11" ht="15" thickBot="1" x14ac:dyDescent="0.4">
      <c r="B13" s="37">
        <v>46508</v>
      </c>
      <c r="C13" s="3">
        <f ca="1">SUMIF('Curvas Prod 2'!B:AC,'Oferta Producto 2'!B13,'Curvas Prod 2'!AC:AC)</f>
        <v>3699912</v>
      </c>
      <c r="D13" s="63"/>
      <c r="E13" s="25">
        <f t="shared" ca="1" si="0"/>
        <v>0</v>
      </c>
      <c r="F13" s="67"/>
      <c r="G13" s="4"/>
      <c r="H13" s="14"/>
      <c r="I13" s="14"/>
    </row>
    <row r="14" spans="2:11" ht="15" thickBot="1" x14ac:dyDescent="0.4">
      <c r="B14" s="37">
        <v>46539</v>
      </c>
      <c r="C14" s="3">
        <f ca="1">SUMIF('Curvas Prod 2'!B:AC,'Oferta Producto 2'!B14,'Curvas Prod 2'!AC:AC)</f>
        <v>4399920</v>
      </c>
      <c r="D14" s="39"/>
      <c r="E14" s="25">
        <f t="shared" ca="1" si="0"/>
        <v>0</v>
      </c>
      <c r="F14" s="67"/>
      <c r="G14" s="4"/>
      <c r="H14" s="14"/>
      <c r="I14" s="14"/>
    </row>
    <row r="15" spans="2:11" ht="15" thickBot="1" x14ac:dyDescent="0.4">
      <c r="B15" s="37">
        <v>46569</v>
      </c>
      <c r="C15" s="74">
        <f ca="1">SUMIF('Curvas Prod 2'!B:AC,'Oferta Producto 2'!B15,'Curvas Prod 2'!AC:AC)</f>
        <v>4600152</v>
      </c>
      <c r="D15" s="64"/>
      <c r="E15" s="25">
        <f t="shared" ca="1" si="0"/>
        <v>0</v>
      </c>
      <c r="F15" s="67"/>
      <c r="G15" s="4"/>
      <c r="H15" s="14"/>
    </row>
    <row r="16" spans="2:11" ht="15" thickBot="1" x14ac:dyDescent="0.4">
      <c r="B16" s="37">
        <v>46600</v>
      </c>
      <c r="C16" s="3">
        <f ca="1">SUMIF('Curvas Prod 2'!B:AC,'Oferta Producto 2'!B16,'Curvas Prod 2'!AC:AC)</f>
        <v>4999680</v>
      </c>
      <c r="D16" s="64"/>
      <c r="E16" s="25">
        <f t="shared" ca="1" si="0"/>
        <v>0</v>
      </c>
      <c r="F16" s="61"/>
      <c r="G16" s="4"/>
      <c r="H16" s="14"/>
    </row>
    <row r="17" spans="2:9" ht="15" thickBot="1" x14ac:dyDescent="0.4">
      <c r="B17" s="37">
        <v>46631</v>
      </c>
      <c r="C17" s="3">
        <f ca="1">SUMIF('Curvas Prod 2'!B:AC,'Oferta Producto 2'!B17,'Curvas Prod 2'!AC:AC)</f>
        <v>5700240</v>
      </c>
      <c r="D17" s="39"/>
      <c r="E17" s="25">
        <f t="shared" ca="1" si="0"/>
        <v>0</v>
      </c>
      <c r="F17" s="67"/>
      <c r="G17" s="4"/>
      <c r="H17" s="14"/>
      <c r="I17" s="14"/>
    </row>
    <row r="18" spans="2:9" ht="15" thickBot="1" x14ac:dyDescent="0.4">
      <c r="B18" s="37">
        <v>46661</v>
      </c>
      <c r="C18" s="3">
        <f ca="1">SUMIF('Curvas Prod 2'!B:AC,'Oferta Producto 2'!B18,'Curvas Prod 2'!AC:AC)</f>
        <v>6000360</v>
      </c>
      <c r="D18" s="65"/>
      <c r="E18" s="25">
        <f t="shared" ca="1" si="0"/>
        <v>0</v>
      </c>
      <c r="F18" s="66"/>
      <c r="G18" s="4"/>
      <c r="H18" s="14"/>
      <c r="I18" s="14"/>
    </row>
    <row r="19" spans="2:9" ht="15" thickBot="1" x14ac:dyDescent="0.4">
      <c r="B19" s="37">
        <v>46692</v>
      </c>
      <c r="C19" s="3">
        <f ca="1">SUMIF('Curvas Prod 2'!B:AC,'Oferta Producto 2'!B19,'Curvas Prod 2'!AC:AC)</f>
        <v>6700320</v>
      </c>
      <c r="D19" s="64"/>
      <c r="E19" s="25">
        <f t="shared" ca="1" si="0"/>
        <v>0</v>
      </c>
      <c r="F19" s="66"/>
      <c r="G19" s="4"/>
      <c r="H19" s="14"/>
      <c r="I19" s="14"/>
    </row>
    <row r="20" spans="2:9" ht="15" thickBot="1" x14ac:dyDescent="0.4">
      <c r="B20" s="37">
        <v>46722</v>
      </c>
      <c r="C20" s="3">
        <f ca="1">SUMIF('Curvas Prod 2'!B:AC,'Oferta Producto 2'!B20,'Curvas Prod 2'!AC:AC)</f>
        <v>7000296</v>
      </c>
      <c r="D20" s="59"/>
      <c r="E20" s="25">
        <f t="shared" ca="1" si="0"/>
        <v>0</v>
      </c>
      <c r="F20" s="62"/>
      <c r="G20" s="4"/>
      <c r="H20" s="14"/>
      <c r="I20" s="14"/>
    </row>
    <row r="21" spans="2:9" ht="15" thickBot="1" x14ac:dyDescent="0.4">
      <c r="B21" s="33" t="s">
        <v>6</v>
      </c>
      <c r="C21" s="34">
        <f ca="1">SUM(C9:C20)</f>
        <v>54801288</v>
      </c>
      <c r="D21" s="35">
        <f ca="1">(E21/C21)</f>
        <v>0</v>
      </c>
      <c r="E21" s="36">
        <f ca="1">SUM(E9:E20)</f>
        <v>0</v>
      </c>
      <c r="F21" s="32" t="str">
        <f ca="1">IFERROR(SUMPRODUCT(E9:E20,F9:F20)/E21,"")</f>
        <v/>
      </c>
      <c r="G21" s="5"/>
      <c r="H21" s="6"/>
    </row>
    <row r="22" spans="2:9" x14ac:dyDescent="0.35">
      <c r="B22" s="7"/>
      <c r="C22" s="8"/>
      <c r="D22" s="9"/>
      <c r="E22" s="10"/>
      <c r="F22" s="11"/>
      <c r="G22" s="11"/>
      <c r="H22" s="6"/>
    </row>
    <row r="23" spans="2:9" x14ac:dyDescent="0.35">
      <c r="B23" s="7" t="s">
        <v>7</v>
      </c>
      <c r="C23" s="8"/>
      <c r="D23" s="9"/>
      <c r="E23" s="10"/>
      <c r="F23" s="11"/>
      <c r="G23" s="11"/>
      <c r="H23" s="6"/>
      <c r="I23" s="13"/>
    </row>
    <row r="24" spans="2:9" ht="24.75" customHeight="1" x14ac:dyDescent="0.35">
      <c r="B24" s="92" t="s">
        <v>49</v>
      </c>
      <c r="C24" s="92"/>
      <c r="D24" s="92"/>
      <c r="E24" s="92"/>
      <c r="F24" s="92"/>
      <c r="G24" s="11"/>
      <c r="H24" s="6"/>
      <c r="I24" s="13"/>
    </row>
    <row r="25" spans="2:9" ht="64.5" customHeight="1" x14ac:dyDescent="0.35">
      <c r="B25" s="91" t="s">
        <v>59</v>
      </c>
      <c r="C25" s="91"/>
      <c r="D25" s="91"/>
      <c r="E25" s="91"/>
      <c r="F25" s="91"/>
    </row>
    <row r="26" spans="2:9" x14ac:dyDescent="0.35">
      <c r="B26" s="92" t="s">
        <v>57</v>
      </c>
      <c r="C26" s="92"/>
      <c r="D26" s="92"/>
      <c r="E26" s="92"/>
      <c r="F26" s="92"/>
    </row>
    <row r="27" spans="2:9" x14ac:dyDescent="0.35">
      <c r="B27" s="92" t="s">
        <v>60</v>
      </c>
      <c r="C27" s="92"/>
      <c r="D27" s="92"/>
      <c r="E27" s="92"/>
      <c r="F27" s="92"/>
    </row>
    <row r="28" spans="2:9" x14ac:dyDescent="0.35">
      <c r="B28" s="92"/>
      <c r="C28" s="92"/>
      <c r="D28" s="92"/>
      <c r="E28" s="92"/>
      <c r="F28" s="92"/>
    </row>
  </sheetData>
  <mergeCells count="13">
    <mergeCell ref="B25:F25"/>
    <mergeCell ref="B26:F26"/>
    <mergeCell ref="B27:F27"/>
    <mergeCell ref="B28:F28"/>
    <mergeCell ref="B24:F24"/>
    <mergeCell ref="B2:F2"/>
    <mergeCell ref="B3:F3"/>
    <mergeCell ref="B4:F4"/>
    <mergeCell ref="B7:B8"/>
    <mergeCell ref="C7:C8"/>
    <mergeCell ref="D7:D8"/>
    <mergeCell ref="E7:E8"/>
    <mergeCell ref="F7:F8"/>
  </mergeCells>
  <dataValidations count="1">
    <dataValidation type="decimal" allowBlank="1" showInputMessage="1" showErrorMessage="1" errorTitle="Valor no permitido" error="El valor debe estar entre 15% y 100%." promptTitle="Porcentaje" prompt="Ingrese un valor entre 15% y 100%" sqref="D9:D20" xr:uid="{1E1579E8-D8BE-4831-B270-9F1B95D1E67A}">
      <formula1>0.15</formula1>
      <formula2>1</formula2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FDE1-EF0C-4681-A6DB-33248B2FF388}">
  <dimension ref="A1:AG18"/>
  <sheetViews>
    <sheetView showGridLines="0" zoomScale="85" zoomScaleNormal="85" workbookViewId="0">
      <pane xSplit="2" ySplit="5" topLeftCell="T6" activePane="bottomRight" state="frozen"/>
      <selection activeCell="D10" sqref="D10:D21"/>
      <selection pane="topRight" activeCell="D10" sqref="D10:D21"/>
      <selection pane="bottomLeft" activeCell="D10" sqref="D10:D21"/>
      <selection pane="bottomRight" activeCell="B1" sqref="B1:AC2"/>
    </sheetView>
  </sheetViews>
  <sheetFormatPr baseColWidth="10" defaultColWidth="8" defaultRowHeight="9.5" x14ac:dyDescent="0.25"/>
  <cols>
    <col min="1" max="1" width="4.54296875" style="15" customWidth="1"/>
    <col min="2" max="2" width="15.7265625" style="15" bestFit="1" customWidth="1"/>
    <col min="3" max="3" width="17.453125" style="15" bestFit="1" customWidth="1"/>
    <col min="4" max="26" width="12.453125" style="15" bestFit="1" customWidth="1"/>
    <col min="27" max="27" width="14.7265625" style="15" bestFit="1" customWidth="1"/>
    <col min="28" max="28" width="7.81640625" style="15" bestFit="1" customWidth="1"/>
    <col min="29" max="29" width="15" style="15" bestFit="1" customWidth="1"/>
    <col min="30" max="30" width="10.26953125" style="15" bestFit="1" customWidth="1"/>
    <col min="31" max="31" width="17.54296875" style="15" bestFit="1" customWidth="1"/>
    <col min="32" max="32" width="19" style="15" bestFit="1" customWidth="1"/>
    <col min="33" max="16384" width="8" style="15"/>
  </cols>
  <sheetData>
    <row r="1" spans="1:33" x14ac:dyDescent="0.25">
      <c r="B1" s="94" t="s">
        <v>47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6"/>
    </row>
    <row r="2" spans="1:33" ht="14.5" x14ac:dyDescent="0.35">
      <c r="B2" s="97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9"/>
      <c r="AE2"/>
      <c r="AF2"/>
      <c r="AG2"/>
    </row>
    <row r="3" spans="1:33" ht="14.5" x14ac:dyDescent="0.35"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C3" s="16"/>
      <c r="AE3"/>
      <c r="AF3"/>
      <c r="AG3"/>
    </row>
    <row r="4" spans="1:33" ht="15" customHeight="1" x14ac:dyDescent="0.35">
      <c r="B4" s="93" t="s">
        <v>8</v>
      </c>
      <c r="C4" s="93" t="s">
        <v>9</v>
      </c>
      <c r="D4" s="93" t="s">
        <v>10</v>
      </c>
      <c r="E4" s="93" t="s">
        <v>11</v>
      </c>
      <c r="F4" s="93" t="s">
        <v>12</v>
      </c>
      <c r="G4" s="93" t="s">
        <v>13</v>
      </c>
      <c r="H4" s="93" t="s">
        <v>14</v>
      </c>
      <c r="I4" s="93" t="s">
        <v>15</v>
      </c>
      <c r="J4" s="93" t="s">
        <v>16</v>
      </c>
      <c r="K4" s="93" t="s">
        <v>17</v>
      </c>
      <c r="L4" s="93" t="s">
        <v>18</v>
      </c>
      <c r="M4" s="93" t="s">
        <v>19</v>
      </c>
      <c r="N4" s="93" t="s">
        <v>20</v>
      </c>
      <c r="O4" s="93" t="s">
        <v>21</v>
      </c>
      <c r="P4" s="93" t="s">
        <v>22</v>
      </c>
      <c r="Q4" s="93" t="s">
        <v>23</v>
      </c>
      <c r="R4" s="93" t="s">
        <v>24</v>
      </c>
      <c r="S4" s="93" t="s">
        <v>25</v>
      </c>
      <c r="T4" s="93" t="s">
        <v>26</v>
      </c>
      <c r="U4" s="93" t="s">
        <v>27</v>
      </c>
      <c r="V4" s="93" t="s">
        <v>28</v>
      </c>
      <c r="W4" s="93" t="s">
        <v>29</v>
      </c>
      <c r="X4" s="93" t="s">
        <v>30</v>
      </c>
      <c r="Y4" s="93" t="s">
        <v>31</v>
      </c>
      <c r="Z4" s="93" t="s">
        <v>32</v>
      </c>
      <c r="AA4" s="93" t="s">
        <v>33</v>
      </c>
      <c r="AB4" s="17" t="s">
        <v>34</v>
      </c>
      <c r="AC4" s="93" t="s">
        <v>35</v>
      </c>
      <c r="AE4"/>
      <c r="AF4"/>
      <c r="AG4"/>
    </row>
    <row r="5" spans="1:33" ht="14.5" x14ac:dyDescent="0.35"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17" t="s">
        <v>36</v>
      </c>
      <c r="AC5" s="93"/>
      <c r="AE5"/>
      <c r="AF5"/>
      <c r="AG5"/>
    </row>
    <row r="6" spans="1:33" ht="14.5" x14ac:dyDescent="0.35">
      <c r="A6" s="15">
        <f t="shared" ref="A6:A17" si="0">YEAR(B6)</f>
        <v>2027</v>
      </c>
      <c r="B6" s="18">
        <v>46388</v>
      </c>
      <c r="C6" s="48">
        <f>ROUND(($AC6/$AB6)/24,2)</f>
        <v>2823</v>
      </c>
      <c r="D6" s="48">
        <f t="shared" ref="D6:Z17" si="1">ROUND(($AC6/$AB6)/24,2)</f>
        <v>2823</v>
      </c>
      <c r="E6" s="48">
        <f t="shared" si="1"/>
        <v>2823</v>
      </c>
      <c r="F6" s="48">
        <f t="shared" si="1"/>
        <v>2823</v>
      </c>
      <c r="G6" s="48">
        <f t="shared" si="1"/>
        <v>2823</v>
      </c>
      <c r="H6" s="48">
        <f t="shared" si="1"/>
        <v>2823</v>
      </c>
      <c r="I6" s="48">
        <f t="shared" si="1"/>
        <v>2823</v>
      </c>
      <c r="J6" s="48">
        <f t="shared" si="1"/>
        <v>2823</v>
      </c>
      <c r="K6" s="48">
        <f t="shared" si="1"/>
        <v>2823</v>
      </c>
      <c r="L6" s="48">
        <f t="shared" si="1"/>
        <v>2823</v>
      </c>
      <c r="M6" s="48">
        <f t="shared" si="1"/>
        <v>2823</v>
      </c>
      <c r="N6" s="48">
        <f t="shared" si="1"/>
        <v>2823</v>
      </c>
      <c r="O6" s="48">
        <f t="shared" si="1"/>
        <v>2823</v>
      </c>
      <c r="P6" s="48">
        <f t="shared" si="1"/>
        <v>2823</v>
      </c>
      <c r="Q6" s="48">
        <f t="shared" si="1"/>
        <v>2823</v>
      </c>
      <c r="R6" s="48">
        <f t="shared" si="1"/>
        <v>2823</v>
      </c>
      <c r="S6" s="48">
        <f t="shared" si="1"/>
        <v>2823</v>
      </c>
      <c r="T6" s="48">
        <f t="shared" si="1"/>
        <v>2823</v>
      </c>
      <c r="U6" s="48">
        <f t="shared" si="1"/>
        <v>2823</v>
      </c>
      <c r="V6" s="48">
        <f t="shared" si="1"/>
        <v>2823</v>
      </c>
      <c r="W6" s="48">
        <f t="shared" si="1"/>
        <v>2823</v>
      </c>
      <c r="X6" s="48">
        <f t="shared" si="1"/>
        <v>2823</v>
      </c>
      <c r="Y6" s="48">
        <f t="shared" si="1"/>
        <v>2823</v>
      </c>
      <c r="Z6" s="48">
        <f t="shared" si="1"/>
        <v>2823</v>
      </c>
      <c r="AA6" s="26">
        <f>SUM(C6:Z6)</f>
        <v>67752</v>
      </c>
      <c r="AB6" s="19">
        <f t="shared" ref="AB6:AB17" si="2">DAY(EOMONTH(B6,0))</f>
        <v>31</v>
      </c>
      <c r="AC6" s="20">
        <v>2100312</v>
      </c>
      <c r="AD6" s="27"/>
      <c r="AE6" s="82"/>
      <c r="AF6" s="28"/>
      <c r="AG6"/>
    </row>
    <row r="7" spans="1:33" ht="14.5" x14ac:dyDescent="0.35">
      <c r="A7" s="15">
        <f t="shared" si="0"/>
        <v>2027</v>
      </c>
      <c r="B7" s="18">
        <v>46419</v>
      </c>
      <c r="C7" s="48">
        <f t="shared" ref="C7:C17" si="3">ROUND(($AC7/$AB7)/24,2)</f>
        <v>4762</v>
      </c>
      <c r="D7" s="48">
        <f t="shared" si="1"/>
        <v>4762</v>
      </c>
      <c r="E7" s="48">
        <f t="shared" si="1"/>
        <v>4762</v>
      </c>
      <c r="F7" s="48">
        <f t="shared" si="1"/>
        <v>4762</v>
      </c>
      <c r="G7" s="48">
        <f t="shared" si="1"/>
        <v>4762</v>
      </c>
      <c r="H7" s="48">
        <f t="shared" si="1"/>
        <v>4762</v>
      </c>
      <c r="I7" s="48">
        <f t="shared" si="1"/>
        <v>4762</v>
      </c>
      <c r="J7" s="48">
        <f t="shared" si="1"/>
        <v>4762</v>
      </c>
      <c r="K7" s="48">
        <f t="shared" si="1"/>
        <v>4762</v>
      </c>
      <c r="L7" s="48">
        <f t="shared" si="1"/>
        <v>4762</v>
      </c>
      <c r="M7" s="48">
        <f t="shared" si="1"/>
        <v>4762</v>
      </c>
      <c r="N7" s="48">
        <f t="shared" si="1"/>
        <v>4762</v>
      </c>
      <c r="O7" s="48">
        <f t="shared" si="1"/>
        <v>4762</v>
      </c>
      <c r="P7" s="48">
        <f t="shared" si="1"/>
        <v>4762</v>
      </c>
      <c r="Q7" s="48">
        <f t="shared" si="1"/>
        <v>4762</v>
      </c>
      <c r="R7" s="48">
        <f t="shared" si="1"/>
        <v>4762</v>
      </c>
      <c r="S7" s="48">
        <f t="shared" si="1"/>
        <v>4762</v>
      </c>
      <c r="T7" s="48">
        <f t="shared" si="1"/>
        <v>4762</v>
      </c>
      <c r="U7" s="48">
        <f t="shared" si="1"/>
        <v>4762</v>
      </c>
      <c r="V7" s="48">
        <f t="shared" si="1"/>
        <v>4762</v>
      </c>
      <c r="W7" s="48">
        <f t="shared" si="1"/>
        <v>4762</v>
      </c>
      <c r="X7" s="48">
        <f t="shared" si="1"/>
        <v>4762</v>
      </c>
      <c r="Y7" s="48">
        <f t="shared" si="1"/>
        <v>4762</v>
      </c>
      <c r="Z7" s="48">
        <f t="shared" si="1"/>
        <v>4762</v>
      </c>
      <c r="AA7" s="26">
        <f t="shared" ref="AA7:AA17" si="4">SUM(C7:Z7)</f>
        <v>114288</v>
      </c>
      <c r="AB7" s="19">
        <f t="shared" si="2"/>
        <v>28</v>
      </c>
      <c r="AC7" s="20">
        <v>3200064</v>
      </c>
      <c r="AD7" s="27"/>
      <c r="AE7" s="82"/>
      <c r="AF7" s="28"/>
      <c r="AG7"/>
    </row>
    <row r="8" spans="1:33" ht="14.5" x14ac:dyDescent="0.35">
      <c r="A8" s="15">
        <f t="shared" si="0"/>
        <v>2027</v>
      </c>
      <c r="B8" s="18">
        <v>46447</v>
      </c>
      <c r="C8" s="48">
        <f t="shared" si="3"/>
        <v>3898</v>
      </c>
      <c r="D8" s="48">
        <f t="shared" si="1"/>
        <v>3898</v>
      </c>
      <c r="E8" s="48">
        <f t="shared" si="1"/>
        <v>3898</v>
      </c>
      <c r="F8" s="48">
        <f t="shared" si="1"/>
        <v>3898</v>
      </c>
      <c r="G8" s="48">
        <f t="shared" si="1"/>
        <v>3898</v>
      </c>
      <c r="H8" s="48">
        <f t="shared" si="1"/>
        <v>3898</v>
      </c>
      <c r="I8" s="48">
        <f t="shared" si="1"/>
        <v>3898</v>
      </c>
      <c r="J8" s="48">
        <f t="shared" si="1"/>
        <v>3898</v>
      </c>
      <c r="K8" s="48">
        <f t="shared" si="1"/>
        <v>3898</v>
      </c>
      <c r="L8" s="48">
        <f t="shared" si="1"/>
        <v>3898</v>
      </c>
      <c r="M8" s="48">
        <f t="shared" si="1"/>
        <v>3898</v>
      </c>
      <c r="N8" s="48">
        <f t="shared" si="1"/>
        <v>3898</v>
      </c>
      <c r="O8" s="48">
        <f t="shared" si="1"/>
        <v>3898</v>
      </c>
      <c r="P8" s="48">
        <f t="shared" si="1"/>
        <v>3898</v>
      </c>
      <c r="Q8" s="48">
        <f t="shared" si="1"/>
        <v>3898</v>
      </c>
      <c r="R8" s="48">
        <f t="shared" si="1"/>
        <v>3898</v>
      </c>
      <c r="S8" s="48">
        <f t="shared" si="1"/>
        <v>3898</v>
      </c>
      <c r="T8" s="48">
        <f t="shared" si="1"/>
        <v>3898</v>
      </c>
      <c r="U8" s="48">
        <f t="shared" si="1"/>
        <v>3898</v>
      </c>
      <c r="V8" s="48">
        <f t="shared" si="1"/>
        <v>3898</v>
      </c>
      <c r="W8" s="48">
        <f t="shared" si="1"/>
        <v>3898</v>
      </c>
      <c r="X8" s="48">
        <f t="shared" si="1"/>
        <v>3898</v>
      </c>
      <c r="Y8" s="48">
        <f t="shared" si="1"/>
        <v>3898</v>
      </c>
      <c r="Z8" s="48">
        <f t="shared" si="1"/>
        <v>3898</v>
      </c>
      <c r="AA8" s="26">
        <f t="shared" si="4"/>
        <v>93552</v>
      </c>
      <c r="AB8" s="19">
        <f t="shared" si="2"/>
        <v>31</v>
      </c>
      <c r="AC8" s="20">
        <v>2900112</v>
      </c>
      <c r="AD8" s="27"/>
      <c r="AE8" s="82"/>
      <c r="AF8" s="28"/>
      <c r="AG8"/>
    </row>
    <row r="9" spans="1:33" ht="14.5" x14ac:dyDescent="0.35">
      <c r="A9" s="15">
        <f t="shared" si="0"/>
        <v>2027</v>
      </c>
      <c r="B9" s="18">
        <v>46478</v>
      </c>
      <c r="C9" s="48">
        <f t="shared" si="3"/>
        <v>4861</v>
      </c>
      <c r="D9" s="48">
        <f t="shared" si="1"/>
        <v>4861</v>
      </c>
      <c r="E9" s="48">
        <f t="shared" si="1"/>
        <v>4861</v>
      </c>
      <c r="F9" s="48">
        <f t="shared" si="1"/>
        <v>4861</v>
      </c>
      <c r="G9" s="48">
        <f t="shared" si="1"/>
        <v>4861</v>
      </c>
      <c r="H9" s="48">
        <f t="shared" si="1"/>
        <v>4861</v>
      </c>
      <c r="I9" s="48">
        <f t="shared" si="1"/>
        <v>4861</v>
      </c>
      <c r="J9" s="48">
        <f t="shared" si="1"/>
        <v>4861</v>
      </c>
      <c r="K9" s="48">
        <f t="shared" si="1"/>
        <v>4861</v>
      </c>
      <c r="L9" s="48">
        <f t="shared" si="1"/>
        <v>4861</v>
      </c>
      <c r="M9" s="48">
        <f t="shared" si="1"/>
        <v>4861</v>
      </c>
      <c r="N9" s="48">
        <f t="shared" si="1"/>
        <v>4861</v>
      </c>
      <c r="O9" s="48">
        <f t="shared" si="1"/>
        <v>4861</v>
      </c>
      <c r="P9" s="48">
        <f t="shared" si="1"/>
        <v>4861</v>
      </c>
      <c r="Q9" s="48">
        <f t="shared" si="1"/>
        <v>4861</v>
      </c>
      <c r="R9" s="48">
        <f t="shared" si="1"/>
        <v>4861</v>
      </c>
      <c r="S9" s="48">
        <f t="shared" si="1"/>
        <v>4861</v>
      </c>
      <c r="T9" s="48">
        <f t="shared" si="1"/>
        <v>4861</v>
      </c>
      <c r="U9" s="48">
        <f t="shared" si="1"/>
        <v>4861</v>
      </c>
      <c r="V9" s="48">
        <f t="shared" si="1"/>
        <v>4861</v>
      </c>
      <c r="W9" s="48">
        <f t="shared" si="1"/>
        <v>4861</v>
      </c>
      <c r="X9" s="48">
        <f t="shared" si="1"/>
        <v>4861</v>
      </c>
      <c r="Y9" s="48">
        <f t="shared" si="1"/>
        <v>4861</v>
      </c>
      <c r="Z9" s="48">
        <f t="shared" si="1"/>
        <v>4861</v>
      </c>
      <c r="AA9" s="26">
        <f t="shared" si="4"/>
        <v>116664</v>
      </c>
      <c r="AB9" s="19">
        <f t="shared" si="2"/>
        <v>30</v>
      </c>
      <c r="AC9" s="20">
        <v>3499920</v>
      </c>
      <c r="AD9" s="27"/>
      <c r="AE9" s="82"/>
      <c r="AF9" s="28"/>
      <c r="AG9"/>
    </row>
    <row r="10" spans="1:33" ht="14.5" x14ac:dyDescent="0.35">
      <c r="A10" s="15">
        <f t="shared" si="0"/>
        <v>2027</v>
      </c>
      <c r="B10" s="18">
        <v>46508</v>
      </c>
      <c r="C10" s="48">
        <f t="shared" si="3"/>
        <v>4973</v>
      </c>
      <c r="D10" s="48">
        <f t="shared" si="1"/>
        <v>4973</v>
      </c>
      <c r="E10" s="48">
        <f t="shared" si="1"/>
        <v>4973</v>
      </c>
      <c r="F10" s="48">
        <f t="shared" si="1"/>
        <v>4973</v>
      </c>
      <c r="G10" s="48">
        <f t="shared" si="1"/>
        <v>4973</v>
      </c>
      <c r="H10" s="48">
        <f t="shared" si="1"/>
        <v>4973</v>
      </c>
      <c r="I10" s="48">
        <f t="shared" si="1"/>
        <v>4973</v>
      </c>
      <c r="J10" s="48">
        <f t="shared" si="1"/>
        <v>4973</v>
      </c>
      <c r="K10" s="48">
        <f t="shared" si="1"/>
        <v>4973</v>
      </c>
      <c r="L10" s="48">
        <f t="shared" si="1"/>
        <v>4973</v>
      </c>
      <c r="M10" s="48">
        <f t="shared" si="1"/>
        <v>4973</v>
      </c>
      <c r="N10" s="48">
        <f t="shared" si="1"/>
        <v>4973</v>
      </c>
      <c r="O10" s="48">
        <f t="shared" si="1"/>
        <v>4973</v>
      </c>
      <c r="P10" s="48">
        <f t="shared" si="1"/>
        <v>4973</v>
      </c>
      <c r="Q10" s="48">
        <f t="shared" si="1"/>
        <v>4973</v>
      </c>
      <c r="R10" s="48">
        <f t="shared" si="1"/>
        <v>4973</v>
      </c>
      <c r="S10" s="48">
        <f t="shared" si="1"/>
        <v>4973</v>
      </c>
      <c r="T10" s="48">
        <f t="shared" si="1"/>
        <v>4973</v>
      </c>
      <c r="U10" s="48">
        <f t="shared" si="1"/>
        <v>4973</v>
      </c>
      <c r="V10" s="48">
        <f t="shared" si="1"/>
        <v>4973</v>
      </c>
      <c r="W10" s="48">
        <f t="shared" si="1"/>
        <v>4973</v>
      </c>
      <c r="X10" s="48">
        <f t="shared" si="1"/>
        <v>4973</v>
      </c>
      <c r="Y10" s="48">
        <f t="shared" si="1"/>
        <v>4973</v>
      </c>
      <c r="Z10" s="48">
        <f t="shared" si="1"/>
        <v>4973</v>
      </c>
      <c r="AA10" s="26">
        <f t="shared" si="4"/>
        <v>119352</v>
      </c>
      <c r="AB10" s="19">
        <f t="shared" si="2"/>
        <v>31</v>
      </c>
      <c r="AC10" s="20">
        <v>3699912</v>
      </c>
      <c r="AD10" s="27"/>
      <c r="AE10" s="82"/>
      <c r="AF10" s="28"/>
    </row>
    <row r="11" spans="1:33" ht="14.5" x14ac:dyDescent="0.35">
      <c r="A11" s="15">
        <f t="shared" si="0"/>
        <v>2027</v>
      </c>
      <c r="B11" s="18">
        <v>46539</v>
      </c>
      <c r="C11" s="48">
        <f t="shared" si="3"/>
        <v>6111</v>
      </c>
      <c r="D11" s="48">
        <f t="shared" si="1"/>
        <v>6111</v>
      </c>
      <c r="E11" s="48">
        <f t="shared" si="1"/>
        <v>6111</v>
      </c>
      <c r="F11" s="48">
        <f t="shared" si="1"/>
        <v>6111</v>
      </c>
      <c r="G11" s="48">
        <f t="shared" si="1"/>
        <v>6111</v>
      </c>
      <c r="H11" s="48">
        <f t="shared" si="1"/>
        <v>6111</v>
      </c>
      <c r="I11" s="48">
        <f t="shared" si="1"/>
        <v>6111</v>
      </c>
      <c r="J11" s="48">
        <f t="shared" si="1"/>
        <v>6111</v>
      </c>
      <c r="K11" s="48">
        <f t="shared" si="1"/>
        <v>6111</v>
      </c>
      <c r="L11" s="48">
        <f t="shared" si="1"/>
        <v>6111</v>
      </c>
      <c r="M11" s="48">
        <f t="shared" si="1"/>
        <v>6111</v>
      </c>
      <c r="N11" s="48">
        <f t="shared" si="1"/>
        <v>6111</v>
      </c>
      <c r="O11" s="48">
        <f t="shared" si="1"/>
        <v>6111</v>
      </c>
      <c r="P11" s="48">
        <f t="shared" si="1"/>
        <v>6111</v>
      </c>
      <c r="Q11" s="48">
        <f t="shared" si="1"/>
        <v>6111</v>
      </c>
      <c r="R11" s="48">
        <f t="shared" si="1"/>
        <v>6111</v>
      </c>
      <c r="S11" s="48">
        <f t="shared" si="1"/>
        <v>6111</v>
      </c>
      <c r="T11" s="48">
        <f t="shared" si="1"/>
        <v>6111</v>
      </c>
      <c r="U11" s="48">
        <f t="shared" si="1"/>
        <v>6111</v>
      </c>
      <c r="V11" s="48">
        <f t="shared" si="1"/>
        <v>6111</v>
      </c>
      <c r="W11" s="48">
        <f t="shared" si="1"/>
        <v>6111</v>
      </c>
      <c r="X11" s="48">
        <f t="shared" si="1"/>
        <v>6111</v>
      </c>
      <c r="Y11" s="48">
        <f t="shared" si="1"/>
        <v>6111</v>
      </c>
      <c r="Z11" s="48">
        <f t="shared" si="1"/>
        <v>6111</v>
      </c>
      <c r="AA11" s="26">
        <f t="shared" si="4"/>
        <v>146664</v>
      </c>
      <c r="AB11" s="19">
        <f t="shared" si="2"/>
        <v>30</v>
      </c>
      <c r="AC11" s="20">
        <v>4399920</v>
      </c>
      <c r="AD11" s="27"/>
      <c r="AE11" s="82"/>
      <c r="AF11" s="28"/>
    </row>
    <row r="12" spans="1:33" ht="14.5" x14ac:dyDescent="0.35">
      <c r="A12" s="15">
        <f t="shared" si="0"/>
        <v>2027</v>
      </c>
      <c r="B12" s="18">
        <v>46569</v>
      </c>
      <c r="C12" s="48">
        <f t="shared" si="3"/>
        <v>6183</v>
      </c>
      <c r="D12" s="48">
        <f t="shared" si="1"/>
        <v>6183</v>
      </c>
      <c r="E12" s="48">
        <f t="shared" si="1"/>
        <v>6183</v>
      </c>
      <c r="F12" s="48">
        <f t="shared" si="1"/>
        <v>6183</v>
      </c>
      <c r="G12" s="48">
        <f t="shared" si="1"/>
        <v>6183</v>
      </c>
      <c r="H12" s="48">
        <f t="shared" si="1"/>
        <v>6183</v>
      </c>
      <c r="I12" s="48">
        <f t="shared" si="1"/>
        <v>6183</v>
      </c>
      <c r="J12" s="48">
        <f t="shared" si="1"/>
        <v>6183</v>
      </c>
      <c r="K12" s="48">
        <f t="shared" si="1"/>
        <v>6183</v>
      </c>
      <c r="L12" s="48">
        <f t="shared" si="1"/>
        <v>6183</v>
      </c>
      <c r="M12" s="48">
        <f t="shared" si="1"/>
        <v>6183</v>
      </c>
      <c r="N12" s="48">
        <f t="shared" si="1"/>
        <v>6183</v>
      </c>
      <c r="O12" s="48">
        <f t="shared" si="1"/>
        <v>6183</v>
      </c>
      <c r="P12" s="48">
        <f t="shared" si="1"/>
        <v>6183</v>
      </c>
      <c r="Q12" s="48">
        <f t="shared" si="1"/>
        <v>6183</v>
      </c>
      <c r="R12" s="48">
        <f t="shared" si="1"/>
        <v>6183</v>
      </c>
      <c r="S12" s="48">
        <f t="shared" si="1"/>
        <v>6183</v>
      </c>
      <c r="T12" s="48">
        <f t="shared" si="1"/>
        <v>6183</v>
      </c>
      <c r="U12" s="48">
        <f t="shared" si="1"/>
        <v>6183</v>
      </c>
      <c r="V12" s="48">
        <f t="shared" si="1"/>
        <v>6183</v>
      </c>
      <c r="W12" s="48">
        <f t="shared" si="1"/>
        <v>6183</v>
      </c>
      <c r="X12" s="48">
        <f t="shared" si="1"/>
        <v>6183</v>
      </c>
      <c r="Y12" s="48">
        <f t="shared" si="1"/>
        <v>6183</v>
      </c>
      <c r="Z12" s="48">
        <f t="shared" si="1"/>
        <v>6183</v>
      </c>
      <c r="AA12" s="26">
        <f t="shared" si="4"/>
        <v>148392</v>
      </c>
      <c r="AB12" s="19">
        <f t="shared" si="2"/>
        <v>31</v>
      </c>
      <c r="AC12" s="20">
        <v>4600152</v>
      </c>
      <c r="AD12" s="27"/>
      <c r="AE12" s="82"/>
      <c r="AF12" s="28"/>
    </row>
    <row r="13" spans="1:33" ht="14.5" x14ac:dyDescent="0.35">
      <c r="A13" s="15">
        <f t="shared" si="0"/>
        <v>2027</v>
      </c>
      <c r="B13" s="18">
        <v>46600</v>
      </c>
      <c r="C13" s="48">
        <f t="shared" si="3"/>
        <v>6720</v>
      </c>
      <c r="D13" s="48">
        <f t="shared" si="1"/>
        <v>6720</v>
      </c>
      <c r="E13" s="48">
        <f t="shared" si="1"/>
        <v>6720</v>
      </c>
      <c r="F13" s="48">
        <f t="shared" si="1"/>
        <v>6720</v>
      </c>
      <c r="G13" s="48">
        <f t="shared" si="1"/>
        <v>6720</v>
      </c>
      <c r="H13" s="48">
        <f t="shared" si="1"/>
        <v>6720</v>
      </c>
      <c r="I13" s="48">
        <f t="shared" si="1"/>
        <v>6720</v>
      </c>
      <c r="J13" s="48">
        <f t="shared" si="1"/>
        <v>6720</v>
      </c>
      <c r="K13" s="48">
        <f t="shared" si="1"/>
        <v>6720</v>
      </c>
      <c r="L13" s="48">
        <f t="shared" si="1"/>
        <v>6720</v>
      </c>
      <c r="M13" s="48">
        <f t="shared" si="1"/>
        <v>6720</v>
      </c>
      <c r="N13" s="48">
        <f t="shared" si="1"/>
        <v>6720</v>
      </c>
      <c r="O13" s="48">
        <f t="shared" si="1"/>
        <v>6720</v>
      </c>
      <c r="P13" s="48">
        <f t="shared" si="1"/>
        <v>6720</v>
      </c>
      <c r="Q13" s="48">
        <f t="shared" si="1"/>
        <v>6720</v>
      </c>
      <c r="R13" s="48">
        <f t="shared" si="1"/>
        <v>6720</v>
      </c>
      <c r="S13" s="48">
        <f t="shared" si="1"/>
        <v>6720</v>
      </c>
      <c r="T13" s="48">
        <f t="shared" si="1"/>
        <v>6720</v>
      </c>
      <c r="U13" s="48">
        <f t="shared" si="1"/>
        <v>6720</v>
      </c>
      <c r="V13" s="48">
        <f t="shared" si="1"/>
        <v>6720</v>
      </c>
      <c r="W13" s="48">
        <f t="shared" si="1"/>
        <v>6720</v>
      </c>
      <c r="X13" s="48">
        <f t="shared" si="1"/>
        <v>6720</v>
      </c>
      <c r="Y13" s="48">
        <f t="shared" si="1"/>
        <v>6720</v>
      </c>
      <c r="Z13" s="48">
        <f t="shared" si="1"/>
        <v>6720</v>
      </c>
      <c r="AA13" s="26">
        <f t="shared" si="4"/>
        <v>161280</v>
      </c>
      <c r="AB13" s="19">
        <f t="shared" si="2"/>
        <v>31</v>
      </c>
      <c r="AC13" s="20">
        <v>4999680</v>
      </c>
      <c r="AD13" s="27"/>
      <c r="AE13" s="82"/>
      <c r="AF13" s="28"/>
    </row>
    <row r="14" spans="1:33" ht="14.5" x14ac:dyDescent="0.35">
      <c r="A14" s="15">
        <f t="shared" si="0"/>
        <v>2027</v>
      </c>
      <c r="B14" s="18">
        <v>46631</v>
      </c>
      <c r="C14" s="48">
        <f t="shared" si="3"/>
        <v>7917</v>
      </c>
      <c r="D14" s="48">
        <f t="shared" si="1"/>
        <v>7917</v>
      </c>
      <c r="E14" s="48">
        <f t="shared" si="1"/>
        <v>7917</v>
      </c>
      <c r="F14" s="48">
        <f t="shared" si="1"/>
        <v>7917</v>
      </c>
      <c r="G14" s="48">
        <f t="shared" si="1"/>
        <v>7917</v>
      </c>
      <c r="H14" s="48">
        <f t="shared" si="1"/>
        <v>7917</v>
      </c>
      <c r="I14" s="48">
        <f t="shared" si="1"/>
        <v>7917</v>
      </c>
      <c r="J14" s="48">
        <f t="shared" si="1"/>
        <v>7917</v>
      </c>
      <c r="K14" s="48">
        <f t="shared" si="1"/>
        <v>7917</v>
      </c>
      <c r="L14" s="48">
        <f t="shared" si="1"/>
        <v>7917</v>
      </c>
      <c r="M14" s="48">
        <f t="shared" si="1"/>
        <v>7917</v>
      </c>
      <c r="N14" s="48">
        <f t="shared" si="1"/>
        <v>7917</v>
      </c>
      <c r="O14" s="48">
        <f t="shared" si="1"/>
        <v>7917</v>
      </c>
      <c r="P14" s="48">
        <f t="shared" si="1"/>
        <v>7917</v>
      </c>
      <c r="Q14" s="48">
        <f t="shared" si="1"/>
        <v>7917</v>
      </c>
      <c r="R14" s="48">
        <f t="shared" si="1"/>
        <v>7917</v>
      </c>
      <c r="S14" s="48">
        <f t="shared" si="1"/>
        <v>7917</v>
      </c>
      <c r="T14" s="48">
        <f t="shared" si="1"/>
        <v>7917</v>
      </c>
      <c r="U14" s="48">
        <f t="shared" si="1"/>
        <v>7917</v>
      </c>
      <c r="V14" s="48">
        <f t="shared" si="1"/>
        <v>7917</v>
      </c>
      <c r="W14" s="48">
        <f t="shared" si="1"/>
        <v>7917</v>
      </c>
      <c r="X14" s="48">
        <f t="shared" si="1"/>
        <v>7917</v>
      </c>
      <c r="Y14" s="48">
        <f t="shared" si="1"/>
        <v>7917</v>
      </c>
      <c r="Z14" s="48">
        <f t="shared" si="1"/>
        <v>7917</v>
      </c>
      <c r="AA14" s="26">
        <f t="shared" si="4"/>
        <v>190008</v>
      </c>
      <c r="AB14" s="19">
        <f t="shared" si="2"/>
        <v>30</v>
      </c>
      <c r="AC14" s="20">
        <v>5700240</v>
      </c>
      <c r="AD14" s="27"/>
      <c r="AE14" s="82"/>
      <c r="AF14" s="28"/>
    </row>
    <row r="15" spans="1:33" ht="14.5" x14ac:dyDescent="0.35">
      <c r="A15" s="15">
        <f t="shared" si="0"/>
        <v>2027</v>
      </c>
      <c r="B15" s="18">
        <v>46661</v>
      </c>
      <c r="C15" s="48">
        <f t="shared" si="3"/>
        <v>8065</v>
      </c>
      <c r="D15" s="48">
        <f t="shared" si="1"/>
        <v>8065</v>
      </c>
      <c r="E15" s="48">
        <f t="shared" si="1"/>
        <v>8065</v>
      </c>
      <c r="F15" s="48">
        <f t="shared" si="1"/>
        <v>8065</v>
      </c>
      <c r="G15" s="48">
        <f t="shared" si="1"/>
        <v>8065</v>
      </c>
      <c r="H15" s="48">
        <f t="shared" si="1"/>
        <v>8065</v>
      </c>
      <c r="I15" s="48">
        <f t="shared" si="1"/>
        <v>8065</v>
      </c>
      <c r="J15" s="48">
        <f t="shared" si="1"/>
        <v>8065</v>
      </c>
      <c r="K15" s="48">
        <f t="shared" si="1"/>
        <v>8065</v>
      </c>
      <c r="L15" s="48">
        <f t="shared" si="1"/>
        <v>8065</v>
      </c>
      <c r="M15" s="48">
        <f t="shared" si="1"/>
        <v>8065</v>
      </c>
      <c r="N15" s="48">
        <f t="shared" si="1"/>
        <v>8065</v>
      </c>
      <c r="O15" s="48">
        <f t="shared" si="1"/>
        <v>8065</v>
      </c>
      <c r="P15" s="48">
        <f t="shared" si="1"/>
        <v>8065</v>
      </c>
      <c r="Q15" s="48">
        <f t="shared" si="1"/>
        <v>8065</v>
      </c>
      <c r="R15" s="48">
        <f t="shared" si="1"/>
        <v>8065</v>
      </c>
      <c r="S15" s="48">
        <f t="shared" si="1"/>
        <v>8065</v>
      </c>
      <c r="T15" s="48">
        <f t="shared" si="1"/>
        <v>8065</v>
      </c>
      <c r="U15" s="48">
        <f t="shared" si="1"/>
        <v>8065</v>
      </c>
      <c r="V15" s="48">
        <f t="shared" si="1"/>
        <v>8065</v>
      </c>
      <c r="W15" s="48">
        <f t="shared" si="1"/>
        <v>8065</v>
      </c>
      <c r="X15" s="48">
        <f t="shared" si="1"/>
        <v>8065</v>
      </c>
      <c r="Y15" s="48">
        <f t="shared" si="1"/>
        <v>8065</v>
      </c>
      <c r="Z15" s="48">
        <f t="shared" si="1"/>
        <v>8065</v>
      </c>
      <c r="AA15" s="26">
        <f t="shared" si="4"/>
        <v>193560</v>
      </c>
      <c r="AB15" s="19">
        <f t="shared" si="2"/>
        <v>31</v>
      </c>
      <c r="AC15" s="20">
        <v>6000360</v>
      </c>
      <c r="AD15" s="27"/>
      <c r="AE15" s="82"/>
      <c r="AF15" s="28"/>
    </row>
    <row r="16" spans="1:33" ht="14.5" x14ac:dyDescent="0.35">
      <c r="A16" s="15">
        <f t="shared" si="0"/>
        <v>2027</v>
      </c>
      <c r="B16" s="18">
        <v>46692</v>
      </c>
      <c r="C16" s="48">
        <f t="shared" si="3"/>
        <v>9306</v>
      </c>
      <c r="D16" s="48">
        <f t="shared" si="1"/>
        <v>9306</v>
      </c>
      <c r="E16" s="48">
        <f t="shared" si="1"/>
        <v>9306</v>
      </c>
      <c r="F16" s="48">
        <f t="shared" si="1"/>
        <v>9306</v>
      </c>
      <c r="G16" s="48">
        <f t="shared" si="1"/>
        <v>9306</v>
      </c>
      <c r="H16" s="48">
        <f t="shared" si="1"/>
        <v>9306</v>
      </c>
      <c r="I16" s="48">
        <f t="shared" si="1"/>
        <v>9306</v>
      </c>
      <c r="J16" s="48">
        <f t="shared" si="1"/>
        <v>9306</v>
      </c>
      <c r="K16" s="48">
        <f t="shared" si="1"/>
        <v>9306</v>
      </c>
      <c r="L16" s="48">
        <f t="shared" si="1"/>
        <v>9306</v>
      </c>
      <c r="M16" s="48">
        <f t="shared" si="1"/>
        <v>9306</v>
      </c>
      <c r="N16" s="48">
        <f t="shared" si="1"/>
        <v>9306</v>
      </c>
      <c r="O16" s="48">
        <f t="shared" si="1"/>
        <v>9306</v>
      </c>
      <c r="P16" s="48">
        <f t="shared" si="1"/>
        <v>9306</v>
      </c>
      <c r="Q16" s="48">
        <f t="shared" si="1"/>
        <v>9306</v>
      </c>
      <c r="R16" s="48">
        <f t="shared" si="1"/>
        <v>9306</v>
      </c>
      <c r="S16" s="48">
        <f t="shared" si="1"/>
        <v>9306</v>
      </c>
      <c r="T16" s="48">
        <f t="shared" si="1"/>
        <v>9306</v>
      </c>
      <c r="U16" s="48">
        <f t="shared" si="1"/>
        <v>9306</v>
      </c>
      <c r="V16" s="48">
        <f t="shared" si="1"/>
        <v>9306</v>
      </c>
      <c r="W16" s="48">
        <f t="shared" si="1"/>
        <v>9306</v>
      </c>
      <c r="X16" s="48">
        <f t="shared" si="1"/>
        <v>9306</v>
      </c>
      <c r="Y16" s="48">
        <f t="shared" si="1"/>
        <v>9306</v>
      </c>
      <c r="Z16" s="48">
        <f t="shared" si="1"/>
        <v>9306</v>
      </c>
      <c r="AA16" s="26">
        <f t="shared" si="4"/>
        <v>223344</v>
      </c>
      <c r="AB16" s="19">
        <f t="shared" si="2"/>
        <v>30</v>
      </c>
      <c r="AC16" s="20">
        <v>6700320</v>
      </c>
      <c r="AD16" s="27"/>
      <c r="AE16" s="82"/>
      <c r="AF16" s="28"/>
    </row>
    <row r="17" spans="1:32" ht="14.5" x14ac:dyDescent="0.35">
      <c r="A17" s="15">
        <f t="shared" si="0"/>
        <v>2027</v>
      </c>
      <c r="B17" s="18">
        <v>46722</v>
      </c>
      <c r="C17" s="48">
        <f t="shared" si="3"/>
        <v>9409</v>
      </c>
      <c r="D17" s="48">
        <f t="shared" si="1"/>
        <v>9409</v>
      </c>
      <c r="E17" s="48">
        <f t="shared" si="1"/>
        <v>9409</v>
      </c>
      <c r="F17" s="48">
        <f t="shared" ref="F17:Z17" si="5">ROUND(($AC17/$AB17)/24,2)</f>
        <v>9409</v>
      </c>
      <c r="G17" s="48">
        <f t="shared" si="5"/>
        <v>9409</v>
      </c>
      <c r="H17" s="48">
        <f t="shared" si="5"/>
        <v>9409</v>
      </c>
      <c r="I17" s="48">
        <f t="shared" si="5"/>
        <v>9409</v>
      </c>
      <c r="J17" s="48">
        <f t="shared" si="5"/>
        <v>9409</v>
      </c>
      <c r="K17" s="48">
        <f t="shared" si="5"/>
        <v>9409</v>
      </c>
      <c r="L17" s="48">
        <f t="shared" si="5"/>
        <v>9409</v>
      </c>
      <c r="M17" s="48">
        <f t="shared" si="5"/>
        <v>9409</v>
      </c>
      <c r="N17" s="48">
        <f t="shared" si="5"/>
        <v>9409</v>
      </c>
      <c r="O17" s="48">
        <f t="shared" si="5"/>
        <v>9409</v>
      </c>
      <c r="P17" s="48">
        <f t="shared" si="5"/>
        <v>9409</v>
      </c>
      <c r="Q17" s="48">
        <f t="shared" si="5"/>
        <v>9409</v>
      </c>
      <c r="R17" s="48">
        <f t="shared" si="5"/>
        <v>9409</v>
      </c>
      <c r="S17" s="48">
        <f t="shared" si="5"/>
        <v>9409</v>
      </c>
      <c r="T17" s="48">
        <f t="shared" si="5"/>
        <v>9409</v>
      </c>
      <c r="U17" s="48">
        <f t="shared" si="5"/>
        <v>9409</v>
      </c>
      <c r="V17" s="48">
        <f t="shared" si="5"/>
        <v>9409</v>
      </c>
      <c r="W17" s="48">
        <f t="shared" si="5"/>
        <v>9409</v>
      </c>
      <c r="X17" s="48">
        <f t="shared" si="5"/>
        <v>9409</v>
      </c>
      <c r="Y17" s="48">
        <f t="shared" si="5"/>
        <v>9409</v>
      </c>
      <c r="Z17" s="48">
        <f t="shared" si="5"/>
        <v>9409</v>
      </c>
      <c r="AA17" s="26">
        <f t="shared" si="4"/>
        <v>225816</v>
      </c>
      <c r="AB17" s="19">
        <f t="shared" si="2"/>
        <v>31</v>
      </c>
      <c r="AC17" s="20">
        <v>7000296</v>
      </c>
      <c r="AD17" s="27"/>
      <c r="AE17" s="82"/>
      <c r="AF17" s="28"/>
    </row>
    <row r="18" spans="1:32" ht="14.5" x14ac:dyDescent="0.35">
      <c r="B18" s="21" t="s">
        <v>37</v>
      </c>
      <c r="C18" s="22">
        <f t="shared" ref="C18:AC18" si="6">+SUM(C6:C17)</f>
        <v>75028</v>
      </c>
      <c r="D18" s="22">
        <f t="shared" si="6"/>
        <v>75028</v>
      </c>
      <c r="E18" s="22">
        <f t="shared" si="6"/>
        <v>75028</v>
      </c>
      <c r="F18" s="22">
        <f t="shared" si="6"/>
        <v>75028</v>
      </c>
      <c r="G18" s="22">
        <f t="shared" si="6"/>
        <v>75028</v>
      </c>
      <c r="H18" s="22">
        <f t="shared" si="6"/>
        <v>75028</v>
      </c>
      <c r="I18" s="22">
        <f t="shared" si="6"/>
        <v>75028</v>
      </c>
      <c r="J18" s="22">
        <f t="shared" si="6"/>
        <v>75028</v>
      </c>
      <c r="K18" s="22">
        <f t="shared" si="6"/>
        <v>75028</v>
      </c>
      <c r="L18" s="22">
        <f t="shared" si="6"/>
        <v>75028</v>
      </c>
      <c r="M18" s="22">
        <f t="shared" si="6"/>
        <v>75028</v>
      </c>
      <c r="N18" s="22">
        <f t="shared" si="6"/>
        <v>75028</v>
      </c>
      <c r="O18" s="22">
        <f t="shared" si="6"/>
        <v>75028</v>
      </c>
      <c r="P18" s="22">
        <f t="shared" si="6"/>
        <v>75028</v>
      </c>
      <c r="Q18" s="22">
        <f t="shared" si="6"/>
        <v>75028</v>
      </c>
      <c r="R18" s="22">
        <f t="shared" si="6"/>
        <v>75028</v>
      </c>
      <c r="S18" s="22">
        <f t="shared" si="6"/>
        <v>75028</v>
      </c>
      <c r="T18" s="22">
        <f t="shared" si="6"/>
        <v>75028</v>
      </c>
      <c r="U18" s="22">
        <f t="shared" si="6"/>
        <v>75028</v>
      </c>
      <c r="V18" s="22">
        <f t="shared" si="6"/>
        <v>75028</v>
      </c>
      <c r="W18" s="22">
        <f t="shared" si="6"/>
        <v>75028</v>
      </c>
      <c r="X18" s="22">
        <f t="shared" si="6"/>
        <v>75028</v>
      </c>
      <c r="Y18" s="22">
        <f t="shared" si="6"/>
        <v>75028</v>
      </c>
      <c r="Z18" s="22">
        <f t="shared" si="6"/>
        <v>75028</v>
      </c>
      <c r="AA18" s="22">
        <f t="shared" si="6"/>
        <v>1800672</v>
      </c>
      <c r="AB18" s="23">
        <f t="shared" si="6"/>
        <v>365</v>
      </c>
      <c r="AC18" s="24">
        <f t="shared" si="6"/>
        <v>54801288</v>
      </c>
      <c r="AD18" s="27"/>
      <c r="AE18"/>
    </row>
  </sheetData>
  <mergeCells count="28">
    <mergeCell ref="AC4:AC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P4:P5"/>
    <mergeCell ref="B1:AC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7578-4E8E-47BF-BA83-5E084FAAC8B8}">
  <dimension ref="B2:K26"/>
  <sheetViews>
    <sheetView showGridLines="0" view="pageBreakPreview" topLeftCell="A16" zoomScaleNormal="100" zoomScaleSheetLayoutView="100" workbookViewId="0">
      <selection activeCell="B25" sqref="B25:F25"/>
    </sheetView>
  </sheetViews>
  <sheetFormatPr baseColWidth="10" defaultColWidth="11.453125" defaultRowHeight="14.5" x14ac:dyDescent="0.35"/>
  <cols>
    <col min="1" max="1" width="7.7265625" customWidth="1"/>
    <col min="2" max="6" width="14.7265625" customWidth="1"/>
    <col min="7" max="7" width="16.81640625" customWidth="1"/>
    <col min="8" max="8" width="14.1796875" bestFit="1" customWidth="1"/>
    <col min="9" max="9" width="13.453125" bestFit="1" customWidth="1"/>
    <col min="10" max="10" width="13.1796875" bestFit="1" customWidth="1"/>
  </cols>
  <sheetData>
    <row r="2" spans="2:11" x14ac:dyDescent="0.35">
      <c r="B2" s="84" t="s">
        <v>39</v>
      </c>
      <c r="C2" s="84"/>
      <c r="D2" s="84"/>
      <c r="E2" s="84"/>
      <c r="F2" s="84"/>
      <c r="G2" s="1"/>
    </row>
    <row r="3" spans="2:11" x14ac:dyDescent="0.35">
      <c r="B3" s="84" t="s">
        <v>41</v>
      </c>
      <c r="C3" s="84"/>
      <c r="D3" s="84"/>
      <c r="E3" s="84"/>
      <c r="F3" s="84"/>
      <c r="G3" s="1"/>
    </row>
    <row r="4" spans="2:11" x14ac:dyDescent="0.35">
      <c r="B4" s="84" t="s">
        <v>68</v>
      </c>
      <c r="C4" s="84"/>
      <c r="D4" s="84"/>
      <c r="E4" s="84"/>
      <c r="F4" s="84"/>
      <c r="G4" s="1"/>
    </row>
    <row r="5" spans="2:11" ht="15" thickBot="1" x14ac:dyDescent="0.4">
      <c r="B5" s="44" t="s">
        <v>52</v>
      </c>
      <c r="C5" s="42"/>
      <c r="D5" s="42"/>
      <c r="E5" s="42"/>
      <c r="F5" s="1"/>
    </row>
    <row r="6" spans="2:11" ht="15" thickBot="1" x14ac:dyDescent="0.4"/>
    <row r="7" spans="2:11" ht="15" customHeight="1" x14ac:dyDescent="0.35">
      <c r="B7" s="85" t="s">
        <v>1</v>
      </c>
      <c r="C7" s="87" t="s">
        <v>66</v>
      </c>
      <c r="D7" s="87" t="s">
        <v>3</v>
      </c>
      <c r="E7" s="87" t="s">
        <v>67</v>
      </c>
      <c r="F7" s="89" t="s">
        <v>5</v>
      </c>
      <c r="G7" s="2"/>
    </row>
    <row r="8" spans="2:11" ht="23.15" customHeight="1" x14ac:dyDescent="0.35">
      <c r="B8" s="86"/>
      <c r="C8" s="88"/>
      <c r="D8" s="88"/>
      <c r="E8" s="88"/>
      <c r="F8" s="90"/>
      <c r="G8" s="2"/>
    </row>
    <row r="9" spans="2:11" ht="15" thickBot="1" x14ac:dyDescent="0.4">
      <c r="B9" s="37">
        <v>46753</v>
      </c>
      <c r="C9" s="3">
        <f ca="1">SUMIF('Curvas Prod 3'!B:AC,'Oferta Producto 3'!B9,'Curvas Prod 3'!AC:AC)</f>
        <v>6300000</v>
      </c>
      <c r="D9" s="72"/>
      <c r="E9" s="25">
        <f ca="1">C9*D9</f>
        <v>0</v>
      </c>
      <c r="F9" s="100"/>
      <c r="G9" s="4"/>
      <c r="H9" s="14"/>
      <c r="I9" s="14"/>
      <c r="K9" s="13"/>
    </row>
    <row r="10" spans="2:11" ht="15" thickBot="1" x14ac:dyDescent="0.4">
      <c r="B10" s="37">
        <v>46784</v>
      </c>
      <c r="C10" s="3">
        <f ca="1">SUMIF('Curvas Prod 3'!B:AC,'Oferta Producto 3'!B10,'Curvas Prod 3'!AC:AC)</f>
        <v>7200000</v>
      </c>
      <c r="D10" s="77"/>
      <c r="E10" s="25">
        <f t="shared" ref="E10:E20" ca="1" si="0">C10*D10</f>
        <v>0</v>
      </c>
      <c r="F10" s="101"/>
      <c r="G10" s="4"/>
      <c r="H10" s="14"/>
    </row>
    <row r="11" spans="2:11" ht="15" thickBot="1" x14ac:dyDescent="0.4">
      <c r="B11" s="37">
        <v>46813</v>
      </c>
      <c r="C11" s="3">
        <f ca="1">SUMIF('Curvas Prod 3'!B:AC,'Oferta Producto 3'!B11,'Curvas Prod 3'!AC:AC)</f>
        <v>7400000</v>
      </c>
      <c r="D11" s="78"/>
      <c r="E11" s="25">
        <f t="shared" ca="1" si="0"/>
        <v>0</v>
      </c>
      <c r="F11" s="101"/>
      <c r="G11" s="4"/>
      <c r="H11" s="14"/>
    </row>
    <row r="12" spans="2:11" ht="15" thickBot="1" x14ac:dyDescent="0.4">
      <c r="B12" s="37">
        <v>46844</v>
      </c>
      <c r="C12" s="3">
        <f ca="1">SUMIF('Curvas Prod 3'!B:AC,'Oferta Producto 3'!B12,'Curvas Prod 3'!AC:AC)</f>
        <v>8200000</v>
      </c>
      <c r="D12" s="71"/>
      <c r="E12" s="25">
        <f t="shared" ca="1" si="0"/>
        <v>0</v>
      </c>
      <c r="F12" s="101"/>
      <c r="G12" s="4"/>
      <c r="H12" s="14"/>
    </row>
    <row r="13" spans="2:11" ht="15" thickBot="1" x14ac:dyDescent="0.4">
      <c r="B13" s="37">
        <v>46874</v>
      </c>
      <c r="C13" s="3">
        <f ca="1">SUMIF('Curvas Prod 3'!B:AC,'Oferta Producto 3'!B13,'Curvas Prod 3'!AC:AC)</f>
        <v>8600000</v>
      </c>
      <c r="D13" s="77"/>
      <c r="E13" s="25">
        <f t="shared" ca="1" si="0"/>
        <v>0</v>
      </c>
      <c r="F13" s="101"/>
      <c r="G13" s="4"/>
      <c r="H13" s="75"/>
    </row>
    <row r="14" spans="2:11" ht="15" thickBot="1" x14ac:dyDescent="0.4">
      <c r="B14" s="37">
        <v>46905</v>
      </c>
      <c r="C14" s="3">
        <f ca="1">SUMIF('Curvas Prod 3'!B:AC,'Oferta Producto 3'!B14,'Curvas Prod 3'!AC:AC)</f>
        <v>9400000</v>
      </c>
      <c r="D14" s="77"/>
      <c r="E14" s="25">
        <f t="shared" ca="1" si="0"/>
        <v>0</v>
      </c>
      <c r="F14" s="101"/>
      <c r="G14" s="4"/>
      <c r="H14" s="14"/>
    </row>
    <row r="15" spans="2:11" ht="15" thickBot="1" x14ac:dyDescent="0.4">
      <c r="B15" s="37">
        <v>46935</v>
      </c>
      <c r="C15" s="3">
        <f ca="1">SUMIF('Curvas Prod 3'!B:AC,'Oferta Producto 3'!B15,'Curvas Prod 3'!AC:AC)</f>
        <v>9900000</v>
      </c>
      <c r="D15" s="71"/>
      <c r="E15" s="25">
        <f t="shared" ca="1" si="0"/>
        <v>0</v>
      </c>
      <c r="F15" s="101"/>
      <c r="G15" s="4"/>
      <c r="H15" s="14"/>
    </row>
    <row r="16" spans="2:11" ht="15" thickBot="1" x14ac:dyDescent="0.4">
      <c r="B16" s="37">
        <v>46966</v>
      </c>
      <c r="C16" s="40">
        <f ca="1">SUMIF('Curvas Prod 3'!B:AC,'Oferta Producto 3'!B16,'Curvas Prod 3'!AC:AC)</f>
        <v>10600000</v>
      </c>
      <c r="D16" s="77"/>
      <c r="E16" s="25">
        <f t="shared" ca="1" si="0"/>
        <v>0</v>
      </c>
      <c r="F16" s="101"/>
      <c r="G16" s="4"/>
      <c r="H16" s="14"/>
    </row>
    <row r="17" spans="2:9" ht="15" thickBot="1" x14ac:dyDescent="0.4">
      <c r="B17" s="37">
        <v>46997</v>
      </c>
      <c r="C17" s="76">
        <f ca="1">SUMIF('Curvas Prod 3'!B:AC,'Oferta Producto 3'!B17,'Curvas Prod 3'!AC:AC)</f>
        <v>11400000</v>
      </c>
      <c r="D17" s="77"/>
      <c r="E17" s="25">
        <f t="shared" ca="1" si="0"/>
        <v>0</v>
      </c>
      <c r="F17" s="101"/>
      <c r="G17" s="4"/>
      <c r="H17" s="14"/>
    </row>
    <row r="18" spans="2:9" ht="15" thickBot="1" x14ac:dyDescent="0.4">
      <c r="B18" s="37">
        <v>47027</v>
      </c>
      <c r="C18" s="3">
        <f ca="1">SUMIF('Curvas Prod 3'!B:AC,'Oferta Producto 3'!B18,'Curvas Prod 3'!AC:AC)</f>
        <v>11900000</v>
      </c>
      <c r="D18" s="71"/>
      <c r="E18" s="25">
        <f t="shared" ca="1" si="0"/>
        <v>0</v>
      </c>
      <c r="F18" s="101"/>
      <c r="G18" s="4"/>
      <c r="H18" s="14"/>
    </row>
    <row r="19" spans="2:9" ht="15" thickBot="1" x14ac:dyDescent="0.4">
      <c r="B19" s="37">
        <v>47058</v>
      </c>
      <c r="C19" s="3">
        <f ca="1">SUMIF('Curvas Prod 3'!B:AC,'Oferta Producto 3'!B19,'Curvas Prod 3'!AC:AC)</f>
        <v>12800000</v>
      </c>
      <c r="D19" s="79"/>
      <c r="E19" s="25">
        <f t="shared" ca="1" si="0"/>
        <v>0</v>
      </c>
      <c r="F19" s="101"/>
      <c r="G19" s="4"/>
      <c r="H19" s="14"/>
    </row>
    <row r="20" spans="2:9" ht="15" thickBot="1" x14ac:dyDescent="0.4">
      <c r="B20" s="37">
        <v>47088</v>
      </c>
      <c r="C20" s="3">
        <f ca="1">SUMIF('Curvas Prod 3'!B:AC,'Oferta Producto 3'!B20,'Curvas Prod 3'!AC:AC)</f>
        <v>13400000</v>
      </c>
      <c r="D20" s="79"/>
      <c r="E20" s="25">
        <f t="shared" ca="1" si="0"/>
        <v>0</v>
      </c>
      <c r="F20" s="102"/>
      <c r="G20" s="4"/>
      <c r="H20" s="14"/>
      <c r="I20" s="14"/>
    </row>
    <row r="21" spans="2:9" ht="15" thickBot="1" x14ac:dyDescent="0.4">
      <c r="B21" s="33" t="s">
        <v>6</v>
      </c>
      <c r="C21" s="34">
        <f ca="1">SUM(C9:C20)</f>
        <v>117100000</v>
      </c>
      <c r="D21" s="80">
        <f ca="1">(E21/C21)</f>
        <v>0</v>
      </c>
      <c r="E21" s="36">
        <f ca="1">SUM(E9:E20)</f>
        <v>0</v>
      </c>
      <c r="F21" s="32">
        <f>F9</f>
        <v>0</v>
      </c>
      <c r="G21" s="5"/>
      <c r="H21" s="6"/>
    </row>
    <row r="22" spans="2:9" x14ac:dyDescent="0.35">
      <c r="B22" s="7"/>
      <c r="C22" s="8"/>
      <c r="D22" s="9"/>
      <c r="E22" s="10"/>
      <c r="F22" s="11"/>
      <c r="G22" s="11"/>
      <c r="H22" s="6"/>
    </row>
    <row r="23" spans="2:9" x14ac:dyDescent="0.35">
      <c r="B23" s="7" t="s">
        <v>7</v>
      </c>
      <c r="C23" s="8"/>
      <c r="D23" s="9"/>
      <c r="E23" s="10"/>
      <c r="F23" s="11"/>
      <c r="G23" s="11"/>
      <c r="H23" s="6"/>
      <c r="I23" s="13"/>
    </row>
    <row r="24" spans="2:9" ht="24.75" customHeight="1" x14ac:dyDescent="0.35">
      <c r="B24" s="92" t="s">
        <v>50</v>
      </c>
      <c r="C24" s="92"/>
      <c r="D24" s="92"/>
      <c r="E24" s="92"/>
      <c r="F24" s="92"/>
    </row>
    <row r="25" spans="2:9" ht="62.15" customHeight="1" x14ac:dyDescent="0.35">
      <c r="B25" s="91" t="s">
        <v>61</v>
      </c>
      <c r="C25" s="91"/>
      <c r="D25" s="91"/>
      <c r="E25" s="91"/>
      <c r="F25" s="91"/>
    </row>
    <row r="26" spans="2:9" x14ac:dyDescent="0.35">
      <c r="B26" s="92" t="s">
        <v>62</v>
      </c>
      <c r="C26" s="92"/>
      <c r="D26" s="92"/>
      <c r="E26" s="92"/>
      <c r="F26" s="92"/>
    </row>
  </sheetData>
  <mergeCells count="12">
    <mergeCell ref="B26:F26"/>
    <mergeCell ref="B24:F24"/>
    <mergeCell ref="B25:F25"/>
    <mergeCell ref="F9:F20"/>
    <mergeCell ref="B2:F2"/>
    <mergeCell ref="B3:F3"/>
    <mergeCell ref="B4:F4"/>
    <mergeCell ref="B7:B8"/>
    <mergeCell ref="C7:C8"/>
    <mergeCell ref="D7:D8"/>
    <mergeCell ref="E7:E8"/>
    <mergeCell ref="F7:F8"/>
  </mergeCells>
  <dataValidations count="1">
    <dataValidation type="decimal" allowBlank="1" showInputMessage="1" showErrorMessage="1" errorTitle="Valor no permitido" error="El valor debe estar entre 10% y 100%." promptTitle="Porcentaje" prompt="Ingrese un valor entre 10% y 100%" sqref="D9:D20" xr:uid="{F2CC0D54-A94C-4B7C-950A-EB26D01A6D41}">
      <formula1>0.1</formula1>
      <formula2>1</formula2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78E6-FD02-4689-9819-26D1B5E5B4C7}">
  <dimension ref="A1:AG18"/>
  <sheetViews>
    <sheetView showGridLines="0" zoomScale="85" zoomScaleNormal="85" workbookViewId="0">
      <pane xSplit="2" ySplit="5" topLeftCell="U6" activePane="bottomRight" state="frozen"/>
      <selection activeCell="D10" sqref="D10:D21"/>
      <selection pane="topRight" activeCell="D10" sqref="D10:D21"/>
      <selection pane="bottomLeft" activeCell="D10" sqref="D10:D21"/>
      <selection pane="bottomRight" activeCell="B1" sqref="B1:AC2"/>
    </sheetView>
  </sheetViews>
  <sheetFormatPr baseColWidth="10" defaultColWidth="8" defaultRowHeight="9.5" x14ac:dyDescent="0.25"/>
  <cols>
    <col min="1" max="1" width="4.54296875" style="15" customWidth="1"/>
    <col min="2" max="2" width="15.7265625" style="15" bestFit="1" customWidth="1"/>
    <col min="3" max="26" width="12.453125" style="15" bestFit="1" customWidth="1"/>
    <col min="27" max="27" width="14.7265625" style="15" bestFit="1" customWidth="1"/>
    <col min="28" max="28" width="7.81640625" style="15" bestFit="1" customWidth="1"/>
    <col min="29" max="29" width="15" style="15" bestFit="1" customWidth="1"/>
    <col min="30" max="30" width="10.26953125" style="15" bestFit="1" customWidth="1"/>
    <col min="31" max="31" width="17.54296875" style="15" bestFit="1" customWidth="1"/>
    <col min="32" max="32" width="19" style="15" bestFit="1" customWidth="1"/>
    <col min="33" max="16384" width="8" style="15"/>
  </cols>
  <sheetData>
    <row r="1" spans="1:33" x14ac:dyDescent="0.25">
      <c r="B1" s="94" t="s">
        <v>46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6"/>
    </row>
    <row r="2" spans="1:33" ht="14.5" x14ac:dyDescent="0.35">
      <c r="B2" s="97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9"/>
      <c r="AE2"/>
      <c r="AF2"/>
      <c r="AG2"/>
    </row>
    <row r="3" spans="1:33" ht="14.5" x14ac:dyDescent="0.35">
      <c r="C3" s="46" cm="1">
        <f t="array" ref="C3:Z3">TRANSPOSE('[1]Curva Base'!$G$8:$G$31)</f>
        <v>3.2307492907517277E-2</v>
      </c>
      <c r="D3" s="46">
        <v>3.0391331498771872E-2</v>
      </c>
      <c r="E3" s="46">
        <v>2.9135505722269913E-2</v>
      </c>
      <c r="F3" s="46">
        <v>2.8265462980432091E-2</v>
      </c>
      <c r="G3" s="46">
        <v>2.8615879288345157E-2</v>
      </c>
      <c r="H3" s="46">
        <v>3.0599734331162413E-2</v>
      </c>
      <c r="I3" s="46">
        <v>3.2579809815239724E-2</v>
      </c>
      <c r="J3" s="46">
        <v>3.6200875664461118E-2</v>
      </c>
      <c r="K3" s="46">
        <v>4.0579719081870802E-2</v>
      </c>
      <c r="L3" s="46">
        <v>4.3490916714062917E-2</v>
      </c>
      <c r="M3" s="46">
        <v>4.7251248221735584E-2</v>
      </c>
      <c r="N3" s="46">
        <v>4.9474783293219506E-2</v>
      </c>
      <c r="O3" s="46">
        <v>4.9977987214980715E-2</v>
      </c>
      <c r="P3" s="46">
        <v>5.057448963408398E-2</v>
      </c>
      <c r="Q3" s="46">
        <v>5.1623693043861711E-2</v>
      </c>
      <c r="R3" s="46">
        <v>5.1745687137136169E-2</v>
      </c>
      <c r="S3" s="46">
        <v>5.0916592110727597E-2</v>
      </c>
      <c r="T3" s="46">
        <v>4.9104570722809653E-2</v>
      </c>
      <c r="U3" s="46">
        <v>5.0017211367767447E-2</v>
      </c>
      <c r="V3" s="46">
        <v>5.0468137882567578E-2</v>
      </c>
      <c r="W3" s="46">
        <v>4.7490883326962406E-2</v>
      </c>
      <c r="X3" s="46">
        <v>4.356870614251851E-2</v>
      </c>
      <c r="Y3" s="46">
        <v>3.9802254564889367E-2</v>
      </c>
      <c r="Z3" s="46">
        <v>3.5817027332606791E-2</v>
      </c>
      <c r="AC3" s="16"/>
      <c r="AE3"/>
      <c r="AF3"/>
      <c r="AG3"/>
    </row>
    <row r="4" spans="1:33" ht="15" customHeight="1" x14ac:dyDescent="0.35">
      <c r="B4" s="93" t="s">
        <v>8</v>
      </c>
      <c r="C4" s="93" t="s">
        <v>9</v>
      </c>
      <c r="D4" s="93" t="s">
        <v>10</v>
      </c>
      <c r="E4" s="93" t="s">
        <v>11</v>
      </c>
      <c r="F4" s="93" t="s">
        <v>12</v>
      </c>
      <c r="G4" s="93" t="s">
        <v>13</v>
      </c>
      <c r="H4" s="93" t="s">
        <v>14</v>
      </c>
      <c r="I4" s="93" t="s">
        <v>15</v>
      </c>
      <c r="J4" s="93" t="s">
        <v>16</v>
      </c>
      <c r="K4" s="93" t="s">
        <v>17</v>
      </c>
      <c r="L4" s="93" t="s">
        <v>18</v>
      </c>
      <c r="M4" s="93" t="s">
        <v>19</v>
      </c>
      <c r="N4" s="93" t="s">
        <v>20</v>
      </c>
      <c r="O4" s="93" t="s">
        <v>21</v>
      </c>
      <c r="P4" s="93" t="s">
        <v>22</v>
      </c>
      <c r="Q4" s="93" t="s">
        <v>23</v>
      </c>
      <c r="R4" s="93" t="s">
        <v>24</v>
      </c>
      <c r="S4" s="93" t="s">
        <v>25</v>
      </c>
      <c r="T4" s="93" t="s">
        <v>26</v>
      </c>
      <c r="U4" s="93" t="s">
        <v>27</v>
      </c>
      <c r="V4" s="93" t="s">
        <v>28</v>
      </c>
      <c r="W4" s="93" t="s">
        <v>29</v>
      </c>
      <c r="X4" s="93" t="s">
        <v>30</v>
      </c>
      <c r="Y4" s="93" t="s">
        <v>31</v>
      </c>
      <c r="Z4" s="93" t="s">
        <v>32</v>
      </c>
      <c r="AA4" s="93" t="s">
        <v>33</v>
      </c>
      <c r="AB4" s="17" t="s">
        <v>34</v>
      </c>
      <c r="AC4" s="93" t="s">
        <v>35</v>
      </c>
      <c r="AE4"/>
      <c r="AF4"/>
      <c r="AG4"/>
    </row>
    <row r="5" spans="1:33" ht="14.5" x14ac:dyDescent="0.35"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17" t="s">
        <v>36</v>
      </c>
      <c r="AC5" s="93"/>
      <c r="AE5"/>
      <c r="AF5"/>
      <c r="AG5"/>
    </row>
    <row r="6" spans="1:33" ht="14.5" x14ac:dyDescent="0.35">
      <c r="A6" s="15">
        <f t="shared" ref="A6:A17" si="0">YEAR(B6)</f>
        <v>2028</v>
      </c>
      <c r="B6" s="18">
        <v>46753</v>
      </c>
      <c r="C6" s="26">
        <f>($AC6/$AB6)*C$3</f>
        <v>6565.7163005599632</v>
      </c>
      <c r="D6" s="26">
        <f t="shared" ref="D6:Z17" si="1">($AC6/$AB6)*D$3</f>
        <v>6176.3028529762196</v>
      </c>
      <c r="E6" s="26">
        <f t="shared" si="1"/>
        <v>5921.086646783886</v>
      </c>
      <c r="F6" s="26">
        <f t="shared" si="1"/>
        <v>5744.2715089265221</v>
      </c>
      <c r="G6" s="26">
        <f t="shared" si="1"/>
        <v>5815.4851456959514</v>
      </c>
      <c r="H6" s="26">
        <f t="shared" si="1"/>
        <v>6218.6556866555875</v>
      </c>
      <c r="I6" s="26">
        <f t="shared" si="1"/>
        <v>6621.0581237422666</v>
      </c>
      <c r="J6" s="26">
        <f t="shared" si="1"/>
        <v>7356.952151164679</v>
      </c>
      <c r="K6" s="26">
        <f t="shared" si="1"/>
        <v>8246.8461359930989</v>
      </c>
      <c r="L6" s="26">
        <f t="shared" si="1"/>
        <v>8838.4766225353669</v>
      </c>
      <c r="M6" s="26">
        <f t="shared" si="1"/>
        <v>9602.6730257075542</v>
      </c>
      <c r="N6" s="26">
        <f t="shared" si="1"/>
        <v>10054.552733783319</v>
      </c>
      <c r="O6" s="26">
        <f t="shared" si="1"/>
        <v>10156.816756592856</v>
      </c>
      <c r="P6" s="26">
        <f t="shared" si="1"/>
        <v>10278.041441765454</v>
      </c>
      <c r="Q6" s="26">
        <f t="shared" si="1"/>
        <v>10491.266650849317</v>
      </c>
      <c r="R6" s="26">
        <f t="shared" si="1"/>
        <v>10516.05899883735</v>
      </c>
      <c r="S6" s="26">
        <f t="shared" si="1"/>
        <v>10347.565493470447</v>
      </c>
      <c r="T6" s="26">
        <f t="shared" si="1"/>
        <v>9979.3159856032526</v>
      </c>
      <c r="U6" s="26">
        <f t="shared" si="1"/>
        <v>10164.78811667532</v>
      </c>
      <c r="V6" s="26">
        <f t="shared" si="1"/>
        <v>10256.428021295991</v>
      </c>
      <c r="W6" s="26">
        <f t="shared" si="1"/>
        <v>9651.3730632213919</v>
      </c>
      <c r="X6" s="26">
        <f t="shared" si="1"/>
        <v>8854.2854418666648</v>
      </c>
      <c r="Y6" s="26">
        <f t="shared" si="1"/>
        <v>8088.8452825420327</v>
      </c>
      <c r="Z6" s="26">
        <f t="shared" si="1"/>
        <v>7278.944264368477</v>
      </c>
      <c r="AA6" s="26">
        <f>SUM(C6:Z6)</f>
        <v>203225.80645161297</v>
      </c>
      <c r="AB6" s="19">
        <f t="shared" ref="AB6:AB17" si="2">DAY(EOMONTH(B6,0))</f>
        <v>31</v>
      </c>
      <c r="AC6" s="20" cm="1">
        <f t="array" ref="AC6:AC17">TRANSPOSE('[1]Proyección a contratar'!$P$8:$AA$8)</f>
        <v>6300000</v>
      </c>
      <c r="AD6" s="27"/>
      <c r="AE6" s="28"/>
    </row>
    <row r="7" spans="1:33" ht="14.5" x14ac:dyDescent="0.35">
      <c r="A7" s="15">
        <f t="shared" si="0"/>
        <v>2028</v>
      </c>
      <c r="B7" s="18">
        <v>46784</v>
      </c>
      <c r="C7" s="26">
        <f t="shared" ref="C7:C17" si="3">($AC7/$AB7)*C$3</f>
        <v>8021.1706529008407</v>
      </c>
      <c r="D7" s="26">
        <f t="shared" si="1"/>
        <v>7545.4340272812924</v>
      </c>
      <c r="E7" s="26">
        <f t="shared" si="1"/>
        <v>7233.6428000118403</v>
      </c>
      <c r="F7" s="26">
        <f t="shared" si="1"/>
        <v>7017.6321882452085</v>
      </c>
      <c r="G7" s="26">
        <f t="shared" si="1"/>
        <v>7104.6320991753491</v>
      </c>
      <c r="H7" s="26">
        <f t="shared" si="1"/>
        <v>7597.1754201506683</v>
      </c>
      <c r="I7" s="26">
        <f t="shared" si="1"/>
        <v>8088.7803679215867</v>
      </c>
      <c r="J7" s="26">
        <f t="shared" si="1"/>
        <v>8987.8036132455181</v>
      </c>
      <c r="K7" s="26">
        <f t="shared" si="1"/>
        <v>10074.964737567923</v>
      </c>
      <c r="L7" s="26">
        <f t="shared" si="1"/>
        <v>10797.744839353552</v>
      </c>
      <c r="M7" s="26">
        <f t="shared" si="1"/>
        <v>11731.344386086075</v>
      </c>
      <c r="N7" s="26">
        <f t="shared" si="1"/>
        <v>12283.394472799326</v>
      </c>
      <c r="O7" s="26">
        <f t="shared" si="1"/>
        <v>12408.327860271074</v>
      </c>
      <c r="P7" s="26">
        <f t="shared" si="1"/>
        <v>12556.425012600161</v>
      </c>
      <c r="Q7" s="26">
        <f t="shared" si="1"/>
        <v>12816.916893648424</v>
      </c>
      <c r="R7" s="26">
        <f t="shared" si="1"/>
        <v>12847.205082323462</v>
      </c>
      <c r="S7" s="26">
        <f t="shared" si="1"/>
        <v>12641.360799904782</v>
      </c>
      <c r="T7" s="26">
        <f t="shared" si="1"/>
        <v>12191.479627732051</v>
      </c>
      <c r="U7" s="26">
        <f t="shared" si="1"/>
        <v>12418.066270618125</v>
      </c>
      <c r="V7" s="26">
        <f t="shared" si="1"/>
        <v>12530.020439809881</v>
      </c>
      <c r="W7" s="26">
        <f t="shared" si="1"/>
        <v>11790.839998418252</v>
      </c>
      <c r="X7" s="26">
        <f t="shared" si="1"/>
        <v>10817.058076763216</v>
      </c>
      <c r="Y7" s="26">
        <f t="shared" si="1"/>
        <v>9881.9390643863244</v>
      </c>
      <c r="Z7" s="26">
        <f t="shared" si="1"/>
        <v>8892.5033377506516</v>
      </c>
      <c r="AA7" s="26">
        <f t="shared" ref="AA7:AA16" si="4">SUM(C7:Z7)</f>
        <v>248275.86206896554</v>
      </c>
      <c r="AB7" s="19">
        <f t="shared" si="2"/>
        <v>29</v>
      </c>
      <c r="AC7" s="20">
        <v>7200000</v>
      </c>
      <c r="AD7" s="27"/>
      <c r="AE7" s="28"/>
    </row>
    <row r="8" spans="1:33" ht="14.5" x14ac:dyDescent="0.35">
      <c r="A8" s="15">
        <f t="shared" si="0"/>
        <v>2028</v>
      </c>
      <c r="B8" s="18">
        <v>46813</v>
      </c>
      <c r="C8" s="26">
        <f t="shared" si="3"/>
        <v>7712.1112101815434</v>
      </c>
      <c r="D8" s="26">
        <f t="shared" si="1"/>
        <v>7254.7049384165111</v>
      </c>
      <c r="E8" s="26">
        <f t="shared" si="1"/>
        <v>6954.9271724128184</v>
      </c>
      <c r="F8" s="26">
        <f t="shared" si="1"/>
        <v>6747.239550167661</v>
      </c>
      <c r="G8" s="26">
        <f t="shared" si="1"/>
        <v>6830.8873139920697</v>
      </c>
      <c r="H8" s="26">
        <f t="shared" si="1"/>
        <v>7304.4527113097374</v>
      </c>
      <c r="I8" s="26">
        <f t="shared" si="1"/>
        <v>7777.1158913798054</v>
      </c>
      <c r="J8" s="26">
        <f t="shared" si="1"/>
        <v>8641.4993521616871</v>
      </c>
      <c r="K8" s="26">
        <f t="shared" si="1"/>
        <v>9686.7716518014167</v>
      </c>
      <c r="L8" s="26">
        <f t="shared" si="1"/>
        <v>10381.702699485988</v>
      </c>
      <c r="M8" s="26">
        <f t="shared" si="1"/>
        <v>11279.330220672366</v>
      </c>
      <c r="N8" s="26">
        <f t="shared" si="1"/>
        <v>11810.109560316914</v>
      </c>
      <c r="O8" s="26">
        <f t="shared" si="1"/>
        <v>11930.229206156688</v>
      </c>
      <c r="P8" s="26">
        <f t="shared" si="1"/>
        <v>12072.620106200693</v>
      </c>
      <c r="Q8" s="26">
        <f t="shared" si="1"/>
        <v>12323.075113696023</v>
      </c>
      <c r="R8" s="26">
        <f t="shared" si="1"/>
        <v>12352.196284348634</v>
      </c>
      <c r="S8" s="26">
        <f t="shared" si="1"/>
        <v>12154.283278044653</v>
      </c>
      <c r="T8" s="26">
        <f t="shared" si="1"/>
        <v>11721.736237057788</v>
      </c>
      <c r="U8" s="26">
        <f t="shared" si="1"/>
        <v>11939.592391015456</v>
      </c>
      <c r="V8" s="26">
        <f t="shared" si="1"/>
        <v>12047.232913903228</v>
      </c>
      <c r="W8" s="26">
        <f t="shared" si="1"/>
        <v>11336.533439339413</v>
      </c>
      <c r="X8" s="26">
        <f t="shared" si="1"/>
        <v>10400.271788859258</v>
      </c>
      <c r="Y8" s="26">
        <f t="shared" si="1"/>
        <v>9501.1833477477849</v>
      </c>
      <c r="Z8" s="26">
        <f t="shared" si="1"/>
        <v>8549.8710406867831</v>
      </c>
      <c r="AA8" s="26">
        <f t="shared" si="4"/>
        <v>238709.67741935488</v>
      </c>
      <c r="AB8" s="19">
        <f t="shared" si="2"/>
        <v>31</v>
      </c>
      <c r="AC8" s="20">
        <v>7400000</v>
      </c>
      <c r="AD8" s="27"/>
      <c r="AE8" s="28"/>
    </row>
    <row r="9" spans="1:33" ht="14.5" x14ac:dyDescent="0.35">
      <c r="A9" s="15">
        <f t="shared" si="0"/>
        <v>2028</v>
      </c>
      <c r="B9" s="18">
        <v>46844</v>
      </c>
      <c r="C9" s="26">
        <f t="shared" si="3"/>
        <v>8830.7147280547215</v>
      </c>
      <c r="D9" s="26">
        <f t="shared" si="1"/>
        <v>8306.9639429976451</v>
      </c>
      <c r="E9" s="26">
        <f t="shared" si="1"/>
        <v>7963.7048974204426</v>
      </c>
      <c r="F9" s="26">
        <f t="shared" si="1"/>
        <v>7725.893214651438</v>
      </c>
      <c r="G9" s="26">
        <f t="shared" si="1"/>
        <v>7821.6736721476755</v>
      </c>
      <c r="H9" s="26">
        <f t="shared" si="1"/>
        <v>8363.9273838510599</v>
      </c>
      <c r="I9" s="26">
        <f t="shared" si="1"/>
        <v>8905.1480161655236</v>
      </c>
      <c r="J9" s="26">
        <f t="shared" si="1"/>
        <v>9894.9060149527049</v>
      </c>
      <c r="K9" s="26">
        <f t="shared" si="1"/>
        <v>11091.789882378018</v>
      </c>
      <c r="L9" s="26">
        <f t="shared" si="1"/>
        <v>11887.517235177196</v>
      </c>
      <c r="M9" s="26">
        <f t="shared" si="1"/>
        <v>12915.341180607726</v>
      </c>
      <c r="N9" s="26">
        <f t="shared" si="1"/>
        <v>13523.107433479998</v>
      </c>
      <c r="O9" s="26">
        <f t="shared" si="1"/>
        <v>13660.649838761394</v>
      </c>
      <c r="P9" s="26">
        <f t="shared" si="1"/>
        <v>13823.693833316287</v>
      </c>
      <c r="Q9" s="26">
        <f t="shared" si="1"/>
        <v>14110.476098655534</v>
      </c>
      <c r="R9" s="26">
        <f t="shared" si="1"/>
        <v>14143.821150817219</v>
      </c>
      <c r="S9" s="26">
        <f t="shared" si="1"/>
        <v>13917.201843598876</v>
      </c>
      <c r="T9" s="26">
        <f t="shared" si="1"/>
        <v>13421.91599756797</v>
      </c>
      <c r="U9" s="26">
        <f t="shared" si="1"/>
        <v>13671.371107189769</v>
      </c>
      <c r="V9" s="26">
        <f t="shared" si="1"/>
        <v>13794.62435456847</v>
      </c>
      <c r="W9" s="26">
        <f t="shared" si="1"/>
        <v>12980.841442703057</v>
      </c>
      <c r="X9" s="26">
        <f t="shared" si="1"/>
        <v>11908.779678955059</v>
      </c>
      <c r="Y9" s="26">
        <f t="shared" si="1"/>
        <v>10879.282914403093</v>
      </c>
      <c r="Z9" s="26">
        <f t="shared" si="1"/>
        <v>9789.9874709125215</v>
      </c>
      <c r="AA9" s="26">
        <f t="shared" si="4"/>
        <v>273333.33333333337</v>
      </c>
      <c r="AB9" s="19">
        <f t="shared" si="2"/>
        <v>30</v>
      </c>
      <c r="AC9" s="20">
        <v>8200000</v>
      </c>
      <c r="AD9" s="27"/>
      <c r="AE9" s="28"/>
    </row>
    <row r="10" spans="1:33" ht="14.5" x14ac:dyDescent="0.35">
      <c r="A10" s="15">
        <f t="shared" si="0"/>
        <v>2028</v>
      </c>
      <c r="B10" s="18">
        <v>46874</v>
      </c>
      <c r="C10" s="26">
        <f t="shared" si="3"/>
        <v>8962.7238388596325</v>
      </c>
      <c r="D10" s="26">
        <f t="shared" si="1"/>
        <v>8431.1435770786484</v>
      </c>
      <c r="E10" s="26">
        <f t="shared" si="1"/>
        <v>8082.7532003716542</v>
      </c>
      <c r="F10" s="26">
        <f t="shared" si="1"/>
        <v>7841.3865042489033</v>
      </c>
      <c r="G10" s="26">
        <f t="shared" si="1"/>
        <v>7938.5987703151086</v>
      </c>
      <c r="H10" s="26">
        <f t="shared" si="1"/>
        <v>8488.9585563869932</v>
      </c>
      <c r="I10" s="26">
        <f t="shared" si="1"/>
        <v>9038.2698197116661</v>
      </c>
      <c r="J10" s="26">
        <f t="shared" si="1"/>
        <v>10042.82357143115</v>
      </c>
      <c r="K10" s="26">
        <f t="shared" si="1"/>
        <v>11257.599487228676</v>
      </c>
      <c r="L10" s="26">
        <f t="shared" si="1"/>
        <v>12065.222056159391</v>
      </c>
      <c r="M10" s="26">
        <f t="shared" si="1"/>
        <v>13108.410796997614</v>
      </c>
      <c r="N10" s="26">
        <f t="shared" si="1"/>
        <v>13725.262461989929</v>
      </c>
      <c r="O10" s="26">
        <f t="shared" si="1"/>
        <v>13864.860969317231</v>
      </c>
      <c r="P10" s="26">
        <f t="shared" si="1"/>
        <v>14030.342285584589</v>
      </c>
      <c r="Q10" s="26">
        <f t="shared" si="1"/>
        <v>14321.411618619701</v>
      </c>
      <c r="R10" s="26">
        <f t="shared" si="1"/>
        <v>14355.255141270034</v>
      </c>
      <c r="S10" s="26">
        <f t="shared" si="1"/>
        <v>14125.248133943785</v>
      </c>
      <c r="T10" s="26">
        <f t="shared" si="1"/>
        <v>13622.558329553647</v>
      </c>
      <c r="U10" s="26">
        <f t="shared" si="1"/>
        <v>13875.742508477422</v>
      </c>
      <c r="V10" s="26">
        <f t="shared" si="1"/>
        <v>14000.838251292942</v>
      </c>
      <c r="W10" s="26">
        <f t="shared" si="1"/>
        <v>13174.890213286346</v>
      </c>
      <c r="X10" s="26">
        <f t="shared" si="1"/>
        <v>12086.802349214813</v>
      </c>
      <c r="Y10" s="26">
        <f t="shared" si="1"/>
        <v>11041.915782517695</v>
      </c>
      <c r="Z10" s="26">
        <f t="shared" si="1"/>
        <v>9936.3366148522073</v>
      </c>
      <c r="AA10" s="26">
        <f t="shared" si="4"/>
        <v>277419.35483870975</v>
      </c>
      <c r="AB10" s="19">
        <f t="shared" si="2"/>
        <v>31</v>
      </c>
      <c r="AC10" s="20">
        <v>8600000</v>
      </c>
      <c r="AD10" s="27"/>
      <c r="AE10" s="28"/>
    </row>
    <row r="11" spans="1:33" ht="14.5" x14ac:dyDescent="0.35">
      <c r="A11" s="15">
        <f t="shared" si="0"/>
        <v>2028</v>
      </c>
      <c r="B11" s="18">
        <v>46905</v>
      </c>
      <c r="C11" s="26">
        <f t="shared" si="3"/>
        <v>10123.014444355413</v>
      </c>
      <c r="D11" s="26">
        <f t="shared" si="1"/>
        <v>9522.6172029485188</v>
      </c>
      <c r="E11" s="26">
        <f t="shared" si="1"/>
        <v>9129.125126311239</v>
      </c>
      <c r="F11" s="26">
        <f t="shared" si="1"/>
        <v>8856.5117338687214</v>
      </c>
      <c r="G11" s="26">
        <f t="shared" si="1"/>
        <v>8966.3088436814814</v>
      </c>
      <c r="H11" s="26">
        <f t="shared" si="1"/>
        <v>9587.9167570975551</v>
      </c>
      <c r="I11" s="26">
        <f t="shared" si="1"/>
        <v>10208.340408775113</v>
      </c>
      <c r="J11" s="26">
        <f t="shared" si="1"/>
        <v>11342.94104153115</v>
      </c>
      <c r="K11" s="26">
        <f t="shared" si="1"/>
        <v>12714.978645652851</v>
      </c>
      <c r="L11" s="26">
        <f t="shared" si="1"/>
        <v>13627.153903739712</v>
      </c>
      <c r="M11" s="26">
        <f t="shared" si="1"/>
        <v>14805.391109477148</v>
      </c>
      <c r="N11" s="26">
        <f t="shared" si="1"/>
        <v>15502.098765208777</v>
      </c>
      <c r="O11" s="26">
        <f t="shared" si="1"/>
        <v>15659.769327360624</v>
      </c>
      <c r="P11" s="26">
        <f t="shared" si="1"/>
        <v>15846.673418679646</v>
      </c>
      <c r="Q11" s="26">
        <f t="shared" si="1"/>
        <v>16175.423820410002</v>
      </c>
      <c r="R11" s="26">
        <f t="shared" si="1"/>
        <v>16213.648636302665</v>
      </c>
      <c r="S11" s="26">
        <f t="shared" si="1"/>
        <v>15953.86552802798</v>
      </c>
      <c r="T11" s="26">
        <f t="shared" si="1"/>
        <v>15386.098826480356</v>
      </c>
      <c r="U11" s="26">
        <f t="shared" si="1"/>
        <v>15672.059561900465</v>
      </c>
      <c r="V11" s="26">
        <f t="shared" si="1"/>
        <v>15813.349869871174</v>
      </c>
      <c r="W11" s="26">
        <f t="shared" si="1"/>
        <v>14880.476775781553</v>
      </c>
      <c r="X11" s="26">
        <f t="shared" si="1"/>
        <v>13651.527924655798</v>
      </c>
      <c r="Y11" s="26">
        <f t="shared" si="1"/>
        <v>12471.373096998668</v>
      </c>
      <c r="Z11" s="26">
        <f t="shared" si="1"/>
        <v>11222.668564216794</v>
      </c>
      <c r="AA11" s="26">
        <f t="shared" si="4"/>
        <v>313333.33333333349</v>
      </c>
      <c r="AB11" s="19">
        <f t="shared" si="2"/>
        <v>30</v>
      </c>
      <c r="AC11" s="20">
        <v>9400000</v>
      </c>
      <c r="AD11" s="27"/>
      <c r="AE11" s="28"/>
    </row>
    <row r="12" spans="1:33" ht="14.5" x14ac:dyDescent="0.35">
      <c r="A12" s="15">
        <f t="shared" si="0"/>
        <v>2028</v>
      </c>
      <c r="B12" s="18">
        <v>46935</v>
      </c>
      <c r="C12" s="26">
        <f t="shared" si="3"/>
        <v>10317.554186594227</v>
      </c>
      <c r="D12" s="26">
        <f t="shared" si="1"/>
        <v>9705.6187689626295</v>
      </c>
      <c r="E12" s="26">
        <f t="shared" si="1"/>
        <v>9304.5647306603914</v>
      </c>
      <c r="F12" s="26">
        <f t="shared" si="1"/>
        <v>9026.7123711702479</v>
      </c>
      <c r="G12" s="26">
        <f t="shared" si="1"/>
        <v>9138.6195146650662</v>
      </c>
      <c r="H12" s="26">
        <f t="shared" si="1"/>
        <v>9772.1732218873512</v>
      </c>
      <c r="I12" s="26">
        <f t="shared" si="1"/>
        <v>10404.519908737846</v>
      </c>
      <c r="J12" s="26">
        <f t="shared" si="1"/>
        <v>11560.924808973066</v>
      </c>
      <c r="K12" s="26">
        <f t="shared" si="1"/>
        <v>12959.329642274868</v>
      </c>
      <c r="L12" s="26">
        <f t="shared" si="1"/>
        <v>13889.034692555575</v>
      </c>
      <c r="M12" s="26">
        <f t="shared" si="1"/>
        <v>15089.914754683297</v>
      </c>
      <c r="N12" s="26">
        <f t="shared" si="1"/>
        <v>15800.011438802358</v>
      </c>
      <c r="O12" s="26">
        <f t="shared" si="1"/>
        <v>15960.712046074485</v>
      </c>
      <c r="P12" s="26">
        <f t="shared" si="1"/>
        <v>16151.207979917141</v>
      </c>
      <c r="Q12" s="26">
        <f t="shared" si="1"/>
        <v>16486.276165620351</v>
      </c>
      <c r="R12" s="26">
        <f t="shared" si="1"/>
        <v>16525.235569601551</v>
      </c>
      <c r="S12" s="26">
        <f t="shared" si="1"/>
        <v>16260.460061167845</v>
      </c>
      <c r="T12" s="26">
        <f t="shared" si="1"/>
        <v>15681.782263090823</v>
      </c>
      <c r="U12" s="26">
        <f t="shared" si="1"/>
        <v>15973.238469061216</v>
      </c>
      <c r="V12" s="26">
        <f t="shared" si="1"/>
        <v>16117.244033465129</v>
      </c>
      <c r="W12" s="26">
        <f t="shared" si="1"/>
        <v>15166.443385062186</v>
      </c>
      <c r="X12" s="26">
        <f t="shared" si="1"/>
        <v>13913.877122933329</v>
      </c>
      <c r="Y12" s="26">
        <f t="shared" si="1"/>
        <v>12711.042586851765</v>
      </c>
      <c r="Z12" s="26">
        <f t="shared" si="1"/>
        <v>11438.340986864749</v>
      </c>
      <c r="AA12" s="26">
        <f t="shared" si="4"/>
        <v>319354.83870967751</v>
      </c>
      <c r="AB12" s="19">
        <f t="shared" si="2"/>
        <v>31</v>
      </c>
      <c r="AC12" s="20">
        <v>9900000</v>
      </c>
      <c r="AD12" s="27"/>
      <c r="AE12" s="28"/>
    </row>
    <row r="13" spans="1:33" ht="14.5" x14ac:dyDescent="0.35">
      <c r="A13" s="15">
        <f t="shared" si="0"/>
        <v>2028</v>
      </c>
      <c r="B13" s="18">
        <v>46966</v>
      </c>
      <c r="C13" s="26">
        <f t="shared" si="3"/>
        <v>11047.078219989779</v>
      </c>
      <c r="D13" s="26">
        <f t="shared" si="1"/>
        <v>10391.874641515544</v>
      </c>
      <c r="E13" s="26">
        <f t="shared" si="1"/>
        <v>9962.4632469697135</v>
      </c>
      <c r="F13" s="26">
        <f t="shared" si="1"/>
        <v>9664.9647610509728</v>
      </c>
      <c r="G13" s="26">
        <f t="shared" si="1"/>
        <v>9784.7845308535052</v>
      </c>
      <c r="H13" s="26">
        <f t="shared" si="1"/>
        <v>10463.134964849083</v>
      </c>
      <c r="I13" s="26">
        <f t="shared" si="1"/>
        <v>11140.1930335981</v>
      </c>
      <c r="J13" s="26">
        <f t="shared" si="1"/>
        <v>12378.363936880254</v>
      </c>
      <c r="K13" s="26">
        <f t="shared" si="1"/>
        <v>13875.645879607437</v>
      </c>
      <c r="L13" s="26">
        <f t="shared" si="1"/>
        <v>14871.087650615063</v>
      </c>
      <c r="M13" s="26">
        <f t="shared" si="1"/>
        <v>16156.878424206361</v>
      </c>
      <c r="N13" s="26">
        <f t="shared" si="1"/>
        <v>16917.183964778284</v>
      </c>
      <c r="O13" s="26">
        <f t="shared" si="1"/>
        <v>17089.247241251473</v>
      </c>
      <c r="P13" s="26">
        <f t="shared" si="1"/>
        <v>17293.21258455775</v>
      </c>
      <c r="Q13" s="26">
        <f t="shared" si="1"/>
        <v>17651.972460159166</v>
      </c>
      <c r="R13" s="26">
        <f t="shared" si="1"/>
        <v>17693.686569472367</v>
      </c>
      <c r="S13" s="26">
        <f t="shared" si="1"/>
        <v>17410.189560442341</v>
      </c>
      <c r="T13" s="26">
        <f t="shared" si="1"/>
        <v>16790.595150380075</v>
      </c>
      <c r="U13" s="26">
        <f t="shared" si="1"/>
        <v>17102.659370914032</v>
      </c>
      <c r="V13" s="26">
        <f t="shared" si="1"/>
        <v>17256.847146942462</v>
      </c>
      <c r="W13" s="26">
        <f t="shared" si="1"/>
        <v>16238.818169864566</v>
      </c>
      <c r="X13" s="26">
        <f t="shared" si="1"/>
        <v>14897.686616474071</v>
      </c>
      <c r="Y13" s="26">
        <f t="shared" si="1"/>
        <v>13609.803173800881</v>
      </c>
      <c r="Z13" s="26">
        <f t="shared" si="1"/>
        <v>12247.11257179458</v>
      </c>
      <c r="AA13" s="26">
        <f t="shared" si="4"/>
        <v>341935.48387096787</v>
      </c>
      <c r="AB13" s="19">
        <f t="shared" si="2"/>
        <v>31</v>
      </c>
      <c r="AC13" s="20">
        <v>10600000</v>
      </c>
      <c r="AD13" s="27"/>
      <c r="AE13" s="28"/>
    </row>
    <row r="14" spans="1:33" ht="14.5" x14ac:dyDescent="0.35">
      <c r="A14" s="15">
        <f t="shared" si="0"/>
        <v>2028</v>
      </c>
      <c r="B14" s="18">
        <v>46997</v>
      </c>
      <c r="C14" s="26">
        <f t="shared" si="3"/>
        <v>12276.847304856565</v>
      </c>
      <c r="D14" s="26">
        <f t="shared" si="1"/>
        <v>11548.705969533312</v>
      </c>
      <c r="E14" s="26">
        <f t="shared" si="1"/>
        <v>11071.492174462566</v>
      </c>
      <c r="F14" s="26">
        <f t="shared" si="1"/>
        <v>10740.875932564195</v>
      </c>
      <c r="G14" s="26">
        <f t="shared" si="1"/>
        <v>10874.034129571161</v>
      </c>
      <c r="H14" s="26">
        <f t="shared" si="1"/>
        <v>11627.899045841717</v>
      </c>
      <c r="I14" s="26">
        <f t="shared" si="1"/>
        <v>12380.327729791095</v>
      </c>
      <c r="J14" s="26">
        <f t="shared" si="1"/>
        <v>13756.332752495226</v>
      </c>
      <c r="K14" s="26">
        <f t="shared" si="1"/>
        <v>15420.293251110905</v>
      </c>
      <c r="L14" s="26">
        <f t="shared" si="1"/>
        <v>16526.54835134391</v>
      </c>
      <c r="M14" s="26">
        <f t="shared" si="1"/>
        <v>17955.474324259521</v>
      </c>
      <c r="N14" s="26">
        <f t="shared" si="1"/>
        <v>18800.417651423413</v>
      </c>
      <c r="O14" s="26">
        <f t="shared" si="1"/>
        <v>18991.63514169267</v>
      </c>
      <c r="P14" s="26">
        <f t="shared" si="1"/>
        <v>19218.306060951913</v>
      </c>
      <c r="Q14" s="26">
        <f t="shared" si="1"/>
        <v>19617.00335666745</v>
      </c>
      <c r="R14" s="26">
        <f t="shared" si="1"/>
        <v>19663.361112111743</v>
      </c>
      <c r="S14" s="26">
        <f t="shared" si="1"/>
        <v>19348.305002076486</v>
      </c>
      <c r="T14" s="26">
        <f t="shared" si="1"/>
        <v>18659.736874667669</v>
      </c>
      <c r="U14" s="26">
        <f t="shared" si="1"/>
        <v>19006.540319751632</v>
      </c>
      <c r="V14" s="26">
        <f t="shared" si="1"/>
        <v>19177.892395375678</v>
      </c>
      <c r="W14" s="26">
        <f t="shared" si="1"/>
        <v>18046.535664245715</v>
      </c>
      <c r="X14" s="26">
        <f t="shared" si="1"/>
        <v>16556.108334157034</v>
      </c>
      <c r="Y14" s="26">
        <f t="shared" si="1"/>
        <v>15124.856734657958</v>
      </c>
      <c r="Z14" s="26">
        <f t="shared" si="1"/>
        <v>13610.47038639058</v>
      </c>
      <c r="AA14" s="26">
        <f t="shared" si="4"/>
        <v>380000.00000000017</v>
      </c>
      <c r="AB14" s="19">
        <f t="shared" si="2"/>
        <v>30</v>
      </c>
      <c r="AC14" s="20">
        <v>11400000</v>
      </c>
      <c r="AD14" s="27"/>
      <c r="AE14" s="28"/>
    </row>
    <row r="15" spans="1:33" ht="14.5" x14ac:dyDescent="0.35">
      <c r="A15" s="15">
        <f t="shared" si="0"/>
        <v>2028</v>
      </c>
      <c r="B15" s="18">
        <v>47027</v>
      </c>
      <c r="C15" s="26">
        <f t="shared" si="3"/>
        <v>12401.908567724373</v>
      </c>
      <c r="D15" s="26">
        <f t="shared" si="1"/>
        <v>11666.349833399525</v>
      </c>
      <c r="E15" s="26">
        <f t="shared" si="1"/>
        <v>11184.27477725845</v>
      </c>
      <c r="F15" s="26">
        <f t="shared" si="1"/>
        <v>10850.290627972317</v>
      </c>
      <c r="G15" s="26">
        <f t="shared" si="1"/>
        <v>10984.805275203462</v>
      </c>
      <c r="H15" s="26">
        <f t="shared" si="1"/>
        <v>11746.349630349441</v>
      </c>
      <c r="I15" s="26">
        <f t="shared" si="1"/>
        <v>12506.44312262428</v>
      </c>
      <c r="J15" s="26">
        <f t="shared" si="1"/>
        <v>13896.46517442217</v>
      </c>
      <c r="K15" s="26">
        <f t="shared" si="1"/>
        <v>15577.376034653629</v>
      </c>
      <c r="L15" s="26">
        <f t="shared" si="1"/>
        <v>16694.900287011249</v>
      </c>
      <c r="M15" s="26">
        <f t="shared" si="1"/>
        <v>18138.382381892046</v>
      </c>
      <c r="N15" s="26">
        <f t="shared" si="1"/>
        <v>18991.932941590712</v>
      </c>
      <c r="O15" s="26">
        <f t="shared" si="1"/>
        <v>19185.098318008724</v>
      </c>
      <c r="P15" s="26">
        <f t="shared" si="1"/>
        <v>19414.078278890302</v>
      </c>
      <c r="Q15" s="26">
        <f t="shared" si="1"/>
        <v>19816.837007159818</v>
      </c>
      <c r="R15" s="26">
        <f t="shared" si="1"/>
        <v>19863.666997803884</v>
      </c>
      <c r="S15" s="26">
        <f t="shared" si="1"/>
        <v>19545.4014876664</v>
      </c>
      <c r="T15" s="26">
        <f t="shared" si="1"/>
        <v>18849.819083917253</v>
      </c>
      <c r="U15" s="26">
        <f t="shared" si="1"/>
        <v>19200.155331497826</v>
      </c>
      <c r="V15" s="26">
        <f t="shared" si="1"/>
        <v>19373.252929114649</v>
      </c>
      <c r="W15" s="26">
        <f t="shared" si="1"/>
        <v>18230.371341640406</v>
      </c>
      <c r="X15" s="26">
        <f t="shared" si="1"/>
        <v>16724.761390192587</v>
      </c>
      <c r="Y15" s="26">
        <f t="shared" si="1"/>
        <v>15278.929978134949</v>
      </c>
      <c r="Z15" s="26">
        <f t="shared" si="1"/>
        <v>13749.116943807121</v>
      </c>
      <c r="AA15" s="26">
        <f t="shared" si="4"/>
        <v>383870.96774193563</v>
      </c>
      <c r="AB15" s="19">
        <f t="shared" si="2"/>
        <v>31</v>
      </c>
      <c r="AC15" s="20">
        <v>11900000</v>
      </c>
      <c r="AD15" s="27"/>
      <c r="AE15" s="28"/>
    </row>
    <row r="16" spans="1:33" ht="14.5" x14ac:dyDescent="0.35">
      <c r="A16" s="15">
        <f t="shared" si="0"/>
        <v>2028</v>
      </c>
      <c r="B16" s="18">
        <v>47058</v>
      </c>
      <c r="C16" s="26">
        <f t="shared" si="3"/>
        <v>13784.530307207371</v>
      </c>
      <c r="D16" s="26">
        <f t="shared" si="1"/>
        <v>12966.968106142665</v>
      </c>
      <c r="E16" s="26">
        <f t="shared" si="1"/>
        <v>12431.149108168496</v>
      </c>
      <c r="F16" s="26">
        <f t="shared" si="1"/>
        <v>12059.930871651026</v>
      </c>
      <c r="G16" s="26">
        <f t="shared" si="1"/>
        <v>12209.441829693935</v>
      </c>
      <c r="H16" s="26">
        <f t="shared" si="1"/>
        <v>13055.88664796263</v>
      </c>
      <c r="I16" s="26">
        <f t="shared" si="1"/>
        <v>13900.718854502284</v>
      </c>
      <c r="J16" s="26">
        <f t="shared" si="1"/>
        <v>15445.706950170077</v>
      </c>
      <c r="K16" s="26">
        <f t="shared" si="1"/>
        <v>17314.013474931544</v>
      </c>
      <c r="L16" s="26">
        <f t="shared" si="1"/>
        <v>18556.124464666846</v>
      </c>
      <c r="M16" s="26">
        <f t="shared" si="1"/>
        <v>20160.532574607183</v>
      </c>
      <c r="N16" s="26">
        <f t="shared" si="1"/>
        <v>21109.240871773658</v>
      </c>
      <c r="O16" s="26">
        <f t="shared" si="1"/>
        <v>21323.941211725105</v>
      </c>
      <c r="P16" s="26">
        <f t="shared" si="1"/>
        <v>21578.448910542498</v>
      </c>
      <c r="Q16" s="26">
        <f t="shared" si="1"/>
        <v>22026.109032047665</v>
      </c>
      <c r="R16" s="26">
        <f t="shared" si="1"/>
        <v>22078.159845178099</v>
      </c>
      <c r="S16" s="26">
        <f t="shared" si="1"/>
        <v>21724.412633910444</v>
      </c>
      <c r="T16" s="26">
        <f t="shared" si="1"/>
        <v>20951.283508398785</v>
      </c>
      <c r="U16" s="26">
        <f t="shared" si="1"/>
        <v>21340.676850247444</v>
      </c>
      <c r="V16" s="26">
        <f t="shared" si="1"/>
        <v>21533.072163228833</v>
      </c>
      <c r="W16" s="26">
        <f t="shared" si="1"/>
        <v>20262.776886170628</v>
      </c>
      <c r="X16" s="26">
        <f t="shared" si="1"/>
        <v>18589.314620807898</v>
      </c>
      <c r="Y16" s="26">
        <f t="shared" si="1"/>
        <v>16982.295281019466</v>
      </c>
      <c r="Z16" s="26">
        <f t="shared" si="1"/>
        <v>15281.931661912231</v>
      </c>
      <c r="AA16" s="26">
        <f t="shared" si="4"/>
        <v>426666.66666666669</v>
      </c>
      <c r="AB16" s="19">
        <f t="shared" si="2"/>
        <v>30</v>
      </c>
      <c r="AC16" s="20">
        <v>12800000</v>
      </c>
      <c r="AD16" s="27"/>
      <c r="AE16" s="28"/>
    </row>
    <row r="17" spans="1:31" ht="14.5" x14ac:dyDescent="0.35">
      <c r="A17" s="15">
        <f t="shared" si="0"/>
        <v>2028</v>
      </c>
      <c r="B17" s="18">
        <v>47088</v>
      </c>
      <c r="C17" s="26">
        <f t="shared" si="3"/>
        <v>13965.174353571983</v>
      </c>
      <c r="D17" s="26">
        <f t="shared" si="1"/>
        <v>13136.898131727196</v>
      </c>
      <c r="E17" s="26">
        <f t="shared" si="1"/>
        <v>12594.057312206995</v>
      </c>
      <c r="F17" s="26">
        <f t="shared" ref="F17:Z17" si="5">($AC17/$AB17)*F$3</f>
        <v>12217.974320573872</v>
      </c>
      <c r="G17" s="26">
        <f t="shared" si="5"/>
        <v>12369.444595607261</v>
      </c>
      <c r="H17" s="26">
        <f t="shared" si="5"/>
        <v>13226.981936696011</v>
      </c>
      <c r="I17" s="26">
        <f t="shared" si="5"/>
        <v>14082.885533039107</v>
      </c>
      <c r="J17" s="26">
        <f t="shared" si="5"/>
        <v>15648.120448509</v>
      </c>
      <c r="K17" s="26">
        <f t="shared" si="5"/>
        <v>17540.9108289377</v>
      </c>
      <c r="L17" s="26">
        <f t="shared" si="5"/>
        <v>18799.299482853003</v>
      </c>
      <c r="M17" s="26">
        <f t="shared" si="5"/>
        <v>20424.733102298607</v>
      </c>
      <c r="N17" s="26">
        <f t="shared" si="5"/>
        <v>21385.87406868198</v>
      </c>
      <c r="O17" s="26">
        <f t="shared" si="5"/>
        <v>21603.388021959407</v>
      </c>
      <c r="P17" s="26">
        <f t="shared" si="5"/>
        <v>21861.23100312017</v>
      </c>
      <c r="Q17" s="26">
        <f t="shared" si="5"/>
        <v>22314.757638314419</v>
      </c>
      <c r="R17" s="26">
        <f t="shared" si="5"/>
        <v>22367.490568955633</v>
      </c>
      <c r="S17" s="26">
        <f t="shared" si="5"/>
        <v>22009.107557540316</v>
      </c>
      <c r="T17" s="26">
        <f t="shared" si="5"/>
        <v>21225.846699537076</v>
      </c>
      <c r="U17" s="26">
        <f t="shared" si="5"/>
        <v>21620.342978325283</v>
      </c>
      <c r="V17" s="26">
        <f t="shared" si="5"/>
        <v>21815.25960085179</v>
      </c>
      <c r="W17" s="26">
        <f t="shared" si="5"/>
        <v>20528.317309074071</v>
      </c>
      <c r="X17" s="26">
        <f t="shared" si="5"/>
        <v>18832.924590637034</v>
      </c>
      <c r="Y17" s="26">
        <f t="shared" si="5"/>
        <v>17204.845521597341</v>
      </c>
      <c r="Z17" s="26">
        <f t="shared" si="5"/>
        <v>15482.198911513902</v>
      </c>
      <c r="AA17" s="26">
        <f t="shared" ref="AA17" si="6">SUM(C17:Z17)</f>
        <v>432258.06451612915</v>
      </c>
      <c r="AB17" s="19">
        <f t="shared" si="2"/>
        <v>31</v>
      </c>
      <c r="AC17" s="20">
        <v>13400000</v>
      </c>
      <c r="AD17" s="27"/>
      <c r="AE17" s="28"/>
    </row>
    <row r="18" spans="1:31" ht="14.5" x14ac:dyDescent="0.35">
      <c r="B18" s="21" t="s">
        <v>37</v>
      </c>
      <c r="C18" s="22">
        <f t="shared" ref="C18:AC18" si="7">+SUM(C6:C17)</f>
        <v>124008.54411485641</v>
      </c>
      <c r="D18" s="22">
        <f t="shared" si="7"/>
        <v>116653.58199297971</v>
      </c>
      <c r="E18" s="22">
        <f t="shared" si="7"/>
        <v>111833.24119303848</v>
      </c>
      <c r="F18" s="22">
        <f t="shared" si="7"/>
        <v>108493.68358509107</v>
      </c>
      <c r="G18" s="22">
        <f t="shared" si="7"/>
        <v>109838.71572060202</v>
      </c>
      <c r="H18" s="22">
        <f t="shared" si="7"/>
        <v>117453.51196303783</v>
      </c>
      <c r="I18" s="22">
        <f t="shared" si="7"/>
        <v>125053.80080998866</v>
      </c>
      <c r="J18" s="22">
        <f t="shared" si="7"/>
        <v>138952.83981593666</v>
      </c>
      <c r="K18" s="22">
        <f t="shared" si="7"/>
        <v>155760.51965213806</v>
      </c>
      <c r="L18" s="22">
        <f t="shared" si="7"/>
        <v>166934.81228549685</v>
      </c>
      <c r="M18" s="22">
        <f t="shared" si="7"/>
        <v>181368.40628149547</v>
      </c>
      <c r="N18" s="22">
        <f t="shared" si="7"/>
        <v>189903.18636462867</v>
      </c>
      <c r="O18" s="22">
        <f t="shared" si="7"/>
        <v>191834.67593917175</v>
      </c>
      <c r="P18" s="22">
        <f t="shared" si="7"/>
        <v>194124.28091612662</v>
      </c>
      <c r="Q18" s="22">
        <f t="shared" si="7"/>
        <v>198151.5258558479</v>
      </c>
      <c r="R18" s="22">
        <f t="shared" si="7"/>
        <v>198619.78595702263</v>
      </c>
      <c r="S18" s="22">
        <f t="shared" si="7"/>
        <v>195437.40137979441</v>
      </c>
      <c r="T18" s="22">
        <f t="shared" si="7"/>
        <v>188482.16858398673</v>
      </c>
      <c r="U18" s="22">
        <f t="shared" si="7"/>
        <v>191985.23327567402</v>
      </c>
      <c r="V18" s="22">
        <f t="shared" si="7"/>
        <v>193716.06211972027</v>
      </c>
      <c r="W18" s="22">
        <f t="shared" si="7"/>
        <v>182288.21768880761</v>
      </c>
      <c r="X18" s="22">
        <f t="shared" si="7"/>
        <v>167233.39793551672</v>
      </c>
      <c r="Y18" s="22">
        <f t="shared" si="7"/>
        <v>152776.31276465798</v>
      </c>
      <c r="Z18" s="22">
        <f t="shared" si="7"/>
        <v>137479.48275507061</v>
      </c>
      <c r="AA18" s="22">
        <f t="shared" si="7"/>
        <v>3838383.3889506864</v>
      </c>
      <c r="AB18" s="23">
        <f t="shared" si="7"/>
        <v>366</v>
      </c>
      <c r="AC18" s="24">
        <f t="shared" si="7"/>
        <v>117100000</v>
      </c>
      <c r="AD18" s="27"/>
      <c r="AE18"/>
    </row>
  </sheetData>
  <mergeCells count="28">
    <mergeCell ref="AC4:AC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P4:P5"/>
    <mergeCell ref="B1:AC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C065-BC7B-459D-B611-1121B3741CB4}">
  <dimension ref="B2:J23"/>
  <sheetViews>
    <sheetView showGridLines="0" view="pageBreakPreview" topLeftCell="A3" zoomScaleNormal="100" zoomScaleSheetLayoutView="100" workbookViewId="0">
      <selection activeCell="F10" sqref="F9:F16"/>
    </sheetView>
  </sheetViews>
  <sheetFormatPr baseColWidth="10" defaultColWidth="11.453125" defaultRowHeight="14.5" x14ac:dyDescent="0.35"/>
  <cols>
    <col min="1" max="1" width="7.7265625" customWidth="1"/>
    <col min="2" max="6" width="14.7265625" customWidth="1"/>
    <col min="7" max="7" width="16.81640625" customWidth="1"/>
    <col min="8" max="8" width="14.1796875" bestFit="1" customWidth="1"/>
    <col min="9" max="9" width="13.453125" bestFit="1" customWidth="1"/>
    <col min="10" max="10" width="13.1796875" bestFit="1" customWidth="1"/>
  </cols>
  <sheetData>
    <row r="2" spans="2:8" x14ac:dyDescent="0.35">
      <c r="B2" s="84" t="s">
        <v>45</v>
      </c>
      <c r="C2" s="84"/>
      <c r="D2" s="84"/>
      <c r="E2" s="84"/>
      <c r="F2" s="84"/>
      <c r="G2" s="1"/>
    </row>
    <row r="3" spans="2:8" x14ac:dyDescent="0.35">
      <c r="B3" s="84" t="s">
        <v>55</v>
      </c>
      <c r="C3" s="84"/>
      <c r="D3" s="84"/>
      <c r="E3" s="84"/>
      <c r="F3" s="84"/>
      <c r="G3" s="1"/>
    </row>
    <row r="4" spans="2:8" x14ac:dyDescent="0.35">
      <c r="B4" s="84" t="s">
        <v>68</v>
      </c>
      <c r="C4" s="84"/>
      <c r="D4" s="84"/>
      <c r="E4" s="84"/>
      <c r="F4" s="84"/>
      <c r="G4" s="1"/>
    </row>
    <row r="5" spans="2:8" ht="15" thickBot="1" x14ac:dyDescent="0.4">
      <c r="B5" s="44" t="s">
        <v>52</v>
      </c>
      <c r="C5" s="42"/>
      <c r="D5" s="42"/>
      <c r="E5" s="42"/>
      <c r="F5" s="1"/>
    </row>
    <row r="6" spans="2:8" ht="15" thickBot="1" x14ac:dyDescent="0.4"/>
    <row r="7" spans="2:8" ht="15" customHeight="1" x14ac:dyDescent="0.35">
      <c r="B7" s="85" t="s">
        <v>1</v>
      </c>
      <c r="C7" s="87" t="s">
        <v>2</v>
      </c>
      <c r="D7" s="87" t="s">
        <v>3</v>
      </c>
      <c r="E7" s="87" t="s">
        <v>4</v>
      </c>
      <c r="F7" s="89" t="s">
        <v>5</v>
      </c>
      <c r="G7" s="2"/>
    </row>
    <row r="8" spans="2:8" ht="23.15" customHeight="1" thickBot="1" x14ac:dyDescent="0.4">
      <c r="B8" s="107"/>
      <c r="C8" s="108"/>
      <c r="D8" s="108"/>
      <c r="E8" s="108"/>
      <c r="F8" s="109"/>
      <c r="G8" s="2"/>
    </row>
    <row r="9" spans="2:8" ht="15" thickBot="1" x14ac:dyDescent="0.4">
      <c r="B9" s="49">
        <v>2029</v>
      </c>
      <c r="C9" s="50">
        <f ca="1">SUMIF('Curvas Prod 4'!A:AC,'Oferta Producto 4'!B9,'Curvas Prod 4'!AC:AC)</f>
        <v>91700352</v>
      </c>
      <c r="D9" s="104"/>
      <c r="E9" s="51">
        <f t="shared" ref="E9" ca="1" si="0">C9*D9</f>
        <v>0</v>
      </c>
      <c r="F9" s="69"/>
      <c r="G9" s="4"/>
      <c r="H9" s="14"/>
    </row>
    <row r="10" spans="2:8" ht="15" thickBot="1" x14ac:dyDescent="0.4">
      <c r="B10" s="41">
        <v>2030</v>
      </c>
      <c r="C10" s="57">
        <f ca="1">SUMIF('Curvas Prod 4'!A:AC,'Oferta Producto 4'!B10,'Curvas Prod 4'!AC:AC)</f>
        <v>91700352</v>
      </c>
      <c r="D10" s="105"/>
      <c r="E10" s="68">
        <f ca="1">C10*D9</f>
        <v>0</v>
      </c>
      <c r="F10" s="66"/>
      <c r="G10" s="4"/>
      <c r="H10" s="14"/>
    </row>
    <row r="11" spans="2:8" ht="15" thickBot="1" x14ac:dyDescent="0.4">
      <c r="B11" s="55">
        <v>2031</v>
      </c>
      <c r="C11" s="56">
        <f ca="1">SUMIF('Curvas Prod 4'!A:AC,'Oferta Producto 4'!B11,'Curvas Prod 4'!AC:AC)</f>
        <v>91700352</v>
      </c>
      <c r="D11" s="105"/>
      <c r="E11" s="25">
        <f ca="1">C11*D9</f>
        <v>0</v>
      </c>
      <c r="F11" s="61"/>
      <c r="G11" s="4"/>
      <c r="H11" s="14"/>
    </row>
    <row r="12" spans="2:8" ht="15" thickBot="1" x14ac:dyDescent="0.4">
      <c r="B12" s="53">
        <v>2032</v>
      </c>
      <c r="C12" s="54">
        <f ca="1">SUMIF('Curvas Prod 4'!A:AC,'Oferta Producto 4'!B12,'Curvas Prod 4'!AC:AC)</f>
        <v>91200504</v>
      </c>
      <c r="D12" s="106"/>
      <c r="E12" s="52">
        <f ca="1">C12*D9</f>
        <v>0</v>
      </c>
      <c r="F12" s="70"/>
      <c r="G12" s="4"/>
      <c r="H12" s="14"/>
    </row>
    <row r="13" spans="2:8" ht="15" thickBot="1" x14ac:dyDescent="0.4">
      <c r="B13" s="49">
        <v>2033</v>
      </c>
      <c r="C13" s="50">
        <f ca="1">SUMIF('Curvas Prod 4'!A:AC,'Oferta Producto 4'!B13,'Curvas Prod 4'!AC:AC)</f>
        <v>113198664</v>
      </c>
      <c r="D13" s="104"/>
      <c r="E13" s="51">
        <f t="shared" ref="E13" ca="1" si="1">C13*D13</f>
        <v>0</v>
      </c>
      <c r="F13" s="69"/>
      <c r="G13" s="4"/>
      <c r="H13" s="14"/>
    </row>
    <row r="14" spans="2:8" ht="15" thickBot="1" x14ac:dyDescent="0.4">
      <c r="B14" s="41">
        <v>2034</v>
      </c>
      <c r="C14" s="57">
        <f ca="1">SUMIF('Curvas Prod 4'!A:AC,'Oferta Producto 4'!B14,'Curvas Prod 4'!AC:AC)</f>
        <v>253500096</v>
      </c>
      <c r="D14" s="105"/>
      <c r="E14" s="68">
        <f ca="1">C14*D13</f>
        <v>0</v>
      </c>
      <c r="F14" s="66"/>
      <c r="G14" s="4"/>
      <c r="H14" s="14"/>
    </row>
    <row r="15" spans="2:8" ht="15" thickBot="1" x14ac:dyDescent="0.4">
      <c r="B15" s="55">
        <v>2035</v>
      </c>
      <c r="C15" s="56">
        <f ca="1">SUMIF('Curvas Prod 4'!A:AC,'Oferta Producto 4'!B15,'Curvas Prod 4'!AC:AC)</f>
        <v>254397888</v>
      </c>
      <c r="D15" s="105"/>
      <c r="E15" s="25">
        <f ca="1">C15*D13</f>
        <v>0</v>
      </c>
      <c r="F15" s="61"/>
      <c r="G15" s="4"/>
      <c r="H15" s="14"/>
    </row>
    <row r="16" spans="2:8" ht="15" thickBot="1" x14ac:dyDescent="0.4">
      <c r="B16" s="53">
        <v>2036</v>
      </c>
      <c r="C16" s="54">
        <f ca="1">SUMIF('Curvas Prod 4'!A:AC,'Oferta Producto 4'!B16,'Curvas Prod 4'!AC:AC)</f>
        <v>249502536</v>
      </c>
      <c r="D16" s="106"/>
      <c r="E16" s="52">
        <f ca="1">C16*D13</f>
        <v>0</v>
      </c>
      <c r="F16" s="70"/>
      <c r="G16" s="4"/>
      <c r="H16" s="14"/>
    </row>
    <row r="17" spans="2:10" ht="15" thickBot="1" x14ac:dyDescent="0.4">
      <c r="B17" s="33" t="s">
        <v>6</v>
      </c>
      <c r="C17" s="34">
        <f ca="1">+SUM(C9:C16)</f>
        <v>1236900744</v>
      </c>
      <c r="D17" s="81">
        <f ca="1">(E17/C17)</f>
        <v>0</v>
      </c>
      <c r="E17" s="36">
        <f ca="1">SUM(E9:E16)</f>
        <v>0</v>
      </c>
      <c r="F17" s="32" t="str">
        <f ca="1">IFERROR(SUMPRODUCT(E9:E16,F9:F16)/E17,"")</f>
        <v/>
      </c>
      <c r="G17" s="5"/>
      <c r="H17" s="6"/>
    </row>
    <row r="18" spans="2:10" x14ac:dyDescent="0.35">
      <c r="B18" s="7"/>
      <c r="C18" s="8"/>
      <c r="D18" s="9"/>
      <c r="E18" s="10"/>
      <c r="F18" s="11"/>
      <c r="G18" s="11"/>
      <c r="H18" s="6"/>
    </row>
    <row r="19" spans="2:10" x14ac:dyDescent="0.35">
      <c r="B19" s="7" t="s">
        <v>7</v>
      </c>
      <c r="C19" s="8"/>
      <c r="D19" s="9"/>
      <c r="E19" s="10"/>
      <c r="F19" s="11"/>
      <c r="G19" s="11"/>
      <c r="H19" s="6"/>
      <c r="I19" s="13"/>
    </row>
    <row r="20" spans="2:10" ht="24.75" customHeight="1" x14ac:dyDescent="0.35">
      <c r="B20" s="92" t="s">
        <v>51</v>
      </c>
      <c r="C20" s="92"/>
      <c r="D20" s="92"/>
      <c r="E20" s="92"/>
      <c r="F20" s="92"/>
      <c r="G20" s="11"/>
      <c r="H20" s="6"/>
      <c r="I20" s="13"/>
      <c r="J20" s="12"/>
    </row>
    <row r="21" spans="2:10" ht="63.65" customHeight="1" x14ac:dyDescent="0.35">
      <c r="B21" s="110" t="s">
        <v>63</v>
      </c>
      <c r="C21" s="110"/>
      <c r="D21" s="110"/>
      <c r="E21" s="110"/>
      <c r="F21" s="110"/>
      <c r="G21" s="11"/>
      <c r="H21" s="6"/>
      <c r="I21" s="13"/>
      <c r="J21" s="12"/>
    </row>
    <row r="22" spans="2:10" ht="25" customHeight="1" x14ac:dyDescent="0.35">
      <c r="B22" s="103" t="s">
        <v>65</v>
      </c>
      <c r="C22" s="103"/>
      <c r="D22" s="103"/>
      <c r="E22" s="103"/>
      <c r="F22" s="103"/>
      <c r="G22" s="11"/>
      <c r="H22" s="6"/>
      <c r="J22" s="12"/>
    </row>
    <row r="23" spans="2:10" x14ac:dyDescent="0.35">
      <c r="B23" s="103" t="s">
        <v>64</v>
      </c>
      <c r="C23" s="103"/>
      <c r="D23" s="103"/>
      <c r="E23" s="103"/>
      <c r="F23" s="103"/>
    </row>
  </sheetData>
  <mergeCells count="14">
    <mergeCell ref="B23:F23"/>
    <mergeCell ref="D9:D12"/>
    <mergeCell ref="B20:F20"/>
    <mergeCell ref="B22:F22"/>
    <mergeCell ref="B2:F2"/>
    <mergeCell ref="B3:F3"/>
    <mergeCell ref="B4:F4"/>
    <mergeCell ref="B7:B8"/>
    <mergeCell ref="C7:C8"/>
    <mergeCell ref="D7:D8"/>
    <mergeCell ref="E7:E8"/>
    <mergeCell ref="F7:F8"/>
    <mergeCell ref="D13:D16"/>
    <mergeCell ref="B21:F21"/>
  </mergeCells>
  <dataValidations count="1">
    <dataValidation type="decimal" operator="lessThanOrEqual" allowBlank="1" showInputMessage="1" showErrorMessage="1" sqref="D9 D13" xr:uid="{7632583A-9ED3-48A7-9845-6D4D5FA1C4FC}">
      <formula1>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E25D0-93EE-4492-92DE-2C4350A7FE73}">
  <dimension ref="A1:AE102"/>
  <sheetViews>
    <sheetView showGridLines="0" zoomScale="85" zoomScaleNormal="85" workbookViewId="0">
      <pane xSplit="2" ySplit="5" topLeftCell="S6" activePane="bottomRight" state="frozen"/>
      <selection pane="topRight" activeCell="B1" sqref="B1"/>
      <selection pane="bottomLeft" activeCell="A6" sqref="A6"/>
      <selection pane="bottomRight" activeCell="B1" sqref="B1:AC2"/>
    </sheetView>
  </sheetViews>
  <sheetFormatPr baseColWidth="10" defaultColWidth="8" defaultRowHeight="9.5" x14ac:dyDescent="0.25"/>
  <cols>
    <col min="1" max="1" width="4.54296875" style="15" customWidth="1"/>
    <col min="2" max="2" width="15.7265625" style="15" bestFit="1" customWidth="1"/>
    <col min="3" max="3" width="13.54296875" style="15" bestFit="1" customWidth="1"/>
    <col min="4" max="26" width="13.453125" style="15" bestFit="1" customWidth="1"/>
    <col min="27" max="27" width="14.81640625" style="15" bestFit="1" customWidth="1"/>
    <col min="28" max="28" width="9.7265625" style="15" bestFit="1" customWidth="1"/>
    <col min="29" max="29" width="17.26953125" style="15" bestFit="1" customWidth="1"/>
    <col min="30" max="16384" width="8" style="15"/>
  </cols>
  <sheetData>
    <row r="1" spans="1:31" x14ac:dyDescent="0.25">
      <c r="B1" s="94" t="s">
        <v>56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6"/>
    </row>
    <row r="2" spans="1:31" x14ac:dyDescent="0.25">
      <c r="B2" s="97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9"/>
    </row>
    <row r="3" spans="1:31" x14ac:dyDescent="0.25">
      <c r="C3" s="46" cm="1">
        <f t="array" ref="C3:Z3">TRANSPOSE('[1]Curva Base'!$G$8:$G$31)</f>
        <v>3.2307492907517277E-2</v>
      </c>
      <c r="D3" s="46">
        <v>3.0391331498771872E-2</v>
      </c>
      <c r="E3" s="46">
        <v>2.9135505722269913E-2</v>
      </c>
      <c r="F3" s="46">
        <v>2.8265462980432091E-2</v>
      </c>
      <c r="G3" s="46">
        <v>2.8615879288345157E-2</v>
      </c>
      <c r="H3" s="46">
        <v>3.0599734331162413E-2</v>
      </c>
      <c r="I3" s="46">
        <v>3.2579809815239724E-2</v>
      </c>
      <c r="J3" s="46">
        <v>3.6200875664461118E-2</v>
      </c>
      <c r="K3" s="46">
        <v>4.0579719081870802E-2</v>
      </c>
      <c r="L3" s="46">
        <v>4.3490916714062917E-2</v>
      </c>
      <c r="M3" s="46">
        <v>4.7251248221735584E-2</v>
      </c>
      <c r="N3" s="46">
        <v>4.9474783293219506E-2</v>
      </c>
      <c r="O3" s="46">
        <v>4.9977987214980715E-2</v>
      </c>
      <c r="P3" s="46">
        <v>5.057448963408398E-2</v>
      </c>
      <c r="Q3" s="46">
        <v>5.1623693043861711E-2</v>
      </c>
      <c r="R3" s="46">
        <v>5.1745687137136169E-2</v>
      </c>
      <c r="S3" s="46">
        <v>5.0916592110727597E-2</v>
      </c>
      <c r="T3" s="46">
        <v>4.9104570722809653E-2</v>
      </c>
      <c r="U3" s="46">
        <v>5.0017211367767447E-2</v>
      </c>
      <c r="V3" s="46">
        <v>5.0468137882567578E-2</v>
      </c>
      <c r="W3" s="46">
        <v>4.7490883326962406E-2</v>
      </c>
      <c r="X3" s="46">
        <v>4.356870614251851E-2</v>
      </c>
      <c r="Y3" s="46">
        <v>3.9802254564889367E-2</v>
      </c>
      <c r="Z3" s="46">
        <v>3.5817027332606791E-2</v>
      </c>
      <c r="AC3" s="16"/>
    </row>
    <row r="4" spans="1:31" ht="15" customHeight="1" x14ac:dyDescent="0.25">
      <c r="B4" s="93" t="s">
        <v>8</v>
      </c>
      <c r="C4" s="93" t="s">
        <v>9</v>
      </c>
      <c r="D4" s="93" t="s">
        <v>10</v>
      </c>
      <c r="E4" s="93" t="s">
        <v>11</v>
      </c>
      <c r="F4" s="93" t="s">
        <v>12</v>
      </c>
      <c r="G4" s="93" t="s">
        <v>13</v>
      </c>
      <c r="H4" s="93" t="s">
        <v>14</v>
      </c>
      <c r="I4" s="93" t="s">
        <v>15</v>
      </c>
      <c r="J4" s="93" t="s">
        <v>16</v>
      </c>
      <c r="K4" s="93" t="s">
        <v>17</v>
      </c>
      <c r="L4" s="93" t="s">
        <v>18</v>
      </c>
      <c r="M4" s="93" t="s">
        <v>19</v>
      </c>
      <c r="N4" s="93" t="s">
        <v>20</v>
      </c>
      <c r="O4" s="93" t="s">
        <v>21</v>
      </c>
      <c r="P4" s="93" t="s">
        <v>22</v>
      </c>
      <c r="Q4" s="93" t="s">
        <v>23</v>
      </c>
      <c r="R4" s="93" t="s">
        <v>24</v>
      </c>
      <c r="S4" s="93" t="s">
        <v>25</v>
      </c>
      <c r="T4" s="93" t="s">
        <v>26</v>
      </c>
      <c r="U4" s="93" t="s">
        <v>27</v>
      </c>
      <c r="V4" s="93" t="s">
        <v>28</v>
      </c>
      <c r="W4" s="93" t="s">
        <v>29</v>
      </c>
      <c r="X4" s="93" t="s">
        <v>30</v>
      </c>
      <c r="Y4" s="93" t="s">
        <v>31</v>
      </c>
      <c r="Z4" s="93" t="s">
        <v>32</v>
      </c>
      <c r="AA4" s="93" t="s">
        <v>33</v>
      </c>
      <c r="AB4" s="17" t="s">
        <v>34</v>
      </c>
      <c r="AC4" s="93" t="s">
        <v>35</v>
      </c>
    </row>
    <row r="5" spans="1:31" ht="13" x14ac:dyDescent="0.25"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17" t="s">
        <v>36</v>
      </c>
      <c r="AC5" s="93"/>
    </row>
    <row r="6" spans="1:31" ht="13" x14ac:dyDescent="0.25">
      <c r="A6" s="15">
        <f t="shared" ref="A6:A34" si="0">YEAR(B6)</f>
        <v>2029</v>
      </c>
      <c r="B6" s="18">
        <v>47119</v>
      </c>
      <c r="C6" s="48">
        <f>($AC6/$AB6)/24</f>
        <v>9812</v>
      </c>
      <c r="D6" s="48">
        <f t="shared" ref="D6:Z17" si="1">($AC6/$AB6)/24</f>
        <v>9812</v>
      </c>
      <c r="E6" s="48">
        <f t="shared" si="1"/>
        <v>9812</v>
      </c>
      <c r="F6" s="48">
        <f t="shared" si="1"/>
        <v>9812</v>
      </c>
      <c r="G6" s="48">
        <f t="shared" si="1"/>
        <v>9812</v>
      </c>
      <c r="H6" s="48">
        <f t="shared" si="1"/>
        <v>9812</v>
      </c>
      <c r="I6" s="48">
        <f t="shared" si="1"/>
        <v>9812</v>
      </c>
      <c r="J6" s="48">
        <f t="shared" si="1"/>
        <v>9812</v>
      </c>
      <c r="K6" s="48">
        <f t="shared" si="1"/>
        <v>9812</v>
      </c>
      <c r="L6" s="48">
        <f t="shared" si="1"/>
        <v>9812</v>
      </c>
      <c r="M6" s="48">
        <f t="shared" si="1"/>
        <v>9812</v>
      </c>
      <c r="N6" s="48">
        <f t="shared" si="1"/>
        <v>9812</v>
      </c>
      <c r="O6" s="48">
        <f t="shared" si="1"/>
        <v>9812</v>
      </c>
      <c r="P6" s="48">
        <f t="shared" si="1"/>
        <v>9812</v>
      </c>
      <c r="Q6" s="48">
        <f t="shared" si="1"/>
        <v>9812</v>
      </c>
      <c r="R6" s="48">
        <f t="shared" si="1"/>
        <v>9812</v>
      </c>
      <c r="S6" s="48">
        <f t="shared" si="1"/>
        <v>9812</v>
      </c>
      <c r="T6" s="48">
        <f t="shared" si="1"/>
        <v>9812</v>
      </c>
      <c r="U6" s="48">
        <f t="shared" si="1"/>
        <v>9812</v>
      </c>
      <c r="V6" s="48">
        <f t="shared" si="1"/>
        <v>9812</v>
      </c>
      <c r="W6" s="48">
        <f t="shared" si="1"/>
        <v>9812</v>
      </c>
      <c r="X6" s="48">
        <f t="shared" si="1"/>
        <v>9812</v>
      </c>
      <c r="Y6" s="48">
        <f t="shared" si="1"/>
        <v>9812</v>
      </c>
      <c r="Z6" s="48">
        <f t="shared" si="1"/>
        <v>9812</v>
      </c>
      <c r="AA6" s="48">
        <f t="shared" ref="AA6" si="2">SUM(C6:Z6)</f>
        <v>235488</v>
      </c>
      <c r="AB6" s="83">
        <f t="shared" ref="AB6:AB34" si="3">DAY(EOMONTH(B6,0))</f>
        <v>31</v>
      </c>
      <c r="AC6" s="48">
        <v>7300128</v>
      </c>
      <c r="AE6" s="47"/>
    </row>
    <row r="7" spans="1:31" ht="13" x14ac:dyDescent="0.25">
      <c r="A7" s="15">
        <f t="shared" si="0"/>
        <v>2029</v>
      </c>
      <c r="B7" s="18">
        <v>47150</v>
      </c>
      <c r="C7" s="48">
        <f t="shared" ref="C7:R33" si="4">($AC7/$AB7)/24</f>
        <v>13393</v>
      </c>
      <c r="D7" s="48">
        <f t="shared" si="1"/>
        <v>13393</v>
      </c>
      <c r="E7" s="48">
        <f t="shared" si="1"/>
        <v>13393</v>
      </c>
      <c r="F7" s="48">
        <f t="shared" si="1"/>
        <v>13393</v>
      </c>
      <c r="G7" s="48">
        <f t="shared" si="1"/>
        <v>13393</v>
      </c>
      <c r="H7" s="48">
        <f t="shared" si="1"/>
        <v>13393</v>
      </c>
      <c r="I7" s="48">
        <f t="shared" si="1"/>
        <v>13393</v>
      </c>
      <c r="J7" s="48">
        <f t="shared" si="1"/>
        <v>13393</v>
      </c>
      <c r="K7" s="48">
        <f t="shared" si="1"/>
        <v>13393</v>
      </c>
      <c r="L7" s="48">
        <f t="shared" si="1"/>
        <v>13393</v>
      </c>
      <c r="M7" s="48">
        <f t="shared" si="1"/>
        <v>13393</v>
      </c>
      <c r="N7" s="48">
        <f t="shared" si="1"/>
        <v>13393</v>
      </c>
      <c r="O7" s="48">
        <f t="shared" si="1"/>
        <v>13393</v>
      </c>
      <c r="P7" s="48">
        <f t="shared" si="1"/>
        <v>13393</v>
      </c>
      <c r="Q7" s="48">
        <f t="shared" si="1"/>
        <v>13393</v>
      </c>
      <c r="R7" s="48">
        <f t="shared" si="1"/>
        <v>13393</v>
      </c>
      <c r="S7" s="48">
        <f t="shared" si="1"/>
        <v>13393</v>
      </c>
      <c r="T7" s="48">
        <f t="shared" si="1"/>
        <v>13393</v>
      </c>
      <c r="U7" s="48">
        <f t="shared" si="1"/>
        <v>13393</v>
      </c>
      <c r="V7" s="48">
        <f t="shared" si="1"/>
        <v>13393</v>
      </c>
      <c r="W7" s="48">
        <f t="shared" si="1"/>
        <v>13393</v>
      </c>
      <c r="X7" s="48">
        <f t="shared" si="1"/>
        <v>13393</v>
      </c>
      <c r="Y7" s="48">
        <f t="shared" si="1"/>
        <v>13393</v>
      </c>
      <c r="Z7" s="48">
        <f t="shared" si="1"/>
        <v>13393</v>
      </c>
      <c r="AA7" s="48">
        <f t="shared" ref="AA7:AA17" si="5">SUM(C7:Z7)</f>
        <v>321432</v>
      </c>
      <c r="AB7" s="83">
        <f t="shared" si="3"/>
        <v>28</v>
      </c>
      <c r="AC7" s="48">
        <v>9000096</v>
      </c>
      <c r="AE7" s="47"/>
    </row>
    <row r="8" spans="1:31" ht="13" x14ac:dyDescent="0.25">
      <c r="A8" s="15">
        <f t="shared" si="0"/>
        <v>2029</v>
      </c>
      <c r="B8" s="18">
        <v>47178</v>
      </c>
      <c r="C8" s="48">
        <f t="shared" si="4"/>
        <v>9812</v>
      </c>
      <c r="D8" s="48">
        <f t="shared" si="1"/>
        <v>9812</v>
      </c>
      <c r="E8" s="48">
        <f t="shared" si="1"/>
        <v>9812</v>
      </c>
      <c r="F8" s="48">
        <f t="shared" si="1"/>
        <v>9812</v>
      </c>
      <c r="G8" s="48">
        <f t="shared" si="1"/>
        <v>9812</v>
      </c>
      <c r="H8" s="48">
        <f t="shared" si="1"/>
        <v>9812</v>
      </c>
      <c r="I8" s="48">
        <f t="shared" si="1"/>
        <v>9812</v>
      </c>
      <c r="J8" s="48">
        <f t="shared" si="1"/>
        <v>9812</v>
      </c>
      <c r="K8" s="48">
        <f t="shared" si="1"/>
        <v>9812</v>
      </c>
      <c r="L8" s="48">
        <f t="shared" si="1"/>
        <v>9812</v>
      </c>
      <c r="M8" s="48">
        <f t="shared" si="1"/>
        <v>9812</v>
      </c>
      <c r="N8" s="48">
        <f t="shared" si="1"/>
        <v>9812</v>
      </c>
      <c r="O8" s="48">
        <f t="shared" si="1"/>
        <v>9812</v>
      </c>
      <c r="P8" s="48">
        <f t="shared" si="1"/>
        <v>9812</v>
      </c>
      <c r="Q8" s="48">
        <f t="shared" si="1"/>
        <v>9812</v>
      </c>
      <c r="R8" s="48">
        <f t="shared" si="1"/>
        <v>9812</v>
      </c>
      <c r="S8" s="48">
        <f t="shared" si="1"/>
        <v>9812</v>
      </c>
      <c r="T8" s="48">
        <f t="shared" si="1"/>
        <v>9812</v>
      </c>
      <c r="U8" s="48">
        <f t="shared" si="1"/>
        <v>9812</v>
      </c>
      <c r="V8" s="48">
        <f t="shared" si="1"/>
        <v>9812</v>
      </c>
      <c r="W8" s="48">
        <f t="shared" si="1"/>
        <v>9812</v>
      </c>
      <c r="X8" s="48">
        <f t="shared" si="1"/>
        <v>9812</v>
      </c>
      <c r="Y8" s="48">
        <f t="shared" si="1"/>
        <v>9812</v>
      </c>
      <c r="Z8" s="48">
        <f t="shared" si="1"/>
        <v>9812</v>
      </c>
      <c r="AA8" s="48">
        <f t="shared" si="5"/>
        <v>235488</v>
      </c>
      <c r="AB8" s="83">
        <f t="shared" si="3"/>
        <v>31</v>
      </c>
      <c r="AC8" s="48">
        <v>7300128</v>
      </c>
      <c r="AE8" s="47"/>
    </row>
    <row r="9" spans="1:31" ht="13" x14ac:dyDescent="0.25">
      <c r="A9" s="15">
        <f t="shared" si="0"/>
        <v>2029</v>
      </c>
      <c r="B9" s="18">
        <v>47209</v>
      </c>
      <c r="C9" s="48">
        <f t="shared" si="4"/>
        <v>10972</v>
      </c>
      <c r="D9" s="48">
        <f t="shared" si="1"/>
        <v>10972</v>
      </c>
      <c r="E9" s="48">
        <f t="shared" si="1"/>
        <v>10972</v>
      </c>
      <c r="F9" s="48">
        <f t="shared" si="1"/>
        <v>10972</v>
      </c>
      <c r="G9" s="48">
        <f t="shared" si="1"/>
        <v>10972</v>
      </c>
      <c r="H9" s="48">
        <f t="shared" si="1"/>
        <v>10972</v>
      </c>
      <c r="I9" s="48">
        <f t="shared" si="1"/>
        <v>10972</v>
      </c>
      <c r="J9" s="48">
        <f t="shared" si="1"/>
        <v>10972</v>
      </c>
      <c r="K9" s="48">
        <f t="shared" si="1"/>
        <v>10972</v>
      </c>
      <c r="L9" s="48">
        <f t="shared" si="1"/>
        <v>10972</v>
      </c>
      <c r="M9" s="48">
        <f t="shared" si="1"/>
        <v>10972</v>
      </c>
      <c r="N9" s="48">
        <f t="shared" si="1"/>
        <v>10972</v>
      </c>
      <c r="O9" s="48">
        <f t="shared" si="1"/>
        <v>10972</v>
      </c>
      <c r="P9" s="48">
        <f t="shared" si="1"/>
        <v>10972</v>
      </c>
      <c r="Q9" s="48">
        <f t="shared" si="1"/>
        <v>10972</v>
      </c>
      <c r="R9" s="48">
        <f t="shared" si="1"/>
        <v>10972</v>
      </c>
      <c r="S9" s="48">
        <f t="shared" si="1"/>
        <v>10972</v>
      </c>
      <c r="T9" s="48">
        <f t="shared" si="1"/>
        <v>10972</v>
      </c>
      <c r="U9" s="48">
        <f t="shared" si="1"/>
        <v>10972</v>
      </c>
      <c r="V9" s="48">
        <f t="shared" si="1"/>
        <v>10972</v>
      </c>
      <c r="W9" s="48">
        <f t="shared" si="1"/>
        <v>10972</v>
      </c>
      <c r="X9" s="48">
        <f t="shared" si="1"/>
        <v>10972</v>
      </c>
      <c r="Y9" s="48">
        <f t="shared" si="1"/>
        <v>10972</v>
      </c>
      <c r="Z9" s="48">
        <f t="shared" si="1"/>
        <v>10972</v>
      </c>
      <c r="AA9" s="48">
        <f t="shared" si="5"/>
        <v>263328</v>
      </c>
      <c r="AB9" s="83">
        <f t="shared" si="3"/>
        <v>30</v>
      </c>
      <c r="AC9" s="48">
        <v>7899840</v>
      </c>
      <c r="AE9" s="47"/>
    </row>
    <row r="10" spans="1:31" ht="13" x14ac:dyDescent="0.25">
      <c r="A10" s="15">
        <f t="shared" si="0"/>
        <v>2029</v>
      </c>
      <c r="B10" s="18">
        <v>47239</v>
      </c>
      <c r="C10" s="48">
        <f t="shared" si="4"/>
        <v>9812</v>
      </c>
      <c r="D10" s="48">
        <f t="shared" si="1"/>
        <v>9812</v>
      </c>
      <c r="E10" s="48">
        <f t="shared" si="1"/>
        <v>9812</v>
      </c>
      <c r="F10" s="48">
        <f t="shared" si="1"/>
        <v>9812</v>
      </c>
      <c r="G10" s="48">
        <f t="shared" si="1"/>
        <v>9812</v>
      </c>
      <c r="H10" s="48">
        <f t="shared" si="1"/>
        <v>9812</v>
      </c>
      <c r="I10" s="48">
        <f t="shared" si="1"/>
        <v>9812</v>
      </c>
      <c r="J10" s="48">
        <f t="shared" si="1"/>
        <v>9812</v>
      </c>
      <c r="K10" s="48">
        <f t="shared" si="1"/>
        <v>9812</v>
      </c>
      <c r="L10" s="48">
        <f t="shared" si="1"/>
        <v>9812</v>
      </c>
      <c r="M10" s="48">
        <f t="shared" si="1"/>
        <v>9812</v>
      </c>
      <c r="N10" s="48">
        <f t="shared" si="1"/>
        <v>9812</v>
      </c>
      <c r="O10" s="48">
        <f t="shared" si="1"/>
        <v>9812</v>
      </c>
      <c r="P10" s="48">
        <f t="shared" si="1"/>
        <v>9812</v>
      </c>
      <c r="Q10" s="48">
        <f t="shared" si="1"/>
        <v>9812</v>
      </c>
      <c r="R10" s="48">
        <f t="shared" si="1"/>
        <v>9812</v>
      </c>
      <c r="S10" s="48">
        <f t="shared" si="1"/>
        <v>9812</v>
      </c>
      <c r="T10" s="48">
        <f t="shared" si="1"/>
        <v>9812</v>
      </c>
      <c r="U10" s="48">
        <f t="shared" si="1"/>
        <v>9812</v>
      </c>
      <c r="V10" s="48">
        <f t="shared" si="1"/>
        <v>9812</v>
      </c>
      <c r="W10" s="48">
        <f t="shared" si="1"/>
        <v>9812</v>
      </c>
      <c r="X10" s="48">
        <f t="shared" si="1"/>
        <v>9812</v>
      </c>
      <c r="Y10" s="48">
        <f t="shared" si="1"/>
        <v>9812</v>
      </c>
      <c r="Z10" s="48">
        <f t="shared" si="1"/>
        <v>9812</v>
      </c>
      <c r="AA10" s="48">
        <f t="shared" si="5"/>
        <v>235488</v>
      </c>
      <c r="AB10" s="83">
        <f t="shared" si="3"/>
        <v>31</v>
      </c>
      <c r="AC10" s="48">
        <v>7300128</v>
      </c>
      <c r="AE10" s="47"/>
    </row>
    <row r="11" spans="1:31" ht="13" x14ac:dyDescent="0.25">
      <c r="A11" s="15">
        <f t="shared" si="0"/>
        <v>2029</v>
      </c>
      <c r="B11" s="18">
        <v>47270</v>
      </c>
      <c r="C11" s="48">
        <f t="shared" si="4"/>
        <v>10972</v>
      </c>
      <c r="D11" s="48">
        <f t="shared" si="1"/>
        <v>10972</v>
      </c>
      <c r="E11" s="48">
        <f t="shared" si="1"/>
        <v>10972</v>
      </c>
      <c r="F11" s="48">
        <f t="shared" si="1"/>
        <v>10972</v>
      </c>
      <c r="G11" s="48">
        <f t="shared" si="1"/>
        <v>10972</v>
      </c>
      <c r="H11" s="48">
        <f t="shared" si="1"/>
        <v>10972</v>
      </c>
      <c r="I11" s="48">
        <f t="shared" si="1"/>
        <v>10972</v>
      </c>
      <c r="J11" s="48">
        <f t="shared" si="1"/>
        <v>10972</v>
      </c>
      <c r="K11" s="48">
        <f t="shared" si="1"/>
        <v>10972</v>
      </c>
      <c r="L11" s="48">
        <f t="shared" si="1"/>
        <v>10972</v>
      </c>
      <c r="M11" s="48">
        <f t="shared" si="1"/>
        <v>10972</v>
      </c>
      <c r="N11" s="48">
        <f t="shared" si="1"/>
        <v>10972</v>
      </c>
      <c r="O11" s="48">
        <f t="shared" si="1"/>
        <v>10972</v>
      </c>
      <c r="P11" s="48">
        <f t="shared" si="1"/>
        <v>10972</v>
      </c>
      <c r="Q11" s="48">
        <f t="shared" si="1"/>
        <v>10972</v>
      </c>
      <c r="R11" s="48">
        <f t="shared" si="1"/>
        <v>10972</v>
      </c>
      <c r="S11" s="48">
        <f t="shared" si="1"/>
        <v>10972</v>
      </c>
      <c r="T11" s="48">
        <f t="shared" si="1"/>
        <v>10972</v>
      </c>
      <c r="U11" s="48">
        <f t="shared" si="1"/>
        <v>10972</v>
      </c>
      <c r="V11" s="48">
        <f t="shared" si="1"/>
        <v>10972</v>
      </c>
      <c r="W11" s="48">
        <f t="shared" si="1"/>
        <v>10972</v>
      </c>
      <c r="X11" s="48">
        <f t="shared" si="1"/>
        <v>10972</v>
      </c>
      <c r="Y11" s="48">
        <f t="shared" si="1"/>
        <v>10972</v>
      </c>
      <c r="Z11" s="48">
        <f t="shared" si="1"/>
        <v>10972</v>
      </c>
      <c r="AA11" s="48">
        <f t="shared" si="5"/>
        <v>263328</v>
      </c>
      <c r="AB11" s="83">
        <f t="shared" si="3"/>
        <v>30</v>
      </c>
      <c r="AC11" s="48">
        <v>7899840</v>
      </c>
      <c r="AE11" s="47"/>
    </row>
    <row r="12" spans="1:31" ht="13" x14ac:dyDescent="0.25">
      <c r="A12" s="15">
        <f t="shared" si="0"/>
        <v>2029</v>
      </c>
      <c r="B12" s="18">
        <v>47300</v>
      </c>
      <c r="C12" s="48">
        <f t="shared" si="4"/>
        <v>9812</v>
      </c>
      <c r="D12" s="48">
        <f t="shared" si="1"/>
        <v>9812</v>
      </c>
      <c r="E12" s="48">
        <f t="shared" si="1"/>
        <v>9812</v>
      </c>
      <c r="F12" s="48">
        <f t="shared" si="1"/>
        <v>9812</v>
      </c>
      <c r="G12" s="48">
        <f t="shared" si="1"/>
        <v>9812</v>
      </c>
      <c r="H12" s="48">
        <f t="shared" si="1"/>
        <v>9812</v>
      </c>
      <c r="I12" s="48">
        <f t="shared" si="1"/>
        <v>9812</v>
      </c>
      <c r="J12" s="48">
        <f t="shared" si="1"/>
        <v>9812</v>
      </c>
      <c r="K12" s="48">
        <f t="shared" si="1"/>
        <v>9812</v>
      </c>
      <c r="L12" s="48">
        <f t="shared" si="1"/>
        <v>9812</v>
      </c>
      <c r="M12" s="48">
        <f t="shared" si="1"/>
        <v>9812</v>
      </c>
      <c r="N12" s="48">
        <f t="shared" si="1"/>
        <v>9812</v>
      </c>
      <c r="O12" s="48">
        <f t="shared" si="1"/>
        <v>9812</v>
      </c>
      <c r="P12" s="48">
        <f t="shared" si="1"/>
        <v>9812</v>
      </c>
      <c r="Q12" s="48">
        <f t="shared" si="1"/>
        <v>9812</v>
      </c>
      <c r="R12" s="48">
        <f t="shared" si="1"/>
        <v>9812</v>
      </c>
      <c r="S12" s="48">
        <f t="shared" si="1"/>
        <v>9812</v>
      </c>
      <c r="T12" s="48">
        <f t="shared" si="1"/>
        <v>9812</v>
      </c>
      <c r="U12" s="48">
        <f t="shared" si="1"/>
        <v>9812</v>
      </c>
      <c r="V12" s="48">
        <f t="shared" si="1"/>
        <v>9812</v>
      </c>
      <c r="W12" s="48">
        <f t="shared" si="1"/>
        <v>9812</v>
      </c>
      <c r="X12" s="48">
        <f t="shared" si="1"/>
        <v>9812</v>
      </c>
      <c r="Y12" s="48">
        <f t="shared" si="1"/>
        <v>9812</v>
      </c>
      <c r="Z12" s="48">
        <f t="shared" si="1"/>
        <v>9812</v>
      </c>
      <c r="AA12" s="48">
        <f t="shared" si="5"/>
        <v>235488</v>
      </c>
      <c r="AB12" s="83">
        <f t="shared" si="3"/>
        <v>31</v>
      </c>
      <c r="AC12" s="48">
        <v>7300128</v>
      </c>
      <c r="AE12" s="47"/>
    </row>
    <row r="13" spans="1:31" ht="13" x14ac:dyDescent="0.25">
      <c r="A13" s="15">
        <f t="shared" si="0"/>
        <v>2029</v>
      </c>
      <c r="B13" s="18">
        <v>47331</v>
      </c>
      <c r="C13" s="48">
        <f t="shared" si="4"/>
        <v>9812</v>
      </c>
      <c r="D13" s="48">
        <f t="shared" si="1"/>
        <v>9812</v>
      </c>
      <c r="E13" s="48">
        <f t="shared" si="1"/>
        <v>9812</v>
      </c>
      <c r="F13" s="48">
        <f t="shared" si="1"/>
        <v>9812</v>
      </c>
      <c r="G13" s="48">
        <f t="shared" si="1"/>
        <v>9812</v>
      </c>
      <c r="H13" s="48">
        <f t="shared" si="1"/>
        <v>9812</v>
      </c>
      <c r="I13" s="48">
        <f t="shared" si="1"/>
        <v>9812</v>
      </c>
      <c r="J13" s="48">
        <f t="shared" si="1"/>
        <v>9812</v>
      </c>
      <c r="K13" s="48">
        <f t="shared" si="1"/>
        <v>9812</v>
      </c>
      <c r="L13" s="48">
        <f t="shared" si="1"/>
        <v>9812</v>
      </c>
      <c r="M13" s="48">
        <f t="shared" si="1"/>
        <v>9812</v>
      </c>
      <c r="N13" s="48">
        <f t="shared" si="1"/>
        <v>9812</v>
      </c>
      <c r="O13" s="48">
        <f t="shared" si="1"/>
        <v>9812</v>
      </c>
      <c r="P13" s="48">
        <f t="shared" si="1"/>
        <v>9812</v>
      </c>
      <c r="Q13" s="48">
        <f t="shared" si="1"/>
        <v>9812</v>
      </c>
      <c r="R13" s="48">
        <f t="shared" si="1"/>
        <v>9812</v>
      </c>
      <c r="S13" s="48">
        <f t="shared" si="1"/>
        <v>9812</v>
      </c>
      <c r="T13" s="48">
        <f t="shared" si="1"/>
        <v>9812</v>
      </c>
      <c r="U13" s="48">
        <f t="shared" si="1"/>
        <v>9812</v>
      </c>
      <c r="V13" s="48">
        <f t="shared" si="1"/>
        <v>9812</v>
      </c>
      <c r="W13" s="48">
        <f t="shared" si="1"/>
        <v>9812</v>
      </c>
      <c r="X13" s="48">
        <f t="shared" si="1"/>
        <v>9812</v>
      </c>
      <c r="Y13" s="48">
        <f t="shared" si="1"/>
        <v>9812</v>
      </c>
      <c r="Z13" s="48">
        <f t="shared" si="1"/>
        <v>9812</v>
      </c>
      <c r="AA13" s="48">
        <f t="shared" si="5"/>
        <v>235488</v>
      </c>
      <c r="AB13" s="83">
        <f t="shared" si="3"/>
        <v>31</v>
      </c>
      <c r="AC13" s="48">
        <v>7300128</v>
      </c>
      <c r="AE13" s="47"/>
    </row>
    <row r="14" spans="1:31" ht="13" x14ac:dyDescent="0.25">
      <c r="A14" s="15">
        <f t="shared" si="0"/>
        <v>2029</v>
      </c>
      <c r="B14" s="18">
        <v>47362</v>
      </c>
      <c r="C14" s="48">
        <f t="shared" si="4"/>
        <v>10972</v>
      </c>
      <c r="D14" s="48">
        <f t="shared" si="1"/>
        <v>10972</v>
      </c>
      <c r="E14" s="48">
        <f t="shared" si="1"/>
        <v>10972</v>
      </c>
      <c r="F14" s="48">
        <f t="shared" si="1"/>
        <v>10972</v>
      </c>
      <c r="G14" s="48">
        <f t="shared" si="1"/>
        <v>10972</v>
      </c>
      <c r="H14" s="48">
        <f t="shared" si="1"/>
        <v>10972</v>
      </c>
      <c r="I14" s="48">
        <f t="shared" si="1"/>
        <v>10972</v>
      </c>
      <c r="J14" s="48">
        <f t="shared" si="1"/>
        <v>10972</v>
      </c>
      <c r="K14" s="48">
        <f t="shared" si="1"/>
        <v>10972</v>
      </c>
      <c r="L14" s="48">
        <f t="shared" si="1"/>
        <v>10972</v>
      </c>
      <c r="M14" s="48">
        <f t="shared" si="1"/>
        <v>10972</v>
      </c>
      <c r="N14" s="48">
        <f t="shared" si="1"/>
        <v>10972</v>
      </c>
      <c r="O14" s="48">
        <f t="shared" si="1"/>
        <v>10972</v>
      </c>
      <c r="P14" s="48">
        <f t="shared" si="1"/>
        <v>10972</v>
      </c>
      <c r="Q14" s="48">
        <f t="shared" si="1"/>
        <v>10972</v>
      </c>
      <c r="R14" s="48">
        <f t="shared" si="1"/>
        <v>10972</v>
      </c>
      <c r="S14" s="48">
        <f t="shared" si="1"/>
        <v>10972</v>
      </c>
      <c r="T14" s="48">
        <f t="shared" si="1"/>
        <v>10972</v>
      </c>
      <c r="U14" s="48">
        <f t="shared" si="1"/>
        <v>10972</v>
      </c>
      <c r="V14" s="48">
        <f t="shared" si="1"/>
        <v>10972</v>
      </c>
      <c r="W14" s="48">
        <f t="shared" si="1"/>
        <v>10972</v>
      </c>
      <c r="X14" s="48">
        <f t="shared" si="1"/>
        <v>10972</v>
      </c>
      <c r="Y14" s="48">
        <f t="shared" si="1"/>
        <v>10972</v>
      </c>
      <c r="Z14" s="48">
        <f t="shared" si="1"/>
        <v>10972</v>
      </c>
      <c r="AA14" s="48">
        <f t="shared" si="5"/>
        <v>263328</v>
      </c>
      <c r="AB14" s="83">
        <f t="shared" si="3"/>
        <v>30</v>
      </c>
      <c r="AC14" s="48">
        <v>7899840</v>
      </c>
      <c r="AE14" s="47"/>
    </row>
    <row r="15" spans="1:31" ht="13" x14ac:dyDescent="0.25">
      <c r="A15" s="15">
        <f t="shared" si="0"/>
        <v>2029</v>
      </c>
      <c r="B15" s="18">
        <v>47392</v>
      </c>
      <c r="C15" s="48">
        <f t="shared" si="4"/>
        <v>9812</v>
      </c>
      <c r="D15" s="48">
        <f t="shared" si="1"/>
        <v>9812</v>
      </c>
      <c r="E15" s="48">
        <f t="shared" si="1"/>
        <v>9812</v>
      </c>
      <c r="F15" s="48">
        <f t="shared" si="1"/>
        <v>9812</v>
      </c>
      <c r="G15" s="48">
        <f t="shared" si="1"/>
        <v>9812</v>
      </c>
      <c r="H15" s="48">
        <f t="shared" si="1"/>
        <v>9812</v>
      </c>
      <c r="I15" s="48">
        <f t="shared" si="1"/>
        <v>9812</v>
      </c>
      <c r="J15" s="48">
        <f t="shared" si="1"/>
        <v>9812</v>
      </c>
      <c r="K15" s="48">
        <f t="shared" si="1"/>
        <v>9812</v>
      </c>
      <c r="L15" s="48">
        <f t="shared" si="1"/>
        <v>9812</v>
      </c>
      <c r="M15" s="48">
        <f t="shared" si="1"/>
        <v>9812</v>
      </c>
      <c r="N15" s="48">
        <f t="shared" si="1"/>
        <v>9812</v>
      </c>
      <c r="O15" s="48">
        <f t="shared" si="1"/>
        <v>9812</v>
      </c>
      <c r="P15" s="48">
        <f t="shared" si="1"/>
        <v>9812</v>
      </c>
      <c r="Q15" s="48">
        <f t="shared" si="1"/>
        <v>9812</v>
      </c>
      <c r="R15" s="48">
        <f t="shared" si="1"/>
        <v>9812</v>
      </c>
      <c r="S15" s="48">
        <f t="shared" si="1"/>
        <v>9812</v>
      </c>
      <c r="T15" s="48">
        <f t="shared" si="1"/>
        <v>9812</v>
      </c>
      <c r="U15" s="48">
        <f t="shared" si="1"/>
        <v>9812</v>
      </c>
      <c r="V15" s="48">
        <f t="shared" si="1"/>
        <v>9812</v>
      </c>
      <c r="W15" s="48">
        <f t="shared" si="1"/>
        <v>9812</v>
      </c>
      <c r="X15" s="48">
        <f t="shared" si="1"/>
        <v>9812</v>
      </c>
      <c r="Y15" s="48">
        <f t="shared" si="1"/>
        <v>9812</v>
      </c>
      <c r="Z15" s="48">
        <f t="shared" si="1"/>
        <v>9812</v>
      </c>
      <c r="AA15" s="48">
        <f t="shared" si="5"/>
        <v>235488</v>
      </c>
      <c r="AB15" s="83">
        <f t="shared" si="3"/>
        <v>31</v>
      </c>
      <c r="AC15" s="48">
        <v>7300128</v>
      </c>
      <c r="AE15" s="47"/>
    </row>
    <row r="16" spans="1:31" ht="13" x14ac:dyDescent="0.25">
      <c r="A16" s="15">
        <f t="shared" si="0"/>
        <v>2029</v>
      </c>
      <c r="B16" s="18">
        <v>47423</v>
      </c>
      <c r="C16" s="48">
        <f t="shared" si="4"/>
        <v>10972</v>
      </c>
      <c r="D16" s="48">
        <f t="shared" si="1"/>
        <v>10972</v>
      </c>
      <c r="E16" s="48">
        <f t="shared" si="1"/>
        <v>10972</v>
      </c>
      <c r="F16" s="48">
        <f t="shared" si="1"/>
        <v>10972</v>
      </c>
      <c r="G16" s="48">
        <f t="shared" si="1"/>
        <v>10972</v>
      </c>
      <c r="H16" s="48">
        <f t="shared" si="1"/>
        <v>10972</v>
      </c>
      <c r="I16" s="48">
        <f t="shared" si="1"/>
        <v>10972</v>
      </c>
      <c r="J16" s="48">
        <f t="shared" si="1"/>
        <v>10972</v>
      </c>
      <c r="K16" s="48">
        <f t="shared" si="1"/>
        <v>10972</v>
      </c>
      <c r="L16" s="48">
        <f t="shared" si="1"/>
        <v>10972</v>
      </c>
      <c r="M16" s="48">
        <f t="shared" si="1"/>
        <v>10972</v>
      </c>
      <c r="N16" s="48">
        <f t="shared" si="1"/>
        <v>10972</v>
      </c>
      <c r="O16" s="48">
        <f t="shared" si="1"/>
        <v>10972</v>
      </c>
      <c r="P16" s="48">
        <f t="shared" si="1"/>
        <v>10972</v>
      </c>
      <c r="Q16" s="48">
        <f t="shared" si="1"/>
        <v>10972</v>
      </c>
      <c r="R16" s="48">
        <f t="shared" si="1"/>
        <v>10972</v>
      </c>
      <c r="S16" s="48">
        <f t="shared" si="1"/>
        <v>10972</v>
      </c>
      <c r="T16" s="48">
        <f t="shared" si="1"/>
        <v>10972</v>
      </c>
      <c r="U16" s="48">
        <f t="shared" si="1"/>
        <v>10972</v>
      </c>
      <c r="V16" s="48">
        <f t="shared" si="1"/>
        <v>10972</v>
      </c>
      <c r="W16" s="48">
        <f t="shared" si="1"/>
        <v>10972</v>
      </c>
      <c r="X16" s="48">
        <f t="shared" si="1"/>
        <v>10972</v>
      </c>
      <c r="Y16" s="48">
        <f t="shared" si="1"/>
        <v>10972</v>
      </c>
      <c r="Z16" s="48">
        <f t="shared" si="1"/>
        <v>10972</v>
      </c>
      <c r="AA16" s="48">
        <f t="shared" si="5"/>
        <v>263328</v>
      </c>
      <c r="AB16" s="83">
        <f t="shared" si="3"/>
        <v>30</v>
      </c>
      <c r="AC16" s="48">
        <v>7899840</v>
      </c>
      <c r="AE16" s="47"/>
    </row>
    <row r="17" spans="1:31" ht="13" x14ac:dyDescent="0.25">
      <c r="A17" s="15">
        <f t="shared" si="0"/>
        <v>2029</v>
      </c>
      <c r="B17" s="18">
        <v>47453</v>
      </c>
      <c r="C17" s="48">
        <f t="shared" si="4"/>
        <v>9812</v>
      </c>
      <c r="D17" s="48">
        <f t="shared" si="1"/>
        <v>9812</v>
      </c>
      <c r="E17" s="48">
        <f t="shared" si="1"/>
        <v>9812</v>
      </c>
      <c r="F17" s="48">
        <f t="shared" ref="F17:U32" si="6">($AC17/$AB17)/24</f>
        <v>9812</v>
      </c>
      <c r="G17" s="48">
        <f t="shared" si="6"/>
        <v>9812</v>
      </c>
      <c r="H17" s="48">
        <f t="shared" si="6"/>
        <v>9812</v>
      </c>
      <c r="I17" s="48">
        <f t="shared" si="6"/>
        <v>9812</v>
      </c>
      <c r="J17" s="48">
        <f t="shared" si="6"/>
        <v>9812</v>
      </c>
      <c r="K17" s="48">
        <f t="shared" si="6"/>
        <v>9812</v>
      </c>
      <c r="L17" s="48">
        <f t="shared" si="6"/>
        <v>9812</v>
      </c>
      <c r="M17" s="48">
        <f t="shared" si="6"/>
        <v>9812</v>
      </c>
      <c r="N17" s="48">
        <f t="shared" si="6"/>
        <v>9812</v>
      </c>
      <c r="O17" s="48">
        <f t="shared" si="6"/>
        <v>9812</v>
      </c>
      <c r="P17" s="48">
        <f t="shared" si="6"/>
        <v>9812</v>
      </c>
      <c r="Q17" s="48">
        <f t="shared" si="6"/>
        <v>9812</v>
      </c>
      <c r="R17" s="48">
        <f t="shared" si="6"/>
        <v>9812</v>
      </c>
      <c r="S17" s="48">
        <f t="shared" si="6"/>
        <v>9812</v>
      </c>
      <c r="T17" s="48">
        <f t="shared" si="6"/>
        <v>9812</v>
      </c>
      <c r="U17" s="48">
        <f t="shared" si="6"/>
        <v>9812</v>
      </c>
      <c r="V17" s="48">
        <f t="shared" ref="V17:Z48" si="7">($AC17/$AB17)/24</f>
        <v>9812</v>
      </c>
      <c r="W17" s="48">
        <f t="shared" si="7"/>
        <v>9812</v>
      </c>
      <c r="X17" s="48">
        <f t="shared" si="7"/>
        <v>9812</v>
      </c>
      <c r="Y17" s="48">
        <f t="shared" si="7"/>
        <v>9812</v>
      </c>
      <c r="Z17" s="48">
        <f t="shared" si="7"/>
        <v>9812</v>
      </c>
      <c r="AA17" s="48">
        <f t="shared" si="5"/>
        <v>235488</v>
      </c>
      <c r="AB17" s="83">
        <f t="shared" si="3"/>
        <v>31</v>
      </c>
      <c r="AC17" s="48">
        <v>7300128</v>
      </c>
      <c r="AE17" s="47"/>
    </row>
    <row r="18" spans="1:31" ht="13" x14ac:dyDescent="0.25">
      <c r="A18" s="15">
        <f t="shared" si="0"/>
        <v>2030</v>
      </c>
      <c r="B18" s="18">
        <v>47484</v>
      </c>
      <c r="C18" s="48">
        <f t="shared" si="4"/>
        <v>9812</v>
      </c>
      <c r="D18" s="48">
        <f t="shared" si="4"/>
        <v>9812</v>
      </c>
      <c r="E18" s="48">
        <f t="shared" si="4"/>
        <v>9812</v>
      </c>
      <c r="F18" s="48">
        <f t="shared" si="4"/>
        <v>9812</v>
      </c>
      <c r="G18" s="48">
        <f t="shared" si="4"/>
        <v>9812</v>
      </c>
      <c r="H18" s="48">
        <f t="shared" si="4"/>
        <v>9812</v>
      </c>
      <c r="I18" s="48">
        <f t="shared" si="4"/>
        <v>9812</v>
      </c>
      <c r="J18" s="48">
        <f t="shared" si="4"/>
        <v>9812</v>
      </c>
      <c r="K18" s="48">
        <f t="shared" si="4"/>
        <v>9812</v>
      </c>
      <c r="L18" s="48">
        <f t="shared" si="4"/>
        <v>9812</v>
      </c>
      <c r="M18" s="48">
        <f t="shared" si="4"/>
        <v>9812</v>
      </c>
      <c r="N18" s="48">
        <f t="shared" si="4"/>
        <v>9812</v>
      </c>
      <c r="O18" s="48">
        <f t="shared" si="4"/>
        <v>9812</v>
      </c>
      <c r="P18" s="48">
        <f t="shared" si="4"/>
        <v>9812</v>
      </c>
      <c r="Q18" s="48">
        <f t="shared" si="4"/>
        <v>9812</v>
      </c>
      <c r="R18" s="48">
        <f t="shared" si="4"/>
        <v>9812</v>
      </c>
      <c r="S18" s="48">
        <f t="shared" si="6"/>
        <v>9812</v>
      </c>
      <c r="T18" s="48">
        <f t="shared" si="6"/>
        <v>9812</v>
      </c>
      <c r="U18" s="48">
        <f t="shared" si="6"/>
        <v>9812</v>
      </c>
      <c r="V18" s="48">
        <f t="shared" si="7"/>
        <v>9812</v>
      </c>
      <c r="W18" s="48">
        <f t="shared" si="7"/>
        <v>9812</v>
      </c>
      <c r="X18" s="48">
        <f t="shared" si="7"/>
        <v>9812</v>
      </c>
      <c r="Y18" s="48">
        <f t="shared" si="7"/>
        <v>9812</v>
      </c>
      <c r="Z18" s="48">
        <f t="shared" si="7"/>
        <v>9812</v>
      </c>
      <c r="AA18" s="48">
        <f t="shared" ref="AA18:AA30" si="8">SUM(C18:Z18)</f>
        <v>235488</v>
      </c>
      <c r="AB18" s="83">
        <f t="shared" si="3"/>
        <v>31</v>
      </c>
      <c r="AC18" s="48">
        <v>7300128</v>
      </c>
      <c r="AE18" s="47"/>
    </row>
    <row r="19" spans="1:31" ht="13" x14ac:dyDescent="0.25">
      <c r="A19" s="15">
        <f t="shared" si="0"/>
        <v>2030</v>
      </c>
      <c r="B19" s="18">
        <v>47515</v>
      </c>
      <c r="C19" s="48">
        <f t="shared" si="4"/>
        <v>13393</v>
      </c>
      <c r="D19" s="48">
        <f t="shared" si="4"/>
        <v>13393</v>
      </c>
      <c r="E19" s="48">
        <f t="shared" si="4"/>
        <v>13393</v>
      </c>
      <c r="F19" s="48">
        <f t="shared" si="4"/>
        <v>13393</v>
      </c>
      <c r="G19" s="48">
        <f t="shared" si="4"/>
        <v>13393</v>
      </c>
      <c r="H19" s="48">
        <f t="shared" si="4"/>
        <v>13393</v>
      </c>
      <c r="I19" s="48">
        <f t="shared" si="4"/>
        <v>13393</v>
      </c>
      <c r="J19" s="48">
        <f t="shared" si="4"/>
        <v>13393</v>
      </c>
      <c r="K19" s="48">
        <f t="shared" si="4"/>
        <v>13393</v>
      </c>
      <c r="L19" s="48">
        <f t="shared" si="4"/>
        <v>13393</v>
      </c>
      <c r="M19" s="48">
        <f t="shared" si="4"/>
        <v>13393</v>
      </c>
      <c r="N19" s="48">
        <f t="shared" si="4"/>
        <v>13393</v>
      </c>
      <c r="O19" s="48">
        <f t="shared" si="4"/>
        <v>13393</v>
      </c>
      <c r="P19" s="48">
        <f t="shared" si="4"/>
        <v>13393</v>
      </c>
      <c r="Q19" s="48">
        <f t="shared" si="4"/>
        <v>13393</v>
      </c>
      <c r="R19" s="48">
        <f t="shared" si="4"/>
        <v>13393</v>
      </c>
      <c r="S19" s="48">
        <f t="shared" si="6"/>
        <v>13393</v>
      </c>
      <c r="T19" s="48">
        <f t="shared" si="6"/>
        <v>13393</v>
      </c>
      <c r="U19" s="48">
        <f t="shared" si="6"/>
        <v>13393</v>
      </c>
      <c r="V19" s="48">
        <f t="shared" si="7"/>
        <v>13393</v>
      </c>
      <c r="W19" s="48">
        <f t="shared" si="7"/>
        <v>13393</v>
      </c>
      <c r="X19" s="48">
        <f t="shared" si="7"/>
        <v>13393</v>
      </c>
      <c r="Y19" s="48">
        <f t="shared" si="7"/>
        <v>13393</v>
      </c>
      <c r="Z19" s="48">
        <f t="shared" si="7"/>
        <v>13393</v>
      </c>
      <c r="AA19" s="48">
        <f t="shared" si="8"/>
        <v>321432</v>
      </c>
      <c r="AB19" s="83">
        <f t="shared" si="3"/>
        <v>28</v>
      </c>
      <c r="AC19" s="48">
        <v>9000096</v>
      </c>
      <c r="AE19" s="47"/>
    </row>
    <row r="20" spans="1:31" ht="13" x14ac:dyDescent="0.25">
      <c r="A20" s="15">
        <f t="shared" si="0"/>
        <v>2030</v>
      </c>
      <c r="B20" s="18">
        <v>47543</v>
      </c>
      <c r="C20" s="48">
        <f t="shared" si="4"/>
        <v>9812</v>
      </c>
      <c r="D20" s="48">
        <f t="shared" si="4"/>
        <v>9812</v>
      </c>
      <c r="E20" s="48">
        <f t="shared" si="4"/>
        <v>9812</v>
      </c>
      <c r="F20" s="48">
        <f t="shared" si="4"/>
        <v>9812</v>
      </c>
      <c r="G20" s="48">
        <f t="shared" si="4"/>
        <v>9812</v>
      </c>
      <c r="H20" s="48">
        <f t="shared" si="4"/>
        <v>9812</v>
      </c>
      <c r="I20" s="48">
        <f t="shared" si="4"/>
        <v>9812</v>
      </c>
      <c r="J20" s="48">
        <f t="shared" si="4"/>
        <v>9812</v>
      </c>
      <c r="K20" s="48">
        <f t="shared" si="4"/>
        <v>9812</v>
      </c>
      <c r="L20" s="48">
        <f t="shared" si="4"/>
        <v>9812</v>
      </c>
      <c r="M20" s="48">
        <f t="shared" si="4"/>
        <v>9812</v>
      </c>
      <c r="N20" s="48">
        <f t="shared" si="4"/>
        <v>9812</v>
      </c>
      <c r="O20" s="48">
        <f t="shared" si="4"/>
        <v>9812</v>
      </c>
      <c r="P20" s="48">
        <f t="shared" si="4"/>
        <v>9812</v>
      </c>
      <c r="Q20" s="48">
        <f t="shared" si="4"/>
        <v>9812</v>
      </c>
      <c r="R20" s="48">
        <f t="shared" si="4"/>
        <v>9812</v>
      </c>
      <c r="S20" s="48">
        <f t="shared" si="6"/>
        <v>9812</v>
      </c>
      <c r="T20" s="48">
        <f t="shared" si="6"/>
        <v>9812</v>
      </c>
      <c r="U20" s="48">
        <f t="shared" si="6"/>
        <v>9812</v>
      </c>
      <c r="V20" s="48">
        <f t="shared" si="7"/>
        <v>9812</v>
      </c>
      <c r="W20" s="48">
        <f t="shared" si="7"/>
        <v>9812</v>
      </c>
      <c r="X20" s="48">
        <f t="shared" si="7"/>
        <v>9812</v>
      </c>
      <c r="Y20" s="48">
        <f t="shared" si="7"/>
        <v>9812</v>
      </c>
      <c r="Z20" s="48">
        <f t="shared" si="7"/>
        <v>9812</v>
      </c>
      <c r="AA20" s="48">
        <f t="shared" si="8"/>
        <v>235488</v>
      </c>
      <c r="AB20" s="83">
        <f t="shared" si="3"/>
        <v>31</v>
      </c>
      <c r="AC20" s="48">
        <v>7300128</v>
      </c>
      <c r="AE20" s="47"/>
    </row>
    <row r="21" spans="1:31" ht="13" x14ac:dyDescent="0.25">
      <c r="A21" s="15">
        <f t="shared" si="0"/>
        <v>2030</v>
      </c>
      <c r="B21" s="18">
        <v>47574</v>
      </c>
      <c r="C21" s="48">
        <f t="shared" si="4"/>
        <v>10972</v>
      </c>
      <c r="D21" s="48">
        <f t="shared" si="4"/>
        <v>10972</v>
      </c>
      <c r="E21" s="48">
        <f t="shared" si="4"/>
        <v>10972</v>
      </c>
      <c r="F21" s="48">
        <f t="shared" si="4"/>
        <v>10972</v>
      </c>
      <c r="G21" s="48">
        <f t="shared" si="4"/>
        <v>10972</v>
      </c>
      <c r="H21" s="48">
        <f t="shared" si="4"/>
        <v>10972</v>
      </c>
      <c r="I21" s="48">
        <f t="shared" si="4"/>
        <v>10972</v>
      </c>
      <c r="J21" s="48">
        <f t="shared" si="4"/>
        <v>10972</v>
      </c>
      <c r="K21" s="48">
        <f t="shared" si="4"/>
        <v>10972</v>
      </c>
      <c r="L21" s="48">
        <f t="shared" si="4"/>
        <v>10972</v>
      </c>
      <c r="M21" s="48">
        <f t="shared" si="4"/>
        <v>10972</v>
      </c>
      <c r="N21" s="48">
        <f t="shared" si="4"/>
        <v>10972</v>
      </c>
      <c r="O21" s="48">
        <f t="shared" si="4"/>
        <v>10972</v>
      </c>
      <c r="P21" s="48">
        <f t="shared" si="4"/>
        <v>10972</v>
      </c>
      <c r="Q21" s="48">
        <f t="shared" si="4"/>
        <v>10972</v>
      </c>
      <c r="R21" s="48">
        <f t="shared" si="4"/>
        <v>10972</v>
      </c>
      <c r="S21" s="48">
        <f t="shared" si="6"/>
        <v>10972</v>
      </c>
      <c r="T21" s="48">
        <f t="shared" si="6"/>
        <v>10972</v>
      </c>
      <c r="U21" s="48">
        <f t="shared" si="6"/>
        <v>10972</v>
      </c>
      <c r="V21" s="48">
        <f t="shared" si="7"/>
        <v>10972</v>
      </c>
      <c r="W21" s="48">
        <f t="shared" si="7"/>
        <v>10972</v>
      </c>
      <c r="X21" s="48">
        <f t="shared" si="7"/>
        <v>10972</v>
      </c>
      <c r="Y21" s="48">
        <f t="shared" si="7"/>
        <v>10972</v>
      </c>
      <c r="Z21" s="48">
        <f t="shared" si="7"/>
        <v>10972</v>
      </c>
      <c r="AA21" s="48">
        <f t="shared" si="8"/>
        <v>263328</v>
      </c>
      <c r="AB21" s="83">
        <f t="shared" si="3"/>
        <v>30</v>
      </c>
      <c r="AC21" s="48">
        <v>7899840</v>
      </c>
      <c r="AE21" s="47"/>
    </row>
    <row r="22" spans="1:31" ht="13" x14ac:dyDescent="0.25">
      <c r="A22" s="15">
        <f t="shared" si="0"/>
        <v>2030</v>
      </c>
      <c r="B22" s="18">
        <v>47604</v>
      </c>
      <c r="C22" s="48">
        <f t="shared" si="4"/>
        <v>9812</v>
      </c>
      <c r="D22" s="48">
        <f t="shared" si="4"/>
        <v>9812</v>
      </c>
      <c r="E22" s="48">
        <f t="shared" si="4"/>
        <v>9812</v>
      </c>
      <c r="F22" s="48">
        <f t="shared" si="4"/>
        <v>9812</v>
      </c>
      <c r="G22" s="48">
        <f t="shared" si="4"/>
        <v>9812</v>
      </c>
      <c r="H22" s="48">
        <f t="shared" si="4"/>
        <v>9812</v>
      </c>
      <c r="I22" s="48">
        <f t="shared" si="4"/>
        <v>9812</v>
      </c>
      <c r="J22" s="48">
        <f t="shared" si="4"/>
        <v>9812</v>
      </c>
      <c r="K22" s="48">
        <f t="shared" si="4"/>
        <v>9812</v>
      </c>
      <c r="L22" s="48">
        <f t="shared" si="4"/>
        <v>9812</v>
      </c>
      <c r="M22" s="48">
        <f t="shared" si="4"/>
        <v>9812</v>
      </c>
      <c r="N22" s="48">
        <f t="shared" si="4"/>
        <v>9812</v>
      </c>
      <c r="O22" s="48">
        <f t="shared" si="4"/>
        <v>9812</v>
      </c>
      <c r="P22" s="48">
        <f t="shared" si="4"/>
        <v>9812</v>
      </c>
      <c r="Q22" s="48">
        <f t="shared" si="4"/>
        <v>9812</v>
      </c>
      <c r="R22" s="48">
        <f t="shared" si="4"/>
        <v>9812</v>
      </c>
      <c r="S22" s="48">
        <f t="shared" si="6"/>
        <v>9812</v>
      </c>
      <c r="T22" s="48">
        <f t="shared" si="6"/>
        <v>9812</v>
      </c>
      <c r="U22" s="48">
        <f t="shared" si="6"/>
        <v>9812</v>
      </c>
      <c r="V22" s="48">
        <f t="shared" si="7"/>
        <v>9812</v>
      </c>
      <c r="W22" s="48">
        <f t="shared" si="7"/>
        <v>9812</v>
      </c>
      <c r="X22" s="48">
        <f t="shared" si="7"/>
        <v>9812</v>
      </c>
      <c r="Y22" s="48">
        <f t="shared" si="7"/>
        <v>9812</v>
      </c>
      <c r="Z22" s="48">
        <f t="shared" si="7"/>
        <v>9812</v>
      </c>
      <c r="AA22" s="48">
        <f t="shared" si="8"/>
        <v>235488</v>
      </c>
      <c r="AB22" s="83">
        <f t="shared" si="3"/>
        <v>31</v>
      </c>
      <c r="AC22" s="48">
        <v>7300128</v>
      </c>
      <c r="AE22" s="47"/>
    </row>
    <row r="23" spans="1:31" ht="13" x14ac:dyDescent="0.25">
      <c r="A23" s="15">
        <f t="shared" si="0"/>
        <v>2030</v>
      </c>
      <c r="B23" s="18">
        <v>47635</v>
      </c>
      <c r="C23" s="48">
        <f t="shared" si="4"/>
        <v>10972</v>
      </c>
      <c r="D23" s="48">
        <f t="shared" si="4"/>
        <v>10972</v>
      </c>
      <c r="E23" s="48">
        <f t="shared" si="4"/>
        <v>10972</v>
      </c>
      <c r="F23" s="48">
        <f t="shared" si="4"/>
        <v>10972</v>
      </c>
      <c r="G23" s="48">
        <f t="shared" si="4"/>
        <v>10972</v>
      </c>
      <c r="H23" s="48">
        <f t="shared" si="4"/>
        <v>10972</v>
      </c>
      <c r="I23" s="48">
        <f t="shared" si="4"/>
        <v>10972</v>
      </c>
      <c r="J23" s="48">
        <f t="shared" si="4"/>
        <v>10972</v>
      </c>
      <c r="K23" s="48">
        <f t="shared" si="4"/>
        <v>10972</v>
      </c>
      <c r="L23" s="48">
        <f t="shared" si="4"/>
        <v>10972</v>
      </c>
      <c r="M23" s="48">
        <f t="shared" si="4"/>
        <v>10972</v>
      </c>
      <c r="N23" s="48">
        <f t="shared" si="4"/>
        <v>10972</v>
      </c>
      <c r="O23" s="48">
        <f t="shared" si="4"/>
        <v>10972</v>
      </c>
      <c r="P23" s="48">
        <f t="shared" si="4"/>
        <v>10972</v>
      </c>
      <c r="Q23" s="48">
        <f t="shared" si="4"/>
        <v>10972</v>
      </c>
      <c r="R23" s="48">
        <f t="shared" si="4"/>
        <v>10972</v>
      </c>
      <c r="S23" s="48">
        <f t="shared" si="6"/>
        <v>10972</v>
      </c>
      <c r="T23" s="48">
        <f t="shared" si="6"/>
        <v>10972</v>
      </c>
      <c r="U23" s="48">
        <f t="shared" si="6"/>
        <v>10972</v>
      </c>
      <c r="V23" s="48">
        <f t="shared" si="7"/>
        <v>10972</v>
      </c>
      <c r="W23" s="48">
        <f t="shared" si="7"/>
        <v>10972</v>
      </c>
      <c r="X23" s="48">
        <f t="shared" si="7"/>
        <v>10972</v>
      </c>
      <c r="Y23" s="48">
        <f t="shared" si="7"/>
        <v>10972</v>
      </c>
      <c r="Z23" s="48">
        <f t="shared" si="7"/>
        <v>10972</v>
      </c>
      <c r="AA23" s="48">
        <f t="shared" si="8"/>
        <v>263328</v>
      </c>
      <c r="AB23" s="83">
        <f t="shared" si="3"/>
        <v>30</v>
      </c>
      <c r="AC23" s="48">
        <v>7899840</v>
      </c>
      <c r="AE23" s="47"/>
    </row>
    <row r="24" spans="1:31" ht="13" x14ac:dyDescent="0.25">
      <c r="A24" s="15">
        <f t="shared" si="0"/>
        <v>2030</v>
      </c>
      <c r="B24" s="18">
        <v>47665</v>
      </c>
      <c r="C24" s="48">
        <f t="shared" si="4"/>
        <v>9812</v>
      </c>
      <c r="D24" s="48">
        <f t="shared" si="4"/>
        <v>9812</v>
      </c>
      <c r="E24" s="48">
        <f t="shared" si="4"/>
        <v>9812</v>
      </c>
      <c r="F24" s="48">
        <f t="shared" si="4"/>
        <v>9812</v>
      </c>
      <c r="G24" s="48">
        <f t="shared" si="4"/>
        <v>9812</v>
      </c>
      <c r="H24" s="48">
        <f t="shared" si="4"/>
        <v>9812</v>
      </c>
      <c r="I24" s="48">
        <f t="shared" si="4"/>
        <v>9812</v>
      </c>
      <c r="J24" s="48">
        <f t="shared" si="4"/>
        <v>9812</v>
      </c>
      <c r="K24" s="48">
        <f t="shared" si="4"/>
        <v>9812</v>
      </c>
      <c r="L24" s="48">
        <f t="shared" si="4"/>
        <v>9812</v>
      </c>
      <c r="M24" s="48">
        <f t="shared" si="4"/>
        <v>9812</v>
      </c>
      <c r="N24" s="48">
        <f t="shared" si="4"/>
        <v>9812</v>
      </c>
      <c r="O24" s="48">
        <f t="shared" si="4"/>
        <v>9812</v>
      </c>
      <c r="P24" s="48">
        <f t="shared" si="4"/>
        <v>9812</v>
      </c>
      <c r="Q24" s="48">
        <f t="shared" si="4"/>
        <v>9812</v>
      </c>
      <c r="R24" s="48">
        <f t="shared" si="4"/>
        <v>9812</v>
      </c>
      <c r="S24" s="48">
        <f t="shared" si="6"/>
        <v>9812</v>
      </c>
      <c r="T24" s="48">
        <f t="shared" si="6"/>
        <v>9812</v>
      </c>
      <c r="U24" s="48">
        <f t="shared" si="6"/>
        <v>9812</v>
      </c>
      <c r="V24" s="48">
        <f t="shared" si="7"/>
        <v>9812</v>
      </c>
      <c r="W24" s="48">
        <f t="shared" si="7"/>
        <v>9812</v>
      </c>
      <c r="X24" s="48">
        <f t="shared" si="7"/>
        <v>9812</v>
      </c>
      <c r="Y24" s="48">
        <f t="shared" si="7"/>
        <v>9812</v>
      </c>
      <c r="Z24" s="48">
        <f t="shared" si="7"/>
        <v>9812</v>
      </c>
      <c r="AA24" s="48">
        <f t="shared" si="8"/>
        <v>235488</v>
      </c>
      <c r="AB24" s="83">
        <f t="shared" si="3"/>
        <v>31</v>
      </c>
      <c r="AC24" s="48">
        <v>7300128</v>
      </c>
      <c r="AE24" s="47"/>
    </row>
    <row r="25" spans="1:31" ht="13" x14ac:dyDescent="0.25">
      <c r="A25" s="15">
        <f t="shared" si="0"/>
        <v>2030</v>
      </c>
      <c r="B25" s="18">
        <v>47696</v>
      </c>
      <c r="C25" s="48">
        <f t="shared" si="4"/>
        <v>9812</v>
      </c>
      <c r="D25" s="48">
        <f t="shared" si="4"/>
        <v>9812</v>
      </c>
      <c r="E25" s="48">
        <f t="shared" si="4"/>
        <v>9812</v>
      </c>
      <c r="F25" s="48">
        <f t="shared" si="4"/>
        <v>9812</v>
      </c>
      <c r="G25" s="48">
        <f t="shared" si="4"/>
        <v>9812</v>
      </c>
      <c r="H25" s="48">
        <f t="shared" si="4"/>
        <v>9812</v>
      </c>
      <c r="I25" s="48">
        <f t="shared" si="4"/>
        <v>9812</v>
      </c>
      <c r="J25" s="48">
        <f t="shared" si="4"/>
        <v>9812</v>
      </c>
      <c r="K25" s="48">
        <f t="shared" si="4"/>
        <v>9812</v>
      </c>
      <c r="L25" s="48">
        <f t="shared" si="4"/>
        <v>9812</v>
      </c>
      <c r="M25" s="48">
        <f t="shared" si="4"/>
        <v>9812</v>
      </c>
      <c r="N25" s="48">
        <f t="shared" si="4"/>
        <v>9812</v>
      </c>
      <c r="O25" s="48">
        <f t="shared" si="4"/>
        <v>9812</v>
      </c>
      <c r="P25" s="48">
        <f t="shared" si="4"/>
        <v>9812</v>
      </c>
      <c r="Q25" s="48">
        <f t="shared" si="4"/>
        <v>9812</v>
      </c>
      <c r="R25" s="48">
        <f t="shared" si="4"/>
        <v>9812</v>
      </c>
      <c r="S25" s="48">
        <f t="shared" si="6"/>
        <v>9812</v>
      </c>
      <c r="T25" s="48">
        <f t="shared" si="6"/>
        <v>9812</v>
      </c>
      <c r="U25" s="48">
        <f t="shared" si="6"/>
        <v>9812</v>
      </c>
      <c r="V25" s="48">
        <f t="shared" si="7"/>
        <v>9812</v>
      </c>
      <c r="W25" s="48">
        <f t="shared" si="7"/>
        <v>9812</v>
      </c>
      <c r="X25" s="48">
        <f t="shared" si="7"/>
        <v>9812</v>
      </c>
      <c r="Y25" s="48">
        <f t="shared" si="7"/>
        <v>9812</v>
      </c>
      <c r="Z25" s="48">
        <f t="shared" si="7"/>
        <v>9812</v>
      </c>
      <c r="AA25" s="48">
        <f t="shared" si="8"/>
        <v>235488</v>
      </c>
      <c r="AB25" s="83">
        <f t="shared" si="3"/>
        <v>31</v>
      </c>
      <c r="AC25" s="48">
        <v>7300128</v>
      </c>
      <c r="AE25" s="47"/>
    </row>
    <row r="26" spans="1:31" ht="13" x14ac:dyDescent="0.25">
      <c r="A26" s="15">
        <f t="shared" si="0"/>
        <v>2030</v>
      </c>
      <c r="B26" s="18">
        <v>47727</v>
      </c>
      <c r="C26" s="48">
        <f t="shared" si="4"/>
        <v>10972</v>
      </c>
      <c r="D26" s="48">
        <f t="shared" si="4"/>
        <v>10972</v>
      </c>
      <c r="E26" s="48">
        <f t="shared" si="4"/>
        <v>10972</v>
      </c>
      <c r="F26" s="48">
        <f t="shared" si="4"/>
        <v>10972</v>
      </c>
      <c r="G26" s="48">
        <f t="shared" si="4"/>
        <v>10972</v>
      </c>
      <c r="H26" s="48">
        <f t="shared" si="4"/>
        <v>10972</v>
      </c>
      <c r="I26" s="48">
        <f t="shared" si="4"/>
        <v>10972</v>
      </c>
      <c r="J26" s="48">
        <f t="shared" si="4"/>
        <v>10972</v>
      </c>
      <c r="K26" s="48">
        <f t="shared" si="4"/>
        <v>10972</v>
      </c>
      <c r="L26" s="48">
        <f t="shared" si="4"/>
        <v>10972</v>
      </c>
      <c r="M26" s="48">
        <f t="shared" si="4"/>
        <v>10972</v>
      </c>
      <c r="N26" s="48">
        <f t="shared" si="4"/>
        <v>10972</v>
      </c>
      <c r="O26" s="48">
        <f t="shared" si="4"/>
        <v>10972</v>
      </c>
      <c r="P26" s="48">
        <f t="shared" si="4"/>
        <v>10972</v>
      </c>
      <c r="Q26" s="48">
        <f t="shared" si="4"/>
        <v>10972</v>
      </c>
      <c r="R26" s="48">
        <f t="shared" si="4"/>
        <v>10972</v>
      </c>
      <c r="S26" s="48">
        <f t="shared" si="6"/>
        <v>10972</v>
      </c>
      <c r="T26" s="48">
        <f t="shared" si="6"/>
        <v>10972</v>
      </c>
      <c r="U26" s="48">
        <f t="shared" si="6"/>
        <v>10972</v>
      </c>
      <c r="V26" s="48">
        <f t="shared" si="7"/>
        <v>10972</v>
      </c>
      <c r="W26" s="48">
        <f t="shared" si="7"/>
        <v>10972</v>
      </c>
      <c r="X26" s="48">
        <f t="shared" si="7"/>
        <v>10972</v>
      </c>
      <c r="Y26" s="48">
        <f t="shared" si="7"/>
        <v>10972</v>
      </c>
      <c r="Z26" s="48">
        <f t="shared" si="7"/>
        <v>10972</v>
      </c>
      <c r="AA26" s="48">
        <f t="shared" si="8"/>
        <v>263328</v>
      </c>
      <c r="AB26" s="83">
        <f t="shared" si="3"/>
        <v>30</v>
      </c>
      <c r="AC26" s="48">
        <v>7899840</v>
      </c>
      <c r="AE26" s="47"/>
    </row>
    <row r="27" spans="1:31" ht="13" x14ac:dyDescent="0.25">
      <c r="A27" s="15">
        <f t="shared" si="0"/>
        <v>2030</v>
      </c>
      <c r="B27" s="18">
        <v>47757</v>
      </c>
      <c r="C27" s="48">
        <f t="shared" si="4"/>
        <v>9812</v>
      </c>
      <c r="D27" s="48">
        <f t="shared" si="4"/>
        <v>9812</v>
      </c>
      <c r="E27" s="48">
        <f t="shared" si="4"/>
        <v>9812</v>
      </c>
      <c r="F27" s="48">
        <f t="shared" si="4"/>
        <v>9812</v>
      </c>
      <c r="G27" s="48">
        <f t="shared" si="4"/>
        <v>9812</v>
      </c>
      <c r="H27" s="48">
        <f t="shared" si="4"/>
        <v>9812</v>
      </c>
      <c r="I27" s="48">
        <f t="shared" si="4"/>
        <v>9812</v>
      </c>
      <c r="J27" s="48">
        <f t="shared" si="4"/>
        <v>9812</v>
      </c>
      <c r="K27" s="48">
        <f t="shared" si="4"/>
        <v>9812</v>
      </c>
      <c r="L27" s="48">
        <f t="shared" si="4"/>
        <v>9812</v>
      </c>
      <c r="M27" s="48">
        <f t="shared" si="4"/>
        <v>9812</v>
      </c>
      <c r="N27" s="48">
        <f t="shared" si="4"/>
        <v>9812</v>
      </c>
      <c r="O27" s="48">
        <f t="shared" si="4"/>
        <v>9812</v>
      </c>
      <c r="P27" s="48">
        <f t="shared" si="4"/>
        <v>9812</v>
      </c>
      <c r="Q27" s="48">
        <f t="shared" si="4"/>
        <v>9812</v>
      </c>
      <c r="R27" s="48">
        <f t="shared" si="4"/>
        <v>9812</v>
      </c>
      <c r="S27" s="48">
        <f t="shared" si="6"/>
        <v>9812</v>
      </c>
      <c r="T27" s="48">
        <f t="shared" si="6"/>
        <v>9812</v>
      </c>
      <c r="U27" s="48">
        <f t="shared" si="6"/>
        <v>9812</v>
      </c>
      <c r="V27" s="48">
        <f t="shared" si="7"/>
        <v>9812</v>
      </c>
      <c r="W27" s="48">
        <f t="shared" si="7"/>
        <v>9812</v>
      </c>
      <c r="X27" s="48">
        <f t="shared" si="7"/>
        <v>9812</v>
      </c>
      <c r="Y27" s="48">
        <f t="shared" si="7"/>
        <v>9812</v>
      </c>
      <c r="Z27" s="48">
        <f t="shared" si="7"/>
        <v>9812</v>
      </c>
      <c r="AA27" s="48">
        <f t="shared" si="8"/>
        <v>235488</v>
      </c>
      <c r="AB27" s="83">
        <f t="shared" si="3"/>
        <v>31</v>
      </c>
      <c r="AC27" s="48">
        <v>7300128</v>
      </c>
      <c r="AE27" s="47"/>
    </row>
    <row r="28" spans="1:31" ht="13" x14ac:dyDescent="0.25">
      <c r="A28" s="15">
        <f t="shared" si="0"/>
        <v>2030</v>
      </c>
      <c r="B28" s="18">
        <v>47788</v>
      </c>
      <c r="C28" s="48">
        <f t="shared" si="4"/>
        <v>10972</v>
      </c>
      <c r="D28" s="48">
        <f t="shared" si="4"/>
        <v>10972</v>
      </c>
      <c r="E28" s="48">
        <f t="shared" si="4"/>
        <v>10972</v>
      </c>
      <c r="F28" s="48">
        <f t="shared" si="4"/>
        <v>10972</v>
      </c>
      <c r="G28" s="48">
        <f t="shared" si="4"/>
        <v>10972</v>
      </c>
      <c r="H28" s="48">
        <f t="shared" si="4"/>
        <v>10972</v>
      </c>
      <c r="I28" s="48">
        <f t="shared" si="4"/>
        <v>10972</v>
      </c>
      <c r="J28" s="48">
        <f t="shared" si="4"/>
        <v>10972</v>
      </c>
      <c r="K28" s="48">
        <f t="shared" si="4"/>
        <v>10972</v>
      </c>
      <c r="L28" s="48">
        <f t="shared" si="4"/>
        <v>10972</v>
      </c>
      <c r="M28" s="48">
        <f t="shared" si="4"/>
        <v>10972</v>
      </c>
      <c r="N28" s="48">
        <f t="shared" si="4"/>
        <v>10972</v>
      </c>
      <c r="O28" s="48">
        <f t="shared" si="4"/>
        <v>10972</v>
      </c>
      <c r="P28" s="48">
        <f t="shared" si="4"/>
        <v>10972</v>
      </c>
      <c r="Q28" s="48">
        <f t="shared" si="4"/>
        <v>10972</v>
      </c>
      <c r="R28" s="48">
        <f t="shared" si="4"/>
        <v>10972</v>
      </c>
      <c r="S28" s="48">
        <f t="shared" si="6"/>
        <v>10972</v>
      </c>
      <c r="T28" s="48">
        <f t="shared" si="6"/>
        <v>10972</v>
      </c>
      <c r="U28" s="48">
        <f t="shared" si="6"/>
        <v>10972</v>
      </c>
      <c r="V28" s="48">
        <f t="shared" si="7"/>
        <v>10972</v>
      </c>
      <c r="W28" s="48">
        <f t="shared" si="7"/>
        <v>10972</v>
      </c>
      <c r="X28" s="48">
        <f t="shared" si="7"/>
        <v>10972</v>
      </c>
      <c r="Y28" s="48">
        <f t="shared" si="7"/>
        <v>10972</v>
      </c>
      <c r="Z28" s="48">
        <f t="shared" si="7"/>
        <v>10972</v>
      </c>
      <c r="AA28" s="48">
        <f t="shared" si="8"/>
        <v>263328</v>
      </c>
      <c r="AB28" s="83">
        <f t="shared" si="3"/>
        <v>30</v>
      </c>
      <c r="AC28" s="48">
        <v>7899840</v>
      </c>
      <c r="AE28" s="47"/>
    </row>
    <row r="29" spans="1:31" ht="13" x14ac:dyDescent="0.25">
      <c r="A29" s="15">
        <f t="shared" si="0"/>
        <v>2030</v>
      </c>
      <c r="B29" s="18">
        <v>47818</v>
      </c>
      <c r="C29" s="48">
        <f t="shared" si="4"/>
        <v>9812</v>
      </c>
      <c r="D29" s="48">
        <f t="shared" si="4"/>
        <v>9812</v>
      </c>
      <c r="E29" s="48">
        <f t="shared" si="4"/>
        <v>9812</v>
      </c>
      <c r="F29" s="48">
        <f t="shared" si="4"/>
        <v>9812</v>
      </c>
      <c r="G29" s="48">
        <f t="shared" si="4"/>
        <v>9812</v>
      </c>
      <c r="H29" s="48">
        <f t="shared" si="4"/>
        <v>9812</v>
      </c>
      <c r="I29" s="48">
        <f t="shared" si="4"/>
        <v>9812</v>
      </c>
      <c r="J29" s="48">
        <f t="shared" si="4"/>
        <v>9812</v>
      </c>
      <c r="K29" s="48">
        <f t="shared" si="4"/>
        <v>9812</v>
      </c>
      <c r="L29" s="48">
        <f t="shared" si="4"/>
        <v>9812</v>
      </c>
      <c r="M29" s="48">
        <f t="shared" si="4"/>
        <v>9812</v>
      </c>
      <c r="N29" s="48">
        <f t="shared" si="4"/>
        <v>9812</v>
      </c>
      <c r="O29" s="48">
        <f t="shared" si="4"/>
        <v>9812</v>
      </c>
      <c r="P29" s="48">
        <f t="shared" si="4"/>
        <v>9812</v>
      </c>
      <c r="Q29" s="48">
        <f t="shared" si="4"/>
        <v>9812</v>
      </c>
      <c r="R29" s="48">
        <f t="shared" si="4"/>
        <v>9812</v>
      </c>
      <c r="S29" s="48">
        <f t="shared" si="6"/>
        <v>9812</v>
      </c>
      <c r="T29" s="48">
        <f t="shared" si="6"/>
        <v>9812</v>
      </c>
      <c r="U29" s="48">
        <f t="shared" si="6"/>
        <v>9812</v>
      </c>
      <c r="V29" s="48">
        <f t="shared" si="7"/>
        <v>9812</v>
      </c>
      <c r="W29" s="48">
        <f t="shared" si="7"/>
        <v>9812</v>
      </c>
      <c r="X29" s="48">
        <f t="shared" si="7"/>
        <v>9812</v>
      </c>
      <c r="Y29" s="48">
        <f t="shared" si="7"/>
        <v>9812</v>
      </c>
      <c r="Z29" s="48">
        <f t="shared" si="7"/>
        <v>9812</v>
      </c>
      <c r="AA29" s="48">
        <f t="shared" si="8"/>
        <v>235488</v>
      </c>
      <c r="AB29" s="83">
        <f t="shared" si="3"/>
        <v>31</v>
      </c>
      <c r="AC29" s="48">
        <v>7300128</v>
      </c>
      <c r="AE29" s="47"/>
    </row>
    <row r="30" spans="1:31" ht="13" x14ac:dyDescent="0.25">
      <c r="A30" s="15">
        <f t="shared" si="0"/>
        <v>2031</v>
      </c>
      <c r="B30" s="18">
        <v>47849</v>
      </c>
      <c r="C30" s="48">
        <f t="shared" si="4"/>
        <v>9812</v>
      </c>
      <c r="D30" s="48">
        <f t="shared" si="4"/>
        <v>9812</v>
      </c>
      <c r="E30" s="48">
        <f t="shared" si="4"/>
        <v>9812</v>
      </c>
      <c r="F30" s="48">
        <f t="shared" si="4"/>
        <v>9812</v>
      </c>
      <c r="G30" s="48">
        <f t="shared" si="4"/>
        <v>9812</v>
      </c>
      <c r="H30" s="48">
        <f t="shared" si="4"/>
        <v>9812</v>
      </c>
      <c r="I30" s="48">
        <f t="shared" si="4"/>
        <v>9812</v>
      </c>
      <c r="J30" s="48">
        <f t="shared" si="4"/>
        <v>9812</v>
      </c>
      <c r="K30" s="48">
        <f t="shared" si="4"/>
        <v>9812</v>
      </c>
      <c r="L30" s="48">
        <f t="shared" si="4"/>
        <v>9812</v>
      </c>
      <c r="M30" s="48">
        <f t="shared" si="4"/>
        <v>9812</v>
      </c>
      <c r="N30" s="48">
        <f t="shared" si="4"/>
        <v>9812</v>
      </c>
      <c r="O30" s="48">
        <f t="shared" si="4"/>
        <v>9812</v>
      </c>
      <c r="P30" s="48">
        <f t="shared" si="4"/>
        <v>9812</v>
      </c>
      <c r="Q30" s="48">
        <f t="shared" si="4"/>
        <v>9812</v>
      </c>
      <c r="R30" s="48">
        <f t="shared" si="4"/>
        <v>9812</v>
      </c>
      <c r="S30" s="48">
        <f t="shared" si="6"/>
        <v>9812</v>
      </c>
      <c r="T30" s="48">
        <f t="shared" si="6"/>
        <v>9812</v>
      </c>
      <c r="U30" s="48">
        <f t="shared" si="6"/>
        <v>9812</v>
      </c>
      <c r="V30" s="48">
        <f t="shared" si="7"/>
        <v>9812</v>
      </c>
      <c r="W30" s="48">
        <f t="shared" si="7"/>
        <v>9812</v>
      </c>
      <c r="X30" s="48">
        <f t="shared" si="7"/>
        <v>9812</v>
      </c>
      <c r="Y30" s="48">
        <f t="shared" si="7"/>
        <v>9812</v>
      </c>
      <c r="Z30" s="48">
        <f t="shared" si="7"/>
        <v>9812</v>
      </c>
      <c r="AA30" s="48">
        <f t="shared" si="8"/>
        <v>235488</v>
      </c>
      <c r="AB30" s="83">
        <f t="shared" si="3"/>
        <v>31</v>
      </c>
      <c r="AC30" s="48">
        <v>7300128</v>
      </c>
      <c r="AE30" s="47"/>
    </row>
    <row r="31" spans="1:31" ht="13" x14ac:dyDescent="0.25">
      <c r="A31" s="15">
        <f t="shared" si="0"/>
        <v>2031</v>
      </c>
      <c r="B31" s="18">
        <v>47880</v>
      </c>
      <c r="C31" s="48">
        <f t="shared" si="4"/>
        <v>13393</v>
      </c>
      <c r="D31" s="48">
        <f t="shared" si="4"/>
        <v>13393</v>
      </c>
      <c r="E31" s="48">
        <f t="shared" si="4"/>
        <v>13393</v>
      </c>
      <c r="F31" s="48">
        <f t="shared" si="4"/>
        <v>13393</v>
      </c>
      <c r="G31" s="48">
        <f t="shared" si="4"/>
        <v>13393</v>
      </c>
      <c r="H31" s="48">
        <f t="shared" si="4"/>
        <v>13393</v>
      </c>
      <c r="I31" s="48">
        <f t="shared" si="4"/>
        <v>13393</v>
      </c>
      <c r="J31" s="48">
        <f t="shared" si="4"/>
        <v>13393</v>
      </c>
      <c r="K31" s="48">
        <f t="shared" si="4"/>
        <v>13393</v>
      </c>
      <c r="L31" s="48">
        <f t="shared" si="4"/>
        <v>13393</v>
      </c>
      <c r="M31" s="48">
        <f t="shared" si="4"/>
        <v>13393</v>
      </c>
      <c r="N31" s="48">
        <f t="shared" si="4"/>
        <v>13393</v>
      </c>
      <c r="O31" s="48">
        <f t="shared" si="4"/>
        <v>13393</v>
      </c>
      <c r="P31" s="48">
        <f t="shared" si="4"/>
        <v>13393</v>
      </c>
      <c r="Q31" s="48">
        <f t="shared" si="4"/>
        <v>13393</v>
      </c>
      <c r="R31" s="48">
        <f t="shared" si="4"/>
        <v>13393</v>
      </c>
      <c r="S31" s="48">
        <f t="shared" si="6"/>
        <v>13393</v>
      </c>
      <c r="T31" s="48">
        <f t="shared" si="6"/>
        <v>13393</v>
      </c>
      <c r="U31" s="48">
        <f t="shared" si="6"/>
        <v>13393</v>
      </c>
      <c r="V31" s="48">
        <f t="shared" si="7"/>
        <v>13393</v>
      </c>
      <c r="W31" s="48">
        <f t="shared" si="7"/>
        <v>13393</v>
      </c>
      <c r="X31" s="48">
        <f t="shared" si="7"/>
        <v>13393</v>
      </c>
      <c r="Y31" s="48">
        <f t="shared" si="7"/>
        <v>13393</v>
      </c>
      <c r="Z31" s="48">
        <f t="shared" si="7"/>
        <v>13393</v>
      </c>
      <c r="AA31" s="48">
        <f t="shared" ref="AA31:AA41" si="9">SUM(C31:Z31)</f>
        <v>321432</v>
      </c>
      <c r="AB31" s="83">
        <f t="shared" si="3"/>
        <v>28</v>
      </c>
      <c r="AC31" s="48">
        <v>9000096</v>
      </c>
      <c r="AE31" s="47"/>
    </row>
    <row r="32" spans="1:31" ht="13" x14ac:dyDescent="0.25">
      <c r="A32" s="15">
        <f t="shared" si="0"/>
        <v>2031</v>
      </c>
      <c r="B32" s="18">
        <v>47908</v>
      </c>
      <c r="C32" s="48">
        <f t="shared" si="4"/>
        <v>9812</v>
      </c>
      <c r="D32" s="48">
        <f t="shared" si="4"/>
        <v>9812</v>
      </c>
      <c r="E32" s="48">
        <f t="shared" si="4"/>
        <v>9812</v>
      </c>
      <c r="F32" s="48">
        <f t="shared" si="4"/>
        <v>9812</v>
      </c>
      <c r="G32" s="48">
        <f t="shared" si="4"/>
        <v>9812</v>
      </c>
      <c r="H32" s="48">
        <f t="shared" si="4"/>
        <v>9812</v>
      </c>
      <c r="I32" s="48">
        <f t="shared" si="4"/>
        <v>9812</v>
      </c>
      <c r="J32" s="48">
        <f t="shared" si="4"/>
        <v>9812</v>
      </c>
      <c r="K32" s="48">
        <f t="shared" si="4"/>
        <v>9812</v>
      </c>
      <c r="L32" s="48">
        <f t="shared" si="4"/>
        <v>9812</v>
      </c>
      <c r="M32" s="48">
        <f t="shared" si="4"/>
        <v>9812</v>
      </c>
      <c r="N32" s="48">
        <f t="shared" si="4"/>
        <v>9812</v>
      </c>
      <c r="O32" s="48">
        <f t="shared" si="4"/>
        <v>9812</v>
      </c>
      <c r="P32" s="48">
        <f t="shared" si="4"/>
        <v>9812</v>
      </c>
      <c r="Q32" s="48">
        <f t="shared" si="4"/>
        <v>9812</v>
      </c>
      <c r="R32" s="48">
        <f t="shared" si="4"/>
        <v>9812</v>
      </c>
      <c r="S32" s="48">
        <f t="shared" si="6"/>
        <v>9812</v>
      </c>
      <c r="T32" s="48">
        <f t="shared" si="6"/>
        <v>9812</v>
      </c>
      <c r="U32" s="48">
        <f t="shared" si="6"/>
        <v>9812</v>
      </c>
      <c r="V32" s="48">
        <f t="shared" si="7"/>
        <v>9812</v>
      </c>
      <c r="W32" s="48">
        <f t="shared" si="7"/>
        <v>9812</v>
      </c>
      <c r="X32" s="48">
        <f t="shared" si="7"/>
        <v>9812</v>
      </c>
      <c r="Y32" s="48">
        <f t="shared" si="7"/>
        <v>9812</v>
      </c>
      <c r="Z32" s="48">
        <f t="shared" si="7"/>
        <v>9812</v>
      </c>
      <c r="AA32" s="48">
        <f t="shared" si="9"/>
        <v>235488</v>
      </c>
      <c r="AB32" s="83">
        <f t="shared" si="3"/>
        <v>31</v>
      </c>
      <c r="AC32" s="48">
        <v>7300128</v>
      </c>
      <c r="AE32" s="47"/>
    </row>
    <row r="33" spans="1:31" ht="13" x14ac:dyDescent="0.25">
      <c r="A33" s="15">
        <f t="shared" si="0"/>
        <v>2031</v>
      </c>
      <c r="B33" s="18">
        <v>47939</v>
      </c>
      <c r="C33" s="48">
        <f t="shared" si="4"/>
        <v>10972</v>
      </c>
      <c r="D33" s="48">
        <f t="shared" si="4"/>
        <v>10972</v>
      </c>
      <c r="E33" s="48">
        <f t="shared" si="4"/>
        <v>10972</v>
      </c>
      <c r="F33" s="48">
        <f t="shared" si="4"/>
        <v>10972</v>
      </c>
      <c r="G33" s="48">
        <f t="shared" ref="G33:V48" si="10">($AC33/$AB33)/24</f>
        <v>10972</v>
      </c>
      <c r="H33" s="48">
        <f t="shared" si="10"/>
        <v>10972</v>
      </c>
      <c r="I33" s="48">
        <f t="shared" si="10"/>
        <v>10972</v>
      </c>
      <c r="J33" s="48">
        <f t="shared" si="10"/>
        <v>10972</v>
      </c>
      <c r="K33" s="48">
        <f t="shared" si="10"/>
        <v>10972</v>
      </c>
      <c r="L33" s="48">
        <f t="shared" si="10"/>
        <v>10972</v>
      </c>
      <c r="M33" s="48">
        <f t="shared" si="10"/>
        <v>10972</v>
      </c>
      <c r="N33" s="48">
        <f t="shared" si="10"/>
        <v>10972</v>
      </c>
      <c r="O33" s="48">
        <f t="shared" si="10"/>
        <v>10972</v>
      </c>
      <c r="P33" s="48">
        <f t="shared" si="10"/>
        <v>10972</v>
      </c>
      <c r="Q33" s="48">
        <f t="shared" si="10"/>
        <v>10972</v>
      </c>
      <c r="R33" s="48">
        <f t="shared" si="10"/>
        <v>10972</v>
      </c>
      <c r="S33" s="48">
        <f t="shared" si="10"/>
        <v>10972</v>
      </c>
      <c r="T33" s="48">
        <f t="shared" si="10"/>
        <v>10972</v>
      </c>
      <c r="U33" s="48">
        <f t="shared" si="10"/>
        <v>10972</v>
      </c>
      <c r="V33" s="48">
        <f t="shared" si="10"/>
        <v>10972</v>
      </c>
      <c r="W33" s="48">
        <f t="shared" si="7"/>
        <v>10972</v>
      </c>
      <c r="X33" s="48">
        <f t="shared" si="7"/>
        <v>10972</v>
      </c>
      <c r="Y33" s="48">
        <f t="shared" si="7"/>
        <v>10972</v>
      </c>
      <c r="Z33" s="48">
        <f t="shared" si="7"/>
        <v>10972</v>
      </c>
      <c r="AA33" s="48">
        <f t="shared" si="9"/>
        <v>263328</v>
      </c>
      <c r="AB33" s="83">
        <f t="shared" si="3"/>
        <v>30</v>
      </c>
      <c r="AC33" s="48">
        <v>7899840</v>
      </c>
      <c r="AE33" s="47"/>
    </row>
    <row r="34" spans="1:31" ht="13" x14ac:dyDescent="0.25">
      <c r="A34" s="15">
        <f t="shared" si="0"/>
        <v>2031</v>
      </c>
      <c r="B34" s="18">
        <v>47969</v>
      </c>
      <c r="C34" s="48">
        <f t="shared" ref="C34:R49" si="11">($AC34/$AB34)/24</f>
        <v>9812</v>
      </c>
      <c r="D34" s="48">
        <f t="shared" si="11"/>
        <v>9812</v>
      </c>
      <c r="E34" s="48">
        <f t="shared" si="11"/>
        <v>9812</v>
      </c>
      <c r="F34" s="48">
        <f t="shared" si="11"/>
        <v>9812</v>
      </c>
      <c r="G34" s="48">
        <f t="shared" si="11"/>
        <v>9812</v>
      </c>
      <c r="H34" s="48">
        <f t="shared" si="11"/>
        <v>9812</v>
      </c>
      <c r="I34" s="48">
        <f t="shared" si="11"/>
        <v>9812</v>
      </c>
      <c r="J34" s="48">
        <f t="shared" si="11"/>
        <v>9812</v>
      </c>
      <c r="K34" s="48">
        <f t="shared" si="11"/>
        <v>9812</v>
      </c>
      <c r="L34" s="48">
        <f t="shared" si="11"/>
        <v>9812</v>
      </c>
      <c r="M34" s="48">
        <f t="shared" si="11"/>
        <v>9812</v>
      </c>
      <c r="N34" s="48">
        <f t="shared" si="11"/>
        <v>9812</v>
      </c>
      <c r="O34" s="48">
        <f t="shared" si="11"/>
        <v>9812</v>
      </c>
      <c r="P34" s="48">
        <f t="shared" si="11"/>
        <v>9812</v>
      </c>
      <c r="Q34" s="48">
        <f t="shared" si="11"/>
        <v>9812</v>
      </c>
      <c r="R34" s="48">
        <f t="shared" si="11"/>
        <v>9812</v>
      </c>
      <c r="S34" s="48">
        <f t="shared" si="10"/>
        <v>9812</v>
      </c>
      <c r="T34" s="48">
        <f t="shared" si="10"/>
        <v>9812</v>
      </c>
      <c r="U34" s="48">
        <f t="shared" si="10"/>
        <v>9812</v>
      </c>
      <c r="V34" s="48">
        <f t="shared" si="10"/>
        <v>9812</v>
      </c>
      <c r="W34" s="48">
        <f t="shared" si="7"/>
        <v>9812</v>
      </c>
      <c r="X34" s="48">
        <f t="shared" si="7"/>
        <v>9812</v>
      </c>
      <c r="Y34" s="48">
        <f t="shared" si="7"/>
        <v>9812</v>
      </c>
      <c r="Z34" s="48">
        <f t="shared" si="7"/>
        <v>9812</v>
      </c>
      <c r="AA34" s="48">
        <f t="shared" si="9"/>
        <v>235488</v>
      </c>
      <c r="AB34" s="83">
        <f t="shared" si="3"/>
        <v>31</v>
      </c>
      <c r="AC34" s="48">
        <v>7300128</v>
      </c>
      <c r="AE34" s="47"/>
    </row>
    <row r="35" spans="1:31" ht="13" x14ac:dyDescent="0.25">
      <c r="A35" s="15">
        <f t="shared" ref="A35:A82" si="12">YEAR(B35)</f>
        <v>2031</v>
      </c>
      <c r="B35" s="18">
        <v>48000</v>
      </c>
      <c r="C35" s="48">
        <f t="shared" si="11"/>
        <v>10972</v>
      </c>
      <c r="D35" s="48">
        <f t="shared" si="11"/>
        <v>10972</v>
      </c>
      <c r="E35" s="48">
        <f t="shared" si="11"/>
        <v>10972</v>
      </c>
      <c r="F35" s="48">
        <f t="shared" si="11"/>
        <v>10972</v>
      </c>
      <c r="G35" s="48">
        <f t="shared" si="11"/>
        <v>10972</v>
      </c>
      <c r="H35" s="48">
        <f t="shared" si="11"/>
        <v>10972</v>
      </c>
      <c r="I35" s="48">
        <f t="shared" si="11"/>
        <v>10972</v>
      </c>
      <c r="J35" s="48">
        <f t="shared" si="11"/>
        <v>10972</v>
      </c>
      <c r="K35" s="48">
        <f t="shared" si="11"/>
        <v>10972</v>
      </c>
      <c r="L35" s="48">
        <f t="shared" si="11"/>
        <v>10972</v>
      </c>
      <c r="M35" s="48">
        <f t="shared" si="11"/>
        <v>10972</v>
      </c>
      <c r="N35" s="48">
        <f t="shared" si="11"/>
        <v>10972</v>
      </c>
      <c r="O35" s="48">
        <f t="shared" si="11"/>
        <v>10972</v>
      </c>
      <c r="P35" s="48">
        <f t="shared" si="11"/>
        <v>10972</v>
      </c>
      <c r="Q35" s="48">
        <f t="shared" si="11"/>
        <v>10972</v>
      </c>
      <c r="R35" s="48">
        <f t="shared" si="11"/>
        <v>10972</v>
      </c>
      <c r="S35" s="48">
        <f t="shared" si="10"/>
        <v>10972</v>
      </c>
      <c r="T35" s="48">
        <f t="shared" si="10"/>
        <v>10972</v>
      </c>
      <c r="U35" s="48">
        <f t="shared" si="10"/>
        <v>10972</v>
      </c>
      <c r="V35" s="48">
        <f t="shared" si="10"/>
        <v>10972</v>
      </c>
      <c r="W35" s="48">
        <f t="shared" si="7"/>
        <v>10972</v>
      </c>
      <c r="X35" s="48">
        <f t="shared" si="7"/>
        <v>10972</v>
      </c>
      <c r="Y35" s="48">
        <f t="shared" si="7"/>
        <v>10972</v>
      </c>
      <c r="Z35" s="48">
        <f t="shared" si="7"/>
        <v>10972</v>
      </c>
      <c r="AA35" s="48">
        <f t="shared" si="9"/>
        <v>263328</v>
      </c>
      <c r="AB35" s="83">
        <f t="shared" ref="AB35:AB82" si="13">DAY(EOMONTH(B35,0))</f>
        <v>30</v>
      </c>
      <c r="AC35" s="48">
        <v>7899840</v>
      </c>
      <c r="AE35" s="47"/>
    </row>
    <row r="36" spans="1:31" ht="13" x14ac:dyDescent="0.25">
      <c r="A36" s="15">
        <f t="shared" si="12"/>
        <v>2031</v>
      </c>
      <c r="B36" s="18">
        <v>48030</v>
      </c>
      <c r="C36" s="48">
        <f t="shared" si="11"/>
        <v>9812</v>
      </c>
      <c r="D36" s="48">
        <f t="shared" si="11"/>
        <v>9812</v>
      </c>
      <c r="E36" s="48">
        <f t="shared" si="11"/>
        <v>9812</v>
      </c>
      <c r="F36" s="48">
        <f t="shared" si="11"/>
        <v>9812</v>
      </c>
      <c r="G36" s="48">
        <f t="shared" si="11"/>
        <v>9812</v>
      </c>
      <c r="H36" s="48">
        <f t="shared" si="11"/>
        <v>9812</v>
      </c>
      <c r="I36" s="48">
        <f t="shared" si="11"/>
        <v>9812</v>
      </c>
      <c r="J36" s="48">
        <f t="shared" si="11"/>
        <v>9812</v>
      </c>
      <c r="K36" s="48">
        <f t="shared" si="11"/>
        <v>9812</v>
      </c>
      <c r="L36" s="48">
        <f t="shared" si="11"/>
        <v>9812</v>
      </c>
      <c r="M36" s="48">
        <f t="shared" si="11"/>
        <v>9812</v>
      </c>
      <c r="N36" s="48">
        <f t="shared" si="11"/>
        <v>9812</v>
      </c>
      <c r="O36" s="48">
        <f t="shared" si="11"/>
        <v>9812</v>
      </c>
      <c r="P36" s="48">
        <f t="shared" si="11"/>
        <v>9812</v>
      </c>
      <c r="Q36" s="48">
        <f t="shared" si="11"/>
        <v>9812</v>
      </c>
      <c r="R36" s="48">
        <f t="shared" si="11"/>
        <v>9812</v>
      </c>
      <c r="S36" s="48">
        <f t="shared" si="10"/>
        <v>9812</v>
      </c>
      <c r="T36" s="48">
        <f t="shared" si="10"/>
        <v>9812</v>
      </c>
      <c r="U36" s="48">
        <f t="shared" si="10"/>
        <v>9812</v>
      </c>
      <c r="V36" s="48">
        <f t="shared" si="10"/>
        <v>9812</v>
      </c>
      <c r="W36" s="48">
        <f t="shared" si="7"/>
        <v>9812</v>
      </c>
      <c r="X36" s="48">
        <f t="shared" si="7"/>
        <v>9812</v>
      </c>
      <c r="Y36" s="48">
        <f t="shared" si="7"/>
        <v>9812</v>
      </c>
      <c r="Z36" s="48">
        <f t="shared" si="7"/>
        <v>9812</v>
      </c>
      <c r="AA36" s="48">
        <f t="shared" si="9"/>
        <v>235488</v>
      </c>
      <c r="AB36" s="83">
        <f t="shared" si="13"/>
        <v>31</v>
      </c>
      <c r="AC36" s="48">
        <v>7300128</v>
      </c>
      <c r="AE36" s="47"/>
    </row>
    <row r="37" spans="1:31" ht="13" x14ac:dyDescent="0.25">
      <c r="A37" s="15">
        <f t="shared" si="12"/>
        <v>2031</v>
      </c>
      <c r="B37" s="18">
        <v>48061</v>
      </c>
      <c r="C37" s="48">
        <f t="shared" si="11"/>
        <v>9812</v>
      </c>
      <c r="D37" s="48">
        <f t="shared" si="11"/>
        <v>9812</v>
      </c>
      <c r="E37" s="48">
        <f t="shared" si="11"/>
        <v>9812</v>
      </c>
      <c r="F37" s="48">
        <f t="shared" si="11"/>
        <v>9812</v>
      </c>
      <c r="G37" s="48">
        <f t="shared" si="11"/>
        <v>9812</v>
      </c>
      <c r="H37" s="48">
        <f t="shared" si="11"/>
        <v>9812</v>
      </c>
      <c r="I37" s="48">
        <f t="shared" si="11"/>
        <v>9812</v>
      </c>
      <c r="J37" s="48">
        <f t="shared" si="11"/>
        <v>9812</v>
      </c>
      <c r="K37" s="48">
        <f t="shared" si="11"/>
        <v>9812</v>
      </c>
      <c r="L37" s="48">
        <f t="shared" si="11"/>
        <v>9812</v>
      </c>
      <c r="M37" s="48">
        <f t="shared" si="11"/>
        <v>9812</v>
      </c>
      <c r="N37" s="48">
        <f t="shared" si="11"/>
        <v>9812</v>
      </c>
      <c r="O37" s="48">
        <f t="shared" si="11"/>
        <v>9812</v>
      </c>
      <c r="P37" s="48">
        <f t="shared" si="11"/>
        <v>9812</v>
      </c>
      <c r="Q37" s="48">
        <f t="shared" si="11"/>
        <v>9812</v>
      </c>
      <c r="R37" s="48">
        <f t="shared" si="11"/>
        <v>9812</v>
      </c>
      <c r="S37" s="48">
        <f t="shared" si="10"/>
        <v>9812</v>
      </c>
      <c r="T37" s="48">
        <f t="shared" si="10"/>
        <v>9812</v>
      </c>
      <c r="U37" s="48">
        <f t="shared" si="10"/>
        <v>9812</v>
      </c>
      <c r="V37" s="48">
        <f t="shared" si="10"/>
        <v>9812</v>
      </c>
      <c r="W37" s="48">
        <f t="shared" si="7"/>
        <v>9812</v>
      </c>
      <c r="X37" s="48">
        <f t="shared" si="7"/>
        <v>9812</v>
      </c>
      <c r="Y37" s="48">
        <f t="shared" si="7"/>
        <v>9812</v>
      </c>
      <c r="Z37" s="48">
        <f t="shared" si="7"/>
        <v>9812</v>
      </c>
      <c r="AA37" s="48">
        <f t="shared" si="9"/>
        <v>235488</v>
      </c>
      <c r="AB37" s="83">
        <f t="shared" si="13"/>
        <v>31</v>
      </c>
      <c r="AC37" s="48">
        <v>7300128</v>
      </c>
      <c r="AE37" s="47"/>
    </row>
    <row r="38" spans="1:31" ht="13" x14ac:dyDescent="0.25">
      <c r="A38" s="15">
        <f t="shared" si="12"/>
        <v>2031</v>
      </c>
      <c r="B38" s="18">
        <v>48092</v>
      </c>
      <c r="C38" s="48">
        <f t="shared" si="11"/>
        <v>10972</v>
      </c>
      <c r="D38" s="48">
        <f t="shared" si="11"/>
        <v>10972</v>
      </c>
      <c r="E38" s="48">
        <f t="shared" si="11"/>
        <v>10972</v>
      </c>
      <c r="F38" s="48">
        <f t="shared" si="11"/>
        <v>10972</v>
      </c>
      <c r="G38" s="48">
        <f t="shared" si="11"/>
        <v>10972</v>
      </c>
      <c r="H38" s="48">
        <f t="shared" si="11"/>
        <v>10972</v>
      </c>
      <c r="I38" s="48">
        <f t="shared" si="11"/>
        <v>10972</v>
      </c>
      <c r="J38" s="48">
        <f t="shared" si="11"/>
        <v>10972</v>
      </c>
      <c r="K38" s="48">
        <f t="shared" si="11"/>
        <v>10972</v>
      </c>
      <c r="L38" s="48">
        <f t="shared" si="11"/>
        <v>10972</v>
      </c>
      <c r="M38" s="48">
        <f t="shared" si="11"/>
        <v>10972</v>
      </c>
      <c r="N38" s="48">
        <f t="shared" si="11"/>
        <v>10972</v>
      </c>
      <c r="O38" s="48">
        <f t="shared" si="11"/>
        <v>10972</v>
      </c>
      <c r="P38" s="48">
        <f t="shared" si="11"/>
        <v>10972</v>
      </c>
      <c r="Q38" s="48">
        <f t="shared" si="11"/>
        <v>10972</v>
      </c>
      <c r="R38" s="48">
        <f t="shared" si="11"/>
        <v>10972</v>
      </c>
      <c r="S38" s="48">
        <f t="shared" si="10"/>
        <v>10972</v>
      </c>
      <c r="T38" s="48">
        <f t="shared" si="10"/>
        <v>10972</v>
      </c>
      <c r="U38" s="48">
        <f t="shared" si="10"/>
        <v>10972</v>
      </c>
      <c r="V38" s="48">
        <f t="shared" si="10"/>
        <v>10972</v>
      </c>
      <c r="W38" s="48">
        <f t="shared" si="7"/>
        <v>10972</v>
      </c>
      <c r="X38" s="48">
        <f t="shared" si="7"/>
        <v>10972</v>
      </c>
      <c r="Y38" s="48">
        <f t="shared" si="7"/>
        <v>10972</v>
      </c>
      <c r="Z38" s="48">
        <f t="shared" si="7"/>
        <v>10972</v>
      </c>
      <c r="AA38" s="48">
        <f t="shared" si="9"/>
        <v>263328</v>
      </c>
      <c r="AB38" s="83">
        <f t="shared" si="13"/>
        <v>30</v>
      </c>
      <c r="AC38" s="48">
        <v>7899840</v>
      </c>
      <c r="AE38" s="47"/>
    </row>
    <row r="39" spans="1:31" ht="13" x14ac:dyDescent="0.25">
      <c r="A39" s="15">
        <f t="shared" si="12"/>
        <v>2031</v>
      </c>
      <c r="B39" s="18">
        <v>48122</v>
      </c>
      <c r="C39" s="48">
        <f t="shared" si="11"/>
        <v>9812</v>
      </c>
      <c r="D39" s="48">
        <f t="shared" si="11"/>
        <v>9812</v>
      </c>
      <c r="E39" s="48">
        <f t="shared" si="11"/>
        <v>9812</v>
      </c>
      <c r="F39" s="48">
        <f t="shared" si="11"/>
        <v>9812</v>
      </c>
      <c r="G39" s="48">
        <f t="shared" si="11"/>
        <v>9812</v>
      </c>
      <c r="H39" s="48">
        <f t="shared" si="11"/>
        <v>9812</v>
      </c>
      <c r="I39" s="48">
        <f t="shared" si="11"/>
        <v>9812</v>
      </c>
      <c r="J39" s="48">
        <f t="shared" si="11"/>
        <v>9812</v>
      </c>
      <c r="K39" s="48">
        <f t="shared" si="11"/>
        <v>9812</v>
      </c>
      <c r="L39" s="48">
        <f t="shared" si="11"/>
        <v>9812</v>
      </c>
      <c r="M39" s="48">
        <f t="shared" si="11"/>
        <v>9812</v>
      </c>
      <c r="N39" s="48">
        <f t="shared" si="11"/>
        <v>9812</v>
      </c>
      <c r="O39" s="48">
        <f t="shared" si="11"/>
        <v>9812</v>
      </c>
      <c r="P39" s="48">
        <f t="shared" si="11"/>
        <v>9812</v>
      </c>
      <c r="Q39" s="48">
        <f t="shared" si="11"/>
        <v>9812</v>
      </c>
      <c r="R39" s="48">
        <f t="shared" si="11"/>
        <v>9812</v>
      </c>
      <c r="S39" s="48">
        <f t="shared" si="10"/>
        <v>9812</v>
      </c>
      <c r="T39" s="48">
        <f t="shared" si="10"/>
        <v>9812</v>
      </c>
      <c r="U39" s="48">
        <f t="shared" si="10"/>
        <v>9812</v>
      </c>
      <c r="V39" s="48">
        <f t="shared" si="10"/>
        <v>9812</v>
      </c>
      <c r="W39" s="48">
        <f t="shared" si="7"/>
        <v>9812</v>
      </c>
      <c r="X39" s="48">
        <f t="shared" si="7"/>
        <v>9812</v>
      </c>
      <c r="Y39" s="48">
        <f t="shared" si="7"/>
        <v>9812</v>
      </c>
      <c r="Z39" s="48">
        <f t="shared" si="7"/>
        <v>9812</v>
      </c>
      <c r="AA39" s="48">
        <f t="shared" si="9"/>
        <v>235488</v>
      </c>
      <c r="AB39" s="83">
        <f t="shared" si="13"/>
        <v>31</v>
      </c>
      <c r="AC39" s="48">
        <v>7300128</v>
      </c>
      <c r="AE39" s="47"/>
    </row>
    <row r="40" spans="1:31" ht="13" x14ac:dyDescent="0.25">
      <c r="A40" s="15">
        <f t="shared" si="12"/>
        <v>2031</v>
      </c>
      <c r="B40" s="18">
        <v>48153</v>
      </c>
      <c r="C40" s="48">
        <f t="shared" si="11"/>
        <v>10972</v>
      </c>
      <c r="D40" s="48">
        <f t="shared" si="11"/>
        <v>10972</v>
      </c>
      <c r="E40" s="48">
        <f t="shared" si="11"/>
        <v>10972</v>
      </c>
      <c r="F40" s="48">
        <f t="shared" si="11"/>
        <v>10972</v>
      </c>
      <c r="G40" s="48">
        <f t="shared" si="11"/>
        <v>10972</v>
      </c>
      <c r="H40" s="48">
        <f t="shared" si="11"/>
        <v>10972</v>
      </c>
      <c r="I40" s="48">
        <f t="shared" si="11"/>
        <v>10972</v>
      </c>
      <c r="J40" s="48">
        <f t="shared" si="11"/>
        <v>10972</v>
      </c>
      <c r="K40" s="48">
        <f t="shared" si="11"/>
        <v>10972</v>
      </c>
      <c r="L40" s="48">
        <f t="shared" si="11"/>
        <v>10972</v>
      </c>
      <c r="M40" s="48">
        <f t="shared" si="11"/>
        <v>10972</v>
      </c>
      <c r="N40" s="48">
        <f t="shared" si="11"/>
        <v>10972</v>
      </c>
      <c r="O40" s="48">
        <f t="shared" si="11"/>
        <v>10972</v>
      </c>
      <c r="P40" s="48">
        <f t="shared" si="11"/>
        <v>10972</v>
      </c>
      <c r="Q40" s="48">
        <f t="shared" si="11"/>
        <v>10972</v>
      </c>
      <c r="R40" s="48">
        <f t="shared" si="11"/>
        <v>10972</v>
      </c>
      <c r="S40" s="48">
        <f t="shared" si="10"/>
        <v>10972</v>
      </c>
      <c r="T40" s="48">
        <f t="shared" si="10"/>
        <v>10972</v>
      </c>
      <c r="U40" s="48">
        <f t="shared" si="10"/>
        <v>10972</v>
      </c>
      <c r="V40" s="48">
        <f t="shared" si="10"/>
        <v>10972</v>
      </c>
      <c r="W40" s="48">
        <f t="shared" si="7"/>
        <v>10972</v>
      </c>
      <c r="X40" s="48">
        <f t="shared" si="7"/>
        <v>10972</v>
      </c>
      <c r="Y40" s="48">
        <f t="shared" si="7"/>
        <v>10972</v>
      </c>
      <c r="Z40" s="48">
        <f t="shared" si="7"/>
        <v>10972</v>
      </c>
      <c r="AA40" s="48">
        <f t="shared" si="9"/>
        <v>263328</v>
      </c>
      <c r="AB40" s="83">
        <f t="shared" si="13"/>
        <v>30</v>
      </c>
      <c r="AC40" s="48">
        <v>7899840</v>
      </c>
      <c r="AE40" s="47"/>
    </row>
    <row r="41" spans="1:31" ht="13" x14ac:dyDescent="0.25">
      <c r="A41" s="15">
        <f t="shared" si="12"/>
        <v>2031</v>
      </c>
      <c r="B41" s="18">
        <v>48183</v>
      </c>
      <c r="C41" s="48">
        <f t="shared" si="11"/>
        <v>9812</v>
      </c>
      <c r="D41" s="48">
        <f t="shared" si="11"/>
        <v>9812</v>
      </c>
      <c r="E41" s="48">
        <f t="shared" si="11"/>
        <v>9812</v>
      </c>
      <c r="F41" s="48">
        <f t="shared" si="11"/>
        <v>9812</v>
      </c>
      <c r="G41" s="48">
        <f t="shared" si="11"/>
        <v>9812</v>
      </c>
      <c r="H41" s="48">
        <f t="shared" si="11"/>
        <v>9812</v>
      </c>
      <c r="I41" s="48">
        <f t="shared" si="11"/>
        <v>9812</v>
      </c>
      <c r="J41" s="48">
        <f t="shared" si="11"/>
        <v>9812</v>
      </c>
      <c r="K41" s="48">
        <f t="shared" si="11"/>
        <v>9812</v>
      </c>
      <c r="L41" s="48">
        <f t="shared" si="11"/>
        <v>9812</v>
      </c>
      <c r="M41" s="48">
        <f t="shared" si="11"/>
        <v>9812</v>
      </c>
      <c r="N41" s="48">
        <f t="shared" si="11"/>
        <v>9812</v>
      </c>
      <c r="O41" s="48">
        <f t="shared" si="11"/>
        <v>9812</v>
      </c>
      <c r="P41" s="48">
        <f t="shared" si="11"/>
        <v>9812</v>
      </c>
      <c r="Q41" s="48">
        <f t="shared" si="11"/>
        <v>9812</v>
      </c>
      <c r="R41" s="48">
        <f t="shared" si="11"/>
        <v>9812</v>
      </c>
      <c r="S41" s="48">
        <f t="shared" si="10"/>
        <v>9812</v>
      </c>
      <c r="T41" s="48">
        <f t="shared" si="10"/>
        <v>9812</v>
      </c>
      <c r="U41" s="48">
        <f t="shared" si="10"/>
        <v>9812</v>
      </c>
      <c r="V41" s="48">
        <f t="shared" si="10"/>
        <v>9812</v>
      </c>
      <c r="W41" s="48">
        <f t="shared" si="7"/>
        <v>9812</v>
      </c>
      <c r="X41" s="48">
        <f t="shared" si="7"/>
        <v>9812</v>
      </c>
      <c r="Y41" s="48">
        <f t="shared" si="7"/>
        <v>9812</v>
      </c>
      <c r="Z41" s="48">
        <f t="shared" si="7"/>
        <v>9812</v>
      </c>
      <c r="AA41" s="48">
        <f t="shared" si="9"/>
        <v>235488</v>
      </c>
      <c r="AB41" s="83">
        <f t="shared" si="13"/>
        <v>31</v>
      </c>
      <c r="AC41" s="48">
        <v>7300128</v>
      </c>
      <c r="AE41" s="47"/>
    </row>
    <row r="42" spans="1:31" ht="13" x14ac:dyDescent="0.25">
      <c r="A42" s="15">
        <f t="shared" si="12"/>
        <v>2032</v>
      </c>
      <c r="B42" s="18">
        <v>48214</v>
      </c>
      <c r="C42" s="48">
        <f t="shared" si="11"/>
        <v>9812</v>
      </c>
      <c r="D42" s="48">
        <f t="shared" si="11"/>
        <v>9812</v>
      </c>
      <c r="E42" s="48">
        <f t="shared" si="11"/>
        <v>9812</v>
      </c>
      <c r="F42" s="48">
        <f t="shared" si="11"/>
        <v>9812</v>
      </c>
      <c r="G42" s="48">
        <f t="shared" si="11"/>
        <v>9812</v>
      </c>
      <c r="H42" s="48">
        <f t="shared" si="11"/>
        <v>9812</v>
      </c>
      <c r="I42" s="48">
        <f t="shared" si="11"/>
        <v>9812</v>
      </c>
      <c r="J42" s="48">
        <f t="shared" si="11"/>
        <v>9812</v>
      </c>
      <c r="K42" s="48">
        <f t="shared" si="11"/>
        <v>9812</v>
      </c>
      <c r="L42" s="48">
        <f t="shared" si="11"/>
        <v>9812</v>
      </c>
      <c r="M42" s="48">
        <f t="shared" si="11"/>
        <v>9812</v>
      </c>
      <c r="N42" s="48">
        <f t="shared" si="11"/>
        <v>9812</v>
      </c>
      <c r="O42" s="48">
        <f t="shared" si="11"/>
        <v>9812</v>
      </c>
      <c r="P42" s="48">
        <f t="shared" si="11"/>
        <v>9812</v>
      </c>
      <c r="Q42" s="48">
        <f t="shared" si="11"/>
        <v>9812</v>
      </c>
      <c r="R42" s="48">
        <f t="shared" si="11"/>
        <v>9812</v>
      </c>
      <c r="S42" s="48">
        <f t="shared" si="10"/>
        <v>9812</v>
      </c>
      <c r="T42" s="48">
        <f t="shared" si="10"/>
        <v>9812</v>
      </c>
      <c r="U42" s="48">
        <f t="shared" si="10"/>
        <v>9812</v>
      </c>
      <c r="V42" s="48">
        <f t="shared" si="10"/>
        <v>9812</v>
      </c>
      <c r="W42" s="48">
        <f t="shared" si="7"/>
        <v>9812</v>
      </c>
      <c r="X42" s="48">
        <f t="shared" si="7"/>
        <v>9812</v>
      </c>
      <c r="Y42" s="48">
        <f t="shared" si="7"/>
        <v>9812</v>
      </c>
      <c r="Z42" s="48">
        <f t="shared" si="7"/>
        <v>9812</v>
      </c>
      <c r="AA42" s="48">
        <f t="shared" ref="AA42" si="14">SUM(C42:Z42)</f>
        <v>235488</v>
      </c>
      <c r="AB42" s="83">
        <f t="shared" si="13"/>
        <v>31</v>
      </c>
      <c r="AC42" s="48">
        <v>7300128</v>
      </c>
      <c r="AE42" s="47"/>
    </row>
    <row r="43" spans="1:31" ht="13" x14ac:dyDescent="0.25">
      <c r="A43" s="15">
        <f t="shared" si="12"/>
        <v>2032</v>
      </c>
      <c r="B43" s="18">
        <v>48245</v>
      </c>
      <c r="C43" s="48">
        <f t="shared" si="11"/>
        <v>12213</v>
      </c>
      <c r="D43" s="48">
        <f t="shared" si="11"/>
        <v>12213</v>
      </c>
      <c r="E43" s="48">
        <f t="shared" si="11"/>
        <v>12213</v>
      </c>
      <c r="F43" s="48">
        <f t="shared" si="11"/>
        <v>12213</v>
      </c>
      <c r="G43" s="48">
        <f t="shared" si="11"/>
        <v>12213</v>
      </c>
      <c r="H43" s="48">
        <f t="shared" si="11"/>
        <v>12213</v>
      </c>
      <c r="I43" s="48">
        <f t="shared" si="11"/>
        <v>12213</v>
      </c>
      <c r="J43" s="48">
        <f t="shared" si="11"/>
        <v>12213</v>
      </c>
      <c r="K43" s="48">
        <f t="shared" si="11"/>
        <v>12213</v>
      </c>
      <c r="L43" s="48">
        <f t="shared" si="11"/>
        <v>12213</v>
      </c>
      <c r="M43" s="48">
        <f t="shared" si="11"/>
        <v>12213</v>
      </c>
      <c r="N43" s="48">
        <f t="shared" si="11"/>
        <v>12213</v>
      </c>
      <c r="O43" s="48">
        <f t="shared" si="11"/>
        <v>12213</v>
      </c>
      <c r="P43" s="48">
        <f t="shared" si="11"/>
        <v>12213</v>
      </c>
      <c r="Q43" s="48">
        <f t="shared" si="11"/>
        <v>12213</v>
      </c>
      <c r="R43" s="48">
        <f t="shared" si="11"/>
        <v>12213</v>
      </c>
      <c r="S43" s="48">
        <f t="shared" si="10"/>
        <v>12213</v>
      </c>
      <c r="T43" s="48">
        <f t="shared" si="10"/>
        <v>12213</v>
      </c>
      <c r="U43" s="48">
        <f t="shared" si="10"/>
        <v>12213</v>
      </c>
      <c r="V43" s="48">
        <f t="shared" si="10"/>
        <v>12213</v>
      </c>
      <c r="W43" s="48">
        <f t="shared" si="7"/>
        <v>12213</v>
      </c>
      <c r="X43" s="48">
        <f t="shared" si="7"/>
        <v>12213</v>
      </c>
      <c r="Y43" s="48">
        <f t="shared" si="7"/>
        <v>12213</v>
      </c>
      <c r="Z43" s="48">
        <f t="shared" si="7"/>
        <v>12213</v>
      </c>
      <c r="AA43" s="48">
        <f t="shared" ref="AA43:AA90" si="15">SUM(C43:Z43)</f>
        <v>293112</v>
      </c>
      <c r="AB43" s="83">
        <f t="shared" si="13"/>
        <v>29</v>
      </c>
      <c r="AC43" s="48">
        <v>8500248</v>
      </c>
      <c r="AE43" s="47"/>
    </row>
    <row r="44" spans="1:31" ht="13" x14ac:dyDescent="0.25">
      <c r="A44" s="15">
        <f t="shared" si="12"/>
        <v>2032</v>
      </c>
      <c r="B44" s="18">
        <v>48274</v>
      </c>
      <c r="C44" s="48">
        <f t="shared" si="11"/>
        <v>9812</v>
      </c>
      <c r="D44" s="48">
        <f t="shared" si="11"/>
        <v>9812</v>
      </c>
      <c r="E44" s="48">
        <f t="shared" si="11"/>
        <v>9812</v>
      </c>
      <c r="F44" s="48">
        <f t="shared" si="11"/>
        <v>9812</v>
      </c>
      <c r="G44" s="48">
        <f t="shared" si="11"/>
        <v>9812</v>
      </c>
      <c r="H44" s="48">
        <f t="shared" si="11"/>
        <v>9812</v>
      </c>
      <c r="I44" s="48">
        <f t="shared" si="11"/>
        <v>9812</v>
      </c>
      <c r="J44" s="48">
        <f t="shared" si="11"/>
        <v>9812</v>
      </c>
      <c r="K44" s="48">
        <f t="shared" si="11"/>
        <v>9812</v>
      </c>
      <c r="L44" s="48">
        <f t="shared" si="11"/>
        <v>9812</v>
      </c>
      <c r="M44" s="48">
        <f t="shared" si="11"/>
        <v>9812</v>
      </c>
      <c r="N44" s="48">
        <f t="shared" si="11"/>
        <v>9812</v>
      </c>
      <c r="O44" s="48">
        <f t="shared" si="11"/>
        <v>9812</v>
      </c>
      <c r="P44" s="48">
        <f t="shared" si="11"/>
        <v>9812</v>
      </c>
      <c r="Q44" s="48">
        <f t="shared" si="11"/>
        <v>9812</v>
      </c>
      <c r="R44" s="48">
        <f t="shared" si="11"/>
        <v>9812</v>
      </c>
      <c r="S44" s="48">
        <f t="shared" si="10"/>
        <v>9812</v>
      </c>
      <c r="T44" s="48">
        <f t="shared" si="10"/>
        <v>9812</v>
      </c>
      <c r="U44" s="48">
        <f t="shared" si="10"/>
        <v>9812</v>
      </c>
      <c r="V44" s="48">
        <f t="shared" si="10"/>
        <v>9812</v>
      </c>
      <c r="W44" s="48">
        <f t="shared" si="7"/>
        <v>9812</v>
      </c>
      <c r="X44" s="48">
        <f t="shared" si="7"/>
        <v>9812</v>
      </c>
      <c r="Y44" s="48">
        <f t="shared" si="7"/>
        <v>9812</v>
      </c>
      <c r="Z44" s="48">
        <f t="shared" si="7"/>
        <v>9812</v>
      </c>
      <c r="AA44" s="48">
        <f t="shared" si="15"/>
        <v>235488</v>
      </c>
      <c r="AB44" s="83">
        <f t="shared" si="13"/>
        <v>31</v>
      </c>
      <c r="AC44" s="48">
        <v>7300128</v>
      </c>
      <c r="AE44" s="47"/>
    </row>
    <row r="45" spans="1:31" ht="13" x14ac:dyDescent="0.25">
      <c r="A45" s="15">
        <f t="shared" si="12"/>
        <v>2032</v>
      </c>
      <c r="B45" s="18">
        <v>48305</v>
      </c>
      <c r="C45" s="48">
        <f t="shared" si="11"/>
        <v>10972</v>
      </c>
      <c r="D45" s="48">
        <f t="shared" si="11"/>
        <v>10972</v>
      </c>
      <c r="E45" s="48">
        <f t="shared" si="11"/>
        <v>10972</v>
      </c>
      <c r="F45" s="48">
        <f t="shared" si="11"/>
        <v>10972</v>
      </c>
      <c r="G45" s="48">
        <f t="shared" si="11"/>
        <v>10972</v>
      </c>
      <c r="H45" s="48">
        <f t="shared" si="11"/>
        <v>10972</v>
      </c>
      <c r="I45" s="48">
        <f t="shared" si="11"/>
        <v>10972</v>
      </c>
      <c r="J45" s="48">
        <f t="shared" si="11"/>
        <v>10972</v>
      </c>
      <c r="K45" s="48">
        <f t="shared" si="11"/>
        <v>10972</v>
      </c>
      <c r="L45" s="48">
        <f t="shared" si="11"/>
        <v>10972</v>
      </c>
      <c r="M45" s="48">
        <f t="shared" si="11"/>
        <v>10972</v>
      </c>
      <c r="N45" s="48">
        <f t="shared" si="11"/>
        <v>10972</v>
      </c>
      <c r="O45" s="48">
        <f t="shared" si="11"/>
        <v>10972</v>
      </c>
      <c r="P45" s="48">
        <f t="shared" si="11"/>
        <v>10972</v>
      </c>
      <c r="Q45" s="48">
        <f t="shared" si="11"/>
        <v>10972</v>
      </c>
      <c r="R45" s="48">
        <f t="shared" si="11"/>
        <v>10972</v>
      </c>
      <c r="S45" s="48">
        <f t="shared" si="10"/>
        <v>10972</v>
      </c>
      <c r="T45" s="48">
        <f t="shared" si="10"/>
        <v>10972</v>
      </c>
      <c r="U45" s="48">
        <f t="shared" si="10"/>
        <v>10972</v>
      </c>
      <c r="V45" s="48">
        <f t="shared" si="10"/>
        <v>10972</v>
      </c>
      <c r="W45" s="48">
        <f t="shared" si="7"/>
        <v>10972</v>
      </c>
      <c r="X45" s="48">
        <f t="shared" si="7"/>
        <v>10972</v>
      </c>
      <c r="Y45" s="48">
        <f t="shared" si="7"/>
        <v>10972</v>
      </c>
      <c r="Z45" s="48">
        <f t="shared" si="7"/>
        <v>10972</v>
      </c>
      <c r="AA45" s="48">
        <f t="shared" si="15"/>
        <v>263328</v>
      </c>
      <c r="AB45" s="83">
        <f t="shared" si="13"/>
        <v>30</v>
      </c>
      <c r="AC45" s="48">
        <v>7899840</v>
      </c>
      <c r="AE45" s="47"/>
    </row>
    <row r="46" spans="1:31" ht="13" x14ac:dyDescent="0.25">
      <c r="A46" s="15">
        <f t="shared" si="12"/>
        <v>2032</v>
      </c>
      <c r="B46" s="18">
        <v>48335</v>
      </c>
      <c r="C46" s="48">
        <f t="shared" si="11"/>
        <v>9812</v>
      </c>
      <c r="D46" s="48">
        <f t="shared" si="11"/>
        <v>9812</v>
      </c>
      <c r="E46" s="48">
        <f t="shared" si="11"/>
        <v>9812</v>
      </c>
      <c r="F46" s="48">
        <f t="shared" si="11"/>
        <v>9812</v>
      </c>
      <c r="G46" s="48">
        <f t="shared" si="11"/>
        <v>9812</v>
      </c>
      <c r="H46" s="48">
        <f t="shared" si="11"/>
        <v>9812</v>
      </c>
      <c r="I46" s="48">
        <f t="shared" si="11"/>
        <v>9812</v>
      </c>
      <c r="J46" s="48">
        <f t="shared" si="11"/>
        <v>9812</v>
      </c>
      <c r="K46" s="48">
        <f t="shared" si="11"/>
        <v>9812</v>
      </c>
      <c r="L46" s="48">
        <f t="shared" si="11"/>
        <v>9812</v>
      </c>
      <c r="M46" s="48">
        <f t="shared" si="11"/>
        <v>9812</v>
      </c>
      <c r="N46" s="48">
        <f t="shared" si="11"/>
        <v>9812</v>
      </c>
      <c r="O46" s="48">
        <f t="shared" si="11"/>
        <v>9812</v>
      </c>
      <c r="P46" s="48">
        <f t="shared" si="11"/>
        <v>9812</v>
      </c>
      <c r="Q46" s="48">
        <f t="shared" si="11"/>
        <v>9812</v>
      </c>
      <c r="R46" s="48">
        <f t="shared" si="11"/>
        <v>9812</v>
      </c>
      <c r="S46" s="48">
        <f t="shared" si="10"/>
        <v>9812</v>
      </c>
      <c r="T46" s="48">
        <f t="shared" si="10"/>
        <v>9812</v>
      </c>
      <c r="U46" s="48">
        <f t="shared" si="10"/>
        <v>9812</v>
      </c>
      <c r="V46" s="48">
        <f t="shared" si="10"/>
        <v>9812</v>
      </c>
      <c r="W46" s="48">
        <f t="shared" si="7"/>
        <v>9812</v>
      </c>
      <c r="X46" s="48">
        <f t="shared" si="7"/>
        <v>9812</v>
      </c>
      <c r="Y46" s="48">
        <f t="shared" si="7"/>
        <v>9812</v>
      </c>
      <c r="Z46" s="48">
        <f t="shared" si="7"/>
        <v>9812</v>
      </c>
      <c r="AA46" s="48">
        <f t="shared" si="15"/>
        <v>235488</v>
      </c>
      <c r="AB46" s="83">
        <f t="shared" si="13"/>
        <v>31</v>
      </c>
      <c r="AC46" s="48">
        <v>7300128</v>
      </c>
      <c r="AE46" s="47"/>
    </row>
    <row r="47" spans="1:31" ht="13" x14ac:dyDescent="0.25">
      <c r="A47" s="15">
        <f t="shared" si="12"/>
        <v>2032</v>
      </c>
      <c r="B47" s="18">
        <v>48366</v>
      </c>
      <c r="C47" s="48">
        <f t="shared" si="11"/>
        <v>10972</v>
      </c>
      <c r="D47" s="48">
        <f t="shared" si="11"/>
        <v>10972</v>
      </c>
      <c r="E47" s="48">
        <f t="shared" si="11"/>
        <v>10972</v>
      </c>
      <c r="F47" s="48">
        <f t="shared" si="11"/>
        <v>10972</v>
      </c>
      <c r="G47" s="48">
        <f t="shared" si="11"/>
        <v>10972</v>
      </c>
      <c r="H47" s="48">
        <f t="shared" si="11"/>
        <v>10972</v>
      </c>
      <c r="I47" s="48">
        <f t="shared" si="11"/>
        <v>10972</v>
      </c>
      <c r="J47" s="48">
        <f t="shared" si="11"/>
        <v>10972</v>
      </c>
      <c r="K47" s="48">
        <f t="shared" si="11"/>
        <v>10972</v>
      </c>
      <c r="L47" s="48">
        <f t="shared" si="11"/>
        <v>10972</v>
      </c>
      <c r="M47" s="48">
        <f t="shared" si="11"/>
        <v>10972</v>
      </c>
      <c r="N47" s="48">
        <f t="shared" si="11"/>
        <v>10972</v>
      </c>
      <c r="O47" s="48">
        <f t="shared" si="11"/>
        <v>10972</v>
      </c>
      <c r="P47" s="48">
        <f t="shared" si="11"/>
        <v>10972</v>
      </c>
      <c r="Q47" s="48">
        <f t="shared" si="11"/>
        <v>10972</v>
      </c>
      <c r="R47" s="48">
        <f t="shared" si="11"/>
        <v>10972</v>
      </c>
      <c r="S47" s="48">
        <f t="shared" si="10"/>
        <v>10972</v>
      </c>
      <c r="T47" s="48">
        <f t="shared" si="10"/>
        <v>10972</v>
      </c>
      <c r="U47" s="48">
        <f t="shared" si="10"/>
        <v>10972</v>
      </c>
      <c r="V47" s="48">
        <f t="shared" si="10"/>
        <v>10972</v>
      </c>
      <c r="W47" s="48">
        <f t="shared" si="7"/>
        <v>10972</v>
      </c>
      <c r="X47" s="48">
        <f t="shared" si="7"/>
        <v>10972</v>
      </c>
      <c r="Y47" s="48">
        <f t="shared" si="7"/>
        <v>10972</v>
      </c>
      <c r="Z47" s="48">
        <f t="shared" si="7"/>
        <v>10972</v>
      </c>
      <c r="AA47" s="48">
        <f t="shared" si="15"/>
        <v>263328</v>
      </c>
      <c r="AB47" s="83">
        <f t="shared" si="13"/>
        <v>30</v>
      </c>
      <c r="AC47" s="48">
        <v>7899840</v>
      </c>
      <c r="AE47" s="47"/>
    </row>
    <row r="48" spans="1:31" ht="13" x14ac:dyDescent="0.25">
      <c r="A48" s="15">
        <f t="shared" si="12"/>
        <v>2032</v>
      </c>
      <c r="B48" s="18">
        <v>48396</v>
      </c>
      <c r="C48" s="48">
        <f t="shared" si="11"/>
        <v>9812</v>
      </c>
      <c r="D48" s="48">
        <f t="shared" si="11"/>
        <v>9812</v>
      </c>
      <c r="E48" s="48">
        <f t="shared" si="11"/>
        <v>9812</v>
      </c>
      <c r="F48" s="48">
        <f t="shared" si="11"/>
        <v>9812</v>
      </c>
      <c r="G48" s="48">
        <f t="shared" si="11"/>
        <v>9812</v>
      </c>
      <c r="H48" s="48">
        <f t="shared" si="11"/>
        <v>9812</v>
      </c>
      <c r="I48" s="48">
        <f t="shared" si="11"/>
        <v>9812</v>
      </c>
      <c r="J48" s="48">
        <f t="shared" si="11"/>
        <v>9812</v>
      </c>
      <c r="K48" s="48">
        <f t="shared" si="11"/>
        <v>9812</v>
      </c>
      <c r="L48" s="48">
        <f t="shared" si="11"/>
        <v>9812</v>
      </c>
      <c r="M48" s="48">
        <f t="shared" si="11"/>
        <v>9812</v>
      </c>
      <c r="N48" s="48">
        <f t="shared" si="11"/>
        <v>9812</v>
      </c>
      <c r="O48" s="48">
        <f t="shared" si="11"/>
        <v>9812</v>
      </c>
      <c r="P48" s="48">
        <f t="shared" si="11"/>
        <v>9812</v>
      </c>
      <c r="Q48" s="48">
        <f t="shared" si="11"/>
        <v>9812</v>
      </c>
      <c r="R48" s="48">
        <f t="shared" si="11"/>
        <v>9812</v>
      </c>
      <c r="S48" s="48">
        <f t="shared" si="10"/>
        <v>9812</v>
      </c>
      <c r="T48" s="48">
        <f t="shared" si="10"/>
        <v>9812</v>
      </c>
      <c r="U48" s="48">
        <f t="shared" si="10"/>
        <v>9812</v>
      </c>
      <c r="V48" s="48">
        <f t="shared" si="10"/>
        <v>9812</v>
      </c>
      <c r="W48" s="48">
        <f t="shared" si="7"/>
        <v>9812</v>
      </c>
      <c r="X48" s="48">
        <f t="shared" si="7"/>
        <v>9812</v>
      </c>
      <c r="Y48" s="48">
        <f t="shared" si="7"/>
        <v>9812</v>
      </c>
      <c r="Z48" s="48">
        <f t="shared" si="7"/>
        <v>9812</v>
      </c>
      <c r="AA48" s="48">
        <f t="shared" si="15"/>
        <v>235488</v>
      </c>
      <c r="AB48" s="83">
        <f t="shared" si="13"/>
        <v>31</v>
      </c>
      <c r="AC48" s="48">
        <v>7300128</v>
      </c>
      <c r="AE48" s="47"/>
    </row>
    <row r="49" spans="1:31" ht="13" x14ac:dyDescent="0.25">
      <c r="A49" s="15">
        <f t="shared" si="12"/>
        <v>2032</v>
      </c>
      <c r="B49" s="18">
        <v>48427</v>
      </c>
      <c r="C49" s="48">
        <f t="shared" si="11"/>
        <v>9812</v>
      </c>
      <c r="D49" s="48">
        <f t="shared" si="11"/>
        <v>9812</v>
      </c>
      <c r="E49" s="48">
        <f t="shared" si="11"/>
        <v>9812</v>
      </c>
      <c r="F49" s="48">
        <f t="shared" si="11"/>
        <v>9812</v>
      </c>
      <c r="G49" s="48">
        <f t="shared" si="11"/>
        <v>9812</v>
      </c>
      <c r="H49" s="48">
        <f t="shared" si="11"/>
        <v>9812</v>
      </c>
      <c r="I49" s="48">
        <f t="shared" si="11"/>
        <v>9812</v>
      </c>
      <c r="J49" s="48">
        <f t="shared" si="11"/>
        <v>9812</v>
      </c>
      <c r="K49" s="48">
        <f t="shared" si="11"/>
        <v>9812</v>
      </c>
      <c r="L49" s="48">
        <f t="shared" si="11"/>
        <v>9812</v>
      </c>
      <c r="M49" s="48">
        <f t="shared" si="11"/>
        <v>9812</v>
      </c>
      <c r="N49" s="48">
        <f t="shared" si="11"/>
        <v>9812</v>
      </c>
      <c r="O49" s="48">
        <f t="shared" si="11"/>
        <v>9812</v>
      </c>
      <c r="P49" s="48">
        <f t="shared" si="11"/>
        <v>9812</v>
      </c>
      <c r="Q49" s="48">
        <f t="shared" si="11"/>
        <v>9812</v>
      </c>
      <c r="R49" s="48">
        <f t="shared" ref="R49:Z64" si="16">($AC49/$AB49)/24</f>
        <v>9812</v>
      </c>
      <c r="S49" s="48">
        <f t="shared" si="16"/>
        <v>9812</v>
      </c>
      <c r="T49" s="48">
        <f t="shared" si="16"/>
        <v>9812</v>
      </c>
      <c r="U49" s="48">
        <f t="shared" si="16"/>
        <v>9812</v>
      </c>
      <c r="V49" s="48">
        <f t="shared" si="16"/>
        <v>9812</v>
      </c>
      <c r="W49" s="48">
        <f t="shared" si="16"/>
        <v>9812</v>
      </c>
      <c r="X49" s="48">
        <f t="shared" si="16"/>
        <v>9812</v>
      </c>
      <c r="Y49" s="48">
        <f t="shared" si="16"/>
        <v>9812</v>
      </c>
      <c r="Z49" s="48">
        <f t="shared" si="16"/>
        <v>9812</v>
      </c>
      <c r="AA49" s="48">
        <f t="shared" si="15"/>
        <v>235488</v>
      </c>
      <c r="AB49" s="83">
        <f t="shared" si="13"/>
        <v>31</v>
      </c>
      <c r="AC49" s="48">
        <v>7300128</v>
      </c>
      <c r="AE49" s="47"/>
    </row>
    <row r="50" spans="1:31" ht="13" x14ac:dyDescent="0.25">
      <c r="A50" s="15">
        <f t="shared" si="12"/>
        <v>2032</v>
      </c>
      <c r="B50" s="18">
        <v>48458</v>
      </c>
      <c r="C50" s="48">
        <f t="shared" ref="C50:R65" si="17">($AC50/$AB50)/24</f>
        <v>10972</v>
      </c>
      <c r="D50" s="48">
        <f t="shared" si="17"/>
        <v>10972</v>
      </c>
      <c r="E50" s="48">
        <f t="shared" si="17"/>
        <v>10972</v>
      </c>
      <c r="F50" s="48">
        <f t="shared" si="17"/>
        <v>10972</v>
      </c>
      <c r="G50" s="48">
        <f t="shared" si="17"/>
        <v>10972</v>
      </c>
      <c r="H50" s="48">
        <f t="shared" si="17"/>
        <v>10972</v>
      </c>
      <c r="I50" s="48">
        <f t="shared" si="17"/>
        <v>10972</v>
      </c>
      <c r="J50" s="48">
        <f t="shared" si="17"/>
        <v>10972</v>
      </c>
      <c r="K50" s="48">
        <f t="shared" si="17"/>
        <v>10972</v>
      </c>
      <c r="L50" s="48">
        <f t="shared" si="17"/>
        <v>10972</v>
      </c>
      <c r="M50" s="48">
        <f t="shared" si="17"/>
        <v>10972</v>
      </c>
      <c r="N50" s="48">
        <f t="shared" si="17"/>
        <v>10972</v>
      </c>
      <c r="O50" s="48">
        <f t="shared" si="17"/>
        <v>10972</v>
      </c>
      <c r="P50" s="48">
        <f t="shared" si="17"/>
        <v>10972</v>
      </c>
      <c r="Q50" s="48">
        <f t="shared" si="17"/>
        <v>10972</v>
      </c>
      <c r="R50" s="48">
        <f t="shared" si="17"/>
        <v>10972</v>
      </c>
      <c r="S50" s="48">
        <f t="shared" si="16"/>
        <v>10972</v>
      </c>
      <c r="T50" s="48">
        <f t="shared" si="16"/>
        <v>10972</v>
      </c>
      <c r="U50" s="48">
        <f t="shared" si="16"/>
        <v>10972</v>
      </c>
      <c r="V50" s="48">
        <f t="shared" si="16"/>
        <v>10972</v>
      </c>
      <c r="W50" s="48">
        <f t="shared" si="16"/>
        <v>10972</v>
      </c>
      <c r="X50" s="48">
        <f t="shared" si="16"/>
        <v>10972</v>
      </c>
      <c r="Y50" s="48">
        <f t="shared" si="16"/>
        <v>10972</v>
      </c>
      <c r="Z50" s="48">
        <f t="shared" si="16"/>
        <v>10972</v>
      </c>
      <c r="AA50" s="48">
        <f t="shared" si="15"/>
        <v>263328</v>
      </c>
      <c r="AB50" s="83">
        <f t="shared" si="13"/>
        <v>30</v>
      </c>
      <c r="AC50" s="48">
        <v>7899840</v>
      </c>
      <c r="AE50" s="47"/>
    </row>
    <row r="51" spans="1:31" ht="13" x14ac:dyDescent="0.25">
      <c r="A51" s="15">
        <f t="shared" si="12"/>
        <v>2032</v>
      </c>
      <c r="B51" s="18">
        <v>48488</v>
      </c>
      <c r="C51" s="48">
        <f t="shared" si="17"/>
        <v>9812</v>
      </c>
      <c r="D51" s="48">
        <f t="shared" si="17"/>
        <v>9812</v>
      </c>
      <c r="E51" s="48">
        <f t="shared" si="17"/>
        <v>9812</v>
      </c>
      <c r="F51" s="48">
        <f t="shared" si="17"/>
        <v>9812</v>
      </c>
      <c r="G51" s="48">
        <f t="shared" si="17"/>
        <v>9812</v>
      </c>
      <c r="H51" s="48">
        <f t="shared" si="17"/>
        <v>9812</v>
      </c>
      <c r="I51" s="48">
        <f t="shared" si="17"/>
        <v>9812</v>
      </c>
      <c r="J51" s="48">
        <f t="shared" si="17"/>
        <v>9812</v>
      </c>
      <c r="K51" s="48">
        <f t="shared" si="17"/>
        <v>9812</v>
      </c>
      <c r="L51" s="48">
        <f t="shared" si="17"/>
        <v>9812</v>
      </c>
      <c r="M51" s="48">
        <f t="shared" si="17"/>
        <v>9812</v>
      </c>
      <c r="N51" s="48">
        <f t="shared" si="17"/>
        <v>9812</v>
      </c>
      <c r="O51" s="48">
        <f t="shared" si="17"/>
        <v>9812</v>
      </c>
      <c r="P51" s="48">
        <f t="shared" si="17"/>
        <v>9812</v>
      </c>
      <c r="Q51" s="48">
        <f t="shared" si="17"/>
        <v>9812</v>
      </c>
      <c r="R51" s="48">
        <f t="shared" si="17"/>
        <v>9812</v>
      </c>
      <c r="S51" s="48">
        <f t="shared" si="16"/>
        <v>9812</v>
      </c>
      <c r="T51" s="48">
        <f t="shared" si="16"/>
        <v>9812</v>
      </c>
      <c r="U51" s="48">
        <f t="shared" si="16"/>
        <v>9812</v>
      </c>
      <c r="V51" s="48">
        <f t="shared" si="16"/>
        <v>9812</v>
      </c>
      <c r="W51" s="48">
        <f t="shared" si="16"/>
        <v>9812</v>
      </c>
      <c r="X51" s="48">
        <f t="shared" si="16"/>
        <v>9812</v>
      </c>
      <c r="Y51" s="48">
        <f t="shared" si="16"/>
        <v>9812</v>
      </c>
      <c r="Z51" s="48">
        <f t="shared" si="16"/>
        <v>9812</v>
      </c>
      <c r="AA51" s="48">
        <f t="shared" si="15"/>
        <v>235488</v>
      </c>
      <c r="AB51" s="83">
        <f t="shared" si="13"/>
        <v>31</v>
      </c>
      <c r="AC51" s="48">
        <v>7300128</v>
      </c>
      <c r="AE51" s="47"/>
    </row>
    <row r="52" spans="1:31" ht="13" x14ac:dyDescent="0.25">
      <c r="A52" s="15">
        <f t="shared" si="12"/>
        <v>2032</v>
      </c>
      <c r="B52" s="18">
        <v>48519</v>
      </c>
      <c r="C52" s="48">
        <f t="shared" si="17"/>
        <v>10972</v>
      </c>
      <c r="D52" s="48">
        <f t="shared" si="17"/>
        <v>10972</v>
      </c>
      <c r="E52" s="48">
        <f t="shared" si="17"/>
        <v>10972</v>
      </c>
      <c r="F52" s="48">
        <f t="shared" si="17"/>
        <v>10972</v>
      </c>
      <c r="G52" s="48">
        <f t="shared" si="17"/>
        <v>10972</v>
      </c>
      <c r="H52" s="48">
        <f t="shared" si="17"/>
        <v>10972</v>
      </c>
      <c r="I52" s="48">
        <f t="shared" si="17"/>
        <v>10972</v>
      </c>
      <c r="J52" s="48">
        <f t="shared" si="17"/>
        <v>10972</v>
      </c>
      <c r="K52" s="48">
        <f t="shared" si="17"/>
        <v>10972</v>
      </c>
      <c r="L52" s="48">
        <f t="shared" si="17"/>
        <v>10972</v>
      </c>
      <c r="M52" s="48">
        <f t="shared" si="17"/>
        <v>10972</v>
      </c>
      <c r="N52" s="48">
        <f t="shared" si="17"/>
        <v>10972</v>
      </c>
      <c r="O52" s="48">
        <f t="shared" si="17"/>
        <v>10972</v>
      </c>
      <c r="P52" s="48">
        <f t="shared" si="17"/>
        <v>10972</v>
      </c>
      <c r="Q52" s="48">
        <f t="shared" si="17"/>
        <v>10972</v>
      </c>
      <c r="R52" s="48">
        <f t="shared" si="17"/>
        <v>10972</v>
      </c>
      <c r="S52" s="48">
        <f t="shared" si="16"/>
        <v>10972</v>
      </c>
      <c r="T52" s="48">
        <f t="shared" si="16"/>
        <v>10972</v>
      </c>
      <c r="U52" s="48">
        <f t="shared" si="16"/>
        <v>10972</v>
      </c>
      <c r="V52" s="48">
        <f t="shared" si="16"/>
        <v>10972</v>
      </c>
      <c r="W52" s="48">
        <f t="shared" si="16"/>
        <v>10972</v>
      </c>
      <c r="X52" s="48">
        <f t="shared" si="16"/>
        <v>10972</v>
      </c>
      <c r="Y52" s="48">
        <f t="shared" si="16"/>
        <v>10972</v>
      </c>
      <c r="Z52" s="48">
        <f t="shared" si="16"/>
        <v>10972</v>
      </c>
      <c r="AA52" s="48">
        <f t="shared" si="15"/>
        <v>263328</v>
      </c>
      <c r="AB52" s="83">
        <f t="shared" si="13"/>
        <v>30</v>
      </c>
      <c r="AC52" s="48">
        <v>7899840</v>
      </c>
      <c r="AE52" s="47"/>
    </row>
    <row r="53" spans="1:31" ht="13" x14ac:dyDescent="0.25">
      <c r="A53" s="15">
        <f t="shared" si="12"/>
        <v>2032</v>
      </c>
      <c r="B53" s="18">
        <v>48549</v>
      </c>
      <c r="C53" s="48">
        <f t="shared" si="17"/>
        <v>9812</v>
      </c>
      <c r="D53" s="48">
        <f t="shared" si="17"/>
        <v>9812</v>
      </c>
      <c r="E53" s="48">
        <f t="shared" si="17"/>
        <v>9812</v>
      </c>
      <c r="F53" s="48">
        <f t="shared" si="17"/>
        <v>9812</v>
      </c>
      <c r="G53" s="48">
        <f t="shared" si="17"/>
        <v>9812</v>
      </c>
      <c r="H53" s="48">
        <f t="shared" si="17"/>
        <v>9812</v>
      </c>
      <c r="I53" s="48">
        <f t="shared" si="17"/>
        <v>9812</v>
      </c>
      <c r="J53" s="48">
        <f t="shared" si="17"/>
        <v>9812</v>
      </c>
      <c r="K53" s="48">
        <f t="shared" si="17"/>
        <v>9812</v>
      </c>
      <c r="L53" s="48">
        <f t="shared" si="17"/>
        <v>9812</v>
      </c>
      <c r="M53" s="48">
        <f t="shared" si="17"/>
        <v>9812</v>
      </c>
      <c r="N53" s="48">
        <f t="shared" si="17"/>
        <v>9812</v>
      </c>
      <c r="O53" s="48">
        <f t="shared" si="17"/>
        <v>9812</v>
      </c>
      <c r="P53" s="48">
        <f t="shared" si="17"/>
        <v>9812</v>
      </c>
      <c r="Q53" s="48">
        <f t="shared" si="17"/>
        <v>9812</v>
      </c>
      <c r="R53" s="48">
        <f t="shared" si="17"/>
        <v>9812</v>
      </c>
      <c r="S53" s="48">
        <f t="shared" si="16"/>
        <v>9812</v>
      </c>
      <c r="T53" s="48">
        <f t="shared" si="16"/>
        <v>9812</v>
      </c>
      <c r="U53" s="48">
        <f t="shared" si="16"/>
        <v>9812</v>
      </c>
      <c r="V53" s="48">
        <f t="shared" si="16"/>
        <v>9812</v>
      </c>
      <c r="W53" s="48">
        <f t="shared" si="16"/>
        <v>9812</v>
      </c>
      <c r="X53" s="48">
        <f t="shared" si="16"/>
        <v>9812</v>
      </c>
      <c r="Y53" s="48">
        <f t="shared" si="16"/>
        <v>9812</v>
      </c>
      <c r="Z53" s="48">
        <f t="shared" si="16"/>
        <v>9812</v>
      </c>
      <c r="AA53" s="48">
        <f t="shared" si="15"/>
        <v>235488</v>
      </c>
      <c r="AB53" s="83">
        <f t="shared" si="13"/>
        <v>31</v>
      </c>
      <c r="AC53" s="48">
        <v>7300128</v>
      </c>
      <c r="AE53" s="47"/>
    </row>
    <row r="54" spans="1:31" ht="13" x14ac:dyDescent="0.25">
      <c r="A54" s="15">
        <f t="shared" si="12"/>
        <v>2033</v>
      </c>
      <c r="B54" s="18">
        <v>48580</v>
      </c>
      <c r="C54" s="48">
        <f t="shared" si="17"/>
        <v>12231</v>
      </c>
      <c r="D54" s="48">
        <f t="shared" si="17"/>
        <v>12231</v>
      </c>
      <c r="E54" s="48">
        <f t="shared" si="17"/>
        <v>12231</v>
      </c>
      <c r="F54" s="48">
        <f t="shared" si="17"/>
        <v>12231</v>
      </c>
      <c r="G54" s="48">
        <f t="shared" si="17"/>
        <v>12231</v>
      </c>
      <c r="H54" s="48">
        <f t="shared" si="17"/>
        <v>12231</v>
      </c>
      <c r="I54" s="48">
        <f t="shared" si="17"/>
        <v>12231</v>
      </c>
      <c r="J54" s="48">
        <f t="shared" si="17"/>
        <v>12231</v>
      </c>
      <c r="K54" s="48">
        <f t="shared" si="17"/>
        <v>12231</v>
      </c>
      <c r="L54" s="48">
        <f t="shared" si="17"/>
        <v>12231</v>
      </c>
      <c r="M54" s="48">
        <f t="shared" si="17"/>
        <v>12231</v>
      </c>
      <c r="N54" s="48">
        <f t="shared" si="17"/>
        <v>12231</v>
      </c>
      <c r="O54" s="48">
        <f t="shared" si="17"/>
        <v>12231</v>
      </c>
      <c r="P54" s="48">
        <f t="shared" si="17"/>
        <v>12231</v>
      </c>
      <c r="Q54" s="48">
        <f t="shared" si="17"/>
        <v>12231</v>
      </c>
      <c r="R54" s="48">
        <f t="shared" si="17"/>
        <v>12231</v>
      </c>
      <c r="S54" s="48">
        <f t="shared" si="16"/>
        <v>12231</v>
      </c>
      <c r="T54" s="48">
        <f t="shared" si="16"/>
        <v>12231</v>
      </c>
      <c r="U54" s="48">
        <f t="shared" si="16"/>
        <v>12231</v>
      </c>
      <c r="V54" s="48">
        <f t="shared" si="16"/>
        <v>12231</v>
      </c>
      <c r="W54" s="48">
        <f t="shared" si="16"/>
        <v>12231</v>
      </c>
      <c r="X54" s="48">
        <f t="shared" si="16"/>
        <v>12231</v>
      </c>
      <c r="Y54" s="48">
        <f t="shared" si="16"/>
        <v>12231</v>
      </c>
      <c r="Z54" s="48">
        <f t="shared" si="16"/>
        <v>12231</v>
      </c>
      <c r="AA54" s="48">
        <f t="shared" si="15"/>
        <v>293544</v>
      </c>
      <c r="AB54" s="83">
        <f t="shared" si="13"/>
        <v>31</v>
      </c>
      <c r="AC54" s="48">
        <v>9099864</v>
      </c>
      <c r="AE54" s="47"/>
    </row>
    <row r="55" spans="1:31" ht="13" x14ac:dyDescent="0.25">
      <c r="A55" s="15">
        <f t="shared" si="12"/>
        <v>2033</v>
      </c>
      <c r="B55" s="18">
        <v>48611</v>
      </c>
      <c r="C55" s="48">
        <f t="shared" si="17"/>
        <v>15923</v>
      </c>
      <c r="D55" s="48">
        <f t="shared" si="17"/>
        <v>15923</v>
      </c>
      <c r="E55" s="48">
        <f t="shared" si="17"/>
        <v>15923</v>
      </c>
      <c r="F55" s="48">
        <f t="shared" si="17"/>
        <v>15923</v>
      </c>
      <c r="G55" s="48">
        <f t="shared" si="17"/>
        <v>15923</v>
      </c>
      <c r="H55" s="48">
        <f t="shared" si="17"/>
        <v>15923</v>
      </c>
      <c r="I55" s="48">
        <f t="shared" si="17"/>
        <v>15923</v>
      </c>
      <c r="J55" s="48">
        <f t="shared" si="17"/>
        <v>15923</v>
      </c>
      <c r="K55" s="48">
        <f t="shared" si="17"/>
        <v>15923</v>
      </c>
      <c r="L55" s="48">
        <f t="shared" si="17"/>
        <v>15923</v>
      </c>
      <c r="M55" s="48">
        <f t="shared" si="17"/>
        <v>15923</v>
      </c>
      <c r="N55" s="48">
        <f t="shared" si="17"/>
        <v>15923</v>
      </c>
      <c r="O55" s="48">
        <f t="shared" si="17"/>
        <v>15923</v>
      </c>
      <c r="P55" s="48">
        <f t="shared" si="17"/>
        <v>15923</v>
      </c>
      <c r="Q55" s="48">
        <f t="shared" si="17"/>
        <v>15923</v>
      </c>
      <c r="R55" s="48">
        <f t="shared" si="17"/>
        <v>15923</v>
      </c>
      <c r="S55" s="48">
        <f t="shared" si="16"/>
        <v>15923</v>
      </c>
      <c r="T55" s="48">
        <f t="shared" si="16"/>
        <v>15923</v>
      </c>
      <c r="U55" s="48">
        <f t="shared" si="16"/>
        <v>15923</v>
      </c>
      <c r="V55" s="48">
        <f t="shared" si="16"/>
        <v>15923</v>
      </c>
      <c r="W55" s="48">
        <f t="shared" si="16"/>
        <v>15923</v>
      </c>
      <c r="X55" s="48">
        <f t="shared" si="16"/>
        <v>15923</v>
      </c>
      <c r="Y55" s="48">
        <f t="shared" si="16"/>
        <v>15923</v>
      </c>
      <c r="Z55" s="48">
        <f t="shared" si="16"/>
        <v>15923</v>
      </c>
      <c r="AA55" s="48">
        <f t="shared" si="15"/>
        <v>382152</v>
      </c>
      <c r="AB55" s="83">
        <f t="shared" si="13"/>
        <v>28</v>
      </c>
      <c r="AC55" s="48">
        <v>10700256</v>
      </c>
      <c r="AE55" s="47"/>
    </row>
    <row r="56" spans="1:31" ht="13" x14ac:dyDescent="0.25">
      <c r="A56" s="15">
        <f t="shared" si="12"/>
        <v>2033</v>
      </c>
      <c r="B56" s="18">
        <v>48639</v>
      </c>
      <c r="C56" s="48">
        <f t="shared" si="17"/>
        <v>12231</v>
      </c>
      <c r="D56" s="48">
        <f t="shared" si="17"/>
        <v>12231</v>
      </c>
      <c r="E56" s="48">
        <f t="shared" si="17"/>
        <v>12231</v>
      </c>
      <c r="F56" s="48">
        <f t="shared" si="17"/>
        <v>12231</v>
      </c>
      <c r="G56" s="48">
        <f t="shared" si="17"/>
        <v>12231</v>
      </c>
      <c r="H56" s="48">
        <f t="shared" si="17"/>
        <v>12231</v>
      </c>
      <c r="I56" s="48">
        <f t="shared" si="17"/>
        <v>12231</v>
      </c>
      <c r="J56" s="48">
        <f t="shared" si="17"/>
        <v>12231</v>
      </c>
      <c r="K56" s="48">
        <f t="shared" si="17"/>
        <v>12231</v>
      </c>
      <c r="L56" s="48">
        <f t="shared" si="17"/>
        <v>12231</v>
      </c>
      <c r="M56" s="48">
        <f t="shared" si="17"/>
        <v>12231</v>
      </c>
      <c r="N56" s="48">
        <f t="shared" si="17"/>
        <v>12231</v>
      </c>
      <c r="O56" s="48">
        <f t="shared" si="17"/>
        <v>12231</v>
      </c>
      <c r="P56" s="48">
        <f t="shared" si="17"/>
        <v>12231</v>
      </c>
      <c r="Q56" s="48">
        <f t="shared" si="17"/>
        <v>12231</v>
      </c>
      <c r="R56" s="48">
        <f t="shared" si="17"/>
        <v>12231</v>
      </c>
      <c r="S56" s="48">
        <f t="shared" si="16"/>
        <v>12231</v>
      </c>
      <c r="T56" s="48">
        <f t="shared" si="16"/>
        <v>12231</v>
      </c>
      <c r="U56" s="48">
        <f t="shared" si="16"/>
        <v>12231</v>
      </c>
      <c r="V56" s="48">
        <f t="shared" si="16"/>
        <v>12231</v>
      </c>
      <c r="W56" s="48">
        <f t="shared" si="16"/>
        <v>12231</v>
      </c>
      <c r="X56" s="48">
        <f t="shared" si="16"/>
        <v>12231</v>
      </c>
      <c r="Y56" s="48">
        <f t="shared" si="16"/>
        <v>12231</v>
      </c>
      <c r="Z56" s="48">
        <f t="shared" si="16"/>
        <v>12231</v>
      </c>
      <c r="AA56" s="48">
        <f t="shared" si="15"/>
        <v>293544</v>
      </c>
      <c r="AB56" s="83">
        <f t="shared" si="13"/>
        <v>31</v>
      </c>
      <c r="AC56" s="48">
        <v>9099864</v>
      </c>
      <c r="AE56" s="47"/>
    </row>
    <row r="57" spans="1:31" ht="13" x14ac:dyDescent="0.25">
      <c r="A57" s="15">
        <f t="shared" si="12"/>
        <v>2033</v>
      </c>
      <c r="B57" s="18">
        <v>48670</v>
      </c>
      <c r="C57" s="48">
        <f t="shared" si="17"/>
        <v>13472</v>
      </c>
      <c r="D57" s="48">
        <f t="shared" si="17"/>
        <v>13472</v>
      </c>
      <c r="E57" s="48">
        <f t="shared" si="17"/>
        <v>13472</v>
      </c>
      <c r="F57" s="48">
        <f t="shared" si="17"/>
        <v>13472</v>
      </c>
      <c r="G57" s="48">
        <f t="shared" si="17"/>
        <v>13472</v>
      </c>
      <c r="H57" s="48">
        <f t="shared" si="17"/>
        <v>13472</v>
      </c>
      <c r="I57" s="48">
        <f t="shared" si="17"/>
        <v>13472</v>
      </c>
      <c r="J57" s="48">
        <f t="shared" si="17"/>
        <v>13472</v>
      </c>
      <c r="K57" s="48">
        <f t="shared" si="17"/>
        <v>13472</v>
      </c>
      <c r="L57" s="48">
        <f t="shared" si="17"/>
        <v>13472</v>
      </c>
      <c r="M57" s="48">
        <f t="shared" si="17"/>
        <v>13472</v>
      </c>
      <c r="N57" s="48">
        <f t="shared" si="17"/>
        <v>13472</v>
      </c>
      <c r="O57" s="48">
        <f t="shared" si="17"/>
        <v>13472</v>
      </c>
      <c r="P57" s="48">
        <f t="shared" si="17"/>
        <v>13472</v>
      </c>
      <c r="Q57" s="48">
        <f t="shared" si="17"/>
        <v>13472</v>
      </c>
      <c r="R57" s="48">
        <f t="shared" si="17"/>
        <v>13472</v>
      </c>
      <c r="S57" s="48">
        <f t="shared" si="16"/>
        <v>13472</v>
      </c>
      <c r="T57" s="48">
        <f t="shared" si="16"/>
        <v>13472</v>
      </c>
      <c r="U57" s="48">
        <f t="shared" si="16"/>
        <v>13472</v>
      </c>
      <c r="V57" s="48">
        <f t="shared" si="16"/>
        <v>13472</v>
      </c>
      <c r="W57" s="48">
        <f t="shared" si="16"/>
        <v>13472</v>
      </c>
      <c r="X57" s="48">
        <f t="shared" si="16"/>
        <v>13472</v>
      </c>
      <c r="Y57" s="48">
        <f t="shared" si="16"/>
        <v>13472</v>
      </c>
      <c r="Z57" s="48">
        <f t="shared" si="16"/>
        <v>13472</v>
      </c>
      <c r="AA57" s="48">
        <f t="shared" si="15"/>
        <v>323328</v>
      </c>
      <c r="AB57" s="83">
        <f t="shared" si="13"/>
        <v>30</v>
      </c>
      <c r="AC57" s="48">
        <v>9699840</v>
      </c>
      <c r="AE57" s="47"/>
    </row>
    <row r="58" spans="1:31" ht="13" x14ac:dyDescent="0.25">
      <c r="A58" s="15">
        <f t="shared" si="12"/>
        <v>2033</v>
      </c>
      <c r="B58" s="18">
        <v>48700</v>
      </c>
      <c r="C58" s="48">
        <f t="shared" si="17"/>
        <v>12231</v>
      </c>
      <c r="D58" s="48">
        <f t="shared" si="17"/>
        <v>12231</v>
      </c>
      <c r="E58" s="48">
        <f t="shared" si="17"/>
        <v>12231</v>
      </c>
      <c r="F58" s="48">
        <f t="shared" si="17"/>
        <v>12231</v>
      </c>
      <c r="G58" s="48">
        <f t="shared" si="17"/>
        <v>12231</v>
      </c>
      <c r="H58" s="48">
        <f t="shared" si="17"/>
        <v>12231</v>
      </c>
      <c r="I58" s="48">
        <f t="shared" si="17"/>
        <v>12231</v>
      </c>
      <c r="J58" s="48">
        <f t="shared" si="17"/>
        <v>12231</v>
      </c>
      <c r="K58" s="48">
        <f t="shared" si="17"/>
        <v>12231</v>
      </c>
      <c r="L58" s="48">
        <f t="shared" si="17"/>
        <v>12231</v>
      </c>
      <c r="M58" s="48">
        <f t="shared" si="17"/>
        <v>12231</v>
      </c>
      <c r="N58" s="48">
        <f t="shared" si="17"/>
        <v>12231</v>
      </c>
      <c r="O58" s="48">
        <f t="shared" si="17"/>
        <v>12231</v>
      </c>
      <c r="P58" s="48">
        <f t="shared" si="17"/>
        <v>12231</v>
      </c>
      <c r="Q58" s="48">
        <f t="shared" si="17"/>
        <v>12231</v>
      </c>
      <c r="R58" s="48">
        <f t="shared" si="17"/>
        <v>12231</v>
      </c>
      <c r="S58" s="48">
        <f t="shared" si="16"/>
        <v>12231</v>
      </c>
      <c r="T58" s="48">
        <f t="shared" si="16"/>
        <v>12231</v>
      </c>
      <c r="U58" s="48">
        <f t="shared" si="16"/>
        <v>12231</v>
      </c>
      <c r="V58" s="48">
        <f t="shared" si="16"/>
        <v>12231</v>
      </c>
      <c r="W58" s="48">
        <f t="shared" si="16"/>
        <v>12231</v>
      </c>
      <c r="X58" s="48">
        <f t="shared" si="16"/>
        <v>12231</v>
      </c>
      <c r="Y58" s="48">
        <f t="shared" si="16"/>
        <v>12231</v>
      </c>
      <c r="Z58" s="48">
        <f t="shared" si="16"/>
        <v>12231</v>
      </c>
      <c r="AA58" s="48">
        <f t="shared" si="15"/>
        <v>293544</v>
      </c>
      <c r="AB58" s="83">
        <f t="shared" si="13"/>
        <v>31</v>
      </c>
      <c r="AC58" s="48">
        <v>9099864</v>
      </c>
      <c r="AE58" s="47"/>
    </row>
    <row r="59" spans="1:31" ht="13" x14ac:dyDescent="0.25">
      <c r="A59" s="15">
        <f t="shared" si="12"/>
        <v>2033</v>
      </c>
      <c r="B59" s="18">
        <v>48731</v>
      </c>
      <c r="C59" s="48">
        <f t="shared" si="17"/>
        <v>13472</v>
      </c>
      <c r="D59" s="48">
        <f t="shared" si="17"/>
        <v>13472</v>
      </c>
      <c r="E59" s="48">
        <f t="shared" si="17"/>
        <v>13472</v>
      </c>
      <c r="F59" s="48">
        <f t="shared" si="17"/>
        <v>13472</v>
      </c>
      <c r="G59" s="48">
        <f t="shared" si="17"/>
        <v>13472</v>
      </c>
      <c r="H59" s="48">
        <f t="shared" si="17"/>
        <v>13472</v>
      </c>
      <c r="I59" s="48">
        <f t="shared" si="17"/>
        <v>13472</v>
      </c>
      <c r="J59" s="48">
        <f t="shared" si="17"/>
        <v>13472</v>
      </c>
      <c r="K59" s="48">
        <f t="shared" si="17"/>
        <v>13472</v>
      </c>
      <c r="L59" s="48">
        <f t="shared" si="17"/>
        <v>13472</v>
      </c>
      <c r="M59" s="48">
        <f t="shared" si="17"/>
        <v>13472</v>
      </c>
      <c r="N59" s="48">
        <f t="shared" si="17"/>
        <v>13472</v>
      </c>
      <c r="O59" s="48">
        <f t="shared" si="17"/>
        <v>13472</v>
      </c>
      <c r="P59" s="48">
        <f t="shared" si="17"/>
        <v>13472</v>
      </c>
      <c r="Q59" s="48">
        <f t="shared" si="17"/>
        <v>13472</v>
      </c>
      <c r="R59" s="48">
        <f t="shared" si="17"/>
        <v>13472</v>
      </c>
      <c r="S59" s="48">
        <f t="shared" si="16"/>
        <v>13472</v>
      </c>
      <c r="T59" s="48">
        <f t="shared" si="16"/>
        <v>13472</v>
      </c>
      <c r="U59" s="48">
        <f t="shared" si="16"/>
        <v>13472</v>
      </c>
      <c r="V59" s="48">
        <f t="shared" si="16"/>
        <v>13472</v>
      </c>
      <c r="W59" s="48">
        <f t="shared" si="16"/>
        <v>13472</v>
      </c>
      <c r="X59" s="48">
        <f t="shared" si="16"/>
        <v>13472</v>
      </c>
      <c r="Y59" s="48">
        <f t="shared" si="16"/>
        <v>13472</v>
      </c>
      <c r="Z59" s="48">
        <f t="shared" si="16"/>
        <v>13472</v>
      </c>
      <c r="AA59" s="48">
        <f t="shared" si="15"/>
        <v>323328</v>
      </c>
      <c r="AB59" s="83">
        <f t="shared" si="13"/>
        <v>30</v>
      </c>
      <c r="AC59" s="48">
        <v>9699840</v>
      </c>
      <c r="AE59" s="47"/>
    </row>
    <row r="60" spans="1:31" ht="13" x14ac:dyDescent="0.25">
      <c r="A60" s="15">
        <f t="shared" si="12"/>
        <v>2033</v>
      </c>
      <c r="B60" s="18">
        <v>48761</v>
      </c>
      <c r="C60" s="48">
        <f t="shared" si="17"/>
        <v>12231</v>
      </c>
      <c r="D60" s="48">
        <f t="shared" si="17"/>
        <v>12231</v>
      </c>
      <c r="E60" s="48">
        <f t="shared" si="17"/>
        <v>12231</v>
      </c>
      <c r="F60" s="48">
        <f t="shared" si="17"/>
        <v>12231</v>
      </c>
      <c r="G60" s="48">
        <f t="shared" si="17"/>
        <v>12231</v>
      </c>
      <c r="H60" s="48">
        <f t="shared" si="17"/>
        <v>12231</v>
      </c>
      <c r="I60" s="48">
        <f t="shared" si="17"/>
        <v>12231</v>
      </c>
      <c r="J60" s="48">
        <f t="shared" si="17"/>
        <v>12231</v>
      </c>
      <c r="K60" s="48">
        <f t="shared" si="17"/>
        <v>12231</v>
      </c>
      <c r="L60" s="48">
        <f t="shared" si="17"/>
        <v>12231</v>
      </c>
      <c r="M60" s="48">
        <f t="shared" si="17"/>
        <v>12231</v>
      </c>
      <c r="N60" s="48">
        <f t="shared" si="17"/>
        <v>12231</v>
      </c>
      <c r="O60" s="48">
        <f t="shared" si="17"/>
        <v>12231</v>
      </c>
      <c r="P60" s="48">
        <f t="shared" si="17"/>
        <v>12231</v>
      </c>
      <c r="Q60" s="48">
        <f t="shared" si="17"/>
        <v>12231</v>
      </c>
      <c r="R60" s="48">
        <f t="shared" si="17"/>
        <v>12231</v>
      </c>
      <c r="S60" s="48">
        <f t="shared" si="16"/>
        <v>12231</v>
      </c>
      <c r="T60" s="48">
        <f t="shared" si="16"/>
        <v>12231</v>
      </c>
      <c r="U60" s="48">
        <f t="shared" si="16"/>
        <v>12231</v>
      </c>
      <c r="V60" s="48">
        <f t="shared" si="16"/>
        <v>12231</v>
      </c>
      <c r="W60" s="48">
        <f t="shared" si="16"/>
        <v>12231</v>
      </c>
      <c r="X60" s="48">
        <f t="shared" si="16"/>
        <v>12231</v>
      </c>
      <c r="Y60" s="48">
        <f t="shared" si="16"/>
        <v>12231</v>
      </c>
      <c r="Z60" s="48">
        <f t="shared" si="16"/>
        <v>12231</v>
      </c>
      <c r="AA60" s="48">
        <f t="shared" si="15"/>
        <v>293544</v>
      </c>
      <c r="AB60" s="83">
        <f t="shared" si="13"/>
        <v>31</v>
      </c>
      <c r="AC60" s="48">
        <v>9099864</v>
      </c>
      <c r="AE60" s="47"/>
    </row>
    <row r="61" spans="1:31" ht="13" x14ac:dyDescent="0.25">
      <c r="A61" s="15">
        <f t="shared" si="12"/>
        <v>2033</v>
      </c>
      <c r="B61" s="18">
        <v>48792</v>
      </c>
      <c r="C61" s="48">
        <f t="shared" si="17"/>
        <v>12231</v>
      </c>
      <c r="D61" s="48">
        <f t="shared" si="17"/>
        <v>12231</v>
      </c>
      <c r="E61" s="48">
        <f t="shared" si="17"/>
        <v>12231</v>
      </c>
      <c r="F61" s="48">
        <f t="shared" si="17"/>
        <v>12231</v>
      </c>
      <c r="G61" s="48">
        <f t="shared" si="17"/>
        <v>12231</v>
      </c>
      <c r="H61" s="48">
        <f t="shared" si="17"/>
        <v>12231</v>
      </c>
      <c r="I61" s="48">
        <f t="shared" si="17"/>
        <v>12231</v>
      </c>
      <c r="J61" s="48">
        <f t="shared" si="17"/>
        <v>12231</v>
      </c>
      <c r="K61" s="48">
        <f t="shared" si="17"/>
        <v>12231</v>
      </c>
      <c r="L61" s="48">
        <f t="shared" si="17"/>
        <v>12231</v>
      </c>
      <c r="M61" s="48">
        <f t="shared" si="17"/>
        <v>12231</v>
      </c>
      <c r="N61" s="48">
        <f t="shared" si="17"/>
        <v>12231</v>
      </c>
      <c r="O61" s="48">
        <f t="shared" si="17"/>
        <v>12231</v>
      </c>
      <c r="P61" s="48">
        <f t="shared" si="17"/>
        <v>12231</v>
      </c>
      <c r="Q61" s="48">
        <f t="shared" si="17"/>
        <v>12231</v>
      </c>
      <c r="R61" s="48">
        <f t="shared" si="17"/>
        <v>12231</v>
      </c>
      <c r="S61" s="48">
        <f t="shared" si="16"/>
        <v>12231</v>
      </c>
      <c r="T61" s="48">
        <f t="shared" si="16"/>
        <v>12231</v>
      </c>
      <c r="U61" s="48">
        <f t="shared" si="16"/>
        <v>12231</v>
      </c>
      <c r="V61" s="48">
        <f t="shared" si="16"/>
        <v>12231</v>
      </c>
      <c r="W61" s="48">
        <f t="shared" si="16"/>
        <v>12231</v>
      </c>
      <c r="X61" s="48">
        <f t="shared" si="16"/>
        <v>12231</v>
      </c>
      <c r="Y61" s="48">
        <f t="shared" si="16"/>
        <v>12231</v>
      </c>
      <c r="Z61" s="48">
        <f t="shared" si="16"/>
        <v>12231</v>
      </c>
      <c r="AA61" s="48">
        <f t="shared" si="15"/>
        <v>293544</v>
      </c>
      <c r="AB61" s="83">
        <f t="shared" si="13"/>
        <v>31</v>
      </c>
      <c r="AC61" s="48">
        <v>9099864</v>
      </c>
      <c r="AE61" s="47"/>
    </row>
    <row r="62" spans="1:31" ht="13" x14ac:dyDescent="0.25">
      <c r="A62" s="15">
        <f t="shared" si="12"/>
        <v>2033</v>
      </c>
      <c r="B62" s="18">
        <v>48823</v>
      </c>
      <c r="C62" s="48">
        <f t="shared" si="17"/>
        <v>13472</v>
      </c>
      <c r="D62" s="48">
        <f t="shared" si="17"/>
        <v>13472</v>
      </c>
      <c r="E62" s="48">
        <f t="shared" si="17"/>
        <v>13472</v>
      </c>
      <c r="F62" s="48">
        <f t="shared" si="17"/>
        <v>13472</v>
      </c>
      <c r="G62" s="48">
        <f t="shared" si="17"/>
        <v>13472</v>
      </c>
      <c r="H62" s="48">
        <f t="shared" si="17"/>
        <v>13472</v>
      </c>
      <c r="I62" s="48">
        <f t="shared" si="17"/>
        <v>13472</v>
      </c>
      <c r="J62" s="48">
        <f t="shared" si="17"/>
        <v>13472</v>
      </c>
      <c r="K62" s="48">
        <f t="shared" si="17"/>
        <v>13472</v>
      </c>
      <c r="L62" s="48">
        <f t="shared" si="17"/>
        <v>13472</v>
      </c>
      <c r="M62" s="48">
        <f t="shared" si="17"/>
        <v>13472</v>
      </c>
      <c r="N62" s="48">
        <f t="shared" si="17"/>
        <v>13472</v>
      </c>
      <c r="O62" s="48">
        <f t="shared" si="17"/>
        <v>13472</v>
      </c>
      <c r="P62" s="48">
        <f t="shared" si="17"/>
        <v>13472</v>
      </c>
      <c r="Q62" s="48">
        <f t="shared" si="17"/>
        <v>13472</v>
      </c>
      <c r="R62" s="48">
        <f t="shared" si="17"/>
        <v>13472</v>
      </c>
      <c r="S62" s="48">
        <f t="shared" si="16"/>
        <v>13472</v>
      </c>
      <c r="T62" s="48">
        <f t="shared" si="16"/>
        <v>13472</v>
      </c>
      <c r="U62" s="48">
        <f t="shared" si="16"/>
        <v>13472</v>
      </c>
      <c r="V62" s="48">
        <f t="shared" si="16"/>
        <v>13472</v>
      </c>
      <c r="W62" s="48">
        <f t="shared" si="16"/>
        <v>13472</v>
      </c>
      <c r="X62" s="48">
        <f t="shared" si="16"/>
        <v>13472</v>
      </c>
      <c r="Y62" s="48">
        <f t="shared" si="16"/>
        <v>13472</v>
      </c>
      <c r="Z62" s="48">
        <f t="shared" si="16"/>
        <v>13472</v>
      </c>
      <c r="AA62" s="48">
        <f t="shared" si="15"/>
        <v>323328</v>
      </c>
      <c r="AB62" s="83">
        <f t="shared" si="13"/>
        <v>30</v>
      </c>
      <c r="AC62" s="48">
        <v>9699840</v>
      </c>
      <c r="AE62" s="47"/>
    </row>
    <row r="63" spans="1:31" ht="13" x14ac:dyDescent="0.25">
      <c r="A63" s="15">
        <f t="shared" si="12"/>
        <v>2033</v>
      </c>
      <c r="B63" s="18">
        <v>48853</v>
      </c>
      <c r="C63" s="48">
        <f t="shared" si="17"/>
        <v>12231</v>
      </c>
      <c r="D63" s="48">
        <f t="shared" si="17"/>
        <v>12231</v>
      </c>
      <c r="E63" s="48">
        <f t="shared" si="17"/>
        <v>12231</v>
      </c>
      <c r="F63" s="48">
        <f t="shared" si="17"/>
        <v>12231</v>
      </c>
      <c r="G63" s="48">
        <f t="shared" si="17"/>
        <v>12231</v>
      </c>
      <c r="H63" s="48">
        <f t="shared" si="17"/>
        <v>12231</v>
      </c>
      <c r="I63" s="48">
        <f t="shared" si="17"/>
        <v>12231</v>
      </c>
      <c r="J63" s="48">
        <f t="shared" si="17"/>
        <v>12231</v>
      </c>
      <c r="K63" s="48">
        <f t="shared" si="17"/>
        <v>12231</v>
      </c>
      <c r="L63" s="48">
        <f t="shared" si="17"/>
        <v>12231</v>
      </c>
      <c r="M63" s="48">
        <f t="shared" si="17"/>
        <v>12231</v>
      </c>
      <c r="N63" s="48">
        <f t="shared" si="17"/>
        <v>12231</v>
      </c>
      <c r="O63" s="48">
        <f t="shared" si="17"/>
        <v>12231</v>
      </c>
      <c r="P63" s="48">
        <f t="shared" si="17"/>
        <v>12231</v>
      </c>
      <c r="Q63" s="48">
        <f t="shared" si="17"/>
        <v>12231</v>
      </c>
      <c r="R63" s="48">
        <f t="shared" si="17"/>
        <v>12231</v>
      </c>
      <c r="S63" s="48">
        <f t="shared" si="16"/>
        <v>12231</v>
      </c>
      <c r="T63" s="48">
        <f t="shared" si="16"/>
        <v>12231</v>
      </c>
      <c r="U63" s="48">
        <f t="shared" si="16"/>
        <v>12231</v>
      </c>
      <c r="V63" s="48">
        <f t="shared" si="16"/>
        <v>12231</v>
      </c>
      <c r="W63" s="48">
        <f t="shared" si="16"/>
        <v>12231</v>
      </c>
      <c r="X63" s="48">
        <f t="shared" si="16"/>
        <v>12231</v>
      </c>
      <c r="Y63" s="48">
        <f t="shared" si="16"/>
        <v>12231</v>
      </c>
      <c r="Z63" s="48">
        <f t="shared" si="16"/>
        <v>12231</v>
      </c>
      <c r="AA63" s="48">
        <f t="shared" si="15"/>
        <v>293544</v>
      </c>
      <c r="AB63" s="83">
        <f t="shared" si="13"/>
        <v>31</v>
      </c>
      <c r="AC63" s="48">
        <v>9099864</v>
      </c>
      <c r="AE63" s="47"/>
    </row>
    <row r="64" spans="1:31" ht="13" x14ac:dyDescent="0.25">
      <c r="A64" s="15">
        <f t="shared" si="12"/>
        <v>2033</v>
      </c>
      <c r="B64" s="18">
        <v>48884</v>
      </c>
      <c r="C64" s="48">
        <f t="shared" si="17"/>
        <v>13472</v>
      </c>
      <c r="D64" s="48">
        <f t="shared" si="17"/>
        <v>13472</v>
      </c>
      <c r="E64" s="48">
        <f t="shared" si="17"/>
        <v>13472</v>
      </c>
      <c r="F64" s="48">
        <f t="shared" si="17"/>
        <v>13472</v>
      </c>
      <c r="G64" s="48">
        <f t="shared" si="17"/>
        <v>13472</v>
      </c>
      <c r="H64" s="48">
        <f t="shared" si="17"/>
        <v>13472</v>
      </c>
      <c r="I64" s="48">
        <f t="shared" si="17"/>
        <v>13472</v>
      </c>
      <c r="J64" s="48">
        <f t="shared" si="17"/>
        <v>13472</v>
      </c>
      <c r="K64" s="48">
        <f t="shared" si="17"/>
        <v>13472</v>
      </c>
      <c r="L64" s="48">
        <f t="shared" si="17"/>
        <v>13472</v>
      </c>
      <c r="M64" s="48">
        <f t="shared" si="17"/>
        <v>13472</v>
      </c>
      <c r="N64" s="48">
        <f t="shared" si="17"/>
        <v>13472</v>
      </c>
      <c r="O64" s="48">
        <f t="shared" si="17"/>
        <v>13472</v>
      </c>
      <c r="P64" s="48">
        <f t="shared" si="17"/>
        <v>13472</v>
      </c>
      <c r="Q64" s="48">
        <f t="shared" si="17"/>
        <v>13472</v>
      </c>
      <c r="R64" s="48">
        <f t="shared" si="17"/>
        <v>13472</v>
      </c>
      <c r="S64" s="48">
        <f t="shared" si="16"/>
        <v>13472</v>
      </c>
      <c r="T64" s="48">
        <f t="shared" si="16"/>
        <v>13472</v>
      </c>
      <c r="U64" s="48">
        <f t="shared" si="16"/>
        <v>13472</v>
      </c>
      <c r="V64" s="48">
        <f t="shared" si="16"/>
        <v>13472</v>
      </c>
      <c r="W64" s="48">
        <f t="shared" si="16"/>
        <v>13472</v>
      </c>
      <c r="X64" s="48">
        <f t="shared" si="16"/>
        <v>13472</v>
      </c>
      <c r="Y64" s="48">
        <f t="shared" si="16"/>
        <v>13472</v>
      </c>
      <c r="Z64" s="48">
        <f t="shared" si="16"/>
        <v>13472</v>
      </c>
      <c r="AA64" s="48">
        <f t="shared" si="15"/>
        <v>323328</v>
      </c>
      <c r="AB64" s="83">
        <f t="shared" si="13"/>
        <v>30</v>
      </c>
      <c r="AC64" s="48">
        <v>9699840</v>
      </c>
      <c r="AE64" s="47"/>
    </row>
    <row r="65" spans="1:31" ht="13" x14ac:dyDescent="0.25">
      <c r="A65" s="15">
        <f t="shared" si="12"/>
        <v>2033</v>
      </c>
      <c r="B65" s="18">
        <v>48914</v>
      </c>
      <c r="C65" s="48">
        <f t="shared" si="17"/>
        <v>12231</v>
      </c>
      <c r="D65" s="48">
        <f t="shared" si="17"/>
        <v>12231</v>
      </c>
      <c r="E65" s="48">
        <f t="shared" si="17"/>
        <v>12231</v>
      </c>
      <c r="F65" s="48">
        <f t="shared" si="17"/>
        <v>12231</v>
      </c>
      <c r="G65" s="48">
        <f t="shared" si="17"/>
        <v>12231</v>
      </c>
      <c r="H65" s="48">
        <f t="shared" si="17"/>
        <v>12231</v>
      </c>
      <c r="I65" s="48">
        <f t="shared" si="17"/>
        <v>12231</v>
      </c>
      <c r="J65" s="48">
        <f t="shared" si="17"/>
        <v>12231</v>
      </c>
      <c r="K65" s="48">
        <f t="shared" si="17"/>
        <v>12231</v>
      </c>
      <c r="L65" s="48">
        <f t="shared" si="17"/>
        <v>12231</v>
      </c>
      <c r="M65" s="48">
        <f t="shared" si="17"/>
        <v>12231</v>
      </c>
      <c r="N65" s="48">
        <f t="shared" si="17"/>
        <v>12231</v>
      </c>
      <c r="O65" s="48">
        <f t="shared" si="17"/>
        <v>12231</v>
      </c>
      <c r="P65" s="48">
        <f t="shared" si="17"/>
        <v>12231</v>
      </c>
      <c r="Q65" s="48">
        <f t="shared" si="17"/>
        <v>12231</v>
      </c>
      <c r="R65" s="48">
        <f t="shared" ref="R65:Z80" si="18">($AC65/$AB65)/24</f>
        <v>12231</v>
      </c>
      <c r="S65" s="48">
        <f t="shared" si="18"/>
        <v>12231</v>
      </c>
      <c r="T65" s="48">
        <f t="shared" si="18"/>
        <v>12231</v>
      </c>
      <c r="U65" s="48">
        <f t="shared" si="18"/>
        <v>12231</v>
      </c>
      <c r="V65" s="48">
        <f t="shared" si="18"/>
        <v>12231</v>
      </c>
      <c r="W65" s="48">
        <f t="shared" si="18"/>
        <v>12231</v>
      </c>
      <c r="X65" s="48">
        <f t="shared" si="18"/>
        <v>12231</v>
      </c>
      <c r="Y65" s="48">
        <f t="shared" si="18"/>
        <v>12231</v>
      </c>
      <c r="Z65" s="48">
        <f t="shared" si="18"/>
        <v>12231</v>
      </c>
      <c r="AA65" s="48">
        <f t="shared" si="15"/>
        <v>293544</v>
      </c>
      <c r="AB65" s="83">
        <f t="shared" si="13"/>
        <v>31</v>
      </c>
      <c r="AC65" s="48">
        <v>9099864</v>
      </c>
      <c r="AE65" s="47"/>
    </row>
    <row r="66" spans="1:31" ht="13" x14ac:dyDescent="0.25">
      <c r="A66" s="15">
        <f t="shared" si="12"/>
        <v>2034</v>
      </c>
      <c r="B66" s="18">
        <v>48945</v>
      </c>
      <c r="C66" s="48">
        <f t="shared" ref="C66:R81" si="19">($AC66/$AB66)/24</f>
        <v>28226</v>
      </c>
      <c r="D66" s="48">
        <f t="shared" si="19"/>
        <v>28226</v>
      </c>
      <c r="E66" s="48">
        <f t="shared" si="19"/>
        <v>28226</v>
      </c>
      <c r="F66" s="48">
        <f t="shared" si="19"/>
        <v>28226</v>
      </c>
      <c r="G66" s="48">
        <f t="shared" si="19"/>
        <v>28226</v>
      </c>
      <c r="H66" s="48">
        <f t="shared" si="19"/>
        <v>28226</v>
      </c>
      <c r="I66" s="48">
        <f t="shared" si="19"/>
        <v>28226</v>
      </c>
      <c r="J66" s="48">
        <f t="shared" si="19"/>
        <v>28226</v>
      </c>
      <c r="K66" s="48">
        <f t="shared" si="19"/>
        <v>28226</v>
      </c>
      <c r="L66" s="48">
        <f t="shared" si="19"/>
        <v>28226</v>
      </c>
      <c r="M66" s="48">
        <f t="shared" si="19"/>
        <v>28226</v>
      </c>
      <c r="N66" s="48">
        <f t="shared" si="19"/>
        <v>28226</v>
      </c>
      <c r="O66" s="48">
        <f t="shared" si="19"/>
        <v>28226</v>
      </c>
      <c r="P66" s="48">
        <f t="shared" si="19"/>
        <v>28226</v>
      </c>
      <c r="Q66" s="48">
        <f t="shared" si="19"/>
        <v>28226</v>
      </c>
      <c r="R66" s="48">
        <f t="shared" si="19"/>
        <v>28226</v>
      </c>
      <c r="S66" s="48">
        <f t="shared" si="18"/>
        <v>28226</v>
      </c>
      <c r="T66" s="48">
        <f t="shared" si="18"/>
        <v>28226</v>
      </c>
      <c r="U66" s="48">
        <f t="shared" si="18"/>
        <v>28226</v>
      </c>
      <c r="V66" s="48">
        <f t="shared" si="18"/>
        <v>28226</v>
      </c>
      <c r="W66" s="48">
        <f t="shared" si="18"/>
        <v>28226</v>
      </c>
      <c r="X66" s="48">
        <f t="shared" si="18"/>
        <v>28226</v>
      </c>
      <c r="Y66" s="48">
        <f t="shared" si="18"/>
        <v>28226</v>
      </c>
      <c r="Z66" s="48">
        <f t="shared" si="18"/>
        <v>28226</v>
      </c>
      <c r="AA66" s="48">
        <f t="shared" si="15"/>
        <v>677424</v>
      </c>
      <c r="AB66" s="83">
        <f t="shared" si="13"/>
        <v>31</v>
      </c>
      <c r="AC66" s="48">
        <v>21000144</v>
      </c>
      <c r="AE66" s="47"/>
    </row>
    <row r="67" spans="1:31" ht="13" x14ac:dyDescent="0.25">
      <c r="A67" s="15">
        <f t="shared" si="12"/>
        <v>2034</v>
      </c>
      <c r="B67" s="18">
        <v>48976</v>
      </c>
      <c r="C67" s="48">
        <f t="shared" si="19"/>
        <v>31845</v>
      </c>
      <c r="D67" s="48">
        <f t="shared" si="19"/>
        <v>31845</v>
      </c>
      <c r="E67" s="48">
        <f t="shared" si="19"/>
        <v>31845</v>
      </c>
      <c r="F67" s="48">
        <f t="shared" si="19"/>
        <v>31845</v>
      </c>
      <c r="G67" s="48">
        <f t="shared" si="19"/>
        <v>31845</v>
      </c>
      <c r="H67" s="48">
        <f t="shared" si="19"/>
        <v>31845</v>
      </c>
      <c r="I67" s="48">
        <f t="shared" si="19"/>
        <v>31845</v>
      </c>
      <c r="J67" s="48">
        <f t="shared" si="19"/>
        <v>31845</v>
      </c>
      <c r="K67" s="48">
        <f t="shared" si="19"/>
        <v>31845</v>
      </c>
      <c r="L67" s="48">
        <f t="shared" si="19"/>
        <v>31845</v>
      </c>
      <c r="M67" s="48">
        <f t="shared" si="19"/>
        <v>31845</v>
      </c>
      <c r="N67" s="48">
        <f t="shared" si="19"/>
        <v>31845</v>
      </c>
      <c r="O67" s="48">
        <f t="shared" si="19"/>
        <v>31845</v>
      </c>
      <c r="P67" s="48">
        <f t="shared" si="19"/>
        <v>31845</v>
      </c>
      <c r="Q67" s="48">
        <f t="shared" si="19"/>
        <v>31845</v>
      </c>
      <c r="R67" s="48">
        <f t="shared" si="19"/>
        <v>31845</v>
      </c>
      <c r="S67" s="48">
        <f t="shared" si="18"/>
        <v>31845</v>
      </c>
      <c r="T67" s="48">
        <f t="shared" si="18"/>
        <v>31845</v>
      </c>
      <c r="U67" s="48">
        <f t="shared" si="18"/>
        <v>31845</v>
      </c>
      <c r="V67" s="48">
        <f t="shared" si="18"/>
        <v>31845</v>
      </c>
      <c r="W67" s="48">
        <f t="shared" si="18"/>
        <v>31845</v>
      </c>
      <c r="X67" s="48">
        <f t="shared" si="18"/>
        <v>31845</v>
      </c>
      <c r="Y67" s="48">
        <f t="shared" si="18"/>
        <v>31845</v>
      </c>
      <c r="Z67" s="48">
        <f t="shared" si="18"/>
        <v>31845</v>
      </c>
      <c r="AA67" s="48">
        <f t="shared" si="15"/>
        <v>764280</v>
      </c>
      <c r="AB67" s="83">
        <f t="shared" si="13"/>
        <v>28</v>
      </c>
      <c r="AC67" s="48">
        <v>21399840</v>
      </c>
      <c r="AE67" s="47"/>
    </row>
    <row r="68" spans="1:31" ht="13" x14ac:dyDescent="0.25">
      <c r="A68" s="15">
        <f t="shared" si="12"/>
        <v>2034</v>
      </c>
      <c r="B68" s="18">
        <v>49004</v>
      </c>
      <c r="C68" s="48">
        <f t="shared" si="19"/>
        <v>28226</v>
      </c>
      <c r="D68" s="48">
        <f t="shared" si="19"/>
        <v>28226</v>
      </c>
      <c r="E68" s="48">
        <f t="shared" si="19"/>
        <v>28226</v>
      </c>
      <c r="F68" s="48">
        <f t="shared" si="19"/>
        <v>28226</v>
      </c>
      <c r="G68" s="48">
        <f t="shared" si="19"/>
        <v>28226</v>
      </c>
      <c r="H68" s="48">
        <f t="shared" si="19"/>
        <v>28226</v>
      </c>
      <c r="I68" s="48">
        <f t="shared" si="19"/>
        <v>28226</v>
      </c>
      <c r="J68" s="48">
        <f t="shared" si="19"/>
        <v>28226</v>
      </c>
      <c r="K68" s="48">
        <f t="shared" si="19"/>
        <v>28226</v>
      </c>
      <c r="L68" s="48">
        <f t="shared" si="19"/>
        <v>28226</v>
      </c>
      <c r="M68" s="48">
        <f t="shared" si="19"/>
        <v>28226</v>
      </c>
      <c r="N68" s="48">
        <f t="shared" si="19"/>
        <v>28226</v>
      </c>
      <c r="O68" s="48">
        <f t="shared" si="19"/>
        <v>28226</v>
      </c>
      <c r="P68" s="48">
        <f t="shared" si="19"/>
        <v>28226</v>
      </c>
      <c r="Q68" s="48">
        <f t="shared" si="19"/>
        <v>28226</v>
      </c>
      <c r="R68" s="48">
        <f t="shared" si="19"/>
        <v>28226</v>
      </c>
      <c r="S68" s="48">
        <f t="shared" si="18"/>
        <v>28226</v>
      </c>
      <c r="T68" s="48">
        <f t="shared" si="18"/>
        <v>28226</v>
      </c>
      <c r="U68" s="48">
        <f t="shared" si="18"/>
        <v>28226</v>
      </c>
      <c r="V68" s="48">
        <f t="shared" si="18"/>
        <v>28226</v>
      </c>
      <c r="W68" s="48">
        <f t="shared" si="18"/>
        <v>28226</v>
      </c>
      <c r="X68" s="48">
        <f t="shared" si="18"/>
        <v>28226</v>
      </c>
      <c r="Y68" s="48">
        <f t="shared" si="18"/>
        <v>28226</v>
      </c>
      <c r="Z68" s="48">
        <f t="shared" si="18"/>
        <v>28226</v>
      </c>
      <c r="AA68" s="48">
        <f t="shared" si="15"/>
        <v>677424</v>
      </c>
      <c r="AB68" s="83">
        <f t="shared" si="13"/>
        <v>31</v>
      </c>
      <c r="AC68" s="48">
        <v>21000144</v>
      </c>
      <c r="AE68" s="47"/>
    </row>
    <row r="69" spans="1:31" ht="13" x14ac:dyDescent="0.25">
      <c r="A69" s="15">
        <f t="shared" si="12"/>
        <v>2034</v>
      </c>
      <c r="B69" s="18">
        <v>49035</v>
      </c>
      <c r="C69" s="48">
        <f t="shared" si="19"/>
        <v>29306</v>
      </c>
      <c r="D69" s="48">
        <f t="shared" si="19"/>
        <v>29306</v>
      </c>
      <c r="E69" s="48">
        <f t="shared" si="19"/>
        <v>29306</v>
      </c>
      <c r="F69" s="48">
        <f t="shared" si="19"/>
        <v>29306</v>
      </c>
      <c r="G69" s="48">
        <f t="shared" si="19"/>
        <v>29306</v>
      </c>
      <c r="H69" s="48">
        <f t="shared" si="19"/>
        <v>29306</v>
      </c>
      <c r="I69" s="48">
        <f t="shared" si="19"/>
        <v>29306</v>
      </c>
      <c r="J69" s="48">
        <f t="shared" si="19"/>
        <v>29306</v>
      </c>
      <c r="K69" s="48">
        <f t="shared" si="19"/>
        <v>29306</v>
      </c>
      <c r="L69" s="48">
        <f t="shared" si="19"/>
        <v>29306</v>
      </c>
      <c r="M69" s="48">
        <f t="shared" si="19"/>
        <v>29306</v>
      </c>
      <c r="N69" s="48">
        <f t="shared" si="19"/>
        <v>29306</v>
      </c>
      <c r="O69" s="48">
        <f t="shared" si="19"/>
        <v>29306</v>
      </c>
      <c r="P69" s="48">
        <f t="shared" si="19"/>
        <v>29306</v>
      </c>
      <c r="Q69" s="48">
        <f t="shared" si="19"/>
        <v>29306</v>
      </c>
      <c r="R69" s="48">
        <f t="shared" si="19"/>
        <v>29306</v>
      </c>
      <c r="S69" s="48">
        <f t="shared" si="18"/>
        <v>29306</v>
      </c>
      <c r="T69" s="48">
        <f t="shared" si="18"/>
        <v>29306</v>
      </c>
      <c r="U69" s="48">
        <f t="shared" si="18"/>
        <v>29306</v>
      </c>
      <c r="V69" s="48">
        <f t="shared" si="18"/>
        <v>29306</v>
      </c>
      <c r="W69" s="48">
        <f t="shared" si="18"/>
        <v>29306</v>
      </c>
      <c r="X69" s="48">
        <f t="shared" si="18"/>
        <v>29306</v>
      </c>
      <c r="Y69" s="48">
        <f t="shared" si="18"/>
        <v>29306</v>
      </c>
      <c r="Z69" s="48">
        <f t="shared" si="18"/>
        <v>29306</v>
      </c>
      <c r="AA69" s="48">
        <f t="shared" si="15"/>
        <v>703344</v>
      </c>
      <c r="AB69" s="83">
        <f t="shared" si="13"/>
        <v>30</v>
      </c>
      <c r="AC69" s="48">
        <v>21100320</v>
      </c>
      <c r="AE69" s="47"/>
    </row>
    <row r="70" spans="1:31" ht="13" x14ac:dyDescent="0.25">
      <c r="A70" s="15">
        <f t="shared" si="12"/>
        <v>2034</v>
      </c>
      <c r="B70" s="18">
        <v>49065</v>
      </c>
      <c r="C70" s="48">
        <f t="shared" si="19"/>
        <v>28226</v>
      </c>
      <c r="D70" s="48">
        <f t="shared" si="19"/>
        <v>28226</v>
      </c>
      <c r="E70" s="48">
        <f t="shared" si="19"/>
        <v>28226</v>
      </c>
      <c r="F70" s="48">
        <f t="shared" si="19"/>
        <v>28226</v>
      </c>
      <c r="G70" s="48">
        <f t="shared" si="19"/>
        <v>28226</v>
      </c>
      <c r="H70" s="48">
        <f t="shared" si="19"/>
        <v>28226</v>
      </c>
      <c r="I70" s="48">
        <f t="shared" si="19"/>
        <v>28226</v>
      </c>
      <c r="J70" s="48">
        <f t="shared" si="19"/>
        <v>28226</v>
      </c>
      <c r="K70" s="48">
        <f t="shared" si="19"/>
        <v>28226</v>
      </c>
      <c r="L70" s="48">
        <f t="shared" si="19"/>
        <v>28226</v>
      </c>
      <c r="M70" s="48">
        <f t="shared" si="19"/>
        <v>28226</v>
      </c>
      <c r="N70" s="48">
        <f t="shared" si="19"/>
        <v>28226</v>
      </c>
      <c r="O70" s="48">
        <f t="shared" si="19"/>
        <v>28226</v>
      </c>
      <c r="P70" s="48">
        <f t="shared" si="19"/>
        <v>28226</v>
      </c>
      <c r="Q70" s="48">
        <f t="shared" si="19"/>
        <v>28226</v>
      </c>
      <c r="R70" s="48">
        <f t="shared" si="19"/>
        <v>28226</v>
      </c>
      <c r="S70" s="48">
        <f t="shared" si="18"/>
        <v>28226</v>
      </c>
      <c r="T70" s="48">
        <f t="shared" si="18"/>
        <v>28226</v>
      </c>
      <c r="U70" s="48">
        <f t="shared" si="18"/>
        <v>28226</v>
      </c>
      <c r="V70" s="48">
        <f t="shared" si="18"/>
        <v>28226</v>
      </c>
      <c r="W70" s="48">
        <f t="shared" si="18"/>
        <v>28226</v>
      </c>
      <c r="X70" s="48">
        <f t="shared" si="18"/>
        <v>28226</v>
      </c>
      <c r="Y70" s="48">
        <f t="shared" si="18"/>
        <v>28226</v>
      </c>
      <c r="Z70" s="48">
        <f t="shared" si="18"/>
        <v>28226</v>
      </c>
      <c r="AA70" s="48">
        <f t="shared" si="15"/>
        <v>677424</v>
      </c>
      <c r="AB70" s="83">
        <f t="shared" si="13"/>
        <v>31</v>
      </c>
      <c r="AC70" s="48">
        <v>21000144</v>
      </c>
      <c r="AE70" s="47"/>
    </row>
    <row r="71" spans="1:31" ht="13" x14ac:dyDescent="0.25">
      <c r="A71" s="15">
        <f t="shared" si="12"/>
        <v>2034</v>
      </c>
      <c r="B71" s="18">
        <v>49096</v>
      </c>
      <c r="C71" s="48">
        <f t="shared" si="19"/>
        <v>29306</v>
      </c>
      <c r="D71" s="48">
        <f t="shared" si="19"/>
        <v>29306</v>
      </c>
      <c r="E71" s="48">
        <f t="shared" si="19"/>
        <v>29306</v>
      </c>
      <c r="F71" s="48">
        <f t="shared" si="19"/>
        <v>29306</v>
      </c>
      <c r="G71" s="48">
        <f t="shared" si="19"/>
        <v>29306</v>
      </c>
      <c r="H71" s="48">
        <f t="shared" si="19"/>
        <v>29306</v>
      </c>
      <c r="I71" s="48">
        <f t="shared" si="19"/>
        <v>29306</v>
      </c>
      <c r="J71" s="48">
        <f t="shared" si="19"/>
        <v>29306</v>
      </c>
      <c r="K71" s="48">
        <f t="shared" si="19"/>
        <v>29306</v>
      </c>
      <c r="L71" s="48">
        <f t="shared" si="19"/>
        <v>29306</v>
      </c>
      <c r="M71" s="48">
        <f t="shared" si="19"/>
        <v>29306</v>
      </c>
      <c r="N71" s="48">
        <f t="shared" si="19"/>
        <v>29306</v>
      </c>
      <c r="O71" s="48">
        <f t="shared" si="19"/>
        <v>29306</v>
      </c>
      <c r="P71" s="48">
        <f t="shared" si="19"/>
        <v>29306</v>
      </c>
      <c r="Q71" s="48">
        <f t="shared" si="19"/>
        <v>29306</v>
      </c>
      <c r="R71" s="48">
        <f t="shared" si="19"/>
        <v>29306</v>
      </c>
      <c r="S71" s="48">
        <f t="shared" si="18"/>
        <v>29306</v>
      </c>
      <c r="T71" s="48">
        <f t="shared" si="18"/>
        <v>29306</v>
      </c>
      <c r="U71" s="48">
        <f t="shared" si="18"/>
        <v>29306</v>
      </c>
      <c r="V71" s="48">
        <f t="shared" si="18"/>
        <v>29306</v>
      </c>
      <c r="W71" s="48">
        <f t="shared" si="18"/>
        <v>29306</v>
      </c>
      <c r="X71" s="48">
        <f t="shared" si="18"/>
        <v>29306</v>
      </c>
      <c r="Y71" s="48">
        <f t="shared" si="18"/>
        <v>29306</v>
      </c>
      <c r="Z71" s="48">
        <f t="shared" si="18"/>
        <v>29306</v>
      </c>
      <c r="AA71" s="48">
        <f t="shared" si="15"/>
        <v>703344</v>
      </c>
      <c r="AB71" s="83">
        <f t="shared" si="13"/>
        <v>30</v>
      </c>
      <c r="AC71" s="48">
        <v>21100320</v>
      </c>
      <c r="AE71" s="47"/>
    </row>
    <row r="72" spans="1:31" ht="13" x14ac:dyDescent="0.25">
      <c r="A72" s="15">
        <f t="shared" si="12"/>
        <v>2034</v>
      </c>
      <c r="B72" s="18">
        <v>49126</v>
      </c>
      <c r="C72" s="48">
        <f t="shared" si="19"/>
        <v>28226</v>
      </c>
      <c r="D72" s="48">
        <f t="shared" si="19"/>
        <v>28226</v>
      </c>
      <c r="E72" s="48">
        <f t="shared" si="19"/>
        <v>28226</v>
      </c>
      <c r="F72" s="48">
        <f t="shared" si="19"/>
        <v>28226</v>
      </c>
      <c r="G72" s="48">
        <f t="shared" si="19"/>
        <v>28226</v>
      </c>
      <c r="H72" s="48">
        <f t="shared" si="19"/>
        <v>28226</v>
      </c>
      <c r="I72" s="48">
        <f t="shared" si="19"/>
        <v>28226</v>
      </c>
      <c r="J72" s="48">
        <f t="shared" si="19"/>
        <v>28226</v>
      </c>
      <c r="K72" s="48">
        <f t="shared" si="19"/>
        <v>28226</v>
      </c>
      <c r="L72" s="48">
        <f t="shared" si="19"/>
        <v>28226</v>
      </c>
      <c r="M72" s="48">
        <f t="shared" si="19"/>
        <v>28226</v>
      </c>
      <c r="N72" s="48">
        <f t="shared" si="19"/>
        <v>28226</v>
      </c>
      <c r="O72" s="48">
        <f t="shared" si="19"/>
        <v>28226</v>
      </c>
      <c r="P72" s="48">
        <f t="shared" si="19"/>
        <v>28226</v>
      </c>
      <c r="Q72" s="48">
        <f t="shared" si="19"/>
        <v>28226</v>
      </c>
      <c r="R72" s="48">
        <f t="shared" si="19"/>
        <v>28226</v>
      </c>
      <c r="S72" s="48">
        <f t="shared" si="18"/>
        <v>28226</v>
      </c>
      <c r="T72" s="48">
        <f t="shared" si="18"/>
        <v>28226</v>
      </c>
      <c r="U72" s="48">
        <f t="shared" si="18"/>
        <v>28226</v>
      </c>
      <c r="V72" s="48">
        <f t="shared" si="18"/>
        <v>28226</v>
      </c>
      <c r="W72" s="48">
        <f t="shared" si="18"/>
        <v>28226</v>
      </c>
      <c r="X72" s="48">
        <f t="shared" si="18"/>
        <v>28226</v>
      </c>
      <c r="Y72" s="48">
        <f t="shared" si="18"/>
        <v>28226</v>
      </c>
      <c r="Z72" s="48">
        <f t="shared" si="18"/>
        <v>28226</v>
      </c>
      <c r="AA72" s="48">
        <f t="shared" si="15"/>
        <v>677424</v>
      </c>
      <c r="AB72" s="83">
        <f t="shared" si="13"/>
        <v>31</v>
      </c>
      <c r="AC72" s="48">
        <v>21000144</v>
      </c>
      <c r="AE72" s="47"/>
    </row>
    <row r="73" spans="1:31" ht="13" x14ac:dyDescent="0.25">
      <c r="A73" s="15">
        <f t="shared" si="12"/>
        <v>2034</v>
      </c>
      <c r="B73" s="18">
        <v>49157</v>
      </c>
      <c r="C73" s="48">
        <f t="shared" si="19"/>
        <v>28360</v>
      </c>
      <c r="D73" s="48">
        <f t="shared" si="19"/>
        <v>28360</v>
      </c>
      <c r="E73" s="48">
        <f t="shared" si="19"/>
        <v>28360</v>
      </c>
      <c r="F73" s="48">
        <f t="shared" si="19"/>
        <v>28360</v>
      </c>
      <c r="G73" s="48">
        <f t="shared" si="19"/>
        <v>28360</v>
      </c>
      <c r="H73" s="48">
        <f t="shared" si="19"/>
        <v>28360</v>
      </c>
      <c r="I73" s="48">
        <f t="shared" si="19"/>
        <v>28360</v>
      </c>
      <c r="J73" s="48">
        <f t="shared" si="19"/>
        <v>28360</v>
      </c>
      <c r="K73" s="48">
        <f t="shared" si="19"/>
        <v>28360</v>
      </c>
      <c r="L73" s="48">
        <f t="shared" si="19"/>
        <v>28360</v>
      </c>
      <c r="M73" s="48">
        <f t="shared" si="19"/>
        <v>28360</v>
      </c>
      <c r="N73" s="48">
        <f t="shared" si="19"/>
        <v>28360</v>
      </c>
      <c r="O73" s="48">
        <f t="shared" si="19"/>
        <v>28360</v>
      </c>
      <c r="P73" s="48">
        <f t="shared" si="19"/>
        <v>28360</v>
      </c>
      <c r="Q73" s="48">
        <f t="shared" si="19"/>
        <v>28360</v>
      </c>
      <c r="R73" s="48">
        <f t="shared" si="19"/>
        <v>28360</v>
      </c>
      <c r="S73" s="48">
        <f t="shared" si="18"/>
        <v>28360</v>
      </c>
      <c r="T73" s="48">
        <f t="shared" si="18"/>
        <v>28360</v>
      </c>
      <c r="U73" s="48">
        <f t="shared" si="18"/>
        <v>28360</v>
      </c>
      <c r="V73" s="48">
        <f t="shared" si="18"/>
        <v>28360</v>
      </c>
      <c r="W73" s="48">
        <f t="shared" si="18"/>
        <v>28360</v>
      </c>
      <c r="X73" s="48">
        <f t="shared" si="18"/>
        <v>28360</v>
      </c>
      <c r="Y73" s="48">
        <f t="shared" si="18"/>
        <v>28360</v>
      </c>
      <c r="Z73" s="48">
        <f t="shared" si="18"/>
        <v>28360</v>
      </c>
      <c r="AA73" s="48">
        <f t="shared" si="15"/>
        <v>680640</v>
      </c>
      <c r="AB73" s="83">
        <f t="shared" si="13"/>
        <v>31</v>
      </c>
      <c r="AC73" s="48">
        <v>21099840</v>
      </c>
      <c r="AE73" s="47"/>
    </row>
    <row r="74" spans="1:31" ht="13" x14ac:dyDescent="0.25">
      <c r="A74" s="15">
        <f t="shared" si="12"/>
        <v>2034</v>
      </c>
      <c r="B74" s="18">
        <v>49188</v>
      </c>
      <c r="C74" s="48">
        <f t="shared" si="19"/>
        <v>29583</v>
      </c>
      <c r="D74" s="48">
        <f t="shared" si="19"/>
        <v>29583</v>
      </c>
      <c r="E74" s="48">
        <f t="shared" si="19"/>
        <v>29583</v>
      </c>
      <c r="F74" s="48">
        <f t="shared" si="19"/>
        <v>29583</v>
      </c>
      <c r="G74" s="48">
        <f t="shared" si="19"/>
        <v>29583</v>
      </c>
      <c r="H74" s="48">
        <f t="shared" si="19"/>
        <v>29583</v>
      </c>
      <c r="I74" s="48">
        <f t="shared" si="19"/>
        <v>29583</v>
      </c>
      <c r="J74" s="48">
        <f t="shared" si="19"/>
        <v>29583</v>
      </c>
      <c r="K74" s="48">
        <f t="shared" si="19"/>
        <v>29583</v>
      </c>
      <c r="L74" s="48">
        <f t="shared" si="19"/>
        <v>29583</v>
      </c>
      <c r="M74" s="48">
        <f t="shared" si="19"/>
        <v>29583</v>
      </c>
      <c r="N74" s="48">
        <f t="shared" si="19"/>
        <v>29583</v>
      </c>
      <c r="O74" s="48">
        <f t="shared" si="19"/>
        <v>29583</v>
      </c>
      <c r="P74" s="48">
        <f t="shared" si="19"/>
        <v>29583</v>
      </c>
      <c r="Q74" s="48">
        <f t="shared" si="19"/>
        <v>29583</v>
      </c>
      <c r="R74" s="48">
        <f t="shared" si="19"/>
        <v>29583</v>
      </c>
      <c r="S74" s="48">
        <f t="shared" si="18"/>
        <v>29583</v>
      </c>
      <c r="T74" s="48">
        <f t="shared" si="18"/>
        <v>29583</v>
      </c>
      <c r="U74" s="48">
        <f t="shared" si="18"/>
        <v>29583</v>
      </c>
      <c r="V74" s="48">
        <f t="shared" si="18"/>
        <v>29583</v>
      </c>
      <c r="W74" s="48">
        <f t="shared" si="18"/>
        <v>29583</v>
      </c>
      <c r="X74" s="48">
        <f t="shared" si="18"/>
        <v>29583</v>
      </c>
      <c r="Y74" s="48">
        <f t="shared" si="18"/>
        <v>29583</v>
      </c>
      <c r="Z74" s="48">
        <f t="shared" si="18"/>
        <v>29583</v>
      </c>
      <c r="AA74" s="48">
        <f t="shared" si="15"/>
        <v>709992</v>
      </c>
      <c r="AB74" s="83">
        <f t="shared" si="13"/>
        <v>30</v>
      </c>
      <c r="AC74" s="48">
        <v>21299760</v>
      </c>
      <c r="AE74" s="47"/>
    </row>
    <row r="75" spans="1:31" ht="13" x14ac:dyDescent="0.25">
      <c r="A75" s="15">
        <f t="shared" si="12"/>
        <v>2034</v>
      </c>
      <c r="B75" s="18">
        <v>49218</v>
      </c>
      <c r="C75" s="48">
        <f t="shared" si="19"/>
        <v>28360</v>
      </c>
      <c r="D75" s="48">
        <f t="shared" si="19"/>
        <v>28360</v>
      </c>
      <c r="E75" s="48">
        <f t="shared" si="19"/>
        <v>28360</v>
      </c>
      <c r="F75" s="48">
        <f t="shared" si="19"/>
        <v>28360</v>
      </c>
      <c r="G75" s="48">
        <f t="shared" si="19"/>
        <v>28360</v>
      </c>
      <c r="H75" s="48">
        <f t="shared" si="19"/>
        <v>28360</v>
      </c>
      <c r="I75" s="48">
        <f t="shared" si="19"/>
        <v>28360</v>
      </c>
      <c r="J75" s="48">
        <f t="shared" si="19"/>
        <v>28360</v>
      </c>
      <c r="K75" s="48">
        <f t="shared" si="19"/>
        <v>28360</v>
      </c>
      <c r="L75" s="48">
        <f t="shared" si="19"/>
        <v>28360</v>
      </c>
      <c r="M75" s="48">
        <f t="shared" si="19"/>
        <v>28360</v>
      </c>
      <c r="N75" s="48">
        <f t="shared" si="19"/>
        <v>28360</v>
      </c>
      <c r="O75" s="48">
        <f t="shared" si="19"/>
        <v>28360</v>
      </c>
      <c r="P75" s="48">
        <f t="shared" si="19"/>
        <v>28360</v>
      </c>
      <c r="Q75" s="48">
        <f t="shared" si="19"/>
        <v>28360</v>
      </c>
      <c r="R75" s="48">
        <f t="shared" si="19"/>
        <v>28360</v>
      </c>
      <c r="S75" s="48">
        <f t="shared" si="18"/>
        <v>28360</v>
      </c>
      <c r="T75" s="48">
        <f t="shared" si="18"/>
        <v>28360</v>
      </c>
      <c r="U75" s="48">
        <f t="shared" si="18"/>
        <v>28360</v>
      </c>
      <c r="V75" s="48">
        <f t="shared" si="18"/>
        <v>28360</v>
      </c>
      <c r="W75" s="48">
        <f t="shared" si="18"/>
        <v>28360</v>
      </c>
      <c r="X75" s="48">
        <f t="shared" si="18"/>
        <v>28360</v>
      </c>
      <c r="Y75" s="48">
        <f t="shared" si="18"/>
        <v>28360</v>
      </c>
      <c r="Z75" s="48">
        <f t="shared" si="18"/>
        <v>28360</v>
      </c>
      <c r="AA75" s="48">
        <f t="shared" si="15"/>
        <v>680640</v>
      </c>
      <c r="AB75" s="83">
        <f t="shared" si="13"/>
        <v>31</v>
      </c>
      <c r="AC75" s="48">
        <v>21099840</v>
      </c>
      <c r="AE75" s="47"/>
    </row>
    <row r="76" spans="1:31" ht="13" x14ac:dyDescent="0.25">
      <c r="A76" s="15">
        <f t="shared" si="12"/>
        <v>2034</v>
      </c>
      <c r="B76" s="18">
        <v>49249</v>
      </c>
      <c r="C76" s="48">
        <f t="shared" si="19"/>
        <v>29583</v>
      </c>
      <c r="D76" s="48">
        <f t="shared" si="19"/>
        <v>29583</v>
      </c>
      <c r="E76" s="48">
        <f t="shared" si="19"/>
        <v>29583</v>
      </c>
      <c r="F76" s="48">
        <f t="shared" si="19"/>
        <v>29583</v>
      </c>
      <c r="G76" s="48">
        <f t="shared" si="19"/>
        <v>29583</v>
      </c>
      <c r="H76" s="48">
        <f t="shared" si="19"/>
        <v>29583</v>
      </c>
      <c r="I76" s="48">
        <f t="shared" si="19"/>
        <v>29583</v>
      </c>
      <c r="J76" s="48">
        <f t="shared" si="19"/>
        <v>29583</v>
      </c>
      <c r="K76" s="48">
        <f t="shared" si="19"/>
        <v>29583</v>
      </c>
      <c r="L76" s="48">
        <f t="shared" si="19"/>
        <v>29583</v>
      </c>
      <c r="M76" s="48">
        <f t="shared" si="19"/>
        <v>29583</v>
      </c>
      <c r="N76" s="48">
        <f t="shared" si="19"/>
        <v>29583</v>
      </c>
      <c r="O76" s="48">
        <f t="shared" si="19"/>
        <v>29583</v>
      </c>
      <c r="P76" s="48">
        <f t="shared" si="19"/>
        <v>29583</v>
      </c>
      <c r="Q76" s="48">
        <f t="shared" si="19"/>
        <v>29583</v>
      </c>
      <c r="R76" s="48">
        <f t="shared" si="19"/>
        <v>29583</v>
      </c>
      <c r="S76" s="48">
        <f t="shared" si="18"/>
        <v>29583</v>
      </c>
      <c r="T76" s="48">
        <f t="shared" si="18"/>
        <v>29583</v>
      </c>
      <c r="U76" s="48">
        <f t="shared" si="18"/>
        <v>29583</v>
      </c>
      <c r="V76" s="48">
        <f t="shared" si="18"/>
        <v>29583</v>
      </c>
      <c r="W76" s="48">
        <f t="shared" si="18"/>
        <v>29583</v>
      </c>
      <c r="X76" s="48">
        <f t="shared" si="18"/>
        <v>29583</v>
      </c>
      <c r="Y76" s="48">
        <f t="shared" si="18"/>
        <v>29583</v>
      </c>
      <c r="Z76" s="48">
        <f t="shared" si="18"/>
        <v>29583</v>
      </c>
      <c r="AA76" s="48">
        <f t="shared" si="15"/>
        <v>709992</v>
      </c>
      <c r="AB76" s="83">
        <f t="shared" si="13"/>
        <v>30</v>
      </c>
      <c r="AC76" s="48">
        <v>21299760</v>
      </c>
      <c r="AE76" s="47"/>
    </row>
    <row r="77" spans="1:31" ht="13" x14ac:dyDescent="0.25">
      <c r="A77" s="15">
        <f t="shared" si="12"/>
        <v>2034</v>
      </c>
      <c r="B77" s="18">
        <v>49279</v>
      </c>
      <c r="C77" s="48">
        <f t="shared" si="19"/>
        <v>28360</v>
      </c>
      <c r="D77" s="48">
        <f t="shared" si="19"/>
        <v>28360</v>
      </c>
      <c r="E77" s="48">
        <f t="shared" si="19"/>
        <v>28360</v>
      </c>
      <c r="F77" s="48">
        <f t="shared" si="19"/>
        <v>28360</v>
      </c>
      <c r="G77" s="48">
        <f t="shared" si="19"/>
        <v>28360</v>
      </c>
      <c r="H77" s="48">
        <f t="shared" si="19"/>
        <v>28360</v>
      </c>
      <c r="I77" s="48">
        <f t="shared" si="19"/>
        <v>28360</v>
      </c>
      <c r="J77" s="48">
        <f t="shared" si="19"/>
        <v>28360</v>
      </c>
      <c r="K77" s="48">
        <f t="shared" si="19"/>
        <v>28360</v>
      </c>
      <c r="L77" s="48">
        <f t="shared" si="19"/>
        <v>28360</v>
      </c>
      <c r="M77" s="48">
        <f t="shared" si="19"/>
        <v>28360</v>
      </c>
      <c r="N77" s="48">
        <f t="shared" si="19"/>
        <v>28360</v>
      </c>
      <c r="O77" s="48">
        <f t="shared" si="19"/>
        <v>28360</v>
      </c>
      <c r="P77" s="48">
        <f t="shared" si="19"/>
        <v>28360</v>
      </c>
      <c r="Q77" s="48">
        <f t="shared" si="19"/>
        <v>28360</v>
      </c>
      <c r="R77" s="48">
        <f t="shared" si="19"/>
        <v>28360</v>
      </c>
      <c r="S77" s="48">
        <f t="shared" si="18"/>
        <v>28360</v>
      </c>
      <c r="T77" s="48">
        <f t="shared" si="18"/>
        <v>28360</v>
      </c>
      <c r="U77" s="48">
        <f t="shared" si="18"/>
        <v>28360</v>
      </c>
      <c r="V77" s="48">
        <f t="shared" si="18"/>
        <v>28360</v>
      </c>
      <c r="W77" s="48">
        <f t="shared" si="18"/>
        <v>28360</v>
      </c>
      <c r="X77" s="48">
        <f t="shared" si="18"/>
        <v>28360</v>
      </c>
      <c r="Y77" s="48">
        <f t="shared" si="18"/>
        <v>28360</v>
      </c>
      <c r="Z77" s="48">
        <f t="shared" si="18"/>
        <v>28360</v>
      </c>
      <c r="AA77" s="48">
        <f t="shared" si="15"/>
        <v>680640</v>
      </c>
      <c r="AB77" s="83">
        <f t="shared" si="13"/>
        <v>31</v>
      </c>
      <c r="AC77" s="48">
        <v>21099840</v>
      </c>
      <c r="AE77" s="47"/>
    </row>
    <row r="78" spans="1:31" ht="13" x14ac:dyDescent="0.25">
      <c r="A78" s="15">
        <f t="shared" si="12"/>
        <v>2035</v>
      </c>
      <c r="B78" s="18">
        <v>49310</v>
      </c>
      <c r="C78" s="48">
        <f t="shared" si="19"/>
        <v>28360</v>
      </c>
      <c r="D78" s="48">
        <f t="shared" si="19"/>
        <v>28360</v>
      </c>
      <c r="E78" s="48">
        <f t="shared" si="19"/>
        <v>28360</v>
      </c>
      <c r="F78" s="48">
        <f t="shared" si="19"/>
        <v>28360</v>
      </c>
      <c r="G78" s="48">
        <f t="shared" si="19"/>
        <v>28360</v>
      </c>
      <c r="H78" s="48">
        <f t="shared" si="19"/>
        <v>28360</v>
      </c>
      <c r="I78" s="48">
        <f t="shared" si="19"/>
        <v>28360</v>
      </c>
      <c r="J78" s="48">
        <f t="shared" si="19"/>
        <v>28360</v>
      </c>
      <c r="K78" s="48">
        <f t="shared" si="19"/>
        <v>28360</v>
      </c>
      <c r="L78" s="48">
        <f t="shared" si="19"/>
        <v>28360</v>
      </c>
      <c r="M78" s="48">
        <f t="shared" si="19"/>
        <v>28360</v>
      </c>
      <c r="N78" s="48">
        <f t="shared" si="19"/>
        <v>28360</v>
      </c>
      <c r="O78" s="48">
        <f t="shared" si="19"/>
        <v>28360</v>
      </c>
      <c r="P78" s="48">
        <f t="shared" si="19"/>
        <v>28360</v>
      </c>
      <c r="Q78" s="48">
        <f t="shared" si="19"/>
        <v>28360</v>
      </c>
      <c r="R78" s="48">
        <f t="shared" si="19"/>
        <v>28360</v>
      </c>
      <c r="S78" s="48">
        <f t="shared" si="18"/>
        <v>28360</v>
      </c>
      <c r="T78" s="48">
        <f t="shared" si="18"/>
        <v>28360</v>
      </c>
      <c r="U78" s="48">
        <f t="shared" si="18"/>
        <v>28360</v>
      </c>
      <c r="V78" s="48">
        <f t="shared" si="18"/>
        <v>28360</v>
      </c>
      <c r="W78" s="48">
        <f t="shared" si="18"/>
        <v>28360</v>
      </c>
      <c r="X78" s="48">
        <f t="shared" si="18"/>
        <v>28360</v>
      </c>
      <c r="Y78" s="48">
        <f t="shared" si="18"/>
        <v>28360</v>
      </c>
      <c r="Z78" s="48">
        <f t="shared" si="18"/>
        <v>28360</v>
      </c>
      <c r="AA78" s="48">
        <f t="shared" si="15"/>
        <v>680640</v>
      </c>
      <c r="AB78" s="83">
        <f t="shared" si="13"/>
        <v>31</v>
      </c>
      <c r="AC78" s="48">
        <v>21099840</v>
      </c>
      <c r="AE78" s="47"/>
    </row>
    <row r="79" spans="1:31" ht="13" x14ac:dyDescent="0.25">
      <c r="A79" s="15">
        <f t="shared" si="12"/>
        <v>2035</v>
      </c>
      <c r="B79" s="18">
        <v>49341</v>
      </c>
      <c r="C79" s="48">
        <f t="shared" si="19"/>
        <v>31994</v>
      </c>
      <c r="D79" s="48">
        <f t="shared" si="19"/>
        <v>31994</v>
      </c>
      <c r="E79" s="48">
        <f t="shared" si="19"/>
        <v>31994</v>
      </c>
      <c r="F79" s="48">
        <f t="shared" si="19"/>
        <v>31994</v>
      </c>
      <c r="G79" s="48">
        <f t="shared" si="19"/>
        <v>31994</v>
      </c>
      <c r="H79" s="48">
        <f t="shared" si="19"/>
        <v>31994</v>
      </c>
      <c r="I79" s="48">
        <f t="shared" si="19"/>
        <v>31994</v>
      </c>
      <c r="J79" s="48">
        <f t="shared" si="19"/>
        <v>31994</v>
      </c>
      <c r="K79" s="48">
        <f t="shared" si="19"/>
        <v>31994</v>
      </c>
      <c r="L79" s="48">
        <f t="shared" si="19"/>
        <v>31994</v>
      </c>
      <c r="M79" s="48">
        <f t="shared" si="19"/>
        <v>31994</v>
      </c>
      <c r="N79" s="48">
        <f t="shared" si="19"/>
        <v>31994</v>
      </c>
      <c r="O79" s="48">
        <f t="shared" si="19"/>
        <v>31994</v>
      </c>
      <c r="P79" s="48">
        <f t="shared" si="19"/>
        <v>31994</v>
      </c>
      <c r="Q79" s="48">
        <f t="shared" si="19"/>
        <v>31994</v>
      </c>
      <c r="R79" s="48">
        <f t="shared" si="19"/>
        <v>31994</v>
      </c>
      <c r="S79" s="48">
        <f t="shared" si="18"/>
        <v>31994</v>
      </c>
      <c r="T79" s="48">
        <f t="shared" si="18"/>
        <v>31994</v>
      </c>
      <c r="U79" s="48">
        <f t="shared" si="18"/>
        <v>31994</v>
      </c>
      <c r="V79" s="48">
        <f t="shared" si="18"/>
        <v>31994</v>
      </c>
      <c r="W79" s="48">
        <f t="shared" si="18"/>
        <v>31994</v>
      </c>
      <c r="X79" s="48">
        <f t="shared" si="18"/>
        <v>31994</v>
      </c>
      <c r="Y79" s="48">
        <f t="shared" si="18"/>
        <v>31994</v>
      </c>
      <c r="Z79" s="48">
        <f t="shared" si="18"/>
        <v>31994</v>
      </c>
      <c r="AA79" s="48">
        <f t="shared" si="15"/>
        <v>767856</v>
      </c>
      <c r="AB79" s="83">
        <f t="shared" si="13"/>
        <v>28</v>
      </c>
      <c r="AC79" s="48">
        <v>21499968</v>
      </c>
      <c r="AE79" s="47"/>
    </row>
    <row r="80" spans="1:31" ht="13" x14ac:dyDescent="0.25">
      <c r="A80" s="15">
        <f t="shared" si="12"/>
        <v>2035</v>
      </c>
      <c r="B80" s="18">
        <v>49369</v>
      </c>
      <c r="C80" s="48">
        <f t="shared" si="19"/>
        <v>28360</v>
      </c>
      <c r="D80" s="48">
        <f t="shared" si="19"/>
        <v>28360</v>
      </c>
      <c r="E80" s="48">
        <f t="shared" si="19"/>
        <v>28360</v>
      </c>
      <c r="F80" s="48">
        <f t="shared" si="19"/>
        <v>28360</v>
      </c>
      <c r="G80" s="48">
        <f t="shared" si="19"/>
        <v>28360</v>
      </c>
      <c r="H80" s="48">
        <f t="shared" si="19"/>
        <v>28360</v>
      </c>
      <c r="I80" s="48">
        <f t="shared" si="19"/>
        <v>28360</v>
      </c>
      <c r="J80" s="48">
        <f t="shared" si="19"/>
        <v>28360</v>
      </c>
      <c r="K80" s="48">
        <f t="shared" si="19"/>
        <v>28360</v>
      </c>
      <c r="L80" s="48">
        <f t="shared" si="19"/>
        <v>28360</v>
      </c>
      <c r="M80" s="48">
        <f t="shared" si="19"/>
        <v>28360</v>
      </c>
      <c r="N80" s="48">
        <f t="shared" si="19"/>
        <v>28360</v>
      </c>
      <c r="O80" s="48">
        <f t="shared" si="19"/>
        <v>28360</v>
      </c>
      <c r="P80" s="48">
        <f t="shared" si="19"/>
        <v>28360</v>
      </c>
      <c r="Q80" s="48">
        <f t="shared" si="19"/>
        <v>28360</v>
      </c>
      <c r="R80" s="48">
        <f t="shared" si="19"/>
        <v>28360</v>
      </c>
      <c r="S80" s="48">
        <f t="shared" si="18"/>
        <v>28360</v>
      </c>
      <c r="T80" s="48">
        <f t="shared" si="18"/>
        <v>28360</v>
      </c>
      <c r="U80" s="48">
        <f t="shared" si="18"/>
        <v>28360</v>
      </c>
      <c r="V80" s="48">
        <f t="shared" si="18"/>
        <v>28360</v>
      </c>
      <c r="W80" s="48">
        <f t="shared" si="18"/>
        <v>28360</v>
      </c>
      <c r="X80" s="48">
        <f t="shared" si="18"/>
        <v>28360</v>
      </c>
      <c r="Y80" s="48">
        <f t="shared" si="18"/>
        <v>28360</v>
      </c>
      <c r="Z80" s="48">
        <f t="shared" si="18"/>
        <v>28360</v>
      </c>
      <c r="AA80" s="48">
        <f t="shared" si="15"/>
        <v>680640</v>
      </c>
      <c r="AB80" s="83">
        <f t="shared" si="13"/>
        <v>31</v>
      </c>
      <c r="AC80" s="48">
        <v>21099840</v>
      </c>
      <c r="AE80" s="47"/>
    </row>
    <row r="81" spans="1:31" ht="13" x14ac:dyDescent="0.25">
      <c r="A81" s="15">
        <f t="shared" si="12"/>
        <v>2035</v>
      </c>
      <c r="B81" s="18">
        <v>49400</v>
      </c>
      <c r="C81" s="48">
        <f t="shared" si="19"/>
        <v>29583</v>
      </c>
      <c r="D81" s="48">
        <f t="shared" si="19"/>
        <v>29583</v>
      </c>
      <c r="E81" s="48">
        <f t="shared" si="19"/>
        <v>29583</v>
      </c>
      <c r="F81" s="48">
        <f t="shared" si="19"/>
        <v>29583</v>
      </c>
      <c r="G81" s="48">
        <f t="shared" si="19"/>
        <v>29583</v>
      </c>
      <c r="H81" s="48">
        <f t="shared" si="19"/>
        <v>29583</v>
      </c>
      <c r="I81" s="48">
        <f t="shared" si="19"/>
        <v>29583</v>
      </c>
      <c r="J81" s="48">
        <f t="shared" si="19"/>
        <v>29583</v>
      </c>
      <c r="K81" s="48">
        <f t="shared" si="19"/>
        <v>29583</v>
      </c>
      <c r="L81" s="48">
        <f t="shared" si="19"/>
        <v>29583</v>
      </c>
      <c r="M81" s="48">
        <f t="shared" si="19"/>
        <v>29583</v>
      </c>
      <c r="N81" s="48">
        <f t="shared" si="19"/>
        <v>29583</v>
      </c>
      <c r="O81" s="48">
        <f t="shared" si="19"/>
        <v>29583</v>
      </c>
      <c r="P81" s="48">
        <f t="shared" si="19"/>
        <v>29583</v>
      </c>
      <c r="Q81" s="48">
        <f t="shared" si="19"/>
        <v>29583</v>
      </c>
      <c r="R81" s="48">
        <f t="shared" ref="R81:Z96" si="20">($AC81/$AB81)/24</f>
        <v>29583</v>
      </c>
      <c r="S81" s="48">
        <f t="shared" si="20"/>
        <v>29583</v>
      </c>
      <c r="T81" s="48">
        <f t="shared" si="20"/>
        <v>29583</v>
      </c>
      <c r="U81" s="48">
        <f t="shared" si="20"/>
        <v>29583</v>
      </c>
      <c r="V81" s="48">
        <f t="shared" si="20"/>
        <v>29583</v>
      </c>
      <c r="W81" s="48">
        <f t="shared" si="20"/>
        <v>29583</v>
      </c>
      <c r="X81" s="48">
        <f t="shared" si="20"/>
        <v>29583</v>
      </c>
      <c r="Y81" s="48">
        <f t="shared" si="20"/>
        <v>29583</v>
      </c>
      <c r="Z81" s="48">
        <f t="shared" si="20"/>
        <v>29583</v>
      </c>
      <c r="AA81" s="48">
        <f t="shared" si="15"/>
        <v>709992</v>
      </c>
      <c r="AB81" s="83">
        <f t="shared" si="13"/>
        <v>30</v>
      </c>
      <c r="AC81" s="48">
        <v>21299760</v>
      </c>
      <c r="AE81" s="47"/>
    </row>
    <row r="82" spans="1:31" ht="13" x14ac:dyDescent="0.25">
      <c r="A82" s="15">
        <f t="shared" si="12"/>
        <v>2035</v>
      </c>
      <c r="B82" s="18">
        <v>49430</v>
      </c>
      <c r="C82" s="48">
        <f t="shared" ref="C82:R97" si="21">($AC82/$AB82)/24</f>
        <v>28360</v>
      </c>
      <c r="D82" s="48">
        <f t="shared" si="21"/>
        <v>28360</v>
      </c>
      <c r="E82" s="48">
        <f t="shared" si="21"/>
        <v>28360</v>
      </c>
      <c r="F82" s="48">
        <f t="shared" si="21"/>
        <v>28360</v>
      </c>
      <c r="G82" s="48">
        <f t="shared" si="21"/>
        <v>28360</v>
      </c>
      <c r="H82" s="48">
        <f t="shared" si="21"/>
        <v>28360</v>
      </c>
      <c r="I82" s="48">
        <f t="shared" si="21"/>
        <v>28360</v>
      </c>
      <c r="J82" s="48">
        <f t="shared" si="21"/>
        <v>28360</v>
      </c>
      <c r="K82" s="48">
        <f t="shared" si="21"/>
        <v>28360</v>
      </c>
      <c r="L82" s="48">
        <f t="shared" si="21"/>
        <v>28360</v>
      </c>
      <c r="M82" s="48">
        <f t="shared" si="21"/>
        <v>28360</v>
      </c>
      <c r="N82" s="48">
        <f t="shared" si="21"/>
        <v>28360</v>
      </c>
      <c r="O82" s="48">
        <f t="shared" si="21"/>
        <v>28360</v>
      </c>
      <c r="P82" s="48">
        <f t="shared" si="21"/>
        <v>28360</v>
      </c>
      <c r="Q82" s="48">
        <f t="shared" si="21"/>
        <v>28360</v>
      </c>
      <c r="R82" s="48">
        <f t="shared" si="21"/>
        <v>28360</v>
      </c>
      <c r="S82" s="48">
        <f t="shared" si="20"/>
        <v>28360</v>
      </c>
      <c r="T82" s="48">
        <f t="shared" si="20"/>
        <v>28360</v>
      </c>
      <c r="U82" s="48">
        <f t="shared" si="20"/>
        <v>28360</v>
      </c>
      <c r="V82" s="48">
        <f t="shared" si="20"/>
        <v>28360</v>
      </c>
      <c r="W82" s="48">
        <f t="shared" si="20"/>
        <v>28360</v>
      </c>
      <c r="X82" s="48">
        <f t="shared" si="20"/>
        <v>28360</v>
      </c>
      <c r="Y82" s="48">
        <f t="shared" si="20"/>
        <v>28360</v>
      </c>
      <c r="Z82" s="48">
        <f t="shared" si="20"/>
        <v>28360</v>
      </c>
      <c r="AA82" s="48">
        <f t="shared" si="15"/>
        <v>680640</v>
      </c>
      <c r="AB82" s="83">
        <f t="shared" si="13"/>
        <v>31</v>
      </c>
      <c r="AC82" s="48">
        <v>21099840</v>
      </c>
      <c r="AE82" s="47"/>
    </row>
    <row r="83" spans="1:31" ht="13" x14ac:dyDescent="0.25">
      <c r="A83" s="15">
        <f t="shared" ref="A83:A101" si="22">YEAR(B83)</f>
        <v>2035</v>
      </c>
      <c r="B83" s="18">
        <v>49461</v>
      </c>
      <c r="C83" s="48">
        <f t="shared" si="21"/>
        <v>29583</v>
      </c>
      <c r="D83" s="48">
        <f t="shared" si="21"/>
        <v>29583</v>
      </c>
      <c r="E83" s="48">
        <f t="shared" si="21"/>
        <v>29583</v>
      </c>
      <c r="F83" s="48">
        <f t="shared" si="21"/>
        <v>29583</v>
      </c>
      <c r="G83" s="48">
        <f t="shared" si="21"/>
        <v>29583</v>
      </c>
      <c r="H83" s="48">
        <f t="shared" si="21"/>
        <v>29583</v>
      </c>
      <c r="I83" s="48">
        <f t="shared" si="21"/>
        <v>29583</v>
      </c>
      <c r="J83" s="48">
        <f t="shared" si="21"/>
        <v>29583</v>
      </c>
      <c r="K83" s="48">
        <f t="shared" si="21"/>
        <v>29583</v>
      </c>
      <c r="L83" s="48">
        <f t="shared" si="21"/>
        <v>29583</v>
      </c>
      <c r="M83" s="48">
        <f t="shared" si="21"/>
        <v>29583</v>
      </c>
      <c r="N83" s="48">
        <f t="shared" si="21"/>
        <v>29583</v>
      </c>
      <c r="O83" s="48">
        <f t="shared" si="21"/>
        <v>29583</v>
      </c>
      <c r="P83" s="48">
        <f t="shared" si="21"/>
        <v>29583</v>
      </c>
      <c r="Q83" s="48">
        <f t="shared" si="21"/>
        <v>29583</v>
      </c>
      <c r="R83" s="48">
        <f t="shared" si="21"/>
        <v>29583</v>
      </c>
      <c r="S83" s="48">
        <f t="shared" si="20"/>
        <v>29583</v>
      </c>
      <c r="T83" s="48">
        <f t="shared" si="20"/>
        <v>29583</v>
      </c>
      <c r="U83" s="48">
        <f t="shared" si="20"/>
        <v>29583</v>
      </c>
      <c r="V83" s="48">
        <f t="shared" si="20"/>
        <v>29583</v>
      </c>
      <c r="W83" s="48">
        <f t="shared" si="20"/>
        <v>29583</v>
      </c>
      <c r="X83" s="48">
        <f t="shared" si="20"/>
        <v>29583</v>
      </c>
      <c r="Y83" s="48">
        <f t="shared" si="20"/>
        <v>29583</v>
      </c>
      <c r="Z83" s="48">
        <f t="shared" si="20"/>
        <v>29583</v>
      </c>
      <c r="AA83" s="48">
        <f t="shared" si="15"/>
        <v>709992</v>
      </c>
      <c r="AB83" s="83">
        <f t="shared" ref="AB83:AB101" si="23">DAY(EOMONTH(B83,0))</f>
        <v>30</v>
      </c>
      <c r="AC83" s="48">
        <v>21299760</v>
      </c>
      <c r="AE83" s="47"/>
    </row>
    <row r="84" spans="1:31" ht="13" x14ac:dyDescent="0.25">
      <c r="A84" s="15">
        <f t="shared" si="22"/>
        <v>2035</v>
      </c>
      <c r="B84" s="18">
        <v>49491</v>
      </c>
      <c r="C84" s="48">
        <f t="shared" si="21"/>
        <v>28360</v>
      </c>
      <c r="D84" s="48">
        <f t="shared" si="21"/>
        <v>28360</v>
      </c>
      <c r="E84" s="48">
        <f t="shared" si="21"/>
        <v>28360</v>
      </c>
      <c r="F84" s="48">
        <f t="shared" si="21"/>
        <v>28360</v>
      </c>
      <c r="G84" s="48">
        <f t="shared" si="21"/>
        <v>28360</v>
      </c>
      <c r="H84" s="48">
        <f t="shared" si="21"/>
        <v>28360</v>
      </c>
      <c r="I84" s="48">
        <f t="shared" si="21"/>
        <v>28360</v>
      </c>
      <c r="J84" s="48">
        <f t="shared" si="21"/>
        <v>28360</v>
      </c>
      <c r="K84" s="48">
        <f t="shared" si="21"/>
        <v>28360</v>
      </c>
      <c r="L84" s="48">
        <f t="shared" si="21"/>
        <v>28360</v>
      </c>
      <c r="M84" s="48">
        <f t="shared" si="21"/>
        <v>28360</v>
      </c>
      <c r="N84" s="48">
        <f t="shared" si="21"/>
        <v>28360</v>
      </c>
      <c r="O84" s="48">
        <f t="shared" si="21"/>
        <v>28360</v>
      </c>
      <c r="P84" s="48">
        <f t="shared" si="21"/>
        <v>28360</v>
      </c>
      <c r="Q84" s="48">
        <f t="shared" si="21"/>
        <v>28360</v>
      </c>
      <c r="R84" s="48">
        <f t="shared" si="21"/>
        <v>28360</v>
      </c>
      <c r="S84" s="48">
        <f t="shared" si="20"/>
        <v>28360</v>
      </c>
      <c r="T84" s="48">
        <f t="shared" si="20"/>
        <v>28360</v>
      </c>
      <c r="U84" s="48">
        <f t="shared" si="20"/>
        <v>28360</v>
      </c>
      <c r="V84" s="48">
        <f t="shared" si="20"/>
        <v>28360</v>
      </c>
      <c r="W84" s="48">
        <f t="shared" si="20"/>
        <v>28360</v>
      </c>
      <c r="X84" s="48">
        <f t="shared" si="20"/>
        <v>28360</v>
      </c>
      <c r="Y84" s="48">
        <f t="shared" si="20"/>
        <v>28360</v>
      </c>
      <c r="Z84" s="48">
        <f t="shared" si="20"/>
        <v>28360</v>
      </c>
      <c r="AA84" s="48">
        <f t="shared" si="15"/>
        <v>680640</v>
      </c>
      <c r="AB84" s="83">
        <f t="shared" si="23"/>
        <v>31</v>
      </c>
      <c r="AC84" s="48">
        <v>21099840</v>
      </c>
      <c r="AE84" s="47"/>
    </row>
    <row r="85" spans="1:31" ht="13" x14ac:dyDescent="0.25">
      <c r="A85" s="15">
        <f t="shared" si="22"/>
        <v>2035</v>
      </c>
      <c r="B85" s="18">
        <v>49522</v>
      </c>
      <c r="C85" s="48">
        <f t="shared" si="21"/>
        <v>28360</v>
      </c>
      <c r="D85" s="48">
        <f t="shared" si="21"/>
        <v>28360</v>
      </c>
      <c r="E85" s="48">
        <f t="shared" si="21"/>
        <v>28360</v>
      </c>
      <c r="F85" s="48">
        <f t="shared" si="21"/>
        <v>28360</v>
      </c>
      <c r="G85" s="48">
        <f t="shared" si="21"/>
        <v>28360</v>
      </c>
      <c r="H85" s="48">
        <f t="shared" si="21"/>
        <v>28360</v>
      </c>
      <c r="I85" s="48">
        <f t="shared" si="21"/>
        <v>28360</v>
      </c>
      <c r="J85" s="48">
        <f t="shared" si="21"/>
        <v>28360</v>
      </c>
      <c r="K85" s="48">
        <f t="shared" si="21"/>
        <v>28360</v>
      </c>
      <c r="L85" s="48">
        <f t="shared" si="21"/>
        <v>28360</v>
      </c>
      <c r="M85" s="48">
        <f t="shared" si="21"/>
        <v>28360</v>
      </c>
      <c r="N85" s="48">
        <f t="shared" si="21"/>
        <v>28360</v>
      </c>
      <c r="O85" s="48">
        <f t="shared" si="21"/>
        <v>28360</v>
      </c>
      <c r="P85" s="48">
        <f t="shared" si="21"/>
        <v>28360</v>
      </c>
      <c r="Q85" s="48">
        <f t="shared" si="21"/>
        <v>28360</v>
      </c>
      <c r="R85" s="48">
        <f t="shared" si="21"/>
        <v>28360</v>
      </c>
      <c r="S85" s="48">
        <f t="shared" si="20"/>
        <v>28360</v>
      </c>
      <c r="T85" s="48">
        <f t="shared" si="20"/>
        <v>28360</v>
      </c>
      <c r="U85" s="48">
        <f t="shared" si="20"/>
        <v>28360</v>
      </c>
      <c r="V85" s="48">
        <f t="shared" si="20"/>
        <v>28360</v>
      </c>
      <c r="W85" s="48">
        <f t="shared" si="20"/>
        <v>28360</v>
      </c>
      <c r="X85" s="48">
        <f t="shared" si="20"/>
        <v>28360</v>
      </c>
      <c r="Y85" s="48">
        <f t="shared" si="20"/>
        <v>28360</v>
      </c>
      <c r="Z85" s="48">
        <f t="shared" si="20"/>
        <v>28360</v>
      </c>
      <c r="AA85" s="48">
        <f t="shared" si="15"/>
        <v>680640</v>
      </c>
      <c r="AB85" s="83">
        <f t="shared" si="23"/>
        <v>31</v>
      </c>
      <c r="AC85" s="48">
        <v>21099840</v>
      </c>
      <c r="AE85" s="47"/>
    </row>
    <row r="86" spans="1:31" ht="13" x14ac:dyDescent="0.25">
      <c r="A86" s="15">
        <f t="shared" si="22"/>
        <v>2035</v>
      </c>
      <c r="B86" s="18">
        <v>49553</v>
      </c>
      <c r="C86" s="48">
        <f t="shared" si="21"/>
        <v>29583</v>
      </c>
      <c r="D86" s="48">
        <f t="shared" si="21"/>
        <v>29583</v>
      </c>
      <c r="E86" s="48">
        <f t="shared" si="21"/>
        <v>29583</v>
      </c>
      <c r="F86" s="48">
        <f t="shared" si="21"/>
        <v>29583</v>
      </c>
      <c r="G86" s="48">
        <f t="shared" si="21"/>
        <v>29583</v>
      </c>
      <c r="H86" s="48">
        <f t="shared" si="21"/>
        <v>29583</v>
      </c>
      <c r="I86" s="48">
        <f t="shared" si="21"/>
        <v>29583</v>
      </c>
      <c r="J86" s="48">
        <f t="shared" si="21"/>
        <v>29583</v>
      </c>
      <c r="K86" s="48">
        <f t="shared" si="21"/>
        <v>29583</v>
      </c>
      <c r="L86" s="48">
        <f t="shared" si="21"/>
        <v>29583</v>
      </c>
      <c r="M86" s="48">
        <f t="shared" si="21"/>
        <v>29583</v>
      </c>
      <c r="N86" s="48">
        <f t="shared" si="21"/>
        <v>29583</v>
      </c>
      <c r="O86" s="48">
        <f t="shared" si="21"/>
        <v>29583</v>
      </c>
      <c r="P86" s="48">
        <f t="shared" si="21"/>
        <v>29583</v>
      </c>
      <c r="Q86" s="48">
        <f t="shared" si="21"/>
        <v>29583</v>
      </c>
      <c r="R86" s="48">
        <f t="shared" si="21"/>
        <v>29583</v>
      </c>
      <c r="S86" s="48">
        <f t="shared" si="20"/>
        <v>29583</v>
      </c>
      <c r="T86" s="48">
        <f t="shared" si="20"/>
        <v>29583</v>
      </c>
      <c r="U86" s="48">
        <f t="shared" si="20"/>
        <v>29583</v>
      </c>
      <c r="V86" s="48">
        <f t="shared" si="20"/>
        <v>29583</v>
      </c>
      <c r="W86" s="48">
        <f t="shared" si="20"/>
        <v>29583</v>
      </c>
      <c r="X86" s="48">
        <f t="shared" si="20"/>
        <v>29583</v>
      </c>
      <c r="Y86" s="48">
        <f t="shared" si="20"/>
        <v>29583</v>
      </c>
      <c r="Z86" s="48">
        <f t="shared" si="20"/>
        <v>29583</v>
      </c>
      <c r="AA86" s="48">
        <f t="shared" si="15"/>
        <v>709992</v>
      </c>
      <c r="AB86" s="83">
        <f t="shared" si="23"/>
        <v>30</v>
      </c>
      <c r="AC86" s="48">
        <v>21299760</v>
      </c>
      <c r="AE86" s="47"/>
    </row>
    <row r="87" spans="1:31" ht="13" x14ac:dyDescent="0.25">
      <c r="A87" s="15">
        <f t="shared" si="22"/>
        <v>2035</v>
      </c>
      <c r="B87" s="18">
        <v>49583</v>
      </c>
      <c r="C87" s="48">
        <f t="shared" si="21"/>
        <v>28360</v>
      </c>
      <c r="D87" s="48">
        <f t="shared" si="21"/>
        <v>28360</v>
      </c>
      <c r="E87" s="48">
        <f t="shared" si="21"/>
        <v>28360</v>
      </c>
      <c r="F87" s="48">
        <f t="shared" si="21"/>
        <v>28360</v>
      </c>
      <c r="G87" s="48">
        <f t="shared" si="21"/>
        <v>28360</v>
      </c>
      <c r="H87" s="48">
        <f t="shared" si="21"/>
        <v>28360</v>
      </c>
      <c r="I87" s="48">
        <f t="shared" si="21"/>
        <v>28360</v>
      </c>
      <c r="J87" s="48">
        <f t="shared" si="21"/>
        <v>28360</v>
      </c>
      <c r="K87" s="48">
        <f t="shared" si="21"/>
        <v>28360</v>
      </c>
      <c r="L87" s="48">
        <f t="shared" si="21"/>
        <v>28360</v>
      </c>
      <c r="M87" s="48">
        <f t="shared" si="21"/>
        <v>28360</v>
      </c>
      <c r="N87" s="48">
        <f t="shared" si="21"/>
        <v>28360</v>
      </c>
      <c r="O87" s="48">
        <f t="shared" si="21"/>
        <v>28360</v>
      </c>
      <c r="P87" s="48">
        <f t="shared" si="21"/>
        <v>28360</v>
      </c>
      <c r="Q87" s="48">
        <f t="shared" si="21"/>
        <v>28360</v>
      </c>
      <c r="R87" s="48">
        <f t="shared" si="21"/>
        <v>28360</v>
      </c>
      <c r="S87" s="48">
        <f t="shared" si="20"/>
        <v>28360</v>
      </c>
      <c r="T87" s="48">
        <f t="shared" si="20"/>
        <v>28360</v>
      </c>
      <c r="U87" s="48">
        <f t="shared" si="20"/>
        <v>28360</v>
      </c>
      <c r="V87" s="48">
        <f t="shared" si="20"/>
        <v>28360</v>
      </c>
      <c r="W87" s="48">
        <f t="shared" si="20"/>
        <v>28360</v>
      </c>
      <c r="X87" s="48">
        <f t="shared" si="20"/>
        <v>28360</v>
      </c>
      <c r="Y87" s="48">
        <f t="shared" si="20"/>
        <v>28360</v>
      </c>
      <c r="Z87" s="48">
        <f t="shared" si="20"/>
        <v>28360</v>
      </c>
      <c r="AA87" s="48">
        <f t="shared" si="15"/>
        <v>680640</v>
      </c>
      <c r="AB87" s="83">
        <f t="shared" si="23"/>
        <v>31</v>
      </c>
      <c r="AC87" s="48">
        <v>21099840</v>
      </c>
      <c r="AE87" s="47"/>
    </row>
    <row r="88" spans="1:31" ht="13" x14ac:dyDescent="0.25">
      <c r="A88" s="15">
        <f t="shared" si="22"/>
        <v>2035</v>
      </c>
      <c r="B88" s="18">
        <v>49614</v>
      </c>
      <c r="C88" s="48">
        <f t="shared" si="21"/>
        <v>29583</v>
      </c>
      <c r="D88" s="48">
        <f t="shared" si="21"/>
        <v>29583</v>
      </c>
      <c r="E88" s="48">
        <f t="shared" si="21"/>
        <v>29583</v>
      </c>
      <c r="F88" s="48">
        <f t="shared" si="21"/>
        <v>29583</v>
      </c>
      <c r="G88" s="48">
        <f t="shared" si="21"/>
        <v>29583</v>
      </c>
      <c r="H88" s="48">
        <f t="shared" si="21"/>
        <v>29583</v>
      </c>
      <c r="I88" s="48">
        <f t="shared" si="21"/>
        <v>29583</v>
      </c>
      <c r="J88" s="48">
        <f t="shared" si="21"/>
        <v>29583</v>
      </c>
      <c r="K88" s="48">
        <f t="shared" si="21"/>
        <v>29583</v>
      </c>
      <c r="L88" s="48">
        <f t="shared" si="21"/>
        <v>29583</v>
      </c>
      <c r="M88" s="48">
        <f t="shared" si="21"/>
        <v>29583</v>
      </c>
      <c r="N88" s="48">
        <f t="shared" si="21"/>
        <v>29583</v>
      </c>
      <c r="O88" s="48">
        <f t="shared" si="21"/>
        <v>29583</v>
      </c>
      <c r="P88" s="48">
        <f t="shared" si="21"/>
        <v>29583</v>
      </c>
      <c r="Q88" s="48">
        <f t="shared" si="21"/>
        <v>29583</v>
      </c>
      <c r="R88" s="48">
        <f t="shared" si="21"/>
        <v>29583</v>
      </c>
      <c r="S88" s="48">
        <f t="shared" si="20"/>
        <v>29583</v>
      </c>
      <c r="T88" s="48">
        <f t="shared" si="20"/>
        <v>29583</v>
      </c>
      <c r="U88" s="48">
        <f t="shared" si="20"/>
        <v>29583</v>
      </c>
      <c r="V88" s="48">
        <f t="shared" si="20"/>
        <v>29583</v>
      </c>
      <c r="W88" s="48">
        <f t="shared" si="20"/>
        <v>29583</v>
      </c>
      <c r="X88" s="48">
        <f t="shared" si="20"/>
        <v>29583</v>
      </c>
      <c r="Y88" s="48">
        <f t="shared" si="20"/>
        <v>29583</v>
      </c>
      <c r="Z88" s="48">
        <f t="shared" si="20"/>
        <v>29583</v>
      </c>
      <c r="AA88" s="48">
        <f t="shared" si="15"/>
        <v>709992</v>
      </c>
      <c r="AB88" s="83">
        <f t="shared" si="23"/>
        <v>30</v>
      </c>
      <c r="AC88" s="48">
        <v>21299760</v>
      </c>
      <c r="AE88" s="47"/>
    </row>
    <row r="89" spans="1:31" ht="13" x14ac:dyDescent="0.25">
      <c r="A89" s="15">
        <f t="shared" si="22"/>
        <v>2035</v>
      </c>
      <c r="B89" s="18">
        <v>49644</v>
      </c>
      <c r="C89" s="48">
        <f t="shared" si="21"/>
        <v>28360</v>
      </c>
      <c r="D89" s="48">
        <f t="shared" si="21"/>
        <v>28360</v>
      </c>
      <c r="E89" s="48">
        <f t="shared" si="21"/>
        <v>28360</v>
      </c>
      <c r="F89" s="48">
        <f t="shared" si="21"/>
        <v>28360</v>
      </c>
      <c r="G89" s="48">
        <f t="shared" si="21"/>
        <v>28360</v>
      </c>
      <c r="H89" s="48">
        <f t="shared" si="21"/>
        <v>28360</v>
      </c>
      <c r="I89" s="48">
        <f t="shared" si="21"/>
        <v>28360</v>
      </c>
      <c r="J89" s="48">
        <f t="shared" si="21"/>
        <v>28360</v>
      </c>
      <c r="K89" s="48">
        <f t="shared" si="21"/>
        <v>28360</v>
      </c>
      <c r="L89" s="48">
        <f t="shared" si="21"/>
        <v>28360</v>
      </c>
      <c r="M89" s="48">
        <f t="shared" si="21"/>
        <v>28360</v>
      </c>
      <c r="N89" s="48">
        <f t="shared" si="21"/>
        <v>28360</v>
      </c>
      <c r="O89" s="48">
        <f t="shared" si="21"/>
        <v>28360</v>
      </c>
      <c r="P89" s="48">
        <f t="shared" si="21"/>
        <v>28360</v>
      </c>
      <c r="Q89" s="48">
        <f t="shared" si="21"/>
        <v>28360</v>
      </c>
      <c r="R89" s="48">
        <f t="shared" si="21"/>
        <v>28360</v>
      </c>
      <c r="S89" s="48">
        <f t="shared" si="20"/>
        <v>28360</v>
      </c>
      <c r="T89" s="48">
        <f t="shared" si="20"/>
        <v>28360</v>
      </c>
      <c r="U89" s="48">
        <f t="shared" si="20"/>
        <v>28360</v>
      </c>
      <c r="V89" s="48">
        <f t="shared" si="20"/>
        <v>28360</v>
      </c>
      <c r="W89" s="48">
        <f t="shared" si="20"/>
        <v>28360</v>
      </c>
      <c r="X89" s="48">
        <f t="shared" si="20"/>
        <v>28360</v>
      </c>
      <c r="Y89" s="48">
        <f t="shared" si="20"/>
        <v>28360</v>
      </c>
      <c r="Z89" s="48">
        <f t="shared" si="20"/>
        <v>28360</v>
      </c>
      <c r="AA89" s="48">
        <f t="shared" si="15"/>
        <v>680640</v>
      </c>
      <c r="AB89" s="83">
        <f t="shared" si="23"/>
        <v>31</v>
      </c>
      <c r="AC89" s="48">
        <v>21099840</v>
      </c>
      <c r="AE89" s="47"/>
    </row>
    <row r="90" spans="1:31" ht="13" x14ac:dyDescent="0.25">
      <c r="A90" s="15">
        <f t="shared" si="22"/>
        <v>2036</v>
      </c>
      <c r="B90" s="18">
        <v>49675</v>
      </c>
      <c r="C90" s="48">
        <f t="shared" si="21"/>
        <v>27823</v>
      </c>
      <c r="D90" s="48">
        <f t="shared" si="21"/>
        <v>27823</v>
      </c>
      <c r="E90" s="48">
        <f t="shared" si="21"/>
        <v>27823</v>
      </c>
      <c r="F90" s="48">
        <f t="shared" si="21"/>
        <v>27823</v>
      </c>
      <c r="G90" s="48">
        <f t="shared" si="21"/>
        <v>27823</v>
      </c>
      <c r="H90" s="48">
        <f t="shared" si="21"/>
        <v>27823</v>
      </c>
      <c r="I90" s="48">
        <f t="shared" si="21"/>
        <v>27823</v>
      </c>
      <c r="J90" s="48">
        <f t="shared" si="21"/>
        <v>27823</v>
      </c>
      <c r="K90" s="48">
        <f t="shared" si="21"/>
        <v>27823</v>
      </c>
      <c r="L90" s="48">
        <f t="shared" si="21"/>
        <v>27823</v>
      </c>
      <c r="M90" s="48">
        <f t="shared" si="21"/>
        <v>27823</v>
      </c>
      <c r="N90" s="48">
        <f t="shared" si="21"/>
        <v>27823</v>
      </c>
      <c r="O90" s="48">
        <f t="shared" si="21"/>
        <v>27823</v>
      </c>
      <c r="P90" s="48">
        <f t="shared" si="21"/>
        <v>27823</v>
      </c>
      <c r="Q90" s="48">
        <f t="shared" si="21"/>
        <v>27823</v>
      </c>
      <c r="R90" s="48">
        <f t="shared" si="21"/>
        <v>27823</v>
      </c>
      <c r="S90" s="48">
        <f t="shared" si="20"/>
        <v>27823</v>
      </c>
      <c r="T90" s="48">
        <f t="shared" si="20"/>
        <v>27823</v>
      </c>
      <c r="U90" s="48">
        <f t="shared" si="20"/>
        <v>27823</v>
      </c>
      <c r="V90" s="48">
        <f t="shared" si="20"/>
        <v>27823</v>
      </c>
      <c r="W90" s="48">
        <f t="shared" si="20"/>
        <v>27823</v>
      </c>
      <c r="X90" s="48">
        <f t="shared" si="20"/>
        <v>27823</v>
      </c>
      <c r="Y90" s="48">
        <f t="shared" si="20"/>
        <v>27823</v>
      </c>
      <c r="Z90" s="48">
        <f t="shared" si="20"/>
        <v>27823</v>
      </c>
      <c r="AA90" s="48">
        <f t="shared" si="15"/>
        <v>667752</v>
      </c>
      <c r="AB90" s="83">
        <f t="shared" si="23"/>
        <v>31</v>
      </c>
      <c r="AC90" s="48">
        <v>20700312</v>
      </c>
      <c r="AE90" s="47"/>
    </row>
    <row r="91" spans="1:31" ht="13" x14ac:dyDescent="0.25">
      <c r="A91" s="15">
        <f t="shared" si="22"/>
        <v>2036</v>
      </c>
      <c r="B91" s="18">
        <v>49706</v>
      </c>
      <c r="C91" s="48">
        <f t="shared" si="21"/>
        <v>30172</v>
      </c>
      <c r="D91" s="48">
        <f t="shared" si="21"/>
        <v>30172</v>
      </c>
      <c r="E91" s="48">
        <f t="shared" si="21"/>
        <v>30172</v>
      </c>
      <c r="F91" s="48">
        <f t="shared" si="21"/>
        <v>30172</v>
      </c>
      <c r="G91" s="48">
        <f t="shared" si="21"/>
        <v>30172</v>
      </c>
      <c r="H91" s="48">
        <f t="shared" si="21"/>
        <v>30172</v>
      </c>
      <c r="I91" s="48">
        <f t="shared" si="21"/>
        <v>30172</v>
      </c>
      <c r="J91" s="48">
        <f t="shared" si="21"/>
        <v>30172</v>
      </c>
      <c r="K91" s="48">
        <f t="shared" si="21"/>
        <v>30172</v>
      </c>
      <c r="L91" s="48">
        <f t="shared" si="21"/>
        <v>30172</v>
      </c>
      <c r="M91" s="48">
        <f t="shared" si="21"/>
        <v>30172</v>
      </c>
      <c r="N91" s="48">
        <f t="shared" si="21"/>
        <v>30172</v>
      </c>
      <c r="O91" s="48">
        <f t="shared" si="21"/>
        <v>30172</v>
      </c>
      <c r="P91" s="48">
        <f t="shared" si="21"/>
        <v>30172</v>
      </c>
      <c r="Q91" s="48">
        <f t="shared" si="21"/>
        <v>30172</v>
      </c>
      <c r="R91" s="48">
        <f t="shared" si="21"/>
        <v>30172</v>
      </c>
      <c r="S91" s="48">
        <f t="shared" si="20"/>
        <v>30172</v>
      </c>
      <c r="T91" s="48">
        <f t="shared" si="20"/>
        <v>30172</v>
      </c>
      <c r="U91" s="48">
        <f t="shared" si="20"/>
        <v>30172</v>
      </c>
      <c r="V91" s="48">
        <f t="shared" si="20"/>
        <v>30172</v>
      </c>
      <c r="W91" s="48">
        <f t="shared" si="20"/>
        <v>30172</v>
      </c>
      <c r="X91" s="48">
        <f t="shared" si="20"/>
        <v>30172</v>
      </c>
      <c r="Y91" s="48">
        <f t="shared" si="20"/>
        <v>30172</v>
      </c>
      <c r="Z91" s="48">
        <f t="shared" si="20"/>
        <v>30172</v>
      </c>
      <c r="AA91" s="48">
        <f t="shared" ref="AA91:AA101" si="24">SUM(C91:Z91)</f>
        <v>724128</v>
      </c>
      <c r="AB91" s="83">
        <f t="shared" si="23"/>
        <v>29</v>
      </c>
      <c r="AC91" s="48">
        <v>20999712</v>
      </c>
      <c r="AE91" s="47"/>
    </row>
    <row r="92" spans="1:31" ht="13" x14ac:dyDescent="0.25">
      <c r="A92" s="15">
        <f t="shared" si="22"/>
        <v>2036</v>
      </c>
      <c r="B92" s="18">
        <v>49735</v>
      </c>
      <c r="C92" s="48">
        <f t="shared" si="21"/>
        <v>27823</v>
      </c>
      <c r="D92" s="48">
        <f t="shared" si="21"/>
        <v>27823</v>
      </c>
      <c r="E92" s="48">
        <f t="shared" si="21"/>
        <v>27823</v>
      </c>
      <c r="F92" s="48">
        <f t="shared" si="21"/>
        <v>27823</v>
      </c>
      <c r="G92" s="48">
        <f t="shared" si="21"/>
        <v>27823</v>
      </c>
      <c r="H92" s="48">
        <f t="shared" si="21"/>
        <v>27823</v>
      </c>
      <c r="I92" s="48">
        <f t="shared" si="21"/>
        <v>27823</v>
      </c>
      <c r="J92" s="48">
        <f t="shared" si="21"/>
        <v>27823</v>
      </c>
      <c r="K92" s="48">
        <f t="shared" si="21"/>
        <v>27823</v>
      </c>
      <c r="L92" s="48">
        <f t="shared" si="21"/>
        <v>27823</v>
      </c>
      <c r="M92" s="48">
        <f t="shared" si="21"/>
        <v>27823</v>
      </c>
      <c r="N92" s="48">
        <f t="shared" si="21"/>
        <v>27823</v>
      </c>
      <c r="O92" s="48">
        <f t="shared" si="21"/>
        <v>27823</v>
      </c>
      <c r="P92" s="48">
        <f t="shared" si="21"/>
        <v>27823</v>
      </c>
      <c r="Q92" s="48">
        <f t="shared" si="21"/>
        <v>27823</v>
      </c>
      <c r="R92" s="48">
        <f t="shared" si="21"/>
        <v>27823</v>
      </c>
      <c r="S92" s="48">
        <f t="shared" si="20"/>
        <v>27823</v>
      </c>
      <c r="T92" s="48">
        <f t="shared" si="20"/>
        <v>27823</v>
      </c>
      <c r="U92" s="48">
        <f t="shared" si="20"/>
        <v>27823</v>
      </c>
      <c r="V92" s="48">
        <f t="shared" si="20"/>
        <v>27823</v>
      </c>
      <c r="W92" s="48">
        <f t="shared" si="20"/>
        <v>27823</v>
      </c>
      <c r="X92" s="48">
        <f t="shared" si="20"/>
        <v>27823</v>
      </c>
      <c r="Y92" s="48">
        <f t="shared" si="20"/>
        <v>27823</v>
      </c>
      <c r="Z92" s="48">
        <f t="shared" si="20"/>
        <v>27823</v>
      </c>
      <c r="AA92" s="48">
        <f t="shared" si="24"/>
        <v>667752</v>
      </c>
      <c r="AB92" s="83">
        <f t="shared" si="23"/>
        <v>31</v>
      </c>
      <c r="AC92" s="48">
        <v>20700312</v>
      </c>
      <c r="AE92" s="47"/>
    </row>
    <row r="93" spans="1:31" ht="13" x14ac:dyDescent="0.25">
      <c r="A93" s="15">
        <f t="shared" si="22"/>
        <v>2036</v>
      </c>
      <c r="B93" s="18">
        <v>49766</v>
      </c>
      <c r="C93" s="48">
        <f t="shared" si="21"/>
        <v>29028</v>
      </c>
      <c r="D93" s="48">
        <f t="shared" si="21"/>
        <v>29028</v>
      </c>
      <c r="E93" s="48">
        <f t="shared" si="21"/>
        <v>29028</v>
      </c>
      <c r="F93" s="48">
        <f t="shared" si="21"/>
        <v>29028</v>
      </c>
      <c r="G93" s="48">
        <f t="shared" si="21"/>
        <v>29028</v>
      </c>
      <c r="H93" s="48">
        <f t="shared" si="21"/>
        <v>29028</v>
      </c>
      <c r="I93" s="48">
        <f t="shared" si="21"/>
        <v>29028</v>
      </c>
      <c r="J93" s="48">
        <f t="shared" si="21"/>
        <v>29028</v>
      </c>
      <c r="K93" s="48">
        <f t="shared" si="21"/>
        <v>29028</v>
      </c>
      <c r="L93" s="48">
        <f t="shared" si="21"/>
        <v>29028</v>
      </c>
      <c r="M93" s="48">
        <f t="shared" si="21"/>
        <v>29028</v>
      </c>
      <c r="N93" s="48">
        <f t="shared" si="21"/>
        <v>29028</v>
      </c>
      <c r="O93" s="48">
        <f t="shared" si="21"/>
        <v>29028</v>
      </c>
      <c r="P93" s="48">
        <f t="shared" si="21"/>
        <v>29028</v>
      </c>
      <c r="Q93" s="48">
        <f t="shared" si="21"/>
        <v>29028</v>
      </c>
      <c r="R93" s="48">
        <f t="shared" si="21"/>
        <v>29028</v>
      </c>
      <c r="S93" s="48">
        <f t="shared" si="20"/>
        <v>29028</v>
      </c>
      <c r="T93" s="48">
        <f t="shared" si="20"/>
        <v>29028</v>
      </c>
      <c r="U93" s="48">
        <f t="shared" si="20"/>
        <v>29028</v>
      </c>
      <c r="V93" s="48">
        <f t="shared" si="20"/>
        <v>29028</v>
      </c>
      <c r="W93" s="48">
        <f t="shared" si="20"/>
        <v>29028</v>
      </c>
      <c r="X93" s="48">
        <f t="shared" si="20"/>
        <v>29028</v>
      </c>
      <c r="Y93" s="48">
        <f t="shared" si="20"/>
        <v>29028</v>
      </c>
      <c r="Z93" s="48">
        <f t="shared" si="20"/>
        <v>29028</v>
      </c>
      <c r="AA93" s="48">
        <f t="shared" si="24"/>
        <v>696672</v>
      </c>
      <c r="AB93" s="83">
        <f t="shared" si="23"/>
        <v>30</v>
      </c>
      <c r="AC93" s="48">
        <v>20900160</v>
      </c>
      <c r="AE93" s="47"/>
    </row>
    <row r="94" spans="1:31" ht="13" x14ac:dyDescent="0.25">
      <c r="A94" s="15">
        <f t="shared" si="22"/>
        <v>2036</v>
      </c>
      <c r="B94" s="18">
        <v>49796</v>
      </c>
      <c r="C94" s="48">
        <f t="shared" si="21"/>
        <v>27823</v>
      </c>
      <c r="D94" s="48">
        <f t="shared" si="21"/>
        <v>27823</v>
      </c>
      <c r="E94" s="48">
        <f t="shared" si="21"/>
        <v>27823</v>
      </c>
      <c r="F94" s="48">
        <f t="shared" si="21"/>
        <v>27823</v>
      </c>
      <c r="G94" s="48">
        <f t="shared" si="21"/>
        <v>27823</v>
      </c>
      <c r="H94" s="48">
        <f t="shared" si="21"/>
        <v>27823</v>
      </c>
      <c r="I94" s="48">
        <f t="shared" si="21"/>
        <v>27823</v>
      </c>
      <c r="J94" s="48">
        <f t="shared" si="21"/>
        <v>27823</v>
      </c>
      <c r="K94" s="48">
        <f t="shared" si="21"/>
        <v>27823</v>
      </c>
      <c r="L94" s="48">
        <f t="shared" si="21"/>
        <v>27823</v>
      </c>
      <c r="M94" s="48">
        <f t="shared" si="21"/>
        <v>27823</v>
      </c>
      <c r="N94" s="48">
        <f t="shared" si="21"/>
        <v>27823</v>
      </c>
      <c r="O94" s="48">
        <f t="shared" si="21"/>
        <v>27823</v>
      </c>
      <c r="P94" s="48">
        <f t="shared" si="21"/>
        <v>27823</v>
      </c>
      <c r="Q94" s="48">
        <f t="shared" si="21"/>
        <v>27823</v>
      </c>
      <c r="R94" s="48">
        <f t="shared" si="21"/>
        <v>27823</v>
      </c>
      <c r="S94" s="48">
        <f t="shared" si="20"/>
        <v>27823</v>
      </c>
      <c r="T94" s="48">
        <f t="shared" si="20"/>
        <v>27823</v>
      </c>
      <c r="U94" s="48">
        <f t="shared" si="20"/>
        <v>27823</v>
      </c>
      <c r="V94" s="48">
        <f t="shared" si="20"/>
        <v>27823</v>
      </c>
      <c r="W94" s="48">
        <f t="shared" si="20"/>
        <v>27823</v>
      </c>
      <c r="X94" s="48">
        <f t="shared" si="20"/>
        <v>27823</v>
      </c>
      <c r="Y94" s="48">
        <f t="shared" si="20"/>
        <v>27823</v>
      </c>
      <c r="Z94" s="48">
        <f t="shared" si="20"/>
        <v>27823</v>
      </c>
      <c r="AA94" s="48">
        <f t="shared" si="24"/>
        <v>667752</v>
      </c>
      <c r="AB94" s="83">
        <f t="shared" si="23"/>
        <v>31</v>
      </c>
      <c r="AC94" s="48">
        <v>20700312</v>
      </c>
      <c r="AE94" s="47"/>
    </row>
    <row r="95" spans="1:31" ht="13" x14ac:dyDescent="0.25">
      <c r="A95" s="15">
        <f t="shared" si="22"/>
        <v>2036</v>
      </c>
      <c r="B95" s="18">
        <v>49827</v>
      </c>
      <c r="C95" s="48">
        <f t="shared" si="21"/>
        <v>29028</v>
      </c>
      <c r="D95" s="48">
        <f t="shared" si="21"/>
        <v>29028</v>
      </c>
      <c r="E95" s="48">
        <f t="shared" si="21"/>
        <v>29028</v>
      </c>
      <c r="F95" s="48">
        <f t="shared" si="21"/>
        <v>29028</v>
      </c>
      <c r="G95" s="48">
        <f t="shared" si="21"/>
        <v>29028</v>
      </c>
      <c r="H95" s="48">
        <f t="shared" si="21"/>
        <v>29028</v>
      </c>
      <c r="I95" s="48">
        <f t="shared" si="21"/>
        <v>29028</v>
      </c>
      <c r="J95" s="48">
        <f t="shared" si="21"/>
        <v>29028</v>
      </c>
      <c r="K95" s="48">
        <f t="shared" si="21"/>
        <v>29028</v>
      </c>
      <c r="L95" s="48">
        <f t="shared" si="21"/>
        <v>29028</v>
      </c>
      <c r="M95" s="48">
        <f t="shared" si="21"/>
        <v>29028</v>
      </c>
      <c r="N95" s="48">
        <f t="shared" si="21"/>
        <v>29028</v>
      </c>
      <c r="O95" s="48">
        <f t="shared" si="21"/>
        <v>29028</v>
      </c>
      <c r="P95" s="48">
        <f t="shared" si="21"/>
        <v>29028</v>
      </c>
      <c r="Q95" s="48">
        <f t="shared" si="21"/>
        <v>29028</v>
      </c>
      <c r="R95" s="48">
        <f t="shared" si="21"/>
        <v>29028</v>
      </c>
      <c r="S95" s="48">
        <f t="shared" si="20"/>
        <v>29028</v>
      </c>
      <c r="T95" s="48">
        <f t="shared" si="20"/>
        <v>29028</v>
      </c>
      <c r="U95" s="48">
        <f t="shared" si="20"/>
        <v>29028</v>
      </c>
      <c r="V95" s="48">
        <f t="shared" si="20"/>
        <v>29028</v>
      </c>
      <c r="W95" s="48">
        <f t="shared" si="20"/>
        <v>29028</v>
      </c>
      <c r="X95" s="48">
        <f t="shared" si="20"/>
        <v>29028</v>
      </c>
      <c r="Y95" s="48">
        <f t="shared" si="20"/>
        <v>29028</v>
      </c>
      <c r="Z95" s="48">
        <f t="shared" si="20"/>
        <v>29028</v>
      </c>
      <c r="AA95" s="48">
        <f t="shared" si="24"/>
        <v>696672</v>
      </c>
      <c r="AB95" s="83">
        <f t="shared" si="23"/>
        <v>30</v>
      </c>
      <c r="AC95" s="48">
        <v>20900160</v>
      </c>
      <c r="AE95" s="47"/>
    </row>
    <row r="96" spans="1:31" ht="13" x14ac:dyDescent="0.25">
      <c r="A96" s="15">
        <f t="shared" si="22"/>
        <v>2036</v>
      </c>
      <c r="B96" s="18">
        <v>49857</v>
      </c>
      <c r="C96" s="48">
        <f t="shared" si="21"/>
        <v>27823</v>
      </c>
      <c r="D96" s="48">
        <f t="shared" si="21"/>
        <v>27823</v>
      </c>
      <c r="E96" s="48">
        <f t="shared" si="21"/>
        <v>27823</v>
      </c>
      <c r="F96" s="48">
        <f t="shared" si="21"/>
        <v>27823</v>
      </c>
      <c r="G96" s="48">
        <f t="shared" si="21"/>
        <v>27823</v>
      </c>
      <c r="H96" s="48">
        <f t="shared" si="21"/>
        <v>27823</v>
      </c>
      <c r="I96" s="48">
        <f t="shared" si="21"/>
        <v>27823</v>
      </c>
      <c r="J96" s="48">
        <f t="shared" si="21"/>
        <v>27823</v>
      </c>
      <c r="K96" s="48">
        <f t="shared" si="21"/>
        <v>27823</v>
      </c>
      <c r="L96" s="48">
        <f t="shared" si="21"/>
        <v>27823</v>
      </c>
      <c r="M96" s="48">
        <f t="shared" si="21"/>
        <v>27823</v>
      </c>
      <c r="N96" s="48">
        <f t="shared" si="21"/>
        <v>27823</v>
      </c>
      <c r="O96" s="48">
        <f t="shared" si="21"/>
        <v>27823</v>
      </c>
      <c r="P96" s="48">
        <f t="shared" si="21"/>
        <v>27823</v>
      </c>
      <c r="Q96" s="48">
        <f t="shared" si="21"/>
        <v>27823</v>
      </c>
      <c r="R96" s="48">
        <f t="shared" si="21"/>
        <v>27823</v>
      </c>
      <c r="S96" s="48">
        <f t="shared" si="20"/>
        <v>27823</v>
      </c>
      <c r="T96" s="48">
        <f t="shared" si="20"/>
        <v>27823</v>
      </c>
      <c r="U96" s="48">
        <f t="shared" si="20"/>
        <v>27823</v>
      </c>
      <c r="V96" s="48">
        <f t="shared" si="20"/>
        <v>27823</v>
      </c>
      <c r="W96" s="48">
        <f t="shared" si="20"/>
        <v>27823</v>
      </c>
      <c r="X96" s="48">
        <f t="shared" si="20"/>
        <v>27823</v>
      </c>
      <c r="Y96" s="48">
        <f t="shared" si="20"/>
        <v>27823</v>
      </c>
      <c r="Z96" s="48">
        <f t="shared" si="20"/>
        <v>27823</v>
      </c>
      <c r="AA96" s="48">
        <f t="shared" si="24"/>
        <v>667752</v>
      </c>
      <c r="AB96" s="83">
        <f t="shared" si="23"/>
        <v>31</v>
      </c>
      <c r="AC96" s="48">
        <v>20700312</v>
      </c>
      <c r="AE96" s="47"/>
    </row>
    <row r="97" spans="1:31" ht="13" x14ac:dyDescent="0.25">
      <c r="A97" s="15">
        <f t="shared" si="22"/>
        <v>2036</v>
      </c>
      <c r="B97" s="18">
        <v>49888</v>
      </c>
      <c r="C97" s="48">
        <f t="shared" si="21"/>
        <v>27823</v>
      </c>
      <c r="D97" s="48">
        <f t="shared" si="21"/>
        <v>27823</v>
      </c>
      <c r="E97" s="48">
        <f t="shared" si="21"/>
        <v>27823</v>
      </c>
      <c r="F97" s="48">
        <f t="shared" si="21"/>
        <v>27823</v>
      </c>
      <c r="G97" s="48">
        <f t="shared" si="21"/>
        <v>27823</v>
      </c>
      <c r="H97" s="48">
        <f t="shared" si="21"/>
        <v>27823</v>
      </c>
      <c r="I97" s="48">
        <f t="shared" si="21"/>
        <v>27823</v>
      </c>
      <c r="J97" s="48">
        <f t="shared" si="21"/>
        <v>27823</v>
      </c>
      <c r="K97" s="48">
        <f t="shared" si="21"/>
        <v>27823</v>
      </c>
      <c r="L97" s="48">
        <f t="shared" si="21"/>
        <v>27823</v>
      </c>
      <c r="M97" s="48">
        <f t="shared" si="21"/>
        <v>27823</v>
      </c>
      <c r="N97" s="48">
        <f t="shared" si="21"/>
        <v>27823</v>
      </c>
      <c r="O97" s="48">
        <f t="shared" si="21"/>
        <v>27823</v>
      </c>
      <c r="P97" s="48">
        <f t="shared" si="21"/>
        <v>27823</v>
      </c>
      <c r="Q97" s="48">
        <f t="shared" si="21"/>
        <v>27823</v>
      </c>
      <c r="R97" s="48">
        <f t="shared" ref="R97:Z101" si="25">($AC97/$AB97)/24</f>
        <v>27823</v>
      </c>
      <c r="S97" s="48">
        <f t="shared" si="25"/>
        <v>27823</v>
      </c>
      <c r="T97" s="48">
        <f t="shared" si="25"/>
        <v>27823</v>
      </c>
      <c r="U97" s="48">
        <f t="shared" si="25"/>
        <v>27823</v>
      </c>
      <c r="V97" s="48">
        <f t="shared" si="25"/>
        <v>27823</v>
      </c>
      <c r="W97" s="48">
        <f t="shared" si="25"/>
        <v>27823</v>
      </c>
      <c r="X97" s="48">
        <f t="shared" si="25"/>
        <v>27823</v>
      </c>
      <c r="Y97" s="48">
        <f t="shared" si="25"/>
        <v>27823</v>
      </c>
      <c r="Z97" s="48">
        <f t="shared" si="25"/>
        <v>27823</v>
      </c>
      <c r="AA97" s="48">
        <f t="shared" si="24"/>
        <v>667752</v>
      </c>
      <c r="AB97" s="83">
        <f t="shared" si="23"/>
        <v>31</v>
      </c>
      <c r="AC97" s="48">
        <v>20700312</v>
      </c>
      <c r="AE97" s="47"/>
    </row>
    <row r="98" spans="1:31" ht="13" x14ac:dyDescent="0.25">
      <c r="A98" s="15">
        <f t="shared" si="22"/>
        <v>2036</v>
      </c>
      <c r="B98" s="18">
        <v>49919</v>
      </c>
      <c r="C98" s="48">
        <f t="shared" ref="C98:R101" si="26">($AC98/$AB98)/24</f>
        <v>29028</v>
      </c>
      <c r="D98" s="48">
        <f t="shared" si="26"/>
        <v>29028</v>
      </c>
      <c r="E98" s="48">
        <f t="shared" si="26"/>
        <v>29028</v>
      </c>
      <c r="F98" s="48">
        <f t="shared" si="26"/>
        <v>29028</v>
      </c>
      <c r="G98" s="48">
        <f t="shared" si="26"/>
        <v>29028</v>
      </c>
      <c r="H98" s="48">
        <f t="shared" si="26"/>
        <v>29028</v>
      </c>
      <c r="I98" s="48">
        <f t="shared" si="26"/>
        <v>29028</v>
      </c>
      <c r="J98" s="48">
        <f t="shared" si="26"/>
        <v>29028</v>
      </c>
      <c r="K98" s="48">
        <f t="shared" si="26"/>
        <v>29028</v>
      </c>
      <c r="L98" s="48">
        <f t="shared" si="26"/>
        <v>29028</v>
      </c>
      <c r="M98" s="48">
        <f t="shared" si="26"/>
        <v>29028</v>
      </c>
      <c r="N98" s="48">
        <f t="shared" si="26"/>
        <v>29028</v>
      </c>
      <c r="O98" s="48">
        <f t="shared" si="26"/>
        <v>29028</v>
      </c>
      <c r="P98" s="48">
        <f t="shared" si="26"/>
        <v>29028</v>
      </c>
      <c r="Q98" s="48">
        <f t="shared" si="26"/>
        <v>29028</v>
      </c>
      <c r="R98" s="48">
        <f t="shared" si="26"/>
        <v>29028</v>
      </c>
      <c r="S98" s="48">
        <f t="shared" si="25"/>
        <v>29028</v>
      </c>
      <c r="T98" s="48">
        <f t="shared" si="25"/>
        <v>29028</v>
      </c>
      <c r="U98" s="48">
        <f t="shared" si="25"/>
        <v>29028</v>
      </c>
      <c r="V98" s="48">
        <f t="shared" si="25"/>
        <v>29028</v>
      </c>
      <c r="W98" s="48">
        <f t="shared" si="25"/>
        <v>29028</v>
      </c>
      <c r="X98" s="48">
        <f t="shared" si="25"/>
        <v>29028</v>
      </c>
      <c r="Y98" s="48">
        <f t="shared" si="25"/>
        <v>29028</v>
      </c>
      <c r="Z98" s="48">
        <f t="shared" si="25"/>
        <v>29028</v>
      </c>
      <c r="AA98" s="48">
        <f t="shared" si="24"/>
        <v>696672</v>
      </c>
      <c r="AB98" s="83">
        <f t="shared" si="23"/>
        <v>30</v>
      </c>
      <c r="AC98" s="48">
        <v>20900160</v>
      </c>
      <c r="AE98" s="47"/>
    </row>
    <row r="99" spans="1:31" ht="13" x14ac:dyDescent="0.25">
      <c r="A99" s="15">
        <f t="shared" si="22"/>
        <v>2036</v>
      </c>
      <c r="B99" s="18">
        <v>49949</v>
      </c>
      <c r="C99" s="48">
        <f t="shared" si="26"/>
        <v>27823</v>
      </c>
      <c r="D99" s="48">
        <f t="shared" si="26"/>
        <v>27823</v>
      </c>
      <c r="E99" s="48">
        <f t="shared" si="26"/>
        <v>27823</v>
      </c>
      <c r="F99" s="48">
        <f t="shared" si="26"/>
        <v>27823</v>
      </c>
      <c r="G99" s="48">
        <f t="shared" si="26"/>
        <v>27823</v>
      </c>
      <c r="H99" s="48">
        <f t="shared" si="26"/>
        <v>27823</v>
      </c>
      <c r="I99" s="48">
        <f t="shared" si="26"/>
        <v>27823</v>
      </c>
      <c r="J99" s="48">
        <f t="shared" si="26"/>
        <v>27823</v>
      </c>
      <c r="K99" s="48">
        <f t="shared" si="26"/>
        <v>27823</v>
      </c>
      <c r="L99" s="48">
        <f t="shared" si="26"/>
        <v>27823</v>
      </c>
      <c r="M99" s="48">
        <f t="shared" si="26"/>
        <v>27823</v>
      </c>
      <c r="N99" s="48">
        <f t="shared" si="26"/>
        <v>27823</v>
      </c>
      <c r="O99" s="48">
        <f t="shared" si="26"/>
        <v>27823</v>
      </c>
      <c r="P99" s="48">
        <f t="shared" si="26"/>
        <v>27823</v>
      </c>
      <c r="Q99" s="48">
        <f t="shared" si="26"/>
        <v>27823</v>
      </c>
      <c r="R99" s="48">
        <f t="shared" si="26"/>
        <v>27823</v>
      </c>
      <c r="S99" s="48">
        <f t="shared" si="25"/>
        <v>27823</v>
      </c>
      <c r="T99" s="48">
        <f t="shared" si="25"/>
        <v>27823</v>
      </c>
      <c r="U99" s="48">
        <f t="shared" si="25"/>
        <v>27823</v>
      </c>
      <c r="V99" s="48">
        <f t="shared" si="25"/>
        <v>27823</v>
      </c>
      <c r="W99" s="48">
        <f t="shared" si="25"/>
        <v>27823</v>
      </c>
      <c r="X99" s="48">
        <f t="shared" si="25"/>
        <v>27823</v>
      </c>
      <c r="Y99" s="48">
        <f t="shared" si="25"/>
        <v>27823</v>
      </c>
      <c r="Z99" s="48">
        <f t="shared" si="25"/>
        <v>27823</v>
      </c>
      <c r="AA99" s="48">
        <f t="shared" si="24"/>
        <v>667752</v>
      </c>
      <c r="AB99" s="83">
        <f t="shared" si="23"/>
        <v>31</v>
      </c>
      <c r="AC99" s="48">
        <v>20700312</v>
      </c>
      <c r="AE99" s="47"/>
    </row>
    <row r="100" spans="1:31" ht="13" x14ac:dyDescent="0.25">
      <c r="A100" s="15">
        <f t="shared" si="22"/>
        <v>2036</v>
      </c>
      <c r="B100" s="18">
        <v>49980</v>
      </c>
      <c r="C100" s="48">
        <f t="shared" si="26"/>
        <v>29028</v>
      </c>
      <c r="D100" s="48">
        <f t="shared" si="26"/>
        <v>29028</v>
      </c>
      <c r="E100" s="48">
        <f t="shared" si="26"/>
        <v>29028</v>
      </c>
      <c r="F100" s="48">
        <f t="shared" si="26"/>
        <v>29028</v>
      </c>
      <c r="G100" s="48">
        <f t="shared" si="26"/>
        <v>29028</v>
      </c>
      <c r="H100" s="48">
        <f t="shared" si="26"/>
        <v>29028</v>
      </c>
      <c r="I100" s="48">
        <f t="shared" si="26"/>
        <v>29028</v>
      </c>
      <c r="J100" s="48">
        <f t="shared" si="26"/>
        <v>29028</v>
      </c>
      <c r="K100" s="48">
        <f t="shared" si="26"/>
        <v>29028</v>
      </c>
      <c r="L100" s="48">
        <f t="shared" si="26"/>
        <v>29028</v>
      </c>
      <c r="M100" s="48">
        <f t="shared" si="26"/>
        <v>29028</v>
      </c>
      <c r="N100" s="48">
        <f t="shared" si="26"/>
        <v>29028</v>
      </c>
      <c r="O100" s="48">
        <f t="shared" si="26"/>
        <v>29028</v>
      </c>
      <c r="P100" s="48">
        <f t="shared" si="26"/>
        <v>29028</v>
      </c>
      <c r="Q100" s="48">
        <f t="shared" si="26"/>
        <v>29028</v>
      </c>
      <c r="R100" s="48">
        <f t="shared" si="26"/>
        <v>29028</v>
      </c>
      <c r="S100" s="48">
        <f t="shared" si="25"/>
        <v>29028</v>
      </c>
      <c r="T100" s="48">
        <f t="shared" si="25"/>
        <v>29028</v>
      </c>
      <c r="U100" s="48">
        <f t="shared" si="25"/>
        <v>29028</v>
      </c>
      <c r="V100" s="48">
        <f t="shared" si="25"/>
        <v>29028</v>
      </c>
      <c r="W100" s="48">
        <f t="shared" si="25"/>
        <v>29028</v>
      </c>
      <c r="X100" s="48">
        <f t="shared" si="25"/>
        <v>29028</v>
      </c>
      <c r="Y100" s="48">
        <f t="shared" si="25"/>
        <v>29028</v>
      </c>
      <c r="Z100" s="48">
        <f t="shared" si="25"/>
        <v>29028</v>
      </c>
      <c r="AA100" s="48">
        <f t="shared" si="24"/>
        <v>696672</v>
      </c>
      <c r="AB100" s="83">
        <f t="shared" si="23"/>
        <v>30</v>
      </c>
      <c r="AC100" s="48">
        <v>20900160</v>
      </c>
      <c r="AE100" s="47"/>
    </row>
    <row r="101" spans="1:31" ht="13" x14ac:dyDescent="0.25">
      <c r="A101" s="15">
        <f t="shared" si="22"/>
        <v>2036</v>
      </c>
      <c r="B101" s="18">
        <v>50010</v>
      </c>
      <c r="C101" s="48">
        <f t="shared" si="26"/>
        <v>27823</v>
      </c>
      <c r="D101" s="48">
        <f t="shared" si="26"/>
        <v>27823</v>
      </c>
      <c r="E101" s="48">
        <f t="shared" si="26"/>
        <v>27823</v>
      </c>
      <c r="F101" s="48">
        <f t="shared" si="26"/>
        <v>27823</v>
      </c>
      <c r="G101" s="48">
        <f t="shared" si="26"/>
        <v>27823</v>
      </c>
      <c r="H101" s="48">
        <f t="shared" si="26"/>
        <v>27823</v>
      </c>
      <c r="I101" s="48">
        <f t="shared" si="26"/>
        <v>27823</v>
      </c>
      <c r="J101" s="48">
        <f t="shared" si="26"/>
        <v>27823</v>
      </c>
      <c r="K101" s="48">
        <f t="shared" si="26"/>
        <v>27823</v>
      </c>
      <c r="L101" s="48">
        <f t="shared" si="26"/>
        <v>27823</v>
      </c>
      <c r="M101" s="48">
        <f t="shared" si="26"/>
        <v>27823</v>
      </c>
      <c r="N101" s="48">
        <f t="shared" si="26"/>
        <v>27823</v>
      </c>
      <c r="O101" s="48">
        <f t="shared" si="26"/>
        <v>27823</v>
      </c>
      <c r="P101" s="48">
        <f t="shared" si="26"/>
        <v>27823</v>
      </c>
      <c r="Q101" s="48">
        <f t="shared" si="26"/>
        <v>27823</v>
      </c>
      <c r="R101" s="48">
        <f t="shared" si="26"/>
        <v>27823</v>
      </c>
      <c r="S101" s="48">
        <f t="shared" si="25"/>
        <v>27823</v>
      </c>
      <c r="T101" s="48">
        <f t="shared" si="25"/>
        <v>27823</v>
      </c>
      <c r="U101" s="48">
        <f t="shared" si="25"/>
        <v>27823</v>
      </c>
      <c r="V101" s="48">
        <f t="shared" si="25"/>
        <v>27823</v>
      </c>
      <c r="W101" s="48">
        <f t="shared" si="25"/>
        <v>27823</v>
      </c>
      <c r="X101" s="48">
        <f t="shared" si="25"/>
        <v>27823</v>
      </c>
      <c r="Y101" s="48">
        <f t="shared" si="25"/>
        <v>27823</v>
      </c>
      <c r="Z101" s="48">
        <f t="shared" si="25"/>
        <v>27823</v>
      </c>
      <c r="AA101" s="48">
        <f t="shared" si="24"/>
        <v>667752</v>
      </c>
      <c r="AB101" s="83">
        <f t="shared" si="23"/>
        <v>31</v>
      </c>
      <c r="AC101" s="48">
        <v>20700312</v>
      </c>
      <c r="AE101" s="47"/>
    </row>
    <row r="102" spans="1:31" ht="13" x14ac:dyDescent="0.25">
      <c r="B102" s="18"/>
      <c r="C102" s="23">
        <f>SUM(C6:C101)</f>
        <v>1695606</v>
      </c>
      <c r="D102" s="23">
        <f t="shared" ref="D102:AB102" si="27">SUM(D6:D101)</f>
        <v>1695606</v>
      </c>
      <c r="E102" s="23">
        <f t="shared" si="27"/>
        <v>1695606</v>
      </c>
      <c r="F102" s="23">
        <f t="shared" si="27"/>
        <v>1695606</v>
      </c>
      <c r="G102" s="23">
        <f t="shared" si="27"/>
        <v>1695606</v>
      </c>
      <c r="H102" s="23">
        <f t="shared" si="27"/>
        <v>1695606</v>
      </c>
      <c r="I102" s="23">
        <f t="shared" si="27"/>
        <v>1695606</v>
      </c>
      <c r="J102" s="23">
        <f t="shared" si="27"/>
        <v>1695606</v>
      </c>
      <c r="K102" s="23">
        <f t="shared" si="27"/>
        <v>1695606</v>
      </c>
      <c r="L102" s="23">
        <f t="shared" si="27"/>
        <v>1695606</v>
      </c>
      <c r="M102" s="23">
        <f t="shared" si="27"/>
        <v>1695606</v>
      </c>
      <c r="N102" s="23">
        <f t="shared" si="27"/>
        <v>1695606</v>
      </c>
      <c r="O102" s="23">
        <f t="shared" si="27"/>
        <v>1695606</v>
      </c>
      <c r="P102" s="23">
        <f t="shared" si="27"/>
        <v>1695606</v>
      </c>
      <c r="Q102" s="23">
        <f t="shared" si="27"/>
        <v>1695606</v>
      </c>
      <c r="R102" s="23">
        <f t="shared" si="27"/>
        <v>1695606</v>
      </c>
      <c r="S102" s="23">
        <f t="shared" si="27"/>
        <v>1695606</v>
      </c>
      <c r="T102" s="23">
        <f t="shared" si="27"/>
        <v>1695606</v>
      </c>
      <c r="U102" s="23">
        <f t="shared" si="27"/>
        <v>1695606</v>
      </c>
      <c r="V102" s="23">
        <f t="shared" si="27"/>
        <v>1695606</v>
      </c>
      <c r="W102" s="23">
        <f t="shared" si="27"/>
        <v>1695606</v>
      </c>
      <c r="X102" s="23">
        <f t="shared" si="27"/>
        <v>1695606</v>
      </c>
      <c r="Y102" s="23">
        <f t="shared" si="27"/>
        <v>1695606</v>
      </c>
      <c r="Z102" s="23">
        <f t="shared" si="27"/>
        <v>1695606</v>
      </c>
      <c r="AA102" s="23">
        <f t="shared" si="27"/>
        <v>40694544</v>
      </c>
      <c r="AB102" s="23">
        <f t="shared" si="27"/>
        <v>2922</v>
      </c>
      <c r="AC102" s="23">
        <f>SUM(AC6:AC101)</f>
        <v>1236900744</v>
      </c>
    </row>
  </sheetData>
  <mergeCells count="28">
    <mergeCell ref="P4:P5"/>
    <mergeCell ref="B1:AC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AC4:AC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073C-758F-456B-BA00-00238C030957}">
  <dimension ref="A1:AK128"/>
  <sheetViews>
    <sheetView showGridLines="0" zoomScale="85" zoomScaleNormal="85" workbookViewId="0">
      <pane xSplit="2" ySplit="7" topLeftCell="T8" activePane="bottomRight" state="frozen"/>
      <selection pane="topRight" activeCell="B1" sqref="B1"/>
      <selection pane="bottomLeft" activeCell="A6" sqref="A6"/>
      <selection pane="bottomRight" activeCell="AD8" sqref="AD8"/>
    </sheetView>
  </sheetViews>
  <sheetFormatPr baseColWidth="10" defaultColWidth="8" defaultRowHeight="9.5" x14ac:dyDescent="0.25"/>
  <cols>
    <col min="1" max="1" width="4.54296875" style="15" customWidth="1"/>
    <col min="2" max="2" width="15.7265625" style="15" bestFit="1" customWidth="1"/>
    <col min="3" max="26" width="12.453125" style="15" bestFit="1" customWidth="1"/>
    <col min="27" max="27" width="14.7265625" style="15" bestFit="1" customWidth="1"/>
    <col min="28" max="28" width="7.81640625" style="15" bestFit="1" customWidth="1"/>
    <col min="29" max="29" width="15" style="15" bestFit="1" customWidth="1"/>
    <col min="30" max="30" width="15.453125" style="15" customWidth="1"/>
    <col min="31" max="31" width="17.54296875" style="15" bestFit="1" customWidth="1"/>
    <col min="32" max="32" width="19" style="15" bestFit="1" customWidth="1"/>
    <col min="33" max="34" width="10.26953125" style="15" bestFit="1" customWidth="1"/>
    <col min="35" max="16384" width="8" style="15"/>
  </cols>
  <sheetData>
    <row r="1" spans="1:37" x14ac:dyDescent="0.25">
      <c r="A1" s="15">
        <f>COLUMN()</f>
        <v>1</v>
      </c>
      <c r="B1" s="15">
        <f>COLUMN()</f>
        <v>2</v>
      </c>
      <c r="C1" s="15">
        <f>COLUMN()</f>
        <v>3</v>
      </c>
      <c r="D1" s="15">
        <f>COLUMN()</f>
        <v>4</v>
      </c>
      <c r="E1" s="15">
        <f>COLUMN()</f>
        <v>5</v>
      </c>
      <c r="F1" s="15">
        <f>COLUMN()</f>
        <v>6</v>
      </c>
      <c r="G1" s="15">
        <f>COLUMN()</f>
        <v>7</v>
      </c>
      <c r="H1" s="15">
        <f>COLUMN()</f>
        <v>8</v>
      </c>
      <c r="I1" s="15">
        <f>COLUMN()</f>
        <v>9</v>
      </c>
      <c r="J1" s="15">
        <f>COLUMN()</f>
        <v>10</v>
      </c>
      <c r="K1" s="15">
        <f>COLUMN()</f>
        <v>11</v>
      </c>
      <c r="L1" s="15">
        <f>COLUMN()</f>
        <v>12</v>
      </c>
      <c r="M1" s="15">
        <f>COLUMN()</f>
        <v>13</v>
      </c>
      <c r="N1" s="15">
        <f>COLUMN()</f>
        <v>14</v>
      </c>
      <c r="O1" s="15">
        <f>COLUMN()</f>
        <v>15</v>
      </c>
      <c r="P1" s="15">
        <f>COLUMN()</f>
        <v>16</v>
      </c>
      <c r="Q1" s="15">
        <f>COLUMN()</f>
        <v>17</v>
      </c>
      <c r="R1" s="15">
        <f>COLUMN()</f>
        <v>18</v>
      </c>
      <c r="S1" s="15">
        <f>COLUMN()</f>
        <v>19</v>
      </c>
      <c r="T1" s="15">
        <f>COLUMN()</f>
        <v>20</v>
      </c>
      <c r="U1" s="15">
        <f>COLUMN()</f>
        <v>21</v>
      </c>
      <c r="V1" s="15">
        <f>COLUMN()</f>
        <v>22</v>
      </c>
      <c r="W1" s="15">
        <f>COLUMN()</f>
        <v>23</v>
      </c>
      <c r="X1" s="15">
        <f>COLUMN()</f>
        <v>24</v>
      </c>
      <c r="Y1" s="15">
        <f>COLUMN()</f>
        <v>25</v>
      </c>
      <c r="Z1" s="15">
        <f>COLUMN()</f>
        <v>26</v>
      </c>
      <c r="AA1" s="15">
        <f>COLUMN()</f>
        <v>27</v>
      </c>
      <c r="AB1" s="15">
        <f>COLUMN()</f>
        <v>28</v>
      </c>
      <c r="AC1" s="15">
        <f>COLUMN()</f>
        <v>29</v>
      </c>
    </row>
    <row r="3" spans="1:37" x14ac:dyDescent="0.25">
      <c r="B3" s="94" t="s">
        <v>40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6"/>
    </row>
    <row r="4" spans="1:37" ht="14.5" x14ac:dyDescent="0.35">
      <c r="B4" s="97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9"/>
      <c r="AE4"/>
      <c r="AF4"/>
      <c r="AG4"/>
    </row>
    <row r="5" spans="1:37" ht="14.5" x14ac:dyDescent="0.35"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  <c r="K5" s="29">
        <v>8.2251751504185455E-2</v>
      </c>
      <c r="L5" s="29">
        <v>9.0581343505926629E-2</v>
      </c>
      <c r="M5" s="29">
        <v>9.9397224420285896E-2</v>
      </c>
      <c r="N5" s="29">
        <v>0.10310271469389617</v>
      </c>
      <c r="O5" s="29">
        <v>0.10414476616203402</v>
      </c>
      <c r="P5" s="29">
        <v>0.10552450127735256</v>
      </c>
      <c r="Q5" s="29">
        <v>0.10652898101122887</v>
      </c>
      <c r="R5" s="29">
        <v>0.10595708637272766</v>
      </c>
      <c r="S5" s="29">
        <v>0.10375342522607379</v>
      </c>
      <c r="T5" s="29">
        <v>9.8758205826288872E-2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C5" s="16"/>
      <c r="AE5"/>
      <c r="AF5"/>
      <c r="AG5"/>
    </row>
    <row r="6" spans="1:37" ht="15" customHeight="1" x14ac:dyDescent="0.35">
      <c r="B6" s="93" t="s">
        <v>8</v>
      </c>
      <c r="C6" s="93" t="s">
        <v>9</v>
      </c>
      <c r="D6" s="93" t="s">
        <v>10</v>
      </c>
      <c r="E6" s="93" t="s">
        <v>11</v>
      </c>
      <c r="F6" s="93" t="s">
        <v>12</v>
      </c>
      <c r="G6" s="93" t="s">
        <v>13</v>
      </c>
      <c r="H6" s="93" t="s">
        <v>14</v>
      </c>
      <c r="I6" s="93" t="s">
        <v>15</v>
      </c>
      <c r="J6" s="93" t="s">
        <v>16</v>
      </c>
      <c r="K6" s="93" t="s">
        <v>17</v>
      </c>
      <c r="L6" s="93" t="s">
        <v>18</v>
      </c>
      <c r="M6" s="93" t="s">
        <v>19</v>
      </c>
      <c r="N6" s="93" t="s">
        <v>20</v>
      </c>
      <c r="O6" s="93" t="s">
        <v>21</v>
      </c>
      <c r="P6" s="93" t="s">
        <v>22</v>
      </c>
      <c r="Q6" s="93" t="s">
        <v>23</v>
      </c>
      <c r="R6" s="93" t="s">
        <v>24</v>
      </c>
      <c r="S6" s="93" t="s">
        <v>25</v>
      </c>
      <c r="T6" s="93" t="s">
        <v>26</v>
      </c>
      <c r="U6" s="93" t="s">
        <v>27</v>
      </c>
      <c r="V6" s="93" t="s">
        <v>28</v>
      </c>
      <c r="W6" s="93" t="s">
        <v>29</v>
      </c>
      <c r="X6" s="93" t="s">
        <v>30</v>
      </c>
      <c r="Y6" s="93" t="s">
        <v>31</v>
      </c>
      <c r="Z6" s="93" t="s">
        <v>32</v>
      </c>
      <c r="AA6" s="93" t="s">
        <v>33</v>
      </c>
      <c r="AB6" s="17" t="s">
        <v>34</v>
      </c>
      <c r="AC6" s="93" t="s">
        <v>35</v>
      </c>
      <c r="AD6" s="111" t="s">
        <v>38</v>
      </c>
      <c r="AE6"/>
      <c r="AF6"/>
      <c r="AG6"/>
    </row>
    <row r="7" spans="1:37" ht="14.5" x14ac:dyDescent="0.35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17" t="s">
        <v>36</v>
      </c>
      <c r="AC7" s="93"/>
      <c r="AD7" s="112"/>
      <c r="AE7"/>
      <c r="AF7"/>
      <c r="AG7"/>
    </row>
    <row r="8" spans="1:37" ht="14.5" x14ac:dyDescent="0.35">
      <c r="A8" s="15">
        <f>YEAR(B8)</f>
        <v>2026</v>
      </c>
      <c r="B8" s="18">
        <v>46023</v>
      </c>
      <c r="C8" s="26">
        <f>IF(AND(COLUMN()&gt;=11,COLUMN()&lt;=20),(_xlfn.XLOOKUP($A8,#REF!,#REF!))/SUMIF($A$7:$AC$128,$A8,$AB$6:$AB$127)*C$5,0)</f>
        <v>0</v>
      </c>
      <c r="D8" s="26">
        <f>IF(AND(COLUMN()&gt;=11,COLUMN()&lt;=20),(_xlfn.XLOOKUP($A8,#REF!,#REF!))/SUMIF($A$7:$AC$128,$A8,$AB$6:$AB$127)*D$5,0)</f>
        <v>0</v>
      </c>
      <c r="E8" s="26">
        <f>IF(AND(COLUMN()&gt;=11,COLUMN()&lt;=20),(_xlfn.XLOOKUP($A8,#REF!,#REF!))/SUMIF($A$7:$AC$128,$A8,$AB$6:$AB$127)*E$5,0)</f>
        <v>0</v>
      </c>
      <c r="F8" s="26">
        <f>IF(AND(COLUMN()&gt;=11,COLUMN()&lt;=20),(_xlfn.XLOOKUP($A8,#REF!,#REF!))/SUMIF($A$7:$AC$128,$A8,$AB$6:$AB$127)*F$5,0)</f>
        <v>0</v>
      </c>
      <c r="G8" s="26">
        <f>IF(AND(COLUMN()&gt;=11,COLUMN()&lt;=20),(_xlfn.XLOOKUP($A8,#REF!,#REF!))/SUMIF($A$7:$AC$128,$A8,$AB$6:$AB$127)*G$5,0)</f>
        <v>0</v>
      </c>
      <c r="H8" s="26">
        <f>IF(AND(COLUMN()&gt;=11,COLUMN()&lt;=20),(_xlfn.XLOOKUP($A8,#REF!,#REF!))/SUMIF($A$7:$AC$128,$A8,$AB$6:$AB$127)*H$5,0)</f>
        <v>0</v>
      </c>
      <c r="I8" s="26">
        <f>IF(AND(COLUMN()&gt;=11,COLUMN()&lt;=20),(_xlfn.XLOOKUP($A8,#REF!,#REF!))/SUMIF($A$7:$AC$128,$A8,$AB$6:$AB$127)*I$5,0)</f>
        <v>0</v>
      </c>
      <c r="J8" s="26">
        <f>IF(AND(COLUMN()&gt;=11,COLUMN()&lt;=20),(_xlfn.XLOOKUP($A8,#REF!,#REF!))/SUMIF($A$7:$AC$128,$A8,$AB$6:$AB$127)*J$5,0)</f>
        <v>0</v>
      </c>
      <c r="K8" s="26" t="e">
        <f ca="1">IF(AND(COLUMN()&gt;=11,COLUMN()&lt;=20),(_xlfn.XLOOKUP($A8,#REF!,#REF!))/SUMIF($A$7:$AC$128,$A8,$AB$6:$AB$127)*K$5,0)</f>
        <v>#REF!</v>
      </c>
      <c r="L8" s="26" t="e">
        <f ca="1">IF(AND(COLUMN()&gt;=11,COLUMN()&lt;=20),(_xlfn.XLOOKUP($A8,#REF!,#REF!))/SUMIF($A$7:$AC$128,$A8,$AB$6:$AB$127)*L$5,0)</f>
        <v>#REF!</v>
      </c>
      <c r="M8" s="26" t="e">
        <f ca="1">IF(AND(COLUMN()&gt;=11,COLUMN()&lt;=20),(_xlfn.XLOOKUP($A8,#REF!,#REF!))/SUMIF($A$7:$AC$128,$A8,$AB$6:$AB$127)*M$5,0)</f>
        <v>#REF!</v>
      </c>
      <c r="N8" s="26" t="e">
        <f ca="1">IF(AND(COLUMN()&gt;=11,COLUMN()&lt;=20),(_xlfn.XLOOKUP($A8,#REF!,#REF!))/SUMIF($A$7:$AC$128,$A8,$AB$6:$AB$127)*N$5,0)</f>
        <v>#REF!</v>
      </c>
      <c r="O8" s="26" t="e">
        <f ca="1">IF(AND(COLUMN()&gt;=11,COLUMN()&lt;=20),(_xlfn.XLOOKUP($A8,#REF!,#REF!))/SUMIF($A$7:$AC$128,$A8,$AB$6:$AB$127)*O$5,0)</f>
        <v>#REF!</v>
      </c>
      <c r="P8" s="26" t="e">
        <f ca="1">IF(AND(COLUMN()&gt;=11,COLUMN()&lt;=20),(_xlfn.XLOOKUP($A8,#REF!,#REF!))/SUMIF($A$7:$AC$128,$A8,$AB$6:$AB$127)*P$5,0)</f>
        <v>#REF!</v>
      </c>
      <c r="Q8" s="26" t="e">
        <f ca="1">IF(AND(COLUMN()&gt;=11,COLUMN()&lt;=20),(_xlfn.XLOOKUP($A8,#REF!,#REF!))/SUMIF($A$7:$AC$128,$A8,$AB$6:$AB$127)*Q$5,0)</f>
        <v>#REF!</v>
      </c>
      <c r="R8" s="26" t="e">
        <f ca="1">IF(AND(COLUMN()&gt;=11,COLUMN()&lt;=20),(_xlfn.XLOOKUP($A8,#REF!,#REF!))/SUMIF($A$7:$AC$128,$A8,$AB$6:$AB$127)*R$5,0)</f>
        <v>#REF!</v>
      </c>
      <c r="S8" s="26" t="e">
        <f ca="1">IF(AND(COLUMN()&gt;=11,COLUMN()&lt;=20),(_xlfn.XLOOKUP($A8,#REF!,#REF!))/SUMIF($A$7:$AC$128,$A8,$AB$6:$AB$127)*S$5,0)</f>
        <v>#REF!</v>
      </c>
      <c r="T8" s="26" t="e">
        <f ca="1">IF(AND(COLUMN()&gt;=11,COLUMN()&lt;=20),(_xlfn.XLOOKUP($A8,#REF!,#REF!))/SUMIF($A$7:$AC$128,$A8,$AB$6:$AB$127)*T$5,0)</f>
        <v>#REF!</v>
      </c>
      <c r="U8" s="26">
        <f>IF(AND(COLUMN()&gt;=11,COLUMN()&lt;=20),(_xlfn.XLOOKUP($A8,#REF!,#REF!))/SUMIF($A$7:$AC$128,$A8,$AB$6:$AB$127)*U$5,0)</f>
        <v>0</v>
      </c>
      <c r="V8" s="26">
        <f>IF(AND(COLUMN()&gt;=11,COLUMN()&lt;=20),(_xlfn.XLOOKUP($A8,#REF!,#REF!))/SUMIF($A$7:$AC$128,$A8,$AB$6:$AB$127)*V$5,0)</f>
        <v>0</v>
      </c>
      <c r="W8" s="26">
        <f>IF(AND(COLUMN()&gt;=11,COLUMN()&lt;=20),(_xlfn.XLOOKUP($A8,#REF!,#REF!))/SUMIF($A$7:$AC$128,$A8,$AB$6:$AB$127)*W$5,0)</f>
        <v>0</v>
      </c>
      <c r="X8" s="26">
        <f>IF(AND(COLUMN()&gt;=11,COLUMN()&lt;=20),(_xlfn.XLOOKUP($A8,#REF!,#REF!))/SUMIF($A$7:$AC$128,$A8,$AB$6:$AB$127)*X$5,0)</f>
        <v>0</v>
      </c>
      <c r="Y8" s="26">
        <f>IF(AND(COLUMN()&gt;=11,COLUMN()&lt;=20),(_xlfn.XLOOKUP($A8,#REF!,#REF!))/SUMIF($A$7:$AC$128,$A8,$AB$6:$AB$127)*Y$5,0)</f>
        <v>0</v>
      </c>
      <c r="Z8" s="26">
        <f>IF(AND(COLUMN()&gt;=11,COLUMN()&lt;=20),(_xlfn.XLOOKUP($A8,#REF!,#REF!))/SUMIF($A$7:$AC$128,$A8,$AB$6:$AB$127)*Z$5,0)</f>
        <v>0</v>
      </c>
      <c r="AA8" s="26" t="e">
        <f ca="1">SUM(C8:Z8)</f>
        <v>#REF!</v>
      </c>
      <c r="AB8" s="19">
        <f>DAY(EOMONTH(B8,0))</f>
        <v>31</v>
      </c>
      <c r="AC8" s="20" t="e">
        <f ca="1">AA8*AB8</f>
        <v>#REF!</v>
      </c>
      <c r="AD8" s="30" t="e">
        <f>#REF!/SUMIF(#REF!,'Curva de la oferta Prod 3'!$A8,#REF!)</f>
        <v>#REF!</v>
      </c>
      <c r="AE8" s="28"/>
      <c r="AF8" s="31"/>
      <c r="AG8" s="31"/>
      <c r="AH8" s="31"/>
      <c r="AI8" s="31"/>
      <c r="AJ8" s="31"/>
      <c r="AK8" s="31"/>
    </row>
    <row r="9" spans="1:37" ht="14.5" x14ac:dyDescent="0.35">
      <c r="A9" s="15">
        <f t="shared" ref="A9:A72" si="0">YEAR(B9)</f>
        <v>2026</v>
      </c>
      <c r="B9" s="18">
        <v>46054</v>
      </c>
      <c r="C9" s="26">
        <f>IF(AND(COLUMN()&gt;=11,COLUMN()&lt;=20),(_xlfn.XLOOKUP($A9,#REF!,#REF!))/SUMIF($A$7:$AC$128,$A9,$AB$6:$AB$127)*C$5,0)</f>
        <v>0</v>
      </c>
      <c r="D9" s="26">
        <f>IF(AND(COLUMN()&gt;=11,COLUMN()&lt;=20),(_xlfn.XLOOKUP($A9,#REF!,#REF!))/SUMIF($A$7:$AC$128,$A9,$AB$6:$AB$127)*D$5,0)</f>
        <v>0</v>
      </c>
      <c r="E9" s="26">
        <f>IF(AND(COLUMN()&gt;=11,COLUMN()&lt;=20),(_xlfn.XLOOKUP($A9,#REF!,#REF!))/SUMIF($A$7:$AC$128,$A9,$AB$6:$AB$127)*E$5,0)</f>
        <v>0</v>
      </c>
      <c r="F9" s="26">
        <f>IF(AND(COLUMN()&gt;=11,COLUMN()&lt;=20),(_xlfn.XLOOKUP($A9,#REF!,#REF!))/SUMIF($A$7:$AC$128,$A9,$AB$6:$AB$127)*F$5,0)</f>
        <v>0</v>
      </c>
      <c r="G9" s="26">
        <f>IF(AND(COLUMN()&gt;=11,COLUMN()&lt;=20),(_xlfn.XLOOKUP($A9,#REF!,#REF!))/SUMIF($A$7:$AC$128,$A9,$AB$6:$AB$127)*G$5,0)</f>
        <v>0</v>
      </c>
      <c r="H9" s="26">
        <f>IF(AND(COLUMN()&gt;=11,COLUMN()&lt;=20),(_xlfn.XLOOKUP($A9,#REF!,#REF!))/SUMIF($A$7:$AC$128,$A9,$AB$6:$AB$127)*H$5,0)</f>
        <v>0</v>
      </c>
      <c r="I9" s="26">
        <f>IF(AND(COLUMN()&gt;=11,COLUMN()&lt;=20),(_xlfn.XLOOKUP($A9,#REF!,#REF!))/SUMIF($A$7:$AC$128,$A9,$AB$6:$AB$127)*I$5,0)</f>
        <v>0</v>
      </c>
      <c r="J9" s="26">
        <f>IF(AND(COLUMN()&gt;=11,COLUMN()&lt;=20),(_xlfn.XLOOKUP($A9,#REF!,#REF!))/SUMIF($A$7:$AC$128,$A9,$AB$6:$AB$127)*J$5,0)</f>
        <v>0</v>
      </c>
      <c r="K9" s="26" t="e">
        <f ca="1">IF(AND(COLUMN()&gt;=11,COLUMN()&lt;=20),(_xlfn.XLOOKUP($A9,#REF!,#REF!))/SUMIF($A$7:$AC$128,$A9,$AB$6:$AB$127)*K$5,0)</f>
        <v>#REF!</v>
      </c>
      <c r="L9" s="26" t="e">
        <f ca="1">IF(AND(COLUMN()&gt;=11,COLUMN()&lt;=20),(_xlfn.XLOOKUP($A9,#REF!,#REF!))/SUMIF($A$7:$AC$128,$A9,$AB$6:$AB$127)*L$5,0)</f>
        <v>#REF!</v>
      </c>
      <c r="M9" s="26" t="e">
        <f ca="1">IF(AND(COLUMN()&gt;=11,COLUMN()&lt;=20),(_xlfn.XLOOKUP($A9,#REF!,#REF!))/SUMIF($A$7:$AC$128,$A9,$AB$6:$AB$127)*M$5,0)</f>
        <v>#REF!</v>
      </c>
      <c r="N9" s="26" t="e">
        <f ca="1">IF(AND(COLUMN()&gt;=11,COLUMN()&lt;=20),(_xlfn.XLOOKUP($A9,#REF!,#REF!))/SUMIF($A$7:$AC$128,$A9,$AB$6:$AB$127)*N$5,0)</f>
        <v>#REF!</v>
      </c>
      <c r="O9" s="26" t="e">
        <f ca="1">IF(AND(COLUMN()&gt;=11,COLUMN()&lt;=20),(_xlfn.XLOOKUP($A9,#REF!,#REF!))/SUMIF($A$7:$AC$128,$A9,$AB$6:$AB$127)*O$5,0)</f>
        <v>#REF!</v>
      </c>
      <c r="P9" s="26" t="e">
        <f ca="1">IF(AND(COLUMN()&gt;=11,COLUMN()&lt;=20),(_xlfn.XLOOKUP($A9,#REF!,#REF!))/SUMIF($A$7:$AC$128,$A9,$AB$6:$AB$127)*P$5,0)</f>
        <v>#REF!</v>
      </c>
      <c r="Q9" s="26" t="e">
        <f ca="1">IF(AND(COLUMN()&gt;=11,COLUMN()&lt;=20),(_xlfn.XLOOKUP($A9,#REF!,#REF!))/SUMIF($A$7:$AC$128,$A9,$AB$6:$AB$127)*Q$5,0)</f>
        <v>#REF!</v>
      </c>
      <c r="R9" s="26" t="e">
        <f ca="1">IF(AND(COLUMN()&gt;=11,COLUMN()&lt;=20),(_xlfn.XLOOKUP($A9,#REF!,#REF!))/SUMIF($A$7:$AC$128,$A9,$AB$6:$AB$127)*R$5,0)</f>
        <v>#REF!</v>
      </c>
      <c r="S9" s="26" t="e">
        <f ca="1">IF(AND(COLUMN()&gt;=11,COLUMN()&lt;=20),(_xlfn.XLOOKUP($A9,#REF!,#REF!))/SUMIF($A$7:$AC$128,$A9,$AB$6:$AB$127)*S$5,0)</f>
        <v>#REF!</v>
      </c>
      <c r="T9" s="26" t="e">
        <f ca="1">IF(AND(COLUMN()&gt;=11,COLUMN()&lt;=20),(_xlfn.XLOOKUP($A9,#REF!,#REF!))/SUMIF($A$7:$AC$128,$A9,$AB$6:$AB$127)*T$5,0)</f>
        <v>#REF!</v>
      </c>
      <c r="U9" s="26">
        <f>IF(AND(COLUMN()&gt;=11,COLUMN()&lt;=20),(_xlfn.XLOOKUP($A9,#REF!,#REF!))/SUMIF($A$7:$AC$128,$A9,$AB$6:$AB$127)*U$5,0)</f>
        <v>0</v>
      </c>
      <c r="V9" s="26">
        <f>IF(AND(COLUMN()&gt;=11,COLUMN()&lt;=20),(_xlfn.XLOOKUP($A9,#REF!,#REF!))/SUMIF($A$7:$AC$128,$A9,$AB$6:$AB$127)*V$5,0)</f>
        <v>0</v>
      </c>
      <c r="W9" s="26">
        <f>IF(AND(COLUMN()&gt;=11,COLUMN()&lt;=20),(_xlfn.XLOOKUP($A9,#REF!,#REF!))/SUMIF($A$7:$AC$128,$A9,$AB$6:$AB$127)*W$5,0)</f>
        <v>0</v>
      </c>
      <c r="X9" s="26">
        <f>IF(AND(COLUMN()&gt;=11,COLUMN()&lt;=20),(_xlfn.XLOOKUP($A9,#REF!,#REF!))/SUMIF($A$7:$AC$128,$A9,$AB$6:$AB$127)*X$5,0)</f>
        <v>0</v>
      </c>
      <c r="Y9" s="26">
        <f>IF(AND(COLUMN()&gt;=11,COLUMN()&lt;=20),(_xlfn.XLOOKUP($A9,#REF!,#REF!))/SUMIF($A$7:$AC$128,$A9,$AB$6:$AB$127)*Y$5,0)</f>
        <v>0</v>
      </c>
      <c r="Z9" s="26">
        <f>IF(AND(COLUMN()&gt;=11,COLUMN()&lt;=20),(_xlfn.XLOOKUP($A9,#REF!,#REF!))/SUMIF($A$7:$AC$128,$A9,$AB$6:$AB$127)*Z$5,0)</f>
        <v>0</v>
      </c>
      <c r="AA9" s="26" t="e">
        <f t="shared" ref="AA9:AA19" ca="1" si="1">SUM(C9:Z9)</f>
        <v>#REF!</v>
      </c>
      <c r="AB9" s="19">
        <f t="shared" ref="AB9:AB72" si="2">DAY(EOMONTH(B9,0))</f>
        <v>28</v>
      </c>
      <c r="AC9" s="20" t="e">
        <f t="shared" ref="AC9:AC72" ca="1" si="3">AA9*AB9</f>
        <v>#REF!</v>
      </c>
      <c r="AD9" s="30" t="e">
        <f>#REF!/SUMIF(#REF!,'Curva de la oferta Prod 3'!$A9,#REF!)</f>
        <v>#REF!</v>
      </c>
      <c r="AE9" s="28"/>
      <c r="AF9" s="31"/>
      <c r="AG9" s="31"/>
      <c r="AH9" s="31"/>
      <c r="AI9" s="31"/>
      <c r="AJ9" s="31"/>
      <c r="AK9" s="31"/>
    </row>
    <row r="10" spans="1:37" ht="14.5" x14ac:dyDescent="0.35">
      <c r="A10" s="15">
        <f t="shared" si="0"/>
        <v>2026</v>
      </c>
      <c r="B10" s="18">
        <v>46082</v>
      </c>
      <c r="C10" s="26">
        <f>IF(AND(COLUMN()&gt;=11,COLUMN()&lt;=20),(_xlfn.XLOOKUP($A10,#REF!,#REF!))/SUMIF($A$7:$AC$128,$A10,$AB$6:$AB$127)*C$5,0)</f>
        <v>0</v>
      </c>
      <c r="D10" s="26">
        <f>IF(AND(COLUMN()&gt;=11,COLUMN()&lt;=20),(_xlfn.XLOOKUP($A10,#REF!,#REF!))/SUMIF($A$7:$AC$128,$A10,$AB$6:$AB$127)*D$5,0)</f>
        <v>0</v>
      </c>
      <c r="E10" s="26">
        <f>IF(AND(COLUMN()&gt;=11,COLUMN()&lt;=20),(_xlfn.XLOOKUP($A10,#REF!,#REF!))/SUMIF($A$7:$AC$128,$A10,$AB$6:$AB$127)*E$5,0)</f>
        <v>0</v>
      </c>
      <c r="F10" s="26">
        <f>IF(AND(COLUMN()&gt;=11,COLUMN()&lt;=20),(_xlfn.XLOOKUP($A10,#REF!,#REF!))/SUMIF($A$7:$AC$128,$A10,$AB$6:$AB$127)*F$5,0)</f>
        <v>0</v>
      </c>
      <c r="G10" s="26">
        <f>IF(AND(COLUMN()&gt;=11,COLUMN()&lt;=20),(_xlfn.XLOOKUP($A10,#REF!,#REF!))/SUMIF($A$7:$AC$128,$A10,$AB$6:$AB$127)*G$5,0)</f>
        <v>0</v>
      </c>
      <c r="H10" s="26">
        <f>IF(AND(COLUMN()&gt;=11,COLUMN()&lt;=20),(_xlfn.XLOOKUP($A10,#REF!,#REF!))/SUMIF($A$7:$AC$128,$A10,$AB$6:$AB$127)*H$5,0)</f>
        <v>0</v>
      </c>
      <c r="I10" s="26">
        <f>IF(AND(COLUMN()&gt;=11,COLUMN()&lt;=20),(_xlfn.XLOOKUP($A10,#REF!,#REF!))/SUMIF($A$7:$AC$128,$A10,$AB$6:$AB$127)*I$5,0)</f>
        <v>0</v>
      </c>
      <c r="J10" s="26">
        <f>IF(AND(COLUMN()&gt;=11,COLUMN()&lt;=20),(_xlfn.XLOOKUP($A10,#REF!,#REF!))/SUMIF($A$7:$AC$128,$A10,$AB$6:$AB$127)*J$5,0)</f>
        <v>0</v>
      </c>
      <c r="K10" s="26" t="e">
        <f ca="1">IF(AND(COLUMN()&gt;=11,COLUMN()&lt;=20),(_xlfn.XLOOKUP($A10,#REF!,#REF!))/SUMIF($A$7:$AC$128,$A10,$AB$6:$AB$127)*K$5,0)</f>
        <v>#REF!</v>
      </c>
      <c r="L10" s="26" t="e">
        <f ca="1">IF(AND(COLUMN()&gt;=11,COLUMN()&lt;=20),(_xlfn.XLOOKUP($A10,#REF!,#REF!))/SUMIF($A$7:$AC$128,$A10,$AB$6:$AB$127)*L$5,0)</f>
        <v>#REF!</v>
      </c>
      <c r="M10" s="26" t="e">
        <f ca="1">IF(AND(COLUMN()&gt;=11,COLUMN()&lt;=20),(_xlfn.XLOOKUP($A10,#REF!,#REF!))/SUMIF($A$7:$AC$128,$A10,$AB$6:$AB$127)*M$5,0)</f>
        <v>#REF!</v>
      </c>
      <c r="N10" s="26" t="e">
        <f ca="1">IF(AND(COLUMN()&gt;=11,COLUMN()&lt;=20),(_xlfn.XLOOKUP($A10,#REF!,#REF!))/SUMIF($A$7:$AC$128,$A10,$AB$6:$AB$127)*N$5,0)</f>
        <v>#REF!</v>
      </c>
      <c r="O10" s="26" t="e">
        <f ca="1">IF(AND(COLUMN()&gt;=11,COLUMN()&lt;=20),(_xlfn.XLOOKUP($A10,#REF!,#REF!))/SUMIF($A$7:$AC$128,$A10,$AB$6:$AB$127)*O$5,0)</f>
        <v>#REF!</v>
      </c>
      <c r="P10" s="26" t="e">
        <f ca="1">IF(AND(COLUMN()&gt;=11,COLUMN()&lt;=20),(_xlfn.XLOOKUP($A10,#REF!,#REF!))/SUMIF($A$7:$AC$128,$A10,$AB$6:$AB$127)*P$5,0)</f>
        <v>#REF!</v>
      </c>
      <c r="Q10" s="26" t="e">
        <f ca="1">IF(AND(COLUMN()&gt;=11,COLUMN()&lt;=20),(_xlfn.XLOOKUP($A10,#REF!,#REF!))/SUMIF($A$7:$AC$128,$A10,$AB$6:$AB$127)*Q$5,0)</f>
        <v>#REF!</v>
      </c>
      <c r="R10" s="26" t="e">
        <f ca="1">IF(AND(COLUMN()&gt;=11,COLUMN()&lt;=20),(_xlfn.XLOOKUP($A10,#REF!,#REF!))/SUMIF($A$7:$AC$128,$A10,$AB$6:$AB$127)*R$5,0)</f>
        <v>#REF!</v>
      </c>
      <c r="S10" s="26" t="e">
        <f ca="1">IF(AND(COLUMN()&gt;=11,COLUMN()&lt;=20),(_xlfn.XLOOKUP($A10,#REF!,#REF!))/SUMIF($A$7:$AC$128,$A10,$AB$6:$AB$127)*S$5,0)</f>
        <v>#REF!</v>
      </c>
      <c r="T10" s="26" t="e">
        <f ca="1">IF(AND(COLUMN()&gt;=11,COLUMN()&lt;=20),(_xlfn.XLOOKUP($A10,#REF!,#REF!))/SUMIF($A$7:$AC$128,$A10,$AB$6:$AB$127)*T$5,0)</f>
        <v>#REF!</v>
      </c>
      <c r="U10" s="26">
        <f>IF(AND(COLUMN()&gt;=11,COLUMN()&lt;=20),(_xlfn.XLOOKUP($A10,#REF!,#REF!))/SUMIF($A$7:$AC$128,$A10,$AB$6:$AB$127)*U$5,0)</f>
        <v>0</v>
      </c>
      <c r="V10" s="26">
        <f>IF(AND(COLUMN()&gt;=11,COLUMN()&lt;=20),(_xlfn.XLOOKUP($A10,#REF!,#REF!))/SUMIF($A$7:$AC$128,$A10,$AB$6:$AB$127)*V$5,0)</f>
        <v>0</v>
      </c>
      <c r="W10" s="26">
        <f>IF(AND(COLUMN()&gt;=11,COLUMN()&lt;=20),(_xlfn.XLOOKUP($A10,#REF!,#REF!))/SUMIF($A$7:$AC$128,$A10,$AB$6:$AB$127)*W$5,0)</f>
        <v>0</v>
      </c>
      <c r="X10" s="26">
        <f>IF(AND(COLUMN()&gt;=11,COLUMN()&lt;=20),(_xlfn.XLOOKUP($A10,#REF!,#REF!))/SUMIF($A$7:$AC$128,$A10,$AB$6:$AB$127)*X$5,0)</f>
        <v>0</v>
      </c>
      <c r="Y10" s="26">
        <f>IF(AND(COLUMN()&gt;=11,COLUMN()&lt;=20),(_xlfn.XLOOKUP($A10,#REF!,#REF!))/SUMIF($A$7:$AC$128,$A10,$AB$6:$AB$127)*Y$5,0)</f>
        <v>0</v>
      </c>
      <c r="Z10" s="26">
        <f>IF(AND(COLUMN()&gt;=11,COLUMN()&lt;=20),(_xlfn.XLOOKUP($A10,#REF!,#REF!))/SUMIF($A$7:$AC$128,$A10,$AB$6:$AB$127)*Z$5,0)</f>
        <v>0</v>
      </c>
      <c r="AA10" s="26" t="e">
        <f t="shared" ca="1" si="1"/>
        <v>#REF!</v>
      </c>
      <c r="AB10" s="19">
        <f t="shared" si="2"/>
        <v>31</v>
      </c>
      <c r="AC10" s="20" t="e">
        <f t="shared" ca="1" si="3"/>
        <v>#REF!</v>
      </c>
      <c r="AD10" s="30" t="e">
        <f>#REF!/SUMIF(#REF!,'Curva de la oferta Prod 3'!$A10,#REF!)</f>
        <v>#REF!</v>
      </c>
      <c r="AE10" s="28"/>
      <c r="AF10" s="31"/>
      <c r="AG10" s="31"/>
      <c r="AH10" s="31"/>
      <c r="AI10" s="31"/>
      <c r="AJ10" s="31"/>
      <c r="AK10" s="31"/>
    </row>
    <row r="11" spans="1:37" ht="14.5" x14ac:dyDescent="0.35">
      <c r="A11" s="15">
        <f t="shared" si="0"/>
        <v>2026</v>
      </c>
      <c r="B11" s="18">
        <v>46113</v>
      </c>
      <c r="C11" s="26">
        <f>IF(AND(COLUMN()&gt;=11,COLUMN()&lt;=20),(_xlfn.XLOOKUP($A11,#REF!,#REF!))/SUMIF($A$7:$AC$128,$A11,$AB$6:$AB$127)*C$5,0)</f>
        <v>0</v>
      </c>
      <c r="D11" s="26">
        <f>IF(AND(COLUMN()&gt;=11,COLUMN()&lt;=20),(_xlfn.XLOOKUP($A11,#REF!,#REF!))/SUMIF($A$7:$AC$128,$A11,$AB$6:$AB$127)*D$5,0)</f>
        <v>0</v>
      </c>
      <c r="E11" s="26">
        <f>IF(AND(COLUMN()&gt;=11,COLUMN()&lt;=20),(_xlfn.XLOOKUP($A11,#REF!,#REF!))/SUMIF($A$7:$AC$128,$A11,$AB$6:$AB$127)*E$5,0)</f>
        <v>0</v>
      </c>
      <c r="F11" s="26">
        <f>IF(AND(COLUMN()&gt;=11,COLUMN()&lt;=20),(_xlfn.XLOOKUP($A11,#REF!,#REF!))/SUMIF($A$7:$AC$128,$A11,$AB$6:$AB$127)*F$5,0)</f>
        <v>0</v>
      </c>
      <c r="G11" s="26">
        <f>IF(AND(COLUMN()&gt;=11,COLUMN()&lt;=20),(_xlfn.XLOOKUP($A11,#REF!,#REF!))/SUMIF($A$7:$AC$128,$A11,$AB$6:$AB$127)*G$5,0)</f>
        <v>0</v>
      </c>
      <c r="H11" s="26">
        <f>IF(AND(COLUMN()&gt;=11,COLUMN()&lt;=20),(_xlfn.XLOOKUP($A11,#REF!,#REF!))/SUMIF($A$7:$AC$128,$A11,$AB$6:$AB$127)*H$5,0)</f>
        <v>0</v>
      </c>
      <c r="I11" s="26">
        <f>IF(AND(COLUMN()&gt;=11,COLUMN()&lt;=20),(_xlfn.XLOOKUP($A11,#REF!,#REF!))/SUMIF($A$7:$AC$128,$A11,$AB$6:$AB$127)*I$5,0)</f>
        <v>0</v>
      </c>
      <c r="J11" s="26">
        <f>IF(AND(COLUMN()&gt;=11,COLUMN()&lt;=20),(_xlfn.XLOOKUP($A11,#REF!,#REF!))/SUMIF($A$7:$AC$128,$A11,$AB$6:$AB$127)*J$5,0)</f>
        <v>0</v>
      </c>
      <c r="K11" s="26" t="e">
        <f ca="1">IF(AND(COLUMN()&gt;=11,COLUMN()&lt;=20),(_xlfn.XLOOKUP($A11,#REF!,#REF!))/SUMIF($A$7:$AC$128,$A11,$AB$6:$AB$127)*K$5,0)</f>
        <v>#REF!</v>
      </c>
      <c r="L11" s="26" t="e">
        <f ca="1">IF(AND(COLUMN()&gt;=11,COLUMN()&lt;=20),(_xlfn.XLOOKUP($A11,#REF!,#REF!))/SUMIF($A$7:$AC$128,$A11,$AB$6:$AB$127)*L$5,0)</f>
        <v>#REF!</v>
      </c>
      <c r="M11" s="26" t="e">
        <f ca="1">IF(AND(COLUMN()&gt;=11,COLUMN()&lt;=20),(_xlfn.XLOOKUP($A11,#REF!,#REF!))/SUMIF($A$7:$AC$128,$A11,$AB$6:$AB$127)*M$5,0)</f>
        <v>#REF!</v>
      </c>
      <c r="N11" s="26" t="e">
        <f ca="1">IF(AND(COLUMN()&gt;=11,COLUMN()&lt;=20),(_xlfn.XLOOKUP($A11,#REF!,#REF!))/SUMIF($A$7:$AC$128,$A11,$AB$6:$AB$127)*N$5,0)</f>
        <v>#REF!</v>
      </c>
      <c r="O11" s="26" t="e">
        <f ca="1">IF(AND(COLUMN()&gt;=11,COLUMN()&lt;=20),(_xlfn.XLOOKUP($A11,#REF!,#REF!))/SUMIF($A$7:$AC$128,$A11,$AB$6:$AB$127)*O$5,0)</f>
        <v>#REF!</v>
      </c>
      <c r="P11" s="26" t="e">
        <f ca="1">IF(AND(COLUMN()&gt;=11,COLUMN()&lt;=20),(_xlfn.XLOOKUP($A11,#REF!,#REF!))/SUMIF($A$7:$AC$128,$A11,$AB$6:$AB$127)*P$5,0)</f>
        <v>#REF!</v>
      </c>
      <c r="Q11" s="26" t="e">
        <f ca="1">IF(AND(COLUMN()&gt;=11,COLUMN()&lt;=20),(_xlfn.XLOOKUP($A11,#REF!,#REF!))/SUMIF($A$7:$AC$128,$A11,$AB$6:$AB$127)*Q$5,0)</f>
        <v>#REF!</v>
      </c>
      <c r="R11" s="26" t="e">
        <f ca="1">IF(AND(COLUMN()&gt;=11,COLUMN()&lt;=20),(_xlfn.XLOOKUP($A11,#REF!,#REF!))/SUMIF($A$7:$AC$128,$A11,$AB$6:$AB$127)*R$5,0)</f>
        <v>#REF!</v>
      </c>
      <c r="S11" s="26" t="e">
        <f ca="1">IF(AND(COLUMN()&gt;=11,COLUMN()&lt;=20),(_xlfn.XLOOKUP($A11,#REF!,#REF!))/SUMIF($A$7:$AC$128,$A11,$AB$6:$AB$127)*S$5,0)</f>
        <v>#REF!</v>
      </c>
      <c r="T11" s="26" t="e">
        <f ca="1">IF(AND(COLUMN()&gt;=11,COLUMN()&lt;=20),(_xlfn.XLOOKUP($A11,#REF!,#REF!))/SUMIF($A$7:$AC$128,$A11,$AB$6:$AB$127)*T$5,0)</f>
        <v>#REF!</v>
      </c>
      <c r="U11" s="26">
        <f>IF(AND(COLUMN()&gt;=11,COLUMN()&lt;=20),(_xlfn.XLOOKUP($A11,#REF!,#REF!))/SUMIF($A$7:$AC$128,$A11,$AB$6:$AB$127)*U$5,0)</f>
        <v>0</v>
      </c>
      <c r="V11" s="26">
        <f>IF(AND(COLUMN()&gt;=11,COLUMN()&lt;=20),(_xlfn.XLOOKUP($A11,#REF!,#REF!))/SUMIF($A$7:$AC$128,$A11,$AB$6:$AB$127)*V$5,0)</f>
        <v>0</v>
      </c>
      <c r="W11" s="26">
        <f>IF(AND(COLUMN()&gt;=11,COLUMN()&lt;=20),(_xlfn.XLOOKUP($A11,#REF!,#REF!))/SUMIF($A$7:$AC$128,$A11,$AB$6:$AB$127)*W$5,0)</f>
        <v>0</v>
      </c>
      <c r="X11" s="26">
        <f>IF(AND(COLUMN()&gt;=11,COLUMN()&lt;=20),(_xlfn.XLOOKUP($A11,#REF!,#REF!))/SUMIF($A$7:$AC$128,$A11,$AB$6:$AB$127)*X$5,0)</f>
        <v>0</v>
      </c>
      <c r="Y11" s="26">
        <f>IF(AND(COLUMN()&gt;=11,COLUMN()&lt;=20),(_xlfn.XLOOKUP($A11,#REF!,#REF!))/SUMIF($A$7:$AC$128,$A11,$AB$6:$AB$127)*Y$5,0)</f>
        <v>0</v>
      </c>
      <c r="Z11" s="26">
        <f>IF(AND(COLUMN()&gt;=11,COLUMN()&lt;=20),(_xlfn.XLOOKUP($A11,#REF!,#REF!))/SUMIF($A$7:$AC$128,$A11,$AB$6:$AB$127)*Z$5,0)</f>
        <v>0</v>
      </c>
      <c r="AA11" s="26" t="e">
        <f t="shared" ca="1" si="1"/>
        <v>#REF!</v>
      </c>
      <c r="AB11" s="19">
        <f t="shared" si="2"/>
        <v>30</v>
      </c>
      <c r="AC11" s="20" t="e">
        <f t="shared" ca="1" si="3"/>
        <v>#REF!</v>
      </c>
      <c r="AD11" s="30" t="e">
        <f>#REF!/SUMIF(#REF!,'Curva de la oferta Prod 3'!$A11,#REF!)</f>
        <v>#REF!</v>
      </c>
      <c r="AE11" s="28"/>
      <c r="AF11" s="31"/>
      <c r="AG11" s="31"/>
      <c r="AH11" s="31"/>
      <c r="AI11" s="31"/>
      <c r="AJ11" s="31"/>
      <c r="AK11" s="31"/>
    </row>
    <row r="12" spans="1:37" ht="14.5" x14ac:dyDescent="0.35">
      <c r="A12" s="15">
        <f t="shared" si="0"/>
        <v>2026</v>
      </c>
      <c r="B12" s="18">
        <v>46143</v>
      </c>
      <c r="C12" s="26">
        <f>IF(AND(COLUMN()&gt;=11,COLUMN()&lt;=20),(_xlfn.XLOOKUP($A12,#REF!,#REF!))/SUMIF($A$7:$AC$128,$A12,$AB$6:$AB$127)*C$5,0)</f>
        <v>0</v>
      </c>
      <c r="D12" s="26">
        <f>IF(AND(COLUMN()&gt;=11,COLUMN()&lt;=20),(_xlfn.XLOOKUP($A12,#REF!,#REF!))/SUMIF($A$7:$AC$128,$A12,$AB$6:$AB$127)*D$5,0)</f>
        <v>0</v>
      </c>
      <c r="E12" s="26">
        <f>IF(AND(COLUMN()&gt;=11,COLUMN()&lt;=20),(_xlfn.XLOOKUP($A12,#REF!,#REF!))/SUMIF($A$7:$AC$128,$A12,$AB$6:$AB$127)*E$5,0)</f>
        <v>0</v>
      </c>
      <c r="F12" s="26">
        <f>IF(AND(COLUMN()&gt;=11,COLUMN()&lt;=20),(_xlfn.XLOOKUP($A12,#REF!,#REF!))/SUMIF($A$7:$AC$128,$A12,$AB$6:$AB$127)*F$5,0)</f>
        <v>0</v>
      </c>
      <c r="G12" s="26">
        <f>IF(AND(COLUMN()&gt;=11,COLUMN()&lt;=20),(_xlfn.XLOOKUP($A12,#REF!,#REF!))/SUMIF($A$7:$AC$128,$A12,$AB$6:$AB$127)*G$5,0)</f>
        <v>0</v>
      </c>
      <c r="H12" s="26">
        <f>IF(AND(COLUMN()&gt;=11,COLUMN()&lt;=20),(_xlfn.XLOOKUP($A12,#REF!,#REF!))/SUMIF($A$7:$AC$128,$A12,$AB$6:$AB$127)*H$5,0)</f>
        <v>0</v>
      </c>
      <c r="I12" s="26">
        <f>IF(AND(COLUMN()&gt;=11,COLUMN()&lt;=20),(_xlfn.XLOOKUP($A12,#REF!,#REF!))/SUMIF($A$7:$AC$128,$A12,$AB$6:$AB$127)*I$5,0)</f>
        <v>0</v>
      </c>
      <c r="J12" s="26">
        <f>IF(AND(COLUMN()&gt;=11,COLUMN()&lt;=20),(_xlfn.XLOOKUP($A12,#REF!,#REF!))/SUMIF($A$7:$AC$128,$A12,$AB$6:$AB$127)*J$5,0)</f>
        <v>0</v>
      </c>
      <c r="K12" s="26" t="e">
        <f ca="1">IF(AND(COLUMN()&gt;=11,COLUMN()&lt;=20),(_xlfn.XLOOKUP($A12,#REF!,#REF!))/SUMIF($A$7:$AC$128,$A12,$AB$6:$AB$127)*K$5,0)</f>
        <v>#REF!</v>
      </c>
      <c r="L12" s="26" t="e">
        <f ca="1">IF(AND(COLUMN()&gt;=11,COLUMN()&lt;=20),(_xlfn.XLOOKUP($A12,#REF!,#REF!))/SUMIF($A$7:$AC$128,$A12,$AB$6:$AB$127)*L$5,0)</f>
        <v>#REF!</v>
      </c>
      <c r="M12" s="26" t="e">
        <f ca="1">IF(AND(COLUMN()&gt;=11,COLUMN()&lt;=20),(_xlfn.XLOOKUP($A12,#REF!,#REF!))/SUMIF($A$7:$AC$128,$A12,$AB$6:$AB$127)*M$5,0)</f>
        <v>#REF!</v>
      </c>
      <c r="N12" s="26" t="e">
        <f ca="1">IF(AND(COLUMN()&gt;=11,COLUMN()&lt;=20),(_xlfn.XLOOKUP($A12,#REF!,#REF!))/SUMIF($A$7:$AC$128,$A12,$AB$6:$AB$127)*N$5,0)</f>
        <v>#REF!</v>
      </c>
      <c r="O12" s="26" t="e">
        <f ca="1">IF(AND(COLUMN()&gt;=11,COLUMN()&lt;=20),(_xlfn.XLOOKUP($A12,#REF!,#REF!))/SUMIF($A$7:$AC$128,$A12,$AB$6:$AB$127)*O$5,0)</f>
        <v>#REF!</v>
      </c>
      <c r="P12" s="26" t="e">
        <f ca="1">IF(AND(COLUMN()&gt;=11,COLUMN()&lt;=20),(_xlfn.XLOOKUP($A12,#REF!,#REF!))/SUMIF($A$7:$AC$128,$A12,$AB$6:$AB$127)*P$5,0)</f>
        <v>#REF!</v>
      </c>
      <c r="Q12" s="26" t="e">
        <f ca="1">IF(AND(COLUMN()&gt;=11,COLUMN()&lt;=20),(_xlfn.XLOOKUP($A12,#REF!,#REF!))/SUMIF($A$7:$AC$128,$A12,$AB$6:$AB$127)*Q$5,0)</f>
        <v>#REF!</v>
      </c>
      <c r="R12" s="26" t="e">
        <f ca="1">IF(AND(COLUMN()&gt;=11,COLUMN()&lt;=20),(_xlfn.XLOOKUP($A12,#REF!,#REF!))/SUMIF($A$7:$AC$128,$A12,$AB$6:$AB$127)*R$5,0)</f>
        <v>#REF!</v>
      </c>
      <c r="S12" s="26" t="e">
        <f ca="1">IF(AND(COLUMN()&gt;=11,COLUMN()&lt;=20),(_xlfn.XLOOKUP($A12,#REF!,#REF!))/SUMIF($A$7:$AC$128,$A12,$AB$6:$AB$127)*S$5,0)</f>
        <v>#REF!</v>
      </c>
      <c r="T12" s="26" t="e">
        <f ca="1">IF(AND(COLUMN()&gt;=11,COLUMN()&lt;=20),(_xlfn.XLOOKUP($A12,#REF!,#REF!))/SUMIF($A$7:$AC$128,$A12,$AB$6:$AB$127)*T$5,0)</f>
        <v>#REF!</v>
      </c>
      <c r="U12" s="26">
        <f>IF(AND(COLUMN()&gt;=11,COLUMN()&lt;=20),(_xlfn.XLOOKUP($A12,#REF!,#REF!))/SUMIF($A$7:$AC$128,$A12,$AB$6:$AB$127)*U$5,0)</f>
        <v>0</v>
      </c>
      <c r="V12" s="26">
        <f>IF(AND(COLUMN()&gt;=11,COLUMN()&lt;=20),(_xlfn.XLOOKUP($A12,#REF!,#REF!))/SUMIF($A$7:$AC$128,$A12,$AB$6:$AB$127)*V$5,0)</f>
        <v>0</v>
      </c>
      <c r="W12" s="26">
        <f>IF(AND(COLUMN()&gt;=11,COLUMN()&lt;=20),(_xlfn.XLOOKUP($A12,#REF!,#REF!))/SUMIF($A$7:$AC$128,$A12,$AB$6:$AB$127)*W$5,0)</f>
        <v>0</v>
      </c>
      <c r="X12" s="26">
        <f>IF(AND(COLUMN()&gt;=11,COLUMN()&lt;=20),(_xlfn.XLOOKUP($A12,#REF!,#REF!))/SUMIF($A$7:$AC$128,$A12,$AB$6:$AB$127)*X$5,0)</f>
        <v>0</v>
      </c>
      <c r="Y12" s="26">
        <f>IF(AND(COLUMN()&gt;=11,COLUMN()&lt;=20),(_xlfn.XLOOKUP($A12,#REF!,#REF!))/SUMIF($A$7:$AC$128,$A12,$AB$6:$AB$127)*Y$5,0)</f>
        <v>0</v>
      </c>
      <c r="Z12" s="26">
        <f>IF(AND(COLUMN()&gt;=11,COLUMN()&lt;=20),(_xlfn.XLOOKUP($A12,#REF!,#REF!))/SUMIF($A$7:$AC$128,$A12,$AB$6:$AB$127)*Z$5,0)</f>
        <v>0</v>
      </c>
      <c r="AA12" s="26" t="e">
        <f t="shared" ca="1" si="1"/>
        <v>#REF!</v>
      </c>
      <c r="AB12" s="19">
        <f t="shared" si="2"/>
        <v>31</v>
      </c>
      <c r="AC12" s="20" t="e">
        <f t="shared" ca="1" si="3"/>
        <v>#REF!</v>
      </c>
      <c r="AD12" s="30" t="e">
        <f>#REF!/SUMIF(#REF!,'Curva de la oferta Prod 3'!$A12,#REF!)</f>
        <v>#REF!</v>
      </c>
      <c r="AE12" s="28"/>
      <c r="AF12" s="31"/>
      <c r="AG12" s="31"/>
      <c r="AH12" s="31"/>
      <c r="AI12" s="31"/>
      <c r="AJ12" s="31"/>
      <c r="AK12" s="31"/>
    </row>
    <row r="13" spans="1:37" ht="14.5" x14ac:dyDescent="0.35">
      <c r="A13" s="15">
        <f t="shared" si="0"/>
        <v>2026</v>
      </c>
      <c r="B13" s="18">
        <v>46174</v>
      </c>
      <c r="C13" s="26">
        <f>IF(AND(COLUMN()&gt;=11,COLUMN()&lt;=20),(_xlfn.XLOOKUP($A13,#REF!,#REF!))/SUMIF($A$7:$AC$128,$A13,$AB$6:$AB$127)*C$5,0)</f>
        <v>0</v>
      </c>
      <c r="D13" s="26">
        <f>IF(AND(COLUMN()&gt;=11,COLUMN()&lt;=20),(_xlfn.XLOOKUP($A13,#REF!,#REF!))/SUMIF($A$7:$AC$128,$A13,$AB$6:$AB$127)*D$5,0)</f>
        <v>0</v>
      </c>
      <c r="E13" s="26">
        <f>IF(AND(COLUMN()&gt;=11,COLUMN()&lt;=20),(_xlfn.XLOOKUP($A13,#REF!,#REF!))/SUMIF($A$7:$AC$128,$A13,$AB$6:$AB$127)*E$5,0)</f>
        <v>0</v>
      </c>
      <c r="F13" s="26">
        <f>IF(AND(COLUMN()&gt;=11,COLUMN()&lt;=20),(_xlfn.XLOOKUP($A13,#REF!,#REF!))/SUMIF($A$7:$AC$128,$A13,$AB$6:$AB$127)*F$5,0)</f>
        <v>0</v>
      </c>
      <c r="G13" s="26">
        <f>IF(AND(COLUMN()&gt;=11,COLUMN()&lt;=20),(_xlfn.XLOOKUP($A13,#REF!,#REF!))/SUMIF($A$7:$AC$128,$A13,$AB$6:$AB$127)*G$5,0)</f>
        <v>0</v>
      </c>
      <c r="H13" s="26">
        <f>IF(AND(COLUMN()&gt;=11,COLUMN()&lt;=20),(_xlfn.XLOOKUP($A13,#REF!,#REF!))/SUMIF($A$7:$AC$128,$A13,$AB$6:$AB$127)*H$5,0)</f>
        <v>0</v>
      </c>
      <c r="I13" s="26">
        <f>IF(AND(COLUMN()&gt;=11,COLUMN()&lt;=20),(_xlfn.XLOOKUP($A13,#REF!,#REF!))/SUMIF($A$7:$AC$128,$A13,$AB$6:$AB$127)*I$5,0)</f>
        <v>0</v>
      </c>
      <c r="J13" s="26">
        <f>IF(AND(COLUMN()&gt;=11,COLUMN()&lt;=20),(_xlfn.XLOOKUP($A13,#REF!,#REF!))/SUMIF($A$7:$AC$128,$A13,$AB$6:$AB$127)*J$5,0)</f>
        <v>0</v>
      </c>
      <c r="K13" s="26" t="e">
        <f ca="1">IF(AND(COLUMN()&gt;=11,COLUMN()&lt;=20),(_xlfn.XLOOKUP($A13,#REF!,#REF!))/SUMIF($A$7:$AC$128,$A13,$AB$6:$AB$127)*K$5,0)</f>
        <v>#REF!</v>
      </c>
      <c r="L13" s="26" t="e">
        <f ca="1">IF(AND(COLUMN()&gt;=11,COLUMN()&lt;=20),(_xlfn.XLOOKUP($A13,#REF!,#REF!))/SUMIF($A$7:$AC$128,$A13,$AB$6:$AB$127)*L$5,0)</f>
        <v>#REF!</v>
      </c>
      <c r="M13" s="26" t="e">
        <f ca="1">IF(AND(COLUMN()&gt;=11,COLUMN()&lt;=20),(_xlfn.XLOOKUP($A13,#REF!,#REF!))/SUMIF($A$7:$AC$128,$A13,$AB$6:$AB$127)*M$5,0)</f>
        <v>#REF!</v>
      </c>
      <c r="N13" s="26" t="e">
        <f ca="1">IF(AND(COLUMN()&gt;=11,COLUMN()&lt;=20),(_xlfn.XLOOKUP($A13,#REF!,#REF!))/SUMIF($A$7:$AC$128,$A13,$AB$6:$AB$127)*N$5,0)</f>
        <v>#REF!</v>
      </c>
      <c r="O13" s="26" t="e">
        <f ca="1">IF(AND(COLUMN()&gt;=11,COLUMN()&lt;=20),(_xlfn.XLOOKUP($A13,#REF!,#REF!))/SUMIF($A$7:$AC$128,$A13,$AB$6:$AB$127)*O$5,0)</f>
        <v>#REF!</v>
      </c>
      <c r="P13" s="26" t="e">
        <f ca="1">IF(AND(COLUMN()&gt;=11,COLUMN()&lt;=20),(_xlfn.XLOOKUP($A13,#REF!,#REF!))/SUMIF($A$7:$AC$128,$A13,$AB$6:$AB$127)*P$5,0)</f>
        <v>#REF!</v>
      </c>
      <c r="Q13" s="26" t="e">
        <f ca="1">IF(AND(COLUMN()&gt;=11,COLUMN()&lt;=20),(_xlfn.XLOOKUP($A13,#REF!,#REF!))/SUMIF($A$7:$AC$128,$A13,$AB$6:$AB$127)*Q$5,0)</f>
        <v>#REF!</v>
      </c>
      <c r="R13" s="26" t="e">
        <f ca="1">IF(AND(COLUMN()&gt;=11,COLUMN()&lt;=20),(_xlfn.XLOOKUP($A13,#REF!,#REF!))/SUMIF($A$7:$AC$128,$A13,$AB$6:$AB$127)*R$5,0)</f>
        <v>#REF!</v>
      </c>
      <c r="S13" s="26" t="e">
        <f ca="1">IF(AND(COLUMN()&gt;=11,COLUMN()&lt;=20),(_xlfn.XLOOKUP($A13,#REF!,#REF!))/SUMIF($A$7:$AC$128,$A13,$AB$6:$AB$127)*S$5,0)</f>
        <v>#REF!</v>
      </c>
      <c r="T13" s="26" t="e">
        <f ca="1">IF(AND(COLUMN()&gt;=11,COLUMN()&lt;=20),(_xlfn.XLOOKUP($A13,#REF!,#REF!))/SUMIF($A$7:$AC$128,$A13,$AB$6:$AB$127)*T$5,0)</f>
        <v>#REF!</v>
      </c>
      <c r="U13" s="26">
        <f>IF(AND(COLUMN()&gt;=11,COLUMN()&lt;=20),(_xlfn.XLOOKUP($A13,#REF!,#REF!))/SUMIF($A$7:$AC$128,$A13,$AB$6:$AB$127)*U$5,0)</f>
        <v>0</v>
      </c>
      <c r="V13" s="26">
        <f>IF(AND(COLUMN()&gt;=11,COLUMN()&lt;=20),(_xlfn.XLOOKUP($A13,#REF!,#REF!))/SUMIF($A$7:$AC$128,$A13,$AB$6:$AB$127)*V$5,0)</f>
        <v>0</v>
      </c>
      <c r="W13" s="26">
        <f>IF(AND(COLUMN()&gt;=11,COLUMN()&lt;=20),(_xlfn.XLOOKUP($A13,#REF!,#REF!))/SUMIF($A$7:$AC$128,$A13,$AB$6:$AB$127)*W$5,0)</f>
        <v>0</v>
      </c>
      <c r="X13" s="26">
        <f>IF(AND(COLUMN()&gt;=11,COLUMN()&lt;=20),(_xlfn.XLOOKUP($A13,#REF!,#REF!))/SUMIF($A$7:$AC$128,$A13,$AB$6:$AB$127)*X$5,0)</f>
        <v>0</v>
      </c>
      <c r="Y13" s="26">
        <f>IF(AND(COLUMN()&gt;=11,COLUMN()&lt;=20),(_xlfn.XLOOKUP($A13,#REF!,#REF!))/SUMIF($A$7:$AC$128,$A13,$AB$6:$AB$127)*Y$5,0)</f>
        <v>0</v>
      </c>
      <c r="Z13" s="26">
        <f>IF(AND(COLUMN()&gt;=11,COLUMN()&lt;=20),(_xlfn.XLOOKUP($A13,#REF!,#REF!))/SUMIF($A$7:$AC$128,$A13,$AB$6:$AB$127)*Z$5,0)</f>
        <v>0</v>
      </c>
      <c r="AA13" s="26" t="e">
        <f t="shared" ca="1" si="1"/>
        <v>#REF!</v>
      </c>
      <c r="AB13" s="19">
        <f t="shared" si="2"/>
        <v>30</v>
      </c>
      <c r="AC13" s="20" t="e">
        <f t="shared" ca="1" si="3"/>
        <v>#REF!</v>
      </c>
      <c r="AD13" s="30" t="e">
        <f>#REF!/SUMIF(#REF!,'Curva de la oferta Prod 3'!$A13,#REF!)</f>
        <v>#REF!</v>
      </c>
      <c r="AE13" s="28"/>
      <c r="AF13" s="31"/>
      <c r="AG13" s="31"/>
      <c r="AH13" s="31"/>
      <c r="AI13" s="31"/>
      <c r="AJ13" s="31"/>
      <c r="AK13" s="31"/>
    </row>
    <row r="14" spans="1:37" ht="14.5" x14ac:dyDescent="0.35">
      <c r="A14" s="15">
        <f t="shared" si="0"/>
        <v>2026</v>
      </c>
      <c r="B14" s="18">
        <v>46204</v>
      </c>
      <c r="C14" s="26">
        <f>IF(AND(COLUMN()&gt;=11,COLUMN()&lt;=20),(_xlfn.XLOOKUP($A14,#REF!,#REF!))/SUMIF($A$7:$AC$128,$A14,$AB$6:$AB$127)*C$5,0)</f>
        <v>0</v>
      </c>
      <c r="D14" s="26">
        <f>IF(AND(COLUMN()&gt;=11,COLUMN()&lt;=20),(_xlfn.XLOOKUP($A14,#REF!,#REF!))/SUMIF($A$7:$AC$128,$A14,$AB$6:$AB$127)*D$5,0)</f>
        <v>0</v>
      </c>
      <c r="E14" s="26">
        <f>IF(AND(COLUMN()&gt;=11,COLUMN()&lt;=20),(_xlfn.XLOOKUP($A14,#REF!,#REF!))/SUMIF($A$7:$AC$128,$A14,$AB$6:$AB$127)*E$5,0)</f>
        <v>0</v>
      </c>
      <c r="F14" s="26">
        <f>IF(AND(COLUMN()&gt;=11,COLUMN()&lt;=20),(_xlfn.XLOOKUP($A14,#REF!,#REF!))/SUMIF($A$7:$AC$128,$A14,$AB$6:$AB$127)*F$5,0)</f>
        <v>0</v>
      </c>
      <c r="G14" s="26">
        <f>IF(AND(COLUMN()&gt;=11,COLUMN()&lt;=20),(_xlfn.XLOOKUP($A14,#REF!,#REF!))/SUMIF($A$7:$AC$128,$A14,$AB$6:$AB$127)*G$5,0)</f>
        <v>0</v>
      </c>
      <c r="H14" s="26">
        <f>IF(AND(COLUMN()&gt;=11,COLUMN()&lt;=20),(_xlfn.XLOOKUP($A14,#REF!,#REF!))/SUMIF($A$7:$AC$128,$A14,$AB$6:$AB$127)*H$5,0)</f>
        <v>0</v>
      </c>
      <c r="I14" s="26">
        <f>IF(AND(COLUMN()&gt;=11,COLUMN()&lt;=20),(_xlfn.XLOOKUP($A14,#REF!,#REF!))/SUMIF($A$7:$AC$128,$A14,$AB$6:$AB$127)*I$5,0)</f>
        <v>0</v>
      </c>
      <c r="J14" s="26">
        <f>IF(AND(COLUMN()&gt;=11,COLUMN()&lt;=20),(_xlfn.XLOOKUP($A14,#REF!,#REF!))/SUMIF($A$7:$AC$128,$A14,$AB$6:$AB$127)*J$5,0)</f>
        <v>0</v>
      </c>
      <c r="K14" s="26" t="e">
        <f ca="1">IF(AND(COLUMN()&gt;=11,COLUMN()&lt;=20),(_xlfn.XLOOKUP($A14,#REF!,#REF!))/SUMIF($A$7:$AC$128,$A14,$AB$6:$AB$127)*K$5,0)</f>
        <v>#REF!</v>
      </c>
      <c r="L14" s="26" t="e">
        <f ca="1">IF(AND(COLUMN()&gt;=11,COLUMN()&lt;=20),(_xlfn.XLOOKUP($A14,#REF!,#REF!))/SUMIF($A$7:$AC$128,$A14,$AB$6:$AB$127)*L$5,0)</f>
        <v>#REF!</v>
      </c>
      <c r="M14" s="26" t="e">
        <f ca="1">IF(AND(COLUMN()&gt;=11,COLUMN()&lt;=20),(_xlfn.XLOOKUP($A14,#REF!,#REF!))/SUMIF($A$7:$AC$128,$A14,$AB$6:$AB$127)*M$5,0)</f>
        <v>#REF!</v>
      </c>
      <c r="N14" s="26" t="e">
        <f ca="1">IF(AND(COLUMN()&gt;=11,COLUMN()&lt;=20),(_xlfn.XLOOKUP($A14,#REF!,#REF!))/SUMIF($A$7:$AC$128,$A14,$AB$6:$AB$127)*N$5,0)</f>
        <v>#REF!</v>
      </c>
      <c r="O14" s="26" t="e">
        <f ca="1">IF(AND(COLUMN()&gt;=11,COLUMN()&lt;=20),(_xlfn.XLOOKUP($A14,#REF!,#REF!))/SUMIF($A$7:$AC$128,$A14,$AB$6:$AB$127)*O$5,0)</f>
        <v>#REF!</v>
      </c>
      <c r="P14" s="26" t="e">
        <f ca="1">IF(AND(COLUMN()&gt;=11,COLUMN()&lt;=20),(_xlfn.XLOOKUP($A14,#REF!,#REF!))/SUMIF($A$7:$AC$128,$A14,$AB$6:$AB$127)*P$5,0)</f>
        <v>#REF!</v>
      </c>
      <c r="Q14" s="26" t="e">
        <f ca="1">IF(AND(COLUMN()&gt;=11,COLUMN()&lt;=20),(_xlfn.XLOOKUP($A14,#REF!,#REF!))/SUMIF($A$7:$AC$128,$A14,$AB$6:$AB$127)*Q$5,0)</f>
        <v>#REF!</v>
      </c>
      <c r="R14" s="26" t="e">
        <f ca="1">IF(AND(COLUMN()&gt;=11,COLUMN()&lt;=20),(_xlfn.XLOOKUP($A14,#REF!,#REF!))/SUMIF($A$7:$AC$128,$A14,$AB$6:$AB$127)*R$5,0)</f>
        <v>#REF!</v>
      </c>
      <c r="S14" s="26" t="e">
        <f ca="1">IF(AND(COLUMN()&gt;=11,COLUMN()&lt;=20),(_xlfn.XLOOKUP($A14,#REF!,#REF!))/SUMIF($A$7:$AC$128,$A14,$AB$6:$AB$127)*S$5,0)</f>
        <v>#REF!</v>
      </c>
      <c r="T14" s="26" t="e">
        <f ca="1">IF(AND(COLUMN()&gt;=11,COLUMN()&lt;=20),(_xlfn.XLOOKUP($A14,#REF!,#REF!))/SUMIF($A$7:$AC$128,$A14,$AB$6:$AB$127)*T$5,0)</f>
        <v>#REF!</v>
      </c>
      <c r="U14" s="26">
        <f>IF(AND(COLUMN()&gt;=11,COLUMN()&lt;=20),(_xlfn.XLOOKUP($A14,#REF!,#REF!))/SUMIF($A$7:$AC$128,$A14,$AB$6:$AB$127)*U$5,0)</f>
        <v>0</v>
      </c>
      <c r="V14" s="26">
        <f>IF(AND(COLUMN()&gt;=11,COLUMN()&lt;=20),(_xlfn.XLOOKUP($A14,#REF!,#REF!))/SUMIF($A$7:$AC$128,$A14,$AB$6:$AB$127)*V$5,0)</f>
        <v>0</v>
      </c>
      <c r="W14" s="26">
        <f>IF(AND(COLUMN()&gt;=11,COLUMN()&lt;=20),(_xlfn.XLOOKUP($A14,#REF!,#REF!))/SUMIF($A$7:$AC$128,$A14,$AB$6:$AB$127)*W$5,0)</f>
        <v>0</v>
      </c>
      <c r="X14" s="26">
        <f>IF(AND(COLUMN()&gt;=11,COLUMN()&lt;=20),(_xlfn.XLOOKUP($A14,#REF!,#REF!))/SUMIF($A$7:$AC$128,$A14,$AB$6:$AB$127)*X$5,0)</f>
        <v>0</v>
      </c>
      <c r="Y14" s="26">
        <f>IF(AND(COLUMN()&gt;=11,COLUMN()&lt;=20),(_xlfn.XLOOKUP($A14,#REF!,#REF!))/SUMIF($A$7:$AC$128,$A14,$AB$6:$AB$127)*Y$5,0)</f>
        <v>0</v>
      </c>
      <c r="Z14" s="26">
        <f>IF(AND(COLUMN()&gt;=11,COLUMN()&lt;=20),(_xlfn.XLOOKUP($A14,#REF!,#REF!))/SUMIF($A$7:$AC$128,$A14,$AB$6:$AB$127)*Z$5,0)</f>
        <v>0</v>
      </c>
      <c r="AA14" s="26" t="e">
        <f t="shared" ca="1" si="1"/>
        <v>#REF!</v>
      </c>
      <c r="AB14" s="19">
        <f t="shared" si="2"/>
        <v>31</v>
      </c>
      <c r="AC14" s="20" t="e">
        <f t="shared" ca="1" si="3"/>
        <v>#REF!</v>
      </c>
      <c r="AD14" s="30" t="e">
        <f>#REF!/SUMIF(#REF!,'Curva de la oferta Prod 3'!$A14,#REF!)</f>
        <v>#REF!</v>
      </c>
      <c r="AE14" s="28"/>
      <c r="AF14" s="31"/>
      <c r="AG14" s="31"/>
      <c r="AH14" s="31"/>
      <c r="AI14" s="31"/>
      <c r="AJ14" s="31"/>
      <c r="AK14" s="31"/>
    </row>
    <row r="15" spans="1:37" ht="14.5" x14ac:dyDescent="0.35">
      <c r="A15" s="15">
        <f t="shared" si="0"/>
        <v>2026</v>
      </c>
      <c r="B15" s="18">
        <v>46235</v>
      </c>
      <c r="C15" s="26">
        <f>IF(AND(COLUMN()&gt;=11,COLUMN()&lt;=20),(_xlfn.XLOOKUP($A15,#REF!,#REF!))/SUMIF($A$7:$AC$128,$A15,$AB$6:$AB$127)*C$5,0)</f>
        <v>0</v>
      </c>
      <c r="D15" s="26">
        <f>IF(AND(COLUMN()&gt;=11,COLUMN()&lt;=20),(_xlfn.XLOOKUP($A15,#REF!,#REF!))/SUMIF($A$7:$AC$128,$A15,$AB$6:$AB$127)*D$5,0)</f>
        <v>0</v>
      </c>
      <c r="E15" s="26">
        <f>IF(AND(COLUMN()&gt;=11,COLUMN()&lt;=20),(_xlfn.XLOOKUP($A15,#REF!,#REF!))/SUMIF($A$7:$AC$128,$A15,$AB$6:$AB$127)*E$5,0)</f>
        <v>0</v>
      </c>
      <c r="F15" s="26">
        <f>IF(AND(COLUMN()&gt;=11,COLUMN()&lt;=20),(_xlfn.XLOOKUP($A15,#REF!,#REF!))/SUMIF($A$7:$AC$128,$A15,$AB$6:$AB$127)*F$5,0)</f>
        <v>0</v>
      </c>
      <c r="G15" s="26">
        <f>IF(AND(COLUMN()&gt;=11,COLUMN()&lt;=20),(_xlfn.XLOOKUP($A15,#REF!,#REF!))/SUMIF($A$7:$AC$128,$A15,$AB$6:$AB$127)*G$5,0)</f>
        <v>0</v>
      </c>
      <c r="H15" s="26">
        <f>IF(AND(COLUMN()&gt;=11,COLUMN()&lt;=20),(_xlfn.XLOOKUP($A15,#REF!,#REF!))/SUMIF($A$7:$AC$128,$A15,$AB$6:$AB$127)*H$5,0)</f>
        <v>0</v>
      </c>
      <c r="I15" s="26">
        <f>IF(AND(COLUMN()&gt;=11,COLUMN()&lt;=20),(_xlfn.XLOOKUP($A15,#REF!,#REF!))/SUMIF($A$7:$AC$128,$A15,$AB$6:$AB$127)*I$5,0)</f>
        <v>0</v>
      </c>
      <c r="J15" s="26">
        <f>IF(AND(COLUMN()&gt;=11,COLUMN()&lt;=20),(_xlfn.XLOOKUP($A15,#REF!,#REF!))/SUMIF($A$7:$AC$128,$A15,$AB$6:$AB$127)*J$5,0)</f>
        <v>0</v>
      </c>
      <c r="K15" s="26" t="e">
        <f ca="1">IF(AND(COLUMN()&gt;=11,COLUMN()&lt;=20),(_xlfn.XLOOKUP($A15,#REF!,#REF!))/SUMIF($A$7:$AC$128,$A15,$AB$6:$AB$127)*K$5,0)</f>
        <v>#REF!</v>
      </c>
      <c r="L15" s="26" t="e">
        <f ca="1">IF(AND(COLUMN()&gt;=11,COLUMN()&lt;=20),(_xlfn.XLOOKUP($A15,#REF!,#REF!))/SUMIF($A$7:$AC$128,$A15,$AB$6:$AB$127)*L$5,0)</f>
        <v>#REF!</v>
      </c>
      <c r="M15" s="26" t="e">
        <f ca="1">IF(AND(COLUMN()&gt;=11,COLUMN()&lt;=20),(_xlfn.XLOOKUP($A15,#REF!,#REF!))/SUMIF($A$7:$AC$128,$A15,$AB$6:$AB$127)*M$5,0)</f>
        <v>#REF!</v>
      </c>
      <c r="N15" s="26" t="e">
        <f ca="1">IF(AND(COLUMN()&gt;=11,COLUMN()&lt;=20),(_xlfn.XLOOKUP($A15,#REF!,#REF!))/SUMIF($A$7:$AC$128,$A15,$AB$6:$AB$127)*N$5,0)</f>
        <v>#REF!</v>
      </c>
      <c r="O15" s="26" t="e">
        <f ca="1">IF(AND(COLUMN()&gt;=11,COLUMN()&lt;=20),(_xlfn.XLOOKUP($A15,#REF!,#REF!))/SUMIF($A$7:$AC$128,$A15,$AB$6:$AB$127)*O$5,0)</f>
        <v>#REF!</v>
      </c>
      <c r="P15" s="26" t="e">
        <f ca="1">IF(AND(COLUMN()&gt;=11,COLUMN()&lt;=20),(_xlfn.XLOOKUP($A15,#REF!,#REF!))/SUMIF($A$7:$AC$128,$A15,$AB$6:$AB$127)*P$5,0)</f>
        <v>#REF!</v>
      </c>
      <c r="Q15" s="26" t="e">
        <f ca="1">IF(AND(COLUMN()&gt;=11,COLUMN()&lt;=20),(_xlfn.XLOOKUP($A15,#REF!,#REF!))/SUMIF($A$7:$AC$128,$A15,$AB$6:$AB$127)*Q$5,0)</f>
        <v>#REF!</v>
      </c>
      <c r="R15" s="26" t="e">
        <f ca="1">IF(AND(COLUMN()&gt;=11,COLUMN()&lt;=20),(_xlfn.XLOOKUP($A15,#REF!,#REF!))/SUMIF($A$7:$AC$128,$A15,$AB$6:$AB$127)*R$5,0)</f>
        <v>#REF!</v>
      </c>
      <c r="S15" s="26" t="e">
        <f ca="1">IF(AND(COLUMN()&gt;=11,COLUMN()&lt;=20),(_xlfn.XLOOKUP($A15,#REF!,#REF!))/SUMIF($A$7:$AC$128,$A15,$AB$6:$AB$127)*S$5,0)</f>
        <v>#REF!</v>
      </c>
      <c r="T15" s="26" t="e">
        <f ca="1">IF(AND(COLUMN()&gt;=11,COLUMN()&lt;=20),(_xlfn.XLOOKUP($A15,#REF!,#REF!))/SUMIF($A$7:$AC$128,$A15,$AB$6:$AB$127)*T$5,0)</f>
        <v>#REF!</v>
      </c>
      <c r="U15" s="26">
        <f>IF(AND(COLUMN()&gt;=11,COLUMN()&lt;=20),(_xlfn.XLOOKUP($A15,#REF!,#REF!))/SUMIF($A$7:$AC$128,$A15,$AB$6:$AB$127)*U$5,0)</f>
        <v>0</v>
      </c>
      <c r="V15" s="26">
        <f>IF(AND(COLUMN()&gt;=11,COLUMN()&lt;=20),(_xlfn.XLOOKUP($A15,#REF!,#REF!))/SUMIF($A$7:$AC$128,$A15,$AB$6:$AB$127)*V$5,0)</f>
        <v>0</v>
      </c>
      <c r="W15" s="26">
        <f>IF(AND(COLUMN()&gt;=11,COLUMN()&lt;=20),(_xlfn.XLOOKUP($A15,#REF!,#REF!))/SUMIF($A$7:$AC$128,$A15,$AB$6:$AB$127)*W$5,0)</f>
        <v>0</v>
      </c>
      <c r="X15" s="26">
        <f>IF(AND(COLUMN()&gt;=11,COLUMN()&lt;=20),(_xlfn.XLOOKUP($A15,#REF!,#REF!))/SUMIF($A$7:$AC$128,$A15,$AB$6:$AB$127)*X$5,0)</f>
        <v>0</v>
      </c>
      <c r="Y15" s="26">
        <f>IF(AND(COLUMN()&gt;=11,COLUMN()&lt;=20),(_xlfn.XLOOKUP($A15,#REF!,#REF!))/SUMIF($A$7:$AC$128,$A15,$AB$6:$AB$127)*Y$5,0)</f>
        <v>0</v>
      </c>
      <c r="Z15" s="26">
        <f>IF(AND(COLUMN()&gt;=11,COLUMN()&lt;=20),(_xlfn.XLOOKUP($A15,#REF!,#REF!))/SUMIF($A$7:$AC$128,$A15,$AB$6:$AB$127)*Z$5,0)</f>
        <v>0</v>
      </c>
      <c r="AA15" s="26" t="e">
        <f t="shared" ca="1" si="1"/>
        <v>#REF!</v>
      </c>
      <c r="AB15" s="19">
        <f t="shared" si="2"/>
        <v>31</v>
      </c>
      <c r="AC15" s="20" t="e">
        <f t="shared" ca="1" si="3"/>
        <v>#REF!</v>
      </c>
      <c r="AD15" s="30" t="e">
        <f>#REF!/SUMIF(#REF!,'Curva de la oferta Prod 3'!$A15,#REF!)</f>
        <v>#REF!</v>
      </c>
      <c r="AE15" s="28"/>
      <c r="AF15" s="31"/>
      <c r="AG15" s="31"/>
      <c r="AH15" s="31"/>
      <c r="AI15" s="31"/>
      <c r="AJ15" s="31"/>
      <c r="AK15" s="31"/>
    </row>
    <row r="16" spans="1:37" ht="14.5" x14ac:dyDescent="0.35">
      <c r="A16" s="15">
        <f t="shared" si="0"/>
        <v>2026</v>
      </c>
      <c r="B16" s="18">
        <v>46266</v>
      </c>
      <c r="C16" s="26">
        <f>IF(AND(COLUMN()&gt;=11,COLUMN()&lt;=20),(_xlfn.XLOOKUP($A16,#REF!,#REF!))/SUMIF($A$7:$AC$128,$A16,$AB$6:$AB$127)*C$5,0)</f>
        <v>0</v>
      </c>
      <c r="D16" s="26">
        <f>IF(AND(COLUMN()&gt;=11,COLUMN()&lt;=20),(_xlfn.XLOOKUP($A16,#REF!,#REF!))/SUMIF($A$7:$AC$128,$A16,$AB$6:$AB$127)*D$5,0)</f>
        <v>0</v>
      </c>
      <c r="E16" s="26">
        <f>IF(AND(COLUMN()&gt;=11,COLUMN()&lt;=20),(_xlfn.XLOOKUP($A16,#REF!,#REF!))/SUMIF($A$7:$AC$128,$A16,$AB$6:$AB$127)*E$5,0)</f>
        <v>0</v>
      </c>
      <c r="F16" s="26">
        <f>IF(AND(COLUMN()&gt;=11,COLUMN()&lt;=20),(_xlfn.XLOOKUP($A16,#REF!,#REF!))/SUMIF($A$7:$AC$128,$A16,$AB$6:$AB$127)*F$5,0)</f>
        <v>0</v>
      </c>
      <c r="G16" s="26">
        <f>IF(AND(COLUMN()&gt;=11,COLUMN()&lt;=20),(_xlfn.XLOOKUP($A16,#REF!,#REF!))/SUMIF($A$7:$AC$128,$A16,$AB$6:$AB$127)*G$5,0)</f>
        <v>0</v>
      </c>
      <c r="H16" s="26">
        <f>IF(AND(COLUMN()&gt;=11,COLUMN()&lt;=20),(_xlfn.XLOOKUP($A16,#REF!,#REF!))/SUMIF($A$7:$AC$128,$A16,$AB$6:$AB$127)*H$5,0)</f>
        <v>0</v>
      </c>
      <c r="I16" s="26">
        <f>IF(AND(COLUMN()&gt;=11,COLUMN()&lt;=20),(_xlfn.XLOOKUP($A16,#REF!,#REF!))/SUMIF($A$7:$AC$128,$A16,$AB$6:$AB$127)*I$5,0)</f>
        <v>0</v>
      </c>
      <c r="J16" s="26">
        <f>IF(AND(COLUMN()&gt;=11,COLUMN()&lt;=20),(_xlfn.XLOOKUP($A16,#REF!,#REF!))/SUMIF($A$7:$AC$128,$A16,$AB$6:$AB$127)*J$5,0)</f>
        <v>0</v>
      </c>
      <c r="K16" s="26" t="e">
        <f ca="1">IF(AND(COLUMN()&gt;=11,COLUMN()&lt;=20),(_xlfn.XLOOKUP($A16,#REF!,#REF!))/SUMIF($A$7:$AC$128,$A16,$AB$6:$AB$127)*K$5,0)</f>
        <v>#REF!</v>
      </c>
      <c r="L16" s="26" t="e">
        <f ca="1">IF(AND(COLUMN()&gt;=11,COLUMN()&lt;=20),(_xlfn.XLOOKUP($A16,#REF!,#REF!))/SUMIF($A$7:$AC$128,$A16,$AB$6:$AB$127)*L$5,0)</f>
        <v>#REF!</v>
      </c>
      <c r="M16" s="26" t="e">
        <f ca="1">IF(AND(COLUMN()&gt;=11,COLUMN()&lt;=20),(_xlfn.XLOOKUP($A16,#REF!,#REF!))/SUMIF($A$7:$AC$128,$A16,$AB$6:$AB$127)*M$5,0)</f>
        <v>#REF!</v>
      </c>
      <c r="N16" s="26" t="e">
        <f ca="1">IF(AND(COLUMN()&gt;=11,COLUMN()&lt;=20),(_xlfn.XLOOKUP($A16,#REF!,#REF!))/SUMIF($A$7:$AC$128,$A16,$AB$6:$AB$127)*N$5,0)</f>
        <v>#REF!</v>
      </c>
      <c r="O16" s="26" t="e">
        <f ca="1">IF(AND(COLUMN()&gt;=11,COLUMN()&lt;=20),(_xlfn.XLOOKUP($A16,#REF!,#REF!))/SUMIF($A$7:$AC$128,$A16,$AB$6:$AB$127)*O$5,0)</f>
        <v>#REF!</v>
      </c>
      <c r="P16" s="26" t="e">
        <f ca="1">IF(AND(COLUMN()&gt;=11,COLUMN()&lt;=20),(_xlfn.XLOOKUP($A16,#REF!,#REF!))/SUMIF($A$7:$AC$128,$A16,$AB$6:$AB$127)*P$5,0)</f>
        <v>#REF!</v>
      </c>
      <c r="Q16" s="26" t="e">
        <f ca="1">IF(AND(COLUMN()&gt;=11,COLUMN()&lt;=20),(_xlfn.XLOOKUP($A16,#REF!,#REF!))/SUMIF($A$7:$AC$128,$A16,$AB$6:$AB$127)*Q$5,0)</f>
        <v>#REF!</v>
      </c>
      <c r="R16" s="26" t="e">
        <f ca="1">IF(AND(COLUMN()&gt;=11,COLUMN()&lt;=20),(_xlfn.XLOOKUP($A16,#REF!,#REF!))/SUMIF($A$7:$AC$128,$A16,$AB$6:$AB$127)*R$5,0)</f>
        <v>#REF!</v>
      </c>
      <c r="S16" s="26" t="e">
        <f ca="1">IF(AND(COLUMN()&gt;=11,COLUMN()&lt;=20),(_xlfn.XLOOKUP($A16,#REF!,#REF!))/SUMIF($A$7:$AC$128,$A16,$AB$6:$AB$127)*S$5,0)</f>
        <v>#REF!</v>
      </c>
      <c r="T16" s="26" t="e">
        <f ca="1">IF(AND(COLUMN()&gt;=11,COLUMN()&lt;=20),(_xlfn.XLOOKUP($A16,#REF!,#REF!))/SUMIF($A$7:$AC$128,$A16,$AB$6:$AB$127)*T$5,0)</f>
        <v>#REF!</v>
      </c>
      <c r="U16" s="26">
        <f>IF(AND(COLUMN()&gt;=11,COLUMN()&lt;=20),(_xlfn.XLOOKUP($A16,#REF!,#REF!))/SUMIF($A$7:$AC$128,$A16,$AB$6:$AB$127)*U$5,0)</f>
        <v>0</v>
      </c>
      <c r="V16" s="26">
        <f>IF(AND(COLUMN()&gt;=11,COLUMN()&lt;=20),(_xlfn.XLOOKUP($A16,#REF!,#REF!))/SUMIF($A$7:$AC$128,$A16,$AB$6:$AB$127)*V$5,0)</f>
        <v>0</v>
      </c>
      <c r="W16" s="26">
        <f>IF(AND(COLUMN()&gt;=11,COLUMN()&lt;=20),(_xlfn.XLOOKUP($A16,#REF!,#REF!))/SUMIF($A$7:$AC$128,$A16,$AB$6:$AB$127)*W$5,0)</f>
        <v>0</v>
      </c>
      <c r="X16" s="26">
        <f>IF(AND(COLUMN()&gt;=11,COLUMN()&lt;=20),(_xlfn.XLOOKUP($A16,#REF!,#REF!))/SUMIF($A$7:$AC$128,$A16,$AB$6:$AB$127)*X$5,0)</f>
        <v>0</v>
      </c>
      <c r="Y16" s="26">
        <f>IF(AND(COLUMN()&gt;=11,COLUMN()&lt;=20),(_xlfn.XLOOKUP($A16,#REF!,#REF!))/SUMIF($A$7:$AC$128,$A16,$AB$6:$AB$127)*Y$5,0)</f>
        <v>0</v>
      </c>
      <c r="Z16" s="26">
        <f>IF(AND(COLUMN()&gt;=11,COLUMN()&lt;=20),(_xlfn.XLOOKUP($A16,#REF!,#REF!))/SUMIF($A$7:$AC$128,$A16,$AB$6:$AB$127)*Z$5,0)</f>
        <v>0</v>
      </c>
      <c r="AA16" s="26" t="e">
        <f t="shared" ca="1" si="1"/>
        <v>#REF!</v>
      </c>
      <c r="AB16" s="19">
        <f t="shared" si="2"/>
        <v>30</v>
      </c>
      <c r="AC16" s="20" t="e">
        <f t="shared" ca="1" si="3"/>
        <v>#REF!</v>
      </c>
      <c r="AD16" s="30" t="e">
        <f>#REF!/SUMIF(#REF!,'Curva de la oferta Prod 3'!$A16,#REF!)</f>
        <v>#REF!</v>
      </c>
      <c r="AE16" s="28"/>
      <c r="AF16" s="31"/>
      <c r="AG16" s="31"/>
      <c r="AH16" s="31"/>
      <c r="AI16" s="31"/>
      <c r="AJ16" s="31"/>
      <c r="AK16" s="31"/>
    </row>
    <row r="17" spans="1:37" ht="14.5" x14ac:dyDescent="0.35">
      <c r="A17" s="15">
        <f t="shared" si="0"/>
        <v>2026</v>
      </c>
      <c r="B17" s="18">
        <v>46296</v>
      </c>
      <c r="C17" s="26">
        <f>IF(AND(COLUMN()&gt;=11,COLUMN()&lt;=20),(_xlfn.XLOOKUP($A17,#REF!,#REF!))/SUMIF($A$7:$AC$128,$A17,$AB$6:$AB$127)*C$5,0)</f>
        <v>0</v>
      </c>
      <c r="D17" s="26">
        <f>IF(AND(COLUMN()&gt;=11,COLUMN()&lt;=20),(_xlfn.XLOOKUP($A17,#REF!,#REF!))/SUMIF($A$7:$AC$128,$A17,$AB$6:$AB$127)*D$5,0)</f>
        <v>0</v>
      </c>
      <c r="E17" s="26">
        <f>IF(AND(COLUMN()&gt;=11,COLUMN()&lt;=20),(_xlfn.XLOOKUP($A17,#REF!,#REF!))/SUMIF($A$7:$AC$128,$A17,$AB$6:$AB$127)*E$5,0)</f>
        <v>0</v>
      </c>
      <c r="F17" s="26">
        <f>IF(AND(COLUMN()&gt;=11,COLUMN()&lt;=20),(_xlfn.XLOOKUP($A17,#REF!,#REF!))/SUMIF($A$7:$AC$128,$A17,$AB$6:$AB$127)*F$5,0)</f>
        <v>0</v>
      </c>
      <c r="G17" s="26">
        <f>IF(AND(COLUMN()&gt;=11,COLUMN()&lt;=20),(_xlfn.XLOOKUP($A17,#REF!,#REF!))/SUMIF($A$7:$AC$128,$A17,$AB$6:$AB$127)*G$5,0)</f>
        <v>0</v>
      </c>
      <c r="H17" s="26">
        <f>IF(AND(COLUMN()&gt;=11,COLUMN()&lt;=20),(_xlfn.XLOOKUP($A17,#REF!,#REF!))/SUMIF($A$7:$AC$128,$A17,$AB$6:$AB$127)*H$5,0)</f>
        <v>0</v>
      </c>
      <c r="I17" s="26">
        <f>IF(AND(COLUMN()&gt;=11,COLUMN()&lt;=20),(_xlfn.XLOOKUP($A17,#REF!,#REF!))/SUMIF($A$7:$AC$128,$A17,$AB$6:$AB$127)*I$5,0)</f>
        <v>0</v>
      </c>
      <c r="J17" s="26">
        <f>IF(AND(COLUMN()&gt;=11,COLUMN()&lt;=20),(_xlfn.XLOOKUP($A17,#REF!,#REF!))/SUMIF($A$7:$AC$128,$A17,$AB$6:$AB$127)*J$5,0)</f>
        <v>0</v>
      </c>
      <c r="K17" s="26" t="e">
        <f ca="1">IF(AND(COLUMN()&gt;=11,COLUMN()&lt;=20),(_xlfn.XLOOKUP($A17,#REF!,#REF!))/SUMIF($A$7:$AC$128,$A17,$AB$6:$AB$127)*K$5,0)</f>
        <v>#REF!</v>
      </c>
      <c r="L17" s="26" t="e">
        <f ca="1">IF(AND(COLUMN()&gt;=11,COLUMN()&lt;=20),(_xlfn.XLOOKUP($A17,#REF!,#REF!))/SUMIF($A$7:$AC$128,$A17,$AB$6:$AB$127)*L$5,0)</f>
        <v>#REF!</v>
      </c>
      <c r="M17" s="26" t="e">
        <f ca="1">IF(AND(COLUMN()&gt;=11,COLUMN()&lt;=20),(_xlfn.XLOOKUP($A17,#REF!,#REF!))/SUMIF($A$7:$AC$128,$A17,$AB$6:$AB$127)*M$5,0)</f>
        <v>#REF!</v>
      </c>
      <c r="N17" s="26" t="e">
        <f ca="1">IF(AND(COLUMN()&gt;=11,COLUMN()&lt;=20),(_xlfn.XLOOKUP($A17,#REF!,#REF!))/SUMIF($A$7:$AC$128,$A17,$AB$6:$AB$127)*N$5,0)</f>
        <v>#REF!</v>
      </c>
      <c r="O17" s="26" t="e">
        <f ca="1">IF(AND(COLUMN()&gt;=11,COLUMN()&lt;=20),(_xlfn.XLOOKUP($A17,#REF!,#REF!))/SUMIF($A$7:$AC$128,$A17,$AB$6:$AB$127)*O$5,0)</f>
        <v>#REF!</v>
      </c>
      <c r="P17" s="26" t="e">
        <f ca="1">IF(AND(COLUMN()&gt;=11,COLUMN()&lt;=20),(_xlfn.XLOOKUP($A17,#REF!,#REF!))/SUMIF($A$7:$AC$128,$A17,$AB$6:$AB$127)*P$5,0)</f>
        <v>#REF!</v>
      </c>
      <c r="Q17" s="26" t="e">
        <f ca="1">IF(AND(COLUMN()&gt;=11,COLUMN()&lt;=20),(_xlfn.XLOOKUP($A17,#REF!,#REF!))/SUMIF($A$7:$AC$128,$A17,$AB$6:$AB$127)*Q$5,0)</f>
        <v>#REF!</v>
      </c>
      <c r="R17" s="26" t="e">
        <f ca="1">IF(AND(COLUMN()&gt;=11,COLUMN()&lt;=20),(_xlfn.XLOOKUP($A17,#REF!,#REF!))/SUMIF($A$7:$AC$128,$A17,$AB$6:$AB$127)*R$5,0)</f>
        <v>#REF!</v>
      </c>
      <c r="S17" s="26" t="e">
        <f ca="1">IF(AND(COLUMN()&gt;=11,COLUMN()&lt;=20),(_xlfn.XLOOKUP($A17,#REF!,#REF!))/SUMIF($A$7:$AC$128,$A17,$AB$6:$AB$127)*S$5,0)</f>
        <v>#REF!</v>
      </c>
      <c r="T17" s="26" t="e">
        <f ca="1">IF(AND(COLUMN()&gt;=11,COLUMN()&lt;=20),(_xlfn.XLOOKUP($A17,#REF!,#REF!))/SUMIF($A$7:$AC$128,$A17,$AB$6:$AB$127)*T$5,0)</f>
        <v>#REF!</v>
      </c>
      <c r="U17" s="26">
        <f>IF(AND(COLUMN()&gt;=11,COLUMN()&lt;=20),(_xlfn.XLOOKUP($A17,#REF!,#REF!))/SUMIF($A$7:$AC$128,$A17,$AB$6:$AB$127)*U$5,0)</f>
        <v>0</v>
      </c>
      <c r="V17" s="26">
        <f>IF(AND(COLUMN()&gt;=11,COLUMN()&lt;=20),(_xlfn.XLOOKUP($A17,#REF!,#REF!))/SUMIF($A$7:$AC$128,$A17,$AB$6:$AB$127)*V$5,0)</f>
        <v>0</v>
      </c>
      <c r="W17" s="26">
        <f>IF(AND(COLUMN()&gt;=11,COLUMN()&lt;=20),(_xlfn.XLOOKUP($A17,#REF!,#REF!))/SUMIF($A$7:$AC$128,$A17,$AB$6:$AB$127)*W$5,0)</f>
        <v>0</v>
      </c>
      <c r="X17" s="26">
        <f>IF(AND(COLUMN()&gt;=11,COLUMN()&lt;=20),(_xlfn.XLOOKUP($A17,#REF!,#REF!))/SUMIF($A$7:$AC$128,$A17,$AB$6:$AB$127)*X$5,0)</f>
        <v>0</v>
      </c>
      <c r="Y17" s="26">
        <f>IF(AND(COLUMN()&gt;=11,COLUMN()&lt;=20),(_xlfn.XLOOKUP($A17,#REF!,#REF!))/SUMIF($A$7:$AC$128,$A17,$AB$6:$AB$127)*Y$5,0)</f>
        <v>0</v>
      </c>
      <c r="Z17" s="26">
        <f>IF(AND(COLUMN()&gt;=11,COLUMN()&lt;=20),(_xlfn.XLOOKUP($A17,#REF!,#REF!))/SUMIF($A$7:$AC$128,$A17,$AB$6:$AB$127)*Z$5,0)</f>
        <v>0</v>
      </c>
      <c r="AA17" s="26" t="e">
        <f t="shared" ca="1" si="1"/>
        <v>#REF!</v>
      </c>
      <c r="AB17" s="19">
        <f t="shared" si="2"/>
        <v>31</v>
      </c>
      <c r="AC17" s="20" t="e">
        <f t="shared" ca="1" si="3"/>
        <v>#REF!</v>
      </c>
      <c r="AD17" s="30" t="e">
        <f>#REF!/SUMIF(#REF!,'Curva de la oferta Prod 3'!$A17,#REF!)</f>
        <v>#REF!</v>
      </c>
      <c r="AE17" s="28"/>
      <c r="AF17" s="31"/>
      <c r="AG17" s="31"/>
      <c r="AH17" s="31"/>
      <c r="AI17" s="31"/>
      <c r="AJ17" s="31"/>
      <c r="AK17" s="31"/>
    </row>
    <row r="18" spans="1:37" ht="14.5" x14ac:dyDescent="0.35">
      <c r="A18" s="15">
        <f t="shared" si="0"/>
        <v>2026</v>
      </c>
      <c r="B18" s="18">
        <v>46327</v>
      </c>
      <c r="C18" s="26">
        <f>IF(AND(COLUMN()&gt;=11,COLUMN()&lt;=20),(_xlfn.XLOOKUP($A18,#REF!,#REF!))/SUMIF($A$7:$AC$128,$A18,$AB$6:$AB$127)*C$5,0)</f>
        <v>0</v>
      </c>
      <c r="D18" s="26">
        <f>IF(AND(COLUMN()&gt;=11,COLUMN()&lt;=20),(_xlfn.XLOOKUP($A18,#REF!,#REF!))/SUMIF($A$7:$AC$128,$A18,$AB$6:$AB$127)*D$5,0)</f>
        <v>0</v>
      </c>
      <c r="E18" s="26">
        <f>IF(AND(COLUMN()&gt;=11,COLUMN()&lt;=20),(_xlfn.XLOOKUP($A18,#REF!,#REF!))/SUMIF($A$7:$AC$128,$A18,$AB$6:$AB$127)*E$5,0)</f>
        <v>0</v>
      </c>
      <c r="F18" s="26">
        <f>IF(AND(COLUMN()&gt;=11,COLUMN()&lt;=20),(_xlfn.XLOOKUP($A18,#REF!,#REF!))/SUMIF($A$7:$AC$128,$A18,$AB$6:$AB$127)*F$5,0)</f>
        <v>0</v>
      </c>
      <c r="G18" s="26">
        <f>IF(AND(COLUMN()&gt;=11,COLUMN()&lt;=20),(_xlfn.XLOOKUP($A18,#REF!,#REF!))/SUMIF($A$7:$AC$128,$A18,$AB$6:$AB$127)*G$5,0)</f>
        <v>0</v>
      </c>
      <c r="H18" s="26">
        <f>IF(AND(COLUMN()&gt;=11,COLUMN()&lt;=20),(_xlfn.XLOOKUP($A18,#REF!,#REF!))/SUMIF($A$7:$AC$128,$A18,$AB$6:$AB$127)*H$5,0)</f>
        <v>0</v>
      </c>
      <c r="I18" s="26">
        <f>IF(AND(COLUMN()&gt;=11,COLUMN()&lt;=20),(_xlfn.XLOOKUP($A18,#REF!,#REF!))/SUMIF($A$7:$AC$128,$A18,$AB$6:$AB$127)*I$5,0)</f>
        <v>0</v>
      </c>
      <c r="J18" s="26">
        <f>IF(AND(COLUMN()&gt;=11,COLUMN()&lt;=20),(_xlfn.XLOOKUP($A18,#REF!,#REF!))/SUMIF($A$7:$AC$128,$A18,$AB$6:$AB$127)*J$5,0)</f>
        <v>0</v>
      </c>
      <c r="K18" s="26" t="e">
        <f ca="1">IF(AND(COLUMN()&gt;=11,COLUMN()&lt;=20),(_xlfn.XLOOKUP($A18,#REF!,#REF!))/SUMIF($A$7:$AC$128,$A18,$AB$6:$AB$127)*K$5,0)</f>
        <v>#REF!</v>
      </c>
      <c r="L18" s="26" t="e">
        <f ca="1">IF(AND(COLUMN()&gt;=11,COLUMN()&lt;=20),(_xlfn.XLOOKUP($A18,#REF!,#REF!))/SUMIF($A$7:$AC$128,$A18,$AB$6:$AB$127)*L$5,0)</f>
        <v>#REF!</v>
      </c>
      <c r="M18" s="26" t="e">
        <f ca="1">IF(AND(COLUMN()&gt;=11,COLUMN()&lt;=20),(_xlfn.XLOOKUP($A18,#REF!,#REF!))/SUMIF($A$7:$AC$128,$A18,$AB$6:$AB$127)*M$5,0)</f>
        <v>#REF!</v>
      </c>
      <c r="N18" s="26" t="e">
        <f ca="1">IF(AND(COLUMN()&gt;=11,COLUMN()&lt;=20),(_xlfn.XLOOKUP($A18,#REF!,#REF!))/SUMIF($A$7:$AC$128,$A18,$AB$6:$AB$127)*N$5,0)</f>
        <v>#REF!</v>
      </c>
      <c r="O18" s="26" t="e">
        <f ca="1">IF(AND(COLUMN()&gt;=11,COLUMN()&lt;=20),(_xlfn.XLOOKUP($A18,#REF!,#REF!))/SUMIF($A$7:$AC$128,$A18,$AB$6:$AB$127)*O$5,0)</f>
        <v>#REF!</v>
      </c>
      <c r="P18" s="26" t="e">
        <f ca="1">IF(AND(COLUMN()&gt;=11,COLUMN()&lt;=20),(_xlfn.XLOOKUP($A18,#REF!,#REF!))/SUMIF($A$7:$AC$128,$A18,$AB$6:$AB$127)*P$5,0)</f>
        <v>#REF!</v>
      </c>
      <c r="Q18" s="26" t="e">
        <f ca="1">IF(AND(COLUMN()&gt;=11,COLUMN()&lt;=20),(_xlfn.XLOOKUP($A18,#REF!,#REF!))/SUMIF($A$7:$AC$128,$A18,$AB$6:$AB$127)*Q$5,0)</f>
        <v>#REF!</v>
      </c>
      <c r="R18" s="26" t="e">
        <f ca="1">IF(AND(COLUMN()&gt;=11,COLUMN()&lt;=20),(_xlfn.XLOOKUP($A18,#REF!,#REF!))/SUMIF($A$7:$AC$128,$A18,$AB$6:$AB$127)*R$5,0)</f>
        <v>#REF!</v>
      </c>
      <c r="S18" s="26" t="e">
        <f ca="1">IF(AND(COLUMN()&gt;=11,COLUMN()&lt;=20),(_xlfn.XLOOKUP($A18,#REF!,#REF!))/SUMIF($A$7:$AC$128,$A18,$AB$6:$AB$127)*S$5,0)</f>
        <v>#REF!</v>
      </c>
      <c r="T18" s="26" t="e">
        <f ca="1">IF(AND(COLUMN()&gt;=11,COLUMN()&lt;=20),(_xlfn.XLOOKUP($A18,#REF!,#REF!))/SUMIF($A$7:$AC$128,$A18,$AB$6:$AB$127)*T$5,0)</f>
        <v>#REF!</v>
      </c>
      <c r="U18" s="26">
        <f>IF(AND(COLUMN()&gt;=11,COLUMN()&lt;=20),(_xlfn.XLOOKUP($A18,#REF!,#REF!))/SUMIF($A$7:$AC$128,$A18,$AB$6:$AB$127)*U$5,0)</f>
        <v>0</v>
      </c>
      <c r="V18" s="26">
        <f>IF(AND(COLUMN()&gt;=11,COLUMN()&lt;=20),(_xlfn.XLOOKUP($A18,#REF!,#REF!))/SUMIF($A$7:$AC$128,$A18,$AB$6:$AB$127)*V$5,0)</f>
        <v>0</v>
      </c>
      <c r="W18" s="26">
        <f>IF(AND(COLUMN()&gt;=11,COLUMN()&lt;=20),(_xlfn.XLOOKUP($A18,#REF!,#REF!))/SUMIF($A$7:$AC$128,$A18,$AB$6:$AB$127)*W$5,0)</f>
        <v>0</v>
      </c>
      <c r="X18" s="26">
        <f>IF(AND(COLUMN()&gt;=11,COLUMN()&lt;=20),(_xlfn.XLOOKUP($A18,#REF!,#REF!))/SUMIF($A$7:$AC$128,$A18,$AB$6:$AB$127)*X$5,0)</f>
        <v>0</v>
      </c>
      <c r="Y18" s="26">
        <f>IF(AND(COLUMN()&gt;=11,COLUMN()&lt;=20),(_xlfn.XLOOKUP($A18,#REF!,#REF!))/SUMIF($A$7:$AC$128,$A18,$AB$6:$AB$127)*Y$5,0)</f>
        <v>0</v>
      </c>
      <c r="Z18" s="26">
        <f>IF(AND(COLUMN()&gt;=11,COLUMN()&lt;=20),(_xlfn.XLOOKUP($A18,#REF!,#REF!))/SUMIF($A$7:$AC$128,$A18,$AB$6:$AB$127)*Z$5,0)</f>
        <v>0</v>
      </c>
      <c r="AA18" s="26" t="e">
        <f t="shared" ca="1" si="1"/>
        <v>#REF!</v>
      </c>
      <c r="AB18" s="19">
        <f t="shared" si="2"/>
        <v>30</v>
      </c>
      <c r="AC18" s="20" t="e">
        <f t="shared" ca="1" si="3"/>
        <v>#REF!</v>
      </c>
      <c r="AD18" s="30" t="e">
        <f>#REF!/SUMIF(#REF!,'Curva de la oferta Prod 3'!$A18,#REF!)</f>
        <v>#REF!</v>
      </c>
      <c r="AE18" s="28"/>
      <c r="AF18" s="31"/>
      <c r="AG18" s="31"/>
      <c r="AH18" s="31"/>
      <c r="AI18" s="31"/>
      <c r="AJ18" s="31"/>
      <c r="AK18" s="31"/>
    </row>
    <row r="19" spans="1:37" ht="14.5" x14ac:dyDescent="0.35">
      <c r="A19" s="15">
        <f t="shared" si="0"/>
        <v>2026</v>
      </c>
      <c r="B19" s="18">
        <v>46357</v>
      </c>
      <c r="C19" s="26">
        <f>IF(AND(COLUMN()&gt;=11,COLUMN()&lt;=20),(_xlfn.XLOOKUP($A19,#REF!,#REF!))/SUMIF($A$7:$AC$128,$A19,$AB$6:$AB$127)*C$5,0)</f>
        <v>0</v>
      </c>
      <c r="D19" s="26">
        <f>IF(AND(COLUMN()&gt;=11,COLUMN()&lt;=20),(_xlfn.XLOOKUP($A19,#REF!,#REF!))/SUMIF($A$7:$AC$128,$A19,$AB$6:$AB$127)*D$5,0)</f>
        <v>0</v>
      </c>
      <c r="E19" s="26">
        <f>IF(AND(COLUMN()&gt;=11,COLUMN()&lt;=20),(_xlfn.XLOOKUP($A19,#REF!,#REF!))/SUMIF($A$7:$AC$128,$A19,$AB$6:$AB$127)*E$5,0)</f>
        <v>0</v>
      </c>
      <c r="F19" s="26">
        <f>IF(AND(COLUMN()&gt;=11,COLUMN()&lt;=20),(_xlfn.XLOOKUP($A19,#REF!,#REF!))/SUMIF($A$7:$AC$128,$A19,$AB$6:$AB$127)*F$5,0)</f>
        <v>0</v>
      </c>
      <c r="G19" s="26">
        <f>IF(AND(COLUMN()&gt;=11,COLUMN()&lt;=20),(_xlfn.XLOOKUP($A19,#REF!,#REF!))/SUMIF($A$7:$AC$128,$A19,$AB$6:$AB$127)*G$5,0)</f>
        <v>0</v>
      </c>
      <c r="H19" s="26">
        <f>IF(AND(COLUMN()&gt;=11,COLUMN()&lt;=20),(_xlfn.XLOOKUP($A19,#REF!,#REF!))/SUMIF($A$7:$AC$128,$A19,$AB$6:$AB$127)*H$5,0)</f>
        <v>0</v>
      </c>
      <c r="I19" s="26">
        <f>IF(AND(COLUMN()&gt;=11,COLUMN()&lt;=20),(_xlfn.XLOOKUP($A19,#REF!,#REF!))/SUMIF($A$7:$AC$128,$A19,$AB$6:$AB$127)*I$5,0)</f>
        <v>0</v>
      </c>
      <c r="J19" s="26">
        <f>IF(AND(COLUMN()&gt;=11,COLUMN()&lt;=20),(_xlfn.XLOOKUP($A19,#REF!,#REF!))/SUMIF($A$7:$AC$128,$A19,$AB$6:$AB$127)*J$5,0)</f>
        <v>0</v>
      </c>
      <c r="K19" s="26" t="e">
        <f ca="1">IF(AND(COLUMN()&gt;=11,COLUMN()&lt;=20),(_xlfn.XLOOKUP($A19,#REF!,#REF!))/SUMIF($A$7:$AC$128,$A19,$AB$6:$AB$127)*K$5,0)</f>
        <v>#REF!</v>
      </c>
      <c r="L19" s="26" t="e">
        <f ca="1">IF(AND(COLUMN()&gt;=11,COLUMN()&lt;=20),(_xlfn.XLOOKUP($A19,#REF!,#REF!))/SUMIF($A$7:$AC$128,$A19,$AB$6:$AB$127)*L$5,0)</f>
        <v>#REF!</v>
      </c>
      <c r="M19" s="26" t="e">
        <f ca="1">IF(AND(COLUMN()&gt;=11,COLUMN()&lt;=20),(_xlfn.XLOOKUP($A19,#REF!,#REF!))/SUMIF($A$7:$AC$128,$A19,$AB$6:$AB$127)*M$5,0)</f>
        <v>#REF!</v>
      </c>
      <c r="N19" s="26" t="e">
        <f ca="1">IF(AND(COLUMN()&gt;=11,COLUMN()&lt;=20),(_xlfn.XLOOKUP($A19,#REF!,#REF!))/SUMIF($A$7:$AC$128,$A19,$AB$6:$AB$127)*N$5,0)</f>
        <v>#REF!</v>
      </c>
      <c r="O19" s="26" t="e">
        <f ca="1">IF(AND(COLUMN()&gt;=11,COLUMN()&lt;=20),(_xlfn.XLOOKUP($A19,#REF!,#REF!))/SUMIF($A$7:$AC$128,$A19,$AB$6:$AB$127)*O$5,0)</f>
        <v>#REF!</v>
      </c>
      <c r="P19" s="26" t="e">
        <f ca="1">IF(AND(COLUMN()&gt;=11,COLUMN()&lt;=20),(_xlfn.XLOOKUP($A19,#REF!,#REF!))/SUMIF($A$7:$AC$128,$A19,$AB$6:$AB$127)*P$5,0)</f>
        <v>#REF!</v>
      </c>
      <c r="Q19" s="26" t="e">
        <f ca="1">IF(AND(COLUMN()&gt;=11,COLUMN()&lt;=20),(_xlfn.XLOOKUP($A19,#REF!,#REF!))/SUMIF($A$7:$AC$128,$A19,$AB$6:$AB$127)*Q$5,0)</f>
        <v>#REF!</v>
      </c>
      <c r="R19" s="26" t="e">
        <f ca="1">IF(AND(COLUMN()&gt;=11,COLUMN()&lt;=20),(_xlfn.XLOOKUP($A19,#REF!,#REF!))/SUMIF($A$7:$AC$128,$A19,$AB$6:$AB$127)*R$5,0)</f>
        <v>#REF!</v>
      </c>
      <c r="S19" s="26" t="e">
        <f ca="1">IF(AND(COLUMN()&gt;=11,COLUMN()&lt;=20),(_xlfn.XLOOKUP($A19,#REF!,#REF!))/SUMIF($A$7:$AC$128,$A19,$AB$6:$AB$127)*S$5,0)</f>
        <v>#REF!</v>
      </c>
      <c r="T19" s="26" t="e">
        <f ca="1">IF(AND(COLUMN()&gt;=11,COLUMN()&lt;=20),(_xlfn.XLOOKUP($A19,#REF!,#REF!))/SUMIF($A$7:$AC$128,$A19,$AB$6:$AB$127)*T$5,0)</f>
        <v>#REF!</v>
      </c>
      <c r="U19" s="26">
        <f>IF(AND(COLUMN()&gt;=11,COLUMN()&lt;=20),(_xlfn.XLOOKUP($A19,#REF!,#REF!))/SUMIF($A$7:$AC$128,$A19,$AB$6:$AB$127)*U$5,0)</f>
        <v>0</v>
      </c>
      <c r="V19" s="26">
        <f>IF(AND(COLUMN()&gt;=11,COLUMN()&lt;=20),(_xlfn.XLOOKUP($A19,#REF!,#REF!))/SUMIF($A$7:$AC$128,$A19,$AB$6:$AB$127)*V$5,0)</f>
        <v>0</v>
      </c>
      <c r="W19" s="26">
        <f>IF(AND(COLUMN()&gt;=11,COLUMN()&lt;=20),(_xlfn.XLOOKUP($A19,#REF!,#REF!))/SUMIF($A$7:$AC$128,$A19,$AB$6:$AB$127)*W$5,0)</f>
        <v>0</v>
      </c>
      <c r="X19" s="26">
        <f>IF(AND(COLUMN()&gt;=11,COLUMN()&lt;=20),(_xlfn.XLOOKUP($A19,#REF!,#REF!))/SUMIF($A$7:$AC$128,$A19,$AB$6:$AB$127)*X$5,0)</f>
        <v>0</v>
      </c>
      <c r="Y19" s="26">
        <f>IF(AND(COLUMN()&gt;=11,COLUMN()&lt;=20),(_xlfn.XLOOKUP($A19,#REF!,#REF!))/SUMIF($A$7:$AC$128,$A19,$AB$6:$AB$127)*Y$5,0)</f>
        <v>0</v>
      </c>
      <c r="Z19" s="26">
        <f>IF(AND(COLUMN()&gt;=11,COLUMN()&lt;=20),(_xlfn.XLOOKUP($A19,#REF!,#REF!))/SUMIF($A$7:$AC$128,$A19,$AB$6:$AB$127)*Z$5,0)</f>
        <v>0</v>
      </c>
      <c r="AA19" s="26" t="e">
        <f t="shared" ca="1" si="1"/>
        <v>#REF!</v>
      </c>
      <c r="AB19" s="19">
        <f t="shared" si="2"/>
        <v>31</v>
      </c>
      <c r="AC19" s="20" t="e">
        <f t="shared" ca="1" si="3"/>
        <v>#REF!</v>
      </c>
      <c r="AD19" s="30" t="e">
        <f>#REF!/SUMIF(#REF!,'Curva de la oferta Prod 3'!$A19,#REF!)</f>
        <v>#REF!</v>
      </c>
      <c r="AE19" s="28"/>
      <c r="AF19" s="31"/>
      <c r="AG19" s="31"/>
      <c r="AH19" s="31"/>
      <c r="AI19" s="31"/>
      <c r="AJ19" s="31"/>
      <c r="AK19" s="31"/>
    </row>
    <row r="20" spans="1:37" ht="14.5" x14ac:dyDescent="0.35">
      <c r="A20" s="15">
        <f t="shared" si="0"/>
        <v>2027</v>
      </c>
      <c r="B20" s="18">
        <v>46388</v>
      </c>
      <c r="C20" s="26">
        <f>IF(AND(COLUMN()&gt;=11,COLUMN()&lt;=20),(_xlfn.XLOOKUP($A20,#REF!,#REF!))/SUMIF($A$7:$AC$128,$A20,$AB$6:$AB$127)*C$5,0)</f>
        <v>0</v>
      </c>
      <c r="D20" s="26">
        <f>IF(AND(COLUMN()&gt;=11,COLUMN()&lt;=20),(_xlfn.XLOOKUP($A20,#REF!,#REF!))/SUMIF($A$7:$AC$128,$A20,$AB$6:$AB$127)*D$5,0)</f>
        <v>0</v>
      </c>
      <c r="E20" s="26">
        <f>IF(AND(COLUMN()&gt;=11,COLUMN()&lt;=20),(_xlfn.XLOOKUP($A20,#REF!,#REF!))/SUMIF($A$7:$AC$128,$A20,$AB$6:$AB$127)*E$5,0)</f>
        <v>0</v>
      </c>
      <c r="F20" s="26">
        <f>IF(AND(COLUMN()&gt;=11,COLUMN()&lt;=20),(_xlfn.XLOOKUP($A20,#REF!,#REF!))/SUMIF($A$7:$AC$128,$A20,$AB$6:$AB$127)*F$5,0)</f>
        <v>0</v>
      </c>
      <c r="G20" s="26">
        <f>IF(AND(COLUMN()&gt;=11,COLUMN()&lt;=20),(_xlfn.XLOOKUP($A20,#REF!,#REF!))/SUMIF($A$7:$AC$128,$A20,$AB$6:$AB$127)*G$5,0)</f>
        <v>0</v>
      </c>
      <c r="H20" s="26">
        <f>IF(AND(COLUMN()&gt;=11,COLUMN()&lt;=20),(_xlfn.XLOOKUP($A20,#REF!,#REF!))/SUMIF($A$7:$AC$128,$A20,$AB$6:$AB$127)*H$5,0)</f>
        <v>0</v>
      </c>
      <c r="I20" s="26">
        <f>IF(AND(COLUMN()&gt;=11,COLUMN()&lt;=20),(_xlfn.XLOOKUP($A20,#REF!,#REF!))/SUMIF($A$7:$AC$128,$A20,$AB$6:$AB$127)*I$5,0)</f>
        <v>0</v>
      </c>
      <c r="J20" s="26">
        <f>IF(AND(COLUMN()&gt;=11,COLUMN()&lt;=20),(_xlfn.XLOOKUP($A20,#REF!,#REF!))/SUMIF($A$7:$AC$128,$A20,$AB$6:$AB$127)*J$5,0)</f>
        <v>0</v>
      </c>
      <c r="K20" s="26" t="e">
        <f ca="1">IF(AND(COLUMN()&gt;=11,COLUMN()&lt;=20),(_xlfn.XLOOKUP($A20,#REF!,#REF!))/SUMIF($A$7:$AC$128,$A20,$AB$6:$AB$127)*K$5,0)</f>
        <v>#REF!</v>
      </c>
      <c r="L20" s="26" t="e">
        <f ca="1">IF(AND(COLUMN()&gt;=11,COLUMN()&lt;=20),(_xlfn.XLOOKUP($A20,#REF!,#REF!))/SUMIF($A$7:$AC$128,$A20,$AB$6:$AB$127)*L$5,0)</f>
        <v>#REF!</v>
      </c>
      <c r="M20" s="26" t="e">
        <f ca="1">IF(AND(COLUMN()&gt;=11,COLUMN()&lt;=20),(_xlfn.XLOOKUP($A20,#REF!,#REF!))/SUMIF($A$7:$AC$128,$A20,$AB$6:$AB$127)*M$5,0)</f>
        <v>#REF!</v>
      </c>
      <c r="N20" s="26" t="e">
        <f ca="1">IF(AND(COLUMN()&gt;=11,COLUMN()&lt;=20),(_xlfn.XLOOKUP($A20,#REF!,#REF!))/SUMIF($A$7:$AC$128,$A20,$AB$6:$AB$127)*N$5,0)</f>
        <v>#REF!</v>
      </c>
      <c r="O20" s="26" t="e">
        <f ca="1">IF(AND(COLUMN()&gt;=11,COLUMN()&lt;=20),(_xlfn.XLOOKUP($A20,#REF!,#REF!))/SUMIF($A$7:$AC$128,$A20,$AB$6:$AB$127)*O$5,0)</f>
        <v>#REF!</v>
      </c>
      <c r="P20" s="26" t="e">
        <f ca="1">IF(AND(COLUMN()&gt;=11,COLUMN()&lt;=20),(_xlfn.XLOOKUP($A20,#REF!,#REF!))/SUMIF($A$7:$AC$128,$A20,$AB$6:$AB$127)*P$5,0)</f>
        <v>#REF!</v>
      </c>
      <c r="Q20" s="26" t="e">
        <f ca="1">IF(AND(COLUMN()&gt;=11,COLUMN()&lt;=20),(_xlfn.XLOOKUP($A20,#REF!,#REF!))/SUMIF($A$7:$AC$128,$A20,$AB$6:$AB$127)*Q$5,0)</f>
        <v>#REF!</v>
      </c>
      <c r="R20" s="26" t="e">
        <f ca="1">IF(AND(COLUMN()&gt;=11,COLUMN()&lt;=20),(_xlfn.XLOOKUP($A20,#REF!,#REF!))/SUMIF($A$7:$AC$128,$A20,$AB$6:$AB$127)*R$5,0)</f>
        <v>#REF!</v>
      </c>
      <c r="S20" s="26" t="e">
        <f ca="1">IF(AND(COLUMN()&gt;=11,COLUMN()&lt;=20),(_xlfn.XLOOKUP($A20,#REF!,#REF!))/SUMIF($A$7:$AC$128,$A20,$AB$6:$AB$127)*S$5,0)</f>
        <v>#REF!</v>
      </c>
      <c r="T20" s="26" t="e">
        <f ca="1">IF(AND(COLUMN()&gt;=11,COLUMN()&lt;=20),(_xlfn.XLOOKUP($A20,#REF!,#REF!))/SUMIF($A$7:$AC$128,$A20,$AB$6:$AB$127)*T$5,0)</f>
        <v>#REF!</v>
      </c>
      <c r="U20" s="26">
        <f>IF(AND(COLUMN()&gt;=11,COLUMN()&lt;=20),(_xlfn.XLOOKUP($A20,#REF!,#REF!))/SUMIF($A$7:$AC$128,$A20,$AB$6:$AB$127)*U$5,0)</f>
        <v>0</v>
      </c>
      <c r="V20" s="26">
        <f>IF(AND(COLUMN()&gt;=11,COLUMN()&lt;=20),(_xlfn.XLOOKUP($A20,#REF!,#REF!))/SUMIF($A$7:$AC$128,$A20,$AB$6:$AB$127)*V$5,0)</f>
        <v>0</v>
      </c>
      <c r="W20" s="26">
        <f>IF(AND(COLUMN()&gt;=11,COLUMN()&lt;=20),(_xlfn.XLOOKUP($A20,#REF!,#REF!))/SUMIF($A$7:$AC$128,$A20,$AB$6:$AB$127)*W$5,0)</f>
        <v>0</v>
      </c>
      <c r="X20" s="26">
        <f>IF(AND(COLUMN()&gt;=11,COLUMN()&lt;=20),(_xlfn.XLOOKUP($A20,#REF!,#REF!))/SUMIF($A$7:$AC$128,$A20,$AB$6:$AB$127)*X$5,0)</f>
        <v>0</v>
      </c>
      <c r="Y20" s="26">
        <f>IF(AND(COLUMN()&gt;=11,COLUMN()&lt;=20),(_xlfn.XLOOKUP($A20,#REF!,#REF!))/SUMIF($A$7:$AC$128,$A20,$AB$6:$AB$127)*Y$5,0)</f>
        <v>0</v>
      </c>
      <c r="Z20" s="26">
        <f>IF(AND(COLUMN()&gt;=11,COLUMN()&lt;=20),(_xlfn.XLOOKUP($A20,#REF!,#REF!))/SUMIF($A$7:$AC$128,$A20,$AB$6:$AB$127)*Z$5,0)</f>
        <v>0</v>
      </c>
      <c r="AA20" s="26" t="e">
        <f ca="1">SUM(C20:Z20)</f>
        <v>#REF!</v>
      </c>
      <c r="AB20" s="19">
        <f t="shared" si="2"/>
        <v>31</v>
      </c>
      <c r="AC20" s="20" t="e">
        <f t="shared" ca="1" si="3"/>
        <v>#REF!</v>
      </c>
      <c r="AD20" s="30" t="e">
        <f>#REF!/SUMIF(#REF!,'Curva de la oferta Prod 3'!$A20,#REF!)</f>
        <v>#REF!</v>
      </c>
      <c r="AE20" s="28"/>
      <c r="AF20" s="31"/>
      <c r="AG20" s="31"/>
      <c r="AH20" s="31"/>
      <c r="AI20" s="31"/>
      <c r="AJ20" s="31"/>
      <c r="AK20" s="31"/>
    </row>
    <row r="21" spans="1:37" ht="14.5" x14ac:dyDescent="0.35">
      <c r="A21" s="15">
        <f t="shared" si="0"/>
        <v>2027</v>
      </c>
      <c r="B21" s="18">
        <v>46419</v>
      </c>
      <c r="C21" s="26">
        <f>IF(AND(COLUMN()&gt;=11,COLUMN()&lt;=20),(_xlfn.XLOOKUP($A21,#REF!,#REF!))/SUMIF($A$7:$AC$128,$A21,$AB$6:$AB$127)*C$5,0)</f>
        <v>0</v>
      </c>
      <c r="D21" s="26">
        <f>IF(AND(COLUMN()&gt;=11,COLUMN()&lt;=20),(_xlfn.XLOOKUP($A21,#REF!,#REF!))/SUMIF($A$7:$AC$128,$A21,$AB$6:$AB$127)*D$5,0)</f>
        <v>0</v>
      </c>
      <c r="E21" s="26">
        <f>IF(AND(COLUMN()&gt;=11,COLUMN()&lt;=20),(_xlfn.XLOOKUP($A21,#REF!,#REF!))/SUMIF($A$7:$AC$128,$A21,$AB$6:$AB$127)*E$5,0)</f>
        <v>0</v>
      </c>
      <c r="F21" s="26">
        <f>IF(AND(COLUMN()&gt;=11,COLUMN()&lt;=20),(_xlfn.XLOOKUP($A21,#REF!,#REF!))/SUMIF($A$7:$AC$128,$A21,$AB$6:$AB$127)*F$5,0)</f>
        <v>0</v>
      </c>
      <c r="G21" s="26">
        <f>IF(AND(COLUMN()&gt;=11,COLUMN()&lt;=20),(_xlfn.XLOOKUP($A21,#REF!,#REF!))/SUMIF($A$7:$AC$128,$A21,$AB$6:$AB$127)*G$5,0)</f>
        <v>0</v>
      </c>
      <c r="H21" s="26">
        <f>IF(AND(COLUMN()&gt;=11,COLUMN()&lt;=20),(_xlfn.XLOOKUP($A21,#REF!,#REF!))/SUMIF($A$7:$AC$128,$A21,$AB$6:$AB$127)*H$5,0)</f>
        <v>0</v>
      </c>
      <c r="I21" s="26">
        <f>IF(AND(COLUMN()&gt;=11,COLUMN()&lt;=20),(_xlfn.XLOOKUP($A21,#REF!,#REF!))/SUMIF($A$7:$AC$128,$A21,$AB$6:$AB$127)*I$5,0)</f>
        <v>0</v>
      </c>
      <c r="J21" s="26">
        <f>IF(AND(COLUMN()&gt;=11,COLUMN()&lt;=20),(_xlfn.XLOOKUP($A21,#REF!,#REF!))/SUMIF($A$7:$AC$128,$A21,$AB$6:$AB$127)*J$5,0)</f>
        <v>0</v>
      </c>
      <c r="K21" s="26" t="e">
        <f ca="1">IF(AND(COLUMN()&gt;=11,COLUMN()&lt;=20),(_xlfn.XLOOKUP($A21,#REF!,#REF!))/SUMIF($A$7:$AC$128,$A21,$AB$6:$AB$127)*K$5,0)</f>
        <v>#REF!</v>
      </c>
      <c r="L21" s="26" t="e">
        <f ca="1">IF(AND(COLUMN()&gt;=11,COLUMN()&lt;=20),(_xlfn.XLOOKUP($A21,#REF!,#REF!))/SUMIF($A$7:$AC$128,$A21,$AB$6:$AB$127)*L$5,0)</f>
        <v>#REF!</v>
      </c>
      <c r="M21" s="26" t="e">
        <f ca="1">IF(AND(COLUMN()&gt;=11,COLUMN()&lt;=20),(_xlfn.XLOOKUP($A21,#REF!,#REF!))/SUMIF($A$7:$AC$128,$A21,$AB$6:$AB$127)*M$5,0)</f>
        <v>#REF!</v>
      </c>
      <c r="N21" s="26" t="e">
        <f ca="1">IF(AND(COLUMN()&gt;=11,COLUMN()&lt;=20),(_xlfn.XLOOKUP($A21,#REF!,#REF!))/SUMIF($A$7:$AC$128,$A21,$AB$6:$AB$127)*N$5,0)</f>
        <v>#REF!</v>
      </c>
      <c r="O21" s="26" t="e">
        <f ca="1">IF(AND(COLUMN()&gt;=11,COLUMN()&lt;=20),(_xlfn.XLOOKUP($A21,#REF!,#REF!))/SUMIF($A$7:$AC$128,$A21,$AB$6:$AB$127)*O$5,0)</f>
        <v>#REF!</v>
      </c>
      <c r="P21" s="26" t="e">
        <f ca="1">IF(AND(COLUMN()&gt;=11,COLUMN()&lt;=20),(_xlfn.XLOOKUP($A21,#REF!,#REF!))/SUMIF($A$7:$AC$128,$A21,$AB$6:$AB$127)*P$5,0)</f>
        <v>#REF!</v>
      </c>
      <c r="Q21" s="26" t="e">
        <f ca="1">IF(AND(COLUMN()&gt;=11,COLUMN()&lt;=20),(_xlfn.XLOOKUP($A21,#REF!,#REF!))/SUMIF($A$7:$AC$128,$A21,$AB$6:$AB$127)*Q$5,0)</f>
        <v>#REF!</v>
      </c>
      <c r="R21" s="26" t="e">
        <f ca="1">IF(AND(COLUMN()&gt;=11,COLUMN()&lt;=20),(_xlfn.XLOOKUP($A21,#REF!,#REF!))/SUMIF($A$7:$AC$128,$A21,$AB$6:$AB$127)*R$5,0)</f>
        <v>#REF!</v>
      </c>
      <c r="S21" s="26" t="e">
        <f ca="1">IF(AND(COLUMN()&gt;=11,COLUMN()&lt;=20),(_xlfn.XLOOKUP($A21,#REF!,#REF!))/SUMIF($A$7:$AC$128,$A21,$AB$6:$AB$127)*S$5,0)</f>
        <v>#REF!</v>
      </c>
      <c r="T21" s="26" t="e">
        <f ca="1">IF(AND(COLUMN()&gt;=11,COLUMN()&lt;=20),(_xlfn.XLOOKUP($A21,#REF!,#REF!))/SUMIF($A$7:$AC$128,$A21,$AB$6:$AB$127)*T$5,0)</f>
        <v>#REF!</v>
      </c>
      <c r="U21" s="26">
        <f>IF(AND(COLUMN()&gt;=11,COLUMN()&lt;=20),(_xlfn.XLOOKUP($A21,#REF!,#REF!))/SUMIF($A$7:$AC$128,$A21,$AB$6:$AB$127)*U$5,0)</f>
        <v>0</v>
      </c>
      <c r="V21" s="26">
        <f>IF(AND(COLUMN()&gt;=11,COLUMN()&lt;=20),(_xlfn.XLOOKUP($A21,#REF!,#REF!))/SUMIF($A$7:$AC$128,$A21,$AB$6:$AB$127)*V$5,0)</f>
        <v>0</v>
      </c>
      <c r="W21" s="26">
        <f>IF(AND(COLUMN()&gt;=11,COLUMN()&lt;=20),(_xlfn.XLOOKUP($A21,#REF!,#REF!))/SUMIF($A$7:$AC$128,$A21,$AB$6:$AB$127)*W$5,0)</f>
        <v>0</v>
      </c>
      <c r="X21" s="26">
        <f>IF(AND(COLUMN()&gt;=11,COLUMN()&lt;=20),(_xlfn.XLOOKUP($A21,#REF!,#REF!))/SUMIF($A$7:$AC$128,$A21,$AB$6:$AB$127)*X$5,0)</f>
        <v>0</v>
      </c>
      <c r="Y21" s="26">
        <f>IF(AND(COLUMN()&gt;=11,COLUMN()&lt;=20),(_xlfn.XLOOKUP($A21,#REF!,#REF!))/SUMIF($A$7:$AC$128,$A21,$AB$6:$AB$127)*Y$5,0)</f>
        <v>0</v>
      </c>
      <c r="Z21" s="26">
        <f>IF(AND(COLUMN()&gt;=11,COLUMN()&lt;=20),(_xlfn.XLOOKUP($A21,#REF!,#REF!))/SUMIF($A$7:$AC$128,$A21,$AB$6:$AB$127)*Z$5,0)</f>
        <v>0</v>
      </c>
      <c r="AA21" s="26" t="e">
        <f t="shared" ref="AA21:AA31" ca="1" si="4">SUM(C21:Z21)</f>
        <v>#REF!</v>
      </c>
      <c r="AB21" s="19">
        <f t="shared" si="2"/>
        <v>28</v>
      </c>
      <c r="AC21" s="20" t="e">
        <f t="shared" ca="1" si="3"/>
        <v>#REF!</v>
      </c>
      <c r="AD21" s="30" t="e">
        <f>#REF!/SUMIF(#REF!,'Curva de la oferta Prod 3'!$A21,#REF!)</f>
        <v>#REF!</v>
      </c>
      <c r="AE21" s="28"/>
      <c r="AF21" s="31"/>
      <c r="AG21" s="31"/>
      <c r="AH21" s="31"/>
      <c r="AI21" s="31"/>
      <c r="AJ21" s="31"/>
      <c r="AK21" s="31"/>
    </row>
    <row r="22" spans="1:37" ht="14.5" x14ac:dyDescent="0.35">
      <c r="A22" s="15">
        <f t="shared" si="0"/>
        <v>2027</v>
      </c>
      <c r="B22" s="18">
        <v>46447</v>
      </c>
      <c r="C22" s="26">
        <f>IF(AND(COLUMN()&gt;=11,COLUMN()&lt;=20),(_xlfn.XLOOKUP($A22,#REF!,#REF!))/SUMIF($A$7:$AC$128,$A22,$AB$6:$AB$127)*C$5,0)</f>
        <v>0</v>
      </c>
      <c r="D22" s="26">
        <f>IF(AND(COLUMN()&gt;=11,COLUMN()&lt;=20),(_xlfn.XLOOKUP($A22,#REF!,#REF!))/SUMIF($A$7:$AC$128,$A22,$AB$6:$AB$127)*D$5,0)</f>
        <v>0</v>
      </c>
      <c r="E22" s="26">
        <f>IF(AND(COLUMN()&gt;=11,COLUMN()&lt;=20),(_xlfn.XLOOKUP($A22,#REF!,#REF!))/SUMIF($A$7:$AC$128,$A22,$AB$6:$AB$127)*E$5,0)</f>
        <v>0</v>
      </c>
      <c r="F22" s="26">
        <f>IF(AND(COLUMN()&gt;=11,COLUMN()&lt;=20),(_xlfn.XLOOKUP($A22,#REF!,#REF!))/SUMIF($A$7:$AC$128,$A22,$AB$6:$AB$127)*F$5,0)</f>
        <v>0</v>
      </c>
      <c r="G22" s="26">
        <f>IF(AND(COLUMN()&gt;=11,COLUMN()&lt;=20),(_xlfn.XLOOKUP($A22,#REF!,#REF!))/SUMIF($A$7:$AC$128,$A22,$AB$6:$AB$127)*G$5,0)</f>
        <v>0</v>
      </c>
      <c r="H22" s="26">
        <f>IF(AND(COLUMN()&gt;=11,COLUMN()&lt;=20),(_xlfn.XLOOKUP($A22,#REF!,#REF!))/SUMIF($A$7:$AC$128,$A22,$AB$6:$AB$127)*H$5,0)</f>
        <v>0</v>
      </c>
      <c r="I22" s="26">
        <f>IF(AND(COLUMN()&gt;=11,COLUMN()&lt;=20),(_xlfn.XLOOKUP($A22,#REF!,#REF!))/SUMIF($A$7:$AC$128,$A22,$AB$6:$AB$127)*I$5,0)</f>
        <v>0</v>
      </c>
      <c r="J22" s="26">
        <f>IF(AND(COLUMN()&gt;=11,COLUMN()&lt;=20),(_xlfn.XLOOKUP($A22,#REF!,#REF!))/SUMIF($A$7:$AC$128,$A22,$AB$6:$AB$127)*J$5,0)</f>
        <v>0</v>
      </c>
      <c r="K22" s="26" t="e">
        <f ca="1">IF(AND(COLUMN()&gt;=11,COLUMN()&lt;=20),(_xlfn.XLOOKUP($A22,#REF!,#REF!))/SUMIF($A$7:$AC$128,$A22,$AB$6:$AB$127)*K$5,0)</f>
        <v>#REF!</v>
      </c>
      <c r="L22" s="26" t="e">
        <f ca="1">IF(AND(COLUMN()&gt;=11,COLUMN()&lt;=20),(_xlfn.XLOOKUP($A22,#REF!,#REF!))/SUMIF($A$7:$AC$128,$A22,$AB$6:$AB$127)*L$5,0)</f>
        <v>#REF!</v>
      </c>
      <c r="M22" s="26" t="e">
        <f ca="1">IF(AND(COLUMN()&gt;=11,COLUMN()&lt;=20),(_xlfn.XLOOKUP($A22,#REF!,#REF!))/SUMIF($A$7:$AC$128,$A22,$AB$6:$AB$127)*M$5,0)</f>
        <v>#REF!</v>
      </c>
      <c r="N22" s="26" t="e">
        <f ca="1">IF(AND(COLUMN()&gt;=11,COLUMN()&lt;=20),(_xlfn.XLOOKUP($A22,#REF!,#REF!))/SUMIF($A$7:$AC$128,$A22,$AB$6:$AB$127)*N$5,0)</f>
        <v>#REF!</v>
      </c>
      <c r="O22" s="26" t="e">
        <f ca="1">IF(AND(COLUMN()&gt;=11,COLUMN()&lt;=20),(_xlfn.XLOOKUP($A22,#REF!,#REF!))/SUMIF($A$7:$AC$128,$A22,$AB$6:$AB$127)*O$5,0)</f>
        <v>#REF!</v>
      </c>
      <c r="P22" s="26" t="e">
        <f ca="1">IF(AND(COLUMN()&gt;=11,COLUMN()&lt;=20),(_xlfn.XLOOKUP($A22,#REF!,#REF!))/SUMIF($A$7:$AC$128,$A22,$AB$6:$AB$127)*P$5,0)</f>
        <v>#REF!</v>
      </c>
      <c r="Q22" s="26" t="e">
        <f ca="1">IF(AND(COLUMN()&gt;=11,COLUMN()&lt;=20),(_xlfn.XLOOKUP($A22,#REF!,#REF!))/SUMIF($A$7:$AC$128,$A22,$AB$6:$AB$127)*Q$5,0)</f>
        <v>#REF!</v>
      </c>
      <c r="R22" s="26" t="e">
        <f ca="1">IF(AND(COLUMN()&gt;=11,COLUMN()&lt;=20),(_xlfn.XLOOKUP($A22,#REF!,#REF!))/SUMIF($A$7:$AC$128,$A22,$AB$6:$AB$127)*R$5,0)</f>
        <v>#REF!</v>
      </c>
      <c r="S22" s="26" t="e">
        <f ca="1">IF(AND(COLUMN()&gt;=11,COLUMN()&lt;=20),(_xlfn.XLOOKUP($A22,#REF!,#REF!))/SUMIF($A$7:$AC$128,$A22,$AB$6:$AB$127)*S$5,0)</f>
        <v>#REF!</v>
      </c>
      <c r="T22" s="26" t="e">
        <f ca="1">IF(AND(COLUMN()&gt;=11,COLUMN()&lt;=20),(_xlfn.XLOOKUP($A22,#REF!,#REF!))/SUMIF($A$7:$AC$128,$A22,$AB$6:$AB$127)*T$5,0)</f>
        <v>#REF!</v>
      </c>
      <c r="U22" s="26">
        <f>IF(AND(COLUMN()&gt;=11,COLUMN()&lt;=20),(_xlfn.XLOOKUP($A22,#REF!,#REF!))/SUMIF($A$7:$AC$128,$A22,$AB$6:$AB$127)*U$5,0)</f>
        <v>0</v>
      </c>
      <c r="V22" s="26">
        <f>IF(AND(COLUMN()&gt;=11,COLUMN()&lt;=20),(_xlfn.XLOOKUP($A22,#REF!,#REF!))/SUMIF($A$7:$AC$128,$A22,$AB$6:$AB$127)*V$5,0)</f>
        <v>0</v>
      </c>
      <c r="W22" s="26">
        <f>IF(AND(COLUMN()&gt;=11,COLUMN()&lt;=20),(_xlfn.XLOOKUP($A22,#REF!,#REF!))/SUMIF($A$7:$AC$128,$A22,$AB$6:$AB$127)*W$5,0)</f>
        <v>0</v>
      </c>
      <c r="X22" s="26">
        <f>IF(AND(COLUMN()&gt;=11,COLUMN()&lt;=20),(_xlfn.XLOOKUP($A22,#REF!,#REF!))/SUMIF($A$7:$AC$128,$A22,$AB$6:$AB$127)*X$5,0)</f>
        <v>0</v>
      </c>
      <c r="Y22" s="26">
        <f>IF(AND(COLUMN()&gt;=11,COLUMN()&lt;=20),(_xlfn.XLOOKUP($A22,#REF!,#REF!))/SUMIF($A$7:$AC$128,$A22,$AB$6:$AB$127)*Y$5,0)</f>
        <v>0</v>
      </c>
      <c r="Z22" s="26">
        <f>IF(AND(COLUMN()&gt;=11,COLUMN()&lt;=20),(_xlfn.XLOOKUP($A22,#REF!,#REF!))/SUMIF($A$7:$AC$128,$A22,$AB$6:$AB$127)*Z$5,0)</f>
        <v>0</v>
      </c>
      <c r="AA22" s="26" t="e">
        <f t="shared" ca="1" si="4"/>
        <v>#REF!</v>
      </c>
      <c r="AB22" s="19">
        <f t="shared" si="2"/>
        <v>31</v>
      </c>
      <c r="AC22" s="20" t="e">
        <f t="shared" ca="1" si="3"/>
        <v>#REF!</v>
      </c>
      <c r="AD22" s="30" t="e">
        <f>#REF!/SUMIF(#REF!,'Curva de la oferta Prod 3'!$A22,#REF!)</f>
        <v>#REF!</v>
      </c>
      <c r="AE22" s="28"/>
      <c r="AF22" s="31"/>
      <c r="AG22" s="31"/>
      <c r="AH22" s="31"/>
      <c r="AI22" s="31"/>
      <c r="AJ22" s="31"/>
      <c r="AK22" s="31"/>
    </row>
    <row r="23" spans="1:37" ht="14.5" x14ac:dyDescent="0.35">
      <c r="A23" s="15">
        <f t="shared" si="0"/>
        <v>2027</v>
      </c>
      <c r="B23" s="18">
        <v>46478</v>
      </c>
      <c r="C23" s="26">
        <f>IF(AND(COLUMN()&gt;=11,COLUMN()&lt;=20),(_xlfn.XLOOKUP($A23,#REF!,#REF!))/SUMIF($A$7:$AC$128,$A23,$AB$6:$AB$127)*C$5,0)</f>
        <v>0</v>
      </c>
      <c r="D23" s="26">
        <f>IF(AND(COLUMN()&gt;=11,COLUMN()&lt;=20),(_xlfn.XLOOKUP($A23,#REF!,#REF!))/SUMIF($A$7:$AC$128,$A23,$AB$6:$AB$127)*D$5,0)</f>
        <v>0</v>
      </c>
      <c r="E23" s="26">
        <f>IF(AND(COLUMN()&gt;=11,COLUMN()&lt;=20),(_xlfn.XLOOKUP($A23,#REF!,#REF!))/SUMIF($A$7:$AC$128,$A23,$AB$6:$AB$127)*E$5,0)</f>
        <v>0</v>
      </c>
      <c r="F23" s="26">
        <f>IF(AND(COLUMN()&gt;=11,COLUMN()&lt;=20),(_xlfn.XLOOKUP($A23,#REF!,#REF!))/SUMIF($A$7:$AC$128,$A23,$AB$6:$AB$127)*F$5,0)</f>
        <v>0</v>
      </c>
      <c r="G23" s="26">
        <f>IF(AND(COLUMN()&gt;=11,COLUMN()&lt;=20),(_xlfn.XLOOKUP($A23,#REF!,#REF!))/SUMIF($A$7:$AC$128,$A23,$AB$6:$AB$127)*G$5,0)</f>
        <v>0</v>
      </c>
      <c r="H23" s="26">
        <f>IF(AND(COLUMN()&gt;=11,COLUMN()&lt;=20),(_xlfn.XLOOKUP($A23,#REF!,#REF!))/SUMIF($A$7:$AC$128,$A23,$AB$6:$AB$127)*H$5,0)</f>
        <v>0</v>
      </c>
      <c r="I23" s="26">
        <f>IF(AND(COLUMN()&gt;=11,COLUMN()&lt;=20),(_xlfn.XLOOKUP($A23,#REF!,#REF!))/SUMIF($A$7:$AC$128,$A23,$AB$6:$AB$127)*I$5,0)</f>
        <v>0</v>
      </c>
      <c r="J23" s="26">
        <f>IF(AND(COLUMN()&gt;=11,COLUMN()&lt;=20),(_xlfn.XLOOKUP($A23,#REF!,#REF!))/SUMIF($A$7:$AC$128,$A23,$AB$6:$AB$127)*J$5,0)</f>
        <v>0</v>
      </c>
      <c r="K23" s="26" t="e">
        <f ca="1">IF(AND(COLUMN()&gt;=11,COLUMN()&lt;=20),(_xlfn.XLOOKUP($A23,#REF!,#REF!))/SUMIF($A$7:$AC$128,$A23,$AB$6:$AB$127)*K$5,0)</f>
        <v>#REF!</v>
      </c>
      <c r="L23" s="26" t="e">
        <f ca="1">IF(AND(COLUMN()&gt;=11,COLUMN()&lt;=20),(_xlfn.XLOOKUP($A23,#REF!,#REF!))/SUMIF($A$7:$AC$128,$A23,$AB$6:$AB$127)*L$5,0)</f>
        <v>#REF!</v>
      </c>
      <c r="M23" s="26" t="e">
        <f ca="1">IF(AND(COLUMN()&gt;=11,COLUMN()&lt;=20),(_xlfn.XLOOKUP($A23,#REF!,#REF!))/SUMIF($A$7:$AC$128,$A23,$AB$6:$AB$127)*M$5,0)</f>
        <v>#REF!</v>
      </c>
      <c r="N23" s="26" t="e">
        <f ca="1">IF(AND(COLUMN()&gt;=11,COLUMN()&lt;=20),(_xlfn.XLOOKUP($A23,#REF!,#REF!))/SUMIF($A$7:$AC$128,$A23,$AB$6:$AB$127)*N$5,0)</f>
        <v>#REF!</v>
      </c>
      <c r="O23" s="26" t="e">
        <f ca="1">IF(AND(COLUMN()&gt;=11,COLUMN()&lt;=20),(_xlfn.XLOOKUP($A23,#REF!,#REF!))/SUMIF($A$7:$AC$128,$A23,$AB$6:$AB$127)*O$5,0)</f>
        <v>#REF!</v>
      </c>
      <c r="P23" s="26" t="e">
        <f ca="1">IF(AND(COLUMN()&gt;=11,COLUMN()&lt;=20),(_xlfn.XLOOKUP($A23,#REF!,#REF!))/SUMIF($A$7:$AC$128,$A23,$AB$6:$AB$127)*P$5,0)</f>
        <v>#REF!</v>
      </c>
      <c r="Q23" s="26" t="e">
        <f ca="1">IF(AND(COLUMN()&gt;=11,COLUMN()&lt;=20),(_xlfn.XLOOKUP($A23,#REF!,#REF!))/SUMIF($A$7:$AC$128,$A23,$AB$6:$AB$127)*Q$5,0)</f>
        <v>#REF!</v>
      </c>
      <c r="R23" s="26" t="e">
        <f ca="1">IF(AND(COLUMN()&gt;=11,COLUMN()&lt;=20),(_xlfn.XLOOKUP($A23,#REF!,#REF!))/SUMIF($A$7:$AC$128,$A23,$AB$6:$AB$127)*R$5,0)</f>
        <v>#REF!</v>
      </c>
      <c r="S23" s="26" t="e">
        <f ca="1">IF(AND(COLUMN()&gt;=11,COLUMN()&lt;=20),(_xlfn.XLOOKUP($A23,#REF!,#REF!))/SUMIF($A$7:$AC$128,$A23,$AB$6:$AB$127)*S$5,0)</f>
        <v>#REF!</v>
      </c>
      <c r="T23" s="26" t="e">
        <f ca="1">IF(AND(COLUMN()&gt;=11,COLUMN()&lt;=20),(_xlfn.XLOOKUP($A23,#REF!,#REF!))/SUMIF($A$7:$AC$128,$A23,$AB$6:$AB$127)*T$5,0)</f>
        <v>#REF!</v>
      </c>
      <c r="U23" s="26">
        <f>IF(AND(COLUMN()&gt;=11,COLUMN()&lt;=20),(_xlfn.XLOOKUP($A23,#REF!,#REF!))/SUMIF($A$7:$AC$128,$A23,$AB$6:$AB$127)*U$5,0)</f>
        <v>0</v>
      </c>
      <c r="V23" s="26">
        <f>IF(AND(COLUMN()&gt;=11,COLUMN()&lt;=20),(_xlfn.XLOOKUP($A23,#REF!,#REF!))/SUMIF($A$7:$AC$128,$A23,$AB$6:$AB$127)*V$5,0)</f>
        <v>0</v>
      </c>
      <c r="W23" s="26">
        <f>IF(AND(COLUMN()&gt;=11,COLUMN()&lt;=20),(_xlfn.XLOOKUP($A23,#REF!,#REF!))/SUMIF($A$7:$AC$128,$A23,$AB$6:$AB$127)*W$5,0)</f>
        <v>0</v>
      </c>
      <c r="X23" s="26">
        <f>IF(AND(COLUMN()&gt;=11,COLUMN()&lt;=20),(_xlfn.XLOOKUP($A23,#REF!,#REF!))/SUMIF($A$7:$AC$128,$A23,$AB$6:$AB$127)*X$5,0)</f>
        <v>0</v>
      </c>
      <c r="Y23" s="26">
        <f>IF(AND(COLUMN()&gt;=11,COLUMN()&lt;=20),(_xlfn.XLOOKUP($A23,#REF!,#REF!))/SUMIF($A$7:$AC$128,$A23,$AB$6:$AB$127)*Y$5,0)</f>
        <v>0</v>
      </c>
      <c r="Z23" s="26">
        <f>IF(AND(COLUMN()&gt;=11,COLUMN()&lt;=20),(_xlfn.XLOOKUP($A23,#REF!,#REF!))/SUMIF($A$7:$AC$128,$A23,$AB$6:$AB$127)*Z$5,0)</f>
        <v>0</v>
      </c>
      <c r="AA23" s="26" t="e">
        <f t="shared" ca="1" si="4"/>
        <v>#REF!</v>
      </c>
      <c r="AB23" s="19">
        <f t="shared" si="2"/>
        <v>30</v>
      </c>
      <c r="AC23" s="20" t="e">
        <f t="shared" ca="1" si="3"/>
        <v>#REF!</v>
      </c>
      <c r="AD23" s="30" t="e">
        <f>#REF!/SUMIF(#REF!,'Curva de la oferta Prod 3'!$A23,#REF!)</f>
        <v>#REF!</v>
      </c>
      <c r="AE23" s="28"/>
      <c r="AF23" s="31"/>
      <c r="AG23" s="31"/>
      <c r="AH23" s="31"/>
      <c r="AI23" s="31"/>
      <c r="AJ23" s="31"/>
      <c r="AK23" s="31"/>
    </row>
    <row r="24" spans="1:37" ht="14.5" x14ac:dyDescent="0.35">
      <c r="A24" s="15">
        <f t="shared" si="0"/>
        <v>2027</v>
      </c>
      <c r="B24" s="18">
        <v>46508</v>
      </c>
      <c r="C24" s="26">
        <f>IF(AND(COLUMN()&gt;=11,COLUMN()&lt;=20),(_xlfn.XLOOKUP($A24,#REF!,#REF!))/SUMIF($A$7:$AC$128,$A24,$AB$6:$AB$127)*C$5,0)</f>
        <v>0</v>
      </c>
      <c r="D24" s="26">
        <f>IF(AND(COLUMN()&gt;=11,COLUMN()&lt;=20),(_xlfn.XLOOKUP($A24,#REF!,#REF!))/SUMIF($A$7:$AC$128,$A24,$AB$6:$AB$127)*D$5,0)</f>
        <v>0</v>
      </c>
      <c r="E24" s="26">
        <f>IF(AND(COLUMN()&gt;=11,COLUMN()&lt;=20),(_xlfn.XLOOKUP($A24,#REF!,#REF!))/SUMIF($A$7:$AC$128,$A24,$AB$6:$AB$127)*E$5,0)</f>
        <v>0</v>
      </c>
      <c r="F24" s="26">
        <f>IF(AND(COLUMN()&gt;=11,COLUMN()&lt;=20),(_xlfn.XLOOKUP($A24,#REF!,#REF!))/SUMIF($A$7:$AC$128,$A24,$AB$6:$AB$127)*F$5,0)</f>
        <v>0</v>
      </c>
      <c r="G24" s="26">
        <f>IF(AND(COLUMN()&gt;=11,COLUMN()&lt;=20),(_xlfn.XLOOKUP($A24,#REF!,#REF!))/SUMIF($A$7:$AC$128,$A24,$AB$6:$AB$127)*G$5,0)</f>
        <v>0</v>
      </c>
      <c r="H24" s="26">
        <f>IF(AND(COLUMN()&gt;=11,COLUMN()&lt;=20),(_xlfn.XLOOKUP($A24,#REF!,#REF!))/SUMIF($A$7:$AC$128,$A24,$AB$6:$AB$127)*H$5,0)</f>
        <v>0</v>
      </c>
      <c r="I24" s="26">
        <f>IF(AND(COLUMN()&gt;=11,COLUMN()&lt;=20),(_xlfn.XLOOKUP($A24,#REF!,#REF!))/SUMIF($A$7:$AC$128,$A24,$AB$6:$AB$127)*I$5,0)</f>
        <v>0</v>
      </c>
      <c r="J24" s="26">
        <f>IF(AND(COLUMN()&gt;=11,COLUMN()&lt;=20),(_xlfn.XLOOKUP($A24,#REF!,#REF!))/SUMIF($A$7:$AC$128,$A24,$AB$6:$AB$127)*J$5,0)</f>
        <v>0</v>
      </c>
      <c r="K24" s="26" t="e">
        <f ca="1">IF(AND(COLUMN()&gt;=11,COLUMN()&lt;=20),(_xlfn.XLOOKUP($A24,#REF!,#REF!))/SUMIF($A$7:$AC$128,$A24,$AB$6:$AB$127)*K$5,0)</f>
        <v>#REF!</v>
      </c>
      <c r="L24" s="26" t="e">
        <f ca="1">IF(AND(COLUMN()&gt;=11,COLUMN()&lt;=20),(_xlfn.XLOOKUP($A24,#REF!,#REF!))/SUMIF($A$7:$AC$128,$A24,$AB$6:$AB$127)*L$5,0)</f>
        <v>#REF!</v>
      </c>
      <c r="M24" s="26" t="e">
        <f ca="1">IF(AND(COLUMN()&gt;=11,COLUMN()&lt;=20),(_xlfn.XLOOKUP($A24,#REF!,#REF!))/SUMIF($A$7:$AC$128,$A24,$AB$6:$AB$127)*M$5,0)</f>
        <v>#REF!</v>
      </c>
      <c r="N24" s="26" t="e">
        <f ca="1">IF(AND(COLUMN()&gt;=11,COLUMN()&lt;=20),(_xlfn.XLOOKUP($A24,#REF!,#REF!))/SUMIF($A$7:$AC$128,$A24,$AB$6:$AB$127)*N$5,0)</f>
        <v>#REF!</v>
      </c>
      <c r="O24" s="26" t="e">
        <f ca="1">IF(AND(COLUMN()&gt;=11,COLUMN()&lt;=20),(_xlfn.XLOOKUP($A24,#REF!,#REF!))/SUMIF($A$7:$AC$128,$A24,$AB$6:$AB$127)*O$5,0)</f>
        <v>#REF!</v>
      </c>
      <c r="P24" s="26" t="e">
        <f ca="1">IF(AND(COLUMN()&gt;=11,COLUMN()&lt;=20),(_xlfn.XLOOKUP($A24,#REF!,#REF!))/SUMIF($A$7:$AC$128,$A24,$AB$6:$AB$127)*P$5,0)</f>
        <v>#REF!</v>
      </c>
      <c r="Q24" s="26" t="e">
        <f ca="1">IF(AND(COLUMN()&gt;=11,COLUMN()&lt;=20),(_xlfn.XLOOKUP($A24,#REF!,#REF!))/SUMIF($A$7:$AC$128,$A24,$AB$6:$AB$127)*Q$5,0)</f>
        <v>#REF!</v>
      </c>
      <c r="R24" s="26" t="e">
        <f ca="1">IF(AND(COLUMN()&gt;=11,COLUMN()&lt;=20),(_xlfn.XLOOKUP($A24,#REF!,#REF!))/SUMIF($A$7:$AC$128,$A24,$AB$6:$AB$127)*R$5,0)</f>
        <v>#REF!</v>
      </c>
      <c r="S24" s="26" t="e">
        <f ca="1">IF(AND(COLUMN()&gt;=11,COLUMN()&lt;=20),(_xlfn.XLOOKUP($A24,#REF!,#REF!))/SUMIF($A$7:$AC$128,$A24,$AB$6:$AB$127)*S$5,0)</f>
        <v>#REF!</v>
      </c>
      <c r="T24" s="26" t="e">
        <f ca="1">IF(AND(COLUMN()&gt;=11,COLUMN()&lt;=20),(_xlfn.XLOOKUP($A24,#REF!,#REF!))/SUMIF($A$7:$AC$128,$A24,$AB$6:$AB$127)*T$5,0)</f>
        <v>#REF!</v>
      </c>
      <c r="U24" s="26">
        <f>IF(AND(COLUMN()&gt;=11,COLUMN()&lt;=20),(_xlfn.XLOOKUP($A24,#REF!,#REF!))/SUMIF($A$7:$AC$128,$A24,$AB$6:$AB$127)*U$5,0)</f>
        <v>0</v>
      </c>
      <c r="V24" s="26">
        <f>IF(AND(COLUMN()&gt;=11,COLUMN()&lt;=20),(_xlfn.XLOOKUP($A24,#REF!,#REF!))/SUMIF($A$7:$AC$128,$A24,$AB$6:$AB$127)*V$5,0)</f>
        <v>0</v>
      </c>
      <c r="W24" s="26">
        <f>IF(AND(COLUMN()&gt;=11,COLUMN()&lt;=20),(_xlfn.XLOOKUP($A24,#REF!,#REF!))/SUMIF($A$7:$AC$128,$A24,$AB$6:$AB$127)*W$5,0)</f>
        <v>0</v>
      </c>
      <c r="X24" s="26">
        <f>IF(AND(COLUMN()&gt;=11,COLUMN()&lt;=20),(_xlfn.XLOOKUP($A24,#REF!,#REF!))/SUMIF($A$7:$AC$128,$A24,$AB$6:$AB$127)*X$5,0)</f>
        <v>0</v>
      </c>
      <c r="Y24" s="26">
        <f>IF(AND(COLUMN()&gt;=11,COLUMN()&lt;=20),(_xlfn.XLOOKUP($A24,#REF!,#REF!))/SUMIF($A$7:$AC$128,$A24,$AB$6:$AB$127)*Y$5,0)</f>
        <v>0</v>
      </c>
      <c r="Z24" s="26">
        <f>IF(AND(COLUMN()&gt;=11,COLUMN()&lt;=20),(_xlfn.XLOOKUP($A24,#REF!,#REF!))/SUMIF($A$7:$AC$128,$A24,$AB$6:$AB$127)*Z$5,0)</f>
        <v>0</v>
      </c>
      <c r="AA24" s="26" t="e">
        <f t="shared" ca="1" si="4"/>
        <v>#REF!</v>
      </c>
      <c r="AB24" s="19">
        <f t="shared" si="2"/>
        <v>31</v>
      </c>
      <c r="AC24" s="20" t="e">
        <f t="shared" ca="1" si="3"/>
        <v>#REF!</v>
      </c>
      <c r="AD24" s="30" t="e">
        <f>#REF!/SUMIF(#REF!,'Curva de la oferta Prod 3'!$A24,#REF!)</f>
        <v>#REF!</v>
      </c>
      <c r="AE24" s="28"/>
      <c r="AF24" s="31"/>
      <c r="AG24" s="31"/>
      <c r="AH24" s="31"/>
      <c r="AI24" s="31"/>
      <c r="AJ24" s="31"/>
      <c r="AK24" s="31"/>
    </row>
    <row r="25" spans="1:37" ht="14.5" x14ac:dyDescent="0.35">
      <c r="A25" s="15">
        <f t="shared" si="0"/>
        <v>2027</v>
      </c>
      <c r="B25" s="18">
        <v>46539</v>
      </c>
      <c r="C25" s="26">
        <f>IF(AND(COLUMN()&gt;=11,COLUMN()&lt;=20),(_xlfn.XLOOKUP($A25,#REF!,#REF!))/SUMIF($A$7:$AC$128,$A25,$AB$6:$AB$127)*C$5,0)</f>
        <v>0</v>
      </c>
      <c r="D25" s="26">
        <f>IF(AND(COLUMN()&gt;=11,COLUMN()&lt;=20),(_xlfn.XLOOKUP($A25,#REF!,#REF!))/SUMIF($A$7:$AC$128,$A25,$AB$6:$AB$127)*D$5,0)</f>
        <v>0</v>
      </c>
      <c r="E25" s="26">
        <f>IF(AND(COLUMN()&gt;=11,COLUMN()&lt;=20),(_xlfn.XLOOKUP($A25,#REF!,#REF!))/SUMIF($A$7:$AC$128,$A25,$AB$6:$AB$127)*E$5,0)</f>
        <v>0</v>
      </c>
      <c r="F25" s="26">
        <f>IF(AND(COLUMN()&gt;=11,COLUMN()&lt;=20),(_xlfn.XLOOKUP($A25,#REF!,#REF!))/SUMIF($A$7:$AC$128,$A25,$AB$6:$AB$127)*F$5,0)</f>
        <v>0</v>
      </c>
      <c r="G25" s="26">
        <f>IF(AND(COLUMN()&gt;=11,COLUMN()&lt;=20),(_xlfn.XLOOKUP($A25,#REF!,#REF!))/SUMIF($A$7:$AC$128,$A25,$AB$6:$AB$127)*G$5,0)</f>
        <v>0</v>
      </c>
      <c r="H25" s="26">
        <f>IF(AND(COLUMN()&gt;=11,COLUMN()&lt;=20),(_xlfn.XLOOKUP($A25,#REF!,#REF!))/SUMIF($A$7:$AC$128,$A25,$AB$6:$AB$127)*H$5,0)</f>
        <v>0</v>
      </c>
      <c r="I25" s="26">
        <f>IF(AND(COLUMN()&gt;=11,COLUMN()&lt;=20),(_xlfn.XLOOKUP($A25,#REF!,#REF!))/SUMIF($A$7:$AC$128,$A25,$AB$6:$AB$127)*I$5,0)</f>
        <v>0</v>
      </c>
      <c r="J25" s="26">
        <f>IF(AND(COLUMN()&gt;=11,COLUMN()&lt;=20),(_xlfn.XLOOKUP($A25,#REF!,#REF!))/SUMIF($A$7:$AC$128,$A25,$AB$6:$AB$127)*J$5,0)</f>
        <v>0</v>
      </c>
      <c r="K25" s="26" t="e">
        <f ca="1">IF(AND(COLUMN()&gt;=11,COLUMN()&lt;=20),(_xlfn.XLOOKUP($A25,#REF!,#REF!))/SUMIF($A$7:$AC$128,$A25,$AB$6:$AB$127)*K$5,0)</f>
        <v>#REF!</v>
      </c>
      <c r="L25" s="26" t="e">
        <f ca="1">IF(AND(COLUMN()&gt;=11,COLUMN()&lt;=20),(_xlfn.XLOOKUP($A25,#REF!,#REF!))/SUMIF($A$7:$AC$128,$A25,$AB$6:$AB$127)*L$5,0)</f>
        <v>#REF!</v>
      </c>
      <c r="M25" s="26" t="e">
        <f ca="1">IF(AND(COLUMN()&gt;=11,COLUMN()&lt;=20),(_xlfn.XLOOKUP($A25,#REF!,#REF!))/SUMIF($A$7:$AC$128,$A25,$AB$6:$AB$127)*M$5,0)</f>
        <v>#REF!</v>
      </c>
      <c r="N25" s="26" t="e">
        <f ca="1">IF(AND(COLUMN()&gt;=11,COLUMN()&lt;=20),(_xlfn.XLOOKUP($A25,#REF!,#REF!))/SUMIF($A$7:$AC$128,$A25,$AB$6:$AB$127)*N$5,0)</f>
        <v>#REF!</v>
      </c>
      <c r="O25" s="26" t="e">
        <f ca="1">IF(AND(COLUMN()&gt;=11,COLUMN()&lt;=20),(_xlfn.XLOOKUP($A25,#REF!,#REF!))/SUMIF($A$7:$AC$128,$A25,$AB$6:$AB$127)*O$5,0)</f>
        <v>#REF!</v>
      </c>
      <c r="P25" s="26" t="e">
        <f ca="1">IF(AND(COLUMN()&gt;=11,COLUMN()&lt;=20),(_xlfn.XLOOKUP($A25,#REF!,#REF!))/SUMIF($A$7:$AC$128,$A25,$AB$6:$AB$127)*P$5,0)</f>
        <v>#REF!</v>
      </c>
      <c r="Q25" s="26" t="e">
        <f ca="1">IF(AND(COLUMN()&gt;=11,COLUMN()&lt;=20),(_xlfn.XLOOKUP($A25,#REF!,#REF!))/SUMIF($A$7:$AC$128,$A25,$AB$6:$AB$127)*Q$5,0)</f>
        <v>#REF!</v>
      </c>
      <c r="R25" s="26" t="e">
        <f ca="1">IF(AND(COLUMN()&gt;=11,COLUMN()&lt;=20),(_xlfn.XLOOKUP($A25,#REF!,#REF!))/SUMIF($A$7:$AC$128,$A25,$AB$6:$AB$127)*R$5,0)</f>
        <v>#REF!</v>
      </c>
      <c r="S25" s="26" t="e">
        <f ca="1">IF(AND(COLUMN()&gt;=11,COLUMN()&lt;=20),(_xlfn.XLOOKUP($A25,#REF!,#REF!))/SUMIF($A$7:$AC$128,$A25,$AB$6:$AB$127)*S$5,0)</f>
        <v>#REF!</v>
      </c>
      <c r="T25" s="26" t="e">
        <f ca="1">IF(AND(COLUMN()&gt;=11,COLUMN()&lt;=20),(_xlfn.XLOOKUP($A25,#REF!,#REF!))/SUMIF($A$7:$AC$128,$A25,$AB$6:$AB$127)*T$5,0)</f>
        <v>#REF!</v>
      </c>
      <c r="U25" s="26">
        <f>IF(AND(COLUMN()&gt;=11,COLUMN()&lt;=20),(_xlfn.XLOOKUP($A25,#REF!,#REF!))/SUMIF($A$7:$AC$128,$A25,$AB$6:$AB$127)*U$5,0)</f>
        <v>0</v>
      </c>
      <c r="V25" s="26">
        <f>IF(AND(COLUMN()&gt;=11,COLUMN()&lt;=20),(_xlfn.XLOOKUP($A25,#REF!,#REF!))/SUMIF($A$7:$AC$128,$A25,$AB$6:$AB$127)*V$5,0)</f>
        <v>0</v>
      </c>
      <c r="W25" s="26">
        <f>IF(AND(COLUMN()&gt;=11,COLUMN()&lt;=20),(_xlfn.XLOOKUP($A25,#REF!,#REF!))/SUMIF($A$7:$AC$128,$A25,$AB$6:$AB$127)*W$5,0)</f>
        <v>0</v>
      </c>
      <c r="X25" s="26">
        <f>IF(AND(COLUMN()&gt;=11,COLUMN()&lt;=20),(_xlfn.XLOOKUP($A25,#REF!,#REF!))/SUMIF($A$7:$AC$128,$A25,$AB$6:$AB$127)*X$5,0)</f>
        <v>0</v>
      </c>
      <c r="Y25" s="26">
        <f>IF(AND(COLUMN()&gt;=11,COLUMN()&lt;=20),(_xlfn.XLOOKUP($A25,#REF!,#REF!))/SUMIF($A$7:$AC$128,$A25,$AB$6:$AB$127)*Y$5,0)</f>
        <v>0</v>
      </c>
      <c r="Z25" s="26">
        <f>IF(AND(COLUMN()&gt;=11,COLUMN()&lt;=20),(_xlfn.XLOOKUP($A25,#REF!,#REF!))/SUMIF($A$7:$AC$128,$A25,$AB$6:$AB$127)*Z$5,0)</f>
        <v>0</v>
      </c>
      <c r="AA25" s="26" t="e">
        <f t="shared" ca="1" si="4"/>
        <v>#REF!</v>
      </c>
      <c r="AB25" s="19">
        <f t="shared" si="2"/>
        <v>30</v>
      </c>
      <c r="AC25" s="20" t="e">
        <f t="shared" ca="1" si="3"/>
        <v>#REF!</v>
      </c>
      <c r="AD25" s="30" t="e">
        <f>#REF!/SUMIF(#REF!,'Curva de la oferta Prod 3'!$A25,#REF!)</f>
        <v>#REF!</v>
      </c>
      <c r="AE25" s="28"/>
      <c r="AF25" s="31"/>
      <c r="AG25" s="31"/>
      <c r="AH25" s="31"/>
      <c r="AI25" s="31"/>
      <c r="AJ25" s="31"/>
      <c r="AK25" s="31"/>
    </row>
    <row r="26" spans="1:37" ht="14.5" x14ac:dyDescent="0.35">
      <c r="A26" s="15">
        <f t="shared" si="0"/>
        <v>2027</v>
      </c>
      <c r="B26" s="18">
        <v>46569</v>
      </c>
      <c r="C26" s="26">
        <f>IF(AND(COLUMN()&gt;=11,COLUMN()&lt;=20),(_xlfn.XLOOKUP($A26,#REF!,#REF!))/SUMIF($A$7:$AC$128,$A26,$AB$6:$AB$127)*C$5,0)</f>
        <v>0</v>
      </c>
      <c r="D26" s="26">
        <f>IF(AND(COLUMN()&gt;=11,COLUMN()&lt;=20),(_xlfn.XLOOKUP($A26,#REF!,#REF!))/SUMIF($A$7:$AC$128,$A26,$AB$6:$AB$127)*D$5,0)</f>
        <v>0</v>
      </c>
      <c r="E26" s="26">
        <f>IF(AND(COLUMN()&gt;=11,COLUMN()&lt;=20),(_xlfn.XLOOKUP($A26,#REF!,#REF!))/SUMIF($A$7:$AC$128,$A26,$AB$6:$AB$127)*E$5,0)</f>
        <v>0</v>
      </c>
      <c r="F26" s="26">
        <f>IF(AND(COLUMN()&gt;=11,COLUMN()&lt;=20),(_xlfn.XLOOKUP($A26,#REF!,#REF!))/SUMIF($A$7:$AC$128,$A26,$AB$6:$AB$127)*F$5,0)</f>
        <v>0</v>
      </c>
      <c r="G26" s="26">
        <f>IF(AND(COLUMN()&gt;=11,COLUMN()&lt;=20),(_xlfn.XLOOKUP($A26,#REF!,#REF!))/SUMIF($A$7:$AC$128,$A26,$AB$6:$AB$127)*G$5,0)</f>
        <v>0</v>
      </c>
      <c r="H26" s="26">
        <f>IF(AND(COLUMN()&gt;=11,COLUMN()&lt;=20),(_xlfn.XLOOKUP($A26,#REF!,#REF!))/SUMIF($A$7:$AC$128,$A26,$AB$6:$AB$127)*H$5,0)</f>
        <v>0</v>
      </c>
      <c r="I26" s="26">
        <f>IF(AND(COLUMN()&gt;=11,COLUMN()&lt;=20),(_xlfn.XLOOKUP($A26,#REF!,#REF!))/SUMIF($A$7:$AC$128,$A26,$AB$6:$AB$127)*I$5,0)</f>
        <v>0</v>
      </c>
      <c r="J26" s="26">
        <f>IF(AND(COLUMN()&gt;=11,COLUMN()&lt;=20),(_xlfn.XLOOKUP($A26,#REF!,#REF!))/SUMIF($A$7:$AC$128,$A26,$AB$6:$AB$127)*J$5,0)</f>
        <v>0</v>
      </c>
      <c r="K26" s="26" t="e">
        <f ca="1">IF(AND(COLUMN()&gt;=11,COLUMN()&lt;=20),(_xlfn.XLOOKUP($A26,#REF!,#REF!))/SUMIF($A$7:$AC$128,$A26,$AB$6:$AB$127)*K$5,0)</f>
        <v>#REF!</v>
      </c>
      <c r="L26" s="26" t="e">
        <f ca="1">IF(AND(COLUMN()&gt;=11,COLUMN()&lt;=20),(_xlfn.XLOOKUP($A26,#REF!,#REF!))/SUMIF($A$7:$AC$128,$A26,$AB$6:$AB$127)*L$5,0)</f>
        <v>#REF!</v>
      </c>
      <c r="M26" s="26" t="e">
        <f ca="1">IF(AND(COLUMN()&gt;=11,COLUMN()&lt;=20),(_xlfn.XLOOKUP($A26,#REF!,#REF!))/SUMIF($A$7:$AC$128,$A26,$AB$6:$AB$127)*M$5,0)</f>
        <v>#REF!</v>
      </c>
      <c r="N26" s="26" t="e">
        <f ca="1">IF(AND(COLUMN()&gt;=11,COLUMN()&lt;=20),(_xlfn.XLOOKUP($A26,#REF!,#REF!))/SUMIF($A$7:$AC$128,$A26,$AB$6:$AB$127)*N$5,0)</f>
        <v>#REF!</v>
      </c>
      <c r="O26" s="26" t="e">
        <f ca="1">IF(AND(COLUMN()&gt;=11,COLUMN()&lt;=20),(_xlfn.XLOOKUP($A26,#REF!,#REF!))/SUMIF($A$7:$AC$128,$A26,$AB$6:$AB$127)*O$5,0)</f>
        <v>#REF!</v>
      </c>
      <c r="P26" s="26" t="e">
        <f ca="1">IF(AND(COLUMN()&gt;=11,COLUMN()&lt;=20),(_xlfn.XLOOKUP($A26,#REF!,#REF!))/SUMIF($A$7:$AC$128,$A26,$AB$6:$AB$127)*P$5,0)</f>
        <v>#REF!</v>
      </c>
      <c r="Q26" s="26" t="e">
        <f ca="1">IF(AND(COLUMN()&gt;=11,COLUMN()&lt;=20),(_xlfn.XLOOKUP($A26,#REF!,#REF!))/SUMIF($A$7:$AC$128,$A26,$AB$6:$AB$127)*Q$5,0)</f>
        <v>#REF!</v>
      </c>
      <c r="R26" s="26" t="e">
        <f ca="1">IF(AND(COLUMN()&gt;=11,COLUMN()&lt;=20),(_xlfn.XLOOKUP($A26,#REF!,#REF!))/SUMIF($A$7:$AC$128,$A26,$AB$6:$AB$127)*R$5,0)</f>
        <v>#REF!</v>
      </c>
      <c r="S26" s="26" t="e">
        <f ca="1">IF(AND(COLUMN()&gt;=11,COLUMN()&lt;=20),(_xlfn.XLOOKUP($A26,#REF!,#REF!))/SUMIF($A$7:$AC$128,$A26,$AB$6:$AB$127)*S$5,0)</f>
        <v>#REF!</v>
      </c>
      <c r="T26" s="26" t="e">
        <f ca="1">IF(AND(COLUMN()&gt;=11,COLUMN()&lt;=20),(_xlfn.XLOOKUP($A26,#REF!,#REF!))/SUMIF($A$7:$AC$128,$A26,$AB$6:$AB$127)*T$5,0)</f>
        <v>#REF!</v>
      </c>
      <c r="U26" s="26">
        <f>IF(AND(COLUMN()&gt;=11,COLUMN()&lt;=20),(_xlfn.XLOOKUP($A26,#REF!,#REF!))/SUMIF($A$7:$AC$128,$A26,$AB$6:$AB$127)*U$5,0)</f>
        <v>0</v>
      </c>
      <c r="V26" s="26">
        <f>IF(AND(COLUMN()&gt;=11,COLUMN()&lt;=20),(_xlfn.XLOOKUP($A26,#REF!,#REF!))/SUMIF($A$7:$AC$128,$A26,$AB$6:$AB$127)*V$5,0)</f>
        <v>0</v>
      </c>
      <c r="W26" s="26">
        <f>IF(AND(COLUMN()&gt;=11,COLUMN()&lt;=20),(_xlfn.XLOOKUP($A26,#REF!,#REF!))/SUMIF($A$7:$AC$128,$A26,$AB$6:$AB$127)*W$5,0)</f>
        <v>0</v>
      </c>
      <c r="X26" s="26">
        <f>IF(AND(COLUMN()&gt;=11,COLUMN()&lt;=20),(_xlfn.XLOOKUP($A26,#REF!,#REF!))/SUMIF($A$7:$AC$128,$A26,$AB$6:$AB$127)*X$5,0)</f>
        <v>0</v>
      </c>
      <c r="Y26" s="26">
        <f>IF(AND(COLUMN()&gt;=11,COLUMN()&lt;=20),(_xlfn.XLOOKUP($A26,#REF!,#REF!))/SUMIF($A$7:$AC$128,$A26,$AB$6:$AB$127)*Y$5,0)</f>
        <v>0</v>
      </c>
      <c r="Z26" s="26">
        <f>IF(AND(COLUMN()&gt;=11,COLUMN()&lt;=20),(_xlfn.XLOOKUP($A26,#REF!,#REF!))/SUMIF($A$7:$AC$128,$A26,$AB$6:$AB$127)*Z$5,0)</f>
        <v>0</v>
      </c>
      <c r="AA26" s="26" t="e">
        <f t="shared" ca="1" si="4"/>
        <v>#REF!</v>
      </c>
      <c r="AB26" s="19">
        <f t="shared" si="2"/>
        <v>31</v>
      </c>
      <c r="AC26" s="20" t="e">
        <f t="shared" ca="1" si="3"/>
        <v>#REF!</v>
      </c>
      <c r="AD26" s="30" t="e">
        <f>#REF!/SUMIF(#REF!,'Curva de la oferta Prod 3'!$A26,#REF!)</f>
        <v>#REF!</v>
      </c>
      <c r="AE26" s="28"/>
      <c r="AF26" s="31"/>
      <c r="AG26" s="31"/>
      <c r="AH26" s="31"/>
      <c r="AI26" s="31"/>
      <c r="AJ26" s="31"/>
      <c r="AK26" s="31"/>
    </row>
    <row r="27" spans="1:37" ht="14.5" x14ac:dyDescent="0.35">
      <c r="A27" s="15">
        <f t="shared" si="0"/>
        <v>2027</v>
      </c>
      <c r="B27" s="18">
        <v>46600</v>
      </c>
      <c r="C27" s="26">
        <f>IF(AND(COLUMN()&gt;=11,COLUMN()&lt;=20),(_xlfn.XLOOKUP($A27,#REF!,#REF!))/SUMIF($A$7:$AC$128,$A27,$AB$6:$AB$127)*C$5,0)</f>
        <v>0</v>
      </c>
      <c r="D27" s="26">
        <f>IF(AND(COLUMN()&gt;=11,COLUMN()&lt;=20),(_xlfn.XLOOKUP($A27,#REF!,#REF!))/SUMIF($A$7:$AC$128,$A27,$AB$6:$AB$127)*D$5,0)</f>
        <v>0</v>
      </c>
      <c r="E27" s="26">
        <f>IF(AND(COLUMN()&gt;=11,COLUMN()&lt;=20),(_xlfn.XLOOKUP($A27,#REF!,#REF!))/SUMIF($A$7:$AC$128,$A27,$AB$6:$AB$127)*E$5,0)</f>
        <v>0</v>
      </c>
      <c r="F27" s="26">
        <f>IF(AND(COLUMN()&gt;=11,COLUMN()&lt;=20),(_xlfn.XLOOKUP($A27,#REF!,#REF!))/SUMIF($A$7:$AC$128,$A27,$AB$6:$AB$127)*F$5,0)</f>
        <v>0</v>
      </c>
      <c r="G27" s="26">
        <f>IF(AND(COLUMN()&gt;=11,COLUMN()&lt;=20),(_xlfn.XLOOKUP($A27,#REF!,#REF!))/SUMIF($A$7:$AC$128,$A27,$AB$6:$AB$127)*G$5,0)</f>
        <v>0</v>
      </c>
      <c r="H27" s="26">
        <f>IF(AND(COLUMN()&gt;=11,COLUMN()&lt;=20),(_xlfn.XLOOKUP($A27,#REF!,#REF!))/SUMIF($A$7:$AC$128,$A27,$AB$6:$AB$127)*H$5,0)</f>
        <v>0</v>
      </c>
      <c r="I27" s="26">
        <f>IF(AND(COLUMN()&gt;=11,COLUMN()&lt;=20),(_xlfn.XLOOKUP($A27,#REF!,#REF!))/SUMIF($A$7:$AC$128,$A27,$AB$6:$AB$127)*I$5,0)</f>
        <v>0</v>
      </c>
      <c r="J27" s="26">
        <f>IF(AND(COLUMN()&gt;=11,COLUMN()&lt;=20),(_xlfn.XLOOKUP($A27,#REF!,#REF!))/SUMIF($A$7:$AC$128,$A27,$AB$6:$AB$127)*J$5,0)</f>
        <v>0</v>
      </c>
      <c r="K27" s="26" t="e">
        <f ca="1">IF(AND(COLUMN()&gt;=11,COLUMN()&lt;=20),(_xlfn.XLOOKUP($A27,#REF!,#REF!))/SUMIF($A$7:$AC$128,$A27,$AB$6:$AB$127)*K$5,0)</f>
        <v>#REF!</v>
      </c>
      <c r="L27" s="26" t="e">
        <f ca="1">IF(AND(COLUMN()&gt;=11,COLUMN()&lt;=20),(_xlfn.XLOOKUP($A27,#REF!,#REF!))/SUMIF($A$7:$AC$128,$A27,$AB$6:$AB$127)*L$5,0)</f>
        <v>#REF!</v>
      </c>
      <c r="M27" s="26" t="e">
        <f ca="1">IF(AND(COLUMN()&gt;=11,COLUMN()&lt;=20),(_xlfn.XLOOKUP($A27,#REF!,#REF!))/SUMIF($A$7:$AC$128,$A27,$AB$6:$AB$127)*M$5,0)</f>
        <v>#REF!</v>
      </c>
      <c r="N27" s="26" t="e">
        <f ca="1">IF(AND(COLUMN()&gt;=11,COLUMN()&lt;=20),(_xlfn.XLOOKUP($A27,#REF!,#REF!))/SUMIF($A$7:$AC$128,$A27,$AB$6:$AB$127)*N$5,0)</f>
        <v>#REF!</v>
      </c>
      <c r="O27" s="26" t="e">
        <f ca="1">IF(AND(COLUMN()&gt;=11,COLUMN()&lt;=20),(_xlfn.XLOOKUP($A27,#REF!,#REF!))/SUMIF($A$7:$AC$128,$A27,$AB$6:$AB$127)*O$5,0)</f>
        <v>#REF!</v>
      </c>
      <c r="P27" s="26" t="e">
        <f ca="1">IF(AND(COLUMN()&gt;=11,COLUMN()&lt;=20),(_xlfn.XLOOKUP($A27,#REF!,#REF!))/SUMIF($A$7:$AC$128,$A27,$AB$6:$AB$127)*P$5,0)</f>
        <v>#REF!</v>
      </c>
      <c r="Q27" s="26" t="e">
        <f ca="1">IF(AND(COLUMN()&gt;=11,COLUMN()&lt;=20),(_xlfn.XLOOKUP($A27,#REF!,#REF!))/SUMIF($A$7:$AC$128,$A27,$AB$6:$AB$127)*Q$5,0)</f>
        <v>#REF!</v>
      </c>
      <c r="R27" s="26" t="e">
        <f ca="1">IF(AND(COLUMN()&gt;=11,COLUMN()&lt;=20),(_xlfn.XLOOKUP($A27,#REF!,#REF!))/SUMIF($A$7:$AC$128,$A27,$AB$6:$AB$127)*R$5,0)</f>
        <v>#REF!</v>
      </c>
      <c r="S27" s="26" t="e">
        <f ca="1">IF(AND(COLUMN()&gt;=11,COLUMN()&lt;=20),(_xlfn.XLOOKUP($A27,#REF!,#REF!))/SUMIF($A$7:$AC$128,$A27,$AB$6:$AB$127)*S$5,0)</f>
        <v>#REF!</v>
      </c>
      <c r="T27" s="26" t="e">
        <f ca="1">IF(AND(COLUMN()&gt;=11,COLUMN()&lt;=20),(_xlfn.XLOOKUP($A27,#REF!,#REF!))/SUMIF($A$7:$AC$128,$A27,$AB$6:$AB$127)*T$5,0)</f>
        <v>#REF!</v>
      </c>
      <c r="U27" s="26">
        <f>IF(AND(COLUMN()&gt;=11,COLUMN()&lt;=20),(_xlfn.XLOOKUP($A27,#REF!,#REF!))/SUMIF($A$7:$AC$128,$A27,$AB$6:$AB$127)*U$5,0)</f>
        <v>0</v>
      </c>
      <c r="V27" s="26">
        <f>IF(AND(COLUMN()&gt;=11,COLUMN()&lt;=20),(_xlfn.XLOOKUP($A27,#REF!,#REF!))/SUMIF($A$7:$AC$128,$A27,$AB$6:$AB$127)*V$5,0)</f>
        <v>0</v>
      </c>
      <c r="W27" s="26">
        <f>IF(AND(COLUMN()&gt;=11,COLUMN()&lt;=20),(_xlfn.XLOOKUP($A27,#REF!,#REF!))/SUMIF($A$7:$AC$128,$A27,$AB$6:$AB$127)*W$5,0)</f>
        <v>0</v>
      </c>
      <c r="X27" s="26">
        <f>IF(AND(COLUMN()&gt;=11,COLUMN()&lt;=20),(_xlfn.XLOOKUP($A27,#REF!,#REF!))/SUMIF($A$7:$AC$128,$A27,$AB$6:$AB$127)*X$5,0)</f>
        <v>0</v>
      </c>
      <c r="Y27" s="26">
        <f>IF(AND(COLUMN()&gt;=11,COLUMN()&lt;=20),(_xlfn.XLOOKUP($A27,#REF!,#REF!))/SUMIF($A$7:$AC$128,$A27,$AB$6:$AB$127)*Y$5,0)</f>
        <v>0</v>
      </c>
      <c r="Z27" s="26">
        <f>IF(AND(COLUMN()&gt;=11,COLUMN()&lt;=20),(_xlfn.XLOOKUP($A27,#REF!,#REF!))/SUMIF($A$7:$AC$128,$A27,$AB$6:$AB$127)*Z$5,0)</f>
        <v>0</v>
      </c>
      <c r="AA27" s="26" t="e">
        <f t="shared" ca="1" si="4"/>
        <v>#REF!</v>
      </c>
      <c r="AB27" s="19">
        <f t="shared" si="2"/>
        <v>31</v>
      </c>
      <c r="AC27" s="20" t="e">
        <f t="shared" ca="1" si="3"/>
        <v>#REF!</v>
      </c>
      <c r="AD27" s="30" t="e">
        <f>#REF!/SUMIF(#REF!,'Curva de la oferta Prod 3'!$A27,#REF!)</f>
        <v>#REF!</v>
      </c>
      <c r="AE27" s="28"/>
      <c r="AF27" s="31"/>
      <c r="AG27" s="31"/>
      <c r="AH27" s="31"/>
      <c r="AI27" s="31"/>
      <c r="AJ27" s="31"/>
      <c r="AK27" s="31"/>
    </row>
    <row r="28" spans="1:37" ht="14.5" x14ac:dyDescent="0.35">
      <c r="A28" s="15">
        <f t="shared" si="0"/>
        <v>2027</v>
      </c>
      <c r="B28" s="18">
        <v>46631</v>
      </c>
      <c r="C28" s="26">
        <f>IF(AND(COLUMN()&gt;=11,COLUMN()&lt;=20),(_xlfn.XLOOKUP($A28,#REF!,#REF!))/SUMIF($A$7:$AC$128,$A28,$AB$6:$AB$127)*C$5,0)</f>
        <v>0</v>
      </c>
      <c r="D28" s="26">
        <f>IF(AND(COLUMN()&gt;=11,COLUMN()&lt;=20),(_xlfn.XLOOKUP($A28,#REF!,#REF!))/SUMIF($A$7:$AC$128,$A28,$AB$6:$AB$127)*D$5,0)</f>
        <v>0</v>
      </c>
      <c r="E28" s="26">
        <f>IF(AND(COLUMN()&gt;=11,COLUMN()&lt;=20),(_xlfn.XLOOKUP($A28,#REF!,#REF!))/SUMIF($A$7:$AC$128,$A28,$AB$6:$AB$127)*E$5,0)</f>
        <v>0</v>
      </c>
      <c r="F28" s="26">
        <f>IF(AND(COLUMN()&gt;=11,COLUMN()&lt;=20),(_xlfn.XLOOKUP($A28,#REF!,#REF!))/SUMIF($A$7:$AC$128,$A28,$AB$6:$AB$127)*F$5,0)</f>
        <v>0</v>
      </c>
      <c r="G28" s="26">
        <f>IF(AND(COLUMN()&gt;=11,COLUMN()&lt;=20),(_xlfn.XLOOKUP($A28,#REF!,#REF!))/SUMIF($A$7:$AC$128,$A28,$AB$6:$AB$127)*G$5,0)</f>
        <v>0</v>
      </c>
      <c r="H28" s="26">
        <f>IF(AND(COLUMN()&gt;=11,COLUMN()&lt;=20),(_xlfn.XLOOKUP($A28,#REF!,#REF!))/SUMIF($A$7:$AC$128,$A28,$AB$6:$AB$127)*H$5,0)</f>
        <v>0</v>
      </c>
      <c r="I28" s="26">
        <f>IF(AND(COLUMN()&gt;=11,COLUMN()&lt;=20),(_xlfn.XLOOKUP($A28,#REF!,#REF!))/SUMIF($A$7:$AC$128,$A28,$AB$6:$AB$127)*I$5,0)</f>
        <v>0</v>
      </c>
      <c r="J28" s="26">
        <f>IF(AND(COLUMN()&gt;=11,COLUMN()&lt;=20),(_xlfn.XLOOKUP($A28,#REF!,#REF!))/SUMIF($A$7:$AC$128,$A28,$AB$6:$AB$127)*J$5,0)</f>
        <v>0</v>
      </c>
      <c r="K28" s="26" t="e">
        <f ca="1">IF(AND(COLUMN()&gt;=11,COLUMN()&lt;=20),(_xlfn.XLOOKUP($A28,#REF!,#REF!))/SUMIF($A$7:$AC$128,$A28,$AB$6:$AB$127)*K$5,0)</f>
        <v>#REF!</v>
      </c>
      <c r="L28" s="26" t="e">
        <f ca="1">IF(AND(COLUMN()&gt;=11,COLUMN()&lt;=20),(_xlfn.XLOOKUP($A28,#REF!,#REF!))/SUMIF($A$7:$AC$128,$A28,$AB$6:$AB$127)*L$5,0)</f>
        <v>#REF!</v>
      </c>
      <c r="M28" s="26" t="e">
        <f ca="1">IF(AND(COLUMN()&gt;=11,COLUMN()&lt;=20),(_xlfn.XLOOKUP($A28,#REF!,#REF!))/SUMIF($A$7:$AC$128,$A28,$AB$6:$AB$127)*M$5,0)</f>
        <v>#REF!</v>
      </c>
      <c r="N28" s="26" t="e">
        <f ca="1">IF(AND(COLUMN()&gt;=11,COLUMN()&lt;=20),(_xlfn.XLOOKUP($A28,#REF!,#REF!))/SUMIF($A$7:$AC$128,$A28,$AB$6:$AB$127)*N$5,0)</f>
        <v>#REF!</v>
      </c>
      <c r="O28" s="26" t="e">
        <f ca="1">IF(AND(COLUMN()&gt;=11,COLUMN()&lt;=20),(_xlfn.XLOOKUP($A28,#REF!,#REF!))/SUMIF($A$7:$AC$128,$A28,$AB$6:$AB$127)*O$5,0)</f>
        <v>#REF!</v>
      </c>
      <c r="P28" s="26" t="e">
        <f ca="1">IF(AND(COLUMN()&gt;=11,COLUMN()&lt;=20),(_xlfn.XLOOKUP($A28,#REF!,#REF!))/SUMIF($A$7:$AC$128,$A28,$AB$6:$AB$127)*P$5,0)</f>
        <v>#REF!</v>
      </c>
      <c r="Q28" s="26" t="e">
        <f ca="1">IF(AND(COLUMN()&gt;=11,COLUMN()&lt;=20),(_xlfn.XLOOKUP($A28,#REF!,#REF!))/SUMIF($A$7:$AC$128,$A28,$AB$6:$AB$127)*Q$5,0)</f>
        <v>#REF!</v>
      </c>
      <c r="R28" s="26" t="e">
        <f ca="1">IF(AND(COLUMN()&gt;=11,COLUMN()&lt;=20),(_xlfn.XLOOKUP($A28,#REF!,#REF!))/SUMIF($A$7:$AC$128,$A28,$AB$6:$AB$127)*R$5,0)</f>
        <v>#REF!</v>
      </c>
      <c r="S28" s="26" t="e">
        <f ca="1">IF(AND(COLUMN()&gt;=11,COLUMN()&lt;=20),(_xlfn.XLOOKUP($A28,#REF!,#REF!))/SUMIF($A$7:$AC$128,$A28,$AB$6:$AB$127)*S$5,0)</f>
        <v>#REF!</v>
      </c>
      <c r="T28" s="26" t="e">
        <f ca="1">IF(AND(COLUMN()&gt;=11,COLUMN()&lt;=20),(_xlfn.XLOOKUP($A28,#REF!,#REF!))/SUMIF($A$7:$AC$128,$A28,$AB$6:$AB$127)*T$5,0)</f>
        <v>#REF!</v>
      </c>
      <c r="U28" s="26">
        <f>IF(AND(COLUMN()&gt;=11,COLUMN()&lt;=20),(_xlfn.XLOOKUP($A28,#REF!,#REF!))/SUMIF($A$7:$AC$128,$A28,$AB$6:$AB$127)*U$5,0)</f>
        <v>0</v>
      </c>
      <c r="V28" s="26">
        <f>IF(AND(COLUMN()&gt;=11,COLUMN()&lt;=20),(_xlfn.XLOOKUP($A28,#REF!,#REF!))/SUMIF($A$7:$AC$128,$A28,$AB$6:$AB$127)*V$5,0)</f>
        <v>0</v>
      </c>
      <c r="W28" s="26">
        <f>IF(AND(COLUMN()&gt;=11,COLUMN()&lt;=20),(_xlfn.XLOOKUP($A28,#REF!,#REF!))/SUMIF($A$7:$AC$128,$A28,$AB$6:$AB$127)*W$5,0)</f>
        <v>0</v>
      </c>
      <c r="X28" s="26">
        <f>IF(AND(COLUMN()&gt;=11,COLUMN()&lt;=20),(_xlfn.XLOOKUP($A28,#REF!,#REF!))/SUMIF($A$7:$AC$128,$A28,$AB$6:$AB$127)*X$5,0)</f>
        <v>0</v>
      </c>
      <c r="Y28" s="26">
        <f>IF(AND(COLUMN()&gt;=11,COLUMN()&lt;=20),(_xlfn.XLOOKUP($A28,#REF!,#REF!))/SUMIF($A$7:$AC$128,$A28,$AB$6:$AB$127)*Y$5,0)</f>
        <v>0</v>
      </c>
      <c r="Z28" s="26">
        <f>IF(AND(COLUMN()&gt;=11,COLUMN()&lt;=20),(_xlfn.XLOOKUP($A28,#REF!,#REF!))/SUMIF($A$7:$AC$128,$A28,$AB$6:$AB$127)*Z$5,0)</f>
        <v>0</v>
      </c>
      <c r="AA28" s="26" t="e">
        <f t="shared" ca="1" si="4"/>
        <v>#REF!</v>
      </c>
      <c r="AB28" s="19">
        <f t="shared" si="2"/>
        <v>30</v>
      </c>
      <c r="AC28" s="20" t="e">
        <f t="shared" ca="1" si="3"/>
        <v>#REF!</v>
      </c>
      <c r="AD28" s="30" t="e">
        <f>#REF!/SUMIF(#REF!,'Curva de la oferta Prod 3'!$A28,#REF!)</f>
        <v>#REF!</v>
      </c>
      <c r="AE28" s="28"/>
      <c r="AF28" s="31"/>
      <c r="AG28" s="31"/>
      <c r="AH28" s="31"/>
      <c r="AI28" s="31"/>
      <c r="AJ28" s="31"/>
      <c r="AK28" s="31"/>
    </row>
    <row r="29" spans="1:37" ht="14.5" x14ac:dyDescent="0.35">
      <c r="A29" s="15">
        <f t="shared" si="0"/>
        <v>2027</v>
      </c>
      <c r="B29" s="18">
        <v>46661</v>
      </c>
      <c r="C29" s="26">
        <f>IF(AND(COLUMN()&gt;=11,COLUMN()&lt;=20),(_xlfn.XLOOKUP($A29,#REF!,#REF!))/SUMIF($A$7:$AC$128,$A29,$AB$6:$AB$127)*C$5,0)</f>
        <v>0</v>
      </c>
      <c r="D29" s="26">
        <f>IF(AND(COLUMN()&gt;=11,COLUMN()&lt;=20),(_xlfn.XLOOKUP($A29,#REF!,#REF!))/SUMIF($A$7:$AC$128,$A29,$AB$6:$AB$127)*D$5,0)</f>
        <v>0</v>
      </c>
      <c r="E29" s="26">
        <f>IF(AND(COLUMN()&gt;=11,COLUMN()&lt;=20),(_xlfn.XLOOKUP($A29,#REF!,#REF!))/SUMIF($A$7:$AC$128,$A29,$AB$6:$AB$127)*E$5,0)</f>
        <v>0</v>
      </c>
      <c r="F29" s="26">
        <f>IF(AND(COLUMN()&gt;=11,COLUMN()&lt;=20),(_xlfn.XLOOKUP($A29,#REF!,#REF!))/SUMIF($A$7:$AC$128,$A29,$AB$6:$AB$127)*F$5,0)</f>
        <v>0</v>
      </c>
      <c r="G29" s="26">
        <f>IF(AND(COLUMN()&gt;=11,COLUMN()&lt;=20),(_xlfn.XLOOKUP($A29,#REF!,#REF!))/SUMIF($A$7:$AC$128,$A29,$AB$6:$AB$127)*G$5,0)</f>
        <v>0</v>
      </c>
      <c r="H29" s="26">
        <f>IF(AND(COLUMN()&gt;=11,COLUMN()&lt;=20),(_xlfn.XLOOKUP($A29,#REF!,#REF!))/SUMIF($A$7:$AC$128,$A29,$AB$6:$AB$127)*H$5,0)</f>
        <v>0</v>
      </c>
      <c r="I29" s="26">
        <f>IF(AND(COLUMN()&gt;=11,COLUMN()&lt;=20),(_xlfn.XLOOKUP($A29,#REF!,#REF!))/SUMIF($A$7:$AC$128,$A29,$AB$6:$AB$127)*I$5,0)</f>
        <v>0</v>
      </c>
      <c r="J29" s="26">
        <f>IF(AND(COLUMN()&gt;=11,COLUMN()&lt;=20),(_xlfn.XLOOKUP($A29,#REF!,#REF!))/SUMIF($A$7:$AC$128,$A29,$AB$6:$AB$127)*J$5,0)</f>
        <v>0</v>
      </c>
      <c r="K29" s="26" t="e">
        <f ca="1">IF(AND(COLUMN()&gt;=11,COLUMN()&lt;=20),(_xlfn.XLOOKUP($A29,#REF!,#REF!))/SUMIF($A$7:$AC$128,$A29,$AB$6:$AB$127)*K$5,0)</f>
        <v>#REF!</v>
      </c>
      <c r="L29" s="26" t="e">
        <f ca="1">IF(AND(COLUMN()&gt;=11,COLUMN()&lt;=20),(_xlfn.XLOOKUP($A29,#REF!,#REF!))/SUMIF($A$7:$AC$128,$A29,$AB$6:$AB$127)*L$5,0)</f>
        <v>#REF!</v>
      </c>
      <c r="M29" s="26" t="e">
        <f ca="1">IF(AND(COLUMN()&gt;=11,COLUMN()&lt;=20),(_xlfn.XLOOKUP($A29,#REF!,#REF!))/SUMIF($A$7:$AC$128,$A29,$AB$6:$AB$127)*M$5,0)</f>
        <v>#REF!</v>
      </c>
      <c r="N29" s="26" t="e">
        <f ca="1">IF(AND(COLUMN()&gt;=11,COLUMN()&lt;=20),(_xlfn.XLOOKUP($A29,#REF!,#REF!))/SUMIF($A$7:$AC$128,$A29,$AB$6:$AB$127)*N$5,0)</f>
        <v>#REF!</v>
      </c>
      <c r="O29" s="26" t="e">
        <f ca="1">IF(AND(COLUMN()&gt;=11,COLUMN()&lt;=20),(_xlfn.XLOOKUP($A29,#REF!,#REF!))/SUMIF($A$7:$AC$128,$A29,$AB$6:$AB$127)*O$5,0)</f>
        <v>#REF!</v>
      </c>
      <c r="P29" s="26" t="e">
        <f ca="1">IF(AND(COLUMN()&gt;=11,COLUMN()&lt;=20),(_xlfn.XLOOKUP($A29,#REF!,#REF!))/SUMIF($A$7:$AC$128,$A29,$AB$6:$AB$127)*P$5,0)</f>
        <v>#REF!</v>
      </c>
      <c r="Q29" s="26" t="e">
        <f ca="1">IF(AND(COLUMN()&gt;=11,COLUMN()&lt;=20),(_xlfn.XLOOKUP($A29,#REF!,#REF!))/SUMIF($A$7:$AC$128,$A29,$AB$6:$AB$127)*Q$5,0)</f>
        <v>#REF!</v>
      </c>
      <c r="R29" s="26" t="e">
        <f ca="1">IF(AND(COLUMN()&gt;=11,COLUMN()&lt;=20),(_xlfn.XLOOKUP($A29,#REF!,#REF!))/SUMIF($A$7:$AC$128,$A29,$AB$6:$AB$127)*R$5,0)</f>
        <v>#REF!</v>
      </c>
      <c r="S29" s="26" t="e">
        <f ca="1">IF(AND(COLUMN()&gt;=11,COLUMN()&lt;=20),(_xlfn.XLOOKUP($A29,#REF!,#REF!))/SUMIF($A$7:$AC$128,$A29,$AB$6:$AB$127)*S$5,0)</f>
        <v>#REF!</v>
      </c>
      <c r="T29" s="26" t="e">
        <f ca="1">IF(AND(COLUMN()&gt;=11,COLUMN()&lt;=20),(_xlfn.XLOOKUP($A29,#REF!,#REF!))/SUMIF($A$7:$AC$128,$A29,$AB$6:$AB$127)*T$5,0)</f>
        <v>#REF!</v>
      </c>
      <c r="U29" s="26">
        <f>IF(AND(COLUMN()&gt;=11,COLUMN()&lt;=20),(_xlfn.XLOOKUP($A29,#REF!,#REF!))/SUMIF($A$7:$AC$128,$A29,$AB$6:$AB$127)*U$5,0)</f>
        <v>0</v>
      </c>
      <c r="V29" s="26">
        <f>IF(AND(COLUMN()&gt;=11,COLUMN()&lt;=20),(_xlfn.XLOOKUP($A29,#REF!,#REF!))/SUMIF($A$7:$AC$128,$A29,$AB$6:$AB$127)*V$5,0)</f>
        <v>0</v>
      </c>
      <c r="W29" s="26">
        <f>IF(AND(COLUMN()&gt;=11,COLUMN()&lt;=20),(_xlfn.XLOOKUP($A29,#REF!,#REF!))/SUMIF($A$7:$AC$128,$A29,$AB$6:$AB$127)*W$5,0)</f>
        <v>0</v>
      </c>
      <c r="X29" s="26">
        <f>IF(AND(COLUMN()&gt;=11,COLUMN()&lt;=20),(_xlfn.XLOOKUP($A29,#REF!,#REF!))/SUMIF($A$7:$AC$128,$A29,$AB$6:$AB$127)*X$5,0)</f>
        <v>0</v>
      </c>
      <c r="Y29" s="26">
        <f>IF(AND(COLUMN()&gt;=11,COLUMN()&lt;=20),(_xlfn.XLOOKUP($A29,#REF!,#REF!))/SUMIF($A$7:$AC$128,$A29,$AB$6:$AB$127)*Y$5,0)</f>
        <v>0</v>
      </c>
      <c r="Z29" s="26">
        <f>IF(AND(COLUMN()&gt;=11,COLUMN()&lt;=20),(_xlfn.XLOOKUP($A29,#REF!,#REF!))/SUMIF($A$7:$AC$128,$A29,$AB$6:$AB$127)*Z$5,0)</f>
        <v>0</v>
      </c>
      <c r="AA29" s="26" t="e">
        <f t="shared" ca="1" si="4"/>
        <v>#REF!</v>
      </c>
      <c r="AB29" s="19">
        <f t="shared" si="2"/>
        <v>31</v>
      </c>
      <c r="AC29" s="20" t="e">
        <f t="shared" ca="1" si="3"/>
        <v>#REF!</v>
      </c>
      <c r="AD29" s="30" t="e">
        <f>#REF!/SUMIF(#REF!,'Curva de la oferta Prod 3'!$A29,#REF!)</f>
        <v>#REF!</v>
      </c>
      <c r="AE29" s="28"/>
      <c r="AF29" s="31"/>
      <c r="AG29" s="31"/>
      <c r="AH29" s="31"/>
      <c r="AI29" s="31"/>
      <c r="AJ29" s="31"/>
      <c r="AK29" s="31"/>
    </row>
    <row r="30" spans="1:37" ht="14.5" x14ac:dyDescent="0.35">
      <c r="A30" s="15">
        <f t="shared" si="0"/>
        <v>2027</v>
      </c>
      <c r="B30" s="18">
        <v>46692</v>
      </c>
      <c r="C30" s="26">
        <f>IF(AND(COLUMN()&gt;=11,COLUMN()&lt;=20),(_xlfn.XLOOKUP($A30,#REF!,#REF!))/SUMIF($A$7:$AC$128,$A30,$AB$6:$AB$127)*C$5,0)</f>
        <v>0</v>
      </c>
      <c r="D30" s="26">
        <f>IF(AND(COLUMN()&gt;=11,COLUMN()&lt;=20),(_xlfn.XLOOKUP($A30,#REF!,#REF!))/SUMIF($A$7:$AC$128,$A30,$AB$6:$AB$127)*D$5,0)</f>
        <v>0</v>
      </c>
      <c r="E30" s="26">
        <f>IF(AND(COLUMN()&gt;=11,COLUMN()&lt;=20),(_xlfn.XLOOKUP($A30,#REF!,#REF!))/SUMIF($A$7:$AC$128,$A30,$AB$6:$AB$127)*E$5,0)</f>
        <v>0</v>
      </c>
      <c r="F30" s="26">
        <f>IF(AND(COLUMN()&gt;=11,COLUMN()&lt;=20),(_xlfn.XLOOKUP($A30,#REF!,#REF!))/SUMIF($A$7:$AC$128,$A30,$AB$6:$AB$127)*F$5,0)</f>
        <v>0</v>
      </c>
      <c r="G30" s="26">
        <f>IF(AND(COLUMN()&gt;=11,COLUMN()&lt;=20),(_xlfn.XLOOKUP($A30,#REF!,#REF!))/SUMIF($A$7:$AC$128,$A30,$AB$6:$AB$127)*G$5,0)</f>
        <v>0</v>
      </c>
      <c r="H30" s="26">
        <f>IF(AND(COLUMN()&gt;=11,COLUMN()&lt;=20),(_xlfn.XLOOKUP($A30,#REF!,#REF!))/SUMIF($A$7:$AC$128,$A30,$AB$6:$AB$127)*H$5,0)</f>
        <v>0</v>
      </c>
      <c r="I30" s="26">
        <f>IF(AND(COLUMN()&gt;=11,COLUMN()&lt;=20),(_xlfn.XLOOKUP($A30,#REF!,#REF!))/SUMIF($A$7:$AC$128,$A30,$AB$6:$AB$127)*I$5,0)</f>
        <v>0</v>
      </c>
      <c r="J30" s="26">
        <f>IF(AND(COLUMN()&gt;=11,COLUMN()&lt;=20),(_xlfn.XLOOKUP($A30,#REF!,#REF!))/SUMIF($A$7:$AC$128,$A30,$AB$6:$AB$127)*J$5,0)</f>
        <v>0</v>
      </c>
      <c r="K30" s="26" t="e">
        <f ca="1">IF(AND(COLUMN()&gt;=11,COLUMN()&lt;=20),(_xlfn.XLOOKUP($A30,#REF!,#REF!))/SUMIF($A$7:$AC$128,$A30,$AB$6:$AB$127)*K$5,0)</f>
        <v>#REF!</v>
      </c>
      <c r="L30" s="26" t="e">
        <f ca="1">IF(AND(COLUMN()&gt;=11,COLUMN()&lt;=20),(_xlfn.XLOOKUP($A30,#REF!,#REF!))/SUMIF($A$7:$AC$128,$A30,$AB$6:$AB$127)*L$5,0)</f>
        <v>#REF!</v>
      </c>
      <c r="M30" s="26" t="e">
        <f ca="1">IF(AND(COLUMN()&gt;=11,COLUMN()&lt;=20),(_xlfn.XLOOKUP($A30,#REF!,#REF!))/SUMIF($A$7:$AC$128,$A30,$AB$6:$AB$127)*M$5,0)</f>
        <v>#REF!</v>
      </c>
      <c r="N30" s="26" t="e">
        <f ca="1">IF(AND(COLUMN()&gt;=11,COLUMN()&lt;=20),(_xlfn.XLOOKUP($A30,#REF!,#REF!))/SUMIF($A$7:$AC$128,$A30,$AB$6:$AB$127)*N$5,0)</f>
        <v>#REF!</v>
      </c>
      <c r="O30" s="26" t="e">
        <f ca="1">IF(AND(COLUMN()&gt;=11,COLUMN()&lt;=20),(_xlfn.XLOOKUP($A30,#REF!,#REF!))/SUMIF($A$7:$AC$128,$A30,$AB$6:$AB$127)*O$5,0)</f>
        <v>#REF!</v>
      </c>
      <c r="P30" s="26" t="e">
        <f ca="1">IF(AND(COLUMN()&gt;=11,COLUMN()&lt;=20),(_xlfn.XLOOKUP($A30,#REF!,#REF!))/SUMIF($A$7:$AC$128,$A30,$AB$6:$AB$127)*P$5,0)</f>
        <v>#REF!</v>
      </c>
      <c r="Q30" s="26" t="e">
        <f ca="1">IF(AND(COLUMN()&gt;=11,COLUMN()&lt;=20),(_xlfn.XLOOKUP($A30,#REF!,#REF!))/SUMIF($A$7:$AC$128,$A30,$AB$6:$AB$127)*Q$5,0)</f>
        <v>#REF!</v>
      </c>
      <c r="R30" s="26" t="e">
        <f ca="1">IF(AND(COLUMN()&gt;=11,COLUMN()&lt;=20),(_xlfn.XLOOKUP($A30,#REF!,#REF!))/SUMIF($A$7:$AC$128,$A30,$AB$6:$AB$127)*R$5,0)</f>
        <v>#REF!</v>
      </c>
      <c r="S30" s="26" t="e">
        <f ca="1">IF(AND(COLUMN()&gt;=11,COLUMN()&lt;=20),(_xlfn.XLOOKUP($A30,#REF!,#REF!))/SUMIF($A$7:$AC$128,$A30,$AB$6:$AB$127)*S$5,0)</f>
        <v>#REF!</v>
      </c>
      <c r="T30" s="26" t="e">
        <f ca="1">IF(AND(COLUMN()&gt;=11,COLUMN()&lt;=20),(_xlfn.XLOOKUP($A30,#REF!,#REF!))/SUMIF($A$7:$AC$128,$A30,$AB$6:$AB$127)*T$5,0)</f>
        <v>#REF!</v>
      </c>
      <c r="U30" s="26">
        <f>IF(AND(COLUMN()&gt;=11,COLUMN()&lt;=20),(_xlfn.XLOOKUP($A30,#REF!,#REF!))/SUMIF($A$7:$AC$128,$A30,$AB$6:$AB$127)*U$5,0)</f>
        <v>0</v>
      </c>
      <c r="V30" s="26">
        <f>IF(AND(COLUMN()&gt;=11,COLUMN()&lt;=20),(_xlfn.XLOOKUP($A30,#REF!,#REF!))/SUMIF($A$7:$AC$128,$A30,$AB$6:$AB$127)*V$5,0)</f>
        <v>0</v>
      </c>
      <c r="W30" s="26">
        <f>IF(AND(COLUMN()&gt;=11,COLUMN()&lt;=20),(_xlfn.XLOOKUP($A30,#REF!,#REF!))/SUMIF($A$7:$AC$128,$A30,$AB$6:$AB$127)*W$5,0)</f>
        <v>0</v>
      </c>
      <c r="X30" s="26">
        <f>IF(AND(COLUMN()&gt;=11,COLUMN()&lt;=20),(_xlfn.XLOOKUP($A30,#REF!,#REF!))/SUMIF($A$7:$AC$128,$A30,$AB$6:$AB$127)*X$5,0)</f>
        <v>0</v>
      </c>
      <c r="Y30" s="26">
        <f>IF(AND(COLUMN()&gt;=11,COLUMN()&lt;=20),(_xlfn.XLOOKUP($A30,#REF!,#REF!))/SUMIF($A$7:$AC$128,$A30,$AB$6:$AB$127)*Y$5,0)</f>
        <v>0</v>
      </c>
      <c r="Z30" s="26">
        <f>IF(AND(COLUMN()&gt;=11,COLUMN()&lt;=20),(_xlfn.XLOOKUP($A30,#REF!,#REF!))/SUMIF($A$7:$AC$128,$A30,$AB$6:$AB$127)*Z$5,0)</f>
        <v>0</v>
      </c>
      <c r="AA30" s="26" t="e">
        <f t="shared" ca="1" si="4"/>
        <v>#REF!</v>
      </c>
      <c r="AB30" s="19">
        <f t="shared" si="2"/>
        <v>30</v>
      </c>
      <c r="AC30" s="20" t="e">
        <f t="shared" ca="1" si="3"/>
        <v>#REF!</v>
      </c>
      <c r="AD30" s="30" t="e">
        <f>#REF!/SUMIF(#REF!,'Curva de la oferta Prod 3'!$A30,#REF!)</f>
        <v>#REF!</v>
      </c>
      <c r="AE30" s="28"/>
      <c r="AF30" s="31"/>
      <c r="AG30" s="31"/>
      <c r="AH30" s="31"/>
      <c r="AI30" s="31"/>
      <c r="AJ30" s="31"/>
      <c r="AK30" s="31"/>
    </row>
    <row r="31" spans="1:37" ht="14.5" x14ac:dyDescent="0.35">
      <c r="A31" s="15">
        <f t="shared" si="0"/>
        <v>2027</v>
      </c>
      <c r="B31" s="18">
        <v>46722</v>
      </c>
      <c r="C31" s="26">
        <f>IF(AND(COLUMN()&gt;=11,COLUMN()&lt;=20),(_xlfn.XLOOKUP($A31,#REF!,#REF!))/SUMIF($A$7:$AC$128,$A31,$AB$6:$AB$127)*C$5,0)</f>
        <v>0</v>
      </c>
      <c r="D31" s="26">
        <f>IF(AND(COLUMN()&gt;=11,COLUMN()&lt;=20),(_xlfn.XLOOKUP($A31,#REF!,#REF!))/SUMIF($A$7:$AC$128,$A31,$AB$6:$AB$127)*D$5,0)</f>
        <v>0</v>
      </c>
      <c r="E31" s="26">
        <f>IF(AND(COLUMN()&gt;=11,COLUMN()&lt;=20),(_xlfn.XLOOKUP($A31,#REF!,#REF!))/SUMIF($A$7:$AC$128,$A31,$AB$6:$AB$127)*E$5,0)</f>
        <v>0</v>
      </c>
      <c r="F31" s="26">
        <f>IF(AND(COLUMN()&gt;=11,COLUMN()&lt;=20),(_xlfn.XLOOKUP($A31,#REF!,#REF!))/SUMIF($A$7:$AC$128,$A31,$AB$6:$AB$127)*F$5,0)</f>
        <v>0</v>
      </c>
      <c r="G31" s="26">
        <f>IF(AND(COLUMN()&gt;=11,COLUMN()&lt;=20),(_xlfn.XLOOKUP($A31,#REF!,#REF!))/SUMIF($A$7:$AC$128,$A31,$AB$6:$AB$127)*G$5,0)</f>
        <v>0</v>
      </c>
      <c r="H31" s="26">
        <f>IF(AND(COLUMN()&gt;=11,COLUMN()&lt;=20),(_xlfn.XLOOKUP($A31,#REF!,#REF!))/SUMIF($A$7:$AC$128,$A31,$AB$6:$AB$127)*H$5,0)</f>
        <v>0</v>
      </c>
      <c r="I31" s="26">
        <f>IF(AND(COLUMN()&gt;=11,COLUMN()&lt;=20),(_xlfn.XLOOKUP($A31,#REF!,#REF!))/SUMIF($A$7:$AC$128,$A31,$AB$6:$AB$127)*I$5,0)</f>
        <v>0</v>
      </c>
      <c r="J31" s="26">
        <f>IF(AND(COLUMN()&gt;=11,COLUMN()&lt;=20),(_xlfn.XLOOKUP($A31,#REF!,#REF!))/SUMIF($A$7:$AC$128,$A31,$AB$6:$AB$127)*J$5,0)</f>
        <v>0</v>
      </c>
      <c r="K31" s="26" t="e">
        <f ca="1">IF(AND(COLUMN()&gt;=11,COLUMN()&lt;=20),(_xlfn.XLOOKUP($A31,#REF!,#REF!))/SUMIF($A$7:$AC$128,$A31,$AB$6:$AB$127)*K$5,0)</f>
        <v>#REF!</v>
      </c>
      <c r="L31" s="26" t="e">
        <f ca="1">IF(AND(COLUMN()&gt;=11,COLUMN()&lt;=20),(_xlfn.XLOOKUP($A31,#REF!,#REF!))/SUMIF($A$7:$AC$128,$A31,$AB$6:$AB$127)*L$5,0)</f>
        <v>#REF!</v>
      </c>
      <c r="M31" s="26" t="e">
        <f ca="1">IF(AND(COLUMN()&gt;=11,COLUMN()&lt;=20),(_xlfn.XLOOKUP($A31,#REF!,#REF!))/SUMIF($A$7:$AC$128,$A31,$AB$6:$AB$127)*M$5,0)</f>
        <v>#REF!</v>
      </c>
      <c r="N31" s="26" t="e">
        <f ca="1">IF(AND(COLUMN()&gt;=11,COLUMN()&lt;=20),(_xlfn.XLOOKUP($A31,#REF!,#REF!))/SUMIF($A$7:$AC$128,$A31,$AB$6:$AB$127)*N$5,0)</f>
        <v>#REF!</v>
      </c>
      <c r="O31" s="26" t="e">
        <f ca="1">IF(AND(COLUMN()&gt;=11,COLUMN()&lt;=20),(_xlfn.XLOOKUP($A31,#REF!,#REF!))/SUMIF($A$7:$AC$128,$A31,$AB$6:$AB$127)*O$5,0)</f>
        <v>#REF!</v>
      </c>
      <c r="P31" s="26" t="e">
        <f ca="1">IF(AND(COLUMN()&gt;=11,COLUMN()&lt;=20),(_xlfn.XLOOKUP($A31,#REF!,#REF!))/SUMIF($A$7:$AC$128,$A31,$AB$6:$AB$127)*P$5,0)</f>
        <v>#REF!</v>
      </c>
      <c r="Q31" s="26" t="e">
        <f ca="1">IF(AND(COLUMN()&gt;=11,COLUMN()&lt;=20),(_xlfn.XLOOKUP($A31,#REF!,#REF!))/SUMIF($A$7:$AC$128,$A31,$AB$6:$AB$127)*Q$5,0)</f>
        <v>#REF!</v>
      </c>
      <c r="R31" s="26" t="e">
        <f ca="1">IF(AND(COLUMN()&gt;=11,COLUMN()&lt;=20),(_xlfn.XLOOKUP($A31,#REF!,#REF!))/SUMIF($A$7:$AC$128,$A31,$AB$6:$AB$127)*R$5,0)</f>
        <v>#REF!</v>
      </c>
      <c r="S31" s="26" t="e">
        <f ca="1">IF(AND(COLUMN()&gt;=11,COLUMN()&lt;=20),(_xlfn.XLOOKUP($A31,#REF!,#REF!))/SUMIF($A$7:$AC$128,$A31,$AB$6:$AB$127)*S$5,0)</f>
        <v>#REF!</v>
      </c>
      <c r="T31" s="26" t="e">
        <f ca="1">IF(AND(COLUMN()&gt;=11,COLUMN()&lt;=20),(_xlfn.XLOOKUP($A31,#REF!,#REF!))/SUMIF($A$7:$AC$128,$A31,$AB$6:$AB$127)*T$5,0)</f>
        <v>#REF!</v>
      </c>
      <c r="U31" s="26">
        <f>IF(AND(COLUMN()&gt;=11,COLUMN()&lt;=20),(_xlfn.XLOOKUP($A31,#REF!,#REF!))/SUMIF($A$7:$AC$128,$A31,$AB$6:$AB$127)*U$5,0)</f>
        <v>0</v>
      </c>
      <c r="V31" s="26">
        <f>IF(AND(COLUMN()&gt;=11,COLUMN()&lt;=20),(_xlfn.XLOOKUP($A31,#REF!,#REF!))/SUMIF($A$7:$AC$128,$A31,$AB$6:$AB$127)*V$5,0)</f>
        <v>0</v>
      </c>
      <c r="W31" s="26">
        <f>IF(AND(COLUMN()&gt;=11,COLUMN()&lt;=20),(_xlfn.XLOOKUP($A31,#REF!,#REF!))/SUMIF($A$7:$AC$128,$A31,$AB$6:$AB$127)*W$5,0)</f>
        <v>0</v>
      </c>
      <c r="X31" s="26">
        <f>IF(AND(COLUMN()&gt;=11,COLUMN()&lt;=20),(_xlfn.XLOOKUP($A31,#REF!,#REF!))/SUMIF($A$7:$AC$128,$A31,$AB$6:$AB$127)*X$5,0)</f>
        <v>0</v>
      </c>
      <c r="Y31" s="26">
        <f>IF(AND(COLUMN()&gt;=11,COLUMN()&lt;=20),(_xlfn.XLOOKUP($A31,#REF!,#REF!))/SUMIF($A$7:$AC$128,$A31,$AB$6:$AB$127)*Y$5,0)</f>
        <v>0</v>
      </c>
      <c r="Z31" s="26">
        <f>IF(AND(COLUMN()&gt;=11,COLUMN()&lt;=20),(_xlfn.XLOOKUP($A31,#REF!,#REF!))/SUMIF($A$7:$AC$128,$A31,$AB$6:$AB$127)*Z$5,0)</f>
        <v>0</v>
      </c>
      <c r="AA31" s="26" t="e">
        <f t="shared" ca="1" si="4"/>
        <v>#REF!</v>
      </c>
      <c r="AB31" s="19">
        <f t="shared" si="2"/>
        <v>31</v>
      </c>
      <c r="AC31" s="20" t="e">
        <f t="shared" ca="1" si="3"/>
        <v>#REF!</v>
      </c>
      <c r="AD31" s="30" t="e">
        <f>#REF!/SUMIF(#REF!,'Curva de la oferta Prod 3'!$A31,#REF!)</f>
        <v>#REF!</v>
      </c>
      <c r="AE31" s="28"/>
      <c r="AF31" s="31"/>
      <c r="AG31" s="31"/>
      <c r="AH31" s="31"/>
      <c r="AI31" s="31"/>
      <c r="AJ31" s="31"/>
      <c r="AK31" s="31"/>
    </row>
    <row r="32" spans="1:37" ht="14.5" x14ac:dyDescent="0.35">
      <c r="A32" s="15">
        <f t="shared" si="0"/>
        <v>2028</v>
      </c>
      <c r="B32" s="18">
        <v>46753</v>
      </c>
      <c r="C32" s="26">
        <f>IF(AND(COLUMN()&gt;=11,COLUMN()&lt;=20),(_xlfn.XLOOKUP($A32,#REF!,#REF!))/SUMIF($A$7:$AC$128,$A32,$AB$6:$AB$127)*C$5,0)</f>
        <v>0</v>
      </c>
      <c r="D32" s="26">
        <f>IF(AND(COLUMN()&gt;=11,COLUMN()&lt;=20),(_xlfn.XLOOKUP($A32,#REF!,#REF!))/SUMIF($A$7:$AC$128,$A32,$AB$6:$AB$127)*D$5,0)</f>
        <v>0</v>
      </c>
      <c r="E32" s="26">
        <f>IF(AND(COLUMN()&gt;=11,COLUMN()&lt;=20),(_xlfn.XLOOKUP($A32,#REF!,#REF!))/SUMIF($A$7:$AC$128,$A32,$AB$6:$AB$127)*E$5,0)</f>
        <v>0</v>
      </c>
      <c r="F32" s="26">
        <f>IF(AND(COLUMN()&gt;=11,COLUMN()&lt;=20),(_xlfn.XLOOKUP($A32,#REF!,#REF!))/SUMIF($A$7:$AC$128,$A32,$AB$6:$AB$127)*F$5,0)</f>
        <v>0</v>
      </c>
      <c r="G32" s="26">
        <f>IF(AND(COLUMN()&gt;=11,COLUMN()&lt;=20),(_xlfn.XLOOKUP($A32,#REF!,#REF!))/SUMIF($A$7:$AC$128,$A32,$AB$6:$AB$127)*G$5,0)</f>
        <v>0</v>
      </c>
      <c r="H32" s="26">
        <f>IF(AND(COLUMN()&gt;=11,COLUMN()&lt;=20),(_xlfn.XLOOKUP($A32,#REF!,#REF!))/SUMIF($A$7:$AC$128,$A32,$AB$6:$AB$127)*H$5,0)</f>
        <v>0</v>
      </c>
      <c r="I32" s="26">
        <f>IF(AND(COLUMN()&gt;=11,COLUMN()&lt;=20),(_xlfn.XLOOKUP($A32,#REF!,#REF!))/SUMIF($A$7:$AC$128,$A32,$AB$6:$AB$127)*I$5,0)</f>
        <v>0</v>
      </c>
      <c r="J32" s="26">
        <f>IF(AND(COLUMN()&gt;=11,COLUMN()&lt;=20),(_xlfn.XLOOKUP($A32,#REF!,#REF!))/SUMIF($A$7:$AC$128,$A32,$AB$6:$AB$127)*J$5,0)</f>
        <v>0</v>
      </c>
      <c r="K32" s="26" t="e">
        <f ca="1">IF(AND(COLUMN()&gt;=11,COLUMN()&lt;=20),(_xlfn.XLOOKUP($A32,#REF!,#REF!))/SUMIF($A$7:$AC$128,$A32,$AB$6:$AB$127)*K$5,0)</f>
        <v>#REF!</v>
      </c>
      <c r="L32" s="26" t="e">
        <f ca="1">IF(AND(COLUMN()&gt;=11,COLUMN()&lt;=20),(_xlfn.XLOOKUP($A32,#REF!,#REF!))/SUMIF($A$7:$AC$128,$A32,$AB$6:$AB$127)*L$5,0)</f>
        <v>#REF!</v>
      </c>
      <c r="M32" s="26" t="e">
        <f ca="1">IF(AND(COLUMN()&gt;=11,COLUMN()&lt;=20),(_xlfn.XLOOKUP($A32,#REF!,#REF!))/SUMIF($A$7:$AC$128,$A32,$AB$6:$AB$127)*M$5,0)</f>
        <v>#REF!</v>
      </c>
      <c r="N32" s="26" t="e">
        <f ca="1">IF(AND(COLUMN()&gt;=11,COLUMN()&lt;=20),(_xlfn.XLOOKUP($A32,#REF!,#REF!))/SUMIF($A$7:$AC$128,$A32,$AB$6:$AB$127)*N$5,0)</f>
        <v>#REF!</v>
      </c>
      <c r="O32" s="26" t="e">
        <f ca="1">IF(AND(COLUMN()&gt;=11,COLUMN()&lt;=20),(_xlfn.XLOOKUP($A32,#REF!,#REF!))/SUMIF($A$7:$AC$128,$A32,$AB$6:$AB$127)*O$5,0)</f>
        <v>#REF!</v>
      </c>
      <c r="P32" s="26" t="e">
        <f ca="1">IF(AND(COLUMN()&gt;=11,COLUMN()&lt;=20),(_xlfn.XLOOKUP($A32,#REF!,#REF!))/SUMIF($A$7:$AC$128,$A32,$AB$6:$AB$127)*P$5,0)</f>
        <v>#REF!</v>
      </c>
      <c r="Q32" s="26" t="e">
        <f ca="1">IF(AND(COLUMN()&gt;=11,COLUMN()&lt;=20),(_xlfn.XLOOKUP($A32,#REF!,#REF!))/SUMIF($A$7:$AC$128,$A32,$AB$6:$AB$127)*Q$5,0)</f>
        <v>#REF!</v>
      </c>
      <c r="R32" s="26" t="e">
        <f ca="1">IF(AND(COLUMN()&gt;=11,COLUMN()&lt;=20),(_xlfn.XLOOKUP($A32,#REF!,#REF!))/SUMIF($A$7:$AC$128,$A32,$AB$6:$AB$127)*R$5,0)</f>
        <v>#REF!</v>
      </c>
      <c r="S32" s="26" t="e">
        <f ca="1">IF(AND(COLUMN()&gt;=11,COLUMN()&lt;=20),(_xlfn.XLOOKUP($A32,#REF!,#REF!))/SUMIF($A$7:$AC$128,$A32,$AB$6:$AB$127)*S$5,0)</f>
        <v>#REF!</v>
      </c>
      <c r="T32" s="26" t="e">
        <f ca="1">IF(AND(COLUMN()&gt;=11,COLUMN()&lt;=20),(_xlfn.XLOOKUP($A32,#REF!,#REF!))/SUMIF($A$7:$AC$128,$A32,$AB$6:$AB$127)*T$5,0)</f>
        <v>#REF!</v>
      </c>
      <c r="U32" s="26">
        <f>IF(AND(COLUMN()&gt;=11,COLUMN()&lt;=20),(_xlfn.XLOOKUP($A32,#REF!,#REF!))/SUMIF($A$7:$AC$128,$A32,$AB$6:$AB$127)*U$5,0)</f>
        <v>0</v>
      </c>
      <c r="V32" s="26">
        <f>IF(AND(COLUMN()&gt;=11,COLUMN()&lt;=20),(_xlfn.XLOOKUP($A32,#REF!,#REF!))/SUMIF($A$7:$AC$128,$A32,$AB$6:$AB$127)*V$5,0)</f>
        <v>0</v>
      </c>
      <c r="W32" s="26">
        <f>IF(AND(COLUMN()&gt;=11,COLUMN()&lt;=20),(_xlfn.XLOOKUP($A32,#REF!,#REF!))/SUMIF($A$7:$AC$128,$A32,$AB$6:$AB$127)*W$5,0)</f>
        <v>0</v>
      </c>
      <c r="X32" s="26">
        <f>IF(AND(COLUMN()&gt;=11,COLUMN()&lt;=20),(_xlfn.XLOOKUP($A32,#REF!,#REF!))/SUMIF($A$7:$AC$128,$A32,$AB$6:$AB$127)*X$5,0)</f>
        <v>0</v>
      </c>
      <c r="Y32" s="26">
        <f>IF(AND(COLUMN()&gt;=11,COLUMN()&lt;=20),(_xlfn.XLOOKUP($A32,#REF!,#REF!))/SUMIF($A$7:$AC$128,$A32,$AB$6:$AB$127)*Y$5,0)</f>
        <v>0</v>
      </c>
      <c r="Z32" s="26">
        <f>IF(AND(COLUMN()&gt;=11,COLUMN()&lt;=20),(_xlfn.XLOOKUP($A32,#REF!,#REF!))/SUMIF($A$7:$AC$128,$A32,$AB$6:$AB$127)*Z$5,0)</f>
        <v>0</v>
      </c>
      <c r="AA32" s="26" t="e">
        <f ca="1">SUM(C32:Z32)</f>
        <v>#REF!</v>
      </c>
      <c r="AB32" s="19">
        <f t="shared" si="2"/>
        <v>31</v>
      </c>
      <c r="AC32" s="20" t="e">
        <f t="shared" ca="1" si="3"/>
        <v>#REF!</v>
      </c>
      <c r="AD32" s="30" t="e">
        <f>#REF!/SUMIF(#REF!,'Curva de la oferta Prod 3'!$A32,#REF!)</f>
        <v>#REF!</v>
      </c>
      <c r="AE32" s="28"/>
      <c r="AF32" s="31"/>
      <c r="AG32" s="31"/>
      <c r="AH32" s="31"/>
      <c r="AI32" s="31"/>
      <c r="AJ32" s="31"/>
      <c r="AK32" s="31"/>
    </row>
    <row r="33" spans="1:37" ht="14.5" x14ac:dyDescent="0.35">
      <c r="A33" s="15">
        <f t="shared" si="0"/>
        <v>2028</v>
      </c>
      <c r="B33" s="18">
        <v>46784</v>
      </c>
      <c r="C33" s="26">
        <f>IF(AND(COLUMN()&gt;=11,COLUMN()&lt;=20),(_xlfn.XLOOKUP($A33,#REF!,#REF!))/SUMIF($A$7:$AC$128,$A33,$AB$6:$AB$127)*C$5,0)</f>
        <v>0</v>
      </c>
      <c r="D33" s="26">
        <f>IF(AND(COLUMN()&gt;=11,COLUMN()&lt;=20),(_xlfn.XLOOKUP($A33,#REF!,#REF!))/SUMIF($A$7:$AC$128,$A33,$AB$6:$AB$127)*D$5,0)</f>
        <v>0</v>
      </c>
      <c r="E33" s="26">
        <f>IF(AND(COLUMN()&gt;=11,COLUMN()&lt;=20),(_xlfn.XLOOKUP($A33,#REF!,#REF!))/SUMIF($A$7:$AC$128,$A33,$AB$6:$AB$127)*E$5,0)</f>
        <v>0</v>
      </c>
      <c r="F33" s="26">
        <f>IF(AND(COLUMN()&gt;=11,COLUMN()&lt;=20),(_xlfn.XLOOKUP($A33,#REF!,#REF!))/SUMIF($A$7:$AC$128,$A33,$AB$6:$AB$127)*F$5,0)</f>
        <v>0</v>
      </c>
      <c r="G33" s="26">
        <f>IF(AND(COLUMN()&gt;=11,COLUMN()&lt;=20),(_xlfn.XLOOKUP($A33,#REF!,#REF!))/SUMIF($A$7:$AC$128,$A33,$AB$6:$AB$127)*G$5,0)</f>
        <v>0</v>
      </c>
      <c r="H33" s="26">
        <f>IF(AND(COLUMN()&gt;=11,COLUMN()&lt;=20),(_xlfn.XLOOKUP($A33,#REF!,#REF!))/SUMIF($A$7:$AC$128,$A33,$AB$6:$AB$127)*H$5,0)</f>
        <v>0</v>
      </c>
      <c r="I33" s="26">
        <f>IF(AND(COLUMN()&gt;=11,COLUMN()&lt;=20),(_xlfn.XLOOKUP($A33,#REF!,#REF!))/SUMIF($A$7:$AC$128,$A33,$AB$6:$AB$127)*I$5,0)</f>
        <v>0</v>
      </c>
      <c r="J33" s="26">
        <f>IF(AND(COLUMN()&gt;=11,COLUMN()&lt;=20),(_xlfn.XLOOKUP($A33,#REF!,#REF!))/SUMIF($A$7:$AC$128,$A33,$AB$6:$AB$127)*J$5,0)</f>
        <v>0</v>
      </c>
      <c r="K33" s="26" t="e">
        <f ca="1">IF(AND(COLUMN()&gt;=11,COLUMN()&lt;=20),(_xlfn.XLOOKUP($A33,#REF!,#REF!))/SUMIF($A$7:$AC$128,$A33,$AB$6:$AB$127)*K$5,0)</f>
        <v>#REF!</v>
      </c>
      <c r="L33" s="26" t="e">
        <f ca="1">IF(AND(COLUMN()&gt;=11,COLUMN()&lt;=20),(_xlfn.XLOOKUP($A33,#REF!,#REF!))/SUMIF($A$7:$AC$128,$A33,$AB$6:$AB$127)*L$5,0)</f>
        <v>#REF!</v>
      </c>
      <c r="M33" s="26" t="e">
        <f ca="1">IF(AND(COLUMN()&gt;=11,COLUMN()&lt;=20),(_xlfn.XLOOKUP($A33,#REF!,#REF!))/SUMIF($A$7:$AC$128,$A33,$AB$6:$AB$127)*M$5,0)</f>
        <v>#REF!</v>
      </c>
      <c r="N33" s="26" t="e">
        <f ca="1">IF(AND(COLUMN()&gt;=11,COLUMN()&lt;=20),(_xlfn.XLOOKUP($A33,#REF!,#REF!))/SUMIF($A$7:$AC$128,$A33,$AB$6:$AB$127)*N$5,0)</f>
        <v>#REF!</v>
      </c>
      <c r="O33" s="26" t="e">
        <f ca="1">IF(AND(COLUMN()&gt;=11,COLUMN()&lt;=20),(_xlfn.XLOOKUP($A33,#REF!,#REF!))/SUMIF($A$7:$AC$128,$A33,$AB$6:$AB$127)*O$5,0)</f>
        <v>#REF!</v>
      </c>
      <c r="P33" s="26" t="e">
        <f ca="1">IF(AND(COLUMN()&gt;=11,COLUMN()&lt;=20),(_xlfn.XLOOKUP($A33,#REF!,#REF!))/SUMIF($A$7:$AC$128,$A33,$AB$6:$AB$127)*P$5,0)</f>
        <v>#REF!</v>
      </c>
      <c r="Q33" s="26" t="e">
        <f ca="1">IF(AND(COLUMN()&gt;=11,COLUMN()&lt;=20),(_xlfn.XLOOKUP($A33,#REF!,#REF!))/SUMIF($A$7:$AC$128,$A33,$AB$6:$AB$127)*Q$5,0)</f>
        <v>#REF!</v>
      </c>
      <c r="R33" s="26" t="e">
        <f ca="1">IF(AND(COLUMN()&gt;=11,COLUMN()&lt;=20),(_xlfn.XLOOKUP($A33,#REF!,#REF!))/SUMIF($A$7:$AC$128,$A33,$AB$6:$AB$127)*R$5,0)</f>
        <v>#REF!</v>
      </c>
      <c r="S33" s="26" t="e">
        <f ca="1">IF(AND(COLUMN()&gt;=11,COLUMN()&lt;=20),(_xlfn.XLOOKUP($A33,#REF!,#REF!))/SUMIF($A$7:$AC$128,$A33,$AB$6:$AB$127)*S$5,0)</f>
        <v>#REF!</v>
      </c>
      <c r="T33" s="26" t="e">
        <f ca="1">IF(AND(COLUMN()&gt;=11,COLUMN()&lt;=20),(_xlfn.XLOOKUP($A33,#REF!,#REF!))/SUMIF($A$7:$AC$128,$A33,$AB$6:$AB$127)*T$5,0)</f>
        <v>#REF!</v>
      </c>
      <c r="U33" s="26">
        <f>IF(AND(COLUMN()&gt;=11,COLUMN()&lt;=20),(_xlfn.XLOOKUP($A33,#REF!,#REF!))/SUMIF($A$7:$AC$128,$A33,$AB$6:$AB$127)*U$5,0)</f>
        <v>0</v>
      </c>
      <c r="V33" s="26">
        <f>IF(AND(COLUMN()&gt;=11,COLUMN()&lt;=20),(_xlfn.XLOOKUP($A33,#REF!,#REF!))/SUMIF($A$7:$AC$128,$A33,$AB$6:$AB$127)*V$5,0)</f>
        <v>0</v>
      </c>
      <c r="W33" s="26">
        <f>IF(AND(COLUMN()&gt;=11,COLUMN()&lt;=20),(_xlfn.XLOOKUP($A33,#REF!,#REF!))/SUMIF($A$7:$AC$128,$A33,$AB$6:$AB$127)*W$5,0)</f>
        <v>0</v>
      </c>
      <c r="X33" s="26">
        <f>IF(AND(COLUMN()&gt;=11,COLUMN()&lt;=20),(_xlfn.XLOOKUP($A33,#REF!,#REF!))/SUMIF($A$7:$AC$128,$A33,$AB$6:$AB$127)*X$5,0)</f>
        <v>0</v>
      </c>
      <c r="Y33" s="26">
        <f>IF(AND(COLUMN()&gt;=11,COLUMN()&lt;=20),(_xlfn.XLOOKUP($A33,#REF!,#REF!))/SUMIF($A$7:$AC$128,$A33,$AB$6:$AB$127)*Y$5,0)</f>
        <v>0</v>
      </c>
      <c r="Z33" s="26">
        <f>IF(AND(COLUMN()&gt;=11,COLUMN()&lt;=20),(_xlfn.XLOOKUP($A33,#REF!,#REF!))/SUMIF($A$7:$AC$128,$A33,$AB$6:$AB$127)*Z$5,0)</f>
        <v>0</v>
      </c>
      <c r="AA33" s="26" t="e">
        <f t="shared" ref="AA33:AA42" ca="1" si="5">SUM(C33:Z33)</f>
        <v>#REF!</v>
      </c>
      <c r="AB33" s="19">
        <f t="shared" si="2"/>
        <v>29</v>
      </c>
      <c r="AC33" s="20" t="e">
        <f t="shared" ca="1" si="3"/>
        <v>#REF!</v>
      </c>
      <c r="AD33" s="30" t="e">
        <f>#REF!/SUMIF(#REF!,'Curva de la oferta Prod 3'!$A33,#REF!)</f>
        <v>#REF!</v>
      </c>
      <c r="AE33" s="28"/>
      <c r="AF33" s="31"/>
      <c r="AG33" s="31"/>
      <c r="AH33" s="31"/>
      <c r="AI33" s="31"/>
      <c r="AJ33" s="31"/>
      <c r="AK33" s="31"/>
    </row>
    <row r="34" spans="1:37" ht="14.5" x14ac:dyDescent="0.35">
      <c r="A34" s="15">
        <f t="shared" si="0"/>
        <v>2028</v>
      </c>
      <c r="B34" s="18">
        <v>46813</v>
      </c>
      <c r="C34" s="26">
        <f>IF(AND(COLUMN()&gt;=11,COLUMN()&lt;=20),(_xlfn.XLOOKUP($A34,#REF!,#REF!))/SUMIF($A$7:$AC$128,$A34,$AB$6:$AB$127)*C$5,0)</f>
        <v>0</v>
      </c>
      <c r="D34" s="26">
        <f>IF(AND(COLUMN()&gt;=11,COLUMN()&lt;=20),(_xlfn.XLOOKUP($A34,#REF!,#REF!))/SUMIF($A$7:$AC$128,$A34,$AB$6:$AB$127)*D$5,0)</f>
        <v>0</v>
      </c>
      <c r="E34" s="26">
        <f>IF(AND(COLUMN()&gt;=11,COLUMN()&lt;=20),(_xlfn.XLOOKUP($A34,#REF!,#REF!))/SUMIF($A$7:$AC$128,$A34,$AB$6:$AB$127)*E$5,0)</f>
        <v>0</v>
      </c>
      <c r="F34" s="26">
        <f>IF(AND(COLUMN()&gt;=11,COLUMN()&lt;=20),(_xlfn.XLOOKUP($A34,#REF!,#REF!))/SUMIF($A$7:$AC$128,$A34,$AB$6:$AB$127)*F$5,0)</f>
        <v>0</v>
      </c>
      <c r="G34" s="26">
        <f>IF(AND(COLUMN()&gt;=11,COLUMN()&lt;=20),(_xlfn.XLOOKUP($A34,#REF!,#REF!))/SUMIF($A$7:$AC$128,$A34,$AB$6:$AB$127)*G$5,0)</f>
        <v>0</v>
      </c>
      <c r="H34" s="26">
        <f>IF(AND(COLUMN()&gt;=11,COLUMN()&lt;=20),(_xlfn.XLOOKUP($A34,#REF!,#REF!))/SUMIF($A$7:$AC$128,$A34,$AB$6:$AB$127)*H$5,0)</f>
        <v>0</v>
      </c>
      <c r="I34" s="26">
        <f>IF(AND(COLUMN()&gt;=11,COLUMN()&lt;=20),(_xlfn.XLOOKUP($A34,#REF!,#REF!))/SUMIF($A$7:$AC$128,$A34,$AB$6:$AB$127)*I$5,0)</f>
        <v>0</v>
      </c>
      <c r="J34" s="26">
        <f>IF(AND(COLUMN()&gt;=11,COLUMN()&lt;=20),(_xlfn.XLOOKUP($A34,#REF!,#REF!))/SUMIF($A$7:$AC$128,$A34,$AB$6:$AB$127)*J$5,0)</f>
        <v>0</v>
      </c>
      <c r="K34" s="26" t="e">
        <f ca="1">IF(AND(COLUMN()&gt;=11,COLUMN()&lt;=20),(_xlfn.XLOOKUP($A34,#REF!,#REF!))/SUMIF($A$7:$AC$128,$A34,$AB$6:$AB$127)*K$5,0)</f>
        <v>#REF!</v>
      </c>
      <c r="L34" s="26" t="e">
        <f ca="1">IF(AND(COLUMN()&gt;=11,COLUMN()&lt;=20),(_xlfn.XLOOKUP($A34,#REF!,#REF!))/SUMIF($A$7:$AC$128,$A34,$AB$6:$AB$127)*L$5,0)</f>
        <v>#REF!</v>
      </c>
      <c r="M34" s="26" t="e">
        <f ca="1">IF(AND(COLUMN()&gt;=11,COLUMN()&lt;=20),(_xlfn.XLOOKUP($A34,#REF!,#REF!))/SUMIF($A$7:$AC$128,$A34,$AB$6:$AB$127)*M$5,0)</f>
        <v>#REF!</v>
      </c>
      <c r="N34" s="26" t="e">
        <f ca="1">IF(AND(COLUMN()&gt;=11,COLUMN()&lt;=20),(_xlfn.XLOOKUP($A34,#REF!,#REF!))/SUMIF($A$7:$AC$128,$A34,$AB$6:$AB$127)*N$5,0)</f>
        <v>#REF!</v>
      </c>
      <c r="O34" s="26" t="e">
        <f ca="1">IF(AND(COLUMN()&gt;=11,COLUMN()&lt;=20),(_xlfn.XLOOKUP($A34,#REF!,#REF!))/SUMIF($A$7:$AC$128,$A34,$AB$6:$AB$127)*O$5,0)</f>
        <v>#REF!</v>
      </c>
      <c r="P34" s="26" t="e">
        <f ca="1">IF(AND(COLUMN()&gt;=11,COLUMN()&lt;=20),(_xlfn.XLOOKUP($A34,#REF!,#REF!))/SUMIF($A$7:$AC$128,$A34,$AB$6:$AB$127)*P$5,0)</f>
        <v>#REF!</v>
      </c>
      <c r="Q34" s="26" t="e">
        <f ca="1">IF(AND(COLUMN()&gt;=11,COLUMN()&lt;=20),(_xlfn.XLOOKUP($A34,#REF!,#REF!))/SUMIF($A$7:$AC$128,$A34,$AB$6:$AB$127)*Q$5,0)</f>
        <v>#REF!</v>
      </c>
      <c r="R34" s="26" t="e">
        <f ca="1">IF(AND(COLUMN()&gt;=11,COLUMN()&lt;=20),(_xlfn.XLOOKUP($A34,#REF!,#REF!))/SUMIF($A$7:$AC$128,$A34,$AB$6:$AB$127)*R$5,0)</f>
        <v>#REF!</v>
      </c>
      <c r="S34" s="26" t="e">
        <f ca="1">IF(AND(COLUMN()&gt;=11,COLUMN()&lt;=20),(_xlfn.XLOOKUP($A34,#REF!,#REF!))/SUMIF($A$7:$AC$128,$A34,$AB$6:$AB$127)*S$5,0)</f>
        <v>#REF!</v>
      </c>
      <c r="T34" s="26" t="e">
        <f ca="1">IF(AND(COLUMN()&gt;=11,COLUMN()&lt;=20),(_xlfn.XLOOKUP($A34,#REF!,#REF!))/SUMIF($A$7:$AC$128,$A34,$AB$6:$AB$127)*T$5,0)</f>
        <v>#REF!</v>
      </c>
      <c r="U34" s="26">
        <f>IF(AND(COLUMN()&gt;=11,COLUMN()&lt;=20),(_xlfn.XLOOKUP($A34,#REF!,#REF!))/SUMIF($A$7:$AC$128,$A34,$AB$6:$AB$127)*U$5,0)</f>
        <v>0</v>
      </c>
      <c r="V34" s="26">
        <f>IF(AND(COLUMN()&gt;=11,COLUMN()&lt;=20),(_xlfn.XLOOKUP($A34,#REF!,#REF!))/SUMIF($A$7:$AC$128,$A34,$AB$6:$AB$127)*V$5,0)</f>
        <v>0</v>
      </c>
      <c r="W34" s="26">
        <f>IF(AND(COLUMN()&gt;=11,COLUMN()&lt;=20),(_xlfn.XLOOKUP($A34,#REF!,#REF!))/SUMIF($A$7:$AC$128,$A34,$AB$6:$AB$127)*W$5,0)</f>
        <v>0</v>
      </c>
      <c r="X34" s="26">
        <f>IF(AND(COLUMN()&gt;=11,COLUMN()&lt;=20),(_xlfn.XLOOKUP($A34,#REF!,#REF!))/SUMIF($A$7:$AC$128,$A34,$AB$6:$AB$127)*X$5,0)</f>
        <v>0</v>
      </c>
      <c r="Y34" s="26">
        <f>IF(AND(COLUMN()&gt;=11,COLUMN()&lt;=20),(_xlfn.XLOOKUP($A34,#REF!,#REF!))/SUMIF($A$7:$AC$128,$A34,$AB$6:$AB$127)*Y$5,0)</f>
        <v>0</v>
      </c>
      <c r="Z34" s="26">
        <f>IF(AND(COLUMN()&gt;=11,COLUMN()&lt;=20),(_xlfn.XLOOKUP($A34,#REF!,#REF!))/SUMIF($A$7:$AC$128,$A34,$AB$6:$AB$127)*Z$5,0)</f>
        <v>0</v>
      </c>
      <c r="AA34" s="26" t="e">
        <f t="shared" ca="1" si="5"/>
        <v>#REF!</v>
      </c>
      <c r="AB34" s="19">
        <f t="shared" si="2"/>
        <v>31</v>
      </c>
      <c r="AC34" s="20" t="e">
        <f t="shared" ca="1" si="3"/>
        <v>#REF!</v>
      </c>
      <c r="AD34" s="30" t="e">
        <f>#REF!/SUMIF(#REF!,'Curva de la oferta Prod 3'!$A34,#REF!)</f>
        <v>#REF!</v>
      </c>
      <c r="AE34" s="28"/>
      <c r="AF34" s="31"/>
      <c r="AG34" s="31"/>
      <c r="AH34" s="31"/>
      <c r="AI34" s="31"/>
      <c r="AJ34" s="31"/>
      <c r="AK34" s="31"/>
    </row>
    <row r="35" spans="1:37" ht="14.5" x14ac:dyDescent="0.35">
      <c r="A35" s="15">
        <f t="shared" si="0"/>
        <v>2028</v>
      </c>
      <c r="B35" s="18">
        <v>46844</v>
      </c>
      <c r="C35" s="26">
        <f>IF(AND(COLUMN()&gt;=11,COLUMN()&lt;=20),(_xlfn.XLOOKUP($A35,#REF!,#REF!))/SUMIF($A$7:$AC$128,$A35,$AB$6:$AB$127)*C$5,0)</f>
        <v>0</v>
      </c>
      <c r="D35" s="26">
        <f>IF(AND(COLUMN()&gt;=11,COLUMN()&lt;=20),(_xlfn.XLOOKUP($A35,#REF!,#REF!))/SUMIF($A$7:$AC$128,$A35,$AB$6:$AB$127)*D$5,0)</f>
        <v>0</v>
      </c>
      <c r="E35" s="26">
        <f>IF(AND(COLUMN()&gt;=11,COLUMN()&lt;=20),(_xlfn.XLOOKUP($A35,#REF!,#REF!))/SUMIF($A$7:$AC$128,$A35,$AB$6:$AB$127)*E$5,0)</f>
        <v>0</v>
      </c>
      <c r="F35" s="26">
        <f>IF(AND(COLUMN()&gt;=11,COLUMN()&lt;=20),(_xlfn.XLOOKUP($A35,#REF!,#REF!))/SUMIF($A$7:$AC$128,$A35,$AB$6:$AB$127)*F$5,0)</f>
        <v>0</v>
      </c>
      <c r="G35" s="26">
        <f>IF(AND(COLUMN()&gt;=11,COLUMN()&lt;=20),(_xlfn.XLOOKUP($A35,#REF!,#REF!))/SUMIF($A$7:$AC$128,$A35,$AB$6:$AB$127)*G$5,0)</f>
        <v>0</v>
      </c>
      <c r="H35" s="26">
        <f>IF(AND(COLUMN()&gt;=11,COLUMN()&lt;=20),(_xlfn.XLOOKUP($A35,#REF!,#REF!))/SUMIF($A$7:$AC$128,$A35,$AB$6:$AB$127)*H$5,0)</f>
        <v>0</v>
      </c>
      <c r="I35" s="26">
        <f>IF(AND(COLUMN()&gt;=11,COLUMN()&lt;=20),(_xlfn.XLOOKUP($A35,#REF!,#REF!))/SUMIF($A$7:$AC$128,$A35,$AB$6:$AB$127)*I$5,0)</f>
        <v>0</v>
      </c>
      <c r="J35" s="26">
        <f>IF(AND(COLUMN()&gt;=11,COLUMN()&lt;=20),(_xlfn.XLOOKUP($A35,#REF!,#REF!))/SUMIF($A$7:$AC$128,$A35,$AB$6:$AB$127)*J$5,0)</f>
        <v>0</v>
      </c>
      <c r="K35" s="26" t="e">
        <f ca="1">IF(AND(COLUMN()&gt;=11,COLUMN()&lt;=20),(_xlfn.XLOOKUP($A35,#REF!,#REF!))/SUMIF($A$7:$AC$128,$A35,$AB$6:$AB$127)*K$5,0)</f>
        <v>#REF!</v>
      </c>
      <c r="L35" s="26" t="e">
        <f ca="1">IF(AND(COLUMN()&gt;=11,COLUMN()&lt;=20),(_xlfn.XLOOKUP($A35,#REF!,#REF!))/SUMIF($A$7:$AC$128,$A35,$AB$6:$AB$127)*L$5,0)</f>
        <v>#REF!</v>
      </c>
      <c r="M35" s="26" t="e">
        <f ca="1">IF(AND(COLUMN()&gt;=11,COLUMN()&lt;=20),(_xlfn.XLOOKUP($A35,#REF!,#REF!))/SUMIF($A$7:$AC$128,$A35,$AB$6:$AB$127)*M$5,0)</f>
        <v>#REF!</v>
      </c>
      <c r="N35" s="26" t="e">
        <f ca="1">IF(AND(COLUMN()&gt;=11,COLUMN()&lt;=20),(_xlfn.XLOOKUP($A35,#REF!,#REF!))/SUMIF($A$7:$AC$128,$A35,$AB$6:$AB$127)*N$5,0)</f>
        <v>#REF!</v>
      </c>
      <c r="O35" s="26" t="e">
        <f ca="1">IF(AND(COLUMN()&gt;=11,COLUMN()&lt;=20),(_xlfn.XLOOKUP($A35,#REF!,#REF!))/SUMIF($A$7:$AC$128,$A35,$AB$6:$AB$127)*O$5,0)</f>
        <v>#REF!</v>
      </c>
      <c r="P35" s="26" t="e">
        <f ca="1">IF(AND(COLUMN()&gt;=11,COLUMN()&lt;=20),(_xlfn.XLOOKUP($A35,#REF!,#REF!))/SUMIF($A$7:$AC$128,$A35,$AB$6:$AB$127)*P$5,0)</f>
        <v>#REF!</v>
      </c>
      <c r="Q35" s="26" t="e">
        <f ca="1">IF(AND(COLUMN()&gt;=11,COLUMN()&lt;=20),(_xlfn.XLOOKUP($A35,#REF!,#REF!))/SUMIF($A$7:$AC$128,$A35,$AB$6:$AB$127)*Q$5,0)</f>
        <v>#REF!</v>
      </c>
      <c r="R35" s="26" t="e">
        <f ca="1">IF(AND(COLUMN()&gt;=11,COLUMN()&lt;=20),(_xlfn.XLOOKUP($A35,#REF!,#REF!))/SUMIF($A$7:$AC$128,$A35,$AB$6:$AB$127)*R$5,0)</f>
        <v>#REF!</v>
      </c>
      <c r="S35" s="26" t="e">
        <f ca="1">IF(AND(COLUMN()&gt;=11,COLUMN()&lt;=20),(_xlfn.XLOOKUP($A35,#REF!,#REF!))/SUMIF($A$7:$AC$128,$A35,$AB$6:$AB$127)*S$5,0)</f>
        <v>#REF!</v>
      </c>
      <c r="T35" s="26" t="e">
        <f ca="1">IF(AND(COLUMN()&gt;=11,COLUMN()&lt;=20),(_xlfn.XLOOKUP($A35,#REF!,#REF!))/SUMIF($A$7:$AC$128,$A35,$AB$6:$AB$127)*T$5,0)</f>
        <v>#REF!</v>
      </c>
      <c r="U35" s="26">
        <f>IF(AND(COLUMN()&gt;=11,COLUMN()&lt;=20),(_xlfn.XLOOKUP($A35,#REF!,#REF!))/SUMIF($A$7:$AC$128,$A35,$AB$6:$AB$127)*U$5,0)</f>
        <v>0</v>
      </c>
      <c r="V35" s="26">
        <f>IF(AND(COLUMN()&gt;=11,COLUMN()&lt;=20),(_xlfn.XLOOKUP($A35,#REF!,#REF!))/SUMIF($A$7:$AC$128,$A35,$AB$6:$AB$127)*V$5,0)</f>
        <v>0</v>
      </c>
      <c r="W35" s="26">
        <f>IF(AND(COLUMN()&gt;=11,COLUMN()&lt;=20),(_xlfn.XLOOKUP($A35,#REF!,#REF!))/SUMIF($A$7:$AC$128,$A35,$AB$6:$AB$127)*W$5,0)</f>
        <v>0</v>
      </c>
      <c r="X35" s="26">
        <f>IF(AND(COLUMN()&gt;=11,COLUMN()&lt;=20),(_xlfn.XLOOKUP($A35,#REF!,#REF!))/SUMIF($A$7:$AC$128,$A35,$AB$6:$AB$127)*X$5,0)</f>
        <v>0</v>
      </c>
      <c r="Y35" s="26">
        <f>IF(AND(COLUMN()&gt;=11,COLUMN()&lt;=20),(_xlfn.XLOOKUP($A35,#REF!,#REF!))/SUMIF($A$7:$AC$128,$A35,$AB$6:$AB$127)*Y$5,0)</f>
        <v>0</v>
      </c>
      <c r="Z35" s="26">
        <f>IF(AND(COLUMN()&gt;=11,COLUMN()&lt;=20),(_xlfn.XLOOKUP($A35,#REF!,#REF!))/SUMIF($A$7:$AC$128,$A35,$AB$6:$AB$127)*Z$5,0)</f>
        <v>0</v>
      </c>
      <c r="AA35" s="26" t="e">
        <f t="shared" ca="1" si="5"/>
        <v>#REF!</v>
      </c>
      <c r="AB35" s="19">
        <f t="shared" si="2"/>
        <v>30</v>
      </c>
      <c r="AC35" s="20" t="e">
        <f t="shared" ca="1" si="3"/>
        <v>#REF!</v>
      </c>
      <c r="AD35" s="30" t="e">
        <f>#REF!/SUMIF(#REF!,'Curva de la oferta Prod 3'!$A35,#REF!)</f>
        <v>#REF!</v>
      </c>
      <c r="AE35" s="28"/>
      <c r="AF35" s="31"/>
      <c r="AG35" s="31"/>
      <c r="AH35" s="31"/>
      <c r="AI35" s="31"/>
      <c r="AJ35" s="31"/>
      <c r="AK35" s="31"/>
    </row>
    <row r="36" spans="1:37" ht="14.5" x14ac:dyDescent="0.35">
      <c r="A36" s="15">
        <f t="shared" si="0"/>
        <v>2028</v>
      </c>
      <c r="B36" s="18">
        <v>46874</v>
      </c>
      <c r="C36" s="26">
        <f>IF(AND(COLUMN()&gt;=11,COLUMN()&lt;=20),(_xlfn.XLOOKUP($A36,#REF!,#REF!))/SUMIF($A$7:$AC$128,$A36,$AB$6:$AB$127)*C$5,0)</f>
        <v>0</v>
      </c>
      <c r="D36" s="26">
        <f>IF(AND(COLUMN()&gt;=11,COLUMN()&lt;=20),(_xlfn.XLOOKUP($A36,#REF!,#REF!))/SUMIF($A$7:$AC$128,$A36,$AB$6:$AB$127)*D$5,0)</f>
        <v>0</v>
      </c>
      <c r="E36" s="26">
        <f>IF(AND(COLUMN()&gt;=11,COLUMN()&lt;=20),(_xlfn.XLOOKUP($A36,#REF!,#REF!))/SUMIF($A$7:$AC$128,$A36,$AB$6:$AB$127)*E$5,0)</f>
        <v>0</v>
      </c>
      <c r="F36" s="26">
        <f>IF(AND(COLUMN()&gt;=11,COLUMN()&lt;=20),(_xlfn.XLOOKUP($A36,#REF!,#REF!))/SUMIF($A$7:$AC$128,$A36,$AB$6:$AB$127)*F$5,0)</f>
        <v>0</v>
      </c>
      <c r="G36" s="26">
        <f>IF(AND(COLUMN()&gt;=11,COLUMN()&lt;=20),(_xlfn.XLOOKUP($A36,#REF!,#REF!))/SUMIF($A$7:$AC$128,$A36,$AB$6:$AB$127)*G$5,0)</f>
        <v>0</v>
      </c>
      <c r="H36" s="26">
        <f>IF(AND(COLUMN()&gt;=11,COLUMN()&lt;=20),(_xlfn.XLOOKUP($A36,#REF!,#REF!))/SUMIF($A$7:$AC$128,$A36,$AB$6:$AB$127)*H$5,0)</f>
        <v>0</v>
      </c>
      <c r="I36" s="26">
        <f>IF(AND(COLUMN()&gt;=11,COLUMN()&lt;=20),(_xlfn.XLOOKUP($A36,#REF!,#REF!))/SUMIF($A$7:$AC$128,$A36,$AB$6:$AB$127)*I$5,0)</f>
        <v>0</v>
      </c>
      <c r="J36" s="26">
        <f>IF(AND(COLUMN()&gt;=11,COLUMN()&lt;=20),(_xlfn.XLOOKUP($A36,#REF!,#REF!))/SUMIF($A$7:$AC$128,$A36,$AB$6:$AB$127)*J$5,0)</f>
        <v>0</v>
      </c>
      <c r="K36" s="26" t="e">
        <f ca="1">IF(AND(COLUMN()&gt;=11,COLUMN()&lt;=20),(_xlfn.XLOOKUP($A36,#REF!,#REF!))/SUMIF($A$7:$AC$128,$A36,$AB$6:$AB$127)*K$5,0)</f>
        <v>#REF!</v>
      </c>
      <c r="L36" s="26" t="e">
        <f ca="1">IF(AND(COLUMN()&gt;=11,COLUMN()&lt;=20),(_xlfn.XLOOKUP($A36,#REF!,#REF!))/SUMIF($A$7:$AC$128,$A36,$AB$6:$AB$127)*L$5,0)</f>
        <v>#REF!</v>
      </c>
      <c r="M36" s="26" t="e">
        <f ca="1">IF(AND(COLUMN()&gt;=11,COLUMN()&lt;=20),(_xlfn.XLOOKUP($A36,#REF!,#REF!))/SUMIF($A$7:$AC$128,$A36,$AB$6:$AB$127)*M$5,0)</f>
        <v>#REF!</v>
      </c>
      <c r="N36" s="26" t="e">
        <f ca="1">IF(AND(COLUMN()&gt;=11,COLUMN()&lt;=20),(_xlfn.XLOOKUP($A36,#REF!,#REF!))/SUMIF($A$7:$AC$128,$A36,$AB$6:$AB$127)*N$5,0)</f>
        <v>#REF!</v>
      </c>
      <c r="O36" s="26" t="e">
        <f ca="1">IF(AND(COLUMN()&gt;=11,COLUMN()&lt;=20),(_xlfn.XLOOKUP($A36,#REF!,#REF!))/SUMIF($A$7:$AC$128,$A36,$AB$6:$AB$127)*O$5,0)</f>
        <v>#REF!</v>
      </c>
      <c r="P36" s="26" t="e">
        <f ca="1">IF(AND(COLUMN()&gt;=11,COLUMN()&lt;=20),(_xlfn.XLOOKUP($A36,#REF!,#REF!))/SUMIF($A$7:$AC$128,$A36,$AB$6:$AB$127)*P$5,0)</f>
        <v>#REF!</v>
      </c>
      <c r="Q36" s="26" t="e">
        <f ca="1">IF(AND(COLUMN()&gt;=11,COLUMN()&lt;=20),(_xlfn.XLOOKUP($A36,#REF!,#REF!))/SUMIF($A$7:$AC$128,$A36,$AB$6:$AB$127)*Q$5,0)</f>
        <v>#REF!</v>
      </c>
      <c r="R36" s="26" t="e">
        <f ca="1">IF(AND(COLUMN()&gt;=11,COLUMN()&lt;=20),(_xlfn.XLOOKUP($A36,#REF!,#REF!))/SUMIF($A$7:$AC$128,$A36,$AB$6:$AB$127)*R$5,0)</f>
        <v>#REF!</v>
      </c>
      <c r="S36" s="26" t="e">
        <f ca="1">IF(AND(COLUMN()&gt;=11,COLUMN()&lt;=20),(_xlfn.XLOOKUP($A36,#REF!,#REF!))/SUMIF($A$7:$AC$128,$A36,$AB$6:$AB$127)*S$5,0)</f>
        <v>#REF!</v>
      </c>
      <c r="T36" s="26" t="e">
        <f ca="1">IF(AND(COLUMN()&gt;=11,COLUMN()&lt;=20),(_xlfn.XLOOKUP($A36,#REF!,#REF!))/SUMIF($A$7:$AC$128,$A36,$AB$6:$AB$127)*T$5,0)</f>
        <v>#REF!</v>
      </c>
      <c r="U36" s="26">
        <f>IF(AND(COLUMN()&gt;=11,COLUMN()&lt;=20),(_xlfn.XLOOKUP($A36,#REF!,#REF!))/SUMIF($A$7:$AC$128,$A36,$AB$6:$AB$127)*U$5,0)</f>
        <v>0</v>
      </c>
      <c r="V36" s="26">
        <f>IF(AND(COLUMN()&gt;=11,COLUMN()&lt;=20),(_xlfn.XLOOKUP($A36,#REF!,#REF!))/SUMIF($A$7:$AC$128,$A36,$AB$6:$AB$127)*V$5,0)</f>
        <v>0</v>
      </c>
      <c r="W36" s="26">
        <f>IF(AND(COLUMN()&gt;=11,COLUMN()&lt;=20),(_xlfn.XLOOKUP($A36,#REF!,#REF!))/SUMIF($A$7:$AC$128,$A36,$AB$6:$AB$127)*W$5,0)</f>
        <v>0</v>
      </c>
      <c r="X36" s="26">
        <f>IF(AND(COLUMN()&gt;=11,COLUMN()&lt;=20),(_xlfn.XLOOKUP($A36,#REF!,#REF!))/SUMIF($A$7:$AC$128,$A36,$AB$6:$AB$127)*X$5,0)</f>
        <v>0</v>
      </c>
      <c r="Y36" s="26">
        <f>IF(AND(COLUMN()&gt;=11,COLUMN()&lt;=20),(_xlfn.XLOOKUP($A36,#REF!,#REF!))/SUMIF($A$7:$AC$128,$A36,$AB$6:$AB$127)*Y$5,0)</f>
        <v>0</v>
      </c>
      <c r="Z36" s="26">
        <f>IF(AND(COLUMN()&gt;=11,COLUMN()&lt;=20),(_xlfn.XLOOKUP($A36,#REF!,#REF!))/SUMIF($A$7:$AC$128,$A36,$AB$6:$AB$127)*Z$5,0)</f>
        <v>0</v>
      </c>
      <c r="AA36" s="26" t="e">
        <f t="shared" ca="1" si="5"/>
        <v>#REF!</v>
      </c>
      <c r="AB36" s="19">
        <f t="shared" si="2"/>
        <v>31</v>
      </c>
      <c r="AC36" s="20" t="e">
        <f t="shared" ca="1" si="3"/>
        <v>#REF!</v>
      </c>
      <c r="AD36" s="30" t="e">
        <f>#REF!/SUMIF(#REF!,'Curva de la oferta Prod 3'!$A36,#REF!)</f>
        <v>#REF!</v>
      </c>
      <c r="AE36" s="28"/>
      <c r="AF36" s="31"/>
      <c r="AG36" s="31"/>
      <c r="AH36" s="31"/>
      <c r="AI36" s="31"/>
      <c r="AJ36" s="31"/>
      <c r="AK36" s="31"/>
    </row>
    <row r="37" spans="1:37" ht="14.5" x14ac:dyDescent="0.35">
      <c r="A37" s="15">
        <f t="shared" si="0"/>
        <v>2028</v>
      </c>
      <c r="B37" s="18">
        <v>46905</v>
      </c>
      <c r="C37" s="26">
        <f>IF(AND(COLUMN()&gt;=11,COLUMN()&lt;=20),(_xlfn.XLOOKUP($A37,#REF!,#REF!))/SUMIF($A$7:$AC$128,$A37,$AB$6:$AB$127)*C$5,0)</f>
        <v>0</v>
      </c>
      <c r="D37" s="26">
        <f>IF(AND(COLUMN()&gt;=11,COLUMN()&lt;=20),(_xlfn.XLOOKUP($A37,#REF!,#REF!))/SUMIF($A$7:$AC$128,$A37,$AB$6:$AB$127)*D$5,0)</f>
        <v>0</v>
      </c>
      <c r="E37" s="26">
        <f>IF(AND(COLUMN()&gt;=11,COLUMN()&lt;=20),(_xlfn.XLOOKUP($A37,#REF!,#REF!))/SUMIF($A$7:$AC$128,$A37,$AB$6:$AB$127)*E$5,0)</f>
        <v>0</v>
      </c>
      <c r="F37" s="26">
        <f>IF(AND(COLUMN()&gt;=11,COLUMN()&lt;=20),(_xlfn.XLOOKUP($A37,#REF!,#REF!))/SUMIF($A$7:$AC$128,$A37,$AB$6:$AB$127)*F$5,0)</f>
        <v>0</v>
      </c>
      <c r="G37" s="26">
        <f>IF(AND(COLUMN()&gt;=11,COLUMN()&lt;=20),(_xlfn.XLOOKUP($A37,#REF!,#REF!))/SUMIF($A$7:$AC$128,$A37,$AB$6:$AB$127)*G$5,0)</f>
        <v>0</v>
      </c>
      <c r="H37" s="26">
        <f>IF(AND(COLUMN()&gt;=11,COLUMN()&lt;=20),(_xlfn.XLOOKUP($A37,#REF!,#REF!))/SUMIF($A$7:$AC$128,$A37,$AB$6:$AB$127)*H$5,0)</f>
        <v>0</v>
      </c>
      <c r="I37" s="26">
        <f>IF(AND(COLUMN()&gt;=11,COLUMN()&lt;=20),(_xlfn.XLOOKUP($A37,#REF!,#REF!))/SUMIF($A$7:$AC$128,$A37,$AB$6:$AB$127)*I$5,0)</f>
        <v>0</v>
      </c>
      <c r="J37" s="26">
        <f>IF(AND(COLUMN()&gt;=11,COLUMN()&lt;=20),(_xlfn.XLOOKUP($A37,#REF!,#REF!))/SUMIF($A$7:$AC$128,$A37,$AB$6:$AB$127)*J$5,0)</f>
        <v>0</v>
      </c>
      <c r="K37" s="26" t="e">
        <f ca="1">IF(AND(COLUMN()&gt;=11,COLUMN()&lt;=20),(_xlfn.XLOOKUP($A37,#REF!,#REF!))/SUMIF($A$7:$AC$128,$A37,$AB$6:$AB$127)*K$5,0)</f>
        <v>#REF!</v>
      </c>
      <c r="L37" s="26" t="e">
        <f ca="1">IF(AND(COLUMN()&gt;=11,COLUMN()&lt;=20),(_xlfn.XLOOKUP($A37,#REF!,#REF!))/SUMIF($A$7:$AC$128,$A37,$AB$6:$AB$127)*L$5,0)</f>
        <v>#REF!</v>
      </c>
      <c r="M37" s="26" t="e">
        <f ca="1">IF(AND(COLUMN()&gt;=11,COLUMN()&lt;=20),(_xlfn.XLOOKUP($A37,#REF!,#REF!))/SUMIF($A$7:$AC$128,$A37,$AB$6:$AB$127)*M$5,0)</f>
        <v>#REF!</v>
      </c>
      <c r="N37" s="26" t="e">
        <f ca="1">IF(AND(COLUMN()&gt;=11,COLUMN()&lt;=20),(_xlfn.XLOOKUP($A37,#REF!,#REF!))/SUMIF($A$7:$AC$128,$A37,$AB$6:$AB$127)*N$5,0)</f>
        <v>#REF!</v>
      </c>
      <c r="O37" s="26" t="e">
        <f ca="1">IF(AND(COLUMN()&gt;=11,COLUMN()&lt;=20),(_xlfn.XLOOKUP($A37,#REF!,#REF!))/SUMIF($A$7:$AC$128,$A37,$AB$6:$AB$127)*O$5,0)</f>
        <v>#REF!</v>
      </c>
      <c r="P37" s="26" t="e">
        <f ca="1">IF(AND(COLUMN()&gt;=11,COLUMN()&lt;=20),(_xlfn.XLOOKUP($A37,#REF!,#REF!))/SUMIF($A$7:$AC$128,$A37,$AB$6:$AB$127)*P$5,0)</f>
        <v>#REF!</v>
      </c>
      <c r="Q37" s="26" t="e">
        <f ca="1">IF(AND(COLUMN()&gt;=11,COLUMN()&lt;=20),(_xlfn.XLOOKUP($A37,#REF!,#REF!))/SUMIF($A$7:$AC$128,$A37,$AB$6:$AB$127)*Q$5,0)</f>
        <v>#REF!</v>
      </c>
      <c r="R37" s="26" t="e">
        <f ca="1">IF(AND(COLUMN()&gt;=11,COLUMN()&lt;=20),(_xlfn.XLOOKUP($A37,#REF!,#REF!))/SUMIF($A$7:$AC$128,$A37,$AB$6:$AB$127)*R$5,0)</f>
        <v>#REF!</v>
      </c>
      <c r="S37" s="26" t="e">
        <f ca="1">IF(AND(COLUMN()&gt;=11,COLUMN()&lt;=20),(_xlfn.XLOOKUP($A37,#REF!,#REF!))/SUMIF($A$7:$AC$128,$A37,$AB$6:$AB$127)*S$5,0)</f>
        <v>#REF!</v>
      </c>
      <c r="T37" s="26" t="e">
        <f ca="1">IF(AND(COLUMN()&gt;=11,COLUMN()&lt;=20),(_xlfn.XLOOKUP($A37,#REF!,#REF!))/SUMIF($A$7:$AC$128,$A37,$AB$6:$AB$127)*T$5,0)</f>
        <v>#REF!</v>
      </c>
      <c r="U37" s="26">
        <f>IF(AND(COLUMN()&gt;=11,COLUMN()&lt;=20),(_xlfn.XLOOKUP($A37,#REF!,#REF!))/SUMIF($A$7:$AC$128,$A37,$AB$6:$AB$127)*U$5,0)</f>
        <v>0</v>
      </c>
      <c r="V37" s="26">
        <f>IF(AND(COLUMN()&gt;=11,COLUMN()&lt;=20),(_xlfn.XLOOKUP($A37,#REF!,#REF!))/SUMIF($A$7:$AC$128,$A37,$AB$6:$AB$127)*V$5,0)</f>
        <v>0</v>
      </c>
      <c r="W37" s="26">
        <f>IF(AND(COLUMN()&gt;=11,COLUMN()&lt;=20),(_xlfn.XLOOKUP($A37,#REF!,#REF!))/SUMIF($A$7:$AC$128,$A37,$AB$6:$AB$127)*W$5,0)</f>
        <v>0</v>
      </c>
      <c r="X37" s="26">
        <f>IF(AND(COLUMN()&gt;=11,COLUMN()&lt;=20),(_xlfn.XLOOKUP($A37,#REF!,#REF!))/SUMIF($A$7:$AC$128,$A37,$AB$6:$AB$127)*X$5,0)</f>
        <v>0</v>
      </c>
      <c r="Y37" s="26">
        <f>IF(AND(COLUMN()&gt;=11,COLUMN()&lt;=20),(_xlfn.XLOOKUP($A37,#REF!,#REF!))/SUMIF($A$7:$AC$128,$A37,$AB$6:$AB$127)*Y$5,0)</f>
        <v>0</v>
      </c>
      <c r="Z37" s="26">
        <f>IF(AND(COLUMN()&gt;=11,COLUMN()&lt;=20),(_xlfn.XLOOKUP($A37,#REF!,#REF!))/SUMIF($A$7:$AC$128,$A37,$AB$6:$AB$127)*Z$5,0)</f>
        <v>0</v>
      </c>
      <c r="AA37" s="26" t="e">
        <f t="shared" ca="1" si="5"/>
        <v>#REF!</v>
      </c>
      <c r="AB37" s="19">
        <f t="shared" si="2"/>
        <v>30</v>
      </c>
      <c r="AC37" s="20" t="e">
        <f t="shared" ca="1" si="3"/>
        <v>#REF!</v>
      </c>
      <c r="AD37" s="30" t="e">
        <f>#REF!/SUMIF(#REF!,'Curva de la oferta Prod 3'!$A37,#REF!)</f>
        <v>#REF!</v>
      </c>
      <c r="AE37" s="28"/>
      <c r="AF37" s="31"/>
      <c r="AG37" s="31"/>
      <c r="AH37" s="31"/>
      <c r="AI37" s="31"/>
      <c r="AJ37" s="31"/>
      <c r="AK37" s="31"/>
    </row>
    <row r="38" spans="1:37" ht="14.5" x14ac:dyDescent="0.35">
      <c r="A38" s="15">
        <f t="shared" si="0"/>
        <v>2028</v>
      </c>
      <c r="B38" s="18">
        <v>46935</v>
      </c>
      <c r="C38" s="26">
        <f>IF(AND(COLUMN()&gt;=11,COLUMN()&lt;=20),(_xlfn.XLOOKUP($A38,#REF!,#REF!))/SUMIF($A$7:$AC$128,$A38,$AB$6:$AB$127)*C$5,0)</f>
        <v>0</v>
      </c>
      <c r="D38" s="26">
        <f>IF(AND(COLUMN()&gt;=11,COLUMN()&lt;=20),(_xlfn.XLOOKUP($A38,#REF!,#REF!))/SUMIF($A$7:$AC$128,$A38,$AB$6:$AB$127)*D$5,0)</f>
        <v>0</v>
      </c>
      <c r="E38" s="26">
        <f>IF(AND(COLUMN()&gt;=11,COLUMN()&lt;=20),(_xlfn.XLOOKUP($A38,#REF!,#REF!))/SUMIF($A$7:$AC$128,$A38,$AB$6:$AB$127)*E$5,0)</f>
        <v>0</v>
      </c>
      <c r="F38" s="26">
        <f>IF(AND(COLUMN()&gt;=11,COLUMN()&lt;=20),(_xlfn.XLOOKUP($A38,#REF!,#REF!))/SUMIF($A$7:$AC$128,$A38,$AB$6:$AB$127)*F$5,0)</f>
        <v>0</v>
      </c>
      <c r="G38" s="26">
        <f>IF(AND(COLUMN()&gt;=11,COLUMN()&lt;=20),(_xlfn.XLOOKUP($A38,#REF!,#REF!))/SUMIF($A$7:$AC$128,$A38,$AB$6:$AB$127)*G$5,0)</f>
        <v>0</v>
      </c>
      <c r="H38" s="26">
        <f>IF(AND(COLUMN()&gt;=11,COLUMN()&lt;=20),(_xlfn.XLOOKUP($A38,#REF!,#REF!))/SUMIF($A$7:$AC$128,$A38,$AB$6:$AB$127)*H$5,0)</f>
        <v>0</v>
      </c>
      <c r="I38" s="26">
        <f>IF(AND(COLUMN()&gt;=11,COLUMN()&lt;=20),(_xlfn.XLOOKUP($A38,#REF!,#REF!))/SUMIF($A$7:$AC$128,$A38,$AB$6:$AB$127)*I$5,0)</f>
        <v>0</v>
      </c>
      <c r="J38" s="26">
        <f>IF(AND(COLUMN()&gt;=11,COLUMN()&lt;=20),(_xlfn.XLOOKUP($A38,#REF!,#REF!))/SUMIF($A$7:$AC$128,$A38,$AB$6:$AB$127)*J$5,0)</f>
        <v>0</v>
      </c>
      <c r="K38" s="26" t="e">
        <f ca="1">IF(AND(COLUMN()&gt;=11,COLUMN()&lt;=20),(_xlfn.XLOOKUP($A38,#REF!,#REF!))/SUMIF($A$7:$AC$128,$A38,$AB$6:$AB$127)*K$5,0)</f>
        <v>#REF!</v>
      </c>
      <c r="L38" s="26" t="e">
        <f ca="1">IF(AND(COLUMN()&gt;=11,COLUMN()&lt;=20),(_xlfn.XLOOKUP($A38,#REF!,#REF!))/SUMIF($A$7:$AC$128,$A38,$AB$6:$AB$127)*L$5,0)</f>
        <v>#REF!</v>
      </c>
      <c r="M38" s="26" t="e">
        <f ca="1">IF(AND(COLUMN()&gt;=11,COLUMN()&lt;=20),(_xlfn.XLOOKUP($A38,#REF!,#REF!))/SUMIF($A$7:$AC$128,$A38,$AB$6:$AB$127)*M$5,0)</f>
        <v>#REF!</v>
      </c>
      <c r="N38" s="26" t="e">
        <f ca="1">IF(AND(COLUMN()&gt;=11,COLUMN()&lt;=20),(_xlfn.XLOOKUP($A38,#REF!,#REF!))/SUMIF($A$7:$AC$128,$A38,$AB$6:$AB$127)*N$5,0)</f>
        <v>#REF!</v>
      </c>
      <c r="O38" s="26" t="e">
        <f ca="1">IF(AND(COLUMN()&gt;=11,COLUMN()&lt;=20),(_xlfn.XLOOKUP($A38,#REF!,#REF!))/SUMIF($A$7:$AC$128,$A38,$AB$6:$AB$127)*O$5,0)</f>
        <v>#REF!</v>
      </c>
      <c r="P38" s="26" t="e">
        <f ca="1">IF(AND(COLUMN()&gt;=11,COLUMN()&lt;=20),(_xlfn.XLOOKUP($A38,#REF!,#REF!))/SUMIF($A$7:$AC$128,$A38,$AB$6:$AB$127)*P$5,0)</f>
        <v>#REF!</v>
      </c>
      <c r="Q38" s="26" t="e">
        <f ca="1">IF(AND(COLUMN()&gt;=11,COLUMN()&lt;=20),(_xlfn.XLOOKUP($A38,#REF!,#REF!))/SUMIF($A$7:$AC$128,$A38,$AB$6:$AB$127)*Q$5,0)</f>
        <v>#REF!</v>
      </c>
      <c r="R38" s="26" t="e">
        <f ca="1">IF(AND(COLUMN()&gt;=11,COLUMN()&lt;=20),(_xlfn.XLOOKUP($A38,#REF!,#REF!))/SUMIF($A$7:$AC$128,$A38,$AB$6:$AB$127)*R$5,0)</f>
        <v>#REF!</v>
      </c>
      <c r="S38" s="26" t="e">
        <f ca="1">IF(AND(COLUMN()&gt;=11,COLUMN()&lt;=20),(_xlfn.XLOOKUP($A38,#REF!,#REF!))/SUMIF($A$7:$AC$128,$A38,$AB$6:$AB$127)*S$5,0)</f>
        <v>#REF!</v>
      </c>
      <c r="T38" s="26" t="e">
        <f ca="1">IF(AND(COLUMN()&gt;=11,COLUMN()&lt;=20),(_xlfn.XLOOKUP($A38,#REF!,#REF!))/SUMIF($A$7:$AC$128,$A38,$AB$6:$AB$127)*T$5,0)</f>
        <v>#REF!</v>
      </c>
      <c r="U38" s="26">
        <f>IF(AND(COLUMN()&gt;=11,COLUMN()&lt;=20),(_xlfn.XLOOKUP($A38,#REF!,#REF!))/SUMIF($A$7:$AC$128,$A38,$AB$6:$AB$127)*U$5,0)</f>
        <v>0</v>
      </c>
      <c r="V38" s="26">
        <f>IF(AND(COLUMN()&gt;=11,COLUMN()&lt;=20),(_xlfn.XLOOKUP($A38,#REF!,#REF!))/SUMIF($A$7:$AC$128,$A38,$AB$6:$AB$127)*V$5,0)</f>
        <v>0</v>
      </c>
      <c r="W38" s="26">
        <f>IF(AND(COLUMN()&gt;=11,COLUMN()&lt;=20),(_xlfn.XLOOKUP($A38,#REF!,#REF!))/SUMIF($A$7:$AC$128,$A38,$AB$6:$AB$127)*W$5,0)</f>
        <v>0</v>
      </c>
      <c r="X38" s="26">
        <f>IF(AND(COLUMN()&gt;=11,COLUMN()&lt;=20),(_xlfn.XLOOKUP($A38,#REF!,#REF!))/SUMIF($A$7:$AC$128,$A38,$AB$6:$AB$127)*X$5,0)</f>
        <v>0</v>
      </c>
      <c r="Y38" s="26">
        <f>IF(AND(COLUMN()&gt;=11,COLUMN()&lt;=20),(_xlfn.XLOOKUP($A38,#REF!,#REF!))/SUMIF($A$7:$AC$128,$A38,$AB$6:$AB$127)*Y$5,0)</f>
        <v>0</v>
      </c>
      <c r="Z38" s="26">
        <f>IF(AND(COLUMN()&gt;=11,COLUMN()&lt;=20),(_xlfn.XLOOKUP($A38,#REF!,#REF!))/SUMIF($A$7:$AC$128,$A38,$AB$6:$AB$127)*Z$5,0)</f>
        <v>0</v>
      </c>
      <c r="AA38" s="26" t="e">
        <f t="shared" ca="1" si="5"/>
        <v>#REF!</v>
      </c>
      <c r="AB38" s="19">
        <f t="shared" si="2"/>
        <v>31</v>
      </c>
      <c r="AC38" s="20" t="e">
        <f t="shared" ca="1" si="3"/>
        <v>#REF!</v>
      </c>
      <c r="AD38" s="30" t="e">
        <f>#REF!/SUMIF(#REF!,'Curva de la oferta Prod 3'!$A38,#REF!)</f>
        <v>#REF!</v>
      </c>
      <c r="AE38" s="28"/>
      <c r="AF38" s="31"/>
      <c r="AG38" s="31"/>
      <c r="AH38" s="31"/>
      <c r="AI38" s="31"/>
      <c r="AJ38" s="31"/>
      <c r="AK38" s="31"/>
    </row>
    <row r="39" spans="1:37" ht="14.5" x14ac:dyDescent="0.35">
      <c r="A39" s="15">
        <f t="shared" si="0"/>
        <v>2028</v>
      </c>
      <c r="B39" s="18">
        <v>46966</v>
      </c>
      <c r="C39" s="26">
        <f>IF(AND(COLUMN()&gt;=11,COLUMN()&lt;=20),(_xlfn.XLOOKUP($A39,#REF!,#REF!))/SUMIF($A$7:$AC$128,$A39,$AB$6:$AB$127)*C$5,0)</f>
        <v>0</v>
      </c>
      <c r="D39" s="26">
        <f>IF(AND(COLUMN()&gt;=11,COLUMN()&lt;=20),(_xlfn.XLOOKUP($A39,#REF!,#REF!))/SUMIF($A$7:$AC$128,$A39,$AB$6:$AB$127)*D$5,0)</f>
        <v>0</v>
      </c>
      <c r="E39" s="26">
        <f>IF(AND(COLUMN()&gt;=11,COLUMN()&lt;=20),(_xlfn.XLOOKUP($A39,#REF!,#REF!))/SUMIF($A$7:$AC$128,$A39,$AB$6:$AB$127)*E$5,0)</f>
        <v>0</v>
      </c>
      <c r="F39" s="26">
        <f>IF(AND(COLUMN()&gt;=11,COLUMN()&lt;=20),(_xlfn.XLOOKUP($A39,#REF!,#REF!))/SUMIF($A$7:$AC$128,$A39,$AB$6:$AB$127)*F$5,0)</f>
        <v>0</v>
      </c>
      <c r="G39" s="26">
        <f>IF(AND(COLUMN()&gt;=11,COLUMN()&lt;=20),(_xlfn.XLOOKUP($A39,#REF!,#REF!))/SUMIF($A$7:$AC$128,$A39,$AB$6:$AB$127)*G$5,0)</f>
        <v>0</v>
      </c>
      <c r="H39" s="26">
        <f>IF(AND(COLUMN()&gt;=11,COLUMN()&lt;=20),(_xlfn.XLOOKUP($A39,#REF!,#REF!))/SUMIF($A$7:$AC$128,$A39,$AB$6:$AB$127)*H$5,0)</f>
        <v>0</v>
      </c>
      <c r="I39" s="26">
        <f>IF(AND(COLUMN()&gt;=11,COLUMN()&lt;=20),(_xlfn.XLOOKUP($A39,#REF!,#REF!))/SUMIF($A$7:$AC$128,$A39,$AB$6:$AB$127)*I$5,0)</f>
        <v>0</v>
      </c>
      <c r="J39" s="26">
        <f>IF(AND(COLUMN()&gt;=11,COLUMN()&lt;=20),(_xlfn.XLOOKUP($A39,#REF!,#REF!))/SUMIF($A$7:$AC$128,$A39,$AB$6:$AB$127)*J$5,0)</f>
        <v>0</v>
      </c>
      <c r="K39" s="26" t="e">
        <f ca="1">IF(AND(COLUMN()&gt;=11,COLUMN()&lt;=20),(_xlfn.XLOOKUP($A39,#REF!,#REF!))/SUMIF($A$7:$AC$128,$A39,$AB$6:$AB$127)*K$5,0)</f>
        <v>#REF!</v>
      </c>
      <c r="L39" s="26" t="e">
        <f ca="1">IF(AND(COLUMN()&gt;=11,COLUMN()&lt;=20),(_xlfn.XLOOKUP($A39,#REF!,#REF!))/SUMIF($A$7:$AC$128,$A39,$AB$6:$AB$127)*L$5,0)</f>
        <v>#REF!</v>
      </c>
      <c r="M39" s="26" t="e">
        <f ca="1">IF(AND(COLUMN()&gt;=11,COLUMN()&lt;=20),(_xlfn.XLOOKUP($A39,#REF!,#REF!))/SUMIF($A$7:$AC$128,$A39,$AB$6:$AB$127)*M$5,0)</f>
        <v>#REF!</v>
      </c>
      <c r="N39" s="26" t="e">
        <f ca="1">IF(AND(COLUMN()&gt;=11,COLUMN()&lt;=20),(_xlfn.XLOOKUP($A39,#REF!,#REF!))/SUMIF($A$7:$AC$128,$A39,$AB$6:$AB$127)*N$5,0)</f>
        <v>#REF!</v>
      </c>
      <c r="O39" s="26" t="e">
        <f ca="1">IF(AND(COLUMN()&gt;=11,COLUMN()&lt;=20),(_xlfn.XLOOKUP($A39,#REF!,#REF!))/SUMIF($A$7:$AC$128,$A39,$AB$6:$AB$127)*O$5,0)</f>
        <v>#REF!</v>
      </c>
      <c r="P39" s="26" t="e">
        <f ca="1">IF(AND(COLUMN()&gt;=11,COLUMN()&lt;=20),(_xlfn.XLOOKUP($A39,#REF!,#REF!))/SUMIF($A$7:$AC$128,$A39,$AB$6:$AB$127)*P$5,0)</f>
        <v>#REF!</v>
      </c>
      <c r="Q39" s="26" t="e">
        <f ca="1">IF(AND(COLUMN()&gt;=11,COLUMN()&lt;=20),(_xlfn.XLOOKUP($A39,#REF!,#REF!))/SUMIF($A$7:$AC$128,$A39,$AB$6:$AB$127)*Q$5,0)</f>
        <v>#REF!</v>
      </c>
      <c r="R39" s="26" t="e">
        <f ca="1">IF(AND(COLUMN()&gt;=11,COLUMN()&lt;=20),(_xlfn.XLOOKUP($A39,#REF!,#REF!))/SUMIF($A$7:$AC$128,$A39,$AB$6:$AB$127)*R$5,0)</f>
        <v>#REF!</v>
      </c>
      <c r="S39" s="26" t="e">
        <f ca="1">IF(AND(COLUMN()&gt;=11,COLUMN()&lt;=20),(_xlfn.XLOOKUP($A39,#REF!,#REF!))/SUMIF($A$7:$AC$128,$A39,$AB$6:$AB$127)*S$5,0)</f>
        <v>#REF!</v>
      </c>
      <c r="T39" s="26" t="e">
        <f ca="1">IF(AND(COLUMN()&gt;=11,COLUMN()&lt;=20),(_xlfn.XLOOKUP($A39,#REF!,#REF!))/SUMIF($A$7:$AC$128,$A39,$AB$6:$AB$127)*T$5,0)</f>
        <v>#REF!</v>
      </c>
      <c r="U39" s="26">
        <f>IF(AND(COLUMN()&gt;=11,COLUMN()&lt;=20),(_xlfn.XLOOKUP($A39,#REF!,#REF!))/SUMIF($A$7:$AC$128,$A39,$AB$6:$AB$127)*U$5,0)</f>
        <v>0</v>
      </c>
      <c r="V39" s="26">
        <f>IF(AND(COLUMN()&gt;=11,COLUMN()&lt;=20),(_xlfn.XLOOKUP($A39,#REF!,#REF!))/SUMIF($A$7:$AC$128,$A39,$AB$6:$AB$127)*V$5,0)</f>
        <v>0</v>
      </c>
      <c r="W39" s="26">
        <f>IF(AND(COLUMN()&gt;=11,COLUMN()&lt;=20),(_xlfn.XLOOKUP($A39,#REF!,#REF!))/SUMIF($A$7:$AC$128,$A39,$AB$6:$AB$127)*W$5,0)</f>
        <v>0</v>
      </c>
      <c r="X39" s="26">
        <f>IF(AND(COLUMN()&gt;=11,COLUMN()&lt;=20),(_xlfn.XLOOKUP($A39,#REF!,#REF!))/SUMIF($A$7:$AC$128,$A39,$AB$6:$AB$127)*X$5,0)</f>
        <v>0</v>
      </c>
      <c r="Y39" s="26">
        <f>IF(AND(COLUMN()&gt;=11,COLUMN()&lt;=20),(_xlfn.XLOOKUP($A39,#REF!,#REF!))/SUMIF($A$7:$AC$128,$A39,$AB$6:$AB$127)*Y$5,0)</f>
        <v>0</v>
      </c>
      <c r="Z39" s="26">
        <f>IF(AND(COLUMN()&gt;=11,COLUMN()&lt;=20),(_xlfn.XLOOKUP($A39,#REF!,#REF!))/SUMIF($A$7:$AC$128,$A39,$AB$6:$AB$127)*Z$5,0)</f>
        <v>0</v>
      </c>
      <c r="AA39" s="26" t="e">
        <f t="shared" ca="1" si="5"/>
        <v>#REF!</v>
      </c>
      <c r="AB39" s="19">
        <f t="shared" si="2"/>
        <v>31</v>
      </c>
      <c r="AC39" s="20" t="e">
        <f t="shared" ca="1" si="3"/>
        <v>#REF!</v>
      </c>
      <c r="AD39" s="30" t="e">
        <f>#REF!/SUMIF(#REF!,'Curva de la oferta Prod 3'!$A39,#REF!)</f>
        <v>#REF!</v>
      </c>
      <c r="AE39" s="28"/>
      <c r="AF39" s="31"/>
      <c r="AG39" s="31"/>
      <c r="AH39" s="31"/>
      <c r="AI39" s="31"/>
      <c r="AJ39" s="31"/>
      <c r="AK39" s="31"/>
    </row>
    <row r="40" spans="1:37" ht="14.5" x14ac:dyDescent="0.35">
      <c r="A40" s="15">
        <f t="shared" si="0"/>
        <v>2028</v>
      </c>
      <c r="B40" s="18">
        <v>46997</v>
      </c>
      <c r="C40" s="26">
        <f>IF(AND(COLUMN()&gt;=11,COLUMN()&lt;=20),(_xlfn.XLOOKUP($A40,#REF!,#REF!))/SUMIF($A$7:$AC$128,$A40,$AB$6:$AB$127)*C$5,0)</f>
        <v>0</v>
      </c>
      <c r="D40" s="26">
        <f>IF(AND(COLUMN()&gt;=11,COLUMN()&lt;=20),(_xlfn.XLOOKUP($A40,#REF!,#REF!))/SUMIF($A$7:$AC$128,$A40,$AB$6:$AB$127)*D$5,0)</f>
        <v>0</v>
      </c>
      <c r="E40" s="26">
        <f>IF(AND(COLUMN()&gt;=11,COLUMN()&lt;=20),(_xlfn.XLOOKUP($A40,#REF!,#REF!))/SUMIF($A$7:$AC$128,$A40,$AB$6:$AB$127)*E$5,0)</f>
        <v>0</v>
      </c>
      <c r="F40" s="26">
        <f>IF(AND(COLUMN()&gt;=11,COLUMN()&lt;=20),(_xlfn.XLOOKUP($A40,#REF!,#REF!))/SUMIF($A$7:$AC$128,$A40,$AB$6:$AB$127)*F$5,0)</f>
        <v>0</v>
      </c>
      <c r="G40" s="26">
        <f>IF(AND(COLUMN()&gt;=11,COLUMN()&lt;=20),(_xlfn.XLOOKUP($A40,#REF!,#REF!))/SUMIF($A$7:$AC$128,$A40,$AB$6:$AB$127)*G$5,0)</f>
        <v>0</v>
      </c>
      <c r="H40" s="26">
        <f>IF(AND(COLUMN()&gt;=11,COLUMN()&lt;=20),(_xlfn.XLOOKUP($A40,#REF!,#REF!))/SUMIF($A$7:$AC$128,$A40,$AB$6:$AB$127)*H$5,0)</f>
        <v>0</v>
      </c>
      <c r="I40" s="26">
        <f>IF(AND(COLUMN()&gt;=11,COLUMN()&lt;=20),(_xlfn.XLOOKUP($A40,#REF!,#REF!))/SUMIF($A$7:$AC$128,$A40,$AB$6:$AB$127)*I$5,0)</f>
        <v>0</v>
      </c>
      <c r="J40" s="26">
        <f>IF(AND(COLUMN()&gt;=11,COLUMN()&lt;=20),(_xlfn.XLOOKUP($A40,#REF!,#REF!))/SUMIF($A$7:$AC$128,$A40,$AB$6:$AB$127)*J$5,0)</f>
        <v>0</v>
      </c>
      <c r="K40" s="26" t="e">
        <f ca="1">IF(AND(COLUMN()&gt;=11,COLUMN()&lt;=20),(_xlfn.XLOOKUP($A40,#REF!,#REF!))/SUMIF($A$7:$AC$128,$A40,$AB$6:$AB$127)*K$5,0)</f>
        <v>#REF!</v>
      </c>
      <c r="L40" s="26" t="e">
        <f ca="1">IF(AND(COLUMN()&gt;=11,COLUMN()&lt;=20),(_xlfn.XLOOKUP($A40,#REF!,#REF!))/SUMIF($A$7:$AC$128,$A40,$AB$6:$AB$127)*L$5,0)</f>
        <v>#REF!</v>
      </c>
      <c r="M40" s="26" t="e">
        <f ca="1">IF(AND(COLUMN()&gt;=11,COLUMN()&lt;=20),(_xlfn.XLOOKUP($A40,#REF!,#REF!))/SUMIF($A$7:$AC$128,$A40,$AB$6:$AB$127)*M$5,0)</f>
        <v>#REF!</v>
      </c>
      <c r="N40" s="26" t="e">
        <f ca="1">IF(AND(COLUMN()&gt;=11,COLUMN()&lt;=20),(_xlfn.XLOOKUP($A40,#REF!,#REF!))/SUMIF($A$7:$AC$128,$A40,$AB$6:$AB$127)*N$5,0)</f>
        <v>#REF!</v>
      </c>
      <c r="O40" s="26" t="e">
        <f ca="1">IF(AND(COLUMN()&gt;=11,COLUMN()&lt;=20),(_xlfn.XLOOKUP($A40,#REF!,#REF!))/SUMIF($A$7:$AC$128,$A40,$AB$6:$AB$127)*O$5,0)</f>
        <v>#REF!</v>
      </c>
      <c r="P40" s="26" t="e">
        <f ca="1">IF(AND(COLUMN()&gt;=11,COLUMN()&lt;=20),(_xlfn.XLOOKUP($A40,#REF!,#REF!))/SUMIF($A$7:$AC$128,$A40,$AB$6:$AB$127)*P$5,0)</f>
        <v>#REF!</v>
      </c>
      <c r="Q40" s="26" t="e">
        <f ca="1">IF(AND(COLUMN()&gt;=11,COLUMN()&lt;=20),(_xlfn.XLOOKUP($A40,#REF!,#REF!))/SUMIF($A$7:$AC$128,$A40,$AB$6:$AB$127)*Q$5,0)</f>
        <v>#REF!</v>
      </c>
      <c r="R40" s="26" t="e">
        <f ca="1">IF(AND(COLUMN()&gt;=11,COLUMN()&lt;=20),(_xlfn.XLOOKUP($A40,#REF!,#REF!))/SUMIF($A$7:$AC$128,$A40,$AB$6:$AB$127)*R$5,0)</f>
        <v>#REF!</v>
      </c>
      <c r="S40" s="26" t="e">
        <f ca="1">IF(AND(COLUMN()&gt;=11,COLUMN()&lt;=20),(_xlfn.XLOOKUP($A40,#REF!,#REF!))/SUMIF($A$7:$AC$128,$A40,$AB$6:$AB$127)*S$5,0)</f>
        <v>#REF!</v>
      </c>
      <c r="T40" s="26" t="e">
        <f ca="1">IF(AND(COLUMN()&gt;=11,COLUMN()&lt;=20),(_xlfn.XLOOKUP($A40,#REF!,#REF!))/SUMIF($A$7:$AC$128,$A40,$AB$6:$AB$127)*T$5,0)</f>
        <v>#REF!</v>
      </c>
      <c r="U40" s="26">
        <f>IF(AND(COLUMN()&gt;=11,COLUMN()&lt;=20),(_xlfn.XLOOKUP($A40,#REF!,#REF!))/SUMIF($A$7:$AC$128,$A40,$AB$6:$AB$127)*U$5,0)</f>
        <v>0</v>
      </c>
      <c r="V40" s="26">
        <f>IF(AND(COLUMN()&gt;=11,COLUMN()&lt;=20),(_xlfn.XLOOKUP($A40,#REF!,#REF!))/SUMIF($A$7:$AC$128,$A40,$AB$6:$AB$127)*V$5,0)</f>
        <v>0</v>
      </c>
      <c r="W40" s="26">
        <f>IF(AND(COLUMN()&gt;=11,COLUMN()&lt;=20),(_xlfn.XLOOKUP($A40,#REF!,#REF!))/SUMIF($A$7:$AC$128,$A40,$AB$6:$AB$127)*W$5,0)</f>
        <v>0</v>
      </c>
      <c r="X40" s="26">
        <f>IF(AND(COLUMN()&gt;=11,COLUMN()&lt;=20),(_xlfn.XLOOKUP($A40,#REF!,#REF!))/SUMIF($A$7:$AC$128,$A40,$AB$6:$AB$127)*X$5,0)</f>
        <v>0</v>
      </c>
      <c r="Y40" s="26">
        <f>IF(AND(COLUMN()&gt;=11,COLUMN()&lt;=20),(_xlfn.XLOOKUP($A40,#REF!,#REF!))/SUMIF($A$7:$AC$128,$A40,$AB$6:$AB$127)*Y$5,0)</f>
        <v>0</v>
      </c>
      <c r="Z40" s="26">
        <f>IF(AND(COLUMN()&gt;=11,COLUMN()&lt;=20),(_xlfn.XLOOKUP($A40,#REF!,#REF!))/SUMIF($A$7:$AC$128,$A40,$AB$6:$AB$127)*Z$5,0)</f>
        <v>0</v>
      </c>
      <c r="AA40" s="26" t="e">
        <f t="shared" ca="1" si="5"/>
        <v>#REF!</v>
      </c>
      <c r="AB40" s="19">
        <f t="shared" si="2"/>
        <v>30</v>
      </c>
      <c r="AC40" s="20" t="e">
        <f t="shared" ca="1" si="3"/>
        <v>#REF!</v>
      </c>
      <c r="AD40" s="30" t="e">
        <f>#REF!/SUMIF(#REF!,'Curva de la oferta Prod 3'!$A40,#REF!)</f>
        <v>#REF!</v>
      </c>
      <c r="AE40" s="28"/>
      <c r="AF40" s="31"/>
      <c r="AG40" s="31"/>
      <c r="AH40" s="31"/>
      <c r="AI40" s="31"/>
      <c r="AJ40" s="31"/>
      <c r="AK40" s="31"/>
    </row>
    <row r="41" spans="1:37" ht="14.5" x14ac:dyDescent="0.35">
      <c r="A41" s="15">
        <f t="shared" si="0"/>
        <v>2028</v>
      </c>
      <c r="B41" s="18">
        <v>47027</v>
      </c>
      <c r="C41" s="26">
        <f>IF(AND(COLUMN()&gt;=11,COLUMN()&lt;=20),(_xlfn.XLOOKUP($A41,#REF!,#REF!))/SUMIF($A$7:$AC$128,$A41,$AB$6:$AB$127)*C$5,0)</f>
        <v>0</v>
      </c>
      <c r="D41" s="26">
        <f>IF(AND(COLUMN()&gt;=11,COLUMN()&lt;=20),(_xlfn.XLOOKUP($A41,#REF!,#REF!))/SUMIF($A$7:$AC$128,$A41,$AB$6:$AB$127)*D$5,0)</f>
        <v>0</v>
      </c>
      <c r="E41" s="26">
        <f>IF(AND(COLUMN()&gt;=11,COLUMN()&lt;=20),(_xlfn.XLOOKUP($A41,#REF!,#REF!))/SUMIF($A$7:$AC$128,$A41,$AB$6:$AB$127)*E$5,0)</f>
        <v>0</v>
      </c>
      <c r="F41" s="26">
        <f>IF(AND(COLUMN()&gt;=11,COLUMN()&lt;=20),(_xlfn.XLOOKUP($A41,#REF!,#REF!))/SUMIF($A$7:$AC$128,$A41,$AB$6:$AB$127)*F$5,0)</f>
        <v>0</v>
      </c>
      <c r="G41" s="26">
        <f>IF(AND(COLUMN()&gt;=11,COLUMN()&lt;=20),(_xlfn.XLOOKUP($A41,#REF!,#REF!))/SUMIF($A$7:$AC$128,$A41,$AB$6:$AB$127)*G$5,0)</f>
        <v>0</v>
      </c>
      <c r="H41" s="26">
        <f>IF(AND(COLUMN()&gt;=11,COLUMN()&lt;=20),(_xlfn.XLOOKUP($A41,#REF!,#REF!))/SUMIF($A$7:$AC$128,$A41,$AB$6:$AB$127)*H$5,0)</f>
        <v>0</v>
      </c>
      <c r="I41" s="26">
        <f>IF(AND(COLUMN()&gt;=11,COLUMN()&lt;=20),(_xlfn.XLOOKUP($A41,#REF!,#REF!))/SUMIF($A$7:$AC$128,$A41,$AB$6:$AB$127)*I$5,0)</f>
        <v>0</v>
      </c>
      <c r="J41" s="26">
        <f>IF(AND(COLUMN()&gt;=11,COLUMN()&lt;=20),(_xlfn.XLOOKUP($A41,#REF!,#REF!))/SUMIF($A$7:$AC$128,$A41,$AB$6:$AB$127)*J$5,0)</f>
        <v>0</v>
      </c>
      <c r="K41" s="26" t="e">
        <f ca="1">IF(AND(COLUMN()&gt;=11,COLUMN()&lt;=20),(_xlfn.XLOOKUP($A41,#REF!,#REF!))/SUMIF($A$7:$AC$128,$A41,$AB$6:$AB$127)*K$5,0)</f>
        <v>#REF!</v>
      </c>
      <c r="L41" s="26" t="e">
        <f ca="1">IF(AND(COLUMN()&gt;=11,COLUMN()&lt;=20),(_xlfn.XLOOKUP($A41,#REF!,#REF!))/SUMIF($A$7:$AC$128,$A41,$AB$6:$AB$127)*L$5,0)</f>
        <v>#REF!</v>
      </c>
      <c r="M41" s="26" t="e">
        <f ca="1">IF(AND(COLUMN()&gt;=11,COLUMN()&lt;=20),(_xlfn.XLOOKUP($A41,#REF!,#REF!))/SUMIF($A$7:$AC$128,$A41,$AB$6:$AB$127)*M$5,0)</f>
        <v>#REF!</v>
      </c>
      <c r="N41" s="26" t="e">
        <f ca="1">IF(AND(COLUMN()&gt;=11,COLUMN()&lt;=20),(_xlfn.XLOOKUP($A41,#REF!,#REF!))/SUMIF($A$7:$AC$128,$A41,$AB$6:$AB$127)*N$5,0)</f>
        <v>#REF!</v>
      </c>
      <c r="O41" s="26" t="e">
        <f ca="1">IF(AND(COLUMN()&gt;=11,COLUMN()&lt;=20),(_xlfn.XLOOKUP($A41,#REF!,#REF!))/SUMIF($A$7:$AC$128,$A41,$AB$6:$AB$127)*O$5,0)</f>
        <v>#REF!</v>
      </c>
      <c r="P41" s="26" t="e">
        <f ca="1">IF(AND(COLUMN()&gt;=11,COLUMN()&lt;=20),(_xlfn.XLOOKUP($A41,#REF!,#REF!))/SUMIF($A$7:$AC$128,$A41,$AB$6:$AB$127)*P$5,0)</f>
        <v>#REF!</v>
      </c>
      <c r="Q41" s="26" t="e">
        <f ca="1">IF(AND(COLUMN()&gt;=11,COLUMN()&lt;=20),(_xlfn.XLOOKUP($A41,#REF!,#REF!))/SUMIF($A$7:$AC$128,$A41,$AB$6:$AB$127)*Q$5,0)</f>
        <v>#REF!</v>
      </c>
      <c r="R41" s="26" t="e">
        <f ca="1">IF(AND(COLUMN()&gt;=11,COLUMN()&lt;=20),(_xlfn.XLOOKUP($A41,#REF!,#REF!))/SUMIF($A$7:$AC$128,$A41,$AB$6:$AB$127)*R$5,0)</f>
        <v>#REF!</v>
      </c>
      <c r="S41" s="26" t="e">
        <f ca="1">IF(AND(COLUMN()&gt;=11,COLUMN()&lt;=20),(_xlfn.XLOOKUP($A41,#REF!,#REF!))/SUMIF($A$7:$AC$128,$A41,$AB$6:$AB$127)*S$5,0)</f>
        <v>#REF!</v>
      </c>
      <c r="T41" s="26" t="e">
        <f ca="1">IF(AND(COLUMN()&gt;=11,COLUMN()&lt;=20),(_xlfn.XLOOKUP($A41,#REF!,#REF!))/SUMIF($A$7:$AC$128,$A41,$AB$6:$AB$127)*T$5,0)</f>
        <v>#REF!</v>
      </c>
      <c r="U41" s="26">
        <f>IF(AND(COLUMN()&gt;=11,COLUMN()&lt;=20),(_xlfn.XLOOKUP($A41,#REF!,#REF!))/SUMIF($A$7:$AC$128,$A41,$AB$6:$AB$127)*U$5,0)</f>
        <v>0</v>
      </c>
      <c r="V41" s="26">
        <f>IF(AND(COLUMN()&gt;=11,COLUMN()&lt;=20),(_xlfn.XLOOKUP($A41,#REF!,#REF!))/SUMIF($A$7:$AC$128,$A41,$AB$6:$AB$127)*V$5,0)</f>
        <v>0</v>
      </c>
      <c r="W41" s="26">
        <f>IF(AND(COLUMN()&gt;=11,COLUMN()&lt;=20),(_xlfn.XLOOKUP($A41,#REF!,#REF!))/SUMIF($A$7:$AC$128,$A41,$AB$6:$AB$127)*W$5,0)</f>
        <v>0</v>
      </c>
      <c r="X41" s="26">
        <f>IF(AND(COLUMN()&gt;=11,COLUMN()&lt;=20),(_xlfn.XLOOKUP($A41,#REF!,#REF!))/SUMIF($A$7:$AC$128,$A41,$AB$6:$AB$127)*X$5,0)</f>
        <v>0</v>
      </c>
      <c r="Y41" s="26">
        <f>IF(AND(COLUMN()&gt;=11,COLUMN()&lt;=20),(_xlfn.XLOOKUP($A41,#REF!,#REF!))/SUMIF($A$7:$AC$128,$A41,$AB$6:$AB$127)*Y$5,0)</f>
        <v>0</v>
      </c>
      <c r="Z41" s="26">
        <f>IF(AND(COLUMN()&gt;=11,COLUMN()&lt;=20),(_xlfn.XLOOKUP($A41,#REF!,#REF!))/SUMIF($A$7:$AC$128,$A41,$AB$6:$AB$127)*Z$5,0)</f>
        <v>0</v>
      </c>
      <c r="AA41" s="26" t="e">
        <f t="shared" ca="1" si="5"/>
        <v>#REF!</v>
      </c>
      <c r="AB41" s="19">
        <f t="shared" si="2"/>
        <v>31</v>
      </c>
      <c r="AC41" s="20" t="e">
        <f t="shared" ca="1" si="3"/>
        <v>#REF!</v>
      </c>
      <c r="AD41" s="30" t="e">
        <f>#REF!/SUMIF(#REF!,'Curva de la oferta Prod 3'!$A41,#REF!)</f>
        <v>#REF!</v>
      </c>
      <c r="AE41" s="28"/>
      <c r="AF41" s="31"/>
      <c r="AG41" s="31"/>
      <c r="AH41" s="31"/>
      <c r="AI41" s="31"/>
      <c r="AJ41" s="31"/>
      <c r="AK41" s="31"/>
    </row>
    <row r="42" spans="1:37" ht="14.5" x14ac:dyDescent="0.35">
      <c r="A42" s="15">
        <f t="shared" si="0"/>
        <v>2028</v>
      </c>
      <c r="B42" s="18">
        <v>47058</v>
      </c>
      <c r="C42" s="26">
        <f>IF(AND(COLUMN()&gt;=11,COLUMN()&lt;=20),(_xlfn.XLOOKUP($A42,#REF!,#REF!))/SUMIF($A$7:$AC$128,$A42,$AB$6:$AB$127)*C$5,0)</f>
        <v>0</v>
      </c>
      <c r="D42" s="26">
        <f>IF(AND(COLUMN()&gt;=11,COLUMN()&lt;=20),(_xlfn.XLOOKUP($A42,#REF!,#REF!))/SUMIF($A$7:$AC$128,$A42,$AB$6:$AB$127)*D$5,0)</f>
        <v>0</v>
      </c>
      <c r="E42" s="26">
        <f>IF(AND(COLUMN()&gt;=11,COLUMN()&lt;=20),(_xlfn.XLOOKUP($A42,#REF!,#REF!))/SUMIF($A$7:$AC$128,$A42,$AB$6:$AB$127)*E$5,0)</f>
        <v>0</v>
      </c>
      <c r="F42" s="26">
        <f>IF(AND(COLUMN()&gt;=11,COLUMN()&lt;=20),(_xlfn.XLOOKUP($A42,#REF!,#REF!))/SUMIF($A$7:$AC$128,$A42,$AB$6:$AB$127)*F$5,0)</f>
        <v>0</v>
      </c>
      <c r="G42" s="26">
        <f>IF(AND(COLUMN()&gt;=11,COLUMN()&lt;=20),(_xlfn.XLOOKUP($A42,#REF!,#REF!))/SUMIF($A$7:$AC$128,$A42,$AB$6:$AB$127)*G$5,0)</f>
        <v>0</v>
      </c>
      <c r="H42" s="26">
        <f>IF(AND(COLUMN()&gt;=11,COLUMN()&lt;=20),(_xlfn.XLOOKUP($A42,#REF!,#REF!))/SUMIF($A$7:$AC$128,$A42,$AB$6:$AB$127)*H$5,0)</f>
        <v>0</v>
      </c>
      <c r="I42" s="26">
        <f>IF(AND(COLUMN()&gt;=11,COLUMN()&lt;=20),(_xlfn.XLOOKUP($A42,#REF!,#REF!))/SUMIF($A$7:$AC$128,$A42,$AB$6:$AB$127)*I$5,0)</f>
        <v>0</v>
      </c>
      <c r="J42" s="26">
        <f>IF(AND(COLUMN()&gt;=11,COLUMN()&lt;=20),(_xlfn.XLOOKUP($A42,#REF!,#REF!))/SUMIF($A$7:$AC$128,$A42,$AB$6:$AB$127)*J$5,0)</f>
        <v>0</v>
      </c>
      <c r="K42" s="26" t="e">
        <f ca="1">IF(AND(COLUMN()&gt;=11,COLUMN()&lt;=20),(_xlfn.XLOOKUP($A42,#REF!,#REF!))/SUMIF($A$7:$AC$128,$A42,$AB$6:$AB$127)*K$5,0)</f>
        <v>#REF!</v>
      </c>
      <c r="L42" s="26" t="e">
        <f ca="1">IF(AND(COLUMN()&gt;=11,COLUMN()&lt;=20),(_xlfn.XLOOKUP($A42,#REF!,#REF!))/SUMIF($A$7:$AC$128,$A42,$AB$6:$AB$127)*L$5,0)</f>
        <v>#REF!</v>
      </c>
      <c r="M42" s="26" t="e">
        <f ca="1">IF(AND(COLUMN()&gt;=11,COLUMN()&lt;=20),(_xlfn.XLOOKUP($A42,#REF!,#REF!))/SUMIF($A$7:$AC$128,$A42,$AB$6:$AB$127)*M$5,0)</f>
        <v>#REF!</v>
      </c>
      <c r="N42" s="26" t="e">
        <f ca="1">IF(AND(COLUMN()&gt;=11,COLUMN()&lt;=20),(_xlfn.XLOOKUP($A42,#REF!,#REF!))/SUMIF($A$7:$AC$128,$A42,$AB$6:$AB$127)*N$5,0)</f>
        <v>#REF!</v>
      </c>
      <c r="O42" s="26" t="e">
        <f ca="1">IF(AND(COLUMN()&gt;=11,COLUMN()&lt;=20),(_xlfn.XLOOKUP($A42,#REF!,#REF!))/SUMIF($A$7:$AC$128,$A42,$AB$6:$AB$127)*O$5,0)</f>
        <v>#REF!</v>
      </c>
      <c r="P42" s="26" t="e">
        <f ca="1">IF(AND(COLUMN()&gt;=11,COLUMN()&lt;=20),(_xlfn.XLOOKUP($A42,#REF!,#REF!))/SUMIF($A$7:$AC$128,$A42,$AB$6:$AB$127)*P$5,0)</f>
        <v>#REF!</v>
      </c>
      <c r="Q42" s="26" t="e">
        <f ca="1">IF(AND(COLUMN()&gt;=11,COLUMN()&lt;=20),(_xlfn.XLOOKUP($A42,#REF!,#REF!))/SUMIF($A$7:$AC$128,$A42,$AB$6:$AB$127)*Q$5,0)</f>
        <v>#REF!</v>
      </c>
      <c r="R42" s="26" t="e">
        <f ca="1">IF(AND(COLUMN()&gt;=11,COLUMN()&lt;=20),(_xlfn.XLOOKUP($A42,#REF!,#REF!))/SUMIF($A$7:$AC$128,$A42,$AB$6:$AB$127)*R$5,0)</f>
        <v>#REF!</v>
      </c>
      <c r="S42" s="26" t="e">
        <f ca="1">IF(AND(COLUMN()&gt;=11,COLUMN()&lt;=20),(_xlfn.XLOOKUP($A42,#REF!,#REF!))/SUMIF($A$7:$AC$128,$A42,$AB$6:$AB$127)*S$5,0)</f>
        <v>#REF!</v>
      </c>
      <c r="T42" s="26" t="e">
        <f ca="1">IF(AND(COLUMN()&gt;=11,COLUMN()&lt;=20),(_xlfn.XLOOKUP($A42,#REF!,#REF!))/SUMIF($A$7:$AC$128,$A42,$AB$6:$AB$127)*T$5,0)</f>
        <v>#REF!</v>
      </c>
      <c r="U42" s="26">
        <f>IF(AND(COLUMN()&gt;=11,COLUMN()&lt;=20),(_xlfn.XLOOKUP($A42,#REF!,#REF!))/SUMIF($A$7:$AC$128,$A42,$AB$6:$AB$127)*U$5,0)</f>
        <v>0</v>
      </c>
      <c r="V42" s="26">
        <f>IF(AND(COLUMN()&gt;=11,COLUMN()&lt;=20),(_xlfn.XLOOKUP($A42,#REF!,#REF!))/SUMIF($A$7:$AC$128,$A42,$AB$6:$AB$127)*V$5,0)</f>
        <v>0</v>
      </c>
      <c r="W42" s="26">
        <f>IF(AND(COLUMN()&gt;=11,COLUMN()&lt;=20),(_xlfn.XLOOKUP($A42,#REF!,#REF!))/SUMIF($A$7:$AC$128,$A42,$AB$6:$AB$127)*W$5,0)</f>
        <v>0</v>
      </c>
      <c r="X42" s="26">
        <f>IF(AND(COLUMN()&gt;=11,COLUMN()&lt;=20),(_xlfn.XLOOKUP($A42,#REF!,#REF!))/SUMIF($A$7:$AC$128,$A42,$AB$6:$AB$127)*X$5,0)</f>
        <v>0</v>
      </c>
      <c r="Y42" s="26">
        <f>IF(AND(COLUMN()&gt;=11,COLUMN()&lt;=20),(_xlfn.XLOOKUP($A42,#REF!,#REF!))/SUMIF($A$7:$AC$128,$A42,$AB$6:$AB$127)*Y$5,0)</f>
        <v>0</v>
      </c>
      <c r="Z42" s="26">
        <f>IF(AND(COLUMN()&gt;=11,COLUMN()&lt;=20),(_xlfn.XLOOKUP($A42,#REF!,#REF!))/SUMIF($A$7:$AC$128,$A42,$AB$6:$AB$127)*Z$5,0)</f>
        <v>0</v>
      </c>
      <c r="AA42" s="26" t="e">
        <f t="shared" ca="1" si="5"/>
        <v>#REF!</v>
      </c>
      <c r="AB42" s="19">
        <f t="shared" si="2"/>
        <v>30</v>
      </c>
      <c r="AC42" s="20" t="e">
        <f t="shared" ca="1" si="3"/>
        <v>#REF!</v>
      </c>
      <c r="AD42" s="30" t="e">
        <f>#REF!/SUMIF(#REF!,'Curva de la oferta Prod 3'!$A42,#REF!)</f>
        <v>#REF!</v>
      </c>
      <c r="AE42" s="28"/>
      <c r="AF42" s="31"/>
      <c r="AG42" s="31"/>
      <c r="AH42" s="31"/>
      <c r="AI42" s="31"/>
      <c r="AJ42" s="31"/>
      <c r="AK42" s="31"/>
    </row>
    <row r="43" spans="1:37" ht="14.5" x14ac:dyDescent="0.35">
      <c r="A43" s="15">
        <f t="shared" si="0"/>
        <v>2028</v>
      </c>
      <c r="B43" s="18">
        <v>47088</v>
      </c>
      <c r="C43" s="26">
        <f>IF(AND(COLUMN()&gt;=11,COLUMN()&lt;=20),(_xlfn.XLOOKUP($A43,#REF!,#REF!))/SUMIF($A$7:$AC$128,$A43,$AB$6:$AB$127)*C$5,0)</f>
        <v>0</v>
      </c>
      <c r="D43" s="26">
        <f>IF(AND(COLUMN()&gt;=11,COLUMN()&lt;=20),(_xlfn.XLOOKUP($A43,#REF!,#REF!))/SUMIF($A$7:$AC$128,$A43,$AB$6:$AB$127)*D$5,0)</f>
        <v>0</v>
      </c>
      <c r="E43" s="26">
        <f>IF(AND(COLUMN()&gt;=11,COLUMN()&lt;=20),(_xlfn.XLOOKUP($A43,#REF!,#REF!))/SUMIF($A$7:$AC$128,$A43,$AB$6:$AB$127)*E$5,0)</f>
        <v>0</v>
      </c>
      <c r="F43" s="26">
        <f>IF(AND(COLUMN()&gt;=11,COLUMN()&lt;=20),(_xlfn.XLOOKUP($A43,#REF!,#REF!))/SUMIF($A$7:$AC$128,$A43,$AB$6:$AB$127)*F$5,0)</f>
        <v>0</v>
      </c>
      <c r="G43" s="26">
        <f>IF(AND(COLUMN()&gt;=11,COLUMN()&lt;=20),(_xlfn.XLOOKUP($A43,#REF!,#REF!))/SUMIF($A$7:$AC$128,$A43,$AB$6:$AB$127)*G$5,0)</f>
        <v>0</v>
      </c>
      <c r="H43" s="26">
        <f>IF(AND(COLUMN()&gt;=11,COLUMN()&lt;=20),(_xlfn.XLOOKUP($A43,#REF!,#REF!))/SUMIF($A$7:$AC$128,$A43,$AB$6:$AB$127)*H$5,0)</f>
        <v>0</v>
      </c>
      <c r="I43" s="26">
        <f>IF(AND(COLUMN()&gt;=11,COLUMN()&lt;=20),(_xlfn.XLOOKUP($A43,#REF!,#REF!))/SUMIF($A$7:$AC$128,$A43,$AB$6:$AB$127)*I$5,0)</f>
        <v>0</v>
      </c>
      <c r="J43" s="26">
        <f>IF(AND(COLUMN()&gt;=11,COLUMN()&lt;=20),(_xlfn.XLOOKUP($A43,#REF!,#REF!))/SUMIF($A$7:$AC$128,$A43,$AB$6:$AB$127)*J$5,0)</f>
        <v>0</v>
      </c>
      <c r="K43" s="26" t="e">
        <f ca="1">IF(AND(COLUMN()&gt;=11,COLUMN()&lt;=20),(_xlfn.XLOOKUP($A43,#REF!,#REF!))/SUMIF($A$7:$AC$128,$A43,$AB$6:$AB$127)*K$5,0)</f>
        <v>#REF!</v>
      </c>
      <c r="L43" s="26" t="e">
        <f ca="1">IF(AND(COLUMN()&gt;=11,COLUMN()&lt;=20),(_xlfn.XLOOKUP($A43,#REF!,#REF!))/SUMIF($A$7:$AC$128,$A43,$AB$6:$AB$127)*L$5,0)</f>
        <v>#REF!</v>
      </c>
      <c r="M43" s="26" t="e">
        <f ca="1">IF(AND(COLUMN()&gt;=11,COLUMN()&lt;=20),(_xlfn.XLOOKUP($A43,#REF!,#REF!))/SUMIF($A$7:$AC$128,$A43,$AB$6:$AB$127)*M$5,0)</f>
        <v>#REF!</v>
      </c>
      <c r="N43" s="26" t="e">
        <f ca="1">IF(AND(COLUMN()&gt;=11,COLUMN()&lt;=20),(_xlfn.XLOOKUP($A43,#REF!,#REF!))/SUMIF($A$7:$AC$128,$A43,$AB$6:$AB$127)*N$5,0)</f>
        <v>#REF!</v>
      </c>
      <c r="O43" s="26" t="e">
        <f ca="1">IF(AND(COLUMN()&gt;=11,COLUMN()&lt;=20),(_xlfn.XLOOKUP($A43,#REF!,#REF!))/SUMIF($A$7:$AC$128,$A43,$AB$6:$AB$127)*O$5,0)</f>
        <v>#REF!</v>
      </c>
      <c r="P43" s="26" t="e">
        <f ca="1">IF(AND(COLUMN()&gt;=11,COLUMN()&lt;=20),(_xlfn.XLOOKUP($A43,#REF!,#REF!))/SUMIF($A$7:$AC$128,$A43,$AB$6:$AB$127)*P$5,0)</f>
        <v>#REF!</v>
      </c>
      <c r="Q43" s="26" t="e">
        <f ca="1">IF(AND(COLUMN()&gt;=11,COLUMN()&lt;=20),(_xlfn.XLOOKUP($A43,#REF!,#REF!))/SUMIF($A$7:$AC$128,$A43,$AB$6:$AB$127)*Q$5,0)</f>
        <v>#REF!</v>
      </c>
      <c r="R43" s="26" t="e">
        <f ca="1">IF(AND(COLUMN()&gt;=11,COLUMN()&lt;=20),(_xlfn.XLOOKUP($A43,#REF!,#REF!))/SUMIF($A$7:$AC$128,$A43,$AB$6:$AB$127)*R$5,0)</f>
        <v>#REF!</v>
      </c>
      <c r="S43" s="26" t="e">
        <f ca="1">IF(AND(COLUMN()&gt;=11,COLUMN()&lt;=20),(_xlfn.XLOOKUP($A43,#REF!,#REF!))/SUMIF($A$7:$AC$128,$A43,$AB$6:$AB$127)*S$5,0)</f>
        <v>#REF!</v>
      </c>
      <c r="T43" s="26" t="e">
        <f ca="1">IF(AND(COLUMN()&gt;=11,COLUMN()&lt;=20),(_xlfn.XLOOKUP($A43,#REF!,#REF!))/SUMIF($A$7:$AC$128,$A43,$AB$6:$AB$127)*T$5,0)</f>
        <v>#REF!</v>
      </c>
      <c r="U43" s="26">
        <f>IF(AND(COLUMN()&gt;=11,COLUMN()&lt;=20),(_xlfn.XLOOKUP($A43,#REF!,#REF!))/SUMIF($A$7:$AC$128,$A43,$AB$6:$AB$127)*U$5,0)</f>
        <v>0</v>
      </c>
      <c r="V43" s="26">
        <f>IF(AND(COLUMN()&gt;=11,COLUMN()&lt;=20),(_xlfn.XLOOKUP($A43,#REF!,#REF!))/SUMIF($A$7:$AC$128,$A43,$AB$6:$AB$127)*V$5,0)</f>
        <v>0</v>
      </c>
      <c r="W43" s="26">
        <f>IF(AND(COLUMN()&gt;=11,COLUMN()&lt;=20),(_xlfn.XLOOKUP($A43,#REF!,#REF!))/SUMIF($A$7:$AC$128,$A43,$AB$6:$AB$127)*W$5,0)</f>
        <v>0</v>
      </c>
      <c r="X43" s="26">
        <f>IF(AND(COLUMN()&gt;=11,COLUMN()&lt;=20),(_xlfn.XLOOKUP($A43,#REF!,#REF!))/SUMIF($A$7:$AC$128,$A43,$AB$6:$AB$127)*X$5,0)</f>
        <v>0</v>
      </c>
      <c r="Y43" s="26">
        <f>IF(AND(COLUMN()&gt;=11,COLUMN()&lt;=20),(_xlfn.XLOOKUP($A43,#REF!,#REF!))/SUMIF($A$7:$AC$128,$A43,$AB$6:$AB$127)*Y$5,0)</f>
        <v>0</v>
      </c>
      <c r="Z43" s="26">
        <f>IF(AND(COLUMN()&gt;=11,COLUMN()&lt;=20),(_xlfn.XLOOKUP($A43,#REF!,#REF!))/SUMIF($A$7:$AC$128,$A43,$AB$6:$AB$127)*Z$5,0)</f>
        <v>0</v>
      </c>
      <c r="AA43" s="26" t="e">
        <f t="shared" ref="AA43:AA44" ca="1" si="6">SUM(C43:Z43)</f>
        <v>#REF!</v>
      </c>
      <c r="AB43" s="19">
        <f t="shared" si="2"/>
        <v>31</v>
      </c>
      <c r="AC43" s="20" t="e">
        <f t="shared" ca="1" si="3"/>
        <v>#REF!</v>
      </c>
      <c r="AD43" s="30" t="e">
        <f>#REF!/SUMIF(#REF!,'Curva de la oferta Prod 3'!$A43,#REF!)</f>
        <v>#REF!</v>
      </c>
      <c r="AE43" s="28"/>
      <c r="AF43" s="31"/>
      <c r="AG43" s="31"/>
      <c r="AH43" s="31"/>
      <c r="AI43" s="31"/>
      <c r="AJ43" s="31"/>
      <c r="AK43" s="31"/>
    </row>
    <row r="44" spans="1:37" ht="14.5" x14ac:dyDescent="0.35">
      <c r="A44" s="15">
        <f t="shared" si="0"/>
        <v>2029</v>
      </c>
      <c r="B44" s="18">
        <v>47119</v>
      </c>
      <c r="C44" s="26">
        <f>IF(AND(COLUMN()&gt;=11,COLUMN()&lt;=20),(_xlfn.XLOOKUP($A44,#REF!,#REF!))/SUMIF($A$7:$AC$128,$A44,$AB$6:$AB$127)*C$5,0)</f>
        <v>0</v>
      </c>
      <c r="D44" s="26">
        <f>IF(AND(COLUMN()&gt;=11,COLUMN()&lt;=20),(_xlfn.XLOOKUP($A44,#REF!,#REF!))/SUMIF($A$7:$AC$128,$A44,$AB$6:$AB$127)*D$5,0)</f>
        <v>0</v>
      </c>
      <c r="E44" s="26">
        <f>IF(AND(COLUMN()&gt;=11,COLUMN()&lt;=20),(_xlfn.XLOOKUP($A44,#REF!,#REF!))/SUMIF($A$7:$AC$128,$A44,$AB$6:$AB$127)*E$5,0)</f>
        <v>0</v>
      </c>
      <c r="F44" s="26">
        <f>IF(AND(COLUMN()&gt;=11,COLUMN()&lt;=20),(_xlfn.XLOOKUP($A44,#REF!,#REF!))/SUMIF($A$7:$AC$128,$A44,$AB$6:$AB$127)*F$5,0)</f>
        <v>0</v>
      </c>
      <c r="G44" s="26">
        <f>IF(AND(COLUMN()&gt;=11,COLUMN()&lt;=20),(_xlfn.XLOOKUP($A44,#REF!,#REF!))/SUMIF($A$7:$AC$128,$A44,$AB$6:$AB$127)*G$5,0)</f>
        <v>0</v>
      </c>
      <c r="H44" s="26">
        <f>IF(AND(COLUMN()&gt;=11,COLUMN()&lt;=20),(_xlfn.XLOOKUP($A44,#REF!,#REF!))/SUMIF($A$7:$AC$128,$A44,$AB$6:$AB$127)*H$5,0)</f>
        <v>0</v>
      </c>
      <c r="I44" s="26">
        <f>IF(AND(COLUMN()&gt;=11,COLUMN()&lt;=20),(_xlfn.XLOOKUP($A44,#REF!,#REF!))/SUMIF($A$7:$AC$128,$A44,$AB$6:$AB$127)*I$5,0)</f>
        <v>0</v>
      </c>
      <c r="J44" s="26">
        <f>IF(AND(COLUMN()&gt;=11,COLUMN()&lt;=20),(_xlfn.XLOOKUP($A44,#REF!,#REF!))/SUMIF($A$7:$AC$128,$A44,$AB$6:$AB$127)*J$5,0)</f>
        <v>0</v>
      </c>
      <c r="K44" s="26" t="e">
        <f ca="1">IF(AND(COLUMN()&gt;=11,COLUMN()&lt;=20),(_xlfn.XLOOKUP($A44,#REF!,#REF!))/SUMIF($A$7:$AC$128,$A44,$AB$6:$AB$127)*K$5,0)</f>
        <v>#REF!</v>
      </c>
      <c r="L44" s="26" t="e">
        <f ca="1">IF(AND(COLUMN()&gt;=11,COLUMN()&lt;=20),(_xlfn.XLOOKUP($A44,#REF!,#REF!))/SUMIF($A$7:$AC$128,$A44,$AB$6:$AB$127)*L$5,0)</f>
        <v>#REF!</v>
      </c>
      <c r="M44" s="26" t="e">
        <f ca="1">IF(AND(COLUMN()&gt;=11,COLUMN()&lt;=20),(_xlfn.XLOOKUP($A44,#REF!,#REF!))/SUMIF($A$7:$AC$128,$A44,$AB$6:$AB$127)*M$5,0)</f>
        <v>#REF!</v>
      </c>
      <c r="N44" s="26" t="e">
        <f ca="1">IF(AND(COLUMN()&gt;=11,COLUMN()&lt;=20),(_xlfn.XLOOKUP($A44,#REF!,#REF!))/SUMIF($A$7:$AC$128,$A44,$AB$6:$AB$127)*N$5,0)</f>
        <v>#REF!</v>
      </c>
      <c r="O44" s="26" t="e">
        <f ca="1">IF(AND(COLUMN()&gt;=11,COLUMN()&lt;=20),(_xlfn.XLOOKUP($A44,#REF!,#REF!))/SUMIF($A$7:$AC$128,$A44,$AB$6:$AB$127)*O$5,0)</f>
        <v>#REF!</v>
      </c>
      <c r="P44" s="26" t="e">
        <f ca="1">IF(AND(COLUMN()&gt;=11,COLUMN()&lt;=20),(_xlfn.XLOOKUP($A44,#REF!,#REF!))/SUMIF($A$7:$AC$128,$A44,$AB$6:$AB$127)*P$5,0)</f>
        <v>#REF!</v>
      </c>
      <c r="Q44" s="26" t="e">
        <f ca="1">IF(AND(COLUMN()&gt;=11,COLUMN()&lt;=20),(_xlfn.XLOOKUP($A44,#REF!,#REF!))/SUMIF($A$7:$AC$128,$A44,$AB$6:$AB$127)*Q$5,0)</f>
        <v>#REF!</v>
      </c>
      <c r="R44" s="26" t="e">
        <f ca="1">IF(AND(COLUMN()&gt;=11,COLUMN()&lt;=20),(_xlfn.XLOOKUP($A44,#REF!,#REF!))/SUMIF($A$7:$AC$128,$A44,$AB$6:$AB$127)*R$5,0)</f>
        <v>#REF!</v>
      </c>
      <c r="S44" s="26" t="e">
        <f ca="1">IF(AND(COLUMN()&gt;=11,COLUMN()&lt;=20),(_xlfn.XLOOKUP($A44,#REF!,#REF!))/SUMIF($A$7:$AC$128,$A44,$AB$6:$AB$127)*S$5,0)</f>
        <v>#REF!</v>
      </c>
      <c r="T44" s="26" t="e">
        <f ca="1">IF(AND(COLUMN()&gt;=11,COLUMN()&lt;=20),(_xlfn.XLOOKUP($A44,#REF!,#REF!))/SUMIF($A$7:$AC$128,$A44,$AB$6:$AB$127)*T$5,0)</f>
        <v>#REF!</v>
      </c>
      <c r="U44" s="26">
        <f>IF(AND(COLUMN()&gt;=11,COLUMN()&lt;=20),(_xlfn.XLOOKUP($A44,#REF!,#REF!))/SUMIF($A$7:$AC$128,$A44,$AB$6:$AB$127)*U$5,0)</f>
        <v>0</v>
      </c>
      <c r="V44" s="26">
        <f>IF(AND(COLUMN()&gt;=11,COLUMN()&lt;=20),(_xlfn.XLOOKUP($A44,#REF!,#REF!))/SUMIF($A$7:$AC$128,$A44,$AB$6:$AB$127)*V$5,0)</f>
        <v>0</v>
      </c>
      <c r="W44" s="26">
        <f>IF(AND(COLUMN()&gt;=11,COLUMN()&lt;=20),(_xlfn.XLOOKUP($A44,#REF!,#REF!))/SUMIF($A$7:$AC$128,$A44,$AB$6:$AB$127)*W$5,0)</f>
        <v>0</v>
      </c>
      <c r="X44" s="26">
        <f>IF(AND(COLUMN()&gt;=11,COLUMN()&lt;=20),(_xlfn.XLOOKUP($A44,#REF!,#REF!))/SUMIF($A$7:$AC$128,$A44,$AB$6:$AB$127)*X$5,0)</f>
        <v>0</v>
      </c>
      <c r="Y44" s="26">
        <f>IF(AND(COLUMN()&gt;=11,COLUMN()&lt;=20),(_xlfn.XLOOKUP($A44,#REF!,#REF!))/SUMIF($A$7:$AC$128,$A44,$AB$6:$AB$127)*Y$5,0)</f>
        <v>0</v>
      </c>
      <c r="Z44" s="26">
        <f>IF(AND(COLUMN()&gt;=11,COLUMN()&lt;=20),(_xlfn.XLOOKUP($A44,#REF!,#REF!))/SUMIF($A$7:$AC$128,$A44,$AB$6:$AB$127)*Z$5,0)</f>
        <v>0</v>
      </c>
      <c r="AA44" s="26" t="e">
        <f t="shared" ca="1" si="6"/>
        <v>#REF!</v>
      </c>
      <c r="AB44" s="19">
        <f t="shared" si="2"/>
        <v>31</v>
      </c>
      <c r="AC44" s="20" t="e">
        <f t="shared" ca="1" si="3"/>
        <v>#REF!</v>
      </c>
      <c r="AD44" s="30" t="e">
        <f>#REF!/SUMIF(#REF!,'Curva de la oferta Prod 3'!$A44,#REF!)</f>
        <v>#REF!</v>
      </c>
      <c r="AE44" s="28"/>
      <c r="AF44" s="31"/>
      <c r="AG44" s="31"/>
      <c r="AH44" s="31"/>
      <c r="AI44" s="31"/>
      <c r="AJ44" s="31"/>
      <c r="AK44" s="31"/>
    </row>
    <row r="45" spans="1:37" ht="14.5" x14ac:dyDescent="0.35">
      <c r="A45" s="15">
        <f t="shared" si="0"/>
        <v>2029</v>
      </c>
      <c r="B45" s="18">
        <v>47150</v>
      </c>
      <c r="C45" s="26">
        <f>IF(AND(COLUMN()&gt;=11,COLUMN()&lt;=20),(_xlfn.XLOOKUP($A45,#REF!,#REF!))/SUMIF($A$7:$AC$128,$A45,$AB$6:$AB$127)*C$5,0)</f>
        <v>0</v>
      </c>
      <c r="D45" s="26">
        <f>IF(AND(COLUMN()&gt;=11,COLUMN()&lt;=20),(_xlfn.XLOOKUP($A45,#REF!,#REF!))/SUMIF($A$7:$AC$128,$A45,$AB$6:$AB$127)*D$5,0)</f>
        <v>0</v>
      </c>
      <c r="E45" s="26">
        <f>IF(AND(COLUMN()&gt;=11,COLUMN()&lt;=20),(_xlfn.XLOOKUP($A45,#REF!,#REF!))/SUMIF($A$7:$AC$128,$A45,$AB$6:$AB$127)*E$5,0)</f>
        <v>0</v>
      </c>
      <c r="F45" s="26">
        <f>IF(AND(COLUMN()&gt;=11,COLUMN()&lt;=20),(_xlfn.XLOOKUP($A45,#REF!,#REF!))/SUMIF($A$7:$AC$128,$A45,$AB$6:$AB$127)*F$5,0)</f>
        <v>0</v>
      </c>
      <c r="G45" s="26">
        <f>IF(AND(COLUMN()&gt;=11,COLUMN()&lt;=20),(_xlfn.XLOOKUP($A45,#REF!,#REF!))/SUMIF($A$7:$AC$128,$A45,$AB$6:$AB$127)*G$5,0)</f>
        <v>0</v>
      </c>
      <c r="H45" s="26">
        <f>IF(AND(COLUMN()&gt;=11,COLUMN()&lt;=20),(_xlfn.XLOOKUP($A45,#REF!,#REF!))/SUMIF($A$7:$AC$128,$A45,$AB$6:$AB$127)*H$5,0)</f>
        <v>0</v>
      </c>
      <c r="I45" s="26">
        <f>IF(AND(COLUMN()&gt;=11,COLUMN()&lt;=20),(_xlfn.XLOOKUP($A45,#REF!,#REF!))/SUMIF($A$7:$AC$128,$A45,$AB$6:$AB$127)*I$5,0)</f>
        <v>0</v>
      </c>
      <c r="J45" s="26">
        <f>IF(AND(COLUMN()&gt;=11,COLUMN()&lt;=20),(_xlfn.XLOOKUP($A45,#REF!,#REF!))/SUMIF($A$7:$AC$128,$A45,$AB$6:$AB$127)*J$5,0)</f>
        <v>0</v>
      </c>
      <c r="K45" s="26" t="e">
        <f ca="1">IF(AND(COLUMN()&gt;=11,COLUMN()&lt;=20),(_xlfn.XLOOKUP($A45,#REF!,#REF!))/SUMIF($A$7:$AC$128,$A45,$AB$6:$AB$127)*K$5,0)</f>
        <v>#REF!</v>
      </c>
      <c r="L45" s="26" t="e">
        <f ca="1">IF(AND(COLUMN()&gt;=11,COLUMN()&lt;=20),(_xlfn.XLOOKUP($A45,#REF!,#REF!))/SUMIF($A$7:$AC$128,$A45,$AB$6:$AB$127)*L$5,0)</f>
        <v>#REF!</v>
      </c>
      <c r="M45" s="26" t="e">
        <f ca="1">IF(AND(COLUMN()&gt;=11,COLUMN()&lt;=20),(_xlfn.XLOOKUP($A45,#REF!,#REF!))/SUMIF($A$7:$AC$128,$A45,$AB$6:$AB$127)*M$5,0)</f>
        <v>#REF!</v>
      </c>
      <c r="N45" s="26" t="e">
        <f ca="1">IF(AND(COLUMN()&gt;=11,COLUMN()&lt;=20),(_xlfn.XLOOKUP($A45,#REF!,#REF!))/SUMIF($A$7:$AC$128,$A45,$AB$6:$AB$127)*N$5,0)</f>
        <v>#REF!</v>
      </c>
      <c r="O45" s="26" t="e">
        <f ca="1">IF(AND(COLUMN()&gt;=11,COLUMN()&lt;=20),(_xlfn.XLOOKUP($A45,#REF!,#REF!))/SUMIF($A$7:$AC$128,$A45,$AB$6:$AB$127)*O$5,0)</f>
        <v>#REF!</v>
      </c>
      <c r="P45" s="26" t="e">
        <f ca="1">IF(AND(COLUMN()&gt;=11,COLUMN()&lt;=20),(_xlfn.XLOOKUP($A45,#REF!,#REF!))/SUMIF($A$7:$AC$128,$A45,$AB$6:$AB$127)*P$5,0)</f>
        <v>#REF!</v>
      </c>
      <c r="Q45" s="26" t="e">
        <f ca="1">IF(AND(COLUMN()&gt;=11,COLUMN()&lt;=20),(_xlfn.XLOOKUP($A45,#REF!,#REF!))/SUMIF($A$7:$AC$128,$A45,$AB$6:$AB$127)*Q$5,0)</f>
        <v>#REF!</v>
      </c>
      <c r="R45" s="26" t="e">
        <f ca="1">IF(AND(COLUMN()&gt;=11,COLUMN()&lt;=20),(_xlfn.XLOOKUP($A45,#REF!,#REF!))/SUMIF($A$7:$AC$128,$A45,$AB$6:$AB$127)*R$5,0)</f>
        <v>#REF!</v>
      </c>
      <c r="S45" s="26" t="e">
        <f ca="1">IF(AND(COLUMN()&gt;=11,COLUMN()&lt;=20),(_xlfn.XLOOKUP($A45,#REF!,#REF!))/SUMIF($A$7:$AC$128,$A45,$AB$6:$AB$127)*S$5,0)</f>
        <v>#REF!</v>
      </c>
      <c r="T45" s="26" t="e">
        <f ca="1">IF(AND(COLUMN()&gt;=11,COLUMN()&lt;=20),(_xlfn.XLOOKUP($A45,#REF!,#REF!))/SUMIF($A$7:$AC$128,$A45,$AB$6:$AB$127)*T$5,0)</f>
        <v>#REF!</v>
      </c>
      <c r="U45" s="26">
        <f>IF(AND(COLUMN()&gt;=11,COLUMN()&lt;=20),(_xlfn.XLOOKUP($A45,#REF!,#REF!))/SUMIF($A$7:$AC$128,$A45,$AB$6:$AB$127)*U$5,0)</f>
        <v>0</v>
      </c>
      <c r="V45" s="26">
        <f>IF(AND(COLUMN()&gt;=11,COLUMN()&lt;=20),(_xlfn.XLOOKUP($A45,#REF!,#REF!))/SUMIF($A$7:$AC$128,$A45,$AB$6:$AB$127)*V$5,0)</f>
        <v>0</v>
      </c>
      <c r="W45" s="26">
        <f>IF(AND(COLUMN()&gt;=11,COLUMN()&lt;=20),(_xlfn.XLOOKUP($A45,#REF!,#REF!))/SUMIF($A$7:$AC$128,$A45,$AB$6:$AB$127)*W$5,0)</f>
        <v>0</v>
      </c>
      <c r="X45" s="26">
        <f>IF(AND(COLUMN()&gt;=11,COLUMN()&lt;=20),(_xlfn.XLOOKUP($A45,#REF!,#REF!))/SUMIF($A$7:$AC$128,$A45,$AB$6:$AB$127)*X$5,0)</f>
        <v>0</v>
      </c>
      <c r="Y45" s="26">
        <f>IF(AND(COLUMN()&gt;=11,COLUMN()&lt;=20),(_xlfn.XLOOKUP($A45,#REF!,#REF!))/SUMIF($A$7:$AC$128,$A45,$AB$6:$AB$127)*Y$5,0)</f>
        <v>0</v>
      </c>
      <c r="Z45" s="26">
        <f>IF(AND(COLUMN()&gt;=11,COLUMN()&lt;=20),(_xlfn.XLOOKUP($A45,#REF!,#REF!))/SUMIF($A$7:$AC$128,$A45,$AB$6:$AB$127)*Z$5,0)</f>
        <v>0</v>
      </c>
      <c r="AA45" s="26" t="e">
        <f t="shared" ref="AA45:AA55" ca="1" si="7">SUM(C45:Z45)</f>
        <v>#REF!</v>
      </c>
      <c r="AB45" s="19">
        <f t="shared" si="2"/>
        <v>28</v>
      </c>
      <c r="AC45" s="20" t="e">
        <f t="shared" ca="1" si="3"/>
        <v>#REF!</v>
      </c>
      <c r="AD45" s="30" t="e">
        <f>#REF!/SUMIF(#REF!,'Curva de la oferta Prod 3'!$A45,#REF!)</f>
        <v>#REF!</v>
      </c>
      <c r="AE45" s="28"/>
      <c r="AF45" s="31"/>
      <c r="AG45" s="31"/>
      <c r="AH45" s="31"/>
      <c r="AI45" s="31"/>
      <c r="AJ45" s="31"/>
      <c r="AK45" s="31"/>
    </row>
    <row r="46" spans="1:37" ht="14.5" x14ac:dyDescent="0.35">
      <c r="A46" s="15">
        <f t="shared" si="0"/>
        <v>2029</v>
      </c>
      <c r="B46" s="18">
        <v>47178</v>
      </c>
      <c r="C46" s="26">
        <f>IF(AND(COLUMN()&gt;=11,COLUMN()&lt;=20),(_xlfn.XLOOKUP($A46,#REF!,#REF!))/SUMIF($A$7:$AC$128,$A46,$AB$6:$AB$127)*C$5,0)</f>
        <v>0</v>
      </c>
      <c r="D46" s="26">
        <f>IF(AND(COLUMN()&gt;=11,COLUMN()&lt;=20),(_xlfn.XLOOKUP($A46,#REF!,#REF!))/SUMIF($A$7:$AC$128,$A46,$AB$6:$AB$127)*D$5,0)</f>
        <v>0</v>
      </c>
      <c r="E46" s="26">
        <f>IF(AND(COLUMN()&gt;=11,COLUMN()&lt;=20),(_xlfn.XLOOKUP($A46,#REF!,#REF!))/SUMIF($A$7:$AC$128,$A46,$AB$6:$AB$127)*E$5,0)</f>
        <v>0</v>
      </c>
      <c r="F46" s="26">
        <f>IF(AND(COLUMN()&gt;=11,COLUMN()&lt;=20),(_xlfn.XLOOKUP($A46,#REF!,#REF!))/SUMIF($A$7:$AC$128,$A46,$AB$6:$AB$127)*F$5,0)</f>
        <v>0</v>
      </c>
      <c r="G46" s="26">
        <f>IF(AND(COLUMN()&gt;=11,COLUMN()&lt;=20),(_xlfn.XLOOKUP($A46,#REF!,#REF!))/SUMIF($A$7:$AC$128,$A46,$AB$6:$AB$127)*G$5,0)</f>
        <v>0</v>
      </c>
      <c r="H46" s="26">
        <f>IF(AND(COLUMN()&gt;=11,COLUMN()&lt;=20),(_xlfn.XLOOKUP($A46,#REF!,#REF!))/SUMIF($A$7:$AC$128,$A46,$AB$6:$AB$127)*H$5,0)</f>
        <v>0</v>
      </c>
      <c r="I46" s="26">
        <f>IF(AND(COLUMN()&gt;=11,COLUMN()&lt;=20),(_xlfn.XLOOKUP($A46,#REF!,#REF!))/SUMIF($A$7:$AC$128,$A46,$AB$6:$AB$127)*I$5,0)</f>
        <v>0</v>
      </c>
      <c r="J46" s="26">
        <f>IF(AND(COLUMN()&gt;=11,COLUMN()&lt;=20),(_xlfn.XLOOKUP($A46,#REF!,#REF!))/SUMIF($A$7:$AC$128,$A46,$AB$6:$AB$127)*J$5,0)</f>
        <v>0</v>
      </c>
      <c r="K46" s="26" t="e">
        <f ca="1">IF(AND(COLUMN()&gt;=11,COLUMN()&lt;=20),(_xlfn.XLOOKUP($A46,#REF!,#REF!))/SUMIF($A$7:$AC$128,$A46,$AB$6:$AB$127)*K$5,0)</f>
        <v>#REF!</v>
      </c>
      <c r="L46" s="26" t="e">
        <f ca="1">IF(AND(COLUMN()&gt;=11,COLUMN()&lt;=20),(_xlfn.XLOOKUP($A46,#REF!,#REF!))/SUMIF($A$7:$AC$128,$A46,$AB$6:$AB$127)*L$5,0)</f>
        <v>#REF!</v>
      </c>
      <c r="M46" s="26" t="e">
        <f ca="1">IF(AND(COLUMN()&gt;=11,COLUMN()&lt;=20),(_xlfn.XLOOKUP($A46,#REF!,#REF!))/SUMIF($A$7:$AC$128,$A46,$AB$6:$AB$127)*M$5,0)</f>
        <v>#REF!</v>
      </c>
      <c r="N46" s="26" t="e">
        <f ca="1">IF(AND(COLUMN()&gt;=11,COLUMN()&lt;=20),(_xlfn.XLOOKUP($A46,#REF!,#REF!))/SUMIF($A$7:$AC$128,$A46,$AB$6:$AB$127)*N$5,0)</f>
        <v>#REF!</v>
      </c>
      <c r="O46" s="26" t="e">
        <f ca="1">IF(AND(COLUMN()&gt;=11,COLUMN()&lt;=20),(_xlfn.XLOOKUP($A46,#REF!,#REF!))/SUMIF($A$7:$AC$128,$A46,$AB$6:$AB$127)*O$5,0)</f>
        <v>#REF!</v>
      </c>
      <c r="P46" s="26" t="e">
        <f ca="1">IF(AND(COLUMN()&gt;=11,COLUMN()&lt;=20),(_xlfn.XLOOKUP($A46,#REF!,#REF!))/SUMIF($A$7:$AC$128,$A46,$AB$6:$AB$127)*P$5,0)</f>
        <v>#REF!</v>
      </c>
      <c r="Q46" s="26" t="e">
        <f ca="1">IF(AND(COLUMN()&gt;=11,COLUMN()&lt;=20),(_xlfn.XLOOKUP($A46,#REF!,#REF!))/SUMIF($A$7:$AC$128,$A46,$AB$6:$AB$127)*Q$5,0)</f>
        <v>#REF!</v>
      </c>
      <c r="R46" s="26" t="e">
        <f ca="1">IF(AND(COLUMN()&gt;=11,COLUMN()&lt;=20),(_xlfn.XLOOKUP($A46,#REF!,#REF!))/SUMIF($A$7:$AC$128,$A46,$AB$6:$AB$127)*R$5,0)</f>
        <v>#REF!</v>
      </c>
      <c r="S46" s="26" t="e">
        <f ca="1">IF(AND(COLUMN()&gt;=11,COLUMN()&lt;=20),(_xlfn.XLOOKUP($A46,#REF!,#REF!))/SUMIF($A$7:$AC$128,$A46,$AB$6:$AB$127)*S$5,0)</f>
        <v>#REF!</v>
      </c>
      <c r="T46" s="26" t="e">
        <f ca="1">IF(AND(COLUMN()&gt;=11,COLUMN()&lt;=20),(_xlfn.XLOOKUP($A46,#REF!,#REF!))/SUMIF($A$7:$AC$128,$A46,$AB$6:$AB$127)*T$5,0)</f>
        <v>#REF!</v>
      </c>
      <c r="U46" s="26">
        <f>IF(AND(COLUMN()&gt;=11,COLUMN()&lt;=20),(_xlfn.XLOOKUP($A46,#REF!,#REF!))/SUMIF($A$7:$AC$128,$A46,$AB$6:$AB$127)*U$5,0)</f>
        <v>0</v>
      </c>
      <c r="V46" s="26">
        <f>IF(AND(COLUMN()&gt;=11,COLUMN()&lt;=20),(_xlfn.XLOOKUP($A46,#REF!,#REF!))/SUMIF($A$7:$AC$128,$A46,$AB$6:$AB$127)*V$5,0)</f>
        <v>0</v>
      </c>
      <c r="W46" s="26">
        <f>IF(AND(COLUMN()&gt;=11,COLUMN()&lt;=20),(_xlfn.XLOOKUP($A46,#REF!,#REF!))/SUMIF($A$7:$AC$128,$A46,$AB$6:$AB$127)*W$5,0)</f>
        <v>0</v>
      </c>
      <c r="X46" s="26">
        <f>IF(AND(COLUMN()&gt;=11,COLUMN()&lt;=20),(_xlfn.XLOOKUP($A46,#REF!,#REF!))/SUMIF($A$7:$AC$128,$A46,$AB$6:$AB$127)*X$5,0)</f>
        <v>0</v>
      </c>
      <c r="Y46" s="26">
        <f>IF(AND(COLUMN()&gt;=11,COLUMN()&lt;=20),(_xlfn.XLOOKUP($A46,#REF!,#REF!))/SUMIF($A$7:$AC$128,$A46,$AB$6:$AB$127)*Y$5,0)</f>
        <v>0</v>
      </c>
      <c r="Z46" s="26">
        <f>IF(AND(COLUMN()&gt;=11,COLUMN()&lt;=20),(_xlfn.XLOOKUP($A46,#REF!,#REF!))/SUMIF($A$7:$AC$128,$A46,$AB$6:$AB$127)*Z$5,0)</f>
        <v>0</v>
      </c>
      <c r="AA46" s="26" t="e">
        <f t="shared" ca="1" si="7"/>
        <v>#REF!</v>
      </c>
      <c r="AB46" s="19">
        <f t="shared" si="2"/>
        <v>31</v>
      </c>
      <c r="AC46" s="20" t="e">
        <f t="shared" ca="1" si="3"/>
        <v>#REF!</v>
      </c>
      <c r="AD46" s="30" t="e">
        <f>#REF!/SUMIF(#REF!,'Curva de la oferta Prod 3'!$A46,#REF!)</f>
        <v>#REF!</v>
      </c>
      <c r="AE46" s="28"/>
      <c r="AF46" s="31"/>
      <c r="AG46" s="31"/>
      <c r="AH46" s="31"/>
      <c r="AI46" s="31"/>
      <c r="AJ46" s="31"/>
      <c r="AK46" s="31"/>
    </row>
    <row r="47" spans="1:37" ht="14.5" x14ac:dyDescent="0.35">
      <c r="A47" s="15">
        <f t="shared" si="0"/>
        <v>2029</v>
      </c>
      <c r="B47" s="18">
        <v>47209</v>
      </c>
      <c r="C47" s="26">
        <f>IF(AND(COLUMN()&gt;=11,COLUMN()&lt;=20),(_xlfn.XLOOKUP($A47,#REF!,#REF!))/SUMIF($A$7:$AC$128,$A47,$AB$6:$AB$127)*C$5,0)</f>
        <v>0</v>
      </c>
      <c r="D47" s="26">
        <f>IF(AND(COLUMN()&gt;=11,COLUMN()&lt;=20),(_xlfn.XLOOKUP($A47,#REF!,#REF!))/SUMIF($A$7:$AC$128,$A47,$AB$6:$AB$127)*D$5,0)</f>
        <v>0</v>
      </c>
      <c r="E47" s="26">
        <f>IF(AND(COLUMN()&gt;=11,COLUMN()&lt;=20),(_xlfn.XLOOKUP($A47,#REF!,#REF!))/SUMIF($A$7:$AC$128,$A47,$AB$6:$AB$127)*E$5,0)</f>
        <v>0</v>
      </c>
      <c r="F47" s="26">
        <f>IF(AND(COLUMN()&gt;=11,COLUMN()&lt;=20),(_xlfn.XLOOKUP($A47,#REF!,#REF!))/SUMIF($A$7:$AC$128,$A47,$AB$6:$AB$127)*F$5,0)</f>
        <v>0</v>
      </c>
      <c r="G47" s="26">
        <f>IF(AND(COLUMN()&gt;=11,COLUMN()&lt;=20),(_xlfn.XLOOKUP($A47,#REF!,#REF!))/SUMIF($A$7:$AC$128,$A47,$AB$6:$AB$127)*G$5,0)</f>
        <v>0</v>
      </c>
      <c r="H47" s="26">
        <f>IF(AND(COLUMN()&gt;=11,COLUMN()&lt;=20),(_xlfn.XLOOKUP($A47,#REF!,#REF!))/SUMIF($A$7:$AC$128,$A47,$AB$6:$AB$127)*H$5,0)</f>
        <v>0</v>
      </c>
      <c r="I47" s="26">
        <f>IF(AND(COLUMN()&gt;=11,COLUMN()&lt;=20),(_xlfn.XLOOKUP($A47,#REF!,#REF!))/SUMIF($A$7:$AC$128,$A47,$AB$6:$AB$127)*I$5,0)</f>
        <v>0</v>
      </c>
      <c r="J47" s="26">
        <f>IF(AND(COLUMN()&gt;=11,COLUMN()&lt;=20),(_xlfn.XLOOKUP($A47,#REF!,#REF!))/SUMIF($A$7:$AC$128,$A47,$AB$6:$AB$127)*J$5,0)</f>
        <v>0</v>
      </c>
      <c r="K47" s="26" t="e">
        <f ca="1">IF(AND(COLUMN()&gt;=11,COLUMN()&lt;=20),(_xlfn.XLOOKUP($A47,#REF!,#REF!))/SUMIF($A$7:$AC$128,$A47,$AB$6:$AB$127)*K$5,0)</f>
        <v>#REF!</v>
      </c>
      <c r="L47" s="26" t="e">
        <f ca="1">IF(AND(COLUMN()&gt;=11,COLUMN()&lt;=20),(_xlfn.XLOOKUP($A47,#REF!,#REF!))/SUMIF($A$7:$AC$128,$A47,$AB$6:$AB$127)*L$5,0)</f>
        <v>#REF!</v>
      </c>
      <c r="M47" s="26" t="e">
        <f ca="1">IF(AND(COLUMN()&gt;=11,COLUMN()&lt;=20),(_xlfn.XLOOKUP($A47,#REF!,#REF!))/SUMIF($A$7:$AC$128,$A47,$AB$6:$AB$127)*M$5,0)</f>
        <v>#REF!</v>
      </c>
      <c r="N47" s="26" t="e">
        <f ca="1">IF(AND(COLUMN()&gt;=11,COLUMN()&lt;=20),(_xlfn.XLOOKUP($A47,#REF!,#REF!))/SUMIF($A$7:$AC$128,$A47,$AB$6:$AB$127)*N$5,0)</f>
        <v>#REF!</v>
      </c>
      <c r="O47" s="26" t="e">
        <f ca="1">IF(AND(COLUMN()&gt;=11,COLUMN()&lt;=20),(_xlfn.XLOOKUP($A47,#REF!,#REF!))/SUMIF($A$7:$AC$128,$A47,$AB$6:$AB$127)*O$5,0)</f>
        <v>#REF!</v>
      </c>
      <c r="P47" s="26" t="e">
        <f ca="1">IF(AND(COLUMN()&gt;=11,COLUMN()&lt;=20),(_xlfn.XLOOKUP($A47,#REF!,#REF!))/SUMIF($A$7:$AC$128,$A47,$AB$6:$AB$127)*P$5,0)</f>
        <v>#REF!</v>
      </c>
      <c r="Q47" s="26" t="e">
        <f ca="1">IF(AND(COLUMN()&gt;=11,COLUMN()&lt;=20),(_xlfn.XLOOKUP($A47,#REF!,#REF!))/SUMIF($A$7:$AC$128,$A47,$AB$6:$AB$127)*Q$5,0)</f>
        <v>#REF!</v>
      </c>
      <c r="R47" s="26" t="e">
        <f ca="1">IF(AND(COLUMN()&gt;=11,COLUMN()&lt;=20),(_xlfn.XLOOKUP($A47,#REF!,#REF!))/SUMIF($A$7:$AC$128,$A47,$AB$6:$AB$127)*R$5,0)</f>
        <v>#REF!</v>
      </c>
      <c r="S47" s="26" t="e">
        <f ca="1">IF(AND(COLUMN()&gt;=11,COLUMN()&lt;=20),(_xlfn.XLOOKUP($A47,#REF!,#REF!))/SUMIF($A$7:$AC$128,$A47,$AB$6:$AB$127)*S$5,0)</f>
        <v>#REF!</v>
      </c>
      <c r="T47" s="26" t="e">
        <f ca="1">IF(AND(COLUMN()&gt;=11,COLUMN()&lt;=20),(_xlfn.XLOOKUP($A47,#REF!,#REF!))/SUMIF($A$7:$AC$128,$A47,$AB$6:$AB$127)*T$5,0)</f>
        <v>#REF!</v>
      </c>
      <c r="U47" s="26">
        <f>IF(AND(COLUMN()&gt;=11,COLUMN()&lt;=20),(_xlfn.XLOOKUP($A47,#REF!,#REF!))/SUMIF($A$7:$AC$128,$A47,$AB$6:$AB$127)*U$5,0)</f>
        <v>0</v>
      </c>
      <c r="V47" s="26">
        <f>IF(AND(COLUMN()&gt;=11,COLUMN()&lt;=20),(_xlfn.XLOOKUP($A47,#REF!,#REF!))/SUMIF($A$7:$AC$128,$A47,$AB$6:$AB$127)*V$5,0)</f>
        <v>0</v>
      </c>
      <c r="W47" s="26">
        <f>IF(AND(COLUMN()&gt;=11,COLUMN()&lt;=20),(_xlfn.XLOOKUP($A47,#REF!,#REF!))/SUMIF($A$7:$AC$128,$A47,$AB$6:$AB$127)*W$5,0)</f>
        <v>0</v>
      </c>
      <c r="X47" s="26">
        <f>IF(AND(COLUMN()&gt;=11,COLUMN()&lt;=20),(_xlfn.XLOOKUP($A47,#REF!,#REF!))/SUMIF($A$7:$AC$128,$A47,$AB$6:$AB$127)*X$5,0)</f>
        <v>0</v>
      </c>
      <c r="Y47" s="26">
        <f>IF(AND(COLUMN()&gt;=11,COLUMN()&lt;=20),(_xlfn.XLOOKUP($A47,#REF!,#REF!))/SUMIF($A$7:$AC$128,$A47,$AB$6:$AB$127)*Y$5,0)</f>
        <v>0</v>
      </c>
      <c r="Z47" s="26">
        <f>IF(AND(COLUMN()&gt;=11,COLUMN()&lt;=20),(_xlfn.XLOOKUP($A47,#REF!,#REF!))/SUMIF($A$7:$AC$128,$A47,$AB$6:$AB$127)*Z$5,0)</f>
        <v>0</v>
      </c>
      <c r="AA47" s="26" t="e">
        <f t="shared" ca="1" si="7"/>
        <v>#REF!</v>
      </c>
      <c r="AB47" s="19">
        <f t="shared" si="2"/>
        <v>30</v>
      </c>
      <c r="AC47" s="20" t="e">
        <f t="shared" ca="1" si="3"/>
        <v>#REF!</v>
      </c>
      <c r="AD47" s="30" t="e">
        <f>#REF!/SUMIF(#REF!,'Curva de la oferta Prod 3'!$A47,#REF!)</f>
        <v>#REF!</v>
      </c>
      <c r="AE47" s="28"/>
      <c r="AF47" s="31"/>
      <c r="AG47" s="31"/>
      <c r="AH47" s="31"/>
      <c r="AI47" s="31"/>
      <c r="AJ47" s="31"/>
      <c r="AK47" s="31"/>
    </row>
    <row r="48" spans="1:37" ht="14.5" x14ac:dyDescent="0.35">
      <c r="A48" s="15">
        <f t="shared" si="0"/>
        <v>2029</v>
      </c>
      <c r="B48" s="18">
        <v>47239</v>
      </c>
      <c r="C48" s="26">
        <f>IF(AND(COLUMN()&gt;=11,COLUMN()&lt;=20),(_xlfn.XLOOKUP($A48,#REF!,#REF!))/SUMIF($A$7:$AC$128,$A48,$AB$6:$AB$127)*C$5,0)</f>
        <v>0</v>
      </c>
      <c r="D48" s="26">
        <f>IF(AND(COLUMN()&gt;=11,COLUMN()&lt;=20),(_xlfn.XLOOKUP($A48,#REF!,#REF!))/SUMIF($A$7:$AC$128,$A48,$AB$6:$AB$127)*D$5,0)</f>
        <v>0</v>
      </c>
      <c r="E48" s="26">
        <f>IF(AND(COLUMN()&gt;=11,COLUMN()&lt;=20),(_xlfn.XLOOKUP($A48,#REF!,#REF!))/SUMIF($A$7:$AC$128,$A48,$AB$6:$AB$127)*E$5,0)</f>
        <v>0</v>
      </c>
      <c r="F48" s="26">
        <f>IF(AND(COLUMN()&gt;=11,COLUMN()&lt;=20),(_xlfn.XLOOKUP($A48,#REF!,#REF!))/SUMIF($A$7:$AC$128,$A48,$AB$6:$AB$127)*F$5,0)</f>
        <v>0</v>
      </c>
      <c r="G48" s="26">
        <f>IF(AND(COLUMN()&gt;=11,COLUMN()&lt;=20),(_xlfn.XLOOKUP($A48,#REF!,#REF!))/SUMIF($A$7:$AC$128,$A48,$AB$6:$AB$127)*G$5,0)</f>
        <v>0</v>
      </c>
      <c r="H48" s="26">
        <f>IF(AND(COLUMN()&gt;=11,COLUMN()&lt;=20),(_xlfn.XLOOKUP($A48,#REF!,#REF!))/SUMIF($A$7:$AC$128,$A48,$AB$6:$AB$127)*H$5,0)</f>
        <v>0</v>
      </c>
      <c r="I48" s="26">
        <f>IF(AND(COLUMN()&gt;=11,COLUMN()&lt;=20),(_xlfn.XLOOKUP($A48,#REF!,#REF!))/SUMIF($A$7:$AC$128,$A48,$AB$6:$AB$127)*I$5,0)</f>
        <v>0</v>
      </c>
      <c r="J48" s="26">
        <f>IF(AND(COLUMN()&gt;=11,COLUMN()&lt;=20),(_xlfn.XLOOKUP($A48,#REF!,#REF!))/SUMIF($A$7:$AC$128,$A48,$AB$6:$AB$127)*J$5,0)</f>
        <v>0</v>
      </c>
      <c r="K48" s="26" t="e">
        <f ca="1">IF(AND(COLUMN()&gt;=11,COLUMN()&lt;=20),(_xlfn.XLOOKUP($A48,#REF!,#REF!))/SUMIF($A$7:$AC$128,$A48,$AB$6:$AB$127)*K$5,0)</f>
        <v>#REF!</v>
      </c>
      <c r="L48" s="26" t="e">
        <f ca="1">IF(AND(COLUMN()&gt;=11,COLUMN()&lt;=20),(_xlfn.XLOOKUP($A48,#REF!,#REF!))/SUMIF($A$7:$AC$128,$A48,$AB$6:$AB$127)*L$5,0)</f>
        <v>#REF!</v>
      </c>
      <c r="M48" s="26" t="e">
        <f ca="1">IF(AND(COLUMN()&gt;=11,COLUMN()&lt;=20),(_xlfn.XLOOKUP($A48,#REF!,#REF!))/SUMIF($A$7:$AC$128,$A48,$AB$6:$AB$127)*M$5,0)</f>
        <v>#REF!</v>
      </c>
      <c r="N48" s="26" t="e">
        <f ca="1">IF(AND(COLUMN()&gt;=11,COLUMN()&lt;=20),(_xlfn.XLOOKUP($A48,#REF!,#REF!))/SUMIF($A$7:$AC$128,$A48,$AB$6:$AB$127)*N$5,0)</f>
        <v>#REF!</v>
      </c>
      <c r="O48" s="26" t="e">
        <f ca="1">IF(AND(COLUMN()&gt;=11,COLUMN()&lt;=20),(_xlfn.XLOOKUP($A48,#REF!,#REF!))/SUMIF($A$7:$AC$128,$A48,$AB$6:$AB$127)*O$5,0)</f>
        <v>#REF!</v>
      </c>
      <c r="P48" s="26" t="e">
        <f ca="1">IF(AND(COLUMN()&gt;=11,COLUMN()&lt;=20),(_xlfn.XLOOKUP($A48,#REF!,#REF!))/SUMIF($A$7:$AC$128,$A48,$AB$6:$AB$127)*P$5,0)</f>
        <v>#REF!</v>
      </c>
      <c r="Q48" s="26" t="e">
        <f ca="1">IF(AND(COLUMN()&gt;=11,COLUMN()&lt;=20),(_xlfn.XLOOKUP($A48,#REF!,#REF!))/SUMIF($A$7:$AC$128,$A48,$AB$6:$AB$127)*Q$5,0)</f>
        <v>#REF!</v>
      </c>
      <c r="R48" s="26" t="e">
        <f ca="1">IF(AND(COLUMN()&gt;=11,COLUMN()&lt;=20),(_xlfn.XLOOKUP($A48,#REF!,#REF!))/SUMIF($A$7:$AC$128,$A48,$AB$6:$AB$127)*R$5,0)</f>
        <v>#REF!</v>
      </c>
      <c r="S48" s="26" t="e">
        <f ca="1">IF(AND(COLUMN()&gt;=11,COLUMN()&lt;=20),(_xlfn.XLOOKUP($A48,#REF!,#REF!))/SUMIF($A$7:$AC$128,$A48,$AB$6:$AB$127)*S$5,0)</f>
        <v>#REF!</v>
      </c>
      <c r="T48" s="26" t="e">
        <f ca="1">IF(AND(COLUMN()&gt;=11,COLUMN()&lt;=20),(_xlfn.XLOOKUP($A48,#REF!,#REF!))/SUMIF($A$7:$AC$128,$A48,$AB$6:$AB$127)*T$5,0)</f>
        <v>#REF!</v>
      </c>
      <c r="U48" s="26">
        <f>IF(AND(COLUMN()&gt;=11,COLUMN()&lt;=20),(_xlfn.XLOOKUP($A48,#REF!,#REF!))/SUMIF($A$7:$AC$128,$A48,$AB$6:$AB$127)*U$5,0)</f>
        <v>0</v>
      </c>
      <c r="V48" s="26">
        <f>IF(AND(COLUMN()&gt;=11,COLUMN()&lt;=20),(_xlfn.XLOOKUP($A48,#REF!,#REF!))/SUMIF($A$7:$AC$128,$A48,$AB$6:$AB$127)*V$5,0)</f>
        <v>0</v>
      </c>
      <c r="W48" s="26">
        <f>IF(AND(COLUMN()&gt;=11,COLUMN()&lt;=20),(_xlfn.XLOOKUP($A48,#REF!,#REF!))/SUMIF($A$7:$AC$128,$A48,$AB$6:$AB$127)*W$5,0)</f>
        <v>0</v>
      </c>
      <c r="X48" s="26">
        <f>IF(AND(COLUMN()&gt;=11,COLUMN()&lt;=20),(_xlfn.XLOOKUP($A48,#REF!,#REF!))/SUMIF($A$7:$AC$128,$A48,$AB$6:$AB$127)*X$5,0)</f>
        <v>0</v>
      </c>
      <c r="Y48" s="26">
        <f>IF(AND(COLUMN()&gt;=11,COLUMN()&lt;=20),(_xlfn.XLOOKUP($A48,#REF!,#REF!))/SUMIF($A$7:$AC$128,$A48,$AB$6:$AB$127)*Y$5,0)</f>
        <v>0</v>
      </c>
      <c r="Z48" s="26">
        <f>IF(AND(COLUMN()&gt;=11,COLUMN()&lt;=20),(_xlfn.XLOOKUP($A48,#REF!,#REF!))/SUMIF($A$7:$AC$128,$A48,$AB$6:$AB$127)*Z$5,0)</f>
        <v>0</v>
      </c>
      <c r="AA48" s="26" t="e">
        <f t="shared" ca="1" si="7"/>
        <v>#REF!</v>
      </c>
      <c r="AB48" s="19">
        <f t="shared" si="2"/>
        <v>31</v>
      </c>
      <c r="AC48" s="20" t="e">
        <f t="shared" ca="1" si="3"/>
        <v>#REF!</v>
      </c>
      <c r="AD48" s="30" t="e">
        <f>#REF!/SUMIF(#REF!,'Curva de la oferta Prod 3'!$A48,#REF!)</f>
        <v>#REF!</v>
      </c>
      <c r="AE48" s="28"/>
      <c r="AF48" s="31"/>
      <c r="AG48" s="31"/>
      <c r="AH48" s="31"/>
      <c r="AI48" s="31"/>
      <c r="AJ48" s="31"/>
      <c r="AK48" s="31"/>
    </row>
    <row r="49" spans="1:37" ht="14.5" x14ac:dyDescent="0.35">
      <c r="A49" s="15">
        <f t="shared" si="0"/>
        <v>2029</v>
      </c>
      <c r="B49" s="18">
        <v>47270</v>
      </c>
      <c r="C49" s="26">
        <f>IF(AND(COLUMN()&gt;=11,COLUMN()&lt;=20),(_xlfn.XLOOKUP($A49,#REF!,#REF!))/SUMIF($A$7:$AC$128,$A49,$AB$6:$AB$127)*C$5,0)</f>
        <v>0</v>
      </c>
      <c r="D49" s="26">
        <f>IF(AND(COLUMN()&gt;=11,COLUMN()&lt;=20),(_xlfn.XLOOKUP($A49,#REF!,#REF!))/SUMIF($A$7:$AC$128,$A49,$AB$6:$AB$127)*D$5,0)</f>
        <v>0</v>
      </c>
      <c r="E49" s="26">
        <f>IF(AND(COLUMN()&gt;=11,COLUMN()&lt;=20),(_xlfn.XLOOKUP($A49,#REF!,#REF!))/SUMIF($A$7:$AC$128,$A49,$AB$6:$AB$127)*E$5,0)</f>
        <v>0</v>
      </c>
      <c r="F49" s="26">
        <f>IF(AND(COLUMN()&gt;=11,COLUMN()&lt;=20),(_xlfn.XLOOKUP($A49,#REF!,#REF!))/SUMIF($A$7:$AC$128,$A49,$AB$6:$AB$127)*F$5,0)</f>
        <v>0</v>
      </c>
      <c r="G49" s="26">
        <f>IF(AND(COLUMN()&gt;=11,COLUMN()&lt;=20),(_xlfn.XLOOKUP($A49,#REF!,#REF!))/SUMIF($A$7:$AC$128,$A49,$AB$6:$AB$127)*G$5,0)</f>
        <v>0</v>
      </c>
      <c r="H49" s="26">
        <f>IF(AND(COLUMN()&gt;=11,COLUMN()&lt;=20),(_xlfn.XLOOKUP($A49,#REF!,#REF!))/SUMIF($A$7:$AC$128,$A49,$AB$6:$AB$127)*H$5,0)</f>
        <v>0</v>
      </c>
      <c r="I49" s="26">
        <f>IF(AND(COLUMN()&gt;=11,COLUMN()&lt;=20),(_xlfn.XLOOKUP($A49,#REF!,#REF!))/SUMIF($A$7:$AC$128,$A49,$AB$6:$AB$127)*I$5,0)</f>
        <v>0</v>
      </c>
      <c r="J49" s="26">
        <f>IF(AND(COLUMN()&gt;=11,COLUMN()&lt;=20),(_xlfn.XLOOKUP($A49,#REF!,#REF!))/SUMIF($A$7:$AC$128,$A49,$AB$6:$AB$127)*J$5,0)</f>
        <v>0</v>
      </c>
      <c r="K49" s="26" t="e">
        <f ca="1">IF(AND(COLUMN()&gt;=11,COLUMN()&lt;=20),(_xlfn.XLOOKUP($A49,#REF!,#REF!))/SUMIF($A$7:$AC$128,$A49,$AB$6:$AB$127)*K$5,0)</f>
        <v>#REF!</v>
      </c>
      <c r="L49" s="26" t="e">
        <f ca="1">IF(AND(COLUMN()&gt;=11,COLUMN()&lt;=20),(_xlfn.XLOOKUP($A49,#REF!,#REF!))/SUMIF($A$7:$AC$128,$A49,$AB$6:$AB$127)*L$5,0)</f>
        <v>#REF!</v>
      </c>
      <c r="M49" s="26" t="e">
        <f ca="1">IF(AND(COLUMN()&gt;=11,COLUMN()&lt;=20),(_xlfn.XLOOKUP($A49,#REF!,#REF!))/SUMIF($A$7:$AC$128,$A49,$AB$6:$AB$127)*M$5,0)</f>
        <v>#REF!</v>
      </c>
      <c r="N49" s="26" t="e">
        <f ca="1">IF(AND(COLUMN()&gt;=11,COLUMN()&lt;=20),(_xlfn.XLOOKUP($A49,#REF!,#REF!))/SUMIF($A$7:$AC$128,$A49,$AB$6:$AB$127)*N$5,0)</f>
        <v>#REF!</v>
      </c>
      <c r="O49" s="26" t="e">
        <f ca="1">IF(AND(COLUMN()&gt;=11,COLUMN()&lt;=20),(_xlfn.XLOOKUP($A49,#REF!,#REF!))/SUMIF($A$7:$AC$128,$A49,$AB$6:$AB$127)*O$5,0)</f>
        <v>#REF!</v>
      </c>
      <c r="P49" s="26" t="e">
        <f ca="1">IF(AND(COLUMN()&gt;=11,COLUMN()&lt;=20),(_xlfn.XLOOKUP($A49,#REF!,#REF!))/SUMIF($A$7:$AC$128,$A49,$AB$6:$AB$127)*P$5,0)</f>
        <v>#REF!</v>
      </c>
      <c r="Q49" s="26" t="e">
        <f ca="1">IF(AND(COLUMN()&gt;=11,COLUMN()&lt;=20),(_xlfn.XLOOKUP($A49,#REF!,#REF!))/SUMIF($A$7:$AC$128,$A49,$AB$6:$AB$127)*Q$5,0)</f>
        <v>#REF!</v>
      </c>
      <c r="R49" s="26" t="e">
        <f ca="1">IF(AND(COLUMN()&gt;=11,COLUMN()&lt;=20),(_xlfn.XLOOKUP($A49,#REF!,#REF!))/SUMIF($A$7:$AC$128,$A49,$AB$6:$AB$127)*R$5,0)</f>
        <v>#REF!</v>
      </c>
      <c r="S49" s="26" t="e">
        <f ca="1">IF(AND(COLUMN()&gt;=11,COLUMN()&lt;=20),(_xlfn.XLOOKUP($A49,#REF!,#REF!))/SUMIF($A$7:$AC$128,$A49,$AB$6:$AB$127)*S$5,0)</f>
        <v>#REF!</v>
      </c>
      <c r="T49" s="26" t="e">
        <f ca="1">IF(AND(COLUMN()&gt;=11,COLUMN()&lt;=20),(_xlfn.XLOOKUP($A49,#REF!,#REF!))/SUMIF($A$7:$AC$128,$A49,$AB$6:$AB$127)*T$5,0)</f>
        <v>#REF!</v>
      </c>
      <c r="U49" s="26">
        <f>IF(AND(COLUMN()&gt;=11,COLUMN()&lt;=20),(_xlfn.XLOOKUP($A49,#REF!,#REF!))/SUMIF($A$7:$AC$128,$A49,$AB$6:$AB$127)*U$5,0)</f>
        <v>0</v>
      </c>
      <c r="V49" s="26">
        <f>IF(AND(COLUMN()&gt;=11,COLUMN()&lt;=20),(_xlfn.XLOOKUP($A49,#REF!,#REF!))/SUMIF($A$7:$AC$128,$A49,$AB$6:$AB$127)*V$5,0)</f>
        <v>0</v>
      </c>
      <c r="W49" s="26">
        <f>IF(AND(COLUMN()&gt;=11,COLUMN()&lt;=20),(_xlfn.XLOOKUP($A49,#REF!,#REF!))/SUMIF($A$7:$AC$128,$A49,$AB$6:$AB$127)*W$5,0)</f>
        <v>0</v>
      </c>
      <c r="X49" s="26">
        <f>IF(AND(COLUMN()&gt;=11,COLUMN()&lt;=20),(_xlfn.XLOOKUP($A49,#REF!,#REF!))/SUMIF($A$7:$AC$128,$A49,$AB$6:$AB$127)*X$5,0)</f>
        <v>0</v>
      </c>
      <c r="Y49" s="26">
        <f>IF(AND(COLUMN()&gt;=11,COLUMN()&lt;=20),(_xlfn.XLOOKUP($A49,#REF!,#REF!))/SUMIF($A$7:$AC$128,$A49,$AB$6:$AB$127)*Y$5,0)</f>
        <v>0</v>
      </c>
      <c r="Z49" s="26">
        <f>IF(AND(COLUMN()&gt;=11,COLUMN()&lt;=20),(_xlfn.XLOOKUP($A49,#REF!,#REF!))/SUMIF($A$7:$AC$128,$A49,$AB$6:$AB$127)*Z$5,0)</f>
        <v>0</v>
      </c>
      <c r="AA49" s="26" t="e">
        <f t="shared" ca="1" si="7"/>
        <v>#REF!</v>
      </c>
      <c r="AB49" s="19">
        <f t="shared" si="2"/>
        <v>30</v>
      </c>
      <c r="AC49" s="20" t="e">
        <f t="shared" ca="1" si="3"/>
        <v>#REF!</v>
      </c>
      <c r="AD49" s="30" t="e">
        <f>#REF!/SUMIF(#REF!,'Curva de la oferta Prod 3'!$A49,#REF!)</f>
        <v>#REF!</v>
      </c>
      <c r="AE49" s="28"/>
      <c r="AF49" s="31"/>
      <c r="AG49" s="31"/>
      <c r="AH49" s="31"/>
      <c r="AI49" s="31"/>
      <c r="AJ49" s="31"/>
      <c r="AK49" s="31"/>
    </row>
    <row r="50" spans="1:37" ht="14.5" x14ac:dyDescent="0.35">
      <c r="A50" s="15">
        <f t="shared" si="0"/>
        <v>2029</v>
      </c>
      <c r="B50" s="18">
        <v>47300</v>
      </c>
      <c r="C50" s="26">
        <f>IF(AND(COLUMN()&gt;=11,COLUMN()&lt;=20),(_xlfn.XLOOKUP($A50,#REF!,#REF!))/SUMIF($A$7:$AC$128,$A50,$AB$6:$AB$127)*C$5,0)</f>
        <v>0</v>
      </c>
      <c r="D50" s="26">
        <f>IF(AND(COLUMN()&gt;=11,COLUMN()&lt;=20),(_xlfn.XLOOKUP($A50,#REF!,#REF!))/SUMIF($A$7:$AC$128,$A50,$AB$6:$AB$127)*D$5,0)</f>
        <v>0</v>
      </c>
      <c r="E50" s="26">
        <f>IF(AND(COLUMN()&gt;=11,COLUMN()&lt;=20),(_xlfn.XLOOKUP($A50,#REF!,#REF!))/SUMIF($A$7:$AC$128,$A50,$AB$6:$AB$127)*E$5,0)</f>
        <v>0</v>
      </c>
      <c r="F50" s="26">
        <f>IF(AND(COLUMN()&gt;=11,COLUMN()&lt;=20),(_xlfn.XLOOKUP($A50,#REF!,#REF!))/SUMIF($A$7:$AC$128,$A50,$AB$6:$AB$127)*F$5,0)</f>
        <v>0</v>
      </c>
      <c r="G50" s="26">
        <f>IF(AND(COLUMN()&gt;=11,COLUMN()&lt;=20),(_xlfn.XLOOKUP($A50,#REF!,#REF!))/SUMIF($A$7:$AC$128,$A50,$AB$6:$AB$127)*G$5,0)</f>
        <v>0</v>
      </c>
      <c r="H50" s="26">
        <f>IF(AND(COLUMN()&gt;=11,COLUMN()&lt;=20),(_xlfn.XLOOKUP($A50,#REF!,#REF!))/SUMIF($A$7:$AC$128,$A50,$AB$6:$AB$127)*H$5,0)</f>
        <v>0</v>
      </c>
      <c r="I50" s="26">
        <f>IF(AND(COLUMN()&gt;=11,COLUMN()&lt;=20),(_xlfn.XLOOKUP($A50,#REF!,#REF!))/SUMIF($A$7:$AC$128,$A50,$AB$6:$AB$127)*I$5,0)</f>
        <v>0</v>
      </c>
      <c r="J50" s="26">
        <f>IF(AND(COLUMN()&gt;=11,COLUMN()&lt;=20),(_xlfn.XLOOKUP($A50,#REF!,#REF!))/SUMIF($A$7:$AC$128,$A50,$AB$6:$AB$127)*J$5,0)</f>
        <v>0</v>
      </c>
      <c r="K50" s="26" t="e">
        <f ca="1">IF(AND(COLUMN()&gt;=11,COLUMN()&lt;=20),(_xlfn.XLOOKUP($A50,#REF!,#REF!))/SUMIF($A$7:$AC$128,$A50,$AB$6:$AB$127)*K$5,0)</f>
        <v>#REF!</v>
      </c>
      <c r="L50" s="26" t="e">
        <f ca="1">IF(AND(COLUMN()&gt;=11,COLUMN()&lt;=20),(_xlfn.XLOOKUP($A50,#REF!,#REF!))/SUMIF($A$7:$AC$128,$A50,$AB$6:$AB$127)*L$5,0)</f>
        <v>#REF!</v>
      </c>
      <c r="M50" s="26" t="e">
        <f ca="1">IF(AND(COLUMN()&gt;=11,COLUMN()&lt;=20),(_xlfn.XLOOKUP($A50,#REF!,#REF!))/SUMIF($A$7:$AC$128,$A50,$AB$6:$AB$127)*M$5,0)</f>
        <v>#REF!</v>
      </c>
      <c r="N50" s="26" t="e">
        <f ca="1">IF(AND(COLUMN()&gt;=11,COLUMN()&lt;=20),(_xlfn.XLOOKUP($A50,#REF!,#REF!))/SUMIF($A$7:$AC$128,$A50,$AB$6:$AB$127)*N$5,0)</f>
        <v>#REF!</v>
      </c>
      <c r="O50" s="26" t="e">
        <f ca="1">IF(AND(COLUMN()&gt;=11,COLUMN()&lt;=20),(_xlfn.XLOOKUP($A50,#REF!,#REF!))/SUMIF($A$7:$AC$128,$A50,$AB$6:$AB$127)*O$5,0)</f>
        <v>#REF!</v>
      </c>
      <c r="P50" s="26" t="e">
        <f ca="1">IF(AND(COLUMN()&gt;=11,COLUMN()&lt;=20),(_xlfn.XLOOKUP($A50,#REF!,#REF!))/SUMIF($A$7:$AC$128,$A50,$AB$6:$AB$127)*P$5,0)</f>
        <v>#REF!</v>
      </c>
      <c r="Q50" s="26" t="e">
        <f ca="1">IF(AND(COLUMN()&gt;=11,COLUMN()&lt;=20),(_xlfn.XLOOKUP($A50,#REF!,#REF!))/SUMIF($A$7:$AC$128,$A50,$AB$6:$AB$127)*Q$5,0)</f>
        <v>#REF!</v>
      </c>
      <c r="R50" s="26" t="e">
        <f ca="1">IF(AND(COLUMN()&gt;=11,COLUMN()&lt;=20),(_xlfn.XLOOKUP($A50,#REF!,#REF!))/SUMIF($A$7:$AC$128,$A50,$AB$6:$AB$127)*R$5,0)</f>
        <v>#REF!</v>
      </c>
      <c r="S50" s="26" t="e">
        <f ca="1">IF(AND(COLUMN()&gt;=11,COLUMN()&lt;=20),(_xlfn.XLOOKUP($A50,#REF!,#REF!))/SUMIF($A$7:$AC$128,$A50,$AB$6:$AB$127)*S$5,0)</f>
        <v>#REF!</v>
      </c>
      <c r="T50" s="26" t="e">
        <f ca="1">IF(AND(COLUMN()&gt;=11,COLUMN()&lt;=20),(_xlfn.XLOOKUP($A50,#REF!,#REF!))/SUMIF($A$7:$AC$128,$A50,$AB$6:$AB$127)*T$5,0)</f>
        <v>#REF!</v>
      </c>
      <c r="U50" s="26">
        <f>IF(AND(COLUMN()&gt;=11,COLUMN()&lt;=20),(_xlfn.XLOOKUP($A50,#REF!,#REF!))/SUMIF($A$7:$AC$128,$A50,$AB$6:$AB$127)*U$5,0)</f>
        <v>0</v>
      </c>
      <c r="V50" s="26">
        <f>IF(AND(COLUMN()&gt;=11,COLUMN()&lt;=20),(_xlfn.XLOOKUP($A50,#REF!,#REF!))/SUMIF($A$7:$AC$128,$A50,$AB$6:$AB$127)*V$5,0)</f>
        <v>0</v>
      </c>
      <c r="W50" s="26">
        <f>IF(AND(COLUMN()&gt;=11,COLUMN()&lt;=20),(_xlfn.XLOOKUP($A50,#REF!,#REF!))/SUMIF($A$7:$AC$128,$A50,$AB$6:$AB$127)*W$5,0)</f>
        <v>0</v>
      </c>
      <c r="X50" s="26">
        <f>IF(AND(COLUMN()&gt;=11,COLUMN()&lt;=20),(_xlfn.XLOOKUP($A50,#REF!,#REF!))/SUMIF($A$7:$AC$128,$A50,$AB$6:$AB$127)*X$5,0)</f>
        <v>0</v>
      </c>
      <c r="Y50" s="26">
        <f>IF(AND(COLUMN()&gt;=11,COLUMN()&lt;=20),(_xlfn.XLOOKUP($A50,#REF!,#REF!))/SUMIF($A$7:$AC$128,$A50,$AB$6:$AB$127)*Y$5,0)</f>
        <v>0</v>
      </c>
      <c r="Z50" s="26">
        <f>IF(AND(COLUMN()&gt;=11,COLUMN()&lt;=20),(_xlfn.XLOOKUP($A50,#REF!,#REF!))/SUMIF($A$7:$AC$128,$A50,$AB$6:$AB$127)*Z$5,0)</f>
        <v>0</v>
      </c>
      <c r="AA50" s="26" t="e">
        <f t="shared" ca="1" si="7"/>
        <v>#REF!</v>
      </c>
      <c r="AB50" s="19">
        <f t="shared" si="2"/>
        <v>31</v>
      </c>
      <c r="AC50" s="20" t="e">
        <f t="shared" ca="1" si="3"/>
        <v>#REF!</v>
      </c>
      <c r="AD50" s="30" t="e">
        <f>#REF!/SUMIF(#REF!,'Curva de la oferta Prod 3'!$A50,#REF!)</f>
        <v>#REF!</v>
      </c>
      <c r="AE50" s="28"/>
      <c r="AF50" s="31"/>
      <c r="AG50" s="31"/>
      <c r="AH50" s="31"/>
      <c r="AI50" s="31"/>
      <c r="AJ50" s="31"/>
      <c r="AK50" s="31"/>
    </row>
    <row r="51" spans="1:37" ht="14.5" x14ac:dyDescent="0.35">
      <c r="A51" s="15">
        <f t="shared" si="0"/>
        <v>2029</v>
      </c>
      <c r="B51" s="18">
        <v>47331</v>
      </c>
      <c r="C51" s="26">
        <f>IF(AND(COLUMN()&gt;=11,COLUMN()&lt;=20),(_xlfn.XLOOKUP($A51,#REF!,#REF!))/SUMIF($A$7:$AC$128,$A51,$AB$6:$AB$127)*C$5,0)</f>
        <v>0</v>
      </c>
      <c r="D51" s="26">
        <f>IF(AND(COLUMN()&gt;=11,COLUMN()&lt;=20),(_xlfn.XLOOKUP($A51,#REF!,#REF!))/SUMIF($A$7:$AC$128,$A51,$AB$6:$AB$127)*D$5,0)</f>
        <v>0</v>
      </c>
      <c r="E51" s="26">
        <f>IF(AND(COLUMN()&gt;=11,COLUMN()&lt;=20),(_xlfn.XLOOKUP($A51,#REF!,#REF!))/SUMIF($A$7:$AC$128,$A51,$AB$6:$AB$127)*E$5,0)</f>
        <v>0</v>
      </c>
      <c r="F51" s="26">
        <f>IF(AND(COLUMN()&gt;=11,COLUMN()&lt;=20),(_xlfn.XLOOKUP($A51,#REF!,#REF!))/SUMIF($A$7:$AC$128,$A51,$AB$6:$AB$127)*F$5,0)</f>
        <v>0</v>
      </c>
      <c r="G51" s="26">
        <f>IF(AND(COLUMN()&gt;=11,COLUMN()&lt;=20),(_xlfn.XLOOKUP($A51,#REF!,#REF!))/SUMIF($A$7:$AC$128,$A51,$AB$6:$AB$127)*G$5,0)</f>
        <v>0</v>
      </c>
      <c r="H51" s="26">
        <f>IF(AND(COLUMN()&gt;=11,COLUMN()&lt;=20),(_xlfn.XLOOKUP($A51,#REF!,#REF!))/SUMIF($A$7:$AC$128,$A51,$AB$6:$AB$127)*H$5,0)</f>
        <v>0</v>
      </c>
      <c r="I51" s="26">
        <f>IF(AND(COLUMN()&gt;=11,COLUMN()&lt;=20),(_xlfn.XLOOKUP($A51,#REF!,#REF!))/SUMIF($A$7:$AC$128,$A51,$AB$6:$AB$127)*I$5,0)</f>
        <v>0</v>
      </c>
      <c r="J51" s="26">
        <f>IF(AND(COLUMN()&gt;=11,COLUMN()&lt;=20),(_xlfn.XLOOKUP($A51,#REF!,#REF!))/SUMIF($A$7:$AC$128,$A51,$AB$6:$AB$127)*J$5,0)</f>
        <v>0</v>
      </c>
      <c r="K51" s="26" t="e">
        <f ca="1">IF(AND(COLUMN()&gt;=11,COLUMN()&lt;=20),(_xlfn.XLOOKUP($A51,#REF!,#REF!))/SUMIF($A$7:$AC$128,$A51,$AB$6:$AB$127)*K$5,0)</f>
        <v>#REF!</v>
      </c>
      <c r="L51" s="26" t="e">
        <f ca="1">IF(AND(COLUMN()&gt;=11,COLUMN()&lt;=20),(_xlfn.XLOOKUP($A51,#REF!,#REF!))/SUMIF($A$7:$AC$128,$A51,$AB$6:$AB$127)*L$5,0)</f>
        <v>#REF!</v>
      </c>
      <c r="M51" s="26" t="e">
        <f ca="1">IF(AND(COLUMN()&gt;=11,COLUMN()&lt;=20),(_xlfn.XLOOKUP($A51,#REF!,#REF!))/SUMIF($A$7:$AC$128,$A51,$AB$6:$AB$127)*M$5,0)</f>
        <v>#REF!</v>
      </c>
      <c r="N51" s="26" t="e">
        <f ca="1">IF(AND(COLUMN()&gt;=11,COLUMN()&lt;=20),(_xlfn.XLOOKUP($A51,#REF!,#REF!))/SUMIF($A$7:$AC$128,$A51,$AB$6:$AB$127)*N$5,0)</f>
        <v>#REF!</v>
      </c>
      <c r="O51" s="26" t="e">
        <f ca="1">IF(AND(COLUMN()&gt;=11,COLUMN()&lt;=20),(_xlfn.XLOOKUP($A51,#REF!,#REF!))/SUMIF($A$7:$AC$128,$A51,$AB$6:$AB$127)*O$5,0)</f>
        <v>#REF!</v>
      </c>
      <c r="P51" s="26" t="e">
        <f ca="1">IF(AND(COLUMN()&gt;=11,COLUMN()&lt;=20),(_xlfn.XLOOKUP($A51,#REF!,#REF!))/SUMIF($A$7:$AC$128,$A51,$AB$6:$AB$127)*P$5,0)</f>
        <v>#REF!</v>
      </c>
      <c r="Q51" s="26" t="e">
        <f ca="1">IF(AND(COLUMN()&gt;=11,COLUMN()&lt;=20),(_xlfn.XLOOKUP($A51,#REF!,#REF!))/SUMIF($A$7:$AC$128,$A51,$AB$6:$AB$127)*Q$5,0)</f>
        <v>#REF!</v>
      </c>
      <c r="R51" s="26" t="e">
        <f ca="1">IF(AND(COLUMN()&gt;=11,COLUMN()&lt;=20),(_xlfn.XLOOKUP($A51,#REF!,#REF!))/SUMIF($A$7:$AC$128,$A51,$AB$6:$AB$127)*R$5,0)</f>
        <v>#REF!</v>
      </c>
      <c r="S51" s="26" t="e">
        <f ca="1">IF(AND(COLUMN()&gt;=11,COLUMN()&lt;=20),(_xlfn.XLOOKUP($A51,#REF!,#REF!))/SUMIF($A$7:$AC$128,$A51,$AB$6:$AB$127)*S$5,0)</f>
        <v>#REF!</v>
      </c>
      <c r="T51" s="26" t="e">
        <f ca="1">IF(AND(COLUMN()&gt;=11,COLUMN()&lt;=20),(_xlfn.XLOOKUP($A51,#REF!,#REF!))/SUMIF($A$7:$AC$128,$A51,$AB$6:$AB$127)*T$5,0)</f>
        <v>#REF!</v>
      </c>
      <c r="U51" s="26">
        <f>IF(AND(COLUMN()&gt;=11,COLUMN()&lt;=20),(_xlfn.XLOOKUP($A51,#REF!,#REF!))/SUMIF($A$7:$AC$128,$A51,$AB$6:$AB$127)*U$5,0)</f>
        <v>0</v>
      </c>
      <c r="V51" s="26">
        <f>IF(AND(COLUMN()&gt;=11,COLUMN()&lt;=20),(_xlfn.XLOOKUP($A51,#REF!,#REF!))/SUMIF($A$7:$AC$128,$A51,$AB$6:$AB$127)*V$5,0)</f>
        <v>0</v>
      </c>
      <c r="W51" s="26">
        <f>IF(AND(COLUMN()&gt;=11,COLUMN()&lt;=20),(_xlfn.XLOOKUP($A51,#REF!,#REF!))/SUMIF($A$7:$AC$128,$A51,$AB$6:$AB$127)*W$5,0)</f>
        <v>0</v>
      </c>
      <c r="X51" s="26">
        <f>IF(AND(COLUMN()&gt;=11,COLUMN()&lt;=20),(_xlfn.XLOOKUP($A51,#REF!,#REF!))/SUMIF($A$7:$AC$128,$A51,$AB$6:$AB$127)*X$5,0)</f>
        <v>0</v>
      </c>
      <c r="Y51" s="26">
        <f>IF(AND(COLUMN()&gt;=11,COLUMN()&lt;=20),(_xlfn.XLOOKUP($A51,#REF!,#REF!))/SUMIF($A$7:$AC$128,$A51,$AB$6:$AB$127)*Y$5,0)</f>
        <v>0</v>
      </c>
      <c r="Z51" s="26">
        <f>IF(AND(COLUMN()&gt;=11,COLUMN()&lt;=20),(_xlfn.XLOOKUP($A51,#REF!,#REF!))/SUMIF($A$7:$AC$128,$A51,$AB$6:$AB$127)*Z$5,0)</f>
        <v>0</v>
      </c>
      <c r="AA51" s="26" t="e">
        <f t="shared" ca="1" si="7"/>
        <v>#REF!</v>
      </c>
      <c r="AB51" s="19">
        <f t="shared" si="2"/>
        <v>31</v>
      </c>
      <c r="AC51" s="20" t="e">
        <f t="shared" ca="1" si="3"/>
        <v>#REF!</v>
      </c>
      <c r="AD51" s="30" t="e">
        <f>#REF!/SUMIF(#REF!,'Curva de la oferta Prod 3'!$A51,#REF!)</f>
        <v>#REF!</v>
      </c>
      <c r="AE51" s="28"/>
      <c r="AF51" s="31"/>
      <c r="AG51" s="31"/>
      <c r="AH51" s="31"/>
      <c r="AI51" s="31"/>
      <c r="AJ51" s="31"/>
      <c r="AK51" s="31"/>
    </row>
    <row r="52" spans="1:37" ht="14.5" x14ac:dyDescent="0.35">
      <c r="A52" s="15">
        <f t="shared" si="0"/>
        <v>2029</v>
      </c>
      <c r="B52" s="18">
        <v>47362</v>
      </c>
      <c r="C52" s="26">
        <f>IF(AND(COLUMN()&gt;=11,COLUMN()&lt;=20),(_xlfn.XLOOKUP($A52,#REF!,#REF!))/SUMIF($A$7:$AC$128,$A52,$AB$6:$AB$127)*C$5,0)</f>
        <v>0</v>
      </c>
      <c r="D52" s="26">
        <f>IF(AND(COLUMN()&gt;=11,COLUMN()&lt;=20),(_xlfn.XLOOKUP($A52,#REF!,#REF!))/SUMIF($A$7:$AC$128,$A52,$AB$6:$AB$127)*D$5,0)</f>
        <v>0</v>
      </c>
      <c r="E52" s="26">
        <f>IF(AND(COLUMN()&gt;=11,COLUMN()&lt;=20),(_xlfn.XLOOKUP($A52,#REF!,#REF!))/SUMIF($A$7:$AC$128,$A52,$AB$6:$AB$127)*E$5,0)</f>
        <v>0</v>
      </c>
      <c r="F52" s="26">
        <f>IF(AND(COLUMN()&gt;=11,COLUMN()&lt;=20),(_xlfn.XLOOKUP($A52,#REF!,#REF!))/SUMIF($A$7:$AC$128,$A52,$AB$6:$AB$127)*F$5,0)</f>
        <v>0</v>
      </c>
      <c r="G52" s="26">
        <f>IF(AND(COLUMN()&gt;=11,COLUMN()&lt;=20),(_xlfn.XLOOKUP($A52,#REF!,#REF!))/SUMIF($A$7:$AC$128,$A52,$AB$6:$AB$127)*G$5,0)</f>
        <v>0</v>
      </c>
      <c r="H52" s="26">
        <f>IF(AND(COLUMN()&gt;=11,COLUMN()&lt;=20),(_xlfn.XLOOKUP($A52,#REF!,#REF!))/SUMIF($A$7:$AC$128,$A52,$AB$6:$AB$127)*H$5,0)</f>
        <v>0</v>
      </c>
      <c r="I52" s="26">
        <f>IF(AND(COLUMN()&gt;=11,COLUMN()&lt;=20),(_xlfn.XLOOKUP($A52,#REF!,#REF!))/SUMIF($A$7:$AC$128,$A52,$AB$6:$AB$127)*I$5,0)</f>
        <v>0</v>
      </c>
      <c r="J52" s="26">
        <f>IF(AND(COLUMN()&gt;=11,COLUMN()&lt;=20),(_xlfn.XLOOKUP($A52,#REF!,#REF!))/SUMIF($A$7:$AC$128,$A52,$AB$6:$AB$127)*J$5,0)</f>
        <v>0</v>
      </c>
      <c r="K52" s="26" t="e">
        <f ca="1">IF(AND(COLUMN()&gt;=11,COLUMN()&lt;=20),(_xlfn.XLOOKUP($A52,#REF!,#REF!))/SUMIF($A$7:$AC$128,$A52,$AB$6:$AB$127)*K$5,0)</f>
        <v>#REF!</v>
      </c>
      <c r="L52" s="26" t="e">
        <f ca="1">IF(AND(COLUMN()&gt;=11,COLUMN()&lt;=20),(_xlfn.XLOOKUP($A52,#REF!,#REF!))/SUMIF($A$7:$AC$128,$A52,$AB$6:$AB$127)*L$5,0)</f>
        <v>#REF!</v>
      </c>
      <c r="M52" s="26" t="e">
        <f ca="1">IF(AND(COLUMN()&gt;=11,COLUMN()&lt;=20),(_xlfn.XLOOKUP($A52,#REF!,#REF!))/SUMIF($A$7:$AC$128,$A52,$AB$6:$AB$127)*M$5,0)</f>
        <v>#REF!</v>
      </c>
      <c r="N52" s="26" t="e">
        <f ca="1">IF(AND(COLUMN()&gt;=11,COLUMN()&lt;=20),(_xlfn.XLOOKUP($A52,#REF!,#REF!))/SUMIF($A$7:$AC$128,$A52,$AB$6:$AB$127)*N$5,0)</f>
        <v>#REF!</v>
      </c>
      <c r="O52" s="26" t="e">
        <f ca="1">IF(AND(COLUMN()&gt;=11,COLUMN()&lt;=20),(_xlfn.XLOOKUP($A52,#REF!,#REF!))/SUMIF($A$7:$AC$128,$A52,$AB$6:$AB$127)*O$5,0)</f>
        <v>#REF!</v>
      </c>
      <c r="P52" s="26" t="e">
        <f ca="1">IF(AND(COLUMN()&gt;=11,COLUMN()&lt;=20),(_xlfn.XLOOKUP($A52,#REF!,#REF!))/SUMIF($A$7:$AC$128,$A52,$AB$6:$AB$127)*P$5,0)</f>
        <v>#REF!</v>
      </c>
      <c r="Q52" s="26" t="e">
        <f ca="1">IF(AND(COLUMN()&gt;=11,COLUMN()&lt;=20),(_xlfn.XLOOKUP($A52,#REF!,#REF!))/SUMIF($A$7:$AC$128,$A52,$AB$6:$AB$127)*Q$5,0)</f>
        <v>#REF!</v>
      </c>
      <c r="R52" s="26" t="e">
        <f ca="1">IF(AND(COLUMN()&gt;=11,COLUMN()&lt;=20),(_xlfn.XLOOKUP($A52,#REF!,#REF!))/SUMIF($A$7:$AC$128,$A52,$AB$6:$AB$127)*R$5,0)</f>
        <v>#REF!</v>
      </c>
      <c r="S52" s="26" t="e">
        <f ca="1">IF(AND(COLUMN()&gt;=11,COLUMN()&lt;=20),(_xlfn.XLOOKUP($A52,#REF!,#REF!))/SUMIF($A$7:$AC$128,$A52,$AB$6:$AB$127)*S$5,0)</f>
        <v>#REF!</v>
      </c>
      <c r="T52" s="26" t="e">
        <f ca="1">IF(AND(COLUMN()&gt;=11,COLUMN()&lt;=20),(_xlfn.XLOOKUP($A52,#REF!,#REF!))/SUMIF($A$7:$AC$128,$A52,$AB$6:$AB$127)*T$5,0)</f>
        <v>#REF!</v>
      </c>
      <c r="U52" s="26">
        <f>IF(AND(COLUMN()&gt;=11,COLUMN()&lt;=20),(_xlfn.XLOOKUP($A52,#REF!,#REF!))/SUMIF($A$7:$AC$128,$A52,$AB$6:$AB$127)*U$5,0)</f>
        <v>0</v>
      </c>
      <c r="V52" s="26">
        <f>IF(AND(COLUMN()&gt;=11,COLUMN()&lt;=20),(_xlfn.XLOOKUP($A52,#REF!,#REF!))/SUMIF($A$7:$AC$128,$A52,$AB$6:$AB$127)*V$5,0)</f>
        <v>0</v>
      </c>
      <c r="W52" s="26">
        <f>IF(AND(COLUMN()&gt;=11,COLUMN()&lt;=20),(_xlfn.XLOOKUP($A52,#REF!,#REF!))/SUMIF($A$7:$AC$128,$A52,$AB$6:$AB$127)*W$5,0)</f>
        <v>0</v>
      </c>
      <c r="X52" s="26">
        <f>IF(AND(COLUMN()&gt;=11,COLUMN()&lt;=20),(_xlfn.XLOOKUP($A52,#REF!,#REF!))/SUMIF($A$7:$AC$128,$A52,$AB$6:$AB$127)*X$5,0)</f>
        <v>0</v>
      </c>
      <c r="Y52" s="26">
        <f>IF(AND(COLUMN()&gt;=11,COLUMN()&lt;=20),(_xlfn.XLOOKUP($A52,#REF!,#REF!))/SUMIF($A$7:$AC$128,$A52,$AB$6:$AB$127)*Y$5,0)</f>
        <v>0</v>
      </c>
      <c r="Z52" s="26">
        <f>IF(AND(COLUMN()&gt;=11,COLUMN()&lt;=20),(_xlfn.XLOOKUP($A52,#REF!,#REF!))/SUMIF($A$7:$AC$128,$A52,$AB$6:$AB$127)*Z$5,0)</f>
        <v>0</v>
      </c>
      <c r="AA52" s="26" t="e">
        <f t="shared" ca="1" si="7"/>
        <v>#REF!</v>
      </c>
      <c r="AB52" s="19">
        <f t="shared" si="2"/>
        <v>30</v>
      </c>
      <c r="AC52" s="20" t="e">
        <f t="shared" ca="1" si="3"/>
        <v>#REF!</v>
      </c>
      <c r="AD52" s="30" t="e">
        <f>#REF!/SUMIF(#REF!,'Curva de la oferta Prod 3'!$A52,#REF!)</f>
        <v>#REF!</v>
      </c>
      <c r="AE52" s="28"/>
      <c r="AF52" s="31"/>
      <c r="AG52" s="31"/>
      <c r="AH52" s="31"/>
      <c r="AI52" s="31"/>
      <c r="AJ52" s="31"/>
      <c r="AK52" s="31"/>
    </row>
    <row r="53" spans="1:37" ht="14.5" x14ac:dyDescent="0.35">
      <c r="A53" s="15">
        <f t="shared" si="0"/>
        <v>2029</v>
      </c>
      <c r="B53" s="18">
        <v>47392</v>
      </c>
      <c r="C53" s="26">
        <f>IF(AND(COLUMN()&gt;=11,COLUMN()&lt;=20),(_xlfn.XLOOKUP($A53,#REF!,#REF!))/SUMIF($A$7:$AC$128,$A53,$AB$6:$AB$127)*C$5,0)</f>
        <v>0</v>
      </c>
      <c r="D53" s="26">
        <f>IF(AND(COLUMN()&gt;=11,COLUMN()&lt;=20),(_xlfn.XLOOKUP($A53,#REF!,#REF!))/SUMIF($A$7:$AC$128,$A53,$AB$6:$AB$127)*D$5,0)</f>
        <v>0</v>
      </c>
      <c r="E53" s="26">
        <f>IF(AND(COLUMN()&gt;=11,COLUMN()&lt;=20),(_xlfn.XLOOKUP($A53,#REF!,#REF!))/SUMIF($A$7:$AC$128,$A53,$AB$6:$AB$127)*E$5,0)</f>
        <v>0</v>
      </c>
      <c r="F53" s="26">
        <f>IF(AND(COLUMN()&gt;=11,COLUMN()&lt;=20),(_xlfn.XLOOKUP($A53,#REF!,#REF!))/SUMIF($A$7:$AC$128,$A53,$AB$6:$AB$127)*F$5,0)</f>
        <v>0</v>
      </c>
      <c r="G53" s="26">
        <f>IF(AND(COLUMN()&gt;=11,COLUMN()&lt;=20),(_xlfn.XLOOKUP($A53,#REF!,#REF!))/SUMIF($A$7:$AC$128,$A53,$AB$6:$AB$127)*G$5,0)</f>
        <v>0</v>
      </c>
      <c r="H53" s="26">
        <f>IF(AND(COLUMN()&gt;=11,COLUMN()&lt;=20),(_xlfn.XLOOKUP($A53,#REF!,#REF!))/SUMIF($A$7:$AC$128,$A53,$AB$6:$AB$127)*H$5,0)</f>
        <v>0</v>
      </c>
      <c r="I53" s="26">
        <f>IF(AND(COLUMN()&gt;=11,COLUMN()&lt;=20),(_xlfn.XLOOKUP($A53,#REF!,#REF!))/SUMIF($A$7:$AC$128,$A53,$AB$6:$AB$127)*I$5,0)</f>
        <v>0</v>
      </c>
      <c r="J53" s="26">
        <f>IF(AND(COLUMN()&gt;=11,COLUMN()&lt;=20),(_xlfn.XLOOKUP($A53,#REF!,#REF!))/SUMIF($A$7:$AC$128,$A53,$AB$6:$AB$127)*J$5,0)</f>
        <v>0</v>
      </c>
      <c r="K53" s="26" t="e">
        <f ca="1">IF(AND(COLUMN()&gt;=11,COLUMN()&lt;=20),(_xlfn.XLOOKUP($A53,#REF!,#REF!))/SUMIF($A$7:$AC$128,$A53,$AB$6:$AB$127)*K$5,0)</f>
        <v>#REF!</v>
      </c>
      <c r="L53" s="26" t="e">
        <f ca="1">IF(AND(COLUMN()&gt;=11,COLUMN()&lt;=20),(_xlfn.XLOOKUP($A53,#REF!,#REF!))/SUMIF($A$7:$AC$128,$A53,$AB$6:$AB$127)*L$5,0)</f>
        <v>#REF!</v>
      </c>
      <c r="M53" s="26" t="e">
        <f ca="1">IF(AND(COLUMN()&gt;=11,COLUMN()&lt;=20),(_xlfn.XLOOKUP($A53,#REF!,#REF!))/SUMIF($A$7:$AC$128,$A53,$AB$6:$AB$127)*M$5,0)</f>
        <v>#REF!</v>
      </c>
      <c r="N53" s="26" t="e">
        <f ca="1">IF(AND(COLUMN()&gt;=11,COLUMN()&lt;=20),(_xlfn.XLOOKUP($A53,#REF!,#REF!))/SUMIF($A$7:$AC$128,$A53,$AB$6:$AB$127)*N$5,0)</f>
        <v>#REF!</v>
      </c>
      <c r="O53" s="26" t="e">
        <f ca="1">IF(AND(COLUMN()&gt;=11,COLUMN()&lt;=20),(_xlfn.XLOOKUP($A53,#REF!,#REF!))/SUMIF($A$7:$AC$128,$A53,$AB$6:$AB$127)*O$5,0)</f>
        <v>#REF!</v>
      </c>
      <c r="P53" s="26" t="e">
        <f ca="1">IF(AND(COLUMN()&gt;=11,COLUMN()&lt;=20),(_xlfn.XLOOKUP($A53,#REF!,#REF!))/SUMIF($A$7:$AC$128,$A53,$AB$6:$AB$127)*P$5,0)</f>
        <v>#REF!</v>
      </c>
      <c r="Q53" s="26" t="e">
        <f ca="1">IF(AND(COLUMN()&gt;=11,COLUMN()&lt;=20),(_xlfn.XLOOKUP($A53,#REF!,#REF!))/SUMIF($A$7:$AC$128,$A53,$AB$6:$AB$127)*Q$5,0)</f>
        <v>#REF!</v>
      </c>
      <c r="R53" s="26" t="e">
        <f ca="1">IF(AND(COLUMN()&gt;=11,COLUMN()&lt;=20),(_xlfn.XLOOKUP($A53,#REF!,#REF!))/SUMIF($A$7:$AC$128,$A53,$AB$6:$AB$127)*R$5,0)</f>
        <v>#REF!</v>
      </c>
      <c r="S53" s="26" t="e">
        <f ca="1">IF(AND(COLUMN()&gt;=11,COLUMN()&lt;=20),(_xlfn.XLOOKUP($A53,#REF!,#REF!))/SUMIF($A$7:$AC$128,$A53,$AB$6:$AB$127)*S$5,0)</f>
        <v>#REF!</v>
      </c>
      <c r="T53" s="26" t="e">
        <f ca="1">IF(AND(COLUMN()&gt;=11,COLUMN()&lt;=20),(_xlfn.XLOOKUP($A53,#REF!,#REF!))/SUMIF($A$7:$AC$128,$A53,$AB$6:$AB$127)*T$5,0)</f>
        <v>#REF!</v>
      </c>
      <c r="U53" s="26">
        <f>IF(AND(COLUMN()&gt;=11,COLUMN()&lt;=20),(_xlfn.XLOOKUP($A53,#REF!,#REF!))/SUMIF($A$7:$AC$128,$A53,$AB$6:$AB$127)*U$5,0)</f>
        <v>0</v>
      </c>
      <c r="V53" s="26">
        <f>IF(AND(COLUMN()&gt;=11,COLUMN()&lt;=20),(_xlfn.XLOOKUP($A53,#REF!,#REF!))/SUMIF($A$7:$AC$128,$A53,$AB$6:$AB$127)*V$5,0)</f>
        <v>0</v>
      </c>
      <c r="W53" s="26">
        <f>IF(AND(COLUMN()&gt;=11,COLUMN()&lt;=20),(_xlfn.XLOOKUP($A53,#REF!,#REF!))/SUMIF($A$7:$AC$128,$A53,$AB$6:$AB$127)*W$5,0)</f>
        <v>0</v>
      </c>
      <c r="X53" s="26">
        <f>IF(AND(COLUMN()&gt;=11,COLUMN()&lt;=20),(_xlfn.XLOOKUP($A53,#REF!,#REF!))/SUMIF($A$7:$AC$128,$A53,$AB$6:$AB$127)*X$5,0)</f>
        <v>0</v>
      </c>
      <c r="Y53" s="26">
        <f>IF(AND(COLUMN()&gt;=11,COLUMN()&lt;=20),(_xlfn.XLOOKUP($A53,#REF!,#REF!))/SUMIF($A$7:$AC$128,$A53,$AB$6:$AB$127)*Y$5,0)</f>
        <v>0</v>
      </c>
      <c r="Z53" s="26">
        <f>IF(AND(COLUMN()&gt;=11,COLUMN()&lt;=20),(_xlfn.XLOOKUP($A53,#REF!,#REF!))/SUMIF($A$7:$AC$128,$A53,$AB$6:$AB$127)*Z$5,0)</f>
        <v>0</v>
      </c>
      <c r="AA53" s="26" t="e">
        <f t="shared" ca="1" si="7"/>
        <v>#REF!</v>
      </c>
      <c r="AB53" s="19">
        <f t="shared" si="2"/>
        <v>31</v>
      </c>
      <c r="AC53" s="20" t="e">
        <f t="shared" ca="1" si="3"/>
        <v>#REF!</v>
      </c>
      <c r="AD53" s="30" t="e">
        <f>#REF!/SUMIF(#REF!,'Curva de la oferta Prod 3'!$A53,#REF!)</f>
        <v>#REF!</v>
      </c>
      <c r="AE53" s="28"/>
      <c r="AF53" s="31"/>
      <c r="AG53" s="31"/>
      <c r="AH53" s="31"/>
      <c r="AI53" s="31"/>
      <c r="AJ53" s="31"/>
      <c r="AK53" s="31"/>
    </row>
    <row r="54" spans="1:37" ht="14.5" x14ac:dyDescent="0.35">
      <c r="A54" s="15">
        <f t="shared" si="0"/>
        <v>2029</v>
      </c>
      <c r="B54" s="18">
        <v>47423</v>
      </c>
      <c r="C54" s="26">
        <f>IF(AND(COLUMN()&gt;=11,COLUMN()&lt;=20),(_xlfn.XLOOKUP($A54,#REF!,#REF!))/SUMIF($A$7:$AC$128,$A54,$AB$6:$AB$127)*C$5,0)</f>
        <v>0</v>
      </c>
      <c r="D54" s="26">
        <f>IF(AND(COLUMN()&gt;=11,COLUMN()&lt;=20),(_xlfn.XLOOKUP($A54,#REF!,#REF!))/SUMIF($A$7:$AC$128,$A54,$AB$6:$AB$127)*D$5,0)</f>
        <v>0</v>
      </c>
      <c r="E54" s="26">
        <f>IF(AND(COLUMN()&gt;=11,COLUMN()&lt;=20),(_xlfn.XLOOKUP($A54,#REF!,#REF!))/SUMIF($A$7:$AC$128,$A54,$AB$6:$AB$127)*E$5,0)</f>
        <v>0</v>
      </c>
      <c r="F54" s="26">
        <f>IF(AND(COLUMN()&gt;=11,COLUMN()&lt;=20),(_xlfn.XLOOKUP($A54,#REF!,#REF!))/SUMIF($A$7:$AC$128,$A54,$AB$6:$AB$127)*F$5,0)</f>
        <v>0</v>
      </c>
      <c r="G54" s="26">
        <f>IF(AND(COLUMN()&gt;=11,COLUMN()&lt;=20),(_xlfn.XLOOKUP($A54,#REF!,#REF!))/SUMIF($A$7:$AC$128,$A54,$AB$6:$AB$127)*G$5,0)</f>
        <v>0</v>
      </c>
      <c r="H54" s="26">
        <f>IF(AND(COLUMN()&gt;=11,COLUMN()&lt;=20),(_xlfn.XLOOKUP($A54,#REF!,#REF!))/SUMIF($A$7:$AC$128,$A54,$AB$6:$AB$127)*H$5,0)</f>
        <v>0</v>
      </c>
      <c r="I54" s="26">
        <f>IF(AND(COLUMN()&gt;=11,COLUMN()&lt;=20),(_xlfn.XLOOKUP($A54,#REF!,#REF!))/SUMIF($A$7:$AC$128,$A54,$AB$6:$AB$127)*I$5,0)</f>
        <v>0</v>
      </c>
      <c r="J54" s="26">
        <f>IF(AND(COLUMN()&gt;=11,COLUMN()&lt;=20),(_xlfn.XLOOKUP($A54,#REF!,#REF!))/SUMIF($A$7:$AC$128,$A54,$AB$6:$AB$127)*J$5,0)</f>
        <v>0</v>
      </c>
      <c r="K54" s="26" t="e">
        <f ca="1">IF(AND(COLUMN()&gt;=11,COLUMN()&lt;=20),(_xlfn.XLOOKUP($A54,#REF!,#REF!))/SUMIF($A$7:$AC$128,$A54,$AB$6:$AB$127)*K$5,0)</f>
        <v>#REF!</v>
      </c>
      <c r="L54" s="26" t="e">
        <f ca="1">IF(AND(COLUMN()&gt;=11,COLUMN()&lt;=20),(_xlfn.XLOOKUP($A54,#REF!,#REF!))/SUMIF($A$7:$AC$128,$A54,$AB$6:$AB$127)*L$5,0)</f>
        <v>#REF!</v>
      </c>
      <c r="M54" s="26" t="e">
        <f ca="1">IF(AND(COLUMN()&gt;=11,COLUMN()&lt;=20),(_xlfn.XLOOKUP($A54,#REF!,#REF!))/SUMIF($A$7:$AC$128,$A54,$AB$6:$AB$127)*M$5,0)</f>
        <v>#REF!</v>
      </c>
      <c r="N54" s="26" t="e">
        <f ca="1">IF(AND(COLUMN()&gt;=11,COLUMN()&lt;=20),(_xlfn.XLOOKUP($A54,#REF!,#REF!))/SUMIF($A$7:$AC$128,$A54,$AB$6:$AB$127)*N$5,0)</f>
        <v>#REF!</v>
      </c>
      <c r="O54" s="26" t="e">
        <f ca="1">IF(AND(COLUMN()&gt;=11,COLUMN()&lt;=20),(_xlfn.XLOOKUP($A54,#REF!,#REF!))/SUMIF($A$7:$AC$128,$A54,$AB$6:$AB$127)*O$5,0)</f>
        <v>#REF!</v>
      </c>
      <c r="P54" s="26" t="e">
        <f ca="1">IF(AND(COLUMN()&gt;=11,COLUMN()&lt;=20),(_xlfn.XLOOKUP($A54,#REF!,#REF!))/SUMIF($A$7:$AC$128,$A54,$AB$6:$AB$127)*P$5,0)</f>
        <v>#REF!</v>
      </c>
      <c r="Q54" s="26" t="e">
        <f ca="1">IF(AND(COLUMN()&gt;=11,COLUMN()&lt;=20),(_xlfn.XLOOKUP($A54,#REF!,#REF!))/SUMIF($A$7:$AC$128,$A54,$AB$6:$AB$127)*Q$5,0)</f>
        <v>#REF!</v>
      </c>
      <c r="R54" s="26" t="e">
        <f ca="1">IF(AND(COLUMN()&gt;=11,COLUMN()&lt;=20),(_xlfn.XLOOKUP($A54,#REF!,#REF!))/SUMIF($A$7:$AC$128,$A54,$AB$6:$AB$127)*R$5,0)</f>
        <v>#REF!</v>
      </c>
      <c r="S54" s="26" t="e">
        <f ca="1">IF(AND(COLUMN()&gt;=11,COLUMN()&lt;=20),(_xlfn.XLOOKUP($A54,#REF!,#REF!))/SUMIF($A$7:$AC$128,$A54,$AB$6:$AB$127)*S$5,0)</f>
        <v>#REF!</v>
      </c>
      <c r="T54" s="26" t="e">
        <f ca="1">IF(AND(COLUMN()&gt;=11,COLUMN()&lt;=20),(_xlfn.XLOOKUP($A54,#REF!,#REF!))/SUMIF($A$7:$AC$128,$A54,$AB$6:$AB$127)*T$5,0)</f>
        <v>#REF!</v>
      </c>
      <c r="U54" s="26">
        <f>IF(AND(COLUMN()&gt;=11,COLUMN()&lt;=20),(_xlfn.XLOOKUP($A54,#REF!,#REF!))/SUMIF($A$7:$AC$128,$A54,$AB$6:$AB$127)*U$5,0)</f>
        <v>0</v>
      </c>
      <c r="V54" s="26">
        <f>IF(AND(COLUMN()&gt;=11,COLUMN()&lt;=20),(_xlfn.XLOOKUP($A54,#REF!,#REF!))/SUMIF($A$7:$AC$128,$A54,$AB$6:$AB$127)*V$5,0)</f>
        <v>0</v>
      </c>
      <c r="W54" s="26">
        <f>IF(AND(COLUMN()&gt;=11,COLUMN()&lt;=20),(_xlfn.XLOOKUP($A54,#REF!,#REF!))/SUMIF($A$7:$AC$128,$A54,$AB$6:$AB$127)*W$5,0)</f>
        <v>0</v>
      </c>
      <c r="X54" s="26">
        <f>IF(AND(COLUMN()&gt;=11,COLUMN()&lt;=20),(_xlfn.XLOOKUP($A54,#REF!,#REF!))/SUMIF($A$7:$AC$128,$A54,$AB$6:$AB$127)*X$5,0)</f>
        <v>0</v>
      </c>
      <c r="Y54" s="26">
        <f>IF(AND(COLUMN()&gt;=11,COLUMN()&lt;=20),(_xlfn.XLOOKUP($A54,#REF!,#REF!))/SUMIF($A$7:$AC$128,$A54,$AB$6:$AB$127)*Y$5,0)</f>
        <v>0</v>
      </c>
      <c r="Z54" s="26">
        <f>IF(AND(COLUMN()&gt;=11,COLUMN()&lt;=20),(_xlfn.XLOOKUP($A54,#REF!,#REF!))/SUMIF($A$7:$AC$128,$A54,$AB$6:$AB$127)*Z$5,0)</f>
        <v>0</v>
      </c>
      <c r="AA54" s="26" t="e">
        <f t="shared" ca="1" si="7"/>
        <v>#REF!</v>
      </c>
      <c r="AB54" s="19">
        <f t="shared" si="2"/>
        <v>30</v>
      </c>
      <c r="AC54" s="20" t="e">
        <f t="shared" ca="1" si="3"/>
        <v>#REF!</v>
      </c>
      <c r="AD54" s="30" t="e">
        <f>#REF!/SUMIF(#REF!,'Curva de la oferta Prod 3'!$A54,#REF!)</f>
        <v>#REF!</v>
      </c>
      <c r="AE54" s="28"/>
      <c r="AF54" s="31"/>
      <c r="AG54" s="31"/>
      <c r="AH54" s="31"/>
      <c r="AI54" s="31"/>
      <c r="AJ54" s="31"/>
      <c r="AK54" s="31"/>
    </row>
    <row r="55" spans="1:37" ht="14.5" x14ac:dyDescent="0.35">
      <c r="A55" s="15">
        <f t="shared" si="0"/>
        <v>2029</v>
      </c>
      <c r="B55" s="18">
        <v>47453</v>
      </c>
      <c r="C55" s="26">
        <f>IF(AND(COLUMN()&gt;=11,COLUMN()&lt;=20),(_xlfn.XLOOKUP($A55,#REF!,#REF!))/SUMIF($A$7:$AC$128,$A55,$AB$6:$AB$127)*C$5,0)</f>
        <v>0</v>
      </c>
      <c r="D55" s="26">
        <f>IF(AND(COLUMN()&gt;=11,COLUMN()&lt;=20),(_xlfn.XLOOKUP($A55,#REF!,#REF!))/SUMIF($A$7:$AC$128,$A55,$AB$6:$AB$127)*D$5,0)</f>
        <v>0</v>
      </c>
      <c r="E55" s="26">
        <f>IF(AND(COLUMN()&gt;=11,COLUMN()&lt;=20),(_xlfn.XLOOKUP($A55,#REF!,#REF!))/SUMIF($A$7:$AC$128,$A55,$AB$6:$AB$127)*E$5,0)</f>
        <v>0</v>
      </c>
      <c r="F55" s="26">
        <f>IF(AND(COLUMN()&gt;=11,COLUMN()&lt;=20),(_xlfn.XLOOKUP($A55,#REF!,#REF!))/SUMIF($A$7:$AC$128,$A55,$AB$6:$AB$127)*F$5,0)</f>
        <v>0</v>
      </c>
      <c r="G55" s="26">
        <f>IF(AND(COLUMN()&gt;=11,COLUMN()&lt;=20),(_xlfn.XLOOKUP($A55,#REF!,#REF!))/SUMIF($A$7:$AC$128,$A55,$AB$6:$AB$127)*G$5,0)</f>
        <v>0</v>
      </c>
      <c r="H55" s="26">
        <f>IF(AND(COLUMN()&gt;=11,COLUMN()&lt;=20),(_xlfn.XLOOKUP($A55,#REF!,#REF!))/SUMIF($A$7:$AC$128,$A55,$AB$6:$AB$127)*H$5,0)</f>
        <v>0</v>
      </c>
      <c r="I55" s="26">
        <f>IF(AND(COLUMN()&gt;=11,COLUMN()&lt;=20),(_xlfn.XLOOKUP($A55,#REF!,#REF!))/SUMIF($A$7:$AC$128,$A55,$AB$6:$AB$127)*I$5,0)</f>
        <v>0</v>
      </c>
      <c r="J55" s="26">
        <f>IF(AND(COLUMN()&gt;=11,COLUMN()&lt;=20),(_xlfn.XLOOKUP($A55,#REF!,#REF!))/SUMIF($A$7:$AC$128,$A55,$AB$6:$AB$127)*J$5,0)</f>
        <v>0</v>
      </c>
      <c r="K55" s="26" t="e">
        <f ca="1">IF(AND(COLUMN()&gt;=11,COLUMN()&lt;=20),(_xlfn.XLOOKUP($A55,#REF!,#REF!))/SUMIF($A$7:$AC$128,$A55,$AB$6:$AB$127)*K$5,0)</f>
        <v>#REF!</v>
      </c>
      <c r="L55" s="26" t="e">
        <f ca="1">IF(AND(COLUMN()&gt;=11,COLUMN()&lt;=20),(_xlfn.XLOOKUP($A55,#REF!,#REF!))/SUMIF($A$7:$AC$128,$A55,$AB$6:$AB$127)*L$5,0)</f>
        <v>#REF!</v>
      </c>
      <c r="M55" s="26" t="e">
        <f ca="1">IF(AND(COLUMN()&gt;=11,COLUMN()&lt;=20),(_xlfn.XLOOKUP($A55,#REF!,#REF!))/SUMIF($A$7:$AC$128,$A55,$AB$6:$AB$127)*M$5,0)</f>
        <v>#REF!</v>
      </c>
      <c r="N55" s="26" t="e">
        <f ca="1">IF(AND(COLUMN()&gt;=11,COLUMN()&lt;=20),(_xlfn.XLOOKUP($A55,#REF!,#REF!))/SUMIF($A$7:$AC$128,$A55,$AB$6:$AB$127)*N$5,0)</f>
        <v>#REF!</v>
      </c>
      <c r="O55" s="26" t="e">
        <f ca="1">IF(AND(COLUMN()&gt;=11,COLUMN()&lt;=20),(_xlfn.XLOOKUP($A55,#REF!,#REF!))/SUMIF($A$7:$AC$128,$A55,$AB$6:$AB$127)*O$5,0)</f>
        <v>#REF!</v>
      </c>
      <c r="P55" s="26" t="e">
        <f ca="1">IF(AND(COLUMN()&gt;=11,COLUMN()&lt;=20),(_xlfn.XLOOKUP($A55,#REF!,#REF!))/SUMIF($A$7:$AC$128,$A55,$AB$6:$AB$127)*P$5,0)</f>
        <v>#REF!</v>
      </c>
      <c r="Q55" s="26" t="e">
        <f ca="1">IF(AND(COLUMN()&gt;=11,COLUMN()&lt;=20),(_xlfn.XLOOKUP($A55,#REF!,#REF!))/SUMIF($A$7:$AC$128,$A55,$AB$6:$AB$127)*Q$5,0)</f>
        <v>#REF!</v>
      </c>
      <c r="R55" s="26" t="e">
        <f ca="1">IF(AND(COLUMN()&gt;=11,COLUMN()&lt;=20),(_xlfn.XLOOKUP($A55,#REF!,#REF!))/SUMIF($A$7:$AC$128,$A55,$AB$6:$AB$127)*R$5,0)</f>
        <v>#REF!</v>
      </c>
      <c r="S55" s="26" t="e">
        <f ca="1">IF(AND(COLUMN()&gt;=11,COLUMN()&lt;=20),(_xlfn.XLOOKUP($A55,#REF!,#REF!))/SUMIF($A$7:$AC$128,$A55,$AB$6:$AB$127)*S$5,0)</f>
        <v>#REF!</v>
      </c>
      <c r="T55" s="26" t="e">
        <f ca="1">IF(AND(COLUMN()&gt;=11,COLUMN()&lt;=20),(_xlfn.XLOOKUP($A55,#REF!,#REF!))/SUMIF($A$7:$AC$128,$A55,$AB$6:$AB$127)*T$5,0)</f>
        <v>#REF!</v>
      </c>
      <c r="U55" s="26">
        <f>IF(AND(COLUMN()&gt;=11,COLUMN()&lt;=20),(_xlfn.XLOOKUP($A55,#REF!,#REF!))/SUMIF($A$7:$AC$128,$A55,$AB$6:$AB$127)*U$5,0)</f>
        <v>0</v>
      </c>
      <c r="V55" s="26">
        <f>IF(AND(COLUMN()&gt;=11,COLUMN()&lt;=20),(_xlfn.XLOOKUP($A55,#REF!,#REF!))/SUMIF($A$7:$AC$128,$A55,$AB$6:$AB$127)*V$5,0)</f>
        <v>0</v>
      </c>
      <c r="W55" s="26">
        <f>IF(AND(COLUMN()&gt;=11,COLUMN()&lt;=20),(_xlfn.XLOOKUP($A55,#REF!,#REF!))/SUMIF($A$7:$AC$128,$A55,$AB$6:$AB$127)*W$5,0)</f>
        <v>0</v>
      </c>
      <c r="X55" s="26">
        <f>IF(AND(COLUMN()&gt;=11,COLUMN()&lt;=20),(_xlfn.XLOOKUP($A55,#REF!,#REF!))/SUMIF($A$7:$AC$128,$A55,$AB$6:$AB$127)*X$5,0)</f>
        <v>0</v>
      </c>
      <c r="Y55" s="26">
        <f>IF(AND(COLUMN()&gt;=11,COLUMN()&lt;=20),(_xlfn.XLOOKUP($A55,#REF!,#REF!))/SUMIF($A$7:$AC$128,$A55,$AB$6:$AB$127)*Y$5,0)</f>
        <v>0</v>
      </c>
      <c r="Z55" s="26">
        <f>IF(AND(COLUMN()&gt;=11,COLUMN()&lt;=20),(_xlfn.XLOOKUP($A55,#REF!,#REF!))/SUMIF($A$7:$AC$128,$A55,$AB$6:$AB$127)*Z$5,0)</f>
        <v>0</v>
      </c>
      <c r="AA55" s="26" t="e">
        <f t="shared" ca="1" si="7"/>
        <v>#REF!</v>
      </c>
      <c r="AB55" s="19">
        <f t="shared" si="2"/>
        <v>31</v>
      </c>
      <c r="AC55" s="20" t="e">
        <f t="shared" ca="1" si="3"/>
        <v>#REF!</v>
      </c>
      <c r="AD55" s="30" t="e">
        <f>#REF!/SUMIF(#REF!,'Curva de la oferta Prod 3'!$A55,#REF!)</f>
        <v>#REF!</v>
      </c>
      <c r="AE55" s="28"/>
      <c r="AF55" s="31"/>
      <c r="AG55" s="31"/>
      <c r="AH55" s="31"/>
      <c r="AI55" s="31"/>
      <c r="AJ55" s="31"/>
      <c r="AK55" s="31"/>
    </row>
    <row r="56" spans="1:37" ht="14.5" x14ac:dyDescent="0.35">
      <c r="A56" s="15">
        <f t="shared" si="0"/>
        <v>2030</v>
      </c>
      <c r="B56" s="18">
        <v>47484</v>
      </c>
      <c r="C56" s="26">
        <f>IF(AND(COLUMN()&gt;=11,COLUMN()&lt;=20),(_xlfn.XLOOKUP($A56,#REF!,#REF!))/SUMIF($A$7:$AC$128,$A56,$AB$6:$AB$127)*C$5,0)</f>
        <v>0</v>
      </c>
      <c r="D56" s="26">
        <f>IF(AND(COLUMN()&gt;=11,COLUMN()&lt;=20),(_xlfn.XLOOKUP($A56,#REF!,#REF!))/SUMIF($A$7:$AC$128,$A56,$AB$6:$AB$127)*D$5,0)</f>
        <v>0</v>
      </c>
      <c r="E56" s="26">
        <f>IF(AND(COLUMN()&gt;=11,COLUMN()&lt;=20),(_xlfn.XLOOKUP($A56,#REF!,#REF!))/SUMIF($A$7:$AC$128,$A56,$AB$6:$AB$127)*E$5,0)</f>
        <v>0</v>
      </c>
      <c r="F56" s="26">
        <f>IF(AND(COLUMN()&gt;=11,COLUMN()&lt;=20),(_xlfn.XLOOKUP($A56,#REF!,#REF!))/SUMIF($A$7:$AC$128,$A56,$AB$6:$AB$127)*F$5,0)</f>
        <v>0</v>
      </c>
      <c r="G56" s="26">
        <f>IF(AND(COLUMN()&gt;=11,COLUMN()&lt;=20),(_xlfn.XLOOKUP($A56,#REF!,#REF!))/SUMIF($A$7:$AC$128,$A56,$AB$6:$AB$127)*G$5,0)</f>
        <v>0</v>
      </c>
      <c r="H56" s="26">
        <f>IF(AND(COLUMN()&gt;=11,COLUMN()&lt;=20),(_xlfn.XLOOKUP($A56,#REF!,#REF!))/SUMIF($A$7:$AC$128,$A56,$AB$6:$AB$127)*H$5,0)</f>
        <v>0</v>
      </c>
      <c r="I56" s="26">
        <f>IF(AND(COLUMN()&gt;=11,COLUMN()&lt;=20),(_xlfn.XLOOKUP($A56,#REF!,#REF!))/SUMIF($A$7:$AC$128,$A56,$AB$6:$AB$127)*I$5,0)</f>
        <v>0</v>
      </c>
      <c r="J56" s="26">
        <f>IF(AND(COLUMN()&gt;=11,COLUMN()&lt;=20),(_xlfn.XLOOKUP($A56,#REF!,#REF!))/SUMIF($A$7:$AC$128,$A56,$AB$6:$AB$127)*J$5,0)</f>
        <v>0</v>
      </c>
      <c r="K56" s="26" t="e">
        <f ca="1">IF(AND(COLUMN()&gt;=11,COLUMN()&lt;=20),(_xlfn.XLOOKUP($A56,#REF!,#REF!))/SUMIF($A$7:$AC$128,$A56,$AB$6:$AB$127)*K$5,0)</f>
        <v>#REF!</v>
      </c>
      <c r="L56" s="26" t="e">
        <f ca="1">IF(AND(COLUMN()&gt;=11,COLUMN()&lt;=20),(_xlfn.XLOOKUP($A56,#REF!,#REF!))/SUMIF($A$7:$AC$128,$A56,$AB$6:$AB$127)*L$5,0)</f>
        <v>#REF!</v>
      </c>
      <c r="M56" s="26" t="e">
        <f ca="1">IF(AND(COLUMN()&gt;=11,COLUMN()&lt;=20),(_xlfn.XLOOKUP($A56,#REF!,#REF!))/SUMIF($A$7:$AC$128,$A56,$AB$6:$AB$127)*M$5,0)</f>
        <v>#REF!</v>
      </c>
      <c r="N56" s="26" t="e">
        <f ca="1">IF(AND(COLUMN()&gt;=11,COLUMN()&lt;=20),(_xlfn.XLOOKUP($A56,#REF!,#REF!))/SUMIF($A$7:$AC$128,$A56,$AB$6:$AB$127)*N$5,0)</f>
        <v>#REF!</v>
      </c>
      <c r="O56" s="26" t="e">
        <f ca="1">IF(AND(COLUMN()&gt;=11,COLUMN()&lt;=20),(_xlfn.XLOOKUP($A56,#REF!,#REF!))/SUMIF($A$7:$AC$128,$A56,$AB$6:$AB$127)*O$5,0)</f>
        <v>#REF!</v>
      </c>
      <c r="P56" s="26" t="e">
        <f ca="1">IF(AND(COLUMN()&gt;=11,COLUMN()&lt;=20),(_xlfn.XLOOKUP($A56,#REF!,#REF!))/SUMIF($A$7:$AC$128,$A56,$AB$6:$AB$127)*P$5,0)</f>
        <v>#REF!</v>
      </c>
      <c r="Q56" s="26" t="e">
        <f ca="1">IF(AND(COLUMN()&gt;=11,COLUMN()&lt;=20),(_xlfn.XLOOKUP($A56,#REF!,#REF!))/SUMIF($A$7:$AC$128,$A56,$AB$6:$AB$127)*Q$5,0)</f>
        <v>#REF!</v>
      </c>
      <c r="R56" s="26" t="e">
        <f ca="1">IF(AND(COLUMN()&gt;=11,COLUMN()&lt;=20),(_xlfn.XLOOKUP($A56,#REF!,#REF!))/SUMIF($A$7:$AC$128,$A56,$AB$6:$AB$127)*R$5,0)</f>
        <v>#REF!</v>
      </c>
      <c r="S56" s="26" t="e">
        <f ca="1">IF(AND(COLUMN()&gt;=11,COLUMN()&lt;=20),(_xlfn.XLOOKUP($A56,#REF!,#REF!))/SUMIF($A$7:$AC$128,$A56,$AB$6:$AB$127)*S$5,0)</f>
        <v>#REF!</v>
      </c>
      <c r="T56" s="26" t="e">
        <f ca="1">IF(AND(COLUMN()&gt;=11,COLUMN()&lt;=20),(_xlfn.XLOOKUP($A56,#REF!,#REF!))/SUMIF($A$7:$AC$128,$A56,$AB$6:$AB$127)*T$5,0)</f>
        <v>#REF!</v>
      </c>
      <c r="U56" s="26">
        <f>IF(AND(COLUMN()&gt;=11,COLUMN()&lt;=20),(_xlfn.XLOOKUP($A56,#REF!,#REF!))/SUMIF($A$7:$AC$128,$A56,$AB$6:$AB$127)*U$5,0)</f>
        <v>0</v>
      </c>
      <c r="V56" s="26">
        <f>IF(AND(COLUMN()&gt;=11,COLUMN()&lt;=20),(_xlfn.XLOOKUP($A56,#REF!,#REF!))/SUMIF($A$7:$AC$128,$A56,$AB$6:$AB$127)*V$5,0)</f>
        <v>0</v>
      </c>
      <c r="W56" s="26">
        <f>IF(AND(COLUMN()&gt;=11,COLUMN()&lt;=20),(_xlfn.XLOOKUP($A56,#REF!,#REF!))/SUMIF($A$7:$AC$128,$A56,$AB$6:$AB$127)*W$5,0)</f>
        <v>0</v>
      </c>
      <c r="X56" s="26">
        <f>IF(AND(COLUMN()&gt;=11,COLUMN()&lt;=20),(_xlfn.XLOOKUP($A56,#REF!,#REF!))/SUMIF($A$7:$AC$128,$A56,$AB$6:$AB$127)*X$5,0)</f>
        <v>0</v>
      </c>
      <c r="Y56" s="26">
        <f>IF(AND(COLUMN()&gt;=11,COLUMN()&lt;=20),(_xlfn.XLOOKUP($A56,#REF!,#REF!))/SUMIF($A$7:$AC$128,$A56,$AB$6:$AB$127)*Y$5,0)</f>
        <v>0</v>
      </c>
      <c r="Z56" s="26">
        <f>IF(AND(COLUMN()&gt;=11,COLUMN()&lt;=20),(_xlfn.XLOOKUP($A56,#REF!,#REF!))/SUMIF($A$7:$AC$128,$A56,$AB$6:$AB$127)*Z$5,0)</f>
        <v>0</v>
      </c>
      <c r="AA56" s="26" t="e">
        <f t="shared" ref="AA56:AA79" ca="1" si="8">SUM(C56:Z56)</f>
        <v>#REF!</v>
      </c>
      <c r="AB56" s="19">
        <f t="shared" si="2"/>
        <v>31</v>
      </c>
      <c r="AC56" s="20" t="e">
        <f t="shared" ca="1" si="3"/>
        <v>#REF!</v>
      </c>
      <c r="AD56" s="30" t="e">
        <f>#REF!/SUMIF(#REF!,'Curva de la oferta Prod 3'!$A56,#REF!)</f>
        <v>#REF!</v>
      </c>
      <c r="AE56" s="28"/>
      <c r="AF56" s="31"/>
      <c r="AG56" s="31"/>
      <c r="AH56" s="31"/>
      <c r="AI56" s="31"/>
      <c r="AJ56" s="31"/>
      <c r="AK56" s="31"/>
    </row>
    <row r="57" spans="1:37" ht="14.5" x14ac:dyDescent="0.35">
      <c r="A57" s="15">
        <f t="shared" si="0"/>
        <v>2030</v>
      </c>
      <c r="B57" s="18">
        <v>47515</v>
      </c>
      <c r="C57" s="26">
        <f>IF(AND(COLUMN()&gt;=11,COLUMN()&lt;=20),(_xlfn.XLOOKUP($A57,#REF!,#REF!))/SUMIF($A$7:$AC$128,$A57,$AB$6:$AB$127)*C$5,0)</f>
        <v>0</v>
      </c>
      <c r="D57" s="26">
        <f>IF(AND(COLUMN()&gt;=11,COLUMN()&lt;=20),(_xlfn.XLOOKUP($A57,#REF!,#REF!))/SUMIF($A$7:$AC$128,$A57,$AB$6:$AB$127)*D$5,0)</f>
        <v>0</v>
      </c>
      <c r="E57" s="26">
        <f>IF(AND(COLUMN()&gt;=11,COLUMN()&lt;=20),(_xlfn.XLOOKUP($A57,#REF!,#REF!))/SUMIF($A$7:$AC$128,$A57,$AB$6:$AB$127)*E$5,0)</f>
        <v>0</v>
      </c>
      <c r="F57" s="26">
        <f>IF(AND(COLUMN()&gt;=11,COLUMN()&lt;=20),(_xlfn.XLOOKUP($A57,#REF!,#REF!))/SUMIF($A$7:$AC$128,$A57,$AB$6:$AB$127)*F$5,0)</f>
        <v>0</v>
      </c>
      <c r="G57" s="26">
        <f>IF(AND(COLUMN()&gt;=11,COLUMN()&lt;=20),(_xlfn.XLOOKUP($A57,#REF!,#REF!))/SUMIF($A$7:$AC$128,$A57,$AB$6:$AB$127)*G$5,0)</f>
        <v>0</v>
      </c>
      <c r="H57" s="26">
        <f>IF(AND(COLUMN()&gt;=11,COLUMN()&lt;=20),(_xlfn.XLOOKUP($A57,#REF!,#REF!))/SUMIF($A$7:$AC$128,$A57,$AB$6:$AB$127)*H$5,0)</f>
        <v>0</v>
      </c>
      <c r="I57" s="26">
        <f>IF(AND(COLUMN()&gt;=11,COLUMN()&lt;=20),(_xlfn.XLOOKUP($A57,#REF!,#REF!))/SUMIF($A$7:$AC$128,$A57,$AB$6:$AB$127)*I$5,0)</f>
        <v>0</v>
      </c>
      <c r="J57" s="26">
        <f>IF(AND(COLUMN()&gt;=11,COLUMN()&lt;=20),(_xlfn.XLOOKUP($A57,#REF!,#REF!))/SUMIF($A$7:$AC$128,$A57,$AB$6:$AB$127)*J$5,0)</f>
        <v>0</v>
      </c>
      <c r="K57" s="26" t="e">
        <f ca="1">IF(AND(COLUMN()&gt;=11,COLUMN()&lt;=20),(_xlfn.XLOOKUP($A57,#REF!,#REF!))/SUMIF($A$7:$AC$128,$A57,$AB$6:$AB$127)*K$5,0)</f>
        <v>#REF!</v>
      </c>
      <c r="L57" s="26" t="e">
        <f ca="1">IF(AND(COLUMN()&gt;=11,COLUMN()&lt;=20),(_xlfn.XLOOKUP($A57,#REF!,#REF!))/SUMIF($A$7:$AC$128,$A57,$AB$6:$AB$127)*L$5,0)</f>
        <v>#REF!</v>
      </c>
      <c r="M57" s="26" t="e">
        <f ca="1">IF(AND(COLUMN()&gt;=11,COLUMN()&lt;=20),(_xlfn.XLOOKUP($A57,#REF!,#REF!))/SUMIF($A$7:$AC$128,$A57,$AB$6:$AB$127)*M$5,0)</f>
        <v>#REF!</v>
      </c>
      <c r="N57" s="26" t="e">
        <f ca="1">IF(AND(COLUMN()&gt;=11,COLUMN()&lt;=20),(_xlfn.XLOOKUP($A57,#REF!,#REF!))/SUMIF($A$7:$AC$128,$A57,$AB$6:$AB$127)*N$5,0)</f>
        <v>#REF!</v>
      </c>
      <c r="O57" s="26" t="e">
        <f ca="1">IF(AND(COLUMN()&gt;=11,COLUMN()&lt;=20),(_xlfn.XLOOKUP($A57,#REF!,#REF!))/SUMIF($A$7:$AC$128,$A57,$AB$6:$AB$127)*O$5,0)</f>
        <v>#REF!</v>
      </c>
      <c r="P57" s="26" t="e">
        <f ca="1">IF(AND(COLUMN()&gt;=11,COLUMN()&lt;=20),(_xlfn.XLOOKUP($A57,#REF!,#REF!))/SUMIF($A$7:$AC$128,$A57,$AB$6:$AB$127)*P$5,0)</f>
        <v>#REF!</v>
      </c>
      <c r="Q57" s="26" t="e">
        <f ca="1">IF(AND(COLUMN()&gt;=11,COLUMN()&lt;=20),(_xlfn.XLOOKUP($A57,#REF!,#REF!))/SUMIF($A$7:$AC$128,$A57,$AB$6:$AB$127)*Q$5,0)</f>
        <v>#REF!</v>
      </c>
      <c r="R57" s="26" t="e">
        <f ca="1">IF(AND(COLUMN()&gt;=11,COLUMN()&lt;=20),(_xlfn.XLOOKUP($A57,#REF!,#REF!))/SUMIF($A$7:$AC$128,$A57,$AB$6:$AB$127)*R$5,0)</f>
        <v>#REF!</v>
      </c>
      <c r="S57" s="26" t="e">
        <f ca="1">IF(AND(COLUMN()&gt;=11,COLUMN()&lt;=20),(_xlfn.XLOOKUP($A57,#REF!,#REF!))/SUMIF($A$7:$AC$128,$A57,$AB$6:$AB$127)*S$5,0)</f>
        <v>#REF!</v>
      </c>
      <c r="T57" s="26" t="e">
        <f ca="1">IF(AND(COLUMN()&gt;=11,COLUMN()&lt;=20),(_xlfn.XLOOKUP($A57,#REF!,#REF!))/SUMIF($A$7:$AC$128,$A57,$AB$6:$AB$127)*T$5,0)</f>
        <v>#REF!</v>
      </c>
      <c r="U57" s="26">
        <f>IF(AND(COLUMN()&gt;=11,COLUMN()&lt;=20),(_xlfn.XLOOKUP($A57,#REF!,#REF!))/SUMIF($A$7:$AC$128,$A57,$AB$6:$AB$127)*U$5,0)</f>
        <v>0</v>
      </c>
      <c r="V57" s="26">
        <f>IF(AND(COLUMN()&gt;=11,COLUMN()&lt;=20),(_xlfn.XLOOKUP($A57,#REF!,#REF!))/SUMIF($A$7:$AC$128,$A57,$AB$6:$AB$127)*V$5,0)</f>
        <v>0</v>
      </c>
      <c r="W57" s="26">
        <f>IF(AND(COLUMN()&gt;=11,COLUMN()&lt;=20),(_xlfn.XLOOKUP($A57,#REF!,#REF!))/SUMIF($A$7:$AC$128,$A57,$AB$6:$AB$127)*W$5,0)</f>
        <v>0</v>
      </c>
      <c r="X57" s="26">
        <f>IF(AND(COLUMN()&gt;=11,COLUMN()&lt;=20),(_xlfn.XLOOKUP($A57,#REF!,#REF!))/SUMIF($A$7:$AC$128,$A57,$AB$6:$AB$127)*X$5,0)</f>
        <v>0</v>
      </c>
      <c r="Y57" s="26">
        <f>IF(AND(COLUMN()&gt;=11,COLUMN()&lt;=20),(_xlfn.XLOOKUP($A57,#REF!,#REF!))/SUMIF($A$7:$AC$128,$A57,$AB$6:$AB$127)*Y$5,0)</f>
        <v>0</v>
      </c>
      <c r="Z57" s="26">
        <f>IF(AND(COLUMN()&gt;=11,COLUMN()&lt;=20),(_xlfn.XLOOKUP($A57,#REF!,#REF!))/SUMIF($A$7:$AC$128,$A57,$AB$6:$AB$127)*Z$5,0)</f>
        <v>0</v>
      </c>
      <c r="AA57" s="26" t="e">
        <f t="shared" ca="1" si="8"/>
        <v>#REF!</v>
      </c>
      <c r="AB57" s="19">
        <f t="shared" si="2"/>
        <v>28</v>
      </c>
      <c r="AC57" s="20" t="e">
        <f t="shared" ca="1" si="3"/>
        <v>#REF!</v>
      </c>
      <c r="AD57" s="30" t="e">
        <f>#REF!/SUMIF(#REF!,'Curva de la oferta Prod 3'!$A57,#REF!)</f>
        <v>#REF!</v>
      </c>
      <c r="AE57" s="28"/>
      <c r="AF57" s="31"/>
      <c r="AG57" s="31"/>
      <c r="AH57" s="31"/>
      <c r="AI57" s="31"/>
      <c r="AJ57" s="31"/>
      <c r="AK57" s="31"/>
    </row>
    <row r="58" spans="1:37" ht="14.5" x14ac:dyDescent="0.35">
      <c r="A58" s="15">
        <f t="shared" si="0"/>
        <v>2030</v>
      </c>
      <c r="B58" s="18">
        <v>47543</v>
      </c>
      <c r="C58" s="26">
        <f>IF(AND(COLUMN()&gt;=11,COLUMN()&lt;=20),(_xlfn.XLOOKUP($A58,#REF!,#REF!))/SUMIF($A$7:$AC$128,$A58,$AB$6:$AB$127)*C$5,0)</f>
        <v>0</v>
      </c>
      <c r="D58" s="26">
        <f>IF(AND(COLUMN()&gt;=11,COLUMN()&lt;=20),(_xlfn.XLOOKUP($A58,#REF!,#REF!))/SUMIF($A$7:$AC$128,$A58,$AB$6:$AB$127)*D$5,0)</f>
        <v>0</v>
      </c>
      <c r="E58" s="26">
        <f>IF(AND(COLUMN()&gt;=11,COLUMN()&lt;=20),(_xlfn.XLOOKUP($A58,#REF!,#REF!))/SUMIF($A$7:$AC$128,$A58,$AB$6:$AB$127)*E$5,0)</f>
        <v>0</v>
      </c>
      <c r="F58" s="26">
        <f>IF(AND(COLUMN()&gt;=11,COLUMN()&lt;=20),(_xlfn.XLOOKUP($A58,#REF!,#REF!))/SUMIF($A$7:$AC$128,$A58,$AB$6:$AB$127)*F$5,0)</f>
        <v>0</v>
      </c>
      <c r="G58" s="26">
        <f>IF(AND(COLUMN()&gt;=11,COLUMN()&lt;=20),(_xlfn.XLOOKUP($A58,#REF!,#REF!))/SUMIF($A$7:$AC$128,$A58,$AB$6:$AB$127)*G$5,0)</f>
        <v>0</v>
      </c>
      <c r="H58" s="26">
        <f>IF(AND(COLUMN()&gt;=11,COLUMN()&lt;=20),(_xlfn.XLOOKUP($A58,#REF!,#REF!))/SUMIF($A$7:$AC$128,$A58,$AB$6:$AB$127)*H$5,0)</f>
        <v>0</v>
      </c>
      <c r="I58" s="26">
        <f>IF(AND(COLUMN()&gt;=11,COLUMN()&lt;=20),(_xlfn.XLOOKUP($A58,#REF!,#REF!))/SUMIF($A$7:$AC$128,$A58,$AB$6:$AB$127)*I$5,0)</f>
        <v>0</v>
      </c>
      <c r="J58" s="26">
        <f>IF(AND(COLUMN()&gt;=11,COLUMN()&lt;=20),(_xlfn.XLOOKUP($A58,#REF!,#REF!))/SUMIF($A$7:$AC$128,$A58,$AB$6:$AB$127)*J$5,0)</f>
        <v>0</v>
      </c>
      <c r="K58" s="26" t="e">
        <f ca="1">IF(AND(COLUMN()&gt;=11,COLUMN()&lt;=20),(_xlfn.XLOOKUP($A58,#REF!,#REF!))/SUMIF($A$7:$AC$128,$A58,$AB$6:$AB$127)*K$5,0)</f>
        <v>#REF!</v>
      </c>
      <c r="L58" s="26" t="e">
        <f ca="1">IF(AND(COLUMN()&gt;=11,COLUMN()&lt;=20),(_xlfn.XLOOKUP($A58,#REF!,#REF!))/SUMIF($A$7:$AC$128,$A58,$AB$6:$AB$127)*L$5,0)</f>
        <v>#REF!</v>
      </c>
      <c r="M58" s="26" t="e">
        <f ca="1">IF(AND(COLUMN()&gt;=11,COLUMN()&lt;=20),(_xlfn.XLOOKUP($A58,#REF!,#REF!))/SUMIF($A$7:$AC$128,$A58,$AB$6:$AB$127)*M$5,0)</f>
        <v>#REF!</v>
      </c>
      <c r="N58" s="26" t="e">
        <f ca="1">IF(AND(COLUMN()&gt;=11,COLUMN()&lt;=20),(_xlfn.XLOOKUP($A58,#REF!,#REF!))/SUMIF($A$7:$AC$128,$A58,$AB$6:$AB$127)*N$5,0)</f>
        <v>#REF!</v>
      </c>
      <c r="O58" s="26" t="e">
        <f ca="1">IF(AND(COLUMN()&gt;=11,COLUMN()&lt;=20),(_xlfn.XLOOKUP($A58,#REF!,#REF!))/SUMIF($A$7:$AC$128,$A58,$AB$6:$AB$127)*O$5,0)</f>
        <v>#REF!</v>
      </c>
      <c r="P58" s="26" t="e">
        <f ca="1">IF(AND(COLUMN()&gt;=11,COLUMN()&lt;=20),(_xlfn.XLOOKUP($A58,#REF!,#REF!))/SUMIF($A$7:$AC$128,$A58,$AB$6:$AB$127)*P$5,0)</f>
        <v>#REF!</v>
      </c>
      <c r="Q58" s="26" t="e">
        <f ca="1">IF(AND(COLUMN()&gt;=11,COLUMN()&lt;=20),(_xlfn.XLOOKUP($A58,#REF!,#REF!))/SUMIF($A$7:$AC$128,$A58,$AB$6:$AB$127)*Q$5,0)</f>
        <v>#REF!</v>
      </c>
      <c r="R58" s="26" t="e">
        <f ca="1">IF(AND(COLUMN()&gt;=11,COLUMN()&lt;=20),(_xlfn.XLOOKUP($A58,#REF!,#REF!))/SUMIF($A$7:$AC$128,$A58,$AB$6:$AB$127)*R$5,0)</f>
        <v>#REF!</v>
      </c>
      <c r="S58" s="26" t="e">
        <f ca="1">IF(AND(COLUMN()&gt;=11,COLUMN()&lt;=20),(_xlfn.XLOOKUP($A58,#REF!,#REF!))/SUMIF($A$7:$AC$128,$A58,$AB$6:$AB$127)*S$5,0)</f>
        <v>#REF!</v>
      </c>
      <c r="T58" s="26" t="e">
        <f ca="1">IF(AND(COLUMN()&gt;=11,COLUMN()&lt;=20),(_xlfn.XLOOKUP($A58,#REF!,#REF!))/SUMIF($A$7:$AC$128,$A58,$AB$6:$AB$127)*T$5,0)</f>
        <v>#REF!</v>
      </c>
      <c r="U58" s="26">
        <f>IF(AND(COLUMN()&gt;=11,COLUMN()&lt;=20),(_xlfn.XLOOKUP($A58,#REF!,#REF!))/SUMIF($A$7:$AC$128,$A58,$AB$6:$AB$127)*U$5,0)</f>
        <v>0</v>
      </c>
      <c r="V58" s="26">
        <f>IF(AND(COLUMN()&gt;=11,COLUMN()&lt;=20),(_xlfn.XLOOKUP($A58,#REF!,#REF!))/SUMIF($A$7:$AC$128,$A58,$AB$6:$AB$127)*V$5,0)</f>
        <v>0</v>
      </c>
      <c r="W58" s="26">
        <f>IF(AND(COLUMN()&gt;=11,COLUMN()&lt;=20),(_xlfn.XLOOKUP($A58,#REF!,#REF!))/SUMIF($A$7:$AC$128,$A58,$AB$6:$AB$127)*W$5,0)</f>
        <v>0</v>
      </c>
      <c r="X58" s="26">
        <f>IF(AND(COLUMN()&gt;=11,COLUMN()&lt;=20),(_xlfn.XLOOKUP($A58,#REF!,#REF!))/SUMIF($A$7:$AC$128,$A58,$AB$6:$AB$127)*X$5,0)</f>
        <v>0</v>
      </c>
      <c r="Y58" s="26">
        <f>IF(AND(COLUMN()&gt;=11,COLUMN()&lt;=20),(_xlfn.XLOOKUP($A58,#REF!,#REF!))/SUMIF($A$7:$AC$128,$A58,$AB$6:$AB$127)*Y$5,0)</f>
        <v>0</v>
      </c>
      <c r="Z58" s="26">
        <f>IF(AND(COLUMN()&gt;=11,COLUMN()&lt;=20),(_xlfn.XLOOKUP($A58,#REF!,#REF!))/SUMIF($A$7:$AC$128,$A58,$AB$6:$AB$127)*Z$5,0)</f>
        <v>0</v>
      </c>
      <c r="AA58" s="26" t="e">
        <f t="shared" ca="1" si="8"/>
        <v>#REF!</v>
      </c>
      <c r="AB58" s="19">
        <f t="shared" si="2"/>
        <v>31</v>
      </c>
      <c r="AC58" s="20" t="e">
        <f t="shared" ca="1" si="3"/>
        <v>#REF!</v>
      </c>
      <c r="AD58" s="30" t="e">
        <f>#REF!/SUMIF(#REF!,'Curva de la oferta Prod 3'!$A58,#REF!)</f>
        <v>#REF!</v>
      </c>
      <c r="AE58" s="28"/>
      <c r="AF58" s="31"/>
      <c r="AG58" s="31"/>
      <c r="AH58" s="31"/>
      <c r="AI58" s="31"/>
      <c r="AJ58" s="31"/>
      <c r="AK58" s="31"/>
    </row>
    <row r="59" spans="1:37" ht="14.5" x14ac:dyDescent="0.35">
      <c r="A59" s="15">
        <f t="shared" si="0"/>
        <v>2030</v>
      </c>
      <c r="B59" s="18">
        <v>47574</v>
      </c>
      <c r="C59" s="26">
        <f>IF(AND(COLUMN()&gt;=11,COLUMN()&lt;=20),(_xlfn.XLOOKUP($A59,#REF!,#REF!))/SUMIF($A$7:$AC$128,$A59,$AB$6:$AB$127)*C$5,0)</f>
        <v>0</v>
      </c>
      <c r="D59" s="26">
        <f>IF(AND(COLUMN()&gt;=11,COLUMN()&lt;=20),(_xlfn.XLOOKUP($A59,#REF!,#REF!))/SUMIF($A$7:$AC$128,$A59,$AB$6:$AB$127)*D$5,0)</f>
        <v>0</v>
      </c>
      <c r="E59" s="26">
        <f>IF(AND(COLUMN()&gt;=11,COLUMN()&lt;=20),(_xlfn.XLOOKUP($A59,#REF!,#REF!))/SUMIF($A$7:$AC$128,$A59,$AB$6:$AB$127)*E$5,0)</f>
        <v>0</v>
      </c>
      <c r="F59" s="26">
        <f>IF(AND(COLUMN()&gt;=11,COLUMN()&lt;=20),(_xlfn.XLOOKUP($A59,#REF!,#REF!))/SUMIF($A$7:$AC$128,$A59,$AB$6:$AB$127)*F$5,0)</f>
        <v>0</v>
      </c>
      <c r="G59" s="26">
        <f>IF(AND(COLUMN()&gt;=11,COLUMN()&lt;=20),(_xlfn.XLOOKUP($A59,#REF!,#REF!))/SUMIF($A$7:$AC$128,$A59,$AB$6:$AB$127)*G$5,0)</f>
        <v>0</v>
      </c>
      <c r="H59" s="26">
        <f>IF(AND(COLUMN()&gt;=11,COLUMN()&lt;=20),(_xlfn.XLOOKUP($A59,#REF!,#REF!))/SUMIF($A$7:$AC$128,$A59,$AB$6:$AB$127)*H$5,0)</f>
        <v>0</v>
      </c>
      <c r="I59" s="26">
        <f>IF(AND(COLUMN()&gt;=11,COLUMN()&lt;=20),(_xlfn.XLOOKUP($A59,#REF!,#REF!))/SUMIF($A$7:$AC$128,$A59,$AB$6:$AB$127)*I$5,0)</f>
        <v>0</v>
      </c>
      <c r="J59" s="26">
        <f>IF(AND(COLUMN()&gt;=11,COLUMN()&lt;=20),(_xlfn.XLOOKUP($A59,#REF!,#REF!))/SUMIF($A$7:$AC$128,$A59,$AB$6:$AB$127)*J$5,0)</f>
        <v>0</v>
      </c>
      <c r="K59" s="26" t="e">
        <f ca="1">IF(AND(COLUMN()&gt;=11,COLUMN()&lt;=20),(_xlfn.XLOOKUP($A59,#REF!,#REF!))/SUMIF($A$7:$AC$128,$A59,$AB$6:$AB$127)*K$5,0)</f>
        <v>#REF!</v>
      </c>
      <c r="L59" s="26" t="e">
        <f ca="1">IF(AND(COLUMN()&gt;=11,COLUMN()&lt;=20),(_xlfn.XLOOKUP($A59,#REF!,#REF!))/SUMIF($A$7:$AC$128,$A59,$AB$6:$AB$127)*L$5,0)</f>
        <v>#REF!</v>
      </c>
      <c r="M59" s="26" t="e">
        <f ca="1">IF(AND(COLUMN()&gt;=11,COLUMN()&lt;=20),(_xlfn.XLOOKUP($A59,#REF!,#REF!))/SUMIF($A$7:$AC$128,$A59,$AB$6:$AB$127)*M$5,0)</f>
        <v>#REF!</v>
      </c>
      <c r="N59" s="26" t="e">
        <f ca="1">IF(AND(COLUMN()&gt;=11,COLUMN()&lt;=20),(_xlfn.XLOOKUP($A59,#REF!,#REF!))/SUMIF($A$7:$AC$128,$A59,$AB$6:$AB$127)*N$5,0)</f>
        <v>#REF!</v>
      </c>
      <c r="O59" s="26" t="e">
        <f ca="1">IF(AND(COLUMN()&gt;=11,COLUMN()&lt;=20),(_xlfn.XLOOKUP($A59,#REF!,#REF!))/SUMIF($A$7:$AC$128,$A59,$AB$6:$AB$127)*O$5,0)</f>
        <v>#REF!</v>
      </c>
      <c r="P59" s="26" t="e">
        <f ca="1">IF(AND(COLUMN()&gt;=11,COLUMN()&lt;=20),(_xlfn.XLOOKUP($A59,#REF!,#REF!))/SUMIF($A$7:$AC$128,$A59,$AB$6:$AB$127)*P$5,0)</f>
        <v>#REF!</v>
      </c>
      <c r="Q59" s="26" t="e">
        <f ca="1">IF(AND(COLUMN()&gt;=11,COLUMN()&lt;=20),(_xlfn.XLOOKUP($A59,#REF!,#REF!))/SUMIF($A$7:$AC$128,$A59,$AB$6:$AB$127)*Q$5,0)</f>
        <v>#REF!</v>
      </c>
      <c r="R59" s="26" t="e">
        <f ca="1">IF(AND(COLUMN()&gt;=11,COLUMN()&lt;=20),(_xlfn.XLOOKUP($A59,#REF!,#REF!))/SUMIF($A$7:$AC$128,$A59,$AB$6:$AB$127)*R$5,0)</f>
        <v>#REF!</v>
      </c>
      <c r="S59" s="26" t="e">
        <f ca="1">IF(AND(COLUMN()&gt;=11,COLUMN()&lt;=20),(_xlfn.XLOOKUP($A59,#REF!,#REF!))/SUMIF($A$7:$AC$128,$A59,$AB$6:$AB$127)*S$5,0)</f>
        <v>#REF!</v>
      </c>
      <c r="T59" s="26" t="e">
        <f ca="1">IF(AND(COLUMN()&gt;=11,COLUMN()&lt;=20),(_xlfn.XLOOKUP($A59,#REF!,#REF!))/SUMIF($A$7:$AC$128,$A59,$AB$6:$AB$127)*T$5,0)</f>
        <v>#REF!</v>
      </c>
      <c r="U59" s="26">
        <f>IF(AND(COLUMN()&gt;=11,COLUMN()&lt;=20),(_xlfn.XLOOKUP($A59,#REF!,#REF!))/SUMIF($A$7:$AC$128,$A59,$AB$6:$AB$127)*U$5,0)</f>
        <v>0</v>
      </c>
      <c r="V59" s="26">
        <f>IF(AND(COLUMN()&gt;=11,COLUMN()&lt;=20),(_xlfn.XLOOKUP($A59,#REF!,#REF!))/SUMIF($A$7:$AC$128,$A59,$AB$6:$AB$127)*V$5,0)</f>
        <v>0</v>
      </c>
      <c r="W59" s="26">
        <f>IF(AND(COLUMN()&gt;=11,COLUMN()&lt;=20),(_xlfn.XLOOKUP($A59,#REF!,#REF!))/SUMIF($A$7:$AC$128,$A59,$AB$6:$AB$127)*W$5,0)</f>
        <v>0</v>
      </c>
      <c r="X59" s="26">
        <f>IF(AND(COLUMN()&gt;=11,COLUMN()&lt;=20),(_xlfn.XLOOKUP($A59,#REF!,#REF!))/SUMIF($A$7:$AC$128,$A59,$AB$6:$AB$127)*X$5,0)</f>
        <v>0</v>
      </c>
      <c r="Y59" s="26">
        <f>IF(AND(COLUMN()&gt;=11,COLUMN()&lt;=20),(_xlfn.XLOOKUP($A59,#REF!,#REF!))/SUMIF($A$7:$AC$128,$A59,$AB$6:$AB$127)*Y$5,0)</f>
        <v>0</v>
      </c>
      <c r="Z59" s="26">
        <f>IF(AND(COLUMN()&gt;=11,COLUMN()&lt;=20),(_xlfn.XLOOKUP($A59,#REF!,#REF!))/SUMIF($A$7:$AC$128,$A59,$AB$6:$AB$127)*Z$5,0)</f>
        <v>0</v>
      </c>
      <c r="AA59" s="26" t="e">
        <f t="shared" ca="1" si="8"/>
        <v>#REF!</v>
      </c>
      <c r="AB59" s="19">
        <f t="shared" si="2"/>
        <v>30</v>
      </c>
      <c r="AC59" s="20" t="e">
        <f t="shared" ca="1" si="3"/>
        <v>#REF!</v>
      </c>
      <c r="AD59" s="30" t="e">
        <f>#REF!/SUMIF(#REF!,'Curva de la oferta Prod 3'!$A59,#REF!)</f>
        <v>#REF!</v>
      </c>
      <c r="AE59" s="28"/>
      <c r="AF59" s="31"/>
      <c r="AG59" s="31"/>
      <c r="AH59" s="31"/>
      <c r="AI59" s="31"/>
      <c r="AJ59" s="31"/>
      <c r="AK59" s="31"/>
    </row>
    <row r="60" spans="1:37" ht="14.5" x14ac:dyDescent="0.35">
      <c r="A60" s="15">
        <f t="shared" si="0"/>
        <v>2030</v>
      </c>
      <c r="B60" s="18">
        <v>47604</v>
      </c>
      <c r="C60" s="26">
        <f>IF(AND(COLUMN()&gt;=11,COLUMN()&lt;=20),(_xlfn.XLOOKUP($A60,#REF!,#REF!))/SUMIF($A$7:$AC$128,$A60,$AB$6:$AB$127)*C$5,0)</f>
        <v>0</v>
      </c>
      <c r="D60" s="26">
        <f>IF(AND(COLUMN()&gt;=11,COLUMN()&lt;=20),(_xlfn.XLOOKUP($A60,#REF!,#REF!))/SUMIF($A$7:$AC$128,$A60,$AB$6:$AB$127)*D$5,0)</f>
        <v>0</v>
      </c>
      <c r="E60" s="26">
        <f>IF(AND(COLUMN()&gt;=11,COLUMN()&lt;=20),(_xlfn.XLOOKUP($A60,#REF!,#REF!))/SUMIF($A$7:$AC$128,$A60,$AB$6:$AB$127)*E$5,0)</f>
        <v>0</v>
      </c>
      <c r="F60" s="26">
        <f>IF(AND(COLUMN()&gt;=11,COLUMN()&lt;=20),(_xlfn.XLOOKUP($A60,#REF!,#REF!))/SUMIF($A$7:$AC$128,$A60,$AB$6:$AB$127)*F$5,0)</f>
        <v>0</v>
      </c>
      <c r="G60" s="26">
        <f>IF(AND(COLUMN()&gt;=11,COLUMN()&lt;=20),(_xlfn.XLOOKUP($A60,#REF!,#REF!))/SUMIF($A$7:$AC$128,$A60,$AB$6:$AB$127)*G$5,0)</f>
        <v>0</v>
      </c>
      <c r="H60" s="26">
        <f>IF(AND(COLUMN()&gt;=11,COLUMN()&lt;=20),(_xlfn.XLOOKUP($A60,#REF!,#REF!))/SUMIF($A$7:$AC$128,$A60,$AB$6:$AB$127)*H$5,0)</f>
        <v>0</v>
      </c>
      <c r="I60" s="26">
        <f>IF(AND(COLUMN()&gt;=11,COLUMN()&lt;=20),(_xlfn.XLOOKUP($A60,#REF!,#REF!))/SUMIF($A$7:$AC$128,$A60,$AB$6:$AB$127)*I$5,0)</f>
        <v>0</v>
      </c>
      <c r="J60" s="26">
        <f>IF(AND(COLUMN()&gt;=11,COLUMN()&lt;=20),(_xlfn.XLOOKUP($A60,#REF!,#REF!))/SUMIF($A$7:$AC$128,$A60,$AB$6:$AB$127)*J$5,0)</f>
        <v>0</v>
      </c>
      <c r="K60" s="26" t="e">
        <f ca="1">IF(AND(COLUMN()&gt;=11,COLUMN()&lt;=20),(_xlfn.XLOOKUP($A60,#REF!,#REF!))/SUMIF($A$7:$AC$128,$A60,$AB$6:$AB$127)*K$5,0)</f>
        <v>#REF!</v>
      </c>
      <c r="L60" s="26" t="e">
        <f ca="1">IF(AND(COLUMN()&gt;=11,COLUMN()&lt;=20),(_xlfn.XLOOKUP($A60,#REF!,#REF!))/SUMIF($A$7:$AC$128,$A60,$AB$6:$AB$127)*L$5,0)</f>
        <v>#REF!</v>
      </c>
      <c r="M60" s="26" t="e">
        <f ca="1">IF(AND(COLUMN()&gt;=11,COLUMN()&lt;=20),(_xlfn.XLOOKUP($A60,#REF!,#REF!))/SUMIF($A$7:$AC$128,$A60,$AB$6:$AB$127)*M$5,0)</f>
        <v>#REF!</v>
      </c>
      <c r="N60" s="26" t="e">
        <f ca="1">IF(AND(COLUMN()&gt;=11,COLUMN()&lt;=20),(_xlfn.XLOOKUP($A60,#REF!,#REF!))/SUMIF($A$7:$AC$128,$A60,$AB$6:$AB$127)*N$5,0)</f>
        <v>#REF!</v>
      </c>
      <c r="O60" s="26" t="e">
        <f ca="1">IF(AND(COLUMN()&gt;=11,COLUMN()&lt;=20),(_xlfn.XLOOKUP($A60,#REF!,#REF!))/SUMIF($A$7:$AC$128,$A60,$AB$6:$AB$127)*O$5,0)</f>
        <v>#REF!</v>
      </c>
      <c r="P60" s="26" t="e">
        <f ca="1">IF(AND(COLUMN()&gt;=11,COLUMN()&lt;=20),(_xlfn.XLOOKUP($A60,#REF!,#REF!))/SUMIF($A$7:$AC$128,$A60,$AB$6:$AB$127)*P$5,0)</f>
        <v>#REF!</v>
      </c>
      <c r="Q60" s="26" t="e">
        <f ca="1">IF(AND(COLUMN()&gt;=11,COLUMN()&lt;=20),(_xlfn.XLOOKUP($A60,#REF!,#REF!))/SUMIF($A$7:$AC$128,$A60,$AB$6:$AB$127)*Q$5,0)</f>
        <v>#REF!</v>
      </c>
      <c r="R60" s="26" t="e">
        <f ca="1">IF(AND(COLUMN()&gt;=11,COLUMN()&lt;=20),(_xlfn.XLOOKUP($A60,#REF!,#REF!))/SUMIF($A$7:$AC$128,$A60,$AB$6:$AB$127)*R$5,0)</f>
        <v>#REF!</v>
      </c>
      <c r="S60" s="26" t="e">
        <f ca="1">IF(AND(COLUMN()&gt;=11,COLUMN()&lt;=20),(_xlfn.XLOOKUP($A60,#REF!,#REF!))/SUMIF($A$7:$AC$128,$A60,$AB$6:$AB$127)*S$5,0)</f>
        <v>#REF!</v>
      </c>
      <c r="T60" s="26" t="e">
        <f ca="1">IF(AND(COLUMN()&gt;=11,COLUMN()&lt;=20),(_xlfn.XLOOKUP($A60,#REF!,#REF!))/SUMIF($A$7:$AC$128,$A60,$AB$6:$AB$127)*T$5,0)</f>
        <v>#REF!</v>
      </c>
      <c r="U60" s="26">
        <f>IF(AND(COLUMN()&gt;=11,COLUMN()&lt;=20),(_xlfn.XLOOKUP($A60,#REF!,#REF!))/SUMIF($A$7:$AC$128,$A60,$AB$6:$AB$127)*U$5,0)</f>
        <v>0</v>
      </c>
      <c r="V60" s="26">
        <f>IF(AND(COLUMN()&gt;=11,COLUMN()&lt;=20),(_xlfn.XLOOKUP($A60,#REF!,#REF!))/SUMIF($A$7:$AC$128,$A60,$AB$6:$AB$127)*V$5,0)</f>
        <v>0</v>
      </c>
      <c r="W60" s="26">
        <f>IF(AND(COLUMN()&gt;=11,COLUMN()&lt;=20),(_xlfn.XLOOKUP($A60,#REF!,#REF!))/SUMIF($A$7:$AC$128,$A60,$AB$6:$AB$127)*W$5,0)</f>
        <v>0</v>
      </c>
      <c r="X60" s="26">
        <f>IF(AND(COLUMN()&gt;=11,COLUMN()&lt;=20),(_xlfn.XLOOKUP($A60,#REF!,#REF!))/SUMIF($A$7:$AC$128,$A60,$AB$6:$AB$127)*X$5,0)</f>
        <v>0</v>
      </c>
      <c r="Y60" s="26">
        <f>IF(AND(COLUMN()&gt;=11,COLUMN()&lt;=20),(_xlfn.XLOOKUP($A60,#REF!,#REF!))/SUMIF($A$7:$AC$128,$A60,$AB$6:$AB$127)*Y$5,0)</f>
        <v>0</v>
      </c>
      <c r="Z60" s="26">
        <f>IF(AND(COLUMN()&gt;=11,COLUMN()&lt;=20),(_xlfn.XLOOKUP($A60,#REF!,#REF!))/SUMIF($A$7:$AC$128,$A60,$AB$6:$AB$127)*Z$5,0)</f>
        <v>0</v>
      </c>
      <c r="AA60" s="26" t="e">
        <f t="shared" ca="1" si="8"/>
        <v>#REF!</v>
      </c>
      <c r="AB60" s="19">
        <f t="shared" si="2"/>
        <v>31</v>
      </c>
      <c r="AC60" s="20" t="e">
        <f t="shared" ca="1" si="3"/>
        <v>#REF!</v>
      </c>
      <c r="AD60" s="30" t="e">
        <f>#REF!/SUMIF(#REF!,'Curva de la oferta Prod 3'!$A60,#REF!)</f>
        <v>#REF!</v>
      </c>
      <c r="AE60" s="28"/>
      <c r="AF60" s="31"/>
      <c r="AG60" s="31"/>
      <c r="AH60" s="31"/>
      <c r="AI60" s="31"/>
      <c r="AJ60" s="31"/>
      <c r="AK60" s="31"/>
    </row>
    <row r="61" spans="1:37" ht="14.5" x14ac:dyDescent="0.35">
      <c r="A61" s="15">
        <f t="shared" si="0"/>
        <v>2030</v>
      </c>
      <c r="B61" s="18">
        <v>47635</v>
      </c>
      <c r="C61" s="26">
        <f>IF(AND(COLUMN()&gt;=11,COLUMN()&lt;=20),(_xlfn.XLOOKUP($A61,#REF!,#REF!))/SUMIF($A$7:$AC$128,$A61,$AB$6:$AB$127)*C$5,0)</f>
        <v>0</v>
      </c>
      <c r="D61" s="26">
        <f>IF(AND(COLUMN()&gt;=11,COLUMN()&lt;=20),(_xlfn.XLOOKUP($A61,#REF!,#REF!))/SUMIF($A$7:$AC$128,$A61,$AB$6:$AB$127)*D$5,0)</f>
        <v>0</v>
      </c>
      <c r="E61" s="26">
        <f>IF(AND(COLUMN()&gt;=11,COLUMN()&lt;=20),(_xlfn.XLOOKUP($A61,#REF!,#REF!))/SUMIF($A$7:$AC$128,$A61,$AB$6:$AB$127)*E$5,0)</f>
        <v>0</v>
      </c>
      <c r="F61" s="26">
        <f>IF(AND(COLUMN()&gt;=11,COLUMN()&lt;=20),(_xlfn.XLOOKUP($A61,#REF!,#REF!))/SUMIF($A$7:$AC$128,$A61,$AB$6:$AB$127)*F$5,0)</f>
        <v>0</v>
      </c>
      <c r="G61" s="26">
        <f>IF(AND(COLUMN()&gt;=11,COLUMN()&lt;=20),(_xlfn.XLOOKUP($A61,#REF!,#REF!))/SUMIF($A$7:$AC$128,$A61,$AB$6:$AB$127)*G$5,0)</f>
        <v>0</v>
      </c>
      <c r="H61" s="26">
        <f>IF(AND(COLUMN()&gt;=11,COLUMN()&lt;=20),(_xlfn.XLOOKUP($A61,#REF!,#REF!))/SUMIF($A$7:$AC$128,$A61,$AB$6:$AB$127)*H$5,0)</f>
        <v>0</v>
      </c>
      <c r="I61" s="26">
        <f>IF(AND(COLUMN()&gt;=11,COLUMN()&lt;=20),(_xlfn.XLOOKUP($A61,#REF!,#REF!))/SUMIF($A$7:$AC$128,$A61,$AB$6:$AB$127)*I$5,0)</f>
        <v>0</v>
      </c>
      <c r="J61" s="26">
        <f>IF(AND(COLUMN()&gt;=11,COLUMN()&lt;=20),(_xlfn.XLOOKUP($A61,#REF!,#REF!))/SUMIF($A$7:$AC$128,$A61,$AB$6:$AB$127)*J$5,0)</f>
        <v>0</v>
      </c>
      <c r="K61" s="26" t="e">
        <f ca="1">IF(AND(COLUMN()&gt;=11,COLUMN()&lt;=20),(_xlfn.XLOOKUP($A61,#REF!,#REF!))/SUMIF($A$7:$AC$128,$A61,$AB$6:$AB$127)*K$5,0)</f>
        <v>#REF!</v>
      </c>
      <c r="L61" s="26" t="e">
        <f ca="1">IF(AND(COLUMN()&gt;=11,COLUMN()&lt;=20),(_xlfn.XLOOKUP($A61,#REF!,#REF!))/SUMIF($A$7:$AC$128,$A61,$AB$6:$AB$127)*L$5,0)</f>
        <v>#REF!</v>
      </c>
      <c r="M61" s="26" t="e">
        <f ca="1">IF(AND(COLUMN()&gt;=11,COLUMN()&lt;=20),(_xlfn.XLOOKUP($A61,#REF!,#REF!))/SUMIF($A$7:$AC$128,$A61,$AB$6:$AB$127)*M$5,0)</f>
        <v>#REF!</v>
      </c>
      <c r="N61" s="26" t="e">
        <f ca="1">IF(AND(COLUMN()&gt;=11,COLUMN()&lt;=20),(_xlfn.XLOOKUP($A61,#REF!,#REF!))/SUMIF($A$7:$AC$128,$A61,$AB$6:$AB$127)*N$5,0)</f>
        <v>#REF!</v>
      </c>
      <c r="O61" s="26" t="e">
        <f ca="1">IF(AND(COLUMN()&gt;=11,COLUMN()&lt;=20),(_xlfn.XLOOKUP($A61,#REF!,#REF!))/SUMIF($A$7:$AC$128,$A61,$AB$6:$AB$127)*O$5,0)</f>
        <v>#REF!</v>
      </c>
      <c r="P61" s="26" t="e">
        <f ca="1">IF(AND(COLUMN()&gt;=11,COLUMN()&lt;=20),(_xlfn.XLOOKUP($A61,#REF!,#REF!))/SUMIF($A$7:$AC$128,$A61,$AB$6:$AB$127)*P$5,0)</f>
        <v>#REF!</v>
      </c>
      <c r="Q61" s="26" t="e">
        <f ca="1">IF(AND(COLUMN()&gt;=11,COLUMN()&lt;=20),(_xlfn.XLOOKUP($A61,#REF!,#REF!))/SUMIF($A$7:$AC$128,$A61,$AB$6:$AB$127)*Q$5,0)</f>
        <v>#REF!</v>
      </c>
      <c r="R61" s="26" t="e">
        <f ca="1">IF(AND(COLUMN()&gt;=11,COLUMN()&lt;=20),(_xlfn.XLOOKUP($A61,#REF!,#REF!))/SUMIF($A$7:$AC$128,$A61,$AB$6:$AB$127)*R$5,0)</f>
        <v>#REF!</v>
      </c>
      <c r="S61" s="26" t="e">
        <f ca="1">IF(AND(COLUMN()&gt;=11,COLUMN()&lt;=20),(_xlfn.XLOOKUP($A61,#REF!,#REF!))/SUMIF($A$7:$AC$128,$A61,$AB$6:$AB$127)*S$5,0)</f>
        <v>#REF!</v>
      </c>
      <c r="T61" s="26" t="e">
        <f ca="1">IF(AND(COLUMN()&gt;=11,COLUMN()&lt;=20),(_xlfn.XLOOKUP($A61,#REF!,#REF!))/SUMIF($A$7:$AC$128,$A61,$AB$6:$AB$127)*T$5,0)</f>
        <v>#REF!</v>
      </c>
      <c r="U61" s="26">
        <f>IF(AND(COLUMN()&gt;=11,COLUMN()&lt;=20),(_xlfn.XLOOKUP($A61,#REF!,#REF!))/SUMIF($A$7:$AC$128,$A61,$AB$6:$AB$127)*U$5,0)</f>
        <v>0</v>
      </c>
      <c r="V61" s="26">
        <f>IF(AND(COLUMN()&gt;=11,COLUMN()&lt;=20),(_xlfn.XLOOKUP($A61,#REF!,#REF!))/SUMIF($A$7:$AC$128,$A61,$AB$6:$AB$127)*V$5,0)</f>
        <v>0</v>
      </c>
      <c r="W61" s="26">
        <f>IF(AND(COLUMN()&gt;=11,COLUMN()&lt;=20),(_xlfn.XLOOKUP($A61,#REF!,#REF!))/SUMIF($A$7:$AC$128,$A61,$AB$6:$AB$127)*W$5,0)</f>
        <v>0</v>
      </c>
      <c r="X61" s="26">
        <f>IF(AND(COLUMN()&gt;=11,COLUMN()&lt;=20),(_xlfn.XLOOKUP($A61,#REF!,#REF!))/SUMIF($A$7:$AC$128,$A61,$AB$6:$AB$127)*X$5,0)</f>
        <v>0</v>
      </c>
      <c r="Y61" s="26">
        <f>IF(AND(COLUMN()&gt;=11,COLUMN()&lt;=20),(_xlfn.XLOOKUP($A61,#REF!,#REF!))/SUMIF($A$7:$AC$128,$A61,$AB$6:$AB$127)*Y$5,0)</f>
        <v>0</v>
      </c>
      <c r="Z61" s="26">
        <f>IF(AND(COLUMN()&gt;=11,COLUMN()&lt;=20),(_xlfn.XLOOKUP($A61,#REF!,#REF!))/SUMIF($A$7:$AC$128,$A61,$AB$6:$AB$127)*Z$5,0)</f>
        <v>0</v>
      </c>
      <c r="AA61" s="26" t="e">
        <f t="shared" ca="1" si="8"/>
        <v>#REF!</v>
      </c>
      <c r="AB61" s="19">
        <f t="shared" si="2"/>
        <v>30</v>
      </c>
      <c r="AC61" s="20" t="e">
        <f t="shared" ca="1" si="3"/>
        <v>#REF!</v>
      </c>
      <c r="AD61" s="30" t="e">
        <f>#REF!/SUMIF(#REF!,'Curva de la oferta Prod 3'!$A61,#REF!)</f>
        <v>#REF!</v>
      </c>
      <c r="AE61" s="28"/>
      <c r="AF61" s="31"/>
      <c r="AG61" s="31"/>
      <c r="AH61" s="31"/>
      <c r="AI61" s="31"/>
      <c r="AJ61" s="31"/>
      <c r="AK61" s="31"/>
    </row>
    <row r="62" spans="1:37" ht="14.5" x14ac:dyDescent="0.35">
      <c r="A62" s="15">
        <f t="shared" si="0"/>
        <v>2030</v>
      </c>
      <c r="B62" s="18">
        <v>47665</v>
      </c>
      <c r="C62" s="26">
        <f>IF(AND(COLUMN()&gt;=11,COLUMN()&lt;=20),(_xlfn.XLOOKUP($A62,#REF!,#REF!))/SUMIF($A$7:$AC$128,$A62,$AB$6:$AB$127)*C$5,0)</f>
        <v>0</v>
      </c>
      <c r="D62" s="26">
        <f>IF(AND(COLUMN()&gt;=11,COLUMN()&lt;=20),(_xlfn.XLOOKUP($A62,#REF!,#REF!))/SUMIF($A$7:$AC$128,$A62,$AB$6:$AB$127)*D$5,0)</f>
        <v>0</v>
      </c>
      <c r="E62" s="26">
        <f>IF(AND(COLUMN()&gt;=11,COLUMN()&lt;=20),(_xlfn.XLOOKUP($A62,#REF!,#REF!))/SUMIF($A$7:$AC$128,$A62,$AB$6:$AB$127)*E$5,0)</f>
        <v>0</v>
      </c>
      <c r="F62" s="26">
        <f>IF(AND(COLUMN()&gt;=11,COLUMN()&lt;=20),(_xlfn.XLOOKUP($A62,#REF!,#REF!))/SUMIF($A$7:$AC$128,$A62,$AB$6:$AB$127)*F$5,0)</f>
        <v>0</v>
      </c>
      <c r="G62" s="26">
        <f>IF(AND(COLUMN()&gt;=11,COLUMN()&lt;=20),(_xlfn.XLOOKUP($A62,#REF!,#REF!))/SUMIF($A$7:$AC$128,$A62,$AB$6:$AB$127)*G$5,0)</f>
        <v>0</v>
      </c>
      <c r="H62" s="26">
        <f>IF(AND(COLUMN()&gt;=11,COLUMN()&lt;=20),(_xlfn.XLOOKUP($A62,#REF!,#REF!))/SUMIF($A$7:$AC$128,$A62,$AB$6:$AB$127)*H$5,0)</f>
        <v>0</v>
      </c>
      <c r="I62" s="26">
        <f>IF(AND(COLUMN()&gt;=11,COLUMN()&lt;=20),(_xlfn.XLOOKUP($A62,#REF!,#REF!))/SUMIF($A$7:$AC$128,$A62,$AB$6:$AB$127)*I$5,0)</f>
        <v>0</v>
      </c>
      <c r="J62" s="26">
        <f>IF(AND(COLUMN()&gt;=11,COLUMN()&lt;=20),(_xlfn.XLOOKUP($A62,#REF!,#REF!))/SUMIF($A$7:$AC$128,$A62,$AB$6:$AB$127)*J$5,0)</f>
        <v>0</v>
      </c>
      <c r="K62" s="26" t="e">
        <f ca="1">IF(AND(COLUMN()&gt;=11,COLUMN()&lt;=20),(_xlfn.XLOOKUP($A62,#REF!,#REF!))/SUMIF($A$7:$AC$128,$A62,$AB$6:$AB$127)*K$5,0)</f>
        <v>#REF!</v>
      </c>
      <c r="L62" s="26" t="e">
        <f ca="1">IF(AND(COLUMN()&gt;=11,COLUMN()&lt;=20),(_xlfn.XLOOKUP($A62,#REF!,#REF!))/SUMIF($A$7:$AC$128,$A62,$AB$6:$AB$127)*L$5,0)</f>
        <v>#REF!</v>
      </c>
      <c r="M62" s="26" t="e">
        <f ca="1">IF(AND(COLUMN()&gt;=11,COLUMN()&lt;=20),(_xlfn.XLOOKUP($A62,#REF!,#REF!))/SUMIF($A$7:$AC$128,$A62,$AB$6:$AB$127)*M$5,0)</f>
        <v>#REF!</v>
      </c>
      <c r="N62" s="26" t="e">
        <f ca="1">IF(AND(COLUMN()&gt;=11,COLUMN()&lt;=20),(_xlfn.XLOOKUP($A62,#REF!,#REF!))/SUMIF($A$7:$AC$128,$A62,$AB$6:$AB$127)*N$5,0)</f>
        <v>#REF!</v>
      </c>
      <c r="O62" s="26" t="e">
        <f ca="1">IF(AND(COLUMN()&gt;=11,COLUMN()&lt;=20),(_xlfn.XLOOKUP($A62,#REF!,#REF!))/SUMIF($A$7:$AC$128,$A62,$AB$6:$AB$127)*O$5,0)</f>
        <v>#REF!</v>
      </c>
      <c r="P62" s="26" t="e">
        <f ca="1">IF(AND(COLUMN()&gt;=11,COLUMN()&lt;=20),(_xlfn.XLOOKUP($A62,#REF!,#REF!))/SUMIF($A$7:$AC$128,$A62,$AB$6:$AB$127)*P$5,0)</f>
        <v>#REF!</v>
      </c>
      <c r="Q62" s="26" t="e">
        <f ca="1">IF(AND(COLUMN()&gt;=11,COLUMN()&lt;=20),(_xlfn.XLOOKUP($A62,#REF!,#REF!))/SUMIF($A$7:$AC$128,$A62,$AB$6:$AB$127)*Q$5,0)</f>
        <v>#REF!</v>
      </c>
      <c r="R62" s="26" t="e">
        <f ca="1">IF(AND(COLUMN()&gt;=11,COLUMN()&lt;=20),(_xlfn.XLOOKUP($A62,#REF!,#REF!))/SUMIF($A$7:$AC$128,$A62,$AB$6:$AB$127)*R$5,0)</f>
        <v>#REF!</v>
      </c>
      <c r="S62" s="26" t="e">
        <f ca="1">IF(AND(COLUMN()&gt;=11,COLUMN()&lt;=20),(_xlfn.XLOOKUP($A62,#REF!,#REF!))/SUMIF($A$7:$AC$128,$A62,$AB$6:$AB$127)*S$5,0)</f>
        <v>#REF!</v>
      </c>
      <c r="T62" s="26" t="e">
        <f ca="1">IF(AND(COLUMN()&gt;=11,COLUMN()&lt;=20),(_xlfn.XLOOKUP($A62,#REF!,#REF!))/SUMIF($A$7:$AC$128,$A62,$AB$6:$AB$127)*T$5,0)</f>
        <v>#REF!</v>
      </c>
      <c r="U62" s="26">
        <f>IF(AND(COLUMN()&gt;=11,COLUMN()&lt;=20),(_xlfn.XLOOKUP($A62,#REF!,#REF!))/SUMIF($A$7:$AC$128,$A62,$AB$6:$AB$127)*U$5,0)</f>
        <v>0</v>
      </c>
      <c r="V62" s="26">
        <f>IF(AND(COLUMN()&gt;=11,COLUMN()&lt;=20),(_xlfn.XLOOKUP($A62,#REF!,#REF!))/SUMIF($A$7:$AC$128,$A62,$AB$6:$AB$127)*V$5,0)</f>
        <v>0</v>
      </c>
      <c r="W62" s="26">
        <f>IF(AND(COLUMN()&gt;=11,COLUMN()&lt;=20),(_xlfn.XLOOKUP($A62,#REF!,#REF!))/SUMIF($A$7:$AC$128,$A62,$AB$6:$AB$127)*W$5,0)</f>
        <v>0</v>
      </c>
      <c r="X62" s="26">
        <f>IF(AND(COLUMN()&gt;=11,COLUMN()&lt;=20),(_xlfn.XLOOKUP($A62,#REF!,#REF!))/SUMIF($A$7:$AC$128,$A62,$AB$6:$AB$127)*X$5,0)</f>
        <v>0</v>
      </c>
      <c r="Y62" s="26">
        <f>IF(AND(COLUMN()&gt;=11,COLUMN()&lt;=20),(_xlfn.XLOOKUP($A62,#REF!,#REF!))/SUMIF($A$7:$AC$128,$A62,$AB$6:$AB$127)*Y$5,0)</f>
        <v>0</v>
      </c>
      <c r="Z62" s="26">
        <f>IF(AND(COLUMN()&gt;=11,COLUMN()&lt;=20),(_xlfn.XLOOKUP($A62,#REF!,#REF!))/SUMIF($A$7:$AC$128,$A62,$AB$6:$AB$127)*Z$5,0)</f>
        <v>0</v>
      </c>
      <c r="AA62" s="26" t="e">
        <f t="shared" ca="1" si="8"/>
        <v>#REF!</v>
      </c>
      <c r="AB62" s="19">
        <f t="shared" si="2"/>
        <v>31</v>
      </c>
      <c r="AC62" s="20" t="e">
        <f t="shared" ca="1" si="3"/>
        <v>#REF!</v>
      </c>
      <c r="AD62" s="30" t="e">
        <f>#REF!/SUMIF(#REF!,'Curva de la oferta Prod 3'!$A62,#REF!)</f>
        <v>#REF!</v>
      </c>
      <c r="AE62" s="28"/>
      <c r="AF62" s="31"/>
      <c r="AG62" s="31"/>
      <c r="AH62" s="31"/>
      <c r="AI62" s="31"/>
      <c r="AJ62" s="31"/>
      <c r="AK62" s="31"/>
    </row>
    <row r="63" spans="1:37" ht="14.5" x14ac:dyDescent="0.35">
      <c r="A63" s="15">
        <f t="shared" si="0"/>
        <v>2030</v>
      </c>
      <c r="B63" s="18">
        <v>47696</v>
      </c>
      <c r="C63" s="26">
        <f>IF(AND(COLUMN()&gt;=11,COLUMN()&lt;=20),(_xlfn.XLOOKUP($A63,#REF!,#REF!))/SUMIF($A$7:$AC$128,$A63,$AB$6:$AB$127)*C$5,0)</f>
        <v>0</v>
      </c>
      <c r="D63" s="26">
        <f>IF(AND(COLUMN()&gt;=11,COLUMN()&lt;=20),(_xlfn.XLOOKUP($A63,#REF!,#REF!))/SUMIF($A$7:$AC$128,$A63,$AB$6:$AB$127)*D$5,0)</f>
        <v>0</v>
      </c>
      <c r="E63" s="26">
        <f>IF(AND(COLUMN()&gt;=11,COLUMN()&lt;=20),(_xlfn.XLOOKUP($A63,#REF!,#REF!))/SUMIF($A$7:$AC$128,$A63,$AB$6:$AB$127)*E$5,0)</f>
        <v>0</v>
      </c>
      <c r="F63" s="26">
        <f>IF(AND(COLUMN()&gt;=11,COLUMN()&lt;=20),(_xlfn.XLOOKUP($A63,#REF!,#REF!))/SUMIF($A$7:$AC$128,$A63,$AB$6:$AB$127)*F$5,0)</f>
        <v>0</v>
      </c>
      <c r="G63" s="26">
        <f>IF(AND(COLUMN()&gt;=11,COLUMN()&lt;=20),(_xlfn.XLOOKUP($A63,#REF!,#REF!))/SUMIF($A$7:$AC$128,$A63,$AB$6:$AB$127)*G$5,0)</f>
        <v>0</v>
      </c>
      <c r="H63" s="26">
        <f>IF(AND(COLUMN()&gt;=11,COLUMN()&lt;=20),(_xlfn.XLOOKUP($A63,#REF!,#REF!))/SUMIF($A$7:$AC$128,$A63,$AB$6:$AB$127)*H$5,0)</f>
        <v>0</v>
      </c>
      <c r="I63" s="26">
        <f>IF(AND(COLUMN()&gt;=11,COLUMN()&lt;=20),(_xlfn.XLOOKUP($A63,#REF!,#REF!))/SUMIF($A$7:$AC$128,$A63,$AB$6:$AB$127)*I$5,0)</f>
        <v>0</v>
      </c>
      <c r="J63" s="26">
        <f>IF(AND(COLUMN()&gt;=11,COLUMN()&lt;=20),(_xlfn.XLOOKUP($A63,#REF!,#REF!))/SUMIF($A$7:$AC$128,$A63,$AB$6:$AB$127)*J$5,0)</f>
        <v>0</v>
      </c>
      <c r="K63" s="26" t="e">
        <f ca="1">IF(AND(COLUMN()&gt;=11,COLUMN()&lt;=20),(_xlfn.XLOOKUP($A63,#REF!,#REF!))/SUMIF($A$7:$AC$128,$A63,$AB$6:$AB$127)*K$5,0)</f>
        <v>#REF!</v>
      </c>
      <c r="L63" s="26" t="e">
        <f ca="1">IF(AND(COLUMN()&gt;=11,COLUMN()&lt;=20),(_xlfn.XLOOKUP($A63,#REF!,#REF!))/SUMIF($A$7:$AC$128,$A63,$AB$6:$AB$127)*L$5,0)</f>
        <v>#REF!</v>
      </c>
      <c r="M63" s="26" t="e">
        <f ca="1">IF(AND(COLUMN()&gt;=11,COLUMN()&lt;=20),(_xlfn.XLOOKUP($A63,#REF!,#REF!))/SUMIF($A$7:$AC$128,$A63,$AB$6:$AB$127)*M$5,0)</f>
        <v>#REF!</v>
      </c>
      <c r="N63" s="26" t="e">
        <f ca="1">IF(AND(COLUMN()&gt;=11,COLUMN()&lt;=20),(_xlfn.XLOOKUP($A63,#REF!,#REF!))/SUMIF($A$7:$AC$128,$A63,$AB$6:$AB$127)*N$5,0)</f>
        <v>#REF!</v>
      </c>
      <c r="O63" s="26" t="e">
        <f ca="1">IF(AND(COLUMN()&gt;=11,COLUMN()&lt;=20),(_xlfn.XLOOKUP($A63,#REF!,#REF!))/SUMIF($A$7:$AC$128,$A63,$AB$6:$AB$127)*O$5,0)</f>
        <v>#REF!</v>
      </c>
      <c r="P63" s="26" t="e">
        <f ca="1">IF(AND(COLUMN()&gt;=11,COLUMN()&lt;=20),(_xlfn.XLOOKUP($A63,#REF!,#REF!))/SUMIF($A$7:$AC$128,$A63,$AB$6:$AB$127)*P$5,0)</f>
        <v>#REF!</v>
      </c>
      <c r="Q63" s="26" t="e">
        <f ca="1">IF(AND(COLUMN()&gt;=11,COLUMN()&lt;=20),(_xlfn.XLOOKUP($A63,#REF!,#REF!))/SUMIF($A$7:$AC$128,$A63,$AB$6:$AB$127)*Q$5,0)</f>
        <v>#REF!</v>
      </c>
      <c r="R63" s="26" t="e">
        <f ca="1">IF(AND(COLUMN()&gt;=11,COLUMN()&lt;=20),(_xlfn.XLOOKUP($A63,#REF!,#REF!))/SUMIF($A$7:$AC$128,$A63,$AB$6:$AB$127)*R$5,0)</f>
        <v>#REF!</v>
      </c>
      <c r="S63" s="26" t="e">
        <f ca="1">IF(AND(COLUMN()&gt;=11,COLUMN()&lt;=20),(_xlfn.XLOOKUP($A63,#REF!,#REF!))/SUMIF($A$7:$AC$128,$A63,$AB$6:$AB$127)*S$5,0)</f>
        <v>#REF!</v>
      </c>
      <c r="T63" s="26" t="e">
        <f ca="1">IF(AND(COLUMN()&gt;=11,COLUMN()&lt;=20),(_xlfn.XLOOKUP($A63,#REF!,#REF!))/SUMIF($A$7:$AC$128,$A63,$AB$6:$AB$127)*T$5,0)</f>
        <v>#REF!</v>
      </c>
      <c r="U63" s="26">
        <f>IF(AND(COLUMN()&gt;=11,COLUMN()&lt;=20),(_xlfn.XLOOKUP($A63,#REF!,#REF!))/SUMIF($A$7:$AC$128,$A63,$AB$6:$AB$127)*U$5,0)</f>
        <v>0</v>
      </c>
      <c r="V63" s="26">
        <f>IF(AND(COLUMN()&gt;=11,COLUMN()&lt;=20),(_xlfn.XLOOKUP($A63,#REF!,#REF!))/SUMIF($A$7:$AC$128,$A63,$AB$6:$AB$127)*V$5,0)</f>
        <v>0</v>
      </c>
      <c r="W63" s="26">
        <f>IF(AND(COLUMN()&gt;=11,COLUMN()&lt;=20),(_xlfn.XLOOKUP($A63,#REF!,#REF!))/SUMIF($A$7:$AC$128,$A63,$AB$6:$AB$127)*W$5,0)</f>
        <v>0</v>
      </c>
      <c r="X63" s="26">
        <f>IF(AND(COLUMN()&gt;=11,COLUMN()&lt;=20),(_xlfn.XLOOKUP($A63,#REF!,#REF!))/SUMIF($A$7:$AC$128,$A63,$AB$6:$AB$127)*X$5,0)</f>
        <v>0</v>
      </c>
      <c r="Y63" s="26">
        <f>IF(AND(COLUMN()&gt;=11,COLUMN()&lt;=20),(_xlfn.XLOOKUP($A63,#REF!,#REF!))/SUMIF($A$7:$AC$128,$A63,$AB$6:$AB$127)*Y$5,0)</f>
        <v>0</v>
      </c>
      <c r="Z63" s="26">
        <f>IF(AND(COLUMN()&gt;=11,COLUMN()&lt;=20),(_xlfn.XLOOKUP($A63,#REF!,#REF!))/SUMIF($A$7:$AC$128,$A63,$AB$6:$AB$127)*Z$5,0)</f>
        <v>0</v>
      </c>
      <c r="AA63" s="26" t="e">
        <f t="shared" ca="1" si="8"/>
        <v>#REF!</v>
      </c>
      <c r="AB63" s="19">
        <f t="shared" si="2"/>
        <v>31</v>
      </c>
      <c r="AC63" s="20" t="e">
        <f t="shared" ca="1" si="3"/>
        <v>#REF!</v>
      </c>
      <c r="AD63" s="30" t="e">
        <f>#REF!/SUMIF(#REF!,'Curva de la oferta Prod 3'!$A63,#REF!)</f>
        <v>#REF!</v>
      </c>
      <c r="AE63" s="28"/>
      <c r="AF63" s="31"/>
      <c r="AG63" s="31"/>
      <c r="AH63" s="31"/>
      <c r="AI63" s="31"/>
      <c r="AJ63" s="31"/>
      <c r="AK63" s="31"/>
    </row>
    <row r="64" spans="1:37" ht="14.5" x14ac:dyDescent="0.35">
      <c r="A64" s="15">
        <f t="shared" si="0"/>
        <v>2030</v>
      </c>
      <c r="B64" s="18">
        <v>47727</v>
      </c>
      <c r="C64" s="26">
        <f>IF(AND(COLUMN()&gt;=11,COLUMN()&lt;=20),(_xlfn.XLOOKUP($A64,#REF!,#REF!))/SUMIF($A$7:$AC$128,$A64,$AB$6:$AB$127)*C$5,0)</f>
        <v>0</v>
      </c>
      <c r="D64" s="26">
        <f>IF(AND(COLUMN()&gt;=11,COLUMN()&lt;=20),(_xlfn.XLOOKUP($A64,#REF!,#REF!))/SUMIF($A$7:$AC$128,$A64,$AB$6:$AB$127)*D$5,0)</f>
        <v>0</v>
      </c>
      <c r="E64" s="26">
        <f>IF(AND(COLUMN()&gt;=11,COLUMN()&lt;=20),(_xlfn.XLOOKUP($A64,#REF!,#REF!))/SUMIF($A$7:$AC$128,$A64,$AB$6:$AB$127)*E$5,0)</f>
        <v>0</v>
      </c>
      <c r="F64" s="26">
        <f>IF(AND(COLUMN()&gt;=11,COLUMN()&lt;=20),(_xlfn.XLOOKUP($A64,#REF!,#REF!))/SUMIF($A$7:$AC$128,$A64,$AB$6:$AB$127)*F$5,0)</f>
        <v>0</v>
      </c>
      <c r="G64" s="26">
        <f>IF(AND(COLUMN()&gt;=11,COLUMN()&lt;=20),(_xlfn.XLOOKUP($A64,#REF!,#REF!))/SUMIF($A$7:$AC$128,$A64,$AB$6:$AB$127)*G$5,0)</f>
        <v>0</v>
      </c>
      <c r="H64" s="26">
        <f>IF(AND(COLUMN()&gt;=11,COLUMN()&lt;=20),(_xlfn.XLOOKUP($A64,#REF!,#REF!))/SUMIF($A$7:$AC$128,$A64,$AB$6:$AB$127)*H$5,0)</f>
        <v>0</v>
      </c>
      <c r="I64" s="26">
        <f>IF(AND(COLUMN()&gt;=11,COLUMN()&lt;=20),(_xlfn.XLOOKUP($A64,#REF!,#REF!))/SUMIF($A$7:$AC$128,$A64,$AB$6:$AB$127)*I$5,0)</f>
        <v>0</v>
      </c>
      <c r="J64" s="26">
        <f>IF(AND(COLUMN()&gt;=11,COLUMN()&lt;=20),(_xlfn.XLOOKUP($A64,#REF!,#REF!))/SUMIF($A$7:$AC$128,$A64,$AB$6:$AB$127)*J$5,0)</f>
        <v>0</v>
      </c>
      <c r="K64" s="26" t="e">
        <f ca="1">IF(AND(COLUMN()&gt;=11,COLUMN()&lt;=20),(_xlfn.XLOOKUP($A64,#REF!,#REF!))/SUMIF($A$7:$AC$128,$A64,$AB$6:$AB$127)*K$5,0)</f>
        <v>#REF!</v>
      </c>
      <c r="L64" s="26" t="e">
        <f ca="1">IF(AND(COLUMN()&gt;=11,COLUMN()&lt;=20),(_xlfn.XLOOKUP($A64,#REF!,#REF!))/SUMIF($A$7:$AC$128,$A64,$AB$6:$AB$127)*L$5,0)</f>
        <v>#REF!</v>
      </c>
      <c r="M64" s="26" t="e">
        <f ca="1">IF(AND(COLUMN()&gt;=11,COLUMN()&lt;=20),(_xlfn.XLOOKUP($A64,#REF!,#REF!))/SUMIF($A$7:$AC$128,$A64,$AB$6:$AB$127)*M$5,0)</f>
        <v>#REF!</v>
      </c>
      <c r="N64" s="26" t="e">
        <f ca="1">IF(AND(COLUMN()&gt;=11,COLUMN()&lt;=20),(_xlfn.XLOOKUP($A64,#REF!,#REF!))/SUMIF($A$7:$AC$128,$A64,$AB$6:$AB$127)*N$5,0)</f>
        <v>#REF!</v>
      </c>
      <c r="O64" s="26" t="e">
        <f ca="1">IF(AND(COLUMN()&gt;=11,COLUMN()&lt;=20),(_xlfn.XLOOKUP($A64,#REF!,#REF!))/SUMIF($A$7:$AC$128,$A64,$AB$6:$AB$127)*O$5,0)</f>
        <v>#REF!</v>
      </c>
      <c r="P64" s="26" t="e">
        <f ca="1">IF(AND(COLUMN()&gt;=11,COLUMN()&lt;=20),(_xlfn.XLOOKUP($A64,#REF!,#REF!))/SUMIF($A$7:$AC$128,$A64,$AB$6:$AB$127)*P$5,0)</f>
        <v>#REF!</v>
      </c>
      <c r="Q64" s="26" t="e">
        <f ca="1">IF(AND(COLUMN()&gt;=11,COLUMN()&lt;=20),(_xlfn.XLOOKUP($A64,#REF!,#REF!))/SUMIF($A$7:$AC$128,$A64,$AB$6:$AB$127)*Q$5,0)</f>
        <v>#REF!</v>
      </c>
      <c r="R64" s="26" t="e">
        <f ca="1">IF(AND(COLUMN()&gt;=11,COLUMN()&lt;=20),(_xlfn.XLOOKUP($A64,#REF!,#REF!))/SUMIF($A$7:$AC$128,$A64,$AB$6:$AB$127)*R$5,0)</f>
        <v>#REF!</v>
      </c>
      <c r="S64" s="26" t="e">
        <f ca="1">IF(AND(COLUMN()&gt;=11,COLUMN()&lt;=20),(_xlfn.XLOOKUP($A64,#REF!,#REF!))/SUMIF($A$7:$AC$128,$A64,$AB$6:$AB$127)*S$5,0)</f>
        <v>#REF!</v>
      </c>
      <c r="T64" s="26" t="e">
        <f ca="1">IF(AND(COLUMN()&gt;=11,COLUMN()&lt;=20),(_xlfn.XLOOKUP($A64,#REF!,#REF!))/SUMIF($A$7:$AC$128,$A64,$AB$6:$AB$127)*T$5,0)</f>
        <v>#REF!</v>
      </c>
      <c r="U64" s="26">
        <f>IF(AND(COLUMN()&gt;=11,COLUMN()&lt;=20),(_xlfn.XLOOKUP($A64,#REF!,#REF!))/SUMIF($A$7:$AC$128,$A64,$AB$6:$AB$127)*U$5,0)</f>
        <v>0</v>
      </c>
      <c r="V64" s="26">
        <f>IF(AND(COLUMN()&gt;=11,COLUMN()&lt;=20),(_xlfn.XLOOKUP($A64,#REF!,#REF!))/SUMIF($A$7:$AC$128,$A64,$AB$6:$AB$127)*V$5,0)</f>
        <v>0</v>
      </c>
      <c r="W64" s="26">
        <f>IF(AND(COLUMN()&gt;=11,COLUMN()&lt;=20),(_xlfn.XLOOKUP($A64,#REF!,#REF!))/SUMIF($A$7:$AC$128,$A64,$AB$6:$AB$127)*W$5,0)</f>
        <v>0</v>
      </c>
      <c r="X64" s="26">
        <f>IF(AND(COLUMN()&gt;=11,COLUMN()&lt;=20),(_xlfn.XLOOKUP($A64,#REF!,#REF!))/SUMIF($A$7:$AC$128,$A64,$AB$6:$AB$127)*X$5,0)</f>
        <v>0</v>
      </c>
      <c r="Y64" s="26">
        <f>IF(AND(COLUMN()&gt;=11,COLUMN()&lt;=20),(_xlfn.XLOOKUP($A64,#REF!,#REF!))/SUMIF($A$7:$AC$128,$A64,$AB$6:$AB$127)*Y$5,0)</f>
        <v>0</v>
      </c>
      <c r="Z64" s="26">
        <f>IF(AND(COLUMN()&gt;=11,COLUMN()&lt;=20),(_xlfn.XLOOKUP($A64,#REF!,#REF!))/SUMIF($A$7:$AC$128,$A64,$AB$6:$AB$127)*Z$5,0)</f>
        <v>0</v>
      </c>
      <c r="AA64" s="26" t="e">
        <f t="shared" ca="1" si="8"/>
        <v>#REF!</v>
      </c>
      <c r="AB64" s="19">
        <f t="shared" si="2"/>
        <v>30</v>
      </c>
      <c r="AC64" s="20" t="e">
        <f t="shared" ca="1" si="3"/>
        <v>#REF!</v>
      </c>
      <c r="AD64" s="30" t="e">
        <f>#REF!/SUMIF(#REF!,'Curva de la oferta Prod 3'!$A64,#REF!)</f>
        <v>#REF!</v>
      </c>
      <c r="AE64" s="28"/>
      <c r="AF64" s="31"/>
      <c r="AG64" s="31"/>
      <c r="AH64" s="31"/>
      <c r="AI64" s="31"/>
      <c r="AJ64" s="31"/>
      <c r="AK64" s="31"/>
    </row>
    <row r="65" spans="1:37" ht="14.5" x14ac:dyDescent="0.35">
      <c r="A65" s="15">
        <f t="shared" si="0"/>
        <v>2030</v>
      </c>
      <c r="B65" s="18">
        <v>47757</v>
      </c>
      <c r="C65" s="26">
        <f>IF(AND(COLUMN()&gt;=11,COLUMN()&lt;=20),(_xlfn.XLOOKUP($A65,#REF!,#REF!))/SUMIF($A$7:$AC$128,$A65,$AB$6:$AB$127)*C$5,0)</f>
        <v>0</v>
      </c>
      <c r="D65" s="26">
        <f>IF(AND(COLUMN()&gt;=11,COLUMN()&lt;=20),(_xlfn.XLOOKUP($A65,#REF!,#REF!))/SUMIF($A$7:$AC$128,$A65,$AB$6:$AB$127)*D$5,0)</f>
        <v>0</v>
      </c>
      <c r="E65" s="26">
        <f>IF(AND(COLUMN()&gt;=11,COLUMN()&lt;=20),(_xlfn.XLOOKUP($A65,#REF!,#REF!))/SUMIF($A$7:$AC$128,$A65,$AB$6:$AB$127)*E$5,0)</f>
        <v>0</v>
      </c>
      <c r="F65" s="26">
        <f>IF(AND(COLUMN()&gt;=11,COLUMN()&lt;=20),(_xlfn.XLOOKUP($A65,#REF!,#REF!))/SUMIF($A$7:$AC$128,$A65,$AB$6:$AB$127)*F$5,0)</f>
        <v>0</v>
      </c>
      <c r="G65" s="26">
        <f>IF(AND(COLUMN()&gt;=11,COLUMN()&lt;=20),(_xlfn.XLOOKUP($A65,#REF!,#REF!))/SUMIF($A$7:$AC$128,$A65,$AB$6:$AB$127)*G$5,0)</f>
        <v>0</v>
      </c>
      <c r="H65" s="26">
        <f>IF(AND(COLUMN()&gt;=11,COLUMN()&lt;=20),(_xlfn.XLOOKUP($A65,#REF!,#REF!))/SUMIF($A$7:$AC$128,$A65,$AB$6:$AB$127)*H$5,0)</f>
        <v>0</v>
      </c>
      <c r="I65" s="26">
        <f>IF(AND(COLUMN()&gt;=11,COLUMN()&lt;=20),(_xlfn.XLOOKUP($A65,#REF!,#REF!))/SUMIF($A$7:$AC$128,$A65,$AB$6:$AB$127)*I$5,0)</f>
        <v>0</v>
      </c>
      <c r="J65" s="26">
        <f>IF(AND(COLUMN()&gt;=11,COLUMN()&lt;=20),(_xlfn.XLOOKUP($A65,#REF!,#REF!))/SUMIF($A$7:$AC$128,$A65,$AB$6:$AB$127)*J$5,0)</f>
        <v>0</v>
      </c>
      <c r="K65" s="26" t="e">
        <f ca="1">IF(AND(COLUMN()&gt;=11,COLUMN()&lt;=20),(_xlfn.XLOOKUP($A65,#REF!,#REF!))/SUMIF($A$7:$AC$128,$A65,$AB$6:$AB$127)*K$5,0)</f>
        <v>#REF!</v>
      </c>
      <c r="L65" s="26" t="e">
        <f ca="1">IF(AND(COLUMN()&gt;=11,COLUMN()&lt;=20),(_xlfn.XLOOKUP($A65,#REF!,#REF!))/SUMIF($A$7:$AC$128,$A65,$AB$6:$AB$127)*L$5,0)</f>
        <v>#REF!</v>
      </c>
      <c r="M65" s="26" t="e">
        <f ca="1">IF(AND(COLUMN()&gt;=11,COLUMN()&lt;=20),(_xlfn.XLOOKUP($A65,#REF!,#REF!))/SUMIF($A$7:$AC$128,$A65,$AB$6:$AB$127)*M$5,0)</f>
        <v>#REF!</v>
      </c>
      <c r="N65" s="26" t="e">
        <f ca="1">IF(AND(COLUMN()&gt;=11,COLUMN()&lt;=20),(_xlfn.XLOOKUP($A65,#REF!,#REF!))/SUMIF($A$7:$AC$128,$A65,$AB$6:$AB$127)*N$5,0)</f>
        <v>#REF!</v>
      </c>
      <c r="O65" s="26" t="e">
        <f ca="1">IF(AND(COLUMN()&gt;=11,COLUMN()&lt;=20),(_xlfn.XLOOKUP($A65,#REF!,#REF!))/SUMIF($A$7:$AC$128,$A65,$AB$6:$AB$127)*O$5,0)</f>
        <v>#REF!</v>
      </c>
      <c r="P65" s="26" t="e">
        <f ca="1">IF(AND(COLUMN()&gt;=11,COLUMN()&lt;=20),(_xlfn.XLOOKUP($A65,#REF!,#REF!))/SUMIF($A$7:$AC$128,$A65,$AB$6:$AB$127)*P$5,0)</f>
        <v>#REF!</v>
      </c>
      <c r="Q65" s="26" t="e">
        <f ca="1">IF(AND(COLUMN()&gt;=11,COLUMN()&lt;=20),(_xlfn.XLOOKUP($A65,#REF!,#REF!))/SUMIF($A$7:$AC$128,$A65,$AB$6:$AB$127)*Q$5,0)</f>
        <v>#REF!</v>
      </c>
      <c r="R65" s="26" t="e">
        <f ca="1">IF(AND(COLUMN()&gt;=11,COLUMN()&lt;=20),(_xlfn.XLOOKUP($A65,#REF!,#REF!))/SUMIF($A$7:$AC$128,$A65,$AB$6:$AB$127)*R$5,0)</f>
        <v>#REF!</v>
      </c>
      <c r="S65" s="26" t="e">
        <f ca="1">IF(AND(COLUMN()&gt;=11,COLUMN()&lt;=20),(_xlfn.XLOOKUP($A65,#REF!,#REF!))/SUMIF($A$7:$AC$128,$A65,$AB$6:$AB$127)*S$5,0)</f>
        <v>#REF!</v>
      </c>
      <c r="T65" s="26" t="e">
        <f ca="1">IF(AND(COLUMN()&gt;=11,COLUMN()&lt;=20),(_xlfn.XLOOKUP($A65,#REF!,#REF!))/SUMIF($A$7:$AC$128,$A65,$AB$6:$AB$127)*T$5,0)</f>
        <v>#REF!</v>
      </c>
      <c r="U65" s="26">
        <f>IF(AND(COLUMN()&gt;=11,COLUMN()&lt;=20),(_xlfn.XLOOKUP($A65,#REF!,#REF!))/SUMIF($A$7:$AC$128,$A65,$AB$6:$AB$127)*U$5,0)</f>
        <v>0</v>
      </c>
      <c r="V65" s="26">
        <f>IF(AND(COLUMN()&gt;=11,COLUMN()&lt;=20),(_xlfn.XLOOKUP($A65,#REF!,#REF!))/SUMIF($A$7:$AC$128,$A65,$AB$6:$AB$127)*V$5,0)</f>
        <v>0</v>
      </c>
      <c r="W65" s="26">
        <f>IF(AND(COLUMN()&gt;=11,COLUMN()&lt;=20),(_xlfn.XLOOKUP($A65,#REF!,#REF!))/SUMIF($A$7:$AC$128,$A65,$AB$6:$AB$127)*W$5,0)</f>
        <v>0</v>
      </c>
      <c r="X65" s="26">
        <f>IF(AND(COLUMN()&gt;=11,COLUMN()&lt;=20),(_xlfn.XLOOKUP($A65,#REF!,#REF!))/SUMIF($A$7:$AC$128,$A65,$AB$6:$AB$127)*X$5,0)</f>
        <v>0</v>
      </c>
      <c r="Y65" s="26">
        <f>IF(AND(COLUMN()&gt;=11,COLUMN()&lt;=20),(_xlfn.XLOOKUP($A65,#REF!,#REF!))/SUMIF($A$7:$AC$128,$A65,$AB$6:$AB$127)*Y$5,0)</f>
        <v>0</v>
      </c>
      <c r="Z65" s="26">
        <f>IF(AND(COLUMN()&gt;=11,COLUMN()&lt;=20),(_xlfn.XLOOKUP($A65,#REF!,#REF!))/SUMIF($A$7:$AC$128,$A65,$AB$6:$AB$127)*Z$5,0)</f>
        <v>0</v>
      </c>
      <c r="AA65" s="26" t="e">
        <f t="shared" ca="1" si="8"/>
        <v>#REF!</v>
      </c>
      <c r="AB65" s="19">
        <f t="shared" si="2"/>
        <v>31</v>
      </c>
      <c r="AC65" s="20" t="e">
        <f t="shared" ca="1" si="3"/>
        <v>#REF!</v>
      </c>
      <c r="AD65" s="30" t="e">
        <f>#REF!/SUMIF(#REF!,'Curva de la oferta Prod 3'!$A65,#REF!)</f>
        <v>#REF!</v>
      </c>
      <c r="AE65" s="28"/>
      <c r="AF65" s="31"/>
      <c r="AG65" s="31"/>
      <c r="AH65" s="31"/>
      <c r="AI65" s="31"/>
      <c r="AJ65" s="31"/>
      <c r="AK65" s="31"/>
    </row>
    <row r="66" spans="1:37" ht="14.5" x14ac:dyDescent="0.35">
      <c r="A66" s="15">
        <f t="shared" si="0"/>
        <v>2030</v>
      </c>
      <c r="B66" s="18">
        <v>47788</v>
      </c>
      <c r="C66" s="26">
        <f>IF(AND(COLUMN()&gt;=11,COLUMN()&lt;=20),(_xlfn.XLOOKUP($A66,#REF!,#REF!))/SUMIF($A$7:$AC$128,$A66,$AB$6:$AB$127)*C$5,0)</f>
        <v>0</v>
      </c>
      <c r="D66" s="26">
        <f>IF(AND(COLUMN()&gt;=11,COLUMN()&lt;=20),(_xlfn.XLOOKUP($A66,#REF!,#REF!))/SUMIF($A$7:$AC$128,$A66,$AB$6:$AB$127)*D$5,0)</f>
        <v>0</v>
      </c>
      <c r="E66" s="26">
        <f>IF(AND(COLUMN()&gt;=11,COLUMN()&lt;=20),(_xlfn.XLOOKUP($A66,#REF!,#REF!))/SUMIF($A$7:$AC$128,$A66,$AB$6:$AB$127)*E$5,0)</f>
        <v>0</v>
      </c>
      <c r="F66" s="26">
        <f>IF(AND(COLUMN()&gt;=11,COLUMN()&lt;=20),(_xlfn.XLOOKUP($A66,#REF!,#REF!))/SUMIF($A$7:$AC$128,$A66,$AB$6:$AB$127)*F$5,0)</f>
        <v>0</v>
      </c>
      <c r="G66" s="26">
        <f>IF(AND(COLUMN()&gt;=11,COLUMN()&lt;=20),(_xlfn.XLOOKUP($A66,#REF!,#REF!))/SUMIF($A$7:$AC$128,$A66,$AB$6:$AB$127)*G$5,0)</f>
        <v>0</v>
      </c>
      <c r="H66" s="26">
        <f>IF(AND(COLUMN()&gt;=11,COLUMN()&lt;=20),(_xlfn.XLOOKUP($A66,#REF!,#REF!))/SUMIF($A$7:$AC$128,$A66,$AB$6:$AB$127)*H$5,0)</f>
        <v>0</v>
      </c>
      <c r="I66" s="26">
        <f>IF(AND(COLUMN()&gt;=11,COLUMN()&lt;=20),(_xlfn.XLOOKUP($A66,#REF!,#REF!))/SUMIF($A$7:$AC$128,$A66,$AB$6:$AB$127)*I$5,0)</f>
        <v>0</v>
      </c>
      <c r="J66" s="26">
        <f>IF(AND(COLUMN()&gt;=11,COLUMN()&lt;=20),(_xlfn.XLOOKUP($A66,#REF!,#REF!))/SUMIF($A$7:$AC$128,$A66,$AB$6:$AB$127)*J$5,0)</f>
        <v>0</v>
      </c>
      <c r="K66" s="26" t="e">
        <f ca="1">IF(AND(COLUMN()&gt;=11,COLUMN()&lt;=20),(_xlfn.XLOOKUP($A66,#REF!,#REF!))/SUMIF($A$7:$AC$128,$A66,$AB$6:$AB$127)*K$5,0)</f>
        <v>#REF!</v>
      </c>
      <c r="L66" s="26" t="e">
        <f ca="1">IF(AND(COLUMN()&gt;=11,COLUMN()&lt;=20),(_xlfn.XLOOKUP($A66,#REF!,#REF!))/SUMIF($A$7:$AC$128,$A66,$AB$6:$AB$127)*L$5,0)</f>
        <v>#REF!</v>
      </c>
      <c r="M66" s="26" t="e">
        <f ca="1">IF(AND(COLUMN()&gt;=11,COLUMN()&lt;=20),(_xlfn.XLOOKUP($A66,#REF!,#REF!))/SUMIF($A$7:$AC$128,$A66,$AB$6:$AB$127)*M$5,0)</f>
        <v>#REF!</v>
      </c>
      <c r="N66" s="26" t="e">
        <f ca="1">IF(AND(COLUMN()&gt;=11,COLUMN()&lt;=20),(_xlfn.XLOOKUP($A66,#REF!,#REF!))/SUMIF($A$7:$AC$128,$A66,$AB$6:$AB$127)*N$5,0)</f>
        <v>#REF!</v>
      </c>
      <c r="O66" s="26" t="e">
        <f ca="1">IF(AND(COLUMN()&gt;=11,COLUMN()&lt;=20),(_xlfn.XLOOKUP($A66,#REF!,#REF!))/SUMIF($A$7:$AC$128,$A66,$AB$6:$AB$127)*O$5,0)</f>
        <v>#REF!</v>
      </c>
      <c r="P66" s="26" t="e">
        <f ca="1">IF(AND(COLUMN()&gt;=11,COLUMN()&lt;=20),(_xlfn.XLOOKUP($A66,#REF!,#REF!))/SUMIF($A$7:$AC$128,$A66,$AB$6:$AB$127)*P$5,0)</f>
        <v>#REF!</v>
      </c>
      <c r="Q66" s="26" t="e">
        <f ca="1">IF(AND(COLUMN()&gt;=11,COLUMN()&lt;=20),(_xlfn.XLOOKUP($A66,#REF!,#REF!))/SUMIF($A$7:$AC$128,$A66,$AB$6:$AB$127)*Q$5,0)</f>
        <v>#REF!</v>
      </c>
      <c r="R66" s="26" t="e">
        <f ca="1">IF(AND(COLUMN()&gt;=11,COLUMN()&lt;=20),(_xlfn.XLOOKUP($A66,#REF!,#REF!))/SUMIF($A$7:$AC$128,$A66,$AB$6:$AB$127)*R$5,0)</f>
        <v>#REF!</v>
      </c>
      <c r="S66" s="26" t="e">
        <f ca="1">IF(AND(COLUMN()&gt;=11,COLUMN()&lt;=20),(_xlfn.XLOOKUP($A66,#REF!,#REF!))/SUMIF($A$7:$AC$128,$A66,$AB$6:$AB$127)*S$5,0)</f>
        <v>#REF!</v>
      </c>
      <c r="T66" s="26" t="e">
        <f ca="1">IF(AND(COLUMN()&gt;=11,COLUMN()&lt;=20),(_xlfn.XLOOKUP($A66,#REF!,#REF!))/SUMIF($A$7:$AC$128,$A66,$AB$6:$AB$127)*T$5,0)</f>
        <v>#REF!</v>
      </c>
      <c r="U66" s="26">
        <f>IF(AND(COLUMN()&gt;=11,COLUMN()&lt;=20),(_xlfn.XLOOKUP($A66,#REF!,#REF!))/SUMIF($A$7:$AC$128,$A66,$AB$6:$AB$127)*U$5,0)</f>
        <v>0</v>
      </c>
      <c r="V66" s="26">
        <f>IF(AND(COLUMN()&gt;=11,COLUMN()&lt;=20),(_xlfn.XLOOKUP($A66,#REF!,#REF!))/SUMIF($A$7:$AC$128,$A66,$AB$6:$AB$127)*V$5,0)</f>
        <v>0</v>
      </c>
      <c r="W66" s="26">
        <f>IF(AND(COLUMN()&gt;=11,COLUMN()&lt;=20),(_xlfn.XLOOKUP($A66,#REF!,#REF!))/SUMIF($A$7:$AC$128,$A66,$AB$6:$AB$127)*W$5,0)</f>
        <v>0</v>
      </c>
      <c r="X66" s="26">
        <f>IF(AND(COLUMN()&gt;=11,COLUMN()&lt;=20),(_xlfn.XLOOKUP($A66,#REF!,#REF!))/SUMIF($A$7:$AC$128,$A66,$AB$6:$AB$127)*X$5,0)</f>
        <v>0</v>
      </c>
      <c r="Y66" s="26">
        <f>IF(AND(COLUMN()&gt;=11,COLUMN()&lt;=20),(_xlfn.XLOOKUP($A66,#REF!,#REF!))/SUMIF($A$7:$AC$128,$A66,$AB$6:$AB$127)*Y$5,0)</f>
        <v>0</v>
      </c>
      <c r="Z66" s="26">
        <f>IF(AND(COLUMN()&gt;=11,COLUMN()&lt;=20),(_xlfn.XLOOKUP($A66,#REF!,#REF!))/SUMIF($A$7:$AC$128,$A66,$AB$6:$AB$127)*Z$5,0)</f>
        <v>0</v>
      </c>
      <c r="AA66" s="26" t="e">
        <f t="shared" ca="1" si="8"/>
        <v>#REF!</v>
      </c>
      <c r="AB66" s="19">
        <f t="shared" si="2"/>
        <v>30</v>
      </c>
      <c r="AC66" s="20" t="e">
        <f t="shared" ca="1" si="3"/>
        <v>#REF!</v>
      </c>
      <c r="AD66" s="30" t="e">
        <f>#REF!/SUMIF(#REF!,'Curva de la oferta Prod 3'!$A66,#REF!)</f>
        <v>#REF!</v>
      </c>
      <c r="AE66" s="28"/>
      <c r="AF66" s="31"/>
      <c r="AG66" s="31"/>
      <c r="AH66" s="31"/>
      <c r="AI66" s="31"/>
      <c r="AJ66" s="31"/>
      <c r="AK66" s="31"/>
    </row>
    <row r="67" spans="1:37" ht="14.5" x14ac:dyDescent="0.35">
      <c r="A67" s="15">
        <f t="shared" si="0"/>
        <v>2030</v>
      </c>
      <c r="B67" s="18">
        <v>47818</v>
      </c>
      <c r="C67" s="26">
        <f>IF(AND(COLUMN()&gt;=11,COLUMN()&lt;=20),(_xlfn.XLOOKUP($A67,#REF!,#REF!))/SUMIF($A$7:$AC$128,$A67,$AB$6:$AB$127)*C$5,0)</f>
        <v>0</v>
      </c>
      <c r="D67" s="26">
        <f>IF(AND(COLUMN()&gt;=11,COLUMN()&lt;=20),(_xlfn.XLOOKUP($A67,#REF!,#REF!))/SUMIF($A$7:$AC$128,$A67,$AB$6:$AB$127)*D$5,0)</f>
        <v>0</v>
      </c>
      <c r="E67" s="26">
        <f>IF(AND(COLUMN()&gt;=11,COLUMN()&lt;=20),(_xlfn.XLOOKUP($A67,#REF!,#REF!))/SUMIF($A$7:$AC$128,$A67,$AB$6:$AB$127)*E$5,0)</f>
        <v>0</v>
      </c>
      <c r="F67" s="26">
        <f>IF(AND(COLUMN()&gt;=11,COLUMN()&lt;=20),(_xlfn.XLOOKUP($A67,#REF!,#REF!))/SUMIF($A$7:$AC$128,$A67,$AB$6:$AB$127)*F$5,0)</f>
        <v>0</v>
      </c>
      <c r="G67" s="26">
        <f>IF(AND(COLUMN()&gt;=11,COLUMN()&lt;=20),(_xlfn.XLOOKUP($A67,#REF!,#REF!))/SUMIF($A$7:$AC$128,$A67,$AB$6:$AB$127)*G$5,0)</f>
        <v>0</v>
      </c>
      <c r="H67" s="26">
        <f>IF(AND(COLUMN()&gt;=11,COLUMN()&lt;=20),(_xlfn.XLOOKUP($A67,#REF!,#REF!))/SUMIF($A$7:$AC$128,$A67,$AB$6:$AB$127)*H$5,0)</f>
        <v>0</v>
      </c>
      <c r="I67" s="26">
        <f>IF(AND(COLUMN()&gt;=11,COLUMN()&lt;=20),(_xlfn.XLOOKUP($A67,#REF!,#REF!))/SUMIF($A$7:$AC$128,$A67,$AB$6:$AB$127)*I$5,0)</f>
        <v>0</v>
      </c>
      <c r="J67" s="26">
        <f>IF(AND(COLUMN()&gt;=11,COLUMN()&lt;=20),(_xlfn.XLOOKUP($A67,#REF!,#REF!))/SUMIF($A$7:$AC$128,$A67,$AB$6:$AB$127)*J$5,0)</f>
        <v>0</v>
      </c>
      <c r="K67" s="26" t="e">
        <f ca="1">IF(AND(COLUMN()&gt;=11,COLUMN()&lt;=20),(_xlfn.XLOOKUP($A67,#REF!,#REF!))/SUMIF($A$7:$AC$128,$A67,$AB$6:$AB$127)*K$5,0)</f>
        <v>#REF!</v>
      </c>
      <c r="L67" s="26" t="e">
        <f ca="1">IF(AND(COLUMN()&gt;=11,COLUMN()&lt;=20),(_xlfn.XLOOKUP($A67,#REF!,#REF!))/SUMIF($A$7:$AC$128,$A67,$AB$6:$AB$127)*L$5,0)</f>
        <v>#REF!</v>
      </c>
      <c r="M67" s="26" t="e">
        <f ca="1">IF(AND(COLUMN()&gt;=11,COLUMN()&lt;=20),(_xlfn.XLOOKUP($A67,#REF!,#REF!))/SUMIF($A$7:$AC$128,$A67,$AB$6:$AB$127)*M$5,0)</f>
        <v>#REF!</v>
      </c>
      <c r="N67" s="26" t="e">
        <f ca="1">IF(AND(COLUMN()&gt;=11,COLUMN()&lt;=20),(_xlfn.XLOOKUP($A67,#REF!,#REF!))/SUMIF($A$7:$AC$128,$A67,$AB$6:$AB$127)*N$5,0)</f>
        <v>#REF!</v>
      </c>
      <c r="O67" s="26" t="e">
        <f ca="1">IF(AND(COLUMN()&gt;=11,COLUMN()&lt;=20),(_xlfn.XLOOKUP($A67,#REF!,#REF!))/SUMIF($A$7:$AC$128,$A67,$AB$6:$AB$127)*O$5,0)</f>
        <v>#REF!</v>
      </c>
      <c r="P67" s="26" t="e">
        <f ca="1">IF(AND(COLUMN()&gt;=11,COLUMN()&lt;=20),(_xlfn.XLOOKUP($A67,#REF!,#REF!))/SUMIF($A$7:$AC$128,$A67,$AB$6:$AB$127)*P$5,0)</f>
        <v>#REF!</v>
      </c>
      <c r="Q67" s="26" t="e">
        <f ca="1">IF(AND(COLUMN()&gt;=11,COLUMN()&lt;=20),(_xlfn.XLOOKUP($A67,#REF!,#REF!))/SUMIF($A$7:$AC$128,$A67,$AB$6:$AB$127)*Q$5,0)</f>
        <v>#REF!</v>
      </c>
      <c r="R67" s="26" t="e">
        <f ca="1">IF(AND(COLUMN()&gt;=11,COLUMN()&lt;=20),(_xlfn.XLOOKUP($A67,#REF!,#REF!))/SUMIF($A$7:$AC$128,$A67,$AB$6:$AB$127)*R$5,0)</f>
        <v>#REF!</v>
      </c>
      <c r="S67" s="26" t="e">
        <f ca="1">IF(AND(COLUMN()&gt;=11,COLUMN()&lt;=20),(_xlfn.XLOOKUP($A67,#REF!,#REF!))/SUMIF($A$7:$AC$128,$A67,$AB$6:$AB$127)*S$5,0)</f>
        <v>#REF!</v>
      </c>
      <c r="T67" s="26" t="e">
        <f ca="1">IF(AND(COLUMN()&gt;=11,COLUMN()&lt;=20),(_xlfn.XLOOKUP($A67,#REF!,#REF!))/SUMIF($A$7:$AC$128,$A67,$AB$6:$AB$127)*T$5,0)</f>
        <v>#REF!</v>
      </c>
      <c r="U67" s="26">
        <f>IF(AND(COLUMN()&gt;=11,COLUMN()&lt;=20),(_xlfn.XLOOKUP($A67,#REF!,#REF!))/SUMIF($A$7:$AC$128,$A67,$AB$6:$AB$127)*U$5,0)</f>
        <v>0</v>
      </c>
      <c r="V67" s="26">
        <f>IF(AND(COLUMN()&gt;=11,COLUMN()&lt;=20),(_xlfn.XLOOKUP($A67,#REF!,#REF!))/SUMIF($A$7:$AC$128,$A67,$AB$6:$AB$127)*V$5,0)</f>
        <v>0</v>
      </c>
      <c r="W67" s="26">
        <f>IF(AND(COLUMN()&gt;=11,COLUMN()&lt;=20),(_xlfn.XLOOKUP($A67,#REF!,#REF!))/SUMIF($A$7:$AC$128,$A67,$AB$6:$AB$127)*W$5,0)</f>
        <v>0</v>
      </c>
      <c r="X67" s="26">
        <f>IF(AND(COLUMN()&gt;=11,COLUMN()&lt;=20),(_xlfn.XLOOKUP($A67,#REF!,#REF!))/SUMIF($A$7:$AC$128,$A67,$AB$6:$AB$127)*X$5,0)</f>
        <v>0</v>
      </c>
      <c r="Y67" s="26">
        <f>IF(AND(COLUMN()&gt;=11,COLUMN()&lt;=20),(_xlfn.XLOOKUP($A67,#REF!,#REF!))/SUMIF($A$7:$AC$128,$A67,$AB$6:$AB$127)*Y$5,0)</f>
        <v>0</v>
      </c>
      <c r="Z67" s="26">
        <f>IF(AND(COLUMN()&gt;=11,COLUMN()&lt;=20),(_xlfn.XLOOKUP($A67,#REF!,#REF!))/SUMIF($A$7:$AC$128,$A67,$AB$6:$AB$127)*Z$5,0)</f>
        <v>0</v>
      </c>
      <c r="AA67" s="26" t="e">
        <f t="shared" ca="1" si="8"/>
        <v>#REF!</v>
      </c>
      <c r="AB67" s="19">
        <f t="shared" si="2"/>
        <v>31</v>
      </c>
      <c r="AC67" s="20" t="e">
        <f t="shared" ca="1" si="3"/>
        <v>#REF!</v>
      </c>
      <c r="AD67" s="30" t="e">
        <f>#REF!/SUMIF(#REF!,'Curva de la oferta Prod 3'!$A67,#REF!)</f>
        <v>#REF!</v>
      </c>
      <c r="AE67" s="28"/>
      <c r="AF67" s="31"/>
      <c r="AG67" s="31"/>
      <c r="AH67" s="31"/>
      <c r="AI67" s="31"/>
      <c r="AJ67" s="31"/>
      <c r="AK67" s="31"/>
    </row>
    <row r="68" spans="1:37" ht="14.5" x14ac:dyDescent="0.35">
      <c r="A68" s="15">
        <f t="shared" si="0"/>
        <v>2031</v>
      </c>
      <c r="B68" s="18">
        <v>47849</v>
      </c>
      <c r="C68" s="26">
        <f>IF(AND(COLUMN()&gt;=11,COLUMN()&lt;=20),(_xlfn.XLOOKUP($A68,#REF!,#REF!))/SUMIF($A$7:$AC$128,$A68,$AB$6:$AB$127)*C$5,0)</f>
        <v>0</v>
      </c>
      <c r="D68" s="26">
        <f>IF(AND(COLUMN()&gt;=11,COLUMN()&lt;=20),(_xlfn.XLOOKUP($A68,#REF!,#REF!))/SUMIF($A$7:$AC$128,$A68,$AB$6:$AB$127)*D$5,0)</f>
        <v>0</v>
      </c>
      <c r="E68" s="26">
        <f>IF(AND(COLUMN()&gt;=11,COLUMN()&lt;=20),(_xlfn.XLOOKUP($A68,#REF!,#REF!))/SUMIF($A$7:$AC$128,$A68,$AB$6:$AB$127)*E$5,0)</f>
        <v>0</v>
      </c>
      <c r="F68" s="26">
        <f>IF(AND(COLUMN()&gt;=11,COLUMN()&lt;=20),(_xlfn.XLOOKUP($A68,#REF!,#REF!))/SUMIF($A$7:$AC$128,$A68,$AB$6:$AB$127)*F$5,0)</f>
        <v>0</v>
      </c>
      <c r="G68" s="26">
        <f>IF(AND(COLUMN()&gt;=11,COLUMN()&lt;=20),(_xlfn.XLOOKUP($A68,#REF!,#REF!))/SUMIF($A$7:$AC$128,$A68,$AB$6:$AB$127)*G$5,0)</f>
        <v>0</v>
      </c>
      <c r="H68" s="26">
        <f>IF(AND(COLUMN()&gt;=11,COLUMN()&lt;=20),(_xlfn.XLOOKUP($A68,#REF!,#REF!))/SUMIF($A$7:$AC$128,$A68,$AB$6:$AB$127)*H$5,0)</f>
        <v>0</v>
      </c>
      <c r="I68" s="26">
        <f>IF(AND(COLUMN()&gt;=11,COLUMN()&lt;=20),(_xlfn.XLOOKUP($A68,#REF!,#REF!))/SUMIF($A$7:$AC$128,$A68,$AB$6:$AB$127)*I$5,0)</f>
        <v>0</v>
      </c>
      <c r="J68" s="26">
        <f>IF(AND(COLUMN()&gt;=11,COLUMN()&lt;=20),(_xlfn.XLOOKUP($A68,#REF!,#REF!))/SUMIF($A$7:$AC$128,$A68,$AB$6:$AB$127)*J$5,0)</f>
        <v>0</v>
      </c>
      <c r="K68" s="26" t="e">
        <f ca="1">IF(AND(COLUMN()&gt;=11,COLUMN()&lt;=20),(_xlfn.XLOOKUP($A68,#REF!,#REF!))/SUMIF($A$7:$AC$128,$A68,$AB$6:$AB$127)*K$5,0)</f>
        <v>#REF!</v>
      </c>
      <c r="L68" s="26" t="e">
        <f ca="1">IF(AND(COLUMN()&gt;=11,COLUMN()&lt;=20),(_xlfn.XLOOKUP($A68,#REF!,#REF!))/SUMIF($A$7:$AC$128,$A68,$AB$6:$AB$127)*L$5,0)</f>
        <v>#REF!</v>
      </c>
      <c r="M68" s="26" t="e">
        <f ca="1">IF(AND(COLUMN()&gt;=11,COLUMN()&lt;=20),(_xlfn.XLOOKUP($A68,#REF!,#REF!))/SUMIF($A$7:$AC$128,$A68,$AB$6:$AB$127)*M$5,0)</f>
        <v>#REF!</v>
      </c>
      <c r="N68" s="26" t="e">
        <f ca="1">IF(AND(COLUMN()&gt;=11,COLUMN()&lt;=20),(_xlfn.XLOOKUP($A68,#REF!,#REF!))/SUMIF($A$7:$AC$128,$A68,$AB$6:$AB$127)*N$5,0)</f>
        <v>#REF!</v>
      </c>
      <c r="O68" s="26" t="e">
        <f ca="1">IF(AND(COLUMN()&gt;=11,COLUMN()&lt;=20),(_xlfn.XLOOKUP($A68,#REF!,#REF!))/SUMIF($A$7:$AC$128,$A68,$AB$6:$AB$127)*O$5,0)</f>
        <v>#REF!</v>
      </c>
      <c r="P68" s="26" t="e">
        <f ca="1">IF(AND(COLUMN()&gt;=11,COLUMN()&lt;=20),(_xlfn.XLOOKUP($A68,#REF!,#REF!))/SUMIF($A$7:$AC$128,$A68,$AB$6:$AB$127)*P$5,0)</f>
        <v>#REF!</v>
      </c>
      <c r="Q68" s="26" t="e">
        <f ca="1">IF(AND(COLUMN()&gt;=11,COLUMN()&lt;=20),(_xlfn.XLOOKUP($A68,#REF!,#REF!))/SUMIF($A$7:$AC$128,$A68,$AB$6:$AB$127)*Q$5,0)</f>
        <v>#REF!</v>
      </c>
      <c r="R68" s="26" t="e">
        <f ca="1">IF(AND(COLUMN()&gt;=11,COLUMN()&lt;=20),(_xlfn.XLOOKUP($A68,#REF!,#REF!))/SUMIF($A$7:$AC$128,$A68,$AB$6:$AB$127)*R$5,0)</f>
        <v>#REF!</v>
      </c>
      <c r="S68" s="26" t="e">
        <f ca="1">IF(AND(COLUMN()&gt;=11,COLUMN()&lt;=20),(_xlfn.XLOOKUP($A68,#REF!,#REF!))/SUMIF($A$7:$AC$128,$A68,$AB$6:$AB$127)*S$5,0)</f>
        <v>#REF!</v>
      </c>
      <c r="T68" s="26" t="e">
        <f ca="1">IF(AND(COLUMN()&gt;=11,COLUMN()&lt;=20),(_xlfn.XLOOKUP($A68,#REF!,#REF!))/SUMIF($A$7:$AC$128,$A68,$AB$6:$AB$127)*T$5,0)</f>
        <v>#REF!</v>
      </c>
      <c r="U68" s="26">
        <f>IF(AND(COLUMN()&gt;=11,COLUMN()&lt;=20),(_xlfn.XLOOKUP($A68,#REF!,#REF!))/SUMIF($A$7:$AC$128,$A68,$AB$6:$AB$127)*U$5,0)</f>
        <v>0</v>
      </c>
      <c r="V68" s="26">
        <f>IF(AND(COLUMN()&gt;=11,COLUMN()&lt;=20),(_xlfn.XLOOKUP($A68,#REF!,#REF!))/SUMIF($A$7:$AC$128,$A68,$AB$6:$AB$127)*V$5,0)</f>
        <v>0</v>
      </c>
      <c r="W68" s="26">
        <f>IF(AND(COLUMN()&gt;=11,COLUMN()&lt;=20),(_xlfn.XLOOKUP($A68,#REF!,#REF!))/SUMIF($A$7:$AC$128,$A68,$AB$6:$AB$127)*W$5,0)</f>
        <v>0</v>
      </c>
      <c r="X68" s="26">
        <f>IF(AND(COLUMN()&gt;=11,COLUMN()&lt;=20),(_xlfn.XLOOKUP($A68,#REF!,#REF!))/SUMIF($A$7:$AC$128,$A68,$AB$6:$AB$127)*X$5,0)</f>
        <v>0</v>
      </c>
      <c r="Y68" s="26">
        <f>IF(AND(COLUMN()&gt;=11,COLUMN()&lt;=20),(_xlfn.XLOOKUP($A68,#REF!,#REF!))/SUMIF($A$7:$AC$128,$A68,$AB$6:$AB$127)*Y$5,0)</f>
        <v>0</v>
      </c>
      <c r="Z68" s="26">
        <f>IF(AND(COLUMN()&gt;=11,COLUMN()&lt;=20),(_xlfn.XLOOKUP($A68,#REF!,#REF!))/SUMIF($A$7:$AC$128,$A68,$AB$6:$AB$127)*Z$5,0)</f>
        <v>0</v>
      </c>
      <c r="AA68" s="26" t="e">
        <f t="shared" ca="1" si="8"/>
        <v>#REF!</v>
      </c>
      <c r="AB68" s="19">
        <f t="shared" si="2"/>
        <v>31</v>
      </c>
      <c r="AC68" s="20" t="e">
        <f t="shared" ca="1" si="3"/>
        <v>#REF!</v>
      </c>
      <c r="AD68" s="30" t="e">
        <f>#REF!/SUMIF(#REF!,'Curva de la oferta Prod 3'!$A68,#REF!)</f>
        <v>#REF!</v>
      </c>
      <c r="AE68" s="28"/>
      <c r="AF68" s="31"/>
      <c r="AG68" s="31"/>
      <c r="AH68" s="31"/>
      <c r="AI68" s="31"/>
      <c r="AJ68" s="31"/>
      <c r="AK68" s="31"/>
    </row>
    <row r="69" spans="1:37" ht="14.5" x14ac:dyDescent="0.35">
      <c r="A69" s="15">
        <f t="shared" si="0"/>
        <v>2031</v>
      </c>
      <c r="B69" s="18">
        <v>47880</v>
      </c>
      <c r="C69" s="26">
        <f>IF(AND(COLUMN()&gt;=11,COLUMN()&lt;=20),(_xlfn.XLOOKUP($A69,#REF!,#REF!))/SUMIF($A$7:$AC$128,$A69,$AB$6:$AB$127)*C$5,0)</f>
        <v>0</v>
      </c>
      <c r="D69" s="26">
        <f>IF(AND(COLUMN()&gt;=11,COLUMN()&lt;=20),(_xlfn.XLOOKUP($A69,#REF!,#REF!))/SUMIF($A$7:$AC$128,$A69,$AB$6:$AB$127)*D$5,0)</f>
        <v>0</v>
      </c>
      <c r="E69" s="26">
        <f>IF(AND(COLUMN()&gt;=11,COLUMN()&lt;=20),(_xlfn.XLOOKUP($A69,#REF!,#REF!))/SUMIF($A$7:$AC$128,$A69,$AB$6:$AB$127)*E$5,0)</f>
        <v>0</v>
      </c>
      <c r="F69" s="26">
        <f>IF(AND(COLUMN()&gt;=11,COLUMN()&lt;=20),(_xlfn.XLOOKUP($A69,#REF!,#REF!))/SUMIF($A$7:$AC$128,$A69,$AB$6:$AB$127)*F$5,0)</f>
        <v>0</v>
      </c>
      <c r="G69" s="26">
        <f>IF(AND(COLUMN()&gt;=11,COLUMN()&lt;=20),(_xlfn.XLOOKUP($A69,#REF!,#REF!))/SUMIF($A$7:$AC$128,$A69,$AB$6:$AB$127)*G$5,0)</f>
        <v>0</v>
      </c>
      <c r="H69" s="26">
        <f>IF(AND(COLUMN()&gt;=11,COLUMN()&lt;=20),(_xlfn.XLOOKUP($A69,#REF!,#REF!))/SUMIF($A$7:$AC$128,$A69,$AB$6:$AB$127)*H$5,0)</f>
        <v>0</v>
      </c>
      <c r="I69" s="26">
        <f>IF(AND(COLUMN()&gt;=11,COLUMN()&lt;=20),(_xlfn.XLOOKUP($A69,#REF!,#REF!))/SUMIF($A$7:$AC$128,$A69,$AB$6:$AB$127)*I$5,0)</f>
        <v>0</v>
      </c>
      <c r="J69" s="26">
        <f>IF(AND(COLUMN()&gt;=11,COLUMN()&lt;=20),(_xlfn.XLOOKUP($A69,#REF!,#REF!))/SUMIF($A$7:$AC$128,$A69,$AB$6:$AB$127)*J$5,0)</f>
        <v>0</v>
      </c>
      <c r="K69" s="26" t="e">
        <f ca="1">IF(AND(COLUMN()&gt;=11,COLUMN()&lt;=20),(_xlfn.XLOOKUP($A69,#REF!,#REF!))/SUMIF($A$7:$AC$128,$A69,$AB$6:$AB$127)*K$5,0)</f>
        <v>#REF!</v>
      </c>
      <c r="L69" s="26" t="e">
        <f ca="1">IF(AND(COLUMN()&gt;=11,COLUMN()&lt;=20),(_xlfn.XLOOKUP($A69,#REF!,#REF!))/SUMIF($A$7:$AC$128,$A69,$AB$6:$AB$127)*L$5,0)</f>
        <v>#REF!</v>
      </c>
      <c r="M69" s="26" t="e">
        <f ca="1">IF(AND(COLUMN()&gt;=11,COLUMN()&lt;=20),(_xlfn.XLOOKUP($A69,#REF!,#REF!))/SUMIF($A$7:$AC$128,$A69,$AB$6:$AB$127)*M$5,0)</f>
        <v>#REF!</v>
      </c>
      <c r="N69" s="26" t="e">
        <f ca="1">IF(AND(COLUMN()&gt;=11,COLUMN()&lt;=20),(_xlfn.XLOOKUP($A69,#REF!,#REF!))/SUMIF($A$7:$AC$128,$A69,$AB$6:$AB$127)*N$5,0)</f>
        <v>#REF!</v>
      </c>
      <c r="O69" s="26" t="e">
        <f ca="1">IF(AND(COLUMN()&gt;=11,COLUMN()&lt;=20),(_xlfn.XLOOKUP($A69,#REF!,#REF!))/SUMIF($A$7:$AC$128,$A69,$AB$6:$AB$127)*O$5,0)</f>
        <v>#REF!</v>
      </c>
      <c r="P69" s="26" t="e">
        <f ca="1">IF(AND(COLUMN()&gt;=11,COLUMN()&lt;=20),(_xlfn.XLOOKUP($A69,#REF!,#REF!))/SUMIF($A$7:$AC$128,$A69,$AB$6:$AB$127)*P$5,0)</f>
        <v>#REF!</v>
      </c>
      <c r="Q69" s="26" t="e">
        <f ca="1">IF(AND(COLUMN()&gt;=11,COLUMN()&lt;=20),(_xlfn.XLOOKUP($A69,#REF!,#REF!))/SUMIF($A$7:$AC$128,$A69,$AB$6:$AB$127)*Q$5,0)</f>
        <v>#REF!</v>
      </c>
      <c r="R69" s="26" t="e">
        <f ca="1">IF(AND(COLUMN()&gt;=11,COLUMN()&lt;=20),(_xlfn.XLOOKUP($A69,#REF!,#REF!))/SUMIF($A$7:$AC$128,$A69,$AB$6:$AB$127)*R$5,0)</f>
        <v>#REF!</v>
      </c>
      <c r="S69" s="26" t="e">
        <f ca="1">IF(AND(COLUMN()&gt;=11,COLUMN()&lt;=20),(_xlfn.XLOOKUP($A69,#REF!,#REF!))/SUMIF($A$7:$AC$128,$A69,$AB$6:$AB$127)*S$5,0)</f>
        <v>#REF!</v>
      </c>
      <c r="T69" s="26" t="e">
        <f ca="1">IF(AND(COLUMN()&gt;=11,COLUMN()&lt;=20),(_xlfn.XLOOKUP($A69,#REF!,#REF!))/SUMIF($A$7:$AC$128,$A69,$AB$6:$AB$127)*T$5,0)</f>
        <v>#REF!</v>
      </c>
      <c r="U69" s="26">
        <f>IF(AND(COLUMN()&gt;=11,COLUMN()&lt;=20),(_xlfn.XLOOKUP($A69,#REF!,#REF!))/SUMIF($A$7:$AC$128,$A69,$AB$6:$AB$127)*U$5,0)</f>
        <v>0</v>
      </c>
      <c r="V69" s="26">
        <f>IF(AND(COLUMN()&gt;=11,COLUMN()&lt;=20),(_xlfn.XLOOKUP($A69,#REF!,#REF!))/SUMIF($A$7:$AC$128,$A69,$AB$6:$AB$127)*V$5,0)</f>
        <v>0</v>
      </c>
      <c r="W69" s="26">
        <f>IF(AND(COLUMN()&gt;=11,COLUMN()&lt;=20),(_xlfn.XLOOKUP($A69,#REF!,#REF!))/SUMIF($A$7:$AC$128,$A69,$AB$6:$AB$127)*W$5,0)</f>
        <v>0</v>
      </c>
      <c r="X69" s="26">
        <f>IF(AND(COLUMN()&gt;=11,COLUMN()&lt;=20),(_xlfn.XLOOKUP($A69,#REF!,#REF!))/SUMIF($A$7:$AC$128,$A69,$AB$6:$AB$127)*X$5,0)</f>
        <v>0</v>
      </c>
      <c r="Y69" s="26">
        <f>IF(AND(COLUMN()&gt;=11,COLUMN()&lt;=20),(_xlfn.XLOOKUP($A69,#REF!,#REF!))/SUMIF($A$7:$AC$128,$A69,$AB$6:$AB$127)*Y$5,0)</f>
        <v>0</v>
      </c>
      <c r="Z69" s="26">
        <f>IF(AND(COLUMN()&gt;=11,COLUMN()&lt;=20),(_xlfn.XLOOKUP($A69,#REF!,#REF!))/SUMIF($A$7:$AC$128,$A69,$AB$6:$AB$127)*Z$5,0)</f>
        <v>0</v>
      </c>
      <c r="AA69" s="26" t="e">
        <f t="shared" ca="1" si="8"/>
        <v>#REF!</v>
      </c>
      <c r="AB69" s="19">
        <f t="shared" si="2"/>
        <v>28</v>
      </c>
      <c r="AC69" s="20" t="e">
        <f t="shared" ca="1" si="3"/>
        <v>#REF!</v>
      </c>
      <c r="AD69" s="30" t="e">
        <f>#REF!/SUMIF(#REF!,'Curva de la oferta Prod 3'!$A69,#REF!)</f>
        <v>#REF!</v>
      </c>
      <c r="AE69" s="28"/>
      <c r="AF69" s="31"/>
      <c r="AG69" s="31"/>
      <c r="AH69" s="31"/>
      <c r="AI69" s="31"/>
      <c r="AJ69" s="31"/>
      <c r="AK69" s="31"/>
    </row>
    <row r="70" spans="1:37" ht="14.5" x14ac:dyDescent="0.35">
      <c r="A70" s="15">
        <f t="shared" si="0"/>
        <v>2031</v>
      </c>
      <c r="B70" s="18">
        <v>47908</v>
      </c>
      <c r="C70" s="26">
        <f>IF(AND(COLUMN()&gt;=11,COLUMN()&lt;=20),(_xlfn.XLOOKUP($A70,#REF!,#REF!))/SUMIF($A$7:$AC$128,$A70,$AB$6:$AB$127)*C$5,0)</f>
        <v>0</v>
      </c>
      <c r="D70" s="26">
        <f>IF(AND(COLUMN()&gt;=11,COLUMN()&lt;=20),(_xlfn.XLOOKUP($A70,#REF!,#REF!))/SUMIF($A$7:$AC$128,$A70,$AB$6:$AB$127)*D$5,0)</f>
        <v>0</v>
      </c>
      <c r="E70" s="26">
        <f>IF(AND(COLUMN()&gt;=11,COLUMN()&lt;=20),(_xlfn.XLOOKUP($A70,#REF!,#REF!))/SUMIF($A$7:$AC$128,$A70,$AB$6:$AB$127)*E$5,0)</f>
        <v>0</v>
      </c>
      <c r="F70" s="26">
        <f>IF(AND(COLUMN()&gt;=11,COLUMN()&lt;=20),(_xlfn.XLOOKUP($A70,#REF!,#REF!))/SUMIF($A$7:$AC$128,$A70,$AB$6:$AB$127)*F$5,0)</f>
        <v>0</v>
      </c>
      <c r="G70" s="26">
        <f>IF(AND(COLUMN()&gt;=11,COLUMN()&lt;=20),(_xlfn.XLOOKUP($A70,#REF!,#REF!))/SUMIF($A$7:$AC$128,$A70,$AB$6:$AB$127)*G$5,0)</f>
        <v>0</v>
      </c>
      <c r="H70" s="26">
        <f>IF(AND(COLUMN()&gt;=11,COLUMN()&lt;=20),(_xlfn.XLOOKUP($A70,#REF!,#REF!))/SUMIF($A$7:$AC$128,$A70,$AB$6:$AB$127)*H$5,0)</f>
        <v>0</v>
      </c>
      <c r="I70" s="26">
        <f>IF(AND(COLUMN()&gt;=11,COLUMN()&lt;=20),(_xlfn.XLOOKUP($A70,#REF!,#REF!))/SUMIF($A$7:$AC$128,$A70,$AB$6:$AB$127)*I$5,0)</f>
        <v>0</v>
      </c>
      <c r="J70" s="26">
        <f>IF(AND(COLUMN()&gt;=11,COLUMN()&lt;=20),(_xlfn.XLOOKUP($A70,#REF!,#REF!))/SUMIF($A$7:$AC$128,$A70,$AB$6:$AB$127)*J$5,0)</f>
        <v>0</v>
      </c>
      <c r="K70" s="26" t="e">
        <f ca="1">IF(AND(COLUMN()&gt;=11,COLUMN()&lt;=20),(_xlfn.XLOOKUP($A70,#REF!,#REF!))/SUMIF($A$7:$AC$128,$A70,$AB$6:$AB$127)*K$5,0)</f>
        <v>#REF!</v>
      </c>
      <c r="L70" s="26" t="e">
        <f ca="1">IF(AND(COLUMN()&gt;=11,COLUMN()&lt;=20),(_xlfn.XLOOKUP($A70,#REF!,#REF!))/SUMIF($A$7:$AC$128,$A70,$AB$6:$AB$127)*L$5,0)</f>
        <v>#REF!</v>
      </c>
      <c r="M70" s="26" t="e">
        <f ca="1">IF(AND(COLUMN()&gt;=11,COLUMN()&lt;=20),(_xlfn.XLOOKUP($A70,#REF!,#REF!))/SUMIF($A$7:$AC$128,$A70,$AB$6:$AB$127)*M$5,0)</f>
        <v>#REF!</v>
      </c>
      <c r="N70" s="26" t="e">
        <f ca="1">IF(AND(COLUMN()&gt;=11,COLUMN()&lt;=20),(_xlfn.XLOOKUP($A70,#REF!,#REF!))/SUMIF($A$7:$AC$128,$A70,$AB$6:$AB$127)*N$5,0)</f>
        <v>#REF!</v>
      </c>
      <c r="O70" s="26" t="e">
        <f ca="1">IF(AND(COLUMN()&gt;=11,COLUMN()&lt;=20),(_xlfn.XLOOKUP($A70,#REF!,#REF!))/SUMIF($A$7:$AC$128,$A70,$AB$6:$AB$127)*O$5,0)</f>
        <v>#REF!</v>
      </c>
      <c r="P70" s="26" t="e">
        <f ca="1">IF(AND(COLUMN()&gt;=11,COLUMN()&lt;=20),(_xlfn.XLOOKUP($A70,#REF!,#REF!))/SUMIF($A$7:$AC$128,$A70,$AB$6:$AB$127)*P$5,0)</f>
        <v>#REF!</v>
      </c>
      <c r="Q70" s="26" t="e">
        <f ca="1">IF(AND(COLUMN()&gt;=11,COLUMN()&lt;=20),(_xlfn.XLOOKUP($A70,#REF!,#REF!))/SUMIF($A$7:$AC$128,$A70,$AB$6:$AB$127)*Q$5,0)</f>
        <v>#REF!</v>
      </c>
      <c r="R70" s="26" t="e">
        <f ca="1">IF(AND(COLUMN()&gt;=11,COLUMN()&lt;=20),(_xlfn.XLOOKUP($A70,#REF!,#REF!))/SUMIF($A$7:$AC$128,$A70,$AB$6:$AB$127)*R$5,0)</f>
        <v>#REF!</v>
      </c>
      <c r="S70" s="26" t="e">
        <f ca="1">IF(AND(COLUMN()&gt;=11,COLUMN()&lt;=20),(_xlfn.XLOOKUP($A70,#REF!,#REF!))/SUMIF($A$7:$AC$128,$A70,$AB$6:$AB$127)*S$5,0)</f>
        <v>#REF!</v>
      </c>
      <c r="T70" s="26" t="e">
        <f ca="1">IF(AND(COLUMN()&gt;=11,COLUMN()&lt;=20),(_xlfn.XLOOKUP($A70,#REF!,#REF!))/SUMIF($A$7:$AC$128,$A70,$AB$6:$AB$127)*T$5,0)</f>
        <v>#REF!</v>
      </c>
      <c r="U70" s="26">
        <f>IF(AND(COLUMN()&gt;=11,COLUMN()&lt;=20),(_xlfn.XLOOKUP($A70,#REF!,#REF!))/SUMIF($A$7:$AC$128,$A70,$AB$6:$AB$127)*U$5,0)</f>
        <v>0</v>
      </c>
      <c r="V70" s="26">
        <f>IF(AND(COLUMN()&gt;=11,COLUMN()&lt;=20),(_xlfn.XLOOKUP($A70,#REF!,#REF!))/SUMIF($A$7:$AC$128,$A70,$AB$6:$AB$127)*V$5,0)</f>
        <v>0</v>
      </c>
      <c r="W70" s="26">
        <f>IF(AND(COLUMN()&gt;=11,COLUMN()&lt;=20),(_xlfn.XLOOKUP($A70,#REF!,#REF!))/SUMIF($A$7:$AC$128,$A70,$AB$6:$AB$127)*W$5,0)</f>
        <v>0</v>
      </c>
      <c r="X70" s="26">
        <f>IF(AND(COLUMN()&gt;=11,COLUMN()&lt;=20),(_xlfn.XLOOKUP($A70,#REF!,#REF!))/SUMIF($A$7:$AC$128,$A70,$AB$6:$AB$127)*X$5,0)</f>
        <v>0</v>
      </c>
      <c r="Y70" s="26">
        <f>IF(AND(COLUMN()&gt;=11,COLUMN()&lt;=20),(_xlfn.XLOOKUP($A70,#REF!,#REF!))/SUMIF($A$7:$AC$128,$A70,$AB$6:$AB$127)*Y$5,0)</f>
        <v>0</v>
      </c>
      <c r="Z70" s="26">
        <f>IF(AND(COLUMN()&gt;=11,COLUMN()&lt;=20),(_xlfn.XLOOKUP($A70,#REF!,#REF!))/SUMIF($A$7:$AC$128,$A70,$AB$6:$AB$127)*Z$5,0)</f>
        <v>0</v>
      </c>
      <c r="AA70" s="26" t="e">
        <f t="shared" ca="1" si="8"/>
        <v>#REF!</v>
      </c>
      <c r="AB70" s="19">
        <f t="shared" si="2"/>
        <v>31</v>
      </c>
      <c r="AC70" s="20" t="e">
        <f t="shared" ca="1" si="3"/>
        <v>#REF!</v>
      </c>
      <c r="AD70" s="30" t="e">
        <f>#REF!/SUMIF(#REF!,'Curva de la oferta Prod 3'!$A70,#REF!)</f>
        <v>#REF!</v>
      </c>
      <c r="AE70" s="28"/>
      <c r="AF70" s="31"/>
      <c r="AG70" s="31"/>
      <c r="AH70" s="31"/>
      <c r="AI70" s="31"/>
      <c r="AJ70" s="31"/>
      <c r="AK70" s="31"/>
    </row>
    <row r="71" spans="1:37" ht="14.5" x14ac:dyDescent="0.35">
      <c r="A71" s="15">
        <f t="shared" si="0"/>
        <v>2031</v>
      </c>
      <c r="B71" s="18">
        <v>47939</v>
      </c>
      <c r="C71" s="26">
        <f>IF(AND(COLUMN()&gt;=11,COLUMN()&lt;=20),(_xlfn.XLOOKUP($A71,#REF!,#REF!))/SUMIF($A$7:$AC$128,$A71,$AB$6:$AB$127)*C$5,0)</f>
        <v>0</v>
      </c>
      <c r="D71" s="26">
        <f>IF(AND(COLUMN()&gt;=11,COLUMN()&lt;=20),(_xlfn.XLOOKUP($A71,#REF!,#REF!))/SUMIF($A$7:$AC$128,$A71,$AB$6:$AB$127)*D$5,0)</f>
        <v>0</v>
      </c>
      <c r="E71" s="26">
        <f>IF(AND(COLUMN()&gt;=11,COLUMN()&lt;=20),(_xlfn.XLOOKUP($A71,#REF!,#REF!))/SUMIF($A$7:$AC$128,$A71,$AB$6:$AB$127)*E$5,0)</f>
        <v>0</v>
      </c>
      <c r="F71" s="26">
        <f>IF(AND(COLUMN()&gt;=11,COLUMN()&lt;=20),(_xlfn.XLOOKUP($A71,#REF!,#REF!))/SUMIF($A$7:$AC$128,$A71,$AB$6:$AB$127)*F$5,0)</f>
        <v>0</v>
      </c>
      <c r="G71" s="26">
        <f>IF(AND(COLUMN()&gt;=11,COLUMN()&lt;=20),(_xlfn.XLOOKUP($A71,#REF!,#REF!))/SUMIF($A$7:$AC$128,$A71,$AB$6:$AB$127)*G$5,0)</f>
        <v>0</v>
      </c>
      <c r="H71" s="26">
        <f>IF(AND(COLUMN()&gt;=11,COLUMN()&lt;=20),(_xlfn.XLOOKUP($A71,#REF!,#REF!))/SUMIF($A$7:$AC$128,$A71,$AB$6:$AB$127)*H$5,0)</f>
        <v>0</v>
      </c>
      <c r="I71" s="26">
        <f>IF(AND(COLUMN()&gt;=11,COLUMN()&lt;=20),(_xlfn.XLOOKUP($A71,#REF!,#REF!))/SUMIF($A$7:$AC$128,$A71,$AB$6:$AB$127)*I$5,0)</f>
        <v>0</v>
      </c>
      <c r="J71" s="26">
        <f>IF(AND(COLUMN()&gt;=11,COLUMN()&lt;=20),(_xlfn.XLOOKUP($A71,#REF!,#REF!))/SUMIF($A$7:$AC$128,$A71,$AB$6:$AB$127)*J$5,0)</f>
        <v>0</v>
      </c>
      <c r="K71" s="26" t="e">
        <f ca="1">IF(AND(COLUMN()&gt;=11,COLUMN()&lt;=20),(_xlfn.XLOOKUP($A71,#REF!,#REF!))/SUMIF($A$7:$AC$128,$A71,$AB$6:$AB$127)*K$5,0)</f>
        <v>#REF!</v>
      </c>
      <c r="L71" s="26" t="e">
        <f ca="1">IF(AND(COLUMN()&gt;=11,COLUMN()&lt;=20),(_xlfn.XLOOKUP($A71,#REF!,#REF!))/SUMIF($A$7:$AC$128,$A71,$AB$6:$AB$127)*L$5,0)</f>
        <v>#REF!</v>
      </c>
      <c r="M71" s="26" t="e">
        <f ca="1">IF(AND(COLUMN()&gt;=11,COLUMN()&lt;=20),(_xlfn.XLOOKUP($A71,#REF!,#REF!))/SUMIF($A$7:$AC$128,$A71,$AB$6:$AB$127)*M$5,0)</f>
        <v>#REF!</v>
      </c>
      <c r="N71" s="26" t="e">
        <f ca="1">IF(AND(COLUMN()&gt;=11,COLUMN()&lt;=20),(_xlfn.XLOOKUP($A71,#REF!,#REF!))/SUMIF($A$7:$AC$128,$A71,$AB$6:$AB$127)*N$5,0)</f>
        <v>#REF!</v>
      </c>
      <c r="O71" s="26" t="e">
        <f ca="1">IF(AND(COLUMN()&gt;=11,COLUMN()&lt;=20),(_xlfn.XLOOKUP($A71,#REF!,#REF!))/SUMIF($A$7:$AC$128,$A71,$AB$6:$AB$127)*O$5,0)</f>
        <v>#REF!</v>
      </c>
      <c r="P71" s="26" t="e">
        <f ca="1">IF(AND(COLUMN()&gt;=11,COLUMN()&lt;=20),(_xlfn.XLOOKUP($A71,#REF!,#REF!))/SUMIF($A$7:$AC$128,$A71,$AB$6:$AB$127)*P$5,0)</f>
        <v>#REF!</v>
      </c>
      <c r="Q71" s="26" t="e">
        <f ca="1">IF(AND(COLUMN()&gt;=11,COLUMN()&lt;=20),(_xlfn.XLOOKUP($A71,#REF!,#REF!))/SUMIF($A$7:$AC$128,$A71,$AB$6:$AB$127)*Q$5,0)</f>
        <v>#REF!</v>
      </c>
      <c r="R71" s="26" t="e">
        <f ca="1">IF(AND(COLUMN()&gt;=11,COLUMN()&lt;=20),(_xlfn.XLOOKUP($A71,#REF!,#REF!))/SUMIF($A$7:$AC$128,$A71,$AB$6:$AB$127)*R$5,0)</f>
        <v>#REF!</v>
      </c>
      <c r="S71" s="26" t="e">
        <f ca="1">IF(AND(COLUMN()&gt;=11,COLUMN()&lt;=20),(_xlfn.XLOOKUP($A71,#REF!,#REF!))/SUMIF($A$7:$AC$128,$A71,$AB$6:$AB$127)*S$5,0)</f>
        <v>#REF!</v>
      </c>
      <c r="T71" s="26" t="e">
        <f ca="1">IF(AND(COLUMN()&gt;=11,COLUMN()&lt;=20),(_xlfn.XLOOKUP($A71,#REF!,#REF!))/SUMIF($A$7:$AC$128,$A71,$AB$6:$AB$127)*T$5,0)</f>
        <v>#REF!</v>
      </c>
      <c r="U71" s="26">
        <f>IF(AND(COLUMN()&gt;=11,COLUMN()&lt;=20),(_xlfn.XLOOKUP($A71,#REF!,#REF!))/SUMIF($A$7:$AC$128,$A71,$AB$6:$AB$127)*U$5,0)</f>
        <v>0</v>
      </c>
      <c r="V71" s="26">
        <f>IF(AND(COLUMN()&gt;=11,COLUMN()&lt;=20),(_xlfn.XLOOKUP($A71,#REF!,#REF!))/SUMIF($A$7:$AC$128,$A71,$AB$6:$AB$127)*V$5,0)</f>
        <v>0</v>
      </c>
      <c r="W71" s="26">
        <f>IF(AND(COLUMN()&gt;=11,COLUMN()&lt;=20),(_xlfn.XLOOKUP($A71,#REF!,#REF!))/SUMIF($A$7:$AC$128,$A71,$AB$6:$AB$127)*W$5,0)</f>
        <v>0</v>
      </c>
      <c r="X71" s="26">
        <f>IF(AND(COLUMN()&gt;=11,COLUMN()&lt;=20),(_xlfn.XLOOKUP($A71,#REF!,#REF!))/SUMIF($A$7:$AC$128,$A71,$AB$6:$AB$127)*X$5,0)</f>
        <v>0</v>
      </c>
      <c r="Y71" s="26">
        <f>IF(AND(COLUMN()&gt;=11,COLUMN()&lt;=20),(_xlfn.XLOOKUP($A71,#REF!,#REF!))/SUMIF($A$7:$AC$128,$A71,$AB$6:$AB$127)*Y$5,0)</f>
        <v>0</v>
      </c>
      <c r="Z71" s="26">
        <f>IF(AND(COLUMN()&gt;=11,COLUMN()&lt;=20),(_xlfn.XLOOKUP($A71,#REF!,#REF!))/SUMIF($A$7:$AC$128,$A71,$AB$6:$AB$127)*Z$5,0)</f>
        <v>0</v>
      </c>
      <c r="AA71" s="26" t="e">
        <f t="shared" ca="1" si="8"/>
        <v>#REF!</v>
      </c>
      <c r="AB71" s="19">
        <f t="shared" si="2"/>
        <v>30</v>
      </c>
      <c r="AC71" s="20" t="e">
        <f t="shared" ca="1" si="3"/>
        <v>#REF!</v>
      </c>
      <c r="AD71" s="30" t="e">
        <f>#REF!/SUMIF(#REF!,'Curva de la oferta Prod 3'!$A71,#REF!)</f>
        <v>#REF!</v>
      </c>
      <c r="AE71" s="28"/>
      <c r="AF71" s="31"/>
      <c r="AG71" s="31"/>
      <c r="AH71" s="31"/>
      <c r="AI71" s="31"/>
      <c r="AJ71" s="31"/>
      <c r="AK71" s="31"/>
    </row>
    <row r="72" spans="1:37" ht="14.5" x14ac:dyDescent="0.35">
      <c r="A72" s="15">
        <f t="shared" si="0"/>
        <v>2031</v>
      </c>
      <c r="B72" s="18">
        <v>47969</v>
      </c>
      <c r="C72" s="26">
        <f>IF(AND(COLUMN()&gt;=11,COLUMN()&lt;=20),(_xlfn.XLOOKUP($A72,#REF!,#REF!))/SUMIF($A$7:$AC$128,$A72,$AB$6:$AB$127)*C$5,0)</f>
        <v>0</v>
      </c>
      <c r="D72" s="26">
        <f>IF(AND(COLUMN()&gt;=11,COLUMN()&lt;=20),(_xlfn.XLOOKUP($A72,#REF!,#REF!))/SUMIF($A$7:$AC$128,$A72,$AB$6:$AB$127)*D$5,0)</f>
        <v>0</v>
      </c>
      <c r="E72" s="26">
        <f>IF(AND(COLUMN()&gt;=11,COLUMN()&lt;=20),(_xlfn.XLOOKUP($A72,#REF!,#REF!))/SUMIF($A$7:$AC$128,$A72,$AB$6:$AB$127)*E$5,0)</f>
        <v>0</v>
      </c>
      <c r="F72" s="26">
        <f>IF(AND(COLUMN()&gt;=11,COLUMN()&lt;=20),(_xlfn.XLOOKUP($A72,#REF!,#REF!))/SUMIF($A$7:$AC$128,$A72,$AB$6:$AB$127)*F$5,0)</f>
        <v>0</v>
      </c>
      <c r="G72" s="26">
        <f>IF(AND(COLUMN()&gt;=11,COLUMN()&lt;=20),(_xlfn.XLOOKUP($A72,#REF!,#REF!))/SUMIF($A$7:$AC$128,$A72,$AB$6:$AB$127)*G$5,0)</f>
        <v>0</v>
      </c>
      <c r="H72" s="26">
        <f>IF(AND(COLUMN()&gt;=11,COLUMN()&lt;=20),(_xlfn.XLOOKUP($A72,#REF!,#REF!))/SUMIF($A$7:$AC$128,$A72,$AB$6:$AB$127)*H$5,0)</f>
        <v>0</v>
      </c>
      <c r="I72" s="26">
        <f>IF(AND(COLUMN()&gt;=11,COLUMN()&lt;=20),(_xlfn.XLOOKUP($A72,#REF!,#REF!))/SUMIF($A$7:$AC$128,$A72,$AB$6:$AB$127)*I$5,0)</f>
        <v>0</v>
      </c>
      <c r="J72" s="26">
        <f>IF(AND(COLUMN()&gt;=11,COLUMN()&lt;=20),(_xlfn.XLOOKUP($A72,#REF!,#REF!))/SUMIF($A$7:$AC$128,$A72,$AB$6:$AB$127)*J$5,0)</f>
        <v>0</v>
      </c>
      <c r="K72" s="26" t="e">
        <f ca="1">IF(AND(COLUMN()&gt;=11,COLUMN()&lt;=20),(_xlfn.XLOOKUP($A72,#REF!,#REF!))/SUMIF($A$7:$AC$128,$A72,$AB$6:$AB$127)*K$5,0)</f>
        <v>#REF!</v>
      </c>
      <c r="L72" s="26" t="e">
        <f ca="1">IF(AND(COLUMN()&gt;=11,COLUMN()&lt;=20),(_xlfn.XLOOKUP($A72,#REF!,#REF!))/SUMIF($A$7:$AC$128,$A72,$AB$6:$AB$127)*L$5,0)</f>
        <v>#REF!</v>
      </c>
      <c r="M72" s="26" t="e">
        <f ca="1">IF(AND(COLUMN()&gt;=11,COLUMN()&lt;=20),(_xlfn.XLOOKUP($A72,#REF!,#REF!))/SUMIF($A$7:$AC$128,$A72,$AB$6:$AB$127)*M$5,0)</f>
        <v>#REF!</v>
      </c>
      <c r="N72" s="26" t="e">
        <f ca="1">IF(AND(COLUMN()&gt;=11,COLUMN()&lt;=20),(_xlfn.XLOOKUP($A72,#REF!,#REF!))/SUMIF($A$7:$AC$128,$A72,$AB$6:$AB$127)*N$5,0)</f>
        <v>#REF!</v>
      </c>
      <c r="O72" s="26" t="e">
        <f ca="1">IF(AND(COLUMN()&gt;=11,COLUMN()&lt;=20),(_xlfn.XLOOKUP($A72,#REF!,#REF!))/SUMIF($A$7:$AC$128,$A72,$AB$6:$AB$127)*O$5,0)</f>
        <v>#REF!</v>
      </c>
      <c r="P72" s="26" t="e">
        <f ca="1">IF(AND(COLUMN()&gt;=11,COLUMN()&lt;=20),(_xlfn.XLOOKUP($A72,#REF!,#REF!))/SUMIF($A$7:$AC$128,$A72,$AB$6:$AB$127)*P$5,0)</f>
        <v>#REF!</v>
      </c>
      <c r="Q72" s="26" t="e">
        <f ca="1">IF(AND(COLUMN()&gt;=11,COLUMN()&lt;=20),(_xlfn.XLOOKUP($A72,#REF!,#REF!))/SUMIF($A$7:$AC$128,$A72,$AB$6:$AB$127)*Q$5,0)</f>
        <v>#REF!</v>
      </c>
      <c r="R72" s="26" t="e">
        <f ca="1">IF(AND(COLUMN()&gt;=11,COLUMN()&lt;=20),(_xlfn.XLOOKUP($A72,#REF!,#REF!))/SUMIF($A$7:$AC$128,$A72,$AB$6:$AB$127)*R$5,0)</f>
        <v>#REF!</v>
      </c>
      <c r="S72" s="26" t="e">
        <f ca="1">IF(AND(COLUMN()&gt;=11,COLUMN()&lt;=20),(_xlfn.XLOOKUP($A72,#REF!,#REF!))/SUMIF($A$7:$AC$128,$A72,$AB$6:$AB$127)*S$5,0)</f>
        <v>#REF!</v>
      </c>
      <c r="T72" s="26" t="e">
        <f ca="1">IF(AND(COLUMN()&gt;=11,COLUMN()&lt;=20),(_xlfn.XLOOKUP($A72,#REF!,#REF!))/SUMIF($A$7:$AC$128,$A72,$AB$6:$AB$127)*T$5,0)</f>
        <v>#REF!</v>
      </c>
      <c r="U72" s="26">
        <f>IF(AND(COLUMN()&gt;=11,COLUMN()&lt;=20),(_xlfn.XLOOKUP($A72,#REF!,#REF!))/SUMIF($A$7:$AC$128,$A72,$AB$6:$AB$127)*U$5,0)</f>
        <v>0</v>
      </c>
      <c r="V72" s="26">
        <f>IF(AND(COLUMN()&gt;=11,COLUMN()&lt;=20),(_xlfn.XLOOKUP($A72,#REF!,#REF!))/SUMIF($A$7:$AC$128,$A72,$AB$6:$AB$127)*V$5,0)</f>
        <v>0</v>
      </c>
      <c r="W72" s="26">
        <f>IF(AND(COLUMN()&gt;=11,COLUMN()&lt;=20),(_xlfn.XLOOKUP($A72,#REF!,#REF!))/SUMIF($A$7:$AC$128,$A72,$AB$6:$AB$127)*W$5,0)</f>
        <v>0</v>
      </c>
      <c r="X72" s="26">
        <f>IF(AND(COLUMN()&gt;=11,COLUMN()&lt;=20),(_xlfn.XLOOKUP($A72,#REF!,#REF!))/SUMIF($A$7:$AC$128,$A72,$AB$6:$AB$127)*X$5,0)</f>
        <v>0</v>
      </c>
      <c r="Y72" s="26">
        <f>IF(AND(COLUMN()&gt;=11,COLUMN()&lt;=20),(_xlfn.XLOOKUP($A72,#REF!,#REF!))/SUMIF($A$7:$AC$128,$A72,$AB$6:$AB$127)*Y$5,0)</f>
        <v>0</v>
      </c>
      <c r="Z72" s="26">
        <f>IF(AND(COLUMN()&gt;=11,COLUMN()&lt;=20),(_xlfn.XLOOKUP($A72,#REF!,#REF!))/SUMIF($A$7:$AC$128,$A72,$AB$6:$AB$127)*Z$5,0)</f>
        <v>0</v>
      </c>
      <c r="AA72" s="26" t="e">
        <f t="shared" ca="1" si="8"/>
        <v>#REF!</v>
      </c>
      <c r="AB72" s="19">
        <f t="shared" si="2"/>
        <v>31</v>
      </c>
      <c r="AC72" s="20" t="e">
        <f t="shared" ca="1" si="3"/>
        <v>#REF!</v>
      </c>
      <c r="AD72" s="30" t="e">
        <f>#REF!/SUMIF(#REF!,'Curva de la oferta Prod 3'!$A72,#REF!)</f>
        <v>#REF!</v>
      </c>
      <c r="AE72" s="28"/>
      <c r="AF72" s="31"/>
      <c r="AG72" s="31"/>
      <c r="AH72" s="31"/>
      <c r="AI72" s="31"/>
      <c r="AJ72" s="31"/>
      <c r="AK72" s="31"/>
    </row>
    <row r="73" spans="1:37" ht="14.5" x14ac:dyDescent="0.35">
      <c r="A73" s="15">
        <f t="shared" ref="A73:A127" si="9">YEAR(B73)</f>
        <v>2031</v>
      </c>
      <c r="B73" s="18">
        <v>48000</v>
      </c>
      <c r="C73" s="26">
        <f>IF(AND(COLUMN()&gt;=11,COLUMN()&lt;=20),(_xlfn.XLOOKUP($A73,#REF!,#REF!))/SUMIF($A$7:$AC$128,$A73,$AB$6:$AB$127)*C$5,0)</f>
        <v>0</v>
      </c>
      <c r="D73" s="26">
        <f>IF(AND(COLUMN()&gt;=11,COLUMN()&lt;=20),(_xlfn.XLOOKUP($A73,#REF!,#REF!))/SUMIF($A$7:$AC$128,$A73,$AB$6:$AB$127)*D$5,0)</f>
        <v>0</v>
      </c>
      <c r="E73" s="26">
        <f>IF(AND(COLUMN()&gt;=11,COLUMN()&lt;=20),(_xlfn.XLOOKUP($A73,#REF!,#REF!))/SUMIF($A$7:$AC$128,$A73,$AB$6:$AB$127)*E$5,0)</f>
        <v>0</v>
      </c>
      <c r="F73" s="26">
        <f>IF(AND(COLUMN()&gt;=11,COLUMN()&lt;=20),(_xlfn.XLOOKUP($A73,#REF!,#REF!))/SUMIF($A$7:$AC$128,$A73,$AB$6:$AB$127)*F$5,0)</f>
        <v>0</v>
      </c>
      <c r="G73" s="26">
        <f>IF(AND(COLUMN()&gt;=11,COLUMN()&lt;=20),(_xlfn.XLOOKUP($A73,#REF!,#REF!))/SUMIF($A$7:$AC$128,$A73,$AB$6:$AB$127)*G$5,0)</f>
        <v>0</v>
      </c>
      <c r="H73" s="26">
        <f>IF(AND(COLUMN()&gt;=11,COLUMN()&lt;=20),(_xlfn.XLOOKUP($A73,#REF!,#REF!))/SUMIF($A$7:$AC$128,$A73,$AB$6:$AB$127)*H$5,0)</f>
        <v>0</v>
      </c>
      <c r="I73" s="26">
        <f>IF(AND(COLUMN()&gt;=11,COLUMN()&lt;=20),(_xlfn.XLOOKUP($A73,#REF!,#REF!))/SUMIF($A$7:$AC$128,$A73,$AB$6:$AB$127)*I$5,0)</f>
        <v>0</v>
      </c>
      <c r="J73" s="26">
        <f>IF(AND(COLUMN()&gt;=11,COLUMN()&lt;=20),(_xlfn.XLOOKUP($A73,#REF!,#REF!))/SUMIF($A$7:$AC$128,$A73,$AB$6:$AB$127)*J$5,0)</f>
        <v>0</v>
      </c>
      <c r="K73" s="26" t="e">
        <f ca="1">IF(AND(COLUMN()&gt;=11,COLUMN()&lt;=20),(_xlfn.XLOOKUP($A73,#REF!,#REF!))/SUMIF($A$7:$AC$128,$A73,$AB$6:$AB$127)*K$5,0)</f>
        <v>#REF!</v>
      </c>
      <c r="L73" s="26" t="e">
        <f ca="1">IF(AND(COLUMN()&gt;=11,COLUMN()&lt;=20),(_xlfn.XLOOKUP($A73,#REF!,#REF!))/SUMIF($A$7:$AC$128,$A73,$AB$6:$AB$127)*L$5,0)</f>
        <v>#REF!</v>
      </c>
      <c r="M73" s="26" t="e">
        <f ca="1">IF(AND(COLUMN()&gt;=11,COLUMN()&lt;=20),(_xlfn.XLOOKUP($A73,#REF!,#REF!))/SUMIF($A$7:$AC$128,$A73,$AB$6:$AB$127)*M$5,0)</f>
        <v>#REF!</v>
      </c>
      <c r="N73" s="26" t="e">
        <f ca="1">IF(AND(COLUMN()&gt;=11,COLUMN()&lt;=20),(_xlfn.XLOOKUP($A73,#REF!,#REF!))/SUMIF($A$7:$AC$128,$A73,$AB$6:$AB$127)*N$5,0)</f>
        <v>#REF!</v>
      </c>
      <c r="O73" s="26" t="e">
        <f ca="1">IF(AND(COLUMN()&gt;=11,COLUMN()&lt;=20),(_xlfn.XLOOKUP($A73,#REF!,#REF!))/SUMIF($A$7:$AC$128,$A73,$AB$6:$AB$127)*O$5,0)</f>
        <v>#REF!</v>
      </c>
      <c r="P73" s="26" t="e">
        <f ca="1">IF(AND(COLUMN()&gt;=11,COLUMN()&lt;=20),(_xlfn.XLOOKUP($A73,#REF!,#REF!))/SUMIF($A$7:$AC$128,$A73,$AB$6:$AB$127)*P$5,0)</f>
        <v>#REF!</v>
      </c>
      <c r="Q73" s="26" t="e">
        <f ca="1">IF(AND(COLUMN()&gt;=11,COLUMN()&lt;=20),(_xlfn.XLOOKUP($A73,#REF!,#REF!))/SUMIF($A$7:$AC$128,$A73,$AB$6:$AB$127)*Q$5,0)</f>
        <v>#REF!</v>
      </c>
      <c r="R73" s="26" t="e">
        <f ca="1">IF(AND(COLUMN()&gt;=11,COLUMN()&lt;=20),(_xlfn.XLOOKUP($A73,#REF!,#REF!))/SUMIF($A$7:$AC$128,$A73,$AB$6:$AB$127)*R$5,0)</f>
        <v>#REF!</v>
      </c>
      <c r="S73" s="26" t="e">
        <f ca="1">IF(AND(COLUMN()&gt;=11,COLUMN()&lt;=20),(_xlfn.XLOOKUP($A73,#REF!,#REF!))/SUMIF($A$7:$AC$128,$A73,$AB$6:$AB$127)*S$5,0)</f>
        <v>#REF!</v>
      </c>
      <c r="T73" s="26" t="e">
        <f ca="1">IF(AND(COLUMN()&gt;=11,COLUMN()&lt;=20),(_xlfn.XLOOKUP($A73,#REF!,#REF!))/SUMIF($A$7:$AC$128,$A73,$AB$6:$AB$127)*T$5,0)</f>
        <v>#REF!</v>
      </c>
      <c r="U73" s="26">
        <f>IF(AND(COLUMN()&gt;=11,COLUMN()&lt;=20),(_xlfn.XLOOKUP($A73,#REF!,#REF!))/SUMIF($A$7:$AC$128,$A73,$AB$6:$AB$127)*U$5,0)</f>
        <v>0</v>
      </c>
      <c r="V73" s="26">
        <f>IF(AND(COLUMN()&gt;=11,COLUMN()&lt;=20),(_xlfn.XLOOKUP($A73,#REF!,#REF!))/SUMIF($A$7:$AC$128,$A73,$AB$6:$AB$127)*V$5,0)</f>
        <v>0</v>
      </c>
      <c r="W73" s="26">
        <f>IF(AND(COLUMN()&gt;=11,COLUMN()&lt;=20),(_xlfn.XLOOKUP($A73,#REF!,#REF!))/SUMIF($A$7:$AC$128,$A73,$AB$6:$AB$127)*W$5,0)</f>
        <v>0</v>
      </c>
      <c r="X73" s="26">
        <f>IF(AND(COLUMN()&gt;=11,COLUMN()&lt;=20),(_xlfn.XLOOKUP($A73,#REF!,#REF!))/SUMIF($A$7:$AC$128,$A73,$AB$6:$AB$127)*X$5,0)</f>
        <v>0</v>
      </c>
      <c r="Y73" s="26">
        <f>IF(AND(COLUMN()&gt;=11,COLUMN()&lt;=20),(_xlfn.XLOOKUP($A73,#REF!,#REF!))/SUMIF($A$7:$AC$128,$A73,$AB$6:$AB$127)*Y$5,0)</f>
        <v>0</v>
      </c>
      <c r="Z73" s="26">
        <f>IF(AND(COLUMN()&gt;=11,COLUMN()&lt;=20),(_xlfn.XLOOKUP($A73,#REF!,#REF!))/SUMIF($A$7:$AC$128,$A73,$AB$6:$AB$127)*Z$5,0)</f>
        <v>0</v>
      </c>
      <c r="AA73" s="26" t="e">
        <f t="shared" ca="1" si="8"/>
        <v>#REF!</v>
      </c>
      <c r="AB73" s="19">
        <f t="shared" ref="AB73:AB127" si="10">DAY(EOMONTH(B73,0))</f>
        <v>30</v>
      </c>
      <c r="AC73" s="20" t="e">
        <f t="shared" ref="AC73:AC127" ca="1" si="11">AA73*AB73</f>
        <v>#REF!</v>
      </c>
      <c r="AD73" s="30" t="e">
        <f>#REF!/SUMIF(#REF!,'Curva de la oferta Prod 3'!$A73,#REF!)</f>
        <v>#REF!</v>
      </c>
      <c r="AE73" s="28"/>
      <c r="AF73" s="31"/>
      <c r="AG73" s="31"/>
      <c r="AH73" s="31"/>
      <c r="AI73" s="31"/>
      <c r="AJ73" s="31"/>
      <c r="AK73" s="31"/>
    </row>
    <row r="74" spans="1:37" ht="14.5" x14ac:dyDescent="0.35">
      <c r="A74" s="15">
        <f t="shared" si="9"/>
        <v>2031</v>
      </c>
      <c r="B74" s="18">
        <v>48030</v>
      </c>
      <c r="C74" s="26">
        <f>IF(AND(COLUMN()&gt;=11,COLUMN()&lt;=20),(_xlfn.XLOOKUP($A74,#REF!,#REF!))/SUMIF($A$7:$AC$128,$A74,$AB$6:$AB$127)*C$5,0)</f>
        <v>0</v>
      </c>
      <c r="D74" s="26">
        <f>IF(AND(COLUMN()&gt;=11,COLUMN()&lt;=20),(_xlfn.XLOOKUP($A74,#REF!,#REF!))/SUMIF($A$7:$AC$128,$A74,$AB$6:$AB$127)*D$5,0)</f>
        <v>0</v>
      </c>
      <c r="E74" s="26">
        <f>IF(AND(COLUMN()&gt;=11,COLUMN()&lt;=20),(_xlfn.XLOOKUP($A74,#REF!,#REF!))/SUMIF($A$7:$AC$128,$A74,$AB$6:$AB$127)*E$5,0)</f>
        <v>0</v>
      </c>
      <c r="F74" s="26">
        <f>IF(AND(COLUMN()&gt;=11,COLUMN()&lt;=20),(_xlfn.XLOOKUP($A74,#REF!,#REF!))/SUMIF($A$7:$AC$128,$A74,$AB$6:$AB$127)*F$5,0)</f>
        <v>0</v>
      </c>
      <c r="G74" s="26">
        <f>IF(AND(COLUMN()&gt;=11,COLUMN()&lt;=20),(_xlfn.XLOOKUP($A74,#REF!,#REF!))/SUMIF($A$7:$AC$128,$A74,$AB$6:$AB$127)*G$5,0)</f>
        <v>0</v>
      </c>
      <c r="H74" s="26">
        <f>IF(AND(COLUMN()&gt;=11,COLUMN()&lt;=20),(_xlfn.XLOOKUP($A74,#REF!,#REF!))/SUMIF($A$7:$AC$128,$A74,$AB$6:$AB$127)*H$5,0)</f>
        <v>0</v>
      </c>
      <c r="I74" s="26">
        <f>IF(AND(COLUMN()&gt;=11,COLUMN()&lt;=20),(_xlfn.XLOOKUP($A74,#REF!,#REF!))/SUMIF($A$7:$AC$128,$A74,$AB$6:$AB$127)*I$5,0)</f>
        <v>0</v>
      </c>
      <c r="J74" s="26">
        <f>IF(AND(COLUMN()&gt;=11,COLUMN()&lt;=20),(_xlfn.XLOOKUP($A74,#REF!,#REF!))/SUMIF($A$7:$AC$128,$A74,$AB$6:$AB$127)*J$5,0)</f>
        <v>0</v>
      </c>
      <c r="K74" s="26" t="e">
        <f ca="1">IF(AND(COLUMN()&gt;=11,COLUMN()&lt;=20),(_xlfn.XLOOKUP($A74,#REF!,#REF!))/SUMIF($A$7:$AC$128,$A74,$AB$6:$AB$127)*K$5,0)</f>
        <v>#REF!</v>
      </c>
      <c r="L74" s="26" t="e">
        <f ca="1">IF(AND(COLUMN()&gt;=11,COLUMN()&lt;=20),(_xlfn.XLOOKUP($A74,#REF!,#REF!))/SUMIF($A$7:$AC$128,$A74,$AB$6:$AB$127)*L$5,0)</f>
        <v>#REF!</v>
      </c>
      <c r="M74" s="26" t="e">
        <f ca="1">IF(AND(COLUMN()&gt;=11,COLUMN()&lt;=20),(_xlfn.XLOOKUP($A74,#REF!,#REF!))/SUMIF($A$7:$AC$128,$A74,$AB$6:$AB$127)*M$5,0)</f>
        <v>#REF!</v>
      </c>
      <c r="N74" s="26" t="e">
        <f ca="1">IF(AND(COLUMN()&gt;=11,COLUMN()&lt;=20),(_xlfn.XLOOKUP($A74,#REF!,#REF!))/SUMIF($A$7:$AC$128,$A74,$AB$6:$AB$127)*N$5,0)</f>
        <v>#REF!</v>
      </c>
      <c r="O74" s="26" t="e">
        <f ca="1">IF(AND(COLUMN()&gt;=11,COLUMN()&lt;=20),(_xlfn.XLOOKUP($A74,#REF!,#REF!))/SUMIF($A$7:$AC$128,$A74,$AB$6:$AB$127)*O$5,0)</f>
        <v>#REF!</v>
      </c>
      <c r="P74" s="26" t="e">
        <f ca="1">IF(AND(COLUMN()&gt;=11,COLUMN()&lt;=20),(_xlfn.XLOOKUP($A74,#REF!,#REF!))/SUMIF($A$7:$AC$128,$A74,$AB$6:$AB$127)*P$5,0)</f>
        <v>#REF!</v>
      </c>
      <c r="Q74" s="26" t="e">
        <f ca="1">IF(AND(COLUMN()&gt;=11,COLUMN()&lt;=20),(_xlfn.XLOOKUP($A74,#REF!,#REF!))/SUMIF($A$7:$AC$128,$A74,$AB$6:$AB$127)*Q$5,0)</f>
        <v>#REF!</v>
      </c>
      <c r="R74" s="26" t="e">
        <f ca="1">IF(AND(COLUMN()&gt;=11,COLUMN()&lt;=20),(_xlfn.XLOOKUP($A74,#REF!,#REF!))/SUMIF($A$7:$AC$128,$A74,$AB$6:$AB$127)*R$5,0)</f>
        <v>#REF!</v>
      </c>
      <c r="S74" s="26" t="e">
        <f ca="1">IF(AND(COLUMN()&gt;=11,COLUMN()&lt;=20),(_xlfn.XLOOKUP($A74,#REF!,#REF!))/SUMIF($A$7:$AC$128,$A74,$AB$6:$AB$127)*S$5,0)</f>
        <v>#REF!</v>
      </c>
      <c r="T74" s="26" t="e">
        <f ca="1">IF(AND(COLUMN()&gt;=11,COLUMN()&lt;=20),(_xlfn.XLOOKUP($A74,#REF!,#REF!))/SUMIF($A$7:$AC$128,$A74,$AB$6:$AB$127)*T$5,0)</f>
        <v>#REF!</v>
      </c>
      <c r="U74" s="26">
        <f>IF(AND(COLUMN()&gt;=11,COLUMN()&lt;=20),(_xlfn.XLOOKUP($A74,#REF!,#REF!))/SUMIF($A$7:$AC$128,$A74,$AB$6:$AB$127)*U$5,0)</f>
        <v>0</v>
      </c>
      <c r="V74" s="26">
        <f>IF(AND(COLUMN()&gt;=11,COLUMN()&lt;=20),(_xlfn.XLOOKUP($A74,#REF!,#REF!))/SUMIF($A$7:$AC$128,$A74,$AB$6:$AB$127)*V$5,0)</f>
        <v>0</v>
      </c>
      <c r="W74" s="26">
        <f>IF(AND(COLUMN()&gt;=11,COLUMN()&lt;=20),(_xlfn.XLOOKUP($A74,#REF!,#REF!))/SUMIF($A$7:$AC$128,$A74,$AB$6:$AB$127)*W$5,0)</f>
        <v>0</v>
      </c>
      <c r="X74" s="26">
        <f>IF(AND(COLUMN()&gt;=11,COLUMN()&lt;=20),(_xlfn.XLOOKUP($A74,#REF!,#REF!))/SUMIF($A$7:$AC$128,$A74,$AB$6:$AB$127)*X$5,0)</f>
        <v>0</v>
      </c>
      <c r="Y74" s="26">
        <f>IF(AND(COLUMN()&gt;=11,COLUMN()&lt;=20),(_xlfn.XLOOKUP($A74,#REF!,#REF!))/SUMIF($A$7:$AC$128,$A74,$AB$6:$AB$127)*Y$5,0)</f>
        <v>0</v>
      </c>
      <c r="Z74" s="26">
        <f>IF(AND(COLUMN()&gt;=11,COLUMN()&lt;=20),(_xlfn.XLOOKUP($A74,#REF!,#REF!))/SUMIF($A$7:$AC$128,$A74,$AB$6:$AB$127)*Z$5,0)</f>
        <v>0</v>
      </c>
      <c r="AA74" s="26" t="e">
        <f t="shared" ca="1" si="8"/>
        <v>#REF!</v>
      </c>
      <c r="AB74" s="19">
        <f t="shared" si="10"/>
        <v>31</v>
      </c>
      <c r="AC74" s="20" t="e">
        <f t="shared" ca="1" si="11"/>
        <v>#REF!</v>
      </c>
      <c r="AD74" s="30" t="e">
        <f>#REF!/SUMIF(#REF!,'Curva de la oferta Prod 3'!$A74,#REF!)</f>
        <v>#REF!</v>
      </c>
      <c r="AE74" s="28"/>
      <c r="AF74" s="31"/>
      <c r="AG74" s="31"/>
      <c r="AH74" s="31"/>
      <c r="AI74" s="31"/>
      <c r="AJ74" s="31"/>
      <c r="AK74" s="31"/>
    </row>
    <row r="75" spans="1:37" ht="14.5" x14ac:dyDescent="0.35">
      <c r="A75" s="15">
        <f t="shared" si="9"/>
        <v>2031</v>
      </c>
      <c r="B75" s="18">
        <v>48061</v>
      </c>
      <c r="C75" s="26">
        <f>IF(AND(COLUMN()&gt;=11,COLUMN()&lt;=20),(_xlfn.XLOOKUP($A75,#REF!,#REF!))/SUMIF($A$7:$AC$128,$A75,$AB$6:$AB$127)*C$5,0)</f>
        <v>0</v>
      </c>
      <c r="D75" s="26">
        <f>IF(AND(COLUMN()&gt;=11,COLUMN()&lt;=20),(_xlfn.XLOOKUP($A75,#REF!,#REF!))/SUMIF($A$7:$AC$128,$A75,$AB$6:$AB$127)*D$5,0)</f>
        <v>0</v>
      </c>
      <c r="E75" s="26">
        <f>IF(AND(COLUMN()&gt;=11,COLUMN()&lt;=20),(_xlfn.XLOOKUP($A75,#REF!,#REF!))/SUMIF($A$7:$AC$128,$A75,$AB$6:$AB$127)*E$5,0)</f>
        <v>0</v>
      </c>
      <c r="F75" s="26">
        <f>IF(AND(COLUMN()&gt;=11,COLUMN()&lt;=20),(_xlfn.XLOOKUP($A75,#REF!,#REF!))/SUMIF($A$7:$AC$128,$A75,$AB$6:$AB$127)*F$5,0)</f>
        <v>0</v>
      </c>
      <c r="G75" s="26">
        <f>IF(AND(COLUMN()&gt;=11,COLUMN()&lt;=20),(_xlfn.XLOOKUP($A75,#REF!,#REF!))/SUMIF($A$7:$AC$128,$A75,$AB$6:$AB$127)*G$5,0)</f>
        <v>0</v>
      </c>
      <c r="H75" s="26">
        <f>IF(AND(COLUMN()&gt;=11,COLUMN()&lt;=20),(_xlfn.XLOOKUP($A75,#REF!,#REF!))/SUMIF($A$7:$AC$128,$A75,$AB$6:$AB$127)*H$5,0)</f>
        <v>0</v>
      </c>
      <c r="I75" s="26">
        <f>IF(AND(COLUMN()&gt;=11,COLUMN()&lt;=20),(_xlfn.XLOOKUP($A75,#REF!,#REF!))/SUMIF($A$7:$AC$128,$A75,$AB$6:$AB$127)*I$5,0)</f>
        <v>0</v>
      </c>
      <c r="J75" s="26">
        <f>IF(AND(COLUMN()&gt;=11,COLUMN()&lt;=20),(_xlfn.XLOOKUP($A75,#REF!,#REF!))/SUMIF($A$7:$AC$128,$A75,$AB$6:$AB$127)*J$5,0)</f>
        <v>0</v>
      </c>
      <c r="K75" s="26" t="e">
        <f ca="1">IF(AND(COLUMN()&gt;=11,COLUMN()&lt;=20),(_xlfn.XLOOKUP($A75,#REF!,#REF!))/SUMIF($A$7:$AC$128,$A75,$AB$6:$AB$127)*K$5,0)</f>
        <v>#REF!</v>
      </c>
      <c r="L75" s="26" t="e">
        <f ca="1">IF(AND(COLUMN()&gt;=11,COLUMN()&lt;=20),(_xlfn.XLOOKUP($A75,#REF!,#REF!))/SUMIF($A$7:$AC$128,$A75,$AB$6:$AB$127)*L$5,0)</f>
        <v>#REF!</v>
      </c>
      <c r="M75" s="26" t="e">
        <f ca="1">IF(AND(COLUMN()&gt;=11,COLUMN()&lt;=20),(_xlfn.XLOOKUP($A75,#REF!,#REF!))/SUMIF($A$7:$AC$128,$A75,$AB$6:$AB$127)*M$5,0)</f>
        <v>#REF!</v>
      </c>
      <c r="N75" s="26" t="e">
        <f ca="1">IF(AND(COLUMN()&gt;=11,COLUMN()&lt;=20),(_xlfn.XLOOKUP($A75,#REF!,#REF!))/SUMIF($A$7:$AC$128,$A75,$AB$6:$AB$127)*N$5,0)</f>
        <v>#REF!</v>
      </c>
      <c r="O75" s="26" t="e">
        <f ca="1">IF(AND(COLUMN()&gt;=11,COLUMN()&lt;=20),(_xlfn.XLOOKUP($A75,#REF!,#REF!))/SUMIF($A$7:$AC$128,$A75,$AB$6:$AB$127)*O$5,0)</f>
        <v>#REF!</v>
      </c>
      <c r="P75" s="26" t="e">
        <f ca="1">IF(AND(COLUMN()&gt;=11,COLUMN()&lt;=20),(_xlfn.XLOOKUP($A75,#REF!,#REF!))/SUMIF($A$7:$AC$128,$A75,$AB$6:$AB$127)*P$5,0)</f>
        <v>#REF!</v>
      </c>
      <c r="Q75" s="26" t="e">
        <f ca="1">IF(AND(COLUMN()&gt;=11,COLUMN()&lt;=20),(_xlfn.XLOOKUP($A75,#REF!,#REF!))/SUMIF($A$7:$AC$128,$A75,$AB$6:$AB$127)*Q$5,0)</f>
        <v>#REF!</v>
      </c>
      <c r="R75" s="26" t="e">
        <f ca="1">IF(AND(COLUMN()&gt;=11,COLUMN()&lt;=20),(_xlfn.XLOOKUP($A75,#REF!,#REF!))/SUMIF($A$7:$AC$128,$A75,$AB$6:$AB$127)*R$5,0)</f>
        <v>#REF!</v>
      </c>
      <c r="S75" s="26" t="e">
        <f ca="1">IF(AND(COLUMN()&gt;=11,COLUMN()&lt;=20),(_xlfn.XLOOKUP($A75,#REF!,#REF!))/SUMIF($A$7:$AC$128,$A75,$AB$6:$AB$127)*S$5,0)</f>
        <v>#REF!</v>
      </c>
      <c r="T75" s="26" t="e">
        <f ca="1">IF(AND(COLUMN()&gt;=11,COLUMN()&lt;=20),(_xlfn.XLOOKUP($A75,#REF!,#REF!))/SUMIF($A$7:$AC$128,$A75,$AB$6:$AB$127)*T$5,0)</f>
        <v>#REF!</v>
      </c>
      <c r="U75" s="26">
        <f>IF(AND(COLUMN()&gt;=11,COLUMN()&lt;=20),(_xlfn.XLOOKUP($A75,#REF!,#REF!))/SUMIF($A$7:$AC$128,$A75,$AB$6:$AB$127)*U$5,0)</f>
        <v>0</v>
      </c>
      <c r="V75" s="26">
        <f>IF(AND(COLUMN()&gt;=11,COLUMN()&lt;=20),(_xlfn.XLOOKUP($A75,#REF!,#REF!))/SUMIF($A$7:$AC$128,$A75,$AB$6:$AB$127)*V$5,0)</f>
        <v>0</v>
      </c>
      <c r="W75" s="26">
        <f>IF(AND(COLUMN()&gt;=11,COLUMN()&lt;=20),(_xlfn.XLOOKUP($A75,#REF!,#REF!))/SUMIF($A$7:$AC$128,$A75,$AB$6:$AB$127)*W$5,0)</f>
        <v>0</v>
      </c>
      <c r="X75" s="26">
        <f>IF(AND(COLUMN()&gt;=11,COLUMN()&lt;=20),(_xlfn.XLOOKUP($A75,#REF!,#REF!))/SUMIF($A$7:$AC$128,$A75,$AB$6:$AB$127)*X$5,0)</f>
        <v>0</v>
      </c>
      <c r="Y75" s="26">
        <f>IF(AND(COLUMN()&gt;=11,COLUMN()&lt;=20),(_xlfn.XLOOKUP($A75,#REF!,#REF!))/SUMIF($A$7:$AC$128,$A75,$AB$6:$AB$127)*Y$5,0)</f>
        <v>0</v>
      </c>
      <c r="Z75" s="26">
        <f>IF(AND(COLUMN()&gt;=11,COLUMN()&lt;=20),(_xlfn.XLOOKUP($A75,#REF!,#REF!))/SUMIF($A$7:$AC$128,$A75,$AB$6:$AB$127)*Z$5,0)</f>
        <v>0</v>
      </c>
      <c r="AA75" s="26" t="e">
        <f t="shared" ca="1" si="8"/>
        <v>#REF!</v>
      </c>
      <c r="AB75" s="19">
        <f t="shared" si="10"/>
        <v>31</v>
      </c>
      <c r="AC75" s="20" t="e">
        <f t="shared" ca="1" si="11"/>
        <v>#REF!</v>
      </c>
      <c r="AD75" s="30" t="e">
        <f>#REF!/SUMIF(#REF!,'Curva de la oferta Prod 3'!$A75,#REF!)</f>
        <v>#REF!</v>
      </c>
      <c r="AE75" s="28"/>
      <c r="AF75" s="31"/>
      <c r="AG75" s="31"/>
      <c r="AH75" s="31"/>
      <c r="AI75" s="31"/>
      <c r="AJ75" s="31"/>
      <c r="AK75" s="31"/>
    </row>
    <row r="76" spans="1:37" ht="14.5" x14ac:dyDescent="0.35">
      <c r="A76" s="15">
        <f t="shared" si="9"/>
        <v>2031</v>
      </c>
      <c r="B76" s="18">
        <v>48092</v>
      </c>
      <c r="C76" s="26">
        <f>IF(AND(COLUMN()&gt;=11,COLUMN()&lt;=20),(_xlfn.XLOOKUP($A76,#REF!,#REF!))/SUMIF($A$7:$AC$128,$A76,$AB$6:$AB$127)*C$5,0)</f>
        <v>0</v>
      </c>
      <c r="D76" s="26">
        <f>IF(AND(COLUMN()&gt;=11,COLUMN()&lt;=20),(_xlfn.XLOOKUP($A76,#REF!,#REF!))/SUMIF($A$7:$AC$128,$A76,$AB$6:$AB$127)*D$5,0)</f>
        <v>0</v>
      </c>
      <c r="E76" s="26">
        <f>IF(AND(COLUMN()&gt;=11,COLUMN()&lt;=20),(_xlfn.XLOOKUP($A76,#REF!,#REF!))/SUMIF($A$7:$AC$128,$A76,$AB$6:$AB$127)*E$5,0)</f>
        <v>0</v>
      </c>
      <c r="F76" s="26">
        <f>IF(AND(COLUMN()&gt;=11,COLUMN()&lt;=20),(_xlfn.XLOOKUP($A76,#REF!,#REF!))/SUMIF($A$7:$AC$128,$A76,$AB$6:$AB$127)*F$5,0)</f>
        <v>0</v>
      </c>
      <c r="G76" s="26">
        <f>IF(AND(COLUMN()&gt;=11,COLUMN()&lt;=20),(_xlfn.XLOOKUP($A76,#REF!,#REF!))/SUMIF($A$7:$AC$128,$A76,$AB$6:$AB$127)*G$5,0)</f>
        <v>0</v>
      </c>
      <c r="H76" s="26">
        <f>IF(AND(COLUMN()&gt;=11,COLUMN()&lt;=20),(_xlfn.XLOOKUP($A76,#REF!,#REF!))/SUMIF($A$7:$AC$128,$A76,$AB$6:$AB$127)*H$5,0)</f>
        <v>0</v>
      </c>
      <c r="I76" s="26">
        <f>IF(AND(COLUMN()&gt;=11,COLUMN()&lt;=20),(_xlfn.XLOOKUP($A76,#REF!,#REF!))/SUMIF($A$7:$AC$128,$A76,$AB$6:$AB$127)*I$5,0)</f>
        <v>0</v>
      </c>
      <c r="J76" s="26">
        <f>IF(AND(COLUMN()&gt;=11,COLUMN()&lt;=20),(_xlfn.XLOOKUP($A76,#REF!,#REF!))/SUMIF($A$7:$AC$128,$A76,$AB$6:$AB$127)*J$5,0)</f>
        <v>0</v>
      </c>
      <c r="K76" s="26" t="e">
        <f ca="1">IF(AND(COLUMN()&gt;=11,COLUMN()&lt;=20),(_xlfn.XLOOKUP($A76,#REF!,#REF!))/SUMIF($A$7:$AC$128,$A76,$AB$6:$AB$127)*K$5,0)</f>
        <v>#REF!</v>
      </c>
      <c r="L76" s="26" t="e">
        <f ca="1">IF(AND(COLUMN()&gt;=11,COLUMN()&lt;=20),(_xlfn.XLOOKUP($A76,#REF!,#REF!))/SUMIF($A$7:$AC$128,$A76,$AB$6:$AB$127)*L$5,0)</f>
        <v>#REF!</v>
      </c>
      <c r="M76" s="26" t="e">
        <f ca="1">IF(AND(COLUMN()&gt;=11,COLUMN()&lt;=20),(_xlfn.XLOOKUP($A76,#REF!,#REF!))/SUMIF($A$7:$AC$128,$A76,$AB$6:$AB$127)*M$5,0)</f>
        <v>#REF!</v>
      </c>
      <c r="N76" s="26" t="e">
        <f ca="1">IF(AND(COLUMN()&gt;=11,COLUMN()&lt;=20),(_xlfn.XLOOKUP($A76,#REF!,#REF!))/SUMIF($A$7:$AC$128,$A76,$AB$6:$AB$127)*N$5,0)</f>
        <v>#REF!</v>
      </c>
      <c r="O76" s="26" t="e">
        <f ca="1">IF(AND(COLUMN()&gt;=11,COLUMN()&lt;=20),(_xlfn.XLOOKUP($A76,#REF!,#REF!))/SUMIF($A$7:$AC$128,$A76,$AB$6:$AB$127)*O$5,0)</f>
        <v>#REF!</v>
      </c>
      <c r="P76" s="26" t="e">
        <f ca="1">IF(AND(COLUMN()&gt;=11,COLUMN()&lt;=20),(_xlfn.XLOOKUP($A76,#REF!,#REF!))/SUMIF($A$7:$AC$128,$A76,$AB$6:$AB$127)*P$5,0)</f>
        <v>#REF!</v>
      </c>
      <c r="Q76" s="26" t="e">
        <f ca="1">IF(AND(COLUMN()&gt;=11,COLUMN()&lt;=20),(_xlfn.XLOOKUP($A76,#REF!,#REF!))/SUMIF($A$7:$AC$128,$A76,$AB$6:$AB$127)*Q$5,0)</f>
        <v>#REF!</v>
      </c>
      <c r="R76" s="26" t="e">
        <f ca="1">IF(AND(COLUMN()&gt;=11,COLUMN()&lt;=20),(_xlfn.XLOOKUP($A76,#REF!,#REF!))/SUMIF($A$7:$AC$128,$A76,$AB$6:$AB$127)*R$5,0)</f>
        <v>#REF!</v>
      </c>
      <c r="S76" s="26" t="e">
        <f ca="1">IF(AND(COLUMN()&gt;=11,COLUMN()&lt;=20),(_xlfn.XLOOKUP($A76,#REF!,#REF!))/SUMIF($A$7:$AC$128,$A76,$AB$6:$AB$127)*S$5,0)</f>
        <v>#REF!</v>
      </c>
      <c r="T76" s="26" t="e">
        <f ca="1">IF(AND(COLUMN()&gt;=11,COLUMN()&lt;=20),(_xlfn.XLOOKUP($A76,#REF!,#REF!))/SUMIF($A$7:$AC$128,$A76,$AB$6:$AB$127)*T$5,0)</f>
        <v>#REF!</v>
      </c>
      <c r="U76" s="26">
        <f>IF(AND(COLUMN()&gt;=11,COLUMN()&lt;=20),(_xlfn.XLOOKUP($A76,#REF!,#REF!))/SUMIF($A$7:$AC$128,$A76,$AB$6:$AB$127)*U$5,0)</f>
        <v>0</v>
      </c>
      <c r="V76" s="26">
        <f>IF(AND(COLUMN()&gt;=11,COLUMN()&lt;=20),(_xlfn.XLOOKUP($A76,#REF!,#REF!))/SUMIF($A$7:$AC$128,$A76,$AB$6:$AB$127)*V$5,0)</f>
        <v>0</v>
      </c>
      <c r="W76" s="26">
        <f>IF(AND(COLUMN()&gt;=11,COLUMN()&lt;=20),(_xlfn.XLOOKUP($A76,#REF!,#REF!))/SUMIF($A$7:$AC$128,$A76,$AB$6:$AB$127)*W$5,0)</f>
        <v>0</v>
      </c>
      <c r="X76" s="26">
        <f>IF(AND(COLUMN()&gt;=11,COLUMN()&lt;=20),(_xlfn.XLOOKUP($A76,#REF!,#REF!))/SUMIF($A$7:$AC$128,$A76,$AB$6:$AB$127)*X$5,0)</f>
        <v>0</v>
      </c>
      <c r="Y76" s="26">
        <f>IF(AND(COLUMN()&gt;=11,COLUMN()&lt;=20),(_xlfn.XLOOKUP($A76,#REF!,#REF!))/SUMIF($A$7:$AC$128,$A76,$AB$6:$AB$127)*Y$5,0)</f>
        <v>0</v>
      </c>
      <c r="Z76" s="26">
        <f>IF(AND(COLUMN()&gt;=11,COLUMN()&lt;=20),(_xlfn.XLOOKUP($A76,#REF!,#REF!))/SUMIF($A$7:$AC$128,$A76,$AB$6:$AB$127)*Z$5,0)</f>
        <v>0</v>
      </c>
      <c r="AA76" s="26" t="e">
        <f t="shared" ca="1" si="8"/>
        <v>#REF!</v>
      </c>
      <c r="AB76" s="19">
        <f t="shared" si="10"/>
        <v>30</v>
      </c>
      <c r="AC76" s="20" t="e">
        <f t="shared" ca="1" si="11"/>
        <v>#REF!</v>
      </c>
      <c r="AD76" s="30" t="e">
        <f>#REF!/SUMIF(#REF!,'Curva de la oferta Prod 3'!$A76,#REF!)</f>
        <v>#REF!</v>
      </c>
      <c r="AE76" s="28"/>
      <c r="AF76" s="31"/>
      <c r="AG76" s="31"/>
      <c r="AH76" s="31"/>
      <c r="AI76" s="31"/>
      <c r="AJ76" s="31"/>
      <c r="AK76" s="31"/>
    </row>
    <row r="77" spans="1:37" ht="14.5" x14ac:dyDescent="0.35">
      <c r="A77" s="15">
        <f t="shared" si="9"/>
        <v>2031</v>
      </c>
      <c r="B77" s="18">
        <v>48122</v>
      </c>
      <c r="C77" s="26">
        <f>IF(AND(COLUMN()&gt;=11,COLUMN()&lt;=20),(_xlfn.XLOOKUP($A77,#REF!,#REF!))/SUMIF($A$7:$AC$128,$A77,$AB$6:$AB$127)*C$5,0)</f>
        <v>0</v>
      </c>
      <c r="D77" s="26">
        <f>IF(AND(COLUMN()&gt;=11,COLUMN()&lt;=20),(_xlfn.XLOOKUP($A77,#REF!,#REF!))/SUMIF($A$7:$AC$128,$A77,$AB$6:$AB$127)*D$5,0)</f>
        <v>0</v>
      </c>
      <c r="E77" s="26">
        <f>IF(AND(COLUMN()&gt;=11,COLUMN()&lt;=20),(_xlfn.XLOOKUP($A77,#REF!,#REF!))/SUMIF($A$7:$AC$128,$A77,$AB$6:$AB$127)*E$5,0)</f>
        <v>0</v>
      </c>
      <c r="F77" s="26">
        <f>IF(AND(COLUMN()&gt;=11,COLUMN()&lt;=20),(_xlfn.XLOOKUP($A77,#REF!,#REF!))/SUMIF($A$7:$AC$128,$A77,$AB$6:$AB$127)*F$5,0)</f>
        <v>0</v>
      </c>
      <c r="G77" s="26">
        <f>IF(AND(COLUMN()&gt;=11,COLUMN()&lt;=20),(_xlfn.XLOOKUP($A77,#REF!,#REF!))/SUMIF($A$7:$AC$128,$A77,$AB$6:$AB$127)*G$5,0)</f>
        <v>0</v>
      </c>
      <c r="H77" s="26">
        <f>IF(AND(COLUMN()&gt;=11,COLUMN()&lt;=20),(_xlfn.XLOOKUP($A77,#REF!,#REF!))/SUMIF($A$7:$AC$128,$A77,$AB$6:$AB$127)*H$5,0)</f>
        <v>0</v>
      </c>
      <c r="I77" s="26">
        <f>IF(AND(COLUMN()&gt;=11,COLUMN()&lt;=20),(_xlfn.XLOOKUP($A77,#REF!,#REF!))/SUMIF($A$7:$AC$128,$A77,$AB$6:$AB$127)*I$5,0)</f>
        <v>0</v>
      </c>
      <c r="J77" s="26">
        <f>IF(AND(COLUMN()&gt;=11,COLUMN()&lt;=20),(_xlfn.XLOOKUP($A77,#REF!,#REF!))/SUMIF($A$7:$AC$128,$A77,$AB$6:$AB$127)*J$5,0)</f>
        <v>0</v>
      </c>
      <c r="K77" s="26" t="e">
        <f ca="1">IF(AND(COLUMN()&gt;=11,COLUMN()&lt;=20),(_xlfn.XLOOKUP($A77,#REF!,#REF!))/SUMIF($A$7:$AC$128,$A77,$AB$6:$AB$127)*K$5,0)</f>
        <v>#REF!</v>
      </c>
      <c r="L77" s="26" t="e">
        <f ca="1">IF(AND(COLUMN()&gt;=11,COLUMN()&lt;=20),(_xlfn.XLOOKUP($A77,#REF!,#REF!))/SUMIF($A$7:$AC$128,$A77,$AB$6:$AB$127)*L$5,0)</f>
        <v>#REF!</v>
      </c>
      <c r="M77" s="26" t="e">
        <f ca="1">IF(AND(COLUMN()&gt;=11,COLUMN()&lt;=20),(_xlfn.XLOOKUP($A77,#REF!,#REF!))/SUMIF($A$7:$AC$128,$A77,$AB$6:$AB$127)*M$5,0)</f>
        <v>#REF!</v>
      </c>
      <c r="N77" s="26" t="e">
        <f ca="1">IF(AND(COLUMN()&gt;=11,COLUMN()&lt;=20),(_xlfn.XLOOKUP($A77,#REF!,#REF!))/SUMIF($A$7:$AC$128,$A77,$AB$6:$AB$127)*N$5,0)</f>
        <v>#REF!</v>
      </c>
      <c r="O77" s="26" t="e">
        <f ca="1">IF(AND(COLUMN()&gt;=11,COLUMN()&lt;=20),(_xlfn.XLOOKUP($A77,#REF!,#REF!))/SUMIF($A$7:$AC$128,$A77,$AB$6:$AB$127)*O$5,0)</f>
        <v>#REF!</v>
      </c>
      <c r="P77" s="26" t="e">
        <f ca="1">IF(AND(COLUMN()&gt;=11,COLUMN()&lt;=20),(_xlfn.XLOOKUP($A77,#REF!,#REF!))/SUMIF($A$7:$AC$128,$A77,$AB$6:$AB$127)*P$5,0)</f>
        <v>#REF!</v>
      </c>
      <c r="Q77" s="26" t="e">
        <f ca="1">IF(AND(COLUMN()&gt;=11,COLUMN()&lt;=20),(_xlfn.XLOOKUP($A77,#REF!,#REF!))/SUMIF($A$7:$AC$128,$A77,$AB$6:$AB$127)*Q$5,0)</f>
        <v>#REF!</v>
      </c>
      <c r="R77" s="26" t="e">
        <f ca="1">IF(AND(COLUMN()&gt;=11,COLUMN()&lt;=20),(_xlfn.XLOOKUP($A77,#REF!,#REF!))/SUMIF($A$7:$AC$128,$A77,$AB$6:$AB$127)*R$5,0)</f>
        <v>#REF!</v>
      </c>
      <c r="S77" s="26" t="e">
        <f ca="1">IF(AND(COLUMN()&gt;=11,COLUMN()&lt;=20),(_xlfn.XLOOKUP($A77,#REF!,#REF!))/SUMIF($A$7:$AC$128,$A77,$AB$6:$AB$127)*S$5,0)</f>
        <v>#REF!</v>
      </c>
      <c r="T77" s="26" t="e">
        <f ca="1">IF(AND(COLUMN()&gt;=11,COLUMN()&lt;=20),(_xlfn.XLOOKUP($A77,#REF!,#REF!))/SUMIF($A$7:$AC$128,$A77,$AB$6:$AB$127)*T$5,0)</f>
        <v>#REF!</v>
      </c>
      <c r="U77" s="26">
        <f>IF(AND(COLUMN()&gt;=11,COLUMN()&lt;=20),(_xlfn.XLOOKUP($A77,#REF!,#REF!))/SUMIF($A$7:$AC$128,$A77,$AB$6:$AB$127)*U$5,0)</f>
        <v>0</v>
      </c>
      <c r="V77" s="26">
        <f>IF(AND(COLUMN()&gt;=11,COLUMN()&lt;=20),(_xlfn.XLOOKUP($A77,#REF!,#REF!))/SUMIF($A$7:$AC$128,$A77,$AB$6:$AB$127)*V$5,0)</f>
        <v>0</v>
      </c>
      <c r="W77" s="26">
        <f>IF(AND(COLUMN()&gt;=11,COLUMN()&lt;=20),(_xlfn.XLOOKUP($A77,#REF!,#REF!))/SUMIF($A$7:$AC$128,$A77,$AB$6:$AB$127)*W$5,0)</f>
        <v>0</v>
      </c>
      <c r="X77" s="26">
        <f>IF(AND(COLUMN()&gt;=11,COLUMN()&lt;=20),(_xlfn.XLOOKUP($A77,#REF!,#REF!))/SUMIF($A$7:$AC$128,$A77,$AB$6:$AB$127)*X$5,0)</f>
        <v>0</v>
      </c>
      <c r="Y77" s="26">
        <f>IF(AND(COLUMN()&gt;=11,COLUMN()&lt;=20),(_xlfn.XLOOKUP($A77,#REF!,#REF!))/SUMIF($A$7:$AC$128,$A77,$AB$6:$AB$127)*Y$5,0)</f>
        <v>0</v>
      </c>
      <c r="Z77" s="26">
        <f>IF(AND(COLUMN()&gt;=11,COLUMN()&lt;=20),(_xlfn.XLOOKUP($A77,#REF!,#REF!))/SUMIF($A$7:$AC$128,$A77,$AB$6:$AB$127)*Z$5,0)</f>
        <v>0</v>
      </c>
      <c r="AA77" s="26" t="e">
        <f t="shared" ca="1" si="8"/>
        <v>#REF!</v>
      </c>
      <c r="AB77" s="19">
        <f t="shared" si="10"/>
        <v>31</v>
      </c>
      <c r="AC77" s="20" t="e">
        <f t="shared" ca="1" si="11"/>
        <v>#REF!</v>
      </c>
      <c r="AD77" s="30" t="e">
        <f>#REF!/SUMIF(#REF!,'Curva de la oferta Prod 3'!$A77,#REF!)</f>
        <v>#REF!</v>
      </c>
      <c r="AE77" s="28"/>
      <c r="AF77" s="31"/>
      <c r="AG77" s="31"/>
      <c r="AH77" s="31"/>
      <c r="AI77" s="31"/>
      <c r="AJ77" s="31"/>
      <c r="AK77" s="31"/>
    </row>
    <row r="78" spans="1:37" ht="14.5" x14ac:dyDescent="0.35">
      <c r="A78" s="15">
        <f t="shared" si="9"/>
        <v>2031</v>
      </c>
      <c r="B78" s="18">
        <v>48153</v>
      </c>
      <c r="C78" s="26">
        <f>IF(AND(COLUMN()&gt;=11,COLUMN()&lt;=20),(_xlfn.XLOOKUP($A78,#REF!,#REF!))/SUMIF($A$7:$AC$128,$A78,$AB$6:$AB$127)*C$5,0)</f>
        <v>0</v>
      </c>
      <c r="D78" s="26">
        <f>IF(AND(COLUMN()&gt;=11,COLUMN()&lt;=20),(_xlfn.XLOOKUP($A78,#REF!,#REF!))/SUMIF($A$7:$AC$128,$A78,$AB$6:$AB$127)*D$5,0)</f>
        <v>0</v>
      </c>
      <c r="E78" s="26">
        <f>IF(AND(COLUMN()&gt;=11,COLUMN()&lt;=20),(_xlfn.XLOOKUP($A78,#REF!,#REF!))/SUMIF($A$7:$AC$128,$A78,$AB$6:$AB$127)*E$5,0)</f>
        <v>0</v>
      </c>
      <c r="F78" s="26">
        <f>IF(AND(COLUMN()&gt;=11,COLUMN()&lt;=20),(_xlfn.XLOOKUP($A78,#REF!,#REF!))/SUMIF($A$7:$AC$128,$A78,$AB$6:$AB$127)*F$5,0)</f>
        <v>0</v>
      </c>
      <c r="G78" s="26">
        <f>IF(AND(COLUMN()&gt;=11,COLUMN()&lt;=20),(_xlfn.XLOOKUP($A78,#REF!,#REF!))/SUMIF($A$7:$AC$128,$A78,$AB$6:$AB$127)*G$5,0)</f>
        <v>0</v>
      </c>
      <c r="H78" s="26">
        <f>IF(AND(COLUMN()&gt;=11,COLUMN()&lt;=20),(_xlfn.XLOOKUP($A78,#REF!,#REF!))/SUMIF($A$7:$AC$128,$A78,$AB$6:$AB$127)*H$5,0)</f>
        <v>0</v>
      </c>
      <c r="I78" s="26">
        <f>IF(AND(COLUMN()&gt;=11,COLUMN()&lt;=20),(_xlfn.XLOOKUP($A78,#REF!,#REF!))/SUMIF($A$7:$AC$128,$A78,$AB$6:$AB$127)*I$5,0)</f>
        <v>0</v>
      </c>
      <c r="J78" s="26">
        <f>IF(AND(COLUMN()&gt;=11,COLUMN()&lt;=20),(_xlfn.XLOOKUP($A78,#REF!,#REF!))/SUMIF($A$7:$AC$128,$A78,$AB$6:$AB$127)*J$5,0)</f>
        <v>0</v>
      </c>
      <c r="K78" s="26" t="e">
        <f ca="1">IF(AND(COLUMN()&gt;=11,COLUMN()&lt;=20),(_xlfn.XLOOKUP($A78,#REF!,#REF!))/SUMIF($A$7:$AC$128,$A78,$AB$6:$AB$127)*K$5,0)</f>
        <v>#REF!</v>
      </c>
      <c r="L78" s="26" t="e">
        <f ca="1">IF(AND(COLUMN()&gt;=11,COLUMN()&lt;=20),(_xlfn.XLOOKUP($A78,#REF!,#REF!))/SUMIF($A$7:$AC$128,$A78,$AB$6:$AB$127)*L$5,0)</f>
        <v>#REF!</v>
      </c>
      <c r="M78" s="26" t="e">
        <f ca="1">IF(AND(COLUMN()&gt;=11,COLUMN()&lt;=20),(_xlfn.XLOOKUP($A78,#REF!,#REF!))/SUMIF($A$7:$AC$128,$A78,$AB$6:$AB$127)*M$5,0)</f>
        <v>#REF!</v>
      </c>
      <c r="N78" s="26" t="e">
        <f ca="1">IF(AND(COLUMN()&gt;=11,COLUMN()&lt;=20),(_xlfn.XLOOKUP($A78,#REF!,#REF!))/SUMIF($A$7:$AC$128,$A78,$AB$6:$AB$127)*N$5,0)</f>
        <v>#REF!</v>
      </c>
      <c r="O78" s="26" t="e">
        <f ca="1">IF(AND(COLUMN()&gt;=11,COLUMN()&lt;=20),(_xlfn.XLOOKUP($A78,#REF!,#REF!))/SUMIF($A$7:$AC$128,$A78,$AB$6:$AB$127)*O$5,0)</f>
        <v>#REF!</v>
      </c>
      <c r="P78" s="26" t="e">
        <f ca="1">IF(AND(COLUMN()&gt;=11,COLUMN()&lt;=20),(_xlfn.XLOOKUP($A78,#REF!,#REF!))/SUMIF($A$7:$AC$128,$A78,$AB$6:$AB$127)*P$5,0)</f>
        <v>#REF!</v>
      </c>
      <c r="Q78" s="26" t="e">
        <f ca="1">IF(AND(COLUMN()&gt;=11,COLUMN()&lt;=20),(_xlfn.XLOOKUP($A78,#REF!,#REF!))/SUMIF($A$7:$AC$128,$A78,$AB$6:$AB$127)*Q$5,0)</f>
        <v>#REF!</v>
      </c>
      <c r="R78" s="26" t="e">
        <f ca="1">IF(AND(COLUMN()&gt;=11,COLUMN()&lt;=20),(_xlfn.XLOOKUP($A78,#REF!,#REF!))/SUMIF($A$7:$AC$128,$A78,$AB$6:$AB$127)*R$5,0)</f>
        <v>#REF!</v>
      </c>
      <c r="S78" s="26" t="e">
        <f ca="1">IF(AND(COLUMN()&gt;=11,COLUMN()&lt;=20),(_xlfn.XLOOKUP($A78,#REF!,#REF!))/SUMIF($A$7:$AC$128,$A78,$AB$6:$AB$127)*S$5,0)</f>
        <v>#REF!</v>
      </c>
      <c r="T78" s="26" t="e">
        <f ca="1">IF(AND(COLUMN()&gt;=11,COLUMN()&lt;=20),(_xlfn.XLOOKUP($A78,#REF!,#REF!))/SUMIF($A$7:$AC$128,$A78,$AB$6:$AB$127)*T$5,0)</f>
        <v>#REF!</v>
      </c>
      <c r="U78" s="26">
        <f>IF(AND(COLUMN()&gt;=11,COLUMN()&lt;=20),(_xlfn.XLOOKUP($A78,#REF!,#REF!))/SUMIF($A$7:$AC$128,$A78,$AB$6:$AB$127)*U$5,0)</f>
        <v>0</v>
      </c>
      <c r="V78" s="26">
        <f>IF(AND(COLUMN()&gt;=11,COLUMN()&lt;=20),(_xlfn.XLOOKUP($A78,#REF!,#REF!))/SUMIF($A$7:$AC$128,$A78,$AB$6:$AB$127)*V$5,0)</f>
        <v>0</v>
      </c>
      <c r="W78" s="26">
        <f>IF(AND(COLUMN()&gt;=11,COLUMN()&lt;=20),(_xlfn.XLOOKUP($A78,#REF!,#REF!))/SUMIF($A$7:$AC$128,$A78,$AB$6:$AB$127)*W$5,0)</f>
        <v>0</v>
      </c>
      <c r="X78" s="26">
        <f>IF(AND(COLUMN()&gt;=11,COLUMN()&lt;=20),(_xlfn.XLOOKUP($A78,#REF!,#REF!))/SUMIF($A$7:$AC$128,$A78,$AB$6:$AB$127)*X$5,0)</f>
        <v>0</v>
      </c>
      <c r="Y78" s="26">
        <f>IF(AND(COLUMN()&gt;=11,COLUMN()&lt;=20),(_xlfn.XLOOKUP($A78,#REF!,#REF!))/SUMIF($A$7:$AC$128,$A78,$AB$6:$AB$127)*Y$5,0)</f>
        <v>0</v>
      </c>
      <c r="Z78" s="26">
        <f>IF(AND(COLUMN()&gt;=11,COLUMN()&lt;=20),(_xlfn.XLOOKUP($A78,#REF!,#REF!))/SUMIF($A$7:$AC$128,$A78,$AB$6:$AB$127)*Z$5,0)</f>
        <v>0</v>
      </c>
      <c r="AA78" s="26" t="e">
        <f t="shared" ca="1" si="8"/>
        <v>#REF!</v>
      </c>
      <c r="AB78" s="19">
        <f t="shared" si="10"/>
        <v>30</v>
      </c>
      <c r="AC78" s="20" t="e">
        <f t="shared" ca="1" si="11"/>
        <v>#REF!</v>
      </c>
      <c r="AD78" s="30" t="e">
        <f>#REF!/SUMIF(#REF!,'Curva de la oferta Prod 3'!$A78,#REF!)</f>
        <v>#REF!</v>
      </c>
      <c r="AE78" s="28"/>
      <c r="AF78" s="31"/>
      <c r="AG78" s="31"/>
      <c r="AH78" s="31"/>
      <c r="AI78" s="31"/>
      <c r="AJ78" s="31"/>
      <c r="AK78" s="31"/>
    </row>
    <row r="79" spans="1:37" ht="14.5" x14ac:dyDescent="0.35">
      <c r="A79" s="15">
        <f t="shared" si="9"/>
        <v>2031</v>
      </c>
      <c r="B79" s="18">
        <v>48183</v>
      </c>
      <c r="C79" s="26">
        <f>IF(AND(COLUMN()&gt;=11,COLUMN()&lt;=20),(_xlfn.XLOOKUP($A79,#REF!,#REF!))/SUMIF($A$7:$AC$128,$A79,$AB$6:$AB$127)*C$5,0)</f>
        <v>0</v>
      </c>
      <c r="D79" s="26">
        <f>IF(AND(COLUMN()&gt;=11,COLUMN()&lt;=20),(_xlfn.XLOOKUP($A79,#REF!,#REF!))/SUMIF($A$7:$AC$128,$A79,$AB$6:$AB$127)*D$5,0)</f>
        <v>0</v>
      </c>
      <c r="E79" s="26">
        <f>IF(AND(COLUMN()&gt;=11,COLUMN()&lt;=20),(_xlfn.XLOOKUP($A79,#REF!,#REF!))/SUMIF($A$7:$AC$128,$A79,$AB$6:$AB$127)*E$5,0)</f>
        <v>0</v>
      </c>
      <c r="F79" s="26">
        <f>IF(AND(COLUMN()&gt;=11,COLUMN()&lt;=20),(_xlfn.XLOOKUP($A79,#REF!,#REF!))/SUMIF($A$7:$AC$128,$A79,$AB$6:$AB$127)*F$5,0)</f>
        <v>0</v>
      </c>
      <c r="G79" s="26">
        <f>IF(AND(COLUMN()&gt;=11,COLUMN()&lt;=20),(_xlfn.XLOOKUP($A79,#REF!,#REF!))/SUMIF($A$7:$AC$128,$A79,$AB$6:$AB$127)*G$5,0)</f>
        <v>0</v>
      </c>
      <c r="H79" s="26">
        <f>IF(AND(COLUMN()&gt;=11,COLUMN()&lt;=20),(_xlfn.XLOOKUP($A79,#REF!,#REF!))/SUMIF($A$7:$AC$128,$A79,$AB$6:$AB$127)*H$5,0)</f>
        <v>0</v>
      </c>
      <c r="I79" s="26">
        <f>IF(AND(COLUMN()&gt;=11,COLUMN()&lt;=20),(_xlfn.XLOOKUP($A79,#REF!,#REF!))/SUMIF($A$7:$AC$128,$A79,$AB$6:$AB$127)*I$5,0)</f>
        <v>0</v>
      </c>
      <c r="J79" s="26">
        <f>IF(AND(COLUMN()&gt;=11,COLUMN()&lt;=20),(_xlfn.XLOOKUP($A79,#REF!,#REF!))/SUMIF($A$7:$AC$128,$A79,$AB$6:$AB$127)*J$5,0)</f>
        <v>0</v>
      </c>
      <c r="K79" s="26" t="e">
        <f ca="1">IF(AND(COLUMN()&gt;=11,COLUMN()&lt;=20),(_xlfn.XLOOKUP($A79,#REF!,#REF!))/SUMIF($A$7:$AC$128,$A79,$AB$6:$AB$127)*K$5,0)</f>
        <v>#REF!</v>
      </c>
      <c r="L79" s="26" t="e">
        <f ca="1">IF(AND(COLUMN()&gt;=11,COLUMN()&lt;=20),(_xlfn.XLOOKUP($A79,#REF!,#REF!))/SUMIF($A$7:$AC$128,$A79,$AB$6:$AB$127)*L$5,0)</f>
        <v>#REF!</v>
      </c>
      <c r="M79" s="26" t="e">
        <f ca="1">IF(AND(COLUMN()&gt;=11,COLUMN()&lt;=20),(_xlfn.XLOOKUP($A79,#REF!,#REF!))/SUMIF($A$7:$AC$128,$A79,$AB$6:$AB$127)*M$5,0)</f>
        <v>#REF!</v>
      </c>
      <c r="N79" s="26" t="e">
        <f ca="1">IF(AND(COLUMN()&gt;=11,COLUMN()&lt;=20),(_xlfn.XLOOKUP($A79,#REF!,#REF!))/SUMIF($A$7:$AC$128,$A79,$AB$6:$AB$127)*N$5,0)</f>
        <v>#REF!</v>
      </c>
      <c r="O79" s="26" t="e">
        <f ca="1">IF(AND(COLUMN()&gt;=11,COLUMN()&lt;=20),(_xlfn.XLOOKUP($A79,#REF!,#REF!))/SUMIF($A$7:$AC$128,$A79,$AB$6:$AB$127)*O$5,0)</f>
        <v>#REF!</v>
      </c>
      <c r="P79" s="26" t="e">
        <f ca="1">IF(AND(COLUMN()&gt;=11,COLUMN()&lt;=20),(_xlfn.XLOOKUP($A79,#REF!,#REF!))/SUMIF($A$7:$AC$128,$A79,$AB$6:$AB$127)*P$5,0)</f>
        <v>#REF!</v>
      </c>
      <c r="Q79" s="26" t="e">
        <f ca="1">IF(AND(COLUMN()&gt;=11,COLUMN()&lt;=20),(_xlfn.XLOOKUP($A79,#REF!,#REF!))/SUMIF($A$7:$AC$128,$A79,$AB$6:$AB$127)*Q$5,0)</f>
        <v>#REF!</v>
      </c>
      <c r="R79" s="26" t="e">
        <f ca="1">IF(AND(COLUMN()&gt;=11,COLUMN()&lt;=20),(_xlfn.XLOOKUP($A79,#REF!,#REF!))/SUMIF($A$7:$AC$128,$A79,$AB$6:$AB$127)*R$5,0)</f>
        <v>#REF!</v>
      </c>
      <c r="S79" s="26" t="e">
        <f ca="1">IF(AND(COLUMN()&gt;=11,COLUMN()&lt;=20),(_xlfn.XLOOKUP($A79,#REF!,#REF!))/SUMIF($A$7:$AC$128,$A79,$AB$6:$AB$127)*S$5,0)</f>
        <v>#REF!</v>
      </c>
      <c r="T79" s="26" t="e">
        <f ca="1">IF(AND(COLUMN()&gt;=11,COLUMN()&lt;=20),(_xlfn.XLOOKUP($A79,#REF!,#REF!))/SUMIF($A$7:$AC$128,$A79,$AB$6:$AB$127)*T$5,0)</f>
        <v>#REF!</v>
      </c>
      <c r="U79" s="26">
        <f>IF(AND(COLUMN()&gt;=11,COLUMN()&lt;=20),(_xlfn.XLOOKUP($A79,#REF!,#REF!))/SUMIF($A$7:$AC$128,$A79,$AB$6:$AB$127)*U$5,0)</f>
        <v>0</v>
      </c>
      <c r="V79" s="26">
        <f>IF(AND(COLUMN()&gt;=11,COLUMN()&lt;=20),(_xlfn.XLOOKUP($A79,#REF!,#REF!))/SUMIF($A$7:$AC$128,$A79,$AB$6:$AB$127)*V$5,0)</f>
        <v>0</v>
      </c>
      <c r="W79" s="26">
        <f>IF(AND(COLUMN()&gt;=11,COLUMN()&lt;=20),(_xlfn.XLOOKUP($A79,#REF!,#REF!))/SUMIF($A$7:$AC$128,$A79,$AB$6:$AB$127)*W$5,0)</f>
        <v>0</v>
      </c>
      <c r="X79" s="26">
        <f>IF(AND(COLUMN()&gt;=11,COLUMN()&lt;=20),(_xlfn.XLOOKUP($A79,#REF!,#REF!))/SUMIF($A$7:$AC$128,$A79,$AB$6:$AB$127)*X$5,0)</f>
        <v>0</v>
      </c>
      <c r="Y79" s="26">
        <f>IF(AND(COLUMN()&gt;=11,COLUMN()&lt;=20),(_xlfn.XLOOKUP($A79,#REF!,#REF!))/SUMIF($A$7:$AC$128,$A79,$AB$6:$AB$127)*Y$5,0)</f>
        <v>0</v>
      </c>
      <c r="Z79" s="26">
        <f>IF(AND(COLUMN()&gt;=11,COLUMN()&lt;=20),(_xlfn.XLOOKUP($A79,#REF!,#REF!))/SUMIF($A$7:$AC$128,$A79,$AB$6:$AB$127)*Z$5,0)</f>
        <v>0</v>
      </c>
      <c r="AA79" s="26" t="e">
        <f t="shared" ca="1" si="8"/>
        <v>#REF!</v>
      </c>
      <c r="AB79" s="19">
        <f t="shared" si="10"/>
        <v>31</v>
      </c>
      <c r="AC79" s="20" t="e">
        <f t="shared" ca="1" si="11"/>
        <v>#REF!</v>
      </c>
      <c r="AD79" s="30" t="e">
        <f>#REF!/SUMIF(#REF!,'Curva de la oferta Prod 3'!$A79,#REF!)</f>
        <v>#REF!</v>
      </c>
      <c r="AE79" s="28"/>
      <c r="AF79" s="31"/>
      <c r="AG79" s="31"/>
      <c r="AH79" s="31"/>
      <c r="AI79" s="31"/>
      <c r="AJ79" s="31"/>
      <c r="AK79" s="31"/>
    </row>
    <row r="80" spans="1:37" ht="14.5" x14ac:dyDescent="0.35">
      <c r="A80" s="15">
        <f t="shared" si="9"/>
        <v>2032</v>
      </c>
      <c r="B80" s="18">
        <v>48214</v>
      </c>
      <c r="C80" s="26">
        <f>IF(AND(COLUMN()&gt;=11,COLUMN()&lt;=20),(_xlfn.XLOOKUP($A80,#REF!,#REF!))/SUMIF($A$7:$AC$128,$A80,$AB$6:$AB$127)*C$5,0)</f>
        <v>0</v>
      </c>
      <c r="D80" s="26">
        <f>IF(AND(COLUMN()&gt;=11,COLUMN()&lt;=20),(_xlfn.XLOOKUP($A80,#REF!,#REF!))/SUMIF($A$7:$AC$128,$A80,$AB$6:$AB$127)*D$5,0)</f>
        <v>0</v>
      </c>
      <c r="E80" s="26">
        <f>IF(AND(COLUMN()&gt;=11,COLUMN()&lt;=20),(_xlfn.XLOOKUP($A80,#REF!,#REF!))/SUMIF($A$7:$AC$128,$A80,$AB$6:$AB$127)*E$5,0)</f>
        <v>0</v>
      </c>
      <c r="F80" s="26">
        <f>IF(AND(COLUMN()&gt;=11,COLUMN()&lt;=20),(_xlfn.XLOOKUP($A80,#REF!,#REF!))/SUMIF($A$7:$AC$128,$A80,$AB$6:$AB$127)*F$5,0)</f>
        <v>0</v>
      </c>
      <c r="G80" s="26">
        <f>IF(AND(COLUMN()&gt;=11,COLUMN()&lt;=20),(_xlfn.XLOOKUP($A80,#REF!,#REF!))/SUMIF($A$7:$AC$128,$A80,$AB$6:$AB$127)*G$5,0)</f>
        <v>0</v>
      </c>
      <c r="H80" s="26">
        <f>IF(AND(COLUMN()&gt;=11,COLUMN()&lt;=20),(_xlfn.XLOOKUP($A80,#REF!,#REF!))/SUMIF($A$7:$AC$128,$A80,$AB$6:$AB$127)*H$5,0)</f>
        <v>0</v>
      </c>
      <c r="I80" s="26">
        <f>IF(AND(COLUMN()&gt;=11,COLUMN()&lt;=20),(_xlfn.XLOOKUP($A80,#REF!,#REF!))/SUMIF($A$7:$AC$128,$A80,$AB$6:$AB$127)*I$5,0)</f>
        <v>0</v>
      </c>
      <c r="J80" s="26">
        <f>IF(AND(COLUMN()&gt;=11,COLUMN()&lt;=20),(_xlfn.XLOOKUP($A80,#REF!,#REF!))/SUMIF($A$7:$AC$128,$A80,$AB$6:$AB$127)*J$5,0)</f>
        <v>0</v>
      </c>
      <c r="K80" s="26" t="e">
        <f ca="1">IF(AND(COLUMN()&gt;=11,COLUMN()&lt;=20),(_xlfn.XLOOKUP($A80,#REF!,#REF!))/SUMIF($A$7:$AC$128,$A80,$AB$6:$AB$127)*K$5,0)</f>
        <v>#REF!</v>
      </c>
      <c r="L80" s="26" t="e">
        <f ca="1">IF(AND(COLUMN()&gt;=11,COLUMN()&lt;=20),(_xlfn.XLOOKUP($A80,#REF!,#REF!))/SUMIF($A$7:$AC$128,$A80,$AB$6:$AB$127)*L$5,0)</f>
        <v>#REF!</v>
      </c>
      <c r="M80" s="26" t="e">
        <f ca="1">IF(AND(COLUMN()&gt;=11,COLUMN()&lt;=20),(_xlfn.XLOOKUP($A80,#REF!,#REF!))/SUMIF($A$7:$AC$128,$A80,$AB$6:$AB$127)*M$5,0)</f>
        <v>#REF!</v>
      </c>
      <c r="N80" s="26" t="e">
        <f ca="1">IF(AND(COLUMN()&gt;=11,COLUMN()&lt;=20),(_xlfn.XLOOKUP($A80,#REF!,#REF!))/SUMIF($A$7:$AC$128,$A80,$AB$6:$AB$127)*N$5,0)</f>
        <v>#REF!</v>
      </c>
      <c r="O80" s="26" t="e">
        <f ca="1">IF(AND(COLUMN()&gt;=11,COLUMN()&lt;=20),(_xlfn.XLOOKUP($A80,#REF!,#REF!))/SUMIF($A$7:$AC$128,$A80,$AB$6:$AB$127)*O$5,0)</f>
        <v>#REF!</v>
      </c>
      <c r="P80" s="26" t="e">
        <f ca="1">IF(AND(COLUMN()&gt;=11,COLUMN()&lt;=20),(_xlfn.XLOOKUP($A80,#REF!,#REF!))/SUMIF($A$7:$AC$128,$A80,$AB$6:$AB$127)*P$5,0)</f>
        <v>#REF!</v>
      </c>
      <c r="Q80" s="26" t="e">
        <f ca="1">IF(AND(COLUMN()&gt;=11,COLUMN()&lt;=20),(_xlfn.XLOOKUP($A80,#REF!,#REF!))/SUMIF($A$7:$AC$128,$A80,$AB$6:$AB$127)*Q$5,0)</f>
        <v>#REF!</v>
      </c>
      <c r="R80" s="26" t="e">
        <f ca="1">IF(AND(COLUMN()&gt;=11,COLUMN()&lt;=20),(_xlfn.XLOOKUP($A80,#REF!,#REF!))/SUMIF($A$7:$AC$128,$A80,$AB$6:$AB$127)*R$5,0)</f>
        <v>#REF!</v>
      </c>
      <c r="S80" s="26" t="e">
        <f ca="1">IF(AND(COLUMN()&gt;=11,COLUMN()&lt;=20),(_xlfn.XLOOKUP($A80,#REF!,#REF!))/SUMIF($A$7:$AC$128,$A80,$AB$6:$AB$127)*S$5,0)</f>
        <v>#REF!</v>
      </c>
      <c r="T80" s="26" t="e">
        <f ca="1">IF(AND(COLUMN()&gt;=11,COLUMN()&lt;=20),(_xlfn.XLOOKUP($A80,#REF!,#REF!))/SUMIF($A$7:$AC$128,$A80,$AB$6:$AB$127)*T$5,0)</f>
        <v>#REF!</v>
      </c>
      <c r="U80" s="26">
        <f>IF(AND(COLUMN()&gt;=11,COLUMN()&lt;=20),(_xlfn.XLOOKUP($A80,#REF!,#REF!))/SUMIF($A$7:$AC$128,$A80,$AB$6:$AB$127)*U$5,0)</f>
        <v>0</v>
      </c>
      <c r="V80" s="26">
        <f>IF(AND(COLUMN()&gt;=11,COLUMN()&lt;=20),(_xlfn.XLOOKUP($A80,#REF!,#REF!))/SUMIF($A$7:$AC$128,$A80,$AB$6:$AB$127)*V$5,0)</f>
        <v>0</v>
      </c>
      <c r="W80" s="26">
        <f>IF(AND(COLUMN()&gt;=11,COLUMN()&lt;=20),(_xlfn.XLOOKUP($A80,#REF!,#REF!))/SUMIF($A$7:$AC$128,$A80,$AB$6:$AB$127)*W$5,0)</f>
        <v>0</v>
      </c>
      <c r="X80" s="26">
        <f>IF(AND(COLUMN()&gt;=11,COLUMN()&lt;=20),(_xlfn.XLOOKUP($A80,#REF!,#REF!))/SUMIF($A$7:$AC$128,$A80,$AB$6:$AB$127)*X$5,0)</f>
        <v>0</v>
      </c>
      <c r="Y80" s="26">
        <f>IF(AND(COLUMN()&gt;=11,COLUMN()&lt;=20),(_xlfn.XLOOKUP($A80,#REF!,#REF!))/SUMIF($A$7:$AC$128,$A80,$AB$6:$AB$127)*Y$5,0)</f>
        <v>0</v>
      </c>
      <c r="Z80" s="26">
        <f>IF(AND(COLUMN()&gt;=11,COLUMN()&lt;=20),(_xlfn.XLOOKUP($A80,#REF!,#REF!))/SUMIF($A$7:$AC$128,$A80,$AB$6:$AB$127)*Z$5,0)</f>
        <v>0</v>
      </c>
      <c r="AA80" s="26" t="e">
        <f t="shared" ref="AA80:AA91" ca="1" si="12">SUM(C80:Z80)</f>
        <v>#REF!</v>
      </c>
      <c r="AB80" s="19">
        <f t="shared" si="10"/>
        <v>31</v>
      </c>
      <c r="AC80" s="20" t="e">
        <f t="shared" ca="1" si="11"/>
        <v>#REF!</v>
      </c>
      <c r="AD80" s="30" t="e">
        <f>#REF!/SUMIF(#REF!,'Curva de la oferta Prod 3'!$A80,#REF!)</f>
        <v>#REF!</v>
      </c>
      <c r="AE80" s="28"/>
      <c r="AF80" s="31"/>
      <c r="AG80" s="31"/>
      <c r="AH80" s="31"/>
      <c r="AI80" s="31"/>
      <c r="AJ80" s="31"/>
      <c r="AK80" s="31"/>
    </row>
    <row r="81" spans="1:37" ht="14.5" x14ac:dyDescent="0.35">
      <c r="A81" s="15">
        <f t="shared" si="9"/>
        <v>2032</v>
      </c>
      <c r="B81" s="18">
        <v>48245</v>
      </c>
      <c r="C81" s="26">
        <f>IF(AND(COLUMN()&gt;=11,COLUMN()&lt;=20),(_xlfn.XLOOKUP($A81,#REF!,#REF!))/SUMIF($A$7:$AC$128,$A81,$AB$6:$AB$127)*C$5,0)</f>
        <v>0</v>
      </c>
      <c r="D81" s="26">
        <f>IF(AND(COLUMN()&gt;=11,COLUMN()&lt;=20),(_xlfn.XLOOKUP($A81,#REF!,#REF!))/SUMIF($A$7:$AC$128,$A81,$AB$6:$AB$127)*D$5,0)</f>
        <v>0</v>
      </c>
      <c r="E81" s="26">
        <f>IF(AND(COLUMN()&gt;=11,COLUMN()&lt;=20),(_xlfn.XLOOKUP($A81,#REF!,#REF!))/SUMIF($A$7:$AC$128,$A81,$AB$6:$AB$127)*E$5,0)</f>
        <v>0</v>
      </c>
      <c r="F81" s="26">
        <f>IF(AND(COLUMN()&gt;=11,COLUMN()&lt;=20),(_xlfn.XLOOKUP($A81,#REF!,#REF!))/SUMIF($A$7:$AC$128,$A81,$AB$6:$AB$127)*F$5,0)</f>
        <v>0</v>
      </c>
      <c r="G81" s="26">
        <f>IF(AND(COLUMN()&gt;=11,COLUMN()&lt;=20),(_xlfn.XLOOKUP($A81,#REF!,#REF!))/SUMIF($A$7:$AC$128,$A81,$AB$6:$AB$127)*G$5,0)</f>
        <v>0</v>
      </c>
      <c r="H81" s="26">
        <f>IF(AND(COLUMN()&gt;=11,COLUMN()&lt;=20),(_xlfn.XLOOKUP($A81,#REF!,#REF!))/SUMIF($A$7:$AC$128,$A81,$AB$6:$AB$127)*H$5,0)</f>
        <v>0</v>
      </c>
      <c r="I81" s="26">
        <f>IF(AND(COLUMN()&gt;=11,COLUMN()&lt;=20),(_xlfn.XLOOKUP($A81,#REF!,#REF!))/SUMIF($A$7:$AC$128,$A81,$AB$6:$AB$127)*I$5,0)</f>
        <v>0</v>
      </c>
      <c r="J81" s="26">
        <f>IF(AND(COLUMN()&gt;=11,COLUMN()&lt;=20),(_xlfn.XLOOKUP($A81,#REF!,#REF!))/SUMIF($A$7:$AC$128,$A81,$AB$6:$AB$127)*J$5,0)</f>
        <v>0</v>
      </c>
      <c r="K81" s="26" t="e">
        <f ca="1">IF(AND(COLUMN()&gt;=11,COLUMN()&lt;=20),(_xlfn.XLOOKUP($A81,#REF!,#REF!))/SUMIF($A$7:$AC$128,$A81,$AB$6:$AB$127)*K$5,0)</f>
        <v>#REF!</v>
      </c>
      <c r="L81" s="26" t="e">
        <f ca="1">IF(AND(COLUMN()&gt;=11,COLUMN()&lt;=20),(_xlfn.XLOOKUP($A81,#REF!,#REF!))/SUMIF($A$7:$AC$128,$A81,$AB$6:$AB$127)*L$5,0)</f>
        <v>#REF!</v>
      </c>
      <c r="M81" s="26" t="e">
        <f ca="1">IF(AND(COLUMN()&gt;=11,COLUMN()&lt;=20),(_xlfn.XLOOKUP($A81,#REF!,#REF!))/SUMIF($A$7:$AC$128,$A81,$AB$6:$AB$127)*M$5,0)</f>
        <v>#REF!</v>
      </c>
      <c r="N81" s="26" t="e">
        <f ca="1">IF(AND(COLUMN()&gt;=11,COLUMN()&lt;=20),(_xlfn.XLOOKUP($A81,#REF!,#REF!))/SUMIF($A$7:$AC$128,$A81,$AB$6:$AB$127)*N$5,0)</f>
        <v>#REF!</v>
      </c>
      <c r="O81" s="26" t="e">
        <f ca="1">IF(AND(COLUMN()&gt;=11,COLUMN()&lt;=20),(_xlfn.XLOOKUP($A81,#REF!,#REF!))/SUMIF($A$7:$AC$128,$A81,$AB$6:$AB$127)*O$5,0)</f>
        <v>#REF!</v>
      </c>
      <c r="P81" s="26" t="e">
        <f ca="1">IF(AND(COLUMN()&gt;=11,COLUMN()&lt;=20),(_xlfn.XLOOKUP($A81,#REF!,#REF!))/SUMIF($A$7:$AC$128,$A81,$AB$6:$AB$127)*P$5,0)</f>
        <v>#REF!</v>
      </c>
      <c r="Q81" s="26" t="e">
        <f ca="1">IF(AND(COLUMN()&gt;=11,COLUMN()&lt;=20),(_xlfn.XLOOKUP($A81,#REF!,#REF!))/SUMIF($A$7:$AC$128,$A81,$AB$6:$AB$127)*Q$5,0)</f>
        <v>#REF!</v>
      </c>
      <c r="R81" s="26" t="e">
        <f ca="1">IF(AND(COLUMN()&gt;=11,COLUMN()&lt;=20),(_xlfn.XLOOKUP($A81,#REF!,#REF!))/SUMIF($A$7:$AC$128,$A81,$AB$6:$AB$127)*R$5,0)</f>
        <v>#REF!</v>
      </c>
      <c r="S81" s="26" t="e">
        <f ca="1">IF(AND(COLUMN()&gt;=11,COLUMN()&lt;=20),(_xlfn.XLOOKUP($A81,#REF!,#REF!))/SUMIF($A$7:$AC$128,$A81,$AB$6:$AB$127)*S$5,0)</f>
        <v>#REF!</v>
      </c>
      <c r="T81" s="26" t="e">
        <f ca="1">IF(AND(COLUMN()&gt;=11,COLUMN()&lt;=20),(_xlfn.XLOOKUP($A81,#REF!,#REF!))/SUMIF($A$7:$AC$128,$A81,$AB$6:$AB$127)*T$5,0)</f>
        <v>#REF!</v>
      </c>
      <c r="U81" s="26">
        <f>IF(AND(COLUMN()&gt;=11,COLUMN()&lt;=20),(_xlfn.XLOOKUP($A81,#REF!,#REF!))/SUMIF($A$7:$AC$128,$A81,$AB$6:$AB$127)*U$5,0)</f>
        <v>0</v>
      </c>
      <c r="V81" s="26">
        <f>IF(AND(COLUMN()&gt;=11,COLUMN()&lt;=20),(_xlfn.XLOOKUP($A81,#REF!,#REF!))/SUMIF($A$7:$AC$128,$A81,$AB$6:$AB$127)*V$5,0)</f>
        <v>0</v>
      </c>
      <c r="W81" s="26">
        <f>IF(AND(COLUMN()&gt;=11,COLUMN()&lt;=20),(_xlfn.XLOOKUP($A81,#REF!,#REF!))/SUMIF($A$7:$AC$128,$A81,$AB$6:$AB$127)*W$5,0)</f>
        <v>0</v>
      </c>
      <c r="X81" s="26">
        <f>IF(AND(COLUMN()&gt;=11,COLUMN()&lt;=20),(_xlfn.XLOOKUP($A81,#REF!,#REF!))/SUMIF($A$7:$AC$128,$A81,$AB$6:$AB$127)*X$5,0)</f>
        <v>0</v>
      </c>
      <c r="Y81" s="26">
        <f>IF(AND(COLUMN()&gt;=11,COLUMN()&lt;=20),(_xlfn.XLOOKUP($A81,#REF!,#REF!))/SUMIF($A$7:$AC$128,$A81,$AB$6:$AB$127)*Y$5,0)</f>
        <v>0</v>
      </c>
      <c r="Z81" s="26">
        <f>IF(AND(COLUMN()&gt;=11,COLUMN()&lt;=20),(_xlfn.XLOOKUP($A81,#REF!,#REF!))/SUMIF($A$7:$AC$128,$A81,$AB$6:$AB$127)*Z$5,0)</f>
        <v>0</v>
      </c>
      <c r="AA81" s="26" t="e">
        <f t="shared" ca="1" si="12"/>
        <v>#REF!</v>
      </c>
      <c r="AB81" s="19">
        <f t="shared" si="10"/>
        <v>29</v>
      </c>
      <c r="AC81" s="20" t="e">
        <f t="shared" ca="1" si="11"/>
        <v>#REF!</v>
      </c>
      <c r="AD81" s="30" t="e">
        <f>#REF!/SUMIF(#REF!,'Curva de la oferta Prod 3'!$A81,#REF!)</f>
        <v>#REF!</v>
      </c>
      <c r="AE81" s="28"/>
      <c r="AF81" s="31"/>
      <c r="AG81" s="31"/>
      <c r="AH81" s="31"/>
      <c r="AI81" s="31"/>
      <c r="AJ81" s="31"/>
      <c r="AK81" s="31"/>
    </row>
    <row r="82" spans="1:37" ht="14.5" x14ac:dyDescent="0.35">
      <c r="A82" s="15">
        <f t="shared" si="9"/>
        <v>2032</v>
      </c>
      <c r="B82" s="18">
        <v>48274</v>
      </c>
      <c r="C82" s="26">
        <f>IF(AND(COLUMN()&gt;=11,COLUMN()&lt;=20),(_xlfn.XLOOKUP($A82,#REF!,#REF!))/SUMIF($A$7:$AC$128,$A82,$AB$6:$AB$127)*C$5,0)</f>
        <v>0</v>
      </c>
      <c r="D82" s="26">
        <f>IF(AND(COLUMN()&gt;=11,COLUMN()&lt;=20),(_xlfn.XLOOKUP($A82,#REF!,#REF!))/SUMIF($A$7:$AC$128,$A82,$AB$6:$AB$127)*D$5,0)</f>
        <v>0</v>
      </c>
      <c r="E82" s="26">
        <f>IF(AND(COLUMN()&gt;=11,COLUMN()&lt;=20),(_xlfn.XLOOKUP($A82,#REF!,#REF!))/SUMIF($A$7:$AC$128,$A82,$AB$6:$AB$127)*E$5,0)</f>
        <v>0</v>
      </c>
      <c r="F82" s="26">
        <f>IF(AND(COLUMN()&gt;=11,COLUMN()&lt;=20),(_xlfn.XLOOKUP($A82,#REF!,#REF!))/SUMIF($A$7:$AC$128,$A82,$AB$6:$AB$127)*F$5,0)</f>
        <v>0</v>
      </c>
      <c r="G82" s="26">
        <f>IF(AND(COLUMN()&gt;=11,COLUMN()&lt;=20),(_xlfn.XLOOKUP($A82,#REF!,#REF!))/SUMIF($A$7:$AC$128,$A82,$AB$6:$AB$127)*G$5,0)</f>
        <v>0</v>
      </c>
      <c r="H82" s="26">
        <f>IF(AND(COLUMN()&gt;=11,COLUMN()&lt;=20),(_xlfn.XLOOKUP($A82,#REF!,#REF!))/SUMIF($A$7:$AC$128,$A82,$AB$6:$AB$127)*H$5,0)</f>
        <v>0</v>
      </c>
      <c r="I82" s="26">
        <f>IF(AND(COLUMN()&gt;=11,COLUMN()&lt;=20),(_xlfn.XLOOKUP($A82,#REF!,#REF!))/SUMIF($A$7:$AC$128,$A82,$AB$6:$AB$127)*I$5,0)</f>
        <v>0</v>
      </c>
      <c r="J82" s="26">
        <f>IF(AND(COLUMN()&gt;=11,COLUMN()&lt;=20),(_xlfn.XLOOKUP($A82,#REF!,#REF!))/SUMIF($A$7:$AC$128,$A82,$AB$6:$AB$127)*J$5,0)</f>
        <v>0</v>
      </c>
      <c r="K82" s="26" t="e">
        <f ca="1">IF(AND(COLUMN()&gt;=11,COLUMN()&lt;=20),(_xlfn.XLOOKUP($A82,#REF!,#REF!))/SUMIF($A$7:$AC$128,$A82,$AB$6:$AB$127)*K$5,0)</f>
        <v>#REF!</v>
      </c>
      <c r="L82" s="26" t="e">
        <f ca="1">IF(AND(COLUMN()&gt;=11,COLUMN()&lt;=20),(_xlfn.XLOOKUP($A82,#REF!,#REF!))/SUMIF($A$7:$AC$128,$A82,$AB$6:$AB$127)*L$5,0)</f>
        <v>#REF!</v>
      </c>
      <c r="M82" s="26" t="e">
        <f ca="1">IF(AND(COLUMN()&gt;=11,COLUMN()&lt;=20),(_xlfn.XLOOKUP($A82,#REF!,#REF!))/SUMIF($A$7:$AC$128,$A82,$AB$6:$AB$127)*M$5,0)</f>
        <v>#REF!</v>
      </c>
      <c r="N82" s="26" t="e">
        <f ca="1">IF(AND(COLUMN()&gt;=11,COLUMN()&lt;=20),(_xlfn.XLOOKUP($A82,#REF!,#REF!))/SUMIF($A$7:$AC$128,$A82,$AB$6:$AB$127)*N$5,0)</f>
        <v>#REF!</v>
      </c>
      <c r="O82" s="26" t="e">
        <f ca="1">IF(AND(COLUMN()&gt;=11,COLUMN()&lt;=20),(_xlfn.XLOOKUP($A82,#REF!,#REF!))/SUMIF($A$7:$AC$128,$A82,$AB$6:$AB$127)*O$5,0)</f>
        <v>#REF!</v>
      </c>
      <c r="P82" s="26" t="e">
        <f ca="1">IF(AND(COLUMN()&gt;=11,COLUMN()&lt;=20),(_xlfn.XLOOKUP($A82,#REF!,#REF!))/SUMIF($A$7:$AC$128,$A82,$AB$6:$AB$127)*P$5,0)</f>
        <v>#REF!</v>
      </c>
      <c r="Q82" s="26" t="e">
        <f ca="1">IF(AND(COLUMN()&gt;=11,COLUMN()&lt;=20),(_xlfn.XLOOKUP($A82,#REF!,#REF!))/SUMIF($A$7:$AC$128,$A82,$AB$6:$AB$127)*Q$5,0)</f>
        <v>#REF!</v>
      </c>
      <c r="R82" s="26" t="e">
        <f ca="1">IF(AND(COLUMN()&gt;=11,COLUMN()&lt;=20),(_xlfn.XLOOKUP($A82,#REF!,#REF!))/SUMIF($A$7:$AC$128,$A82,$AB$6:$AB$127)*R$5,0)</f>
        <v>#REF!</v>
      </c>
      <c r="S82" s="26" t="e">
        <f ca="1">IF(AND(COLUMN()&gt;=11,COLUMN()&lt;=20),(_xlfn.XLOOKUP($A82,#REF!,#REF!))/SUMIF($A$7:$AC$128,$A82,$AB$6:$AB$127)*S$5,0)</f>
        <v>#REF!</v>
      </c>
      <c r="T82" s="26" t="e">
        <f ca="1">IF(AND(COLUMN()&gt;=11,COLUMN()&lt;=20),(_xlfn.XLOOKUP($A82,#REF!,#REF!))/SUMIF($A$7:$AC$128,$A82,$AB$6:$AB$127)*T$5,0)</f>
        <v>#REF!</v>
      </c>
      <c r="U82" s="26">
        <f>IF(AND(COLUMN()&gt;=11,COLUMN()&lt;=20),(_xlfn.XLOOKUP($A82,#REF!,#REF!))/SUMIF($A$7:$AC$128,$A82,$AB$6:$AB$127)*U$5,0)</f>
        <v>0</v>
      </c>
      <c r="V82" s="26">
        <f>IF(AND(COLUMN()&gt;=11,COLUMN()&lt;=20),(_xlfn.XLOOKUP($A82,#REF!,#REF!))/SUMIF($A$7:$AC$128,$A82,$AB$6:$AB$127)*V$5,0)</f>
        <v>0</v>
      </c>
      <c r="W82" s="26">
        <f>IF(AND(COLUMN()&gt;=11,COLUMN()&lt;=20),(_xlfn.XLOOKUP($A82,#REF!,#REF!))/SUMIF($A$7:$AC$128,$A82,$AB$6:$AB$127)*W$5,0)</f>
        <v>0</v>
      </c>
      <c r="X82" s="26">
        <f>IF(AND(COLUMN()&gt;=11,COLUMN()&lt;=20),(_xlfn.XLOOKUP($A82,#REF!,#REF!))/SUMIF($A$7:$AC$128,$A82,$AB$6:$AB$127)*X$5,0)</f>
        <v>0</v>
      </c>
      <c r="Y82" s="26">
        <f>IF(AND(COLUMN()&gt;=11,COLUMN()&lt;=20),(_xlfn.XLOOKUP($A82,#REF!,#REF!))/SUMIF($A$7:$AC$128,$A82,$AB$6:$AB$127)*Y$5,0)</f>
        <v>0</v>
      </c>
      <c r="Z82" s="26">
        <f>IF(AND(COLUMN()&gt;=11,COLUMN()&lt;=20),(_xlfn.XLOOKUP($A82,#REF!,#REF!))/SUMIF($A$7:$AC$128,$A82,$AB$6:$AB$127)*Z$5,0)</f>
        <v>0</v>
      </c>
      <c r="AA82" s="26" t="e">
        <f t="shared" ca="1" si="12"/>
        <v>#REF!</v>
      </c>
      <c r="AB82" s="19">
        <f t="shared" si="10"/>
        <v>31</v>
      </c>
      <c r="AC82" s="20" t="e">
        <f t="shared" ca="1" si="11"/>
        <v>#REF!</v>
      </c>
      <c r="AD82" s="30" t="e">
        <f>#REF!/SUMIF(#REF!,'Curva de la oferta Prod 3'!$A82,#REF!)</f>
        <v>#REF!</v>
      </c>
      <c r="AE82" s="28"/>
      <c r="AF82" s="31"/>
      <c r="AG82" s="31"/>
      <c r="AH82" s="31"/>
      <c r="AI82" s="31"/>
      <c r="AJ82" s="31"/>
      <c r="AK82" s="31"/>
    </row>
    <row r="83" spans="1:37" ht="14.5" x14ac:dyDescent="0.35">
      <c r="A83" s="15">
        <f t="shared" si="9"/>
        <v>2032</v>
      </c>
      <c r="B83" s="18">
        <v>48305</v>
      </c>
      <c r="C83" s="26">
        <f>IF(AND(COLUMN()&gt;=11,COLUMN()&lt;=20),(_xlfn.XLOOKUP($A83,#REF!,#REF!))/SUMIF($A$7:$AC$128,$A83,$AB$6:$AB$127)*C$5,0)</f>
        <v>0</v>
      </c>
      <c r="D83" s="26">
        <f>IF(AND(COLUMN()&gt;=11,COLUMN()&lt;=20),(_xlfn.XLOOKUP($A83,#REF!,#REF!))/SUMIF($A$7:$AC$128,$A83,$AB$6:$AB$127)*D$5,0)</f>
        <v>0</v>
      </c>
      <c r="E83" s="26">
        <f>IF(AND(COLUMN()&gt;=11,COLUMN()&lt;=20),(_xlfn.XLOOKUP($A83,#REF!,#REF!))/SUMIF($A$7:$AC$128,$A83,$AB$6:$AB$127)*E$5,0)</f>
        <v>0</v>
      </c>
      <c r="F83" s="26">
        <f>IF(AND(COLUMN()&gt;=11,COLUMN()&lt;=20),(_xlfn.XLOOKUP($A83,#REF!,#REF!))/SUMIF($A$7:$AC$128,$A83,$AB$6:$AB$127)*F$5,0)</f>
        <v>0</v>
      </c>
      <c r="G83" s="26">
        <f>IF(AND(COLUMN()&gt;=11,COLUMN()&lt;=20),(_xlfn.XLOOKUP($A83,#REF!,#REF!))/SUMIF($A$7:$AC$128,$A83,$AB$6:$AB$127)*G$5,0)</f>
        <v>0</v>
      </c>
      <c r="H83" s="26">
        <f>IF(AND(COLUMN()&gt;=11,COLUMN()&lt;=20),(_xlfn.XLOOKUP($A83,#REF!,#REF!))/SUMIF($A$7:$AC$128,$A83,$AB$6:$AB$127)*H$5,0)</f>
        <v>0</v>
      </c>
      <c r="I83" s="26">
        <f>IF(AND(COLUMN()&gt;=11,COLUMN()&lt;=20),(_xlfn.XLOOKUP($A83,#REF!,#REF!))/SUMIF($A$7:$AC$128,$A83,$AB$6:$AB$127)*I$5,0)</f>
        <v>0</v>
      </c>
      <c r="J83" s="26">
        <f>IF(AND(COLUMN()&gt;=11,COLUMN()&lt;=20),(_xlfn.XLOOKUP($A83,#REF!,#REF!))/SUMIF($A$7:$AC$128,$A83,$AB$6:$AB$127)*J$5,0)</f>
        <v>0</v>
      </c>
      <c r="K83" s="26" t="e">
        <f ca="1">IF(AND(COLUMN()&gt;=11,COLUMN()&lt;=20),(_xlfn.XLOOKUP($A83,#REF!,#REF!))/SUMIF($A$7:$AC$128,$A83,$AB$6:$AB$127)*K$5,0)</f>
        <v>#REF!</v>
      </c>
      <c r="L83" s="26" t="e">
        <f ca="1">IF(AND(COLUMN()&gt;=11,COLUMN()&lt;=20),(_xlfn.XLOOKUP($A83,#REF!,#REF!))/SUMIF($A$7:$AC$128,$A83,$AB$6:$AB$127)*L$5,0)</f>
        <v>#REF!</v>
      </c>
      <c r="M83" s="26" t="e">
        <f ca="1">IF(AND(COLUMN()&gt;=11,COLUMN()&lt;=20),(_xlfn.XLOOKUP($A83,#REF!,#REF!))/SUMIF($A$7:$AC$128,$A83,$AB$6:$AB$127)*M$5,0)</f>
        <v>#REF!</v>
      </c>
      <c r="N83" s="26" t="e">
        <f ca="1">IF(AND(COLUMN()&gt;=11,COLUMN()&lt;=20),(_xlfn.XLOOKUP($A83,#REF!,#REF!))/SUMIF($A$7:$AC$128,$A83,$AB$6:$AB$127)*N$5,0)</f>
        <v>#REF!</v>
      </c>
      <c r="O83" s="26" t="e">
        <f ca="1">IF(AND(COLUMN()&gt;=11,COLUMN()&lt;=20),(_xlfn.XLOOKUP($A83,#REF!,#REF!))/SUMIF($A$7:$AC$128,$A83,$AB$6:$AB$127)*O$5,0)</f>
        <v>#REF!</v>
      </c>
      <c r="P83" s="26" t="e">
        <f ca="1">IF(AND(COLUMN()&gt;=11,COLUMN()&lt;=20),(_xlfn.XLOOKUP($A83,#REF!,#REF!))/SUMIF($A$7:$AC$128,$A83,$AB$6:$AB$127)*P$5,0)</f>
        <v>#REF!</v>
      </c>
      <c r="Q83" s="26" t="e">
        <f ca="1">IF(AND(COLUMN()&gt;=11,COLUMN()&lt;=20),(_xlfn.XLOOKUP($A83,#REF!,#REF!))/SUMIF($A$7:$AC$128,$A83,$AB$6:$AB$127)*Q$5,0)</f>
        <v>#REF!</v>
      </c>
      <c r="R83" s="26" t="e">
        <f ca="1">IF(AND(COLUMN()&gt;=11,COLUMN()&lt;=20),(_xlfn.XLOOKUP($A83,#REF!,#REF!))/SUMIF($A$7:$AC$128,$A83,$AB$6:$AB$127)*R$5,0)</f>
        <v>#REF!</v>
      </c>
      <c r="S83" s="26" t="e">
        <f ca="1">IF(AND(COLUMN()&gt;=11,COLUMN()&lt;=20),(_xlfn.XLOOKUP($A83,#REF!,#REF!))/SUMIF($A$7:$AC$128,$A83,$AB$6:$AB$127)*S$5,0)</f>
        <v>#REF!</v>
      </c>
      <c r="T83" s="26" t="e">
        <f ca="1">IF(AND(COLUMN()&gt;=11,COLUMN()&lt;=20),(_xlfn.XLOOKUP($A83,#REF!,#REF!))/SUMIF($A$7:$AC$128,$A83,$AB$6:$AB$127)*T$5,0)</f>
        <v>#REF!</v>
      </c>
      <c r="U83" s="26">
        <f>IF(AND(COLUMN()&gt;=11,COLUMN()&lt;=20),(_xlfn.XLOOKUP($A83,#REF!,#REF!))/SUMIF($A$7:$AC$128,$A83,$AB$6:$AB$127)*U$5,0)</f>
        <v>0</v>
      </c>
      <c r="V83" s="26">
        <f>IF(AND(COLUMN()&gt;=11,COLUMN()&lt;=20),(_xlfn.XLOOKUP($A83,#REF!,#REF!))/SUMIF($A$7:$AC$128,$A83,$AB$6:$AB$127)*V$5,0)</f>
        <v>0</v>
      </c>
      <c r="W83" s="26">
        <f>IF(AND(COLUMN()&gt;=11,COLUMN()&lt;=20),(_xlfn.XLOOKUP($A83,#REF!,#REF!))/SUMIF($A$7:$AC$128,$A83,$AB$6:$AB$127)*W$5,0)</f>
        <v>0</v>
      </c>
      <c r="X83" s="26">
        <f>IF(AND(COLUMN()&gt;=11,COLUMN()&lt;=20),(_xlfn.XLOOKUP($A83,#REF!,#REF!))/SUMIF($A$7:$AC$128,$A83,$AB$6:$AB$127)*X$5,0)</f>
        <v>0</v>
      </c>
      <c r="Y83" s="26">
        <f>IF(AND(COLUMN()&gt;=11,COLUMN()&lt;=20),(_xlfn.XLOOKUP($A83,#REF!,#REF!))/SUMIF($A$7:$AC$128,$A83,$AB$6:$AB$127)*Y$5,0)</f>
        <v>0</v>
      </c>
      <c r="Z83" s="26">
        <f>IF(AND(COLUMN()&gt;=11,COLUMN()&lt;=20),(_xlfn.XLOOKUP($A83,#REF!,#REF!))/SUMIF($A$7:$AC$128,$A83,$AB$6:$AB$127)*Z$5,0)</f>
        <v>0</v>
      </c>
      <c r="AA83" s="26" t="e">
        <f t="shared" ca="1" si="12"/>
        <v>#REF!</v>
      </c>
      <c r="AB83" s="19">
        <f t="shared" si="10"/>
        <v>30</v>
      </c>
      <c r="AC83" s="20" t="e">
        <f t="shared" ca="1" si="11"/>
        <v>#REF!</v>
      </c>
      <c r="AD83" s="30" t="e">
        <f>#REF!/SUMIF(#REF!,'Curva de la oferta Prod 3'!$A83,#REF!)</f>
        <v>#REF!</v>
      </c>
      <c r="AE83" s="28"/>
      <c r="AF83" s="31"/>
      <c r="AG83" s="31"/>
      <c r="AH83" s="31"/>
      <c r="AI83" s="31"/>
      <c r="AJ83" s="31"/>
      <c r="AK83" s="31"/>
    </row>
    <row r="84" spans="1:37" ht="14.5" x14ac:dyDescent="0.35">
      <c r="A84" s="15">
        <f t="shared" si="9"/>
        <v>2032</v>
      </c>
      <c r="B84" s="18">
        <v>48335</v>
      </c>
      <c r="C84" s="26">
        <f>IF(AND(COLUMN()&gt;=11,COLUMN()&lt;=20),(_xlfn.XLOOKUP($A84,#REF!,#REF!))/SUMIF($A$7:$AC$128,$A84,$AB$6:$AB$127)*C$5,0)</f>
        <v>0</v>
      </c>
      <c r="D84" s="26">
        <f>IF(AND(COLUMN()&gt;=11,COLUMN()&lt;=20),(_xlfn.XLOOKUP($A84,#REF!,#REF!))/SUMIF($A$7:$AC$128,$A84,$AB$6:$AB$127)*D$5,0)</f>
        <v>0</v>
      </c>
      <c r="E84" s="26">
        <f>IF(AND(COLUMN()&gt;=11,COLUMN()&lt;=20),(_xlfn.XLOOKUP($A84,#REF!,#REF!))/SUMIF($A$7:$AC$128,$A84,$AB$6:$AB$127)*E$5,0)</f>
        <v>0</v>
      </c>
      <c r="F84" s="26">
        <f>IF(AND(COLUMN()&gt;=11,COLUMN()&lt;=20),(_xlfn.XLOOKUP($A84,#REF!,#REF!))/SUMIF($A$7:$AC$128,$A84,$AB$6:$AB$127)*F$5,0)</f>
        <v>0</v>
      </c>
      <c r="G84" s="26">
        <f>IF(AND(COLUMN()&gt;=11,COLUMN()&lt;=20),(_xlfn.XLOOKUP($A84,#REF!,#REF!))/SUMIF($A$7:$AC$128,$A84,$AB$6:$AB$127)*G$5,0)</f>
        <v>0</v>
      </c>
      <c r="H84" s="26">
        <f>IF(AND(COLUMN()&gt;=11,COLUMN()&lt;=20),(_xlfn.XLOOKUP($A84,#REF!,#REF!))/SUMIF($A$7:$AC$128,$A84,$AB$6:$AB$127)*H$5,0)</f>
        <v>0</v>
      </c>
      <c r="I84" s="26">
        <f>IF(AND(COLUMN()&gt;=11,COLUMN()&lt;=20),(_xlfn.XLOOKUP($A84,#REF!,#REF!))/SUMIF($A$7:$AC$128,$A84,$AB$6:$AB$127)*I$5,0)</f>
        <v>0</v>
      </c>
      <c r="J84" s="26">
        <f>IF(AND(COLUMN()&gt;=11,COLUMN()&lt;=20),(_xlfn.XLOOKUP($A84,#REF!,#REF!))/SUMIF($A$7:$AC$128,$A84,$AB$6:$AB$127)*J$5,0)</f>
        <v>0</v>
      </c>
      <c r="K84" s="26" t="e">
        <f ca="1">IF(AND(COLUMN()&gt;=11,COLUMN()&lt;=20),(_xlfn.XLOOKUP($A84,#REF!,#REF!))/SUMIF($A$7:$AC$128,$A84,$AB$6:$AB$127)*K$5,0)</f>
        <v>#REF!</v>
      </c>
      <c r="L84" s="26" t="e">
        <f ca="1">IF(AND(COLUMN()&gt;=11,COLUMN()&lt;=20),(_xlfn.XLOOKUP($A84,#REF!,#REF!))/SUMIF($A$7:$AC$128,$A84,$AB$6:$AB$127)*L$5,0)</f>
        <v>#REF!</v>
      </c>
      <c r="M84" s="26" t="e">
        <f ca="1">IF(AND(COLUMN()&gt;=11,COLUMN()&lt;=20),(_xlfn.XLOOKUP($A84,#REF!,#REF!))/SUMIF($A$7:$AC$128,$A84,$AB$6:$AB$127)*M$5,0)</f>
        <v>#REF!</v>
      </c>
      <c r="N84" s="26" t="e">
        <f ca="1">IF(AND(COLUMN()&gt;=11,COLUMN()&lt;=20),(_xlfn.XLOOKUP($A84,#REF!,#REF!))/SUMIF($A$7:$AC$128,$A84,$AB$6:$AB$127)*N$5,0)</f>
        <v>#REF!</v>
      </c>
      <c r="O84" s="26" t="e">
        <f ca="1">IF(AND(COLUMN()&gt;=11,COLUMN()&lt;=20),(_xlfn.XLOOKUP($A84,#REF!,#REF!))/SUMIF($A$7:$AC$128,$A84,$AB$6:$AB$127)*O$5,0)</f>
        <v>#REF!</v>
      </c>
      <c r="P84" s="26" t="e">
        <f ca="1">IF(AND(COLUMN()&gt;=11,COLUMN()&lt;=20),(_xlfn.XLOOKUP($A84,#REF!,#REF!))/SUMIF($A$7:$AC$128,$A84,$AB$6:$AB$127)*P$5,0)</f>
        <v>#REF!</v>
      </c>
      <c r="Q84" s="26" t="e">
        <f ca="1">IF(AND(COLUMN()&gt;=11,COLUMN()&lt;=20),(_xlfn.XLOOKUP($A84,#REF!,#REF!))/SUMIF($A$7:$AC$128,$A84,$AB$6:$AB$127)*Q$5,0)</f>
        <v>#REF!</v>
      </c>
      <c r="R84" s="26" t="e">
        <f ca="1">IF(AND(COLUMN()&gt;=11,COLUMN()&lt;=20),(_xlfn.XLOOKUP($A84,#REF!,#REF!))/SUMIF($A$7:$AC$128,$A84,$AB$6:$AB$127)*R$5,0)</f>
        <v>#REF!</v>
      </c>
      <c r="S84" s="26" t="e">
        <f ca="1">IF(AND(COLUMN()&gt;=11,COLUMN()&lt;=20),(_xlfn.XLOOKUP($A84,#REF!,#REF!))/SUMIF($A$7:$AC$128,$A84,$AB$6:$AB$127)*S$5,0)</f>
        <v>#REF!</v>
      </c>
      <c r="T84" s="26" t="e">
        <f ca="1">IF(AND(COLUMN()&gt;=11,COLUMN()&lt;=20),(_xlfn.XLOOKUP($A84,#REF!,#REF!))/SUMIF($A$7:$AC$128,$A84,$AB$6:$AB$127)*T$5,0)</f>
        <v>#REF!</v>
      </c>
      <c r="U84" s="26">
        <f>IF(AND(COLUMN()&gt;=11,COLUMN()&lt;=20),(_xlfn.XLOOKUP($A84,#REF!,#REF!))/SUMIF($A$7:$AC$128,$A84,$AB$6:$AB$127)*U$5,0)</f>
        <v>0</v>
      </c>
      <c r="V84" s="26">
        <f>IF(AND(COLUMN()&gt;=11,COLUMN()&lt;=20),(_xlfn.XLOOKUP($A84,#REF!,#REF!))/SUMIF($A$7:$AC$128,$A84,$AB$6:$AB$127)*V$5,0)</f>
        <v>0</v>
      </c>
      <c r="W84" s="26">
        <f>IF(AND(COLUMN()&gt;=11,COLUMN()&lt;=20),(_xlfn.XLOOKUP($A84,#REF!,#REF!))/SUMIF($A$7:$AC$128,$A84,$AB$6:$AB$127)*W$5,0)</f>
        <v>0</v>
      </c>
      <c r="X84" s="26">
        <f>IF(AND(COLUMN()&gt;=11,COLUMN()&lt;=20),(_xlfn.XLOOKUP($A84,#REF!,#REF!))/SUMIF($A$7:$AC$128,$A84,$AB$6:$AB$127)*X$5,0)</f>
        <v>0</v>
      </c>
      <c r="Y84" s="26">
        <f>IF(AND(COLUMN()&gt;=11,COLUMN()&lt;=20),(_xlfn.XLOOKUP($A84,#REF!,#REF!))/SUMIF($A$7:$AC$128,$A84,$AB$6:$AB$127)*Y$5,0)</f>
        <v>0</v>
      </c>
      <c r="Z84" s="26">
        <f>IF(AND(COLUMN()&gt;=11,COLUMN()&lt;=20),(_xlfn.XLOOKUP($A84,#REF!,#REF!))/SUMIF($A$7:$AC$128,$A84,$AB$6:$AB$127)*Z$5,0)</f>
        <v>0</v>
      </c>
      <c r="AA84" s="26" t="e">
        <f t="shared" ca="1" si="12"/>
        <v>#REF!</v>
      </c>
      <c r="AB84" s="19">
        <f t="shared" si="10"/>
        <v>31</v>
      </c>
      <c r="AC84" s="20" t="e">
        <f t="shared" ca="1" si="11"/>
        <v>#REF!</v>
      </c>
      <c r="AD84" s="30" t="e">
        <f>#REF!/SUMIF(#REF!,'Curva de la oferta Prod 3'!$A84,#REF!)</f>
        <v>#REF!</v>
      </c>
      <c r="AE84" s="28"/>
      <c r="AF84" s="31"/>
      <c r="AG84" s="31"/>
      <c r="AH84" s="31"/>
      <c r="AI84" s="31"/>
      <c r="AJ84" s="31"/>
      <c r="AK84" s="31"/>
    </row>
    <row r="85" spans="1:37" ht="14.5" x14ac:dyDescent="0.35">
      <c r="A85" s="15">
        <f t="shared" si="9"/>
        <v>2032</v>
      </c>
      <c r="B85" s="18">
        <v>48366</v>
      </c>
      <c r="C85" s="26">
        <f>IF(AND(COLUMN()&gt;=11,COLUMN()&lt;=20),(_xlfn.XLOOKUP($A85,#REF!,#REF!))/SUMIF($A$7:$AC$128,$A85,$AB$6:$AB$127)*C$5,0)</f>
        <v>0</v>
      </c>
      <c r="D85" s="26">
        <f>IF(AND(COLUMN()&gt;=11,COLUMN()&lt;=20),(_xlfn.XLOOKUP($A85,#REF!,#REF!))/SUMIF($A$7:$AC$128,$A85,$AB$6:$AB$127)*D$5,0)</f>
        <v>0</v>
      </c>
      <c r="E85" s="26">
        <f>IF(AND(COLUMN()&gt;=11,COLUMN()&lt;=20),(_xlfn.XLOOKUP($A85,#REF!,#REF!))/SUMIF($A$7:$AC$128,$A85,$AB$6:$AB$127)*E$5,0)</f>
        <v>0</v>
      </c>
      <c r="F85" s="26">
        <f>IF(AND(COLUMN()&gt;=11,COLUMN()&lt;=20),(_xlfn.XLOOKUP($A85,#REF!,#REF!))/SUMIF($A$7:$AC$128,$A85,$AB$6:$AB$127)*F$5,0)</f>
        <v>0</v>
      </c>
      <c r="G85" s="26">
        <f>IF(AND(COLUMN()&gt;=11,COLUMN()&lt;=20),(_xlfn.XLOOKUP($A85,#REF!,#REF!))/SUMIF($A$7:$AC$128,$A85,$AB$6:$AB$127)*G$5,0)</f>
        <v>0</v>
      </c>
      <c r="H85" s="26">
        <f>IF(AND(COLUMN()&gt;=11,COLUMN()&lt;=20),(_xlfn.XLOOKUP($A85,#REF!,#REF!))/SUMIF($A$7:$AC$128,$A85,$AB$6:$AB$127)*H$5,0)</f>
        <v>0</v>
      </c>
      <c r="I85" s="26">
        <f>IF(AND(COLUMN()&gt;=11,COLUMN()&lt;=20),(_xlfn.XLOOKUP($A85,#REF!,#REF!))/SUMIF($A$7:$AC$128,$A85,$AB$6:$AB$127)*I$5,0)</f>
        <v>0</v>
      </c>
      <c r="J85" s="26">
        <f>IF(AND(COLUMN()&gt;=11,COLUMN()&lt;=20),(_xlfn.XLOOKUP($A85,#REF!,#REF!))/SUMIF($A$7:$AC$128,$A85,$AB$6:$AB$127)*J$5,0)</f>
        <v>0</v>
      </c>
      <c r="K85" s="26" t="e">
        <f ca="1">IF(AND(COLUMN()&gt;=11,COLUMN()&lt;=20),(_xlfn.XLOOKUP($A85,#REF!,#REF!))/SUMIF($A$7:$AC$128,$A85,$AB$6:$AB$127)*K$5,0)</f>
        <v>#REF!</v>
      </c>
      <c r="L85" s="26" t="e">
        <f ca="1">IF(AND(COLUMN()&gt;=11,COLUMN()&lt;=20),(_xlfn.XLOOKUP($A85,#REF!,#REF!))/SUMIF($A$7:$AC$128,$A85,$AB$6:$AB$127)*L$5,0)</f>
        <v>#REF!</v>
      </c>
      <c r="M85" s="26" t="e">
        <f ca="1">IF(AND(COLUMN()&gt;=11,COLUMN()&lt;=20),(_xlfn.XLOOKUP($A85,#REF!,#REF!))/SUMIF($A$7:$AC$128,$A85,$AB$6:$AB$127)*M$5,0)</f>
        <v>#REF!</v>
      </c>
      <c r="N85" s="26" t="e">
        <f ca="1">IF(AND(COLUMN()&gt;=11,COLUMN()&lt;=20),(_xlfn.XLOOKUP($A85,#REF!,#REF!))/SUMIF($A$7:$AC$128,$A85,$AB$6:$AB$127)*N$5,0)</f>
        <v>#REF!</v>
      </c>
      <c r="O85" s="26" t="e">
        <f ca="1">IF(AND(COLUMN()&gt;=11,COLUMN()&lt;=20),(_xlfn.XLOOKUP($A85,#REF!,#REF!))/SUMIF($A$7:$AC$128,$A85,$AB$6:$AB$127)*O$5,0)</f>
        <v>#REF!</v>
      </c>
      <c r="P85" s="26" t="e">
        <f ca="1">IF(AND(COLUMN()&gt;=11,COLUMN()&lt;=20),(_xlfn.XLOOKUP($A85,#REF!,#REF!))/SUMIF($A$7:$AC$128,$A85,$AB$6:$AB$127)*P$5,0)</f>
        <v>#REF!</v>
      </c>
      <c r="Q85" s="26" t="e">
        <f ca="1">IF(AND(COLUMN()&gt;=11,COLUMN()&lt;=20),(_xlfn.XLOOKUP($A85,#REF!,#REF!))/SUMIF($A$7:$AC$128,$A85,$AB$6:$AB$127)*Q$5,0)</f>
        <v>#REF!</v>
      </c>
      <c r="R85" s="26" t="e">
        <f ca="1">IF(AND(COLUMN()&gt;=11,COLUMN()&lt;=20),(_xlfn.XLOOKUP($A85,#REF!,#REF!))/SUMIF($A$7:$AC$128,$A85,$AB$6:$AB$127)*R$5,0)</f>
        <v>#REF!</v>
      </c>
      <c r="S85" s="26" t="e">
        <f ca="1">IF(AND(COLUMN()&gt;=11,COLUMN()&lt;=20),(_xlfn.XLOOKUP($A85,#REF!,#REF!))/SUMIF($A$7:$AC$128,$A85,$AB$6:$AB$127)*S$5,0)</f>
        <v>#REF!</v>
      </c>
      <c r="T85" s="26" t="e">
        <f ca="1">IF(AND(COLUMN()&gt;=11,COLUMN()&lt;=20),(_xlfn.XLOOKUP($A85,#REF!,#REF!))/SUMIF($A$7:$AC$128,$A85,$AB$6:$AB$127)*T$5,0)</f>
        <v>#REF!</v>
      </c>
      <c r="U85" s="26">
        <f>IF(AND(COLUMN()&gt;=11,COLUMN()&lt;=20),(_xlfn.XLOOKUP($A85,#REF!,#REF!))/SUMIF($A$7:$AC$128,$A85,$AB$6:$AB$127)*U$5,0)</f>
        <v>0</v>
      </c>
      <c r="V85" s="26">
        <f>IF(AND(COLUMN()&gt;=11,COLUMN()&lt;=20),(_xlfn.XLOOKUP($A85,#REF!,#REF!))/SUMIF($A$7:$AC$128,$A85,$AB$6:$AB$127)*V$5,0)</f>
        <v>0</v>
      </c>
      <c r="W85" s="26">
        <f>IF(AND(COLUMN()&gt;=11,COLUMN()&lt;=20),(_xlfn.XLOOKUP($A85,#REF!,#REF!))/SUMIF($A$7:$AC$128,$A85,$AB$6:$AB$127)*W$5,0)</f>
        <v>0</v>
      </c>
      <c r="X85" s="26">
        <f>IF(AND(COLUMN()&gt;=11,COLUMN()&lt;=20),(_xlfn.XLOOKUP($A85,#REF!,#REF!))/SUMIF($A$7:$AC$128,$A85,$AB$6:$AB$127)*X$5,0)</f>
        <v>0</v>
      </c>
      <c r="Y85" s="26">
        <f>IF(AND(COLUMN()&gt;=11,COLUMN()&lt;=20),(_xlfn.XLOOKUP($A85,#REF!,#REF!))/SUMIF($A$7:$AC$128,$A85,$AB$6:$AB$127)*Y$5,0)</f>
        <v>0</v>
      </c>
      <c r="Z85" s="26">
        <f>IF(AND(COLUMN()&gt;=11,COLUMN()&lt;=20),(_xlfn.XLOOKUP($A85,#REF!,#REF!))/SUMIF($A$7:$AC$128,$A85,$AB$6:$AB$127)*Z$5,0)</f>
        <v>0</v>
      </c>
      <c r="AA85" s="26" t="e">
        <f t="shared" ca="1" si="12"/>
        <v>#REF!</v>
      </c>
      <c r="AB85" s="19">
        <f t="shared" si="10"/>
        <v>30</v>
      </c>
      <c r="AC85" s="20" t="e">
        <f t="shared" ca="1" si="11"/>
        <v>#REF!</v>
      </c>
      <c r="AD85" s="30" t="e">
        <f>#REF!/SUMIF(#REF!,'Curva de la oferta Prod 3'!$A85,#REF!)</f>
        <v>#REF!</v>
      </c>
      <c r="AE85" s="28"/>
      <c r="AF85" s="31"/>
      <c r="AG85" s="31"/>
      <c r="AH85" s="31"/>
      <c r="AI85" s="31"/>
      <c r="AJ85" s="31"/>
      <c r="AK85" s="31"/>
    </row>
    <row r="86" spans="1:37" ht="14.5" x14ac:dyDescent="0.35">
      <c r="A86" s="15">
        <f t="shared" si="9"/>
        <v>2032</v>
      </c>
      <c r="B86" s="18">
        <v>48396</v>
      </c>
      <c r="C86" s="26">
        <f>IF(AND(COLUMN()&gt;=11,COLUMN()&lt;=20),(_xlfn.XLOOKUP($A86,#REF!,#REF!))/SUMIF($A$7:$AC$128,$A86,$AB$6:$AB$127)*C$5,0)</f>
        <v>0</v>
      </c>
      <c r="D86" s="26">
        <f>IF(AND(COLUMN()&gt;=11,COLUMN()&lt;=20),(_xlfn.XLOOKUP($A86,#REF!,#REF!))/SUMIF($A$7:$AC$128,$A86,$AB$6:$AB$127)*D$5,0)</f>
        <v>0</v>
      </c>
      <c r="E86" s="26">
        <f>IF(AND(COLUMN()&gt;=11,COLUMN()&lt;=20),(_xlfn.XLOOKUP($A86,#REF!,#REF!))/SUMIF($A$7:$AC$128,$A86,$AB$6:$AB$127)*E$5,0)</f>
        <v>0</v>
      </c>
      <c r="F86" s="26">
        <f>IF(AND(COLUMN()&gt;=11,COLUMN()&lt;=20),(_xlfn.XLOOKUP($A86,#REF!,#REF!))/SUMIF($A$7:$AC$128,$A86,$AB$6:$AB$127)*F$5,0)</f>
        <v>0</v>
      </c>
      <c r="G86" s="26">
        <f>IF(AND(COLUMN()&gt;=11,COLUMN()&lt;=20),(_xlfn.XLOOKUP($A86,#REF!,#REF!))/SUMIF($A$7:$AC$128,$A86,$AB$6:$AB$127)*G$5,0)</f>
        <v>0</v>
      </c>
      <c r="H86" s="26">
        <f>IF(AND(COLUMN()&gt;=11,COLUMN()&lt;=20),(_xlfn.XLOOKUP($A86,#REF!,#REF!))/SUMIF($A$7:$AC$128,$A86,$AB$6:$AB$127)*H$5,0)</f>
        <v>0</v>
      </c>
      <c r="I86" s="26">
        <f>IF(AND(COLUMN()&gt;=11,COLUMN()&lt;=20),(_xlfn.XLOOKUP($A86,#REF!,#REF!))/SUMIF($A$7:$AC$128,$A86,$AB$6:$AB$127)*I$5,0)</f>
        <v>0</v>
      </c>
      <c r="J86" s="26">
        <f>IF(AND(COLUMN()&gt;=11,COLUMN()&lt;=20),(_xlfn.XLOOKUP($A86,#REF!,#REF!))/SUMIF($A$7:$AC$128,$A86,$AB$6:$AB$127)*J$5,0)</f>
        <v>0</v>
      </c>
      <c r="K86" s="26" t="e">
        <f ca="1">IF(AND(COLUMN()&gt;=11,COLUMN()&lt;=20),(_xlfn.XLOOKUP($A86,#REF!,#REF!))/SUMIF($A$7:$AC$128,$A86,$AB$6:$AB$127)*K$5,0)</f>
        <v>#REF!</v>
      </c>
      <c r="L86" s="26" t="e">
        <f ca="1">IF(AND(COLUMN()&gt;=11,COLUMN()&lt;=20),(_xlfn.XLOOKUP($A86,#REF!,#REF!))/SUMIF($A$7:$AC$128,$A86,$AB$6:$AB$127)*L$5,0)</f>
        <v>#REF!</v>
      </c>
      <c r="M86" s="26" t="e">
        <f ca="1">IF(AND(COLUMN()&gt;=11,COLUMN()&lt;=20),(_xlfn.XLOOKUP($A86,#REF!,#REF!))/SUMIF($A$7:$AC$128,$A86,$AB$6:$AB$127)*M$5,0)</f>
        <v>#REF!</v>
      </c>
      <c r="N86" s="26" t="e">
        <f ca="1">IF(AND(COLUMN()&gt;=11,COLUMN()&lt;=20),(_xlfn.XLOOKUP($A86,#REF!,#REF!))/SUMIF($A$7:$AC$128,$A86,$AB$6:$AB$127)*N$5,0)</f>
        <v>#REF!</v>
      </c>
      <c r="O86" s="26" t="e">
        <f ca="1">IF(AND(COLUMN()&gt;=11,COLUMN()&lt;=20),(_xlfn.XLOOKUP($A86,#REF!,#REF!))/SUMIF($A$7:$AC$128,$A86,$AB$6:$AB$127)*O$5,0)</f>
        <v>#REF!</v>
      </c>
      <c r="P86" s="26" t="e">
        <f ca="1">IF(AND(COLUMN()&gt;=11,COLUMN()&lt;=20),(_xlfn.XLOOKUP($A86,#REF!,#REF!))/SUMIF($A$7:$AC$128,$A86,$AB$6:$AB$127)*P$5,0)</f>
        <v>#REF!</v>
      </c>
      <c r="Q86" s="26" t="e">
        <f ca="1">IF(AND(COLUMN()&gt;=11,COLUMN()&lt;=20),(_xlfn.XLOOKUP($A86,#REF!,#REF!))/SUMIF($A$7:$AC$128,$A86,$AB$6:$AB$127)*Q$5,0)</f>
        <v>#REF!</v>
      </c>
      <c r="R86" s="26" t="e">
        <f ca="1">IF(AND(COLUMN()&gt;=11,COLUMN()&lt;=20),(_xlfn.XLOOKUP($A86,#REF!,#REF!))/SUMIF($A$7:$AC$128,$A86,$AB$6:$AB$127)*R$5,0)</f>
        <v>#REF!</v>
      </c>
      <c r="S86" s="26" t="e">
        <f ca="1">IF(AND(COLUMN()&gt;=11,COLUMN()&lt;=20),(_xlfn.XLOOKUP($A86,#REF!,#REF!))/SUMIF($A$7:$AC$128,$A86,$AB$6:$AB$127)*S$5,0)</f>
        <v>#REF!</v>
      </c>
      <c r="T86" s="26" t="e">
        <f ca="1">IF(AND(COLUMN()&gt;=11,COLUMN()&lt;=20),(_xlfn.XLOOKUP($A86,#REF!,#REF!))/SUMIF($A$7:$AC$128,$A86,$AB$6:$AB$127)*T$5,0)</f>
        <v>#REF!</v>
      </c>
      <c r="U86" s="26">
        <f>IF(AND(COLUMN()&gt;=11,COLUMN()&lt;=20),(_xlfn.XLOOKUP($A86,#REF!,#REF!))/SUMIF($A$7:$AC$128,$A86,$AB$6:$AB$127)*U$5,0)</f>
        <v>0</v>
      </c>
      <c r="V86" s="26">
        <f>IF(AND(COLUMN()&gt;=11,COLUMN()&lt;=20),(_xlfn.XLOOKUP($A86,#REF!,#REF!))/SUMIF($A$7:$AC$128,$A86,$AB$6:$AB$127)*V$5,0)</f>
        <v>0</v>
      </c>
      <c r="W86" s="26">
        <f>IF(AND(COLUMN()&gt;=11,COLUMN()&lt;=20),(_xlfn.XLOOKUP($A86,#REF!,#REF!))/SUMIF($A$7:$AC$128,$A86,$AB$6:$AB$127)*W$5,0)</f>
        <v>0</v>
      </c>
      <c r="X86" s="26">
        <f>IF(AND(COLUMN()&gt;=11,COLUMN()&lt;=20),(_xlfn.XLOOKUP($A86,#REF!,#REF!))/SUMIF($A$7:$AC$128,$A86,$AB$6:$AB$127)*X$5,0)</f>
        <v>0</v>
      </c>
      <c r="Y86" s="26">
        <f>IF(AND(COLUMN()&gt;=11,COLUMN()&lt;=20),(_xlfn.XLOOKUP($A86,#REF!,#REF!))/SUMIF($A$7:$AC$128,$A86,$AB$6:$AB$127)*Y$5,0)</f>
        <v>0</v>
      </c>
      <c r="Z86" s="26">
        <f>IF(AND(COLUMN()&gt;=11,COLUMN()&lt;=20),(_xlfn.XLOOKUP($A86,#REF!,#REF!))/SUMIF($A$7:$AC$128,$A86,$AB$6:$AB$127)*Z$5,0)</f>
        <v>0</v>
      </c>
      <c r="AA86" s="26" t="e">
        <f t="shared" ca="1" si="12"/>
        <v>#REF!</v>
      </c>
      <c r="AB86" s="19">
        <f t="shared" si="10"/>
        <v>31</v>
      </c>
      <c r="AC86" s="20" t="e">
        <f t="shared" ca="1" si="11"/>
        <v>#REF!</v>
      </c>
      <c r="AD86" s="30" t="e">
        <f>#REF!/SUMIF(#REF!,'Curva de la oferta Prod 3'!$A86,#REF!)</f>
        <v>#REF!</v>
      </c>
      <c r="AE86" s="28"/>
      <c r="AF86" s="31"/>
      <c r="AG86" s="31"/>
      <c r="AH86" s="31"/>
      <c r="AI86" s="31"/>
      <c r="AJ86" s="31"/>
      <c r="AK86" s="31"/>
    </row>
    <row r="87" spans="1:37" ht="14.5" x14ac:dyDescent="0.35">
      <c r="A87" s="15">
        <f t="shared" si="9"/>
        <v>2032</v>
      </c>
      <c r="B87" s="18">
        <v>48427</v>
      </c>
      <c r="C87" s="26">
        <f>IF(AND(COLUMN()&gt;=11,COLUMN()&lt;=20),(_xlfn.XLOOKUP($A87,#REF!,#REF!))/SUMIF($A$7:$AC$128,$A87,$AB$6:$AB$127)*C$5,0)</f>
        <v>0</v>
      </c>
      <c r="D87" s="26">
        <f>IF(AND(COLUMN()&gt;=11,COLUMN()&lt;=20),(_xlfn.XLOOKUP($A87,#REF!,#REF!))/SUMIF($A$7:$AC$128,$A87,$AB$6:$AB$127)*D$5,0)</f>
        <v>0</v>
      </c>
      <c r="E87" s="26">
        <f>IF(AND(COLUMN()&gt;=11,COLUMN()&lt;=20),(_xlfn.XLOOKUP($A87,#REF!,#REF!))/SUMIF($A$7:$AC$128,$A87,$AB$6:$AB$127)*E$5,0)</f>
        <v>0</v>
      </c>
      <c r="F87" s="26">
        <f>IF(AND(COLUMN()&gt;=11,COLUMN()&lt;=20),(_xlfn.XLOOKUP($A87,#REF!,#REF!))/SUMIF($A$7:$AC$128,$A87,$AB$6:$AB$127)*F$5,0)</f>
        <v>0</v>
      </c>
      <c r="G87" s="26">
        <f>IF(AND(COLUMN()&gt;=11,COLUMN()&lt;=20),(_xlfn.XLOOKUP($A87,#REF!,#REF!))/SUMIF($A$7:$AC$128,$A87,$AB$6:$AB$127)*G$5,0)</f>
        <v>0</v>
      </c>
      <c r="H87" s="26">
        <f>IF(AND(COLUMN()&gt;=11,COLUMN()&lt;=20),(_xlfn.XLOOKUP($A87,#REF!,#REF!))/SUMIF($A$7:$AC$128,$A87,$AB$6:$AB$127)*H$5,0)</f>
        <v>0</v>
      </c>
      <c r="I87" s="26">
        <f>IF(AND(COLUMN()&gt;=11,COLUMN()&lt;=20),(_xlfn.XLOOKUP($A87,#REF!,#REF!))/SUMIF($A$7:$AC$128,$A87,$AB$6:$AB$127)*I$5,0)</f>
        <v>0</v>
      </c>
      <c r="J87" s="26">
        <f>IF(AND(COLUMN()&gt;=11,COLUMN()&lt;=20),(_xlfn.XLOOKUP($A87,#REF!,#REF!))/SUMIF($A$7:$AC$128,$A87,$AB$6:$AB$127)*J$5,0)</f>
        <v>0</v>
      </c>
      <c r="K87" s="26" t="e">
        <f ca="1">IF(AND(COLUMN()&gt;=11,COLUMN()&lt;=20),(_xlfn.XLOOKUP($A87,#REF!,#REF!))/SUMIF($A$7:$AC$128,$A87,$AB$6:$AB$127)*K$5,0)</f>
        <v>#REF!</v>
      </c>
      <c r="L87" s="26" t="e">
        <f ca="1">IF(AND(COLUMN()&gt;=11,COLUMN()&lt;=20),(_xlfn.XLOOKUP($A87,#REF!,#REF!))/SUMIF($A$7:$AC$128,$A87,$AB$6:$AB$127)*L$5,0)</f>
        <v>#REF!</v>
      </c>
      <c r="M87" s="26" t="e">
        <f ca="1">IF(AND(COLUMN()&gt;=11,COLUMN()&lt;=20),(_xlfn.XLOOKUP($A87,#REF!,#REF!))/SUMIF($A$7:$AC$128,$A87,$AB$6:$AB$127)*M$5,0)</f>
        <v>#REF!</v>
      </c>
      <c r="N87" s="26" t="e">
        <f ca="1">IF(AND(COLUMN()&gt;=11,COLUMN()&lt;=20),(_xlfn.XLOOKUP($A87,#REF!,#REF!))/SUMIF($A$7:$AC$128,$A87,$AB$6:$AB$127)*N$5,0)</f>
        <v>#REF!</v>
      </c>
      <c r="O87" s="26" t="e">
        <f ca="1">IF(AND(COLUMN()&gt;=11,COLUMN()&lt;=20),(_xlfn.XLOOKUP($A87,#REF!,#REF!))/SUMIF($A$7:$AC$128,$A87,$AB$6:$AB$127)*O$5,0)</f>
        <v>#REF!</v>
      </c>
      <c r="P87" s="26" t="e">
        <f ca="1">IF(AND(COLUMN()&gt;=11,COLUMN()&lt;=20),(_xlfn.XLOOKUP($A87,#REF!,#REF!))/SUMIF($A$7:$AC$128,$A87,$AB$6:$AB$127)*P$5,0)</f>
        <v>#REF!</v>
      </c>
      <c r="Q87" s="26" t="e">
        <f ca="1">IF(AND(COLUMN()&gt;=11,COLUMN()&lt;=20),(_xlfn.XLOOKUP($A87,#REF!,#REF!))/SUMIF($A$7:$AC$128,$A87,$AB$6:$AB$127)*Q$5,0)</f>
        <v>#REF!</v>
      </c>
      <c r="R87" s="26" t="e">
        <f ca="1">IF(AND(COLUMN()&gt;=11,COLUMN()&lt;=20),(_xlfn.XLOOKUP($A87,#REF!,#REF!))/SUMIF($A$7:$AC$128,$A87,$AB$6:$AB$127)*R$5,0)</f>
        <v>#REF!</v>
      </c>
      <c r="S87" s="26" t="e">
        <f ca="1">IF(AND(COLUMN()&gt;=11,COLUMN()&lt;=20),(_xlfn.XLOOKUP($A87,#REF!,#REF!))/SUMIF($A$7:$AC$128,$A87,$AB$6:$AB$127)*S$5,0)</f>
        <v>#REF!</v>
      </c>
      <c r="T87" s="26" t="e">
        <f ca="1">IF(AND(COLUMN()&gt;=11,COLUMN()&lt;=20),(_xlfn.XLOOKUP($A87,#REF!,#REF!))/SUMIF($A$7:$AC$128,$A87,$AB$6:$AB$127)*T$5,0)</f>
        <v>#REF!</v>
      </c>
      <c r="U87" s="26">
        <f>IF(AND(COLUMN()&gt;=11,COLUMN()&lt;=20),(_xlfn.XLOOKUP($A87,#REF!,#REF!))/SUMIF($A$7:$AC$128,$A87,$AB$6:$AB$127)*U$5,0)</f>
        <v>0</v>
      </c>
      <c r="V87" s="26">
        <f>IF(AND(COLUMN()&gt;=11,COLUMN()&lt;=20),(_xlfn.XLOOKUP($A87,#REF!,#REF!))/SUMIF($A$7:$AC$128,$A87,$AB$6:$AB$127)*V$5,0)</f>
        <v>0</v>
      </c>
      <c r="W87" s="26">
        <f>IF(AND(COLUMN()&gt;=11,COLUMN()&lt;=20),(_xlfn.XLOOKUP($A87,#REF!,#REF!))/SUMIF($A$7:$AC$128,$A87,$AB$6:$AB$127)*W$5,0)</f>
        <v>0</v>
      </c>
      <c r="X87" s="26">
        <f>IF(AND(COLUMN()&gt;=11,COLUMN()&lt;=20),(_xlfn.XLOOKUP($A87,#REF!,#REF!))/SUMIF($A$7:$AC$128,$A87,$AB$6:$AB$127)*X$5,0)</f>
        <v>0</v>
      </c>
      <c r="Y87" s="26">
        <f>IF(AND(COLUMN()&gt;=11,COLUMN()&lt;=20),(_xlfn.XLOOKUP($A87,#REF!,#REF!))/SUMIF($A$7:$AC$128,$A87,$AB$6:$AB$127)*Y$5,0)</f>
        <v>0</v>
      </c>
      <c r="Z87" s="26">
        <f>IF(AND(COLUMN()&gt;=11,COLUMN()&lt;=20),(_xlfn.XLOOKUP($A87,#REF!,#REF!))/SUMIF($A$7:$AC$128,$A87,$AB$6:$AB$127)*Z$5,0)</f>
        <v>0</v>
      </c>
      <c r="AA87" s="26" t="e">
        <f t="shared" ca="1" si="12"/>
        <v>#REF!</v>
      </c>
      <c r="AB87" s="19">
        <f t="shared" si="10"/>
        <v>31</v>
      </c>
      <c r="AC87" s="20" t="e">
        <f t="shared" ca="1" si="11"/>
        <v>#REF!</v>
      </c>
      <c r="AD87" s="30" t="e">
        <f>#REF!/SUMIF(#REF!,'Curva de la oferta Prod 3'!$A87,#REF!)</f>
        <v>#REF!</v>
      </c>
      <c r="AE87" s="28"/>
      <c r="AF87" s="31"/>
      <c r="AG87" s="31"/>
      <c r="AH87" s="31"/>
      <c r="AI87" s="31"/>
      <c r="AJ87" s="31"/>
      <c r="AK87" s="31"/>
    </row>
    <row r="88" spans="1:37" ht="14.5" x14ac:dyDescent="0.35">
      <c r="A88" s="15">
        <f t="shared" si="9"/>
        <v>2032</v>
      </c>
      <c r="B88" s="18">
        <v>48458</v>
      </c>
      <c r="C88" s="26">
        <f>IF(AND(COLUMN()&gt;=11,COLUMN()&lt;=20),(_xlfn.XLOOKUP($A88,#REF!,#REF!))/SUMIF($A$7:$AC$128,$A88,$AB$6:$AB$127)*C$5,0)</f>
        <v>0</v>
      </c>
      <c r="D88" s="26">
        <f>IF(AND(COLUMN()&gt;=11,COLUMN()&lt;=20),(_xlfn.XLOOKUP($A88,#REF!,#REF!))/SUMIF($A$7:$AC$128,$A88,$AB$6:$AB$127)*D$5,0)</f>
        <v>0</v>
      </c>
      <c r="E88" s="26">
        <f>IF(AND(COLUMN()&gt;=11,COLUMN()&lt;=20),(_xlfn.XLOOKUP($A88,#REF!,#REF!))/SUMIF($A$7:$AC$128,$A88,$AB$6:$AB$127)*E$5,0)</f>
        <v>0</v>
      </c>
      <c r="F88" s="26">
        <f>IF(AND(COLUMN()&gt;=11,COLUMN()&lt;=20),(_xlfn.XLOOKUP($A88,#REF!,#REF!))/SUMIF($A$7:$AC$128,$A88,$AB$6:$AB$127)*F$5,0)</f>
        <v>0</v>
      </c>
      <c r="G88" s="26">
        <f>IF(AND(COLUMN()&gt;=11,COLUMN()&lt;=20),(_xlfn.XLOOKUP($A88,#REF!,#REF!))/SUMIF($A$7:$AC$128,$A88,$AB$6:$AB$127)*G$5,0)</f>
        <v>0</v>
      </c>
      <c r="H88" s="26">
        <f>IF(AND(COLUMN()&gt;=11,COLUMN()&lt;=20),(_xlfn.XLOOKUP($A88,#REF!,#REF!))/SUMIF($A$7:$AC$128,$A88,$AB$6:$AB$127)*H$5,0)</f>
        <v>0</v>
      </c>
      <c r="I88" s="26">
        <f>IF(AND(COLUMN()&gt;=11,COLUMN()&lt;=20),(_xlfn.XLOOKUP($A88,#REF!,#REF!))/SUMIF($A$7:$AC$128,$A88,$AB$6:$AB$127)*I$5,0)</f>
        <v>0</v>
      </c>
      <c r="J88" s="26">
        <f>IF(AND(COLUMN()&gt;=11,COLUMN()&lt;=20),(_xlfn.XLOOKUP($A88,#REF!,#REF!))/SUMIF($A$7:$AC$128,$A88,$AB$6:$AB$127)*J$5,0)</f>
        <v>0</v>
      </c>
      <c r="K88" s="26" t="e">
        <f ca="1">IF(AND(COLUMN()&gt;=11,COLUMN()&lt;=20),(_xlfn.XLOOKUP($A88,#REF!,#REF!))/SUMIF($A$7:$AC$128,$A88,$AB$6:$AB$127)*K$5,0)</f>
        <v>#REF!</v>
      </c>
      <c r="L88" s="26" t="e">
        <f ca="1">IF(AND(COLUMN()&gt;=11,COLUMN()&lt;=20),(_xlfn.XLOOKUP($A88,#REF!,#REF!))/SUMIF($A$7:$AC$128,$A88,$AB$6:$AB$127)*L$5,0)</f>
        <v>#REF!</v>
      </c>
      <c r="M88" s="26" t="e">
        <f ca="1">IF(AND(COLUMN()&gt;=11,COLUMN()&lt;=20),(_xlfn.XLOOKUP($A88,#REF!,#REF!))/SUMIF($A$7:$AC$128,$A88,$AB$6:$AB$127)*M$5,0)</f>
        <v>#REF!</v>
      </c>
      <c r="N88" s="26" t="e">
        <f ca="1">IF(AND(COLUMN()&gt;=11,COLUMN()&lt;=20),(_xlfn.XLOOKUP($A88,#REF!,#REF!))/SUMIF($A$7:$AC$128,$A88,$AB$6:$AB$127)*N$5,0)</f>
        <v>#REF!</v>
      </c>
      <c r="O88" s="26" t="e">
        <f ca="1">IF(AND(COLUMN()&gt;=11,COLUMN()&lt;=20),(_xlfn.XLOOKUP($A88,#REF!,#REF!))/SUMIF($A$7:$AC$128,$A88,$AB$6:$AB$127)*O$5,0)</f>
        <v>#REF!</v>
      </c>
      <c r="P88" s="26" t="e">
        <f ca="1">IF(AND(COLUMN()&gt;=11,COLUMN()&lt;=20),(_xlfn.XLOOKUP($A88,#REF!,#REF!))/SUMIF($A$7:$AC$128,$A88,$AB$6:$AB$127)*P$5,0)</f>
        <v>#REF!</v>
      </c>
      <c r="Q88" s="26" t="e">
        <f ca="1">IF(AND(COLUMN()&gt;=11,COLUMN()&lt;=20),(_xlfn.XLOOKUP($A88,#REF!,#REF!))/SUMIF($A$7:$AC$128,$A88,$AB$6:$AB$127)*Q$5,0)</f>
        <v>#REF!</v>
      </c>
      <c r="R88" s="26" t="e">
        <f ca="1">IF(AND(COLUMN()&gt;=11,COLUMN()&lt;=20),(_xlfn.XLOOKUP($A88,#REF!,#REF!))/SUMIF($A$7:$AC$128,$A88,$AB$6:$AB$127)*R$5,0)</f>
        <v>#REF!</v>
      </c>
      <c r="S88" s="26" t="e">
        <f ca="1">IF(AND(COLUMN()&gt;=11,COLUMN()&lt;=20),(_xlfn.XLOOKUP($A88,#REF!,#REF!))/SUMIF($A$7:$AC$128,$A88,$AB$6:$AB$127)*S$5,0)</f>
        <v>#REF!</v>
      </c>
      <c r="T88" s="26" t="e">
        <f ca="1">IF(AND(COLUMN()&gt;=11,COLUMN()&lt;=20),(_xlfn.XLOOKUP($A88,#REF!,#REF!))/SUMIF($A$7:$AC$128,$A88,$AB$6:$AB$127)*T$5,0)</f>
        <v>#REF!</v>
      </c>
      <c r="U88" s="26">
        <f>IF(AND(COLUMN()&gt;=11,COLUMN()&lt;=20),(_xlfn.XLOOKUP($A88,#REF!,#REF!))/SUMIF($A$7:$AC$128,$A88,$AB$6:$AB$127)*U$5,0)</f>
        <v>0</v>
      </c>
      <c r="V88" s="26">
        <f>IF(AND(COLUMN()&gt;=11,COLUMN()&lt;=20),(_xlfn.XLOOKUP($A88,#REF!,#REF!))/SUMIF($A$7:$AC$128,$A88,$AB$6:$AB$127)*V$5,0)</f>
        <v>0</v>
      </c>
      <c r="W88" s="26">
        <f>IF(AND(COLUMN()&gt;=11,COLUMN()&lt;=20),(_xlfn.XLOOKUP($A88,#REF!,#REF!))/SUMIF($A$7:$AC$128,$A88,$AB$6:$AB$127)*W$5,0)</f>
        <v>0</v>
      </c>
      <c r="X88" s="26">
        <f>IF(AND(COLUMN()&gt;=11,COLUMN()&lt;=20),(_xlfn.XLOOKUP($A88,#REF!,#REF!))/SUMIF($A$7:$AC$128,$A88,$AB$6:$AB$127)*X$5,0)</f>
        <v>0</v>
      </c>
      <c r="Y88" s="26">
        <f>IF(AND(COLUMN()&gt;=11,COLUMN()&lt;=20),(_xlfn.XLOOKUP($A88,#REF!,#REF!))/SUMIF($A$7:$AC$128,$A88,$AB$6:$AB$127)*Y$5,0)</f>
        <v>0</v>
      </c>
      <c r="Z88" s="26">
        <f>IF(AND(COLUMN()&gt;=11,COLUMN()&lt;=20),(_xlfn.XLOOKUP($A88,#REF!,#REF!))/SUMIF($A$7:$AC$128,$A88,$AB$6:$AB$127)*Z$5,0)</f>
        <v>0</v>
      </c>
      <c r="AA88" s="26" t="e">
        <f t="shared" ca="1" si="12"/>
        <v>#REF!</v>
      </c>
      <c r="AB88" s="19">
        <f t="shared" si="10"/>
        <v>30</v>
      </c>
      <c r="AC88" s="20" t="e">
        <f t="shared" ca="1" si="11"/>
        <v>#REF!</v>
      </c>
      <c r="AD88" s="30" t="e">
        <f>#REF!/SUMIF(#REF!,'Curva de la oferta Prod 3'!$A88,#REF!)</f>
        <v>#REF!</v>
      </c>
      <c r="AE88" s="28"/>
      <c r="AF88" s="31"/>
      <c r="AG88" s="31"/>
      <c r="AH88" s="31"/>
      <c r="AI88" s="31"/>
      <c r="AJ88" s="31"/>
      <c r="AK88" s="31"/>
    </row>
    <row r="89" spans="1:37" ht="14.5" x14ac:dyDescent="0.35">
      <c r="A89" s="15">
        <f t="shared" si="9"/>
        <v>2032</v>
      </c>
      <c r="B89" s="18">
        <v>48488</v>
      </c>
      <c r="C89" s="26">
        <f>IF(AND(COLUMN()&gt;=11,COLUMN()&lt;=20),(_xlfn.XLOOKUP($A89,#REF!,#REF!))/SUMIF($A$7:$AC$128,$A89,$AB$6:$AB$127)*C$5,0)</f>
        <v>0</v>
      </c>
      <c r="D89" s="26">
        <f>IF(AND(COLUMN()&gt;=11,COLUMN()&lt;=20),(_xlfn.XLOOKUP($A89,#REF!,#REF!))/SUMIF($A$7:$AC$128,$A89,$AB$6:$AB$127)*D$5,0)</f>
        <v>0</v>
      </c>
      <c r="E89" s="26">
        <f>IF(AND(COLUMN()&gt;=11,COLUMN()&lt;=20),(_xlfn.XLOOKUP($A89,#REF!,#REF!))/SUMIF($A$7:$AC$128,$A89,$AB$6:$AB$127)*E$5,0)</f>
        <v>0</v>
      </c>
      <c r="F89" s="26">
        <f>IF(AND(COLUMN()&gt;=11,COLUMN()&lt;=20),(_xlfn.XLOOKUP($A89,#REF!,#REF!))/SUMIF($A$7:$AC$128,$A89,$AB$6:$AB$127)*F$5,0)</f>
        <v>0</v>
      </c>
      <c r="G89" s="26">
        <f>IF(AND(COLUMN()&gt;=11,COLUMN()&lt;=20),(_xlfn.XLOOKUP($A89,#REF!,#REF!))/SUMIF($A$7:$AC$128,$A89,$AB$6:$AB$127)*G$5,0)</f>
        <v>0</v>
      </c>
      <c r="H89" s="26">
        <f>IF(AND(COLUMN()&gt;=11,COLUMN()&lt;=20),(_xlfn.XLOOKUP($A89,#REF!,#REF!))/SUMIF($A$7:$AC$128,$A89,$AB$6:$AB$127)*H$5,0)</f>
        <v>0</v>
      </c>
      <c r="I89" s="26">
        <f>IF(AND(COLUMN()&gt;=11,COLUMN()&lt;=20),(_xlfn.XLOOKUP($A89,#REF!,#REF!))/SUMIF($A$7:$AC$128,$A89,$AB$6:$AB$127)*I$5,0)</f>
        <v>0</v>
      </c>
      <c r="J89" s="26">
        <f>IF(AND(COLUMN()&gt;=11,COLUMN()&lt;=20),(_xlfn.XLOOKUP($A89,#REF!,#REF!))/SUMIF($A$7:$AC$128,$A89,$AB$6:$AB$127)*J$5,0)</f>
        <v>0</v>
      </c>
      <c r="K89" s="26" t="e">
        <f ca="1">IF(AND(COLUMN()&gt;=11,COLUMN()&lt;=20),(_xlfn.XLOOKUP($A89,#REF!,#REF!))/SUMIF($A$7:$AC$128,$A89,$AB$6:$AB$127)*K$5,0)</f>
        <v>#REF!</v>
      </c>
      <c r="L89" s="26" t="e">
        <f ca="1">IF(AND(COLUMN()&gt;=11,COLUMN()&lt;=20),(_xlfn.XLOOKUP($A89,#REF!,#REF!))/SUMIF($A$7:$AC$128,$A89,$AB$6:$AB$127)*L$5,0)</f>
        <v>#REF!</v>
      </c>
      <c r="M89" s="26" t="e">
        <f ca="1">IF(AND(COLUMN()&gt;=11,COLUMN()&lt;=20),(_xlfn.XLOOKUP($A89,#REF!,#REF!))/SUMIF($A$7:$AC$128,$A89,$AB$6:$AB$127)*M$5,0)</f>
        <v>#REF!</v>
      </c>
      <c r="N89" s="26" t="e">
        <f ca="1">IF(AND(COLUMN()&gt;=11,COLUMN()&lt;=20),(_xlfn.XLOOKUP($A89,#REF!,#REF!))/SUMIF($A$7:$AC$128,$A89,$AB$6:$AB$127)*N$5,0)</f>
        <v>#REF!</v>
      </c>
      <c r="O89" s="26" t="e">
        <f ca="1">IF(AND(COLUMN()&gt;=11,COLUMN()&lt;=20),(_xlfn.XLOOKUP($A89,#REF!,#REF!))/SUMIF($A$7:$AC$128,$A89,$AB$6:$AB$127)*O$5,0)</f>
        <v>#REF!</v>
      </c>
      <c r="P89" s="26" t="e">
        <f ca="1">IF(AND(COLUMN()&gt;=11,COLUMN()&lt;=20),(_xlfn.XLOOKUP($A89,#REF!,#REF!))/SUMIF($A$7:$AC$128,$A89,$AB$6:$AB$127)*P$5,0)</f>
        <v>#REF!</v>
      </c>
      <c r="Q89" s="26" t="e">
        <f ca="1">IF(AND(COLUMN()&gt;=11,COLUMN()&lt;=20),(_xlfn.XLOOKUP($A89,#REF!,#REF!))/SUMIF($A$7:$AC$128,$A89,$AB$6:$AB$127)*Q$5,0)</f>
        <v>#REF!</v>
      </c>
      <c r="R89" s="26" t="e">
        <f ca="1">IF(AND(COLUMN()&gt;=11,COLUMN()&lt;=20),(_xlfn.XLOOKUP($A89,#REF!,#REF!))/SUMIF($A$7:$AC$128,$A89,$AB$6:$AB$127)*R$5,0)</f>
        <v>#REF!</v>
      </c>
      <c r="S89" s="26" t="e">
        <f ca="1">IF(AND(COLUMN()&gt;=11,COLUMN()&lt;=20),(_xlfn.XLOOKUP($A89,#REF!,#REF!))/SUMIF($A$7:$AC$128,$A89,$AB$6:$AB$127)*S$5,0)</f>
        <v>#REF!</v>
      </c>
      <c r="T89" s="26" t="e">
        <f ca="1">IF(AND(COLUMN()&gt;=11,COLUMN()&lt;=20),(_xlfn.XLOOKUP($A89,#REF!,#REF!))/SUMIF($A$7:$AC$128,$A89,$AB$6:$AB$127)*T$5,0)</f>
        <v>#REF!</v>
      </c>
      <c r="U89" s="26">
        <f>IF(AND(COLUMN()&gt;=11,COLUMN()&lt;=20),(_xlfn.XLOOKUP($A89,#REF!,#REF!))/SUMIF($A$7:$AC$128,$A89,$AB$6:$AB$127)*U$5,0)</f>
        <v>0</v>
      </c>
      <c r="V89" s="26">
        <f>IF(AND(COLUMN()&gt;=11,COLUMN()&lt;=20),(_xlfn.XLOOKUP($A89,#REF!,#REF!))/SUMIF($A$7:$AC$128,$A89,$AB$6:$AB$127)*V$5,0)</f>
        <v>0</v>
      </c>
      <c r="W89" s="26">
        <f>IF(AND(COLUMN()&gt;=11,COLUMN()&lt;=20),(_xlfn.XLOOKUP($A89,#REF!,#REF!))/SUMIF($A$7:$AC$128,$A89,$AB$6:$AB$127)*W$5,0)</f>
        <v>0</v>
      </c>
      <c r="X89" s="26">
        <f>IF(AND(COLUMN()&gt;=11,COLUMN()&lt;=20),(_xlfn.XLOOKUP($A89,#REF!,#REF!))/SUMIF($A$7:$AC$128,$A89,$AB$6:$AB$127)*X$5,0)</f>
        <v>0</v>
      </c>
      <c r="Y89" s="26">
        <f>IF(AND(COLUMN()&gt;=11,COLUMN()&lt;=20),(_xlfn.XLOOKUP($A89,#REF!,#REF!))/SUMIF($A$7:$AC$128,$A89,$AB$6:$AB$127)*Y$5,0)</f>
        <v>0</v>
      </c>
      <c r="Z89" s="26">
        <f>IF(AND(COLUMN()&gt;=11,COLUMN()&lt;=20),(_xlfn.XLOOKUP($A89,#REF!,#REF!))/SUMIF($A$7:$AC$128,$A89,$AB$6:$AB$127)*Z$5,0)</f>
        <v>0</v>
      </c>
      <c r="AA89" s="26" t="e">
        <f t="shared" ca="1" si="12"/>
        <v>#REF!</v>
      </c>
      <c r="AB89" s="19">
        <f t="shared" si="10"/>
        <v>31</v>
      </c>
      <c r="AC89" s="20" t="e">
        <f t="shared" ca="1" si="11"/>
        <v>#REF!</v>
      </c>
      <c r="AD89" s="30" t="e">
        <f>#REF!/SUMIF(#REF!,'Curva de la oferta Prod 3'!$A89,#REF!)</f>
        <v>#REF!</v>
      </c>
      <c r="AE89" s="28"/>
      <c r="AF89" s="31"/>
      <c r="AG89" s="31"/>
      <c r="AH89" s="31"/>
      <c r="AI89" s="31"/>
      <c r="AJ89" s="31"/>
      <c r="AK89" s="31"/>
    </row>
    <row r="90" spans="1:37" ht="14.5" x14ac:dyDescent="0.35">
      <c r="A90" s="15">
        <f t="shared" si="9"/>
        <v>2032</v>
      </c>
      <c r="B90" s="18">
        <v>48519</v>
      </c>
      <c r="C90" s="26">
        <f>IF(AND(COLUMN()&gt;=11,COLUMN()&lt;=20),(_xlfn.XLOOKUP($A90,#REF!,#REF!))/SUMIF($A$7:$AC$128,$A90,$AB$6:$AB$127)*C$5,0)</f>
        <v>0</v>
      </c>
      <c r="D90" s="26">
        <f>IF(AND(COLUMN()&gt;=11,COLUMN()&lt;=20),(_xlfn.XLOOKUP($A90,#REF!,#REF!))/SUMIF($A$7:$AC$128,$A90,$AB$6:$AB$127)*D$5,0)</f>
        <v>0</v>
      </c>
      <c r="E90" s="26">
        <f>IF(AND(COLUMN()&gt;=11,COLUMN()&lt;=20),(_xlfn.XLOOKUP($A90,#REF!,#REF!))/SUMIF($A$7:$AC$128,$A90,$AB$6:$AB$127)*E$5,0)</f>
        <v>0</v>
      </c>
      <c r="F90" s="26">
        <f>IF(AND(COLUMN()&gt;=11,COLUMN()&lt;=20),(_xlfn.XLOOKUP($A90,#REF!,#REF!))/SUMIF($A$7:$AC$128,$A90,$AB$6:$AB$127)*F$5,0)</f>
        <v>0</v>
      </c>
      <c r="G90" s="26">
        <f>IF(AND(COLUMN()&gt;=11,COLUMN()&lt;=20),(_xlfn.XLOOKUP($A90,#REF!,#REF!))/SUMIF($A$7:$AC$128,$A90,$AB$6:$AB$127)*G$5,0)</f>
        <v>0</v>
      </c>
      <c r="H90" s="26">
        <f>IF(AND(COLUMN()&gt;=11,COLUMN()&lt;=20),(_xlfn.XLOOKUP($A90,#REF!,#REF!))/SUMIF($A$7:$AC$128,$A90,$AB$6:$AB$127)*H$5,0)</f>
        <v>0</v>
      </c>
      <c r="I90" s="26">
        <f>IF(AND(COLUMN()&gt;=11,COLUMN()&lt;=20),(_xlfn.XLOOKUP($A90,#REF!,#REF!))/SUMIF($A$7:$AC$128,$A90,$AB$6:$AB$127)*I$5,0)</f>
        <v>0</v>
      </c>
      <c r="J90" s="26">
        <f>IF(AND(COLUMN()&gt;=11,COLUMN()&lt;=20),(_xlfn.XLOOKUP($A90,#REF!,#REF!))/SUMIF($A$7:$AC$128,$A90,$AB$6:$AB$127)*J$5,0)</f>
        <v>0</v>
      </c>
      <c r="K90" s="26" t="e">
        <f ca="1">IF(AND(COLUMN()&gt;=11,COLUMN()&lt;=20),(_xlfn.XLOOKUP($A90,#REF!,#REF!))/SUMIF($A$7:$AC$128,$A90,$AB$6:$AB$127)*K$5,0)</f>
        <v>#REF!</v>
      </c>
      <c r="L90" s="26" t="e">
        <f ca="1">IF(AND(COLUMN()&gt;=11,COLUMN()&lt;=20),(_xlfn.XLOOKUP($A90,#REF!,#REF!))/SUMIF($A$7:$AC$128,$A90,$AB$6:$AB$127)*L$5,0)</f>
        <v>#REF!</v>
      </c>
      <c r="M90" s="26" t="e">
        <f ca="1">IF(AND(COLUMN()&gt;=11,COLUMN()&lt;=20),(_xlfn.XLOOKUP($A90,#REF!,#REF!))/SUMIF($A$7:$AC$128,$A90,$AB$6:$AB$127)*M$5,0)</f>
        <v>#REF!</v>
      </c>
      <c r="N90" s="26" t="e">
        <f ca="1">IF(AND(COLUMN()&gt;=11,COLUMN()&lt;=20),(_xlfn.XLOOKUP($A90,#REF!,#REF!))/SUMIF($A$7:$AC$128,$A90,$AB$6:$AB$127)*N$5,0)</f>
        <v>#REF!</v>
      </c>
      <c r="O90" s="26" t="e">
        <f ca="1">IF(AND(COLUMN()&gt;=11,COLUMN()&lt;=20),(_xlfn.XLOOKUP($A90,#REF!,#REF!))/SUMIF($A$7:$AC$128,$A90,$AB$6:$AB$127)*O$5,0)</f>
        <v>#REF!</v>
      </c>
      <c r="P90" s="26" t="e">
        <f ca="1">IF(AND(COLUMN()&gt;=11,COLUMN()&lt;=20),(_xlfn.XLOOKUP($A90,#REF!,#REF!))/SUMIF($A$7:$AC$128,$A90,$AB$6:$AB$127)*P$5,0)</f>
        <v>#REF!</v>
      </c>
      <c r="Q90" s="26" t="e">
        <f ca="1">IF(AND(COLUMN()&gt;=11,COLUMN()&lt;=20),(_xlfn.XLOOKUP($A90,#REF!,#REF!))/SUMIF($A$7:$AC$128,$A90,$AB$6:$AB$127)*Q$5,0)</f>
        <v>#REF!</v>
      </c>
      <c r="R90" s="26" t="e">
        <f ca="1">IF(AND(COLUMN()&gt;=11,COLUMN()&lt;=20),(_xlfn.XLOOKUP($A90,#REF!,#REF!))/SUMIF($A$7:$AC$128,$A90,$AB$6:$AB$127)*R$5,0)</f>
        <v>#REF!</v>
      </c>
      <c r="S90" s="26" t="e">
        <f ca="1">IF(AND(COLUMN()&gt;=11,COLUMN()&lt;=20),(_xlfn.XLOOKUP($A90,#REF!,#REF!))/SUMIF($A$7:$AC$128,$A90,$AB$6:$AB$127)*S$5,0)</f>
        <v>#REF!</v>
      </c>
      <c r="T90" s="26" t="e">
        <f ca="1">IF(AND(COLUMN()&gt;=11,COLUMN()&lt;=20),(_xlfn.XLOOKUP($A90,#REF!,#REF!))/SUMIF($A$7:$AC$128,$A90,$AB$6:$AB$127)*T$5,0)</f>
        <v>#REF!</v>
      </c>
      <c r="U90" s="26">
        <f>IF(AND(COLUMN()&gt;=11,COLUMN()&lt;=20),(_xlfn.XLOOKUP($A90,#REF!,#REF!))/SUMIF($A$7:$AC$128,$A90,$AB$6:$AB$127)*U$5,0)</f>
        <v>0</v>
      </c>
      <c r="V90" s="26">
        <f>IF(AND(COLUMN()&gt;=11,COLUMN()&lt;=20),(_xlfn.XLOOKUP($A90,#REF!,#REF!))/SUMIF($A$7:$AC$128,$A90,$AB$6:$AB$127)*V$5,0)</f>
        <v>0</v>
      </c>
      <c r="W90" s="26">
        <f>IF(AND(COLUMN()&gt;=11,COLUMN()&lt;=20),(_xlfn.XLOOKUP($A90,#REF!,#REF!))/SUMIF($A$7:$AC$128,$A90,$AB$6:$AB$127)*W$5,0)</f>
        <v>0</v>
      </c>
      <c r="X90" s="26">
        <f>IF(AND(COLUMN()&gt;=11,COLUMN()&lt;=20),(_xlfn.XLOOKUP($A90,#REF!,#REF!))/SUMIF($A$7:$AC$128,$A90,$AB$6:$AB$127)*X$5,0)</f>
        <v>0</v>
      </c>
      <c r="Y90" s="26">
        <f>IF(AND(COLUMN()&gt;=11,COLUMN()&lt;=20),(_xlfn.XLOOKUP($A90,#REF!,#REF!))/SUMIF($A$7:$AC$128,$A90,$AB$6:$AB$127)*Y$5,0)</f>
        <v>0</v>
      </c>
      <c r="Z90" s="26">
        <f>IF(AND(COLUMN()&gt;=11,COLUMN()&lt;=20),(_xlfn.XLOOKUP($A90,#REF!,#REF!))/SUMIF($A$7:$AC$128,$A90,$AB$6:$AB$127)*Z$5,0)</f>
        <v>0</v>
      </c>
      <c r="AA90" s="26" t="e">
        <f t="shared" ca="1" si="12"/>
        <v>#REF!</v>
      </c>
      <c r="AB90" s="19">
        <f t="shared" si="10"/>
        <v>30</v>
      </c>
      <c r="AC90" s="20" t="e">
        <f t="shared" ca="1" si="11"/>
        <v>#REF!</v>
      </c>
      <c r="AD90" s="30" t="e">
        <f>#REF!/SUMIF(#REF!,'Curva de la oferta Prod 3'!$A90,#REF!)</f>
        <v>#REF!</v>
      </c>
      <c r="AE90" s="28"/>
      <c r="AF90" s="31"/>
      <c r="AG90" s="31"/>
      <c r="AH90" s="31"/>
      <c r="AI90" s="31"/>
      <c r="AJ90" s="31"/>
      <c r="AK90" s="31"/>
    </row>
    <row r="91" spans="1:37" ht="14.5" x14ac:dyDescent="0.35">
      <c r="A91" s="15">
        <f t="shared" si="9"/>
        <v>2032</v>
      </c>
      <c r="B91" s="18">
        <v>48549</v>
      </c>
      <c r="C91" s="26">
        <f>IF(AND(COLUMN()&gt;=11,COLUMN()&lt;=20),(_xlfn.XLOOKUP($A91,#REF!,#REF!))/SUMIF($A$7:$AC$128,$A91,$AB$6:$AB$127)*C$5,0)</f>
        <v>0</v>
      </c>
      <c r="D91" s="26">
        <f>IF(AND(COLUMN()&gt;=11,COLUMN()&lt;=20),(_xlfn.XLOOKUP($A91,#REF!,#REF!))/SUMIF($A$7:$AC$128,$A91,$AB$6:$AB$127)*D$5,0)</f>
        <v>0</v>
      </c>
      <c r="E91" s="26">
        <f>IF(AND(COLUMN()&gt;=11,COLUMN()&lt;=20),(_xlfn.XLOOKUP($A91,#REF!,#REF!))/SUMIF($A$7:$AC$128,$A91,$AB$6:$AB$127)*E$5,0)</f>
        <v>0</v>
      </c>
      <c r="F91" s="26">
        <f>IF(AND(COLUMN()&gt;=11,COLUMN()&lt;=20),(_xlfn.XLOOKUP($A91,#REF!,#REF!))/SUMIF($A$7:$AC$128,$A91,$AB$6:$AB$127)*F$5,0)</f>
        <v>0</v>
      </c>
      <c r="G91" s="26">
        <f>IF(AND(COLUMN()&gt;=11,COLUMN()&lt;=20),(_xlfn.XLOOKUP($A91,#REF!,#REF!))/SUMIF($A$7:$AC$128,$A91,$AB$6:$AB$127)*G$5,0)</f>
        <v>0</v>
      </c>
      <c r="H91" s="26">
        <f>IF(AND(COLUMN()&gt;=11,COLUMN()&lt;=20),(_xlfn.XLOOKUP($A91,#REF!,#REF!))/SUMIF($A$7:$AC$128,$A91,$AB$6:$AB$127)*H$5,0)</f>
        <v>0</v>
      </c>
      <c r="I91" s="26">
        <f>IF(AND(COLUMN()&gt;=11,COLUMN()&lt;=20),(_xlfn.XLOOKUP($A91,#REF!,#REF!))/SUMIF($A$7:$AC$128,$A91,$AB$6:$AB$127)*I$5,0)</f>
        <v>0</v>
      </c>
      <c r="J91" s="26">
        <f>IF(AND(COLUMN()&gt;=11,COLUMN()&lt;=20),(_xlfn.XLOOKUP($A91,#REF!,#REF!))/SUMIF($A$7:$AC$128,$A91,$AB$6:$AB$127)*J$5,0)</f>
        <v>0</v>
      </c>
      <c r="K91" s="26" t="e">
        <f ca="1">IF(AND(COLUMN()&gt;=11,COLUMN()&lt;=20),(_xlfn.XLOOKUP($A91,#REF!,#REF!))/SUMIF($A$7:$AC$128,$A91,$AB$6:$AB$127)*K$5,0)</f>
        <v>#REF!</v>
      </c>
      <c r="L91" s="26" t="e">
        <f ca="1">IF(AND(COLUMN()&gt;=11,COLUMN()&lt;=20),(_xlfn.XLOOKUP($A91,#REF!,#REF!))/SUMIF($A$7:$AC$128,$A91,$AB$6:$AB$127)*L$5,0)</f>
        <v>#REF!</v>
      </c>
      <c r="M91" s="26" t="e">
        <f ca="1">IF(AND(COLUMN()&gt;=11,COLUMN()&lt;=20),(_xlfn.XLOOKUP($A91,#REF!,#REF!))/SUMIF($A$7:$AC$128,$A91,$AB$6:$AB$127)*M$5,0)</f>
        <v>#REF!</v>
      </c>
      <c r="N91" s="26" t="e">
        <f ca="1">IF(AND(COLUMN()&gt;=11,COLUMN()&lt;=20),(_xlfn.XLOOKUP($A91,#REF!,#REF!))/SUMIF($A$7:$AC$128,$A91,$AB$6:$AB$127)*N$5,0)</f>
        <v>#REF!</v>
      </c>
      <c r="O91" s="26" t="e">
        <f ca="1">IF(AND(COLUMN()&gt;=11,COLUMN()&lt;=20),(_xlfn.XLOOKUP($A91,#REF!,#REF!))/SUMIF($A$7:$AC$128,$A91,$AB$6:$AB$127)*O$5,0)</f>
        <v>#REF!</v>
      </c>
      <c r="P91" s="26" t="e">
        <f ca="1">IF(AND(COLUMN()&gt;=11,COLUMN()&lt;=20),(_xlfn.XLOOKUP($A91,#REF!,#REF!))/SUMIF($A$7:$AC$128,$A91,$AB$6:$AB$127)*P$5,0)</f>
        <v>#REF!</v>
      </c>
      <c r="Q91" s="26" t="e">
        <f ca="1">IF(AND(COLUMN()&gt;=11,COLUMN()&lt;=20),(_xlfn.XLOOKUP($A91,#REF!,#REF!))/SUMIF($A$7:$AC$128,$A91,$AB$6:$AB$127)*Q$5,0)</f>
        <v>#REF!</v>
      </c>
      <c r="R91" s="26" t="e">
        <f ca="1">IF(AND(COLUMN()&gt;=11,COLUMN()&lt;=20),(_xlfn.XLOOKUP($A91,#REF!,#REF!))/SUMIF($A$7:$AC$128,$A91,$AB$6:$AB$127)*R$5,0)</f>
        <v>#REF!</v>
      </c>
      <c r="S91" s="26" t="e">
        <f ca="1">IF(AND(COLUMN()&gt;=11,COLUMN()&lt;=20),(_xlfn.XLOOKUP($A91,#REF!,#REF!))/SUMIF($A$7:$AC$128,$A91,$AB$6:$AB$127)*S$5,0)</f>
        <v>#REF!</v>
      </c>
      <c r="T91" s="26" t="e">
        <f ca="1">IF(AND(COLUMN()&gt;=11,COLUMN()&lt;=20),(_xlfn.XLOOKUP($A91,#REF!,#REF!))/SUMIF($A$7:$AC$128,$A91,$AB$6:$AB$127)*T$5,0)</f>
        <v>#REF!</v>
      </c>
      <c r="U91" s="26">
        <f>IF(AND(COLUMN()&gt;=11,COLUMN()&lt;=20),(_xlfn.XLOOKUP($A91,#REF!,#REF!))/SUMIF($A$7:$AC$128,$A91,$AB$6:$AB$127)*U$5,0)</f>
        <v>0</v>
      </c>
      <c r="V91" s="26">
        <f>IF(AND(COLUMN()&gt;=11,COLUMN()&lt;=20),(_xlfn.XLOOKUP($A91,#REF!,#REF!))/SUMIF($A$7:$AC$128,$A91,$AB$6:$AB$127)*V$5,0)</f>
        <v>0</v>
      </c>
      <c r="W91" s="26">
        <f>IF(AND(COLUMN()&gt;=11,COLUMN()&lt;=20),(_xlfn.XLOOKUP($A91,#REF!,#REF!))/SUMIF($A$7:$AC$128,$A91,$AB$6:$AB$127)*W$5,0)</f>
        <v>0</v>
      </c>
      <c r="X91" s="26">
        <f>IF(AND(COLUMN()&gt;=11,COLUMN()&lt;=20),(_xlfn.XLOOKUP($A91,#REF!,#REF!))/SUMIF($A$7:$AC$128,$A91,$AB$6:$AB$127)*X$5,0)</f>
        <v>0</v>
      </c>
      <c r="Y91" s="26">
        <f>IF(AND(COLUMN()&gt;=11,COLUMN()&lt;=20),(_xlfn.XLOOKUP($A91,#REF!,#REF!))/SUMIF($A$7:$AC$128,$A91,$AB$6:$AB$127)*Y$5,0)</f>
        <v>0</v>
      </c>
      <c r="Z91" s="26">
        <f>IF(AND(COLUMN()&gt;=11,COLUMN()&lt;=20),(_xlfn.XLOOKUP($A91,#REF!,#REF!))/SUMIF($A$7:$AC$128,$A91,$AB$6:$AB$127)*Z$5,0)</f>
        <v>0</v>
      </c>
      <c r="AA91" s="26" t="e">
        <f t="shared" ca="1" si="12"/>
        <v>#REF!</v>
      </c>
      <c r="AB91" s="19">
        <f t="shared" si="10"/>
        <v>31</v>
      </c>
      <c r="AC91" s="20" t="e">
        <f t="shared" ca="1" si="11"/>
        <v>#REF!</v>
      </c>
      <c r="AD91" s="30" t="e">
        <f>#REF!/SUMIF(#REF!,'Curva de la oferta Prod 3'!$A91,#REF!)</f>
        <v>#REF!</v>
      </c>
      <c r="AE91" s="28"/>
      <c r="AF91" s="31"/>
      <c r="AG91" s="31"/>
      <c r="AH91" s="31"/>
      <c r="AI91" s="31"/>
      <c r="AJ91" s="31"/>
      <c r="AK91" s="31"/>
    </row>
    <row r="92" spans="1:37" ht="14.5" x14ac:dyDescent="0.35">
      <c r="A92" s="15">
        <f t="shared" si="9"/>
        <v>2033</v>
      </c>
      <c r="B92" s="18">
        <v>48580</v>
      </c>
      <c r="C92" s="26">
        <f>IF(AND(COLUMN()&gt;=11,COLUMN()&lt;=20),(_xlfn.XLOOKUP($A92,#REF!,#REF!))/SUMIF($A$7:$AC$128,$A92,$AB$6:$AB$127)*C$5,0)</f>
        <v>0</v>
      </c>
      <c r="D92" s="26">
        <f>IF(AND(COLUMN()&gt;=11,COLUMN()&lt;=20),(_xlfn.XLOOKUP($A92,#REF!,#REF!))/SUMIF($A$7:$AC$128,$A92,$AB$6:$AB$127)*D$5,0)</f>
        <v>0</v>
      </c>
      <c r="E92" s="26">
        <f>IF(AND(COLUMN()&gt;=11,COLUMN()&lt;=20),(_xlfn.XLOOKUP($A92,#REF!,#REF!))/SUMIF($A$7:$AC$128,$A92,$AB$6:$AB$127)*E$5,0)</f>
        <v>0</v>
      </c>
      <c r="F92" s="26">
        <f>IF(AND(COLUMN()&gt;=11,COLUMN()&lt;=20),(_xlfn.XLOOKUP($A92,#REF!,#REF!))/SUMIF($A$7:$AC$128,$A92,$AB$6:$AB$127)*F$5,0)</f>
        <v>0</v>
      </c>
      <c r="G92" s="26">
        <f>IF(AND(COLUMN()&gt;=11,COLUMN()&lt;=20),(_xlfn.XLOOKUP($A92,#REF!,#REF!))/SUMIF($A$7:$AC$128,$A92,$AB$6:$AB$127)*G$5,0)</f>
        <v>0</v>
      </c>
      <c r="H92" s="26">
        <f>IF(AND(COLUMN()&gt;=11,COLUMN()&lt;=20),(_xlfn.XLOOKUP($A92,#REF!,#REF!))/SUMIF($A$7:$AC$128,$A92,$AB$6:$AB$127)*H$5,0)</f>
        <v>0</v>
      </c>
      <c r="I92" s="26">
        <f>IF(AND(COLUMN()&gt;=11,COLUMN()&lt;=20),(_xlfn.XLOOKUP($A92,#REF!,#REF!))/SUMIF($A$7:$AC$128,$A92,$AB$6:$AB$127)*I$5,0)</f>
        <v>0</v>
      </c>
      <c r="J92" s="26">
        <f>IF(AND(COLUMN()&gt;=11,COLUMN()&lt;=20),(_xlfn.XLOOKUP($A92,#REF!,#REF!))/SUMIF($A$7:$AC$128,$A92,$AB$6:$AB$127)*J$5,0)</f>
        <v>0</v>
      </c>
      <c r="K92" s="26" t="e">
        <f ca="1">IF(AND(COLUMN()&gt;=11,COLUMN()&lt;=20),(_xlfn.XLOOKUP($A92,#REF!,#REF!))/SUMIF($A$7:$AC$128,$A92,$AB$6:$AB$127)*K$5,0)</f>
        <v>#REF!</v>
      </c>
      <c r="L92" s="26" t="e">
        <f ca="1">IF(AND(COLUMN()&gt;=11,COLUMN()&lt;=20),(_xlfn.XLOOKUP($A92,#REF!,#REF!))/SUMIF($A$7:$AC$128,$A92,$AB$6:$AB$127)*L$5,0)</f>
        <v>#REF!</v>
      </c>
      <c r="M92" s="26" t="e">
        <f ca="1">IF(AND(COLUMN()&gt;=11,COLUMN()&lt;=20),(_xlfn.XLOOKUP($A92,#REF!,#REF!))/SUMIF($A$7:$AC$128,$A92,$AB$6:$AB$127)*M$5,0)</f>
        <v>#REF!</v>
      </c>
      <c r="N92" s="26" t="e">
        <f ca="1">IF(AND(COLUMN()&gt;=11,COLUMN()&lt;=20),(_xlfn.XLOOKUP($A92,#REF!,#REF!))/SUMIF($A$7:$AC$128,$A92,$AB$6:$AB$127)*N$5,0)</f>
        <v>#REF!</v>
      </c>
      <c r="O92" s="26" t="e">
        <f ca="1">IF(AND(COLUMN()&gt;=11,COLUMN()&lt;=20),(_xlfn.XLOOKUP($A92,#REF!,#REF!))/SUMIF($A$7:$AC$128,$A92,$AB$6:$AB$127)*O$5,0)</f>
        <v>#REF!</v>
      </c>
      <c r="P92" s="26" t="e">
        <f ca="1">IF(AND(COLUMN()&gt;=11,COLUMN()&lt;=20),(_xlfn.XLOOKUP($A92,#REF!,#REF!))/SUMIF($A$7:$AC$128,$A92,$AB$6:$AB$127)*P$5,0)</f>
        <v>#REF!</v>
      </c>
      <c r="Q92" s="26" t="e">
        <f ca="1">IF(AND(COLUMN()&gt;=11,COLUMN()&lt;=20),(_xlfn.XLOOKUP($A92,#REF!,#REF!))/SUMIF($A$7:$AC$128,$A92,$AB$6:$AB$127)*Q$5,0)</f>
        <v>#REF!</v>
      </c>
      <c r="R92" s="26" t="e">
        <f ca="1">IF(AND(COLUMN()&gt;=11,COLUMN()&lt;=20),(_xlfn.XLOOKUP($A92,#REF!,#REF!))/SUMIF($A$7:$AC$128,$A92,$AB$6:$AB$127)*R$5,0)</f>
        <v>#REF!</v>
      </c>
      <c r="S92" s="26" t="e">
        <f ca="1">IF(AND(COLUMN()&gt;=11,COLUMN()&lt;=20),(_xlfn.XLOOKUP($A92,#REF!,#REF!))/SUMIF($A$7:$AC$128,$A92,$AB$6:$AB$127)*S$5,0)</f>
        <v>#REF!</v>
      </c>
      <c r="T92" s="26" t="e">
        <f ca="1">IF(AND(COLUMN()&gt;=11,COLUMN()&lt;=20),(_xlfn.XLOOKUP($A92,#REF!,#REF!))/SUMIF($A$7:$AC$128,$A92,$AB$6:$AB$127)*T$5,0)</f>
        <v>#REF!</v>
      </c>
      <c r="U92" s="26">
        <f>IF(AND(COLUMN()&gt;=11,COLUMN()&lt;=20),(_xlfn.XLOOKUP($A92,#REF!,#REF!))/SUMIF($A$7:$AC$128,$A92,$AB$6:$AB$127)*U$5,0)</f>
        <v>0</v>
      </c>
      <c r="V92" s="26">
        <f>IF(AND(COLUMN()&gt;=11,COLUMN()&lt;=20),(_xlfn.XLOOKUP($A92,#REF!,#REF!))/SUMIF($A$7:$AC$128,$A92,$AB$6:$AB$127)*V$5,0)</f>
        <v>0</v>
      </c>
      <c r="W92" s="26">
        <f>IF(AND(COLUMN()&gt;=11,COLUMN()&lt;=20),(_xlfn.XLOOKUP($A92,#REF!,#REF!))/SUMIF($A$7:$AC$128,$A92,$AB$6:$AB$127)*W$5,0)</f>
        <v>0</v>
      </c>
      <c r="X92" s="26">
        <f>IF(AND(COLUMN()&gt;=11,COLUMN()&lt;=20),(_xlfn.XLOOKUP($A92,#REF!,#REF!))/SUMIF($A$7:$AC$128,$A92,$AB$6:$AB$127)*X$5,0)</f>
        <v>0</v>
      </c>
      <c r="Y92" s="26">
        <f>IF(AND(COLUMN()&gt;=11,COLUMN()&lt;=20),(_xlfn.XLOOKUP($A92,#REF!,#REF!))/SUMIF($A$7:$AC$128,$A92,$AB$6:$AB$127)*Y$5,0)</f>
        <v>0</v>
      </c>
      <c r="Z92" s="26">
        <f>IF(AND(COLUMN()&gt;=11,COLUMN()&lt;=20),(_xlfn.XLOOKUP($A92,#REF!,#REF!))/SUMIF($A$7:$AC$128,$A92,$AB$6:$AB$127)*Z$5,0)</f>
        <v>0</v>
      </c>
      <c r="AA92" s="26" t="e">
        <f t="shared" ref="AA92" ca="1" si="13">SUM(C92:Z92)</f>
        <v>#REF!</v>
      </c>
      <c r="AB92" s="19">
        <f t="shared" si="10"/>
        <v>31</v>
      </c>
      <c r="AC92" s="20" t="e">
        <f t="shared" ca="1" si="11"/>
        <v>#REF!</v>
      </c>
      <c r="AD92" s="30" t="e">
        <f>#REF!/SUMIF(#REF!,'Curva de la oferta Prod 3'!$A92,#REF!)</f>
        <v>#REF!</v>
      </c>
      <c r="AE92" s="28"/>
      <c r="AF92" s="31"/>
      <c r="AG92" s="31"/>
      <c r="AH92" s="31"/>
      <c r="AI92" s="31"/>
      <c r="AJ92" s="31"/>
      <c r="AK92" s="31"/>
    </row>
    <row r="93" spans="1:37" ht="14.5" x14ac:dyDescent="0.35">
      <c r="A93" s="15">
        <f t="shared" si="9"/>
        <v>2033</v>
      </c>
      <c r="B93" s="18">
        <v>48611</v>
      </c>
      <c r="C93" s="26">
        <f>IF(AND(COLUMN()&gt;=11,COLUMN()&lt;=20),(_xlfn.XLOOKUP($A93,#REF!,#REF!))/SUMIF($A$7:$AC$128,$A93,$AB$6:$AB$127)*C$5,0)</f>
        <v>0</v>
      </c>
      <c r="D93" s="26">
        <f>IF(AND(COLUMN()&gt;=11,COLUMN()&lt;=20),(_xlfn.XLOOKUP($A93,#REF!,#REF!))/SUMIF($A$7:$AC$128,$A93,$AB$6:$AB$127)*D$5,0)</f>
        <v>0</v>
      </c>
      <c r="E93" s="26">
        <f>IF(AND(COLUMN()&gt;=11,COLUMN()&lt;=20),(_xlfn.XLOOKUP($A93,#REF!,#REF!))/SUMIF($A$7:$AC$128,$A93,$AB$6:$AB$127)*E$5,0)</f>
        <v>0</v>
      </c>
      <c r="F93" s="26">
        <f>IF(AND(COLUMN()&gt;=11,COLUMN()&lt;=20),(_xlfn.XLOOKUP($A93,#REF!,#REF!))/SUMIF($A$7:$AC$128,$A93,$AB$6:$AB$127)*F$5,0)</f>
        <v>0</v>
      </c>
      <c r="G93" s="26">
        <f>IF(AND(COLUMN()&gt;=11,COLUMN()&lt;=20),(_xlfn.XLOOKUP($A93,#REF!,#REF!))/SUMIF($A$7:$AC$128,$A93,$AB$6:$AB$127)*G$5,0)</f>
        <v>0</v>
      </c>
      <c r="H93" s="26">
        <f>IF(AND(COLUMN()&gt;=11,COLUMN()&lt;=20),(_xlfn.XLOOKUP($A93,#REF!,#REF!))/SUMIF($A$7:$AC$128,$A93,$AB$6:$AB$127)*H$5,0)</f>
        <v>0</v>
      </c>
      <c r="I93" s="26">
        <f>IF(AND(COLUMN()&gt;=11,COLUMN()&lt;=20),(_xlfn.XLOOKUP($A93,#REF!,#REF!))/SUMIF($A$7:$AC$128,$A93,$AB$6:$AB$127)*I$5,0)</f>
        <v>0</v>
      </c>
      <c r="J93" s="26">
        <f>IF(AND(COLUMN()&gt;=11,COLUMN()&lt;=20),(_xlfn.XLOOKUP($A93,#REF!,#REF!))/SUMIF($A$7:$AC$128,$A93,$AB$6:$AB$127)*J$5,0)</f>
        <v>0</v>
      </c>
      <c r="K93" s="26" t="e">
        <f ca="1">IF(AND(COLUMN()&gt;=11,COLUMN()&lt;=20),(_xlfn.XLOOKUP($A93,#REF!,#REF!))/SUMIF($A$7:$AC$128,$A93,$AB$6:$AB$127)*K$5,0)</f>
        <v>#REF!</v>
      </c>
      <c r="L93" s="26" t="e">
        <f ca="1">IF(AND(COLUMN()&gt;=11,COLUMN()&lt;=20),(_xlfn.XLOOKUP($A93,#REF!,#REF!))/SUMIF($A$7:$AC$128,$A93,$AB$6:$AB$127)*L$5,0)</f>
        <v>#REF!</v>
      </c>
      <c r="M93" s="26" t="e">
        <f ca="1">IF(AND(COLUMN()&gt;=11,COLUMN()&lt;=20),(_xlfn.XLOOKUP($A93,#REF!,#REF!))/SUMIF($A$7:$AC$128,$A93,$AB$6:$AB$127)*M$5,0)</f>
        <v>#REF!</v>
      </c>
      <c r="N93" s="26" t="e">
        <f ca="1">IF(AND(COLUMN()&gt;=11,COLUMN()&lt;=20),(_xlfn.XLOOKUP($A93,#REF!,#REF!))/SUMIF($A$7:$AC$128,$A93,$AB$6:$AB$127)*N$5,0)</f>
        <v>#REF!</v>
      </c>
      <c r="O93" s="26" t="e">
        <f ca="1">IF(AND(COLUMN()&gt;=11,COLUMN()&lt;=20),(_xlfn.XLOOKUP($A93,#REF!,#REF!))/SUMIF($A$7:$AC$128,$A93,$AB$6:$AB$127)*O$5,0)</f>
        <v>#REF!</v>
      </c>
      <c r="P93" s="26" t="e">
        <f ca="1">IF(AND(COLUMN()&gt;=11,COLUMN()&lt;=20),(_xlfn.XLOOKUP($A93,#REF!,#REF!))/SUMIF($A$7:$AC$128,$A93,$AB$6:$AB$127)*P$5,0)</f>
        <v>#REF!</v>
      </c>
      <c r="Q93" s="26" t="e">
        <f ca="1">IF(AND(COLUMN()&gt;=11,COLUMN()&lt;=20),(_xlfn.XLOOKUP($A93,#REF!,#REF!))/SUMIF($A$7:$AC$128,$A93,$AB$6:$AB$127)*Q$5,0)</f>
        <v>#REF!</v>
      </c>
      <c r="R93" s="26" t="e">
        <f ca="1">IF(AND(COLUMN()&gt;=11,COLUMN()&lt;=20),(_xlfn.XLOOKUP($A93,#REF!,#REF!))/SUMIF($A$7:$AC$128,$A93,$AB$6:$AB$127)*R$5,0)</f>
        <v>#REF!</v>
      </c>
      <c r="S93" s="26" t="e">
        <f ca="1">IF(AND(COLUMN()&gt;=11,COLUMN()&lt;=20),(_xlfn.XLOOKUP($A93,#REF!,#REF!))/SUMIF($A$7:$AC$128,$A93,$AB$6:$AB$127)*S$5,0)</f>
        <v>#REF!</v>
      </c>
      <c r="T93" s="26" t="e">
        <f ca="1">IF(AND(COLUMN()&gt;=11,COLUMN()&lt;=20),(_xlfn.XLOOKUP($A93,#REF!,#REF!))/SUMIF($A$7:$AC$128,$A93,$AB$6:$AB$127)*T$5,0)</f>
        <v>#REF!</v>
      </c>
      <c r="U93" s="26">
        <f>IF(AND(COLUMN()&gt;=11,COLUMN()&lt;=20),(_xlfn.XLOOKUP($A93,#REF!,#REF!))/SUMIF($A$7:$AC$128,$A93,$AB$6:$AB$127)*U$5,0)</f>
        <v>0</v>
      </c>
      <c r="V93" s="26">
        <f>IF(AND(COLUMN()&gt;=11,COLUMN()&lt;=20),(_xlfn.XLOOKUP($A93,#REF!,#REF!))/SUMIF($A$7:$AC$128,$A93,$AB$6:$AB$127)*V$5,0)</f>
        <v>0</v>
      </c>
      <c r="W93" s="26">
        <f>IF(AND(COLUMN()&gt;=11,COLUMN()&lt;=20),(_xlfn.XLOOKUP($A93,#REF!,#REF!))/SUMIF($A$7:$AC$128,$A93,$AB$6:$AB$127)*W$5,0)</f>
        <v>0</v>
      </c>
      <c r="X93" s="26">
        <f>IF(AND(COLUMN()&gt;=11,COLUMN()&lt;=20),(_xlfn.XLOOKUP($A93,#REF!,#REF!))/SUMIF($A$7:$AC$128,$A93,$AB$6:$AB$127)*X$5,0)</f>
        <v>0</v>
      </c>
      <c r="Y93" s="26">
        <f>IF(AND(COLUMN()&gt;=11,COLUMN()&lt;=20),(_xlfn.XLOOKUP($A93,#REF!,#REF!))/SUMIF($A$7:$AC$128,$A93,$AB$6:$AB$127)*Y$5,0)</f>
        <v>0</v>
      </c>
      <c r="Z93" s="26">
        <f>IF(AND(COLUMN()&gt;=11,COLUMN()&lt;=20),(_xlfn.XLOOKUP($A93,#REF!,#REF!))/SUMIF($A$7:$AC$128,$A93,$AB$6:$AB$127)*Z$5,0)</f>
        <v>0</v>
      </c>
      <c r="AA93" s="26" t="e">
        <f t="shared" ref="AA93:AA104" ca="1" si="14">SUM(C93:Z93)</f>
        <v>#REF!</v>
      </c>
      <c r="AB93" s="19">
        <f t="shared" si="10"/>
        <v>28</v>
      </c>
      <c r="AC93" s="20" t="e">
        <f t="shared" ca="1" si="11"/>
        <v>#REF!</v>
      </c>
      <c r="AD93" s="30" t="e">
        <f>#REF!/SUMIF(#REF!,'Curva de la oferta Prod 3'!$A93,#REF!)</f>
        <v>#REF!</v>
      </c>
      <c r="AE93" s="28"/>
      <c r="AF93" s="31"/>
      <c r="AG93" s="31"/>
      <c r="AH93" s="31"/>
      <c r="AI93" s="31"/>
      <c r="AJ93" s="31"/>
      <c r="AK93" s="31"/>
    </row>
    <row r="94" spans="1:37" ht="14.5" x14ac:dyDescent="0.35">
      <c r="A94" s="15">
        <f t="shared" si="9"/>
        <v>2033</v>
      </c>
      <c r="B94" s="18">
        <v>48639</v>
      </c>
      <c r="C94" s="26">
        <f>IF(AND(COLUMN()&gt;=11,COLUMN()&lt;=20),(_xlfn.XLOOKUP($A94,#REF!,#REF!))/SUMIF($A$7:$AC$128,$A94,$AB$6:$AB$127)*C$5,0)</f>
        <v>0</v>
      </c>
      <c r="D94" s="26">
        <f>IF(AND(COLUMN()&gt;=11,COLUMN()&lt;=20),(_xlfn.XLOOKUP($A94,#REF!,#REF!))/SUMIF($A$7:$AC$128,$A94,$AB$6:$AB$127)*D$5,0)</f>
        <v>0</v>
      </c>
      <c r="E94" s="26">
        <f>IF(AND(COLUMN()&gt;=11,COLUMN()&lt;=20),(_xlfn.XLOOKUP($A94,#REF!,#REF!))/SUMIF($A$7:$AC$128,$A94,$AB$6:$AB$127)*E$5,0)</f>
        <v>0</v>
      </c>
      <c r="F94" s="26">
        <f>IF(AND(COLUMN()&gt;=11,COLUMN()&lt;=20),(_xlfn.XLOOKUP($A94,#REF!,#REF!))/SUMIF($A$7:$AC$128,$A94,$AB$6:$AB$127)*F$5,0)</f>
        <v>0</v>
      </c>
      <c r="G94" s="26">
        <f>IF(AND(COLUMN()&gt;=11,COLUMN()&lt;=20),(_xlfn.XLOOKUP($A94,#REF!,#REF!))/SUMIF($A$7:$AC$128,$A94,$AB$6:$AB$127)*G$5,0)</f>
        <v>0</v>
      </c>
      <c r="H94" s="26">
        <f>IF(AND(COLUMN()&gt;=11,COLUMN()&lt;=20),(_xlfn.XLOOKUP($A94,#REF!,#REF!))/SUMIF($A$7:$AC$128,$A94,$AB$6:$AB$127)*H$5,0)</f>
        <v>0</v>
      </c>
      <c r="I94" s="26">
        <f>IF(AND(COLUMN()&gt;=11,COLUMN()&lt;=20),(_xlfn.XLOOKUP($A94,#REF!,#REF!))/SUMIF($A$7:$AC$128,$A94,$AB$6:$AB$127)*I$5,0)</f>
        <v>0</v>
      </c>
      <c r="J94" s="26">
        <f>IF(AND(COLUMN()&gt;=11,COLUMN()&lt;=20),(_xlfn.XLOOKUP($A94,#REF!,#REF!))/SUMIF($A$7:$AC$128,$A94,$AB$6:$AB$127)*J$5,0)</f>
        <v>0</v>
      </c>
      <c r="K94" s="26" t="e">
        <f ca="1">IF(AND(COLUMN()&gt;=11,COLUMN()&lt;=20),(_xlfn.XLOOKUP($A94,#REF!,#REF!))/SUMIF($A$7:$AC$128,$A94,$AB$6:$AB$127)*K$5,0)</f>
        <v>#REF!</v>
      </c>
      <c r="L94" s="26" t="e">
        <f ca="1">IF(AND(COLUMN()&gt;=11,COLUMN()&lt;=20),(_xlfn.XLOOKUP($A94,#REF!,#REF!))/SUMIF($A$7:$AC$128,$A94,$AB$6:$AB$127)*L$5,0)</f>
        <v>#REF!</v>
      </c>
      <c r="M94" s="26" t="e">
        <f ca="1">IF(AND(COLUMN()&gt;=11,COLUMN()&lt;=20),(_xlfn.XLOOKUP($A94,#REF!,#REF!))/SUMIF($A$7:$AC$128,$A94,$AB$6:$AB$127)*M$5,0)</f>
        <v>#REF!</v>
      </c>
      <c r="N94" s="26" t="e">
        <f ca="1">IF(AND(COLUMN()&gt;=11,COLUMN()&lt;=20),(_xlfn.XLOOKUP($A94,#REF!,#REF!))/SUMIF($A$7:$AC$128,$A94,$AB$6:$AB$127)*N$5,0)</f>
        <v>#REF!</v>
      </c>
      <c r="O94" s="26" t="e">
        <f ca="1">IF(AND(COLUMN()&gt;=11,COLUMN()&lt;=20),(_xlfn.XLOOKUP($A94,#REF!,#REF!))/SUMIF($A$7:$AC$128,$A94,$AB$6:$AB$127)*O$5,0)</f>
        <v>#REF!</v>
      </c>
      <c r="P94" s="26" t="e">
        <f ca="1">IF(AND(COLUMN()&gt;=11,COLUMN()&lt;=20),(_xlfn.XLOOKUP($A94,#REF!,#REF!))/SUMIF($A$7:$AC$128,$A94,$AB$6:$AB$127)*P$5,0)</f>
        <v>#REF!</v>
      </c>
      <c r="Q94" s="26" t="e">
        <f ca="1">IF(AND(COLUMN()&gt;=11,COLUMN()&lt;=20),(_xlfn.XLOOKUP($A94,#REF!,#REF!))/SUMIF($A$7:$AC$128,$A94,$AB$6:$AB$127)*Q$5,0)</f>
        <v>#REF!</v>
      </c>
      <c r="R94" s="26" t="e">
        <f ca="1">IF(AND(COLUMN()&gt;=11,COLUMN()&lt;=20),(_xlfn.XLOOKUP($A94,#REF!,#REF!))/SUMIF($A$7:$AC$128,$A94,$AB$6:$AB$127)*R$5,0)</f>
        <v>#REF!</v>
      </c>
      <c r="S94" s="26" t="e">
        <f ca="1">IF(AND(COLUMN()&gt;=11,COLUMN()&lt;=20),(_xlfn.XLOOKUP($A94,#REF!,#REF!))/SUMIF($A$7:$AC$128,$A94,$AB$6:$AB$127)*S$5,0)</f>
        <v>#REF!</v>
      </c>
      <c r="T94" s="26" t="e">
        <f ca="1">IF(AND(COLUMN()&gt;=11,COLUMN()&lt;=20),(_xlfn.XLOOKUP($A94,#REF!,#REF!))/SUMIF($A$7:$AC$128,$A94,$AB$6:$AB$127)*T$5,0)</f>
        <v>#REF!</v>
      </c>
      <c r="U94" s="26">
        <f>IF(AND(COLUMN()&gt;=11,COLUMN()&lt;=20),(_xlfn.XLOOKUP($A94,#REF!,#REF!))/SUMIF($A$7:$AC$128,$A94,$AB$6:$AB$127)*U$5,0)</f>
        <v>0</v>
      </c>
      <c r="V94" s="26">
        <f>IF(AND(COLUMN()&gt;=11,COLUMN()&lt;=20),(_xlfn.XLOOKUP($A94,#REF!,#REF!))/SUMIF($A$7:$AC$128,$A94,$AB$6:$AB$127)*V$5,0)</f>
        <v>0</v>
      </c>
      <c r="W94" s="26">
        <f>IF(AND(COLUMN()&gt;=11,COLUMN()&lt;=20),(_xlfn.XLOOKUP($A94,#REF!,#REF!))/SUMIF($A$7:$AC$128,$A94,$AB$6:$AB$127)*W$5,0)</f>
        <v>0</v>
      </c>
      <c r="X94" s="26">
        <f>IF(AND(COLUMN()&gt;=11,COLUMN()&lt;=20),(_xlfn.XLOOKUP($A94,#REF!,#REF!))/SUMIF($A$7:$AC$128,$A94,$AB$6:$AB$127)*X$5,0)</f>
        <v>0</v>
      </c>
      <c r="Y94" s="26">
        <f>IF(AND(COLUMN()&gt;=11,COLUMN()&lt;=20),(_xlfn.XLOOKUP($A94,#REF!,#REF!))/SUMIF($A$7:$AC$128,$A94,$AB$6:$AB$127)*Y$5,0)</f>
        <v>0</v>
      </c>
      <c r="Z94" s="26">
        <f>IF(AND(COLUMN()&gt;=11,COLUMN()&lt;=20),(_xlfn.XLOOKUP($A94,#REF!,#REF!))/SUMIF($A$7:$AC$128,$A94,$AB$6:$AB$127)*Z$5,0)</f>
        <v>0</v>
      </c>
      <c r="AA94" s="26" t="e">
        <f t="shared" ca="1" si="14"/>
        <v>#REF!</v>
      </c>
      <c r="AB94" s="19">
        <f t="shared" si="10"/>
        <v>31</v>
      </c>
      <c r="AC94" s="20" t="e">
        <f t="shared" ca="1" si="11"/>
        <v>#REF!</v>
      </c>
      <c r="AD94" s="30" t="e">
        <f>#REF!/SUMIF(#REF!,'Curva de la oferta Prod 3'!$A94,#REF!)</f>
        <v>#REF!</v>
      </c>
      <c r="AE94" s="28"/>
      <c r="AF94" s="31"/>
      <c r="AG94" s="31"/>
      <c r="AH94" s="31"/>
      <c r="AI94" s="31"/>
      <c r="AJ94" s="31"/>
      <c r="AK94" s="31"/>
    </row>
    <row r="95" spans="1:37" ht="14.5" x14ac:dyDescent="0.35">
      <c r="A95" s="15">
        <f t="shared" si="9"/>
        <v>2033</v>
      </c>
      <c r="B95" s="18">
        <v>48670</v>
      </c>
      <c r="C95" s="26">
        <f>IF(AND(COLUMN()&gt;=11,COLUMN()&lt;=20),(_xlfn.XLOOKUP($A95,#REF!,#REF!))/SUMIF($A$7:$AC$128,$A95,$AB$6:$AB$127)*C$5,0)</f>
        <v>0</v>
      </c>
      <c r="D95" s="26">
        <f>IF(AND(COLUMN()&gt;=11,COLUMN()&lt;=20),(_xlfn.XLOOKUP($A95,#REF!,#REF!))/SUMIF($A$7:$AC$128,$A95,$AB$6:$AB$127)*D$5,0)</f>
        <v>0</v>
      </c>
      <c r="E95" s="26">
        <f>IF(AND(COLUMN()&gt;=11,COLUMN()&lt;=20),(_xlfn.XLOOKUP($A95,#REF!,#REF!))/SUMIF($A$7:$AC$128,$A95,$AB$6:$AB$127)*E$5,0)</f>
        <v>0</v>
      </c>
      <c r="F95" s="26">
        <f>IF(AND(COLUMN()&gt;=11,COLUMN()&lt;=20),(_xlfn.XLOOKUP($A95,#REF!,#REF!))/SUMIF($A$7:$AC$128,$A95,$AB$6:$AB$127)*F$5,0)</f>
        <v>0</v>
      </c>
      <c r="G95" s="26">
        <f>IF(AND(COLUMN()&gt;=11,COLUMN()&lt;=20),(_xlfn.XLOOKUP($A95,#REF!,#REF!))/SUMIF($A$7:$AC$128,$A95,$AB$6:$AB$127)*G$5,0)</f>
        <v>0</v>
      </c>
      <c r="H95" s="26">
        <f>IF(AND(COLUMN()&gt;=11,COLUMN()&lt;=20),(_xlfn.XLOOKUP($A95,#REF!,#REF!))/SUMIF($A$7:$AC$128,$A95,$AB$6:$AB$127)*H$5,0)</f>
        <v>0</v>
      </c>
      <c r="I95" s="26">
        <f>IF(AND(COLUMN()&gt;=11,COLUMN()&lt;=20),(_xlfn.XLOOKUP($A95,#REF!,#REF!))/SUMIF($A$7:$AC$128,$A95,$AB$6:$AB$127)*I$5,0)</f>
        <v>0</v>
      </c>
      <c r="J95" s="26">
        <f>IF(AND(COLUMN()&gt;=11,COLUMN()&lt;=20),(_xlfn.XLOOKUP($A95,#REF!,#REF!))/SUMIF($A$7:$AC$128,$A95,$AB$6:$AB$127)*J$5,0)</f>
        <v>0</v>
      </c>
      <c r="K95" s="26" t="e">
        <f ca="1">IF(AND(COLUMN()&gt;=11,COLUMN()&lt;=20),(_xlfn.XLOOKUP($A95,#REF!,#REF!))/SUMIF($A$7:$AC$128,$A95,$AB$6:$AB$127)*K$5,0)</f>
        <v>#REF!</v>
      </c>
      <c r="L95" s="26" t="e">
        <f ca="1">IF(AND(COLUMN()&gt;=11,COLUMN()&lt;=20),(_xlfn.XLOOKUP($A95,#REF!,#REF!))/SUMIF($A$7:$AC$128,$A95,$AB$6:$AB$127)*L$5,0)</f>
        <v>#REF!</v>
      </c>
      <c r="M95" s="26" t="e">
        <f ca="1">IF(AND(COLUMN()&gt;=11,COLUMN()&lt;=20),(_xlfn.XLOOKUP($A95,#REF!,#REF!))/SUMIF($A$7:$AC$128,$A95,$AB$6:$AB$127)*M$5,0)</f>
        <v>#REF!</v>
      </c>
      <c r="N95" s="26" t="e">
        <f ca="1">IF(AND(COLUMN()&gt;=11,COLUMN()&lt;=20),(_xlfn.XLOOKUP($A95,#REF!,#REF!))/SUMIF($A$7:$AC$128,$A95,$AB$6:$AB$127)*N$5,0)</f>
        <v>#REF!</v>
      </c>
      <c r="O95" s="26" t="e">
        <f ca="1">IF(AND(COLUMN()&gt;=11,COLUMN()&lt;=20),(_xlfn.XLOOKUP($A95,#REF!,#REF!))/SUMIF($A$7:$AC$128,$A95,$AB$6:$AB$127)*O$5,0)</f>
        <v>#REF!</v>
      </c>
      <c r="P95" s="26" t="e">
        <f ca="1">IF(AND(COLUMN()&gt;=11,COLUMN()&lt;=20),(_xlfn.XLOOKUP($A95,#REF!,#REF!))/SUMIF($A$7:$AC$128,$A95,$AB$6:$AB$127)*P$5,0)</f>
        <v>#REF!</v>
      </c>
      <c r="Q95" s="26" t="e">
        <f ca="1">IF(AND(COLUMN()&gt;=11,COLUMN()&lt;=20),(_xlfn.XLOOKUP($A95,#REF!,#REF!))/SUMIF($A$7:$AC$128,$A95,$AB$6:$AB$127)*Q$5,0)</f>
        <v>#REF!</v>
      </c>
      <c r="R95" s="26" t="e">
        <f ca="1">IF(AND(COLUMN()&gt;=11,COLUMN()&lt;=20),(_xlfn.XLOOKUP($A95,#REF!,#REF!))/SUMIF($A$7:$AC$128,$A95,$AB$6:$AB$127)*R$5,0)</f>
        <v>#REF!</v>
      </c>
      <c r="S95" s="26" t="e">
        <f ca="1">IF(AND(COLUMN()&gt;=11,COLUMN()&lt;=20),(_xlfn.XLOOKUP($A95,#REF!,#REF!))/SUMIF($A$7:$AC$128,$A95,$AB$6:$AB$127)*S$5,0)</f>
        <v>#REF!</v>
      </c>
      <c r="T95" s="26" t="e">
        <f ca="1">IF(AND(COLUMN()&gt;=11,COLUMN()&lt;=20),(_xlfn.XLOOKUP($A95,#REF!,#REF!))/SUMIF($A$7:$AC$128,$A95,$AB$6:$AB$127)*T$5,0)</f>
        <v>#REF!</v>
      </c>
      <c r="U95" s="26">
        <f>IF(AND(COLUMN()&gt;=11,COLUMN()&lt;=20),(_xlfn.XLOOKUP($A95,#REF!,#REF!))/SUMIF($A$7:$AC$128,$A95,$AB$6:$AB$127)*U$5,0)</f>
        <v>0</v>
      </c>
      <c r="V95" s="26">
        <f>IF(AND(COLUMN()&gt;=11,COLUMN()&lt;=20),(_xlfn.XLOOKUP($A95,#REF!,#REF!))/SUMIF($A$7:$AC$128,$A95,$AB$6:$AB$127)*V$5,0)</f>
        <v>0</v>
      </c>
      <c r="W95" s="26">
        <f>IF(AND(COLUMN()&gt;=11,COLUMN()&lt;=20),(_xlfn.XLOOKUP($A95,#REF!,#REF!))/SUMIF($A$7:$AC$128,$A95,$AB$6:$AB$127)*W$5,0)</f>
        <v>0</v>
      </c>
      <c r="X95" s="26">
        <f>IF(AND(COLUMN()&gt;=11,COLUMN()&lt;=20),(_xlfn.XLOOKUP($A95,#REF!,#REF!))/SUMIF($A$7:$AC$128,$A95,$AB$6:$AB$127)*X$5,0)</f>
        <v>0</v>
      </c>
      <c r="Y95" s="26">
        <f>IF(AND(COLUMN()&gt;=11,COLUMN()&lt;=20),(_xlfn.XLOOKUP($A95,#REF!,#REF!))/SUMIF($A$7:$AC$128,$A95,$AB$6:$AB$127)*Y$5,0)</f>
        <v>0</v>
      </c>
      <c r="Z95" s="26">
        <f>IF(AND(COLUMN()&gt;=11,COLUMN()&lt;=20),(_xlfn.XLOOKUP($A95,#REF!,#REF!))/SUMIF($A$7:$AC$128,$A95,$AB$6:$AB$127)*Z$5,0)</f>
        <v>0</v>
      </c>
      <c r="AA95" s="26" t="e">
        <f t="shared" ca="1" si="14"/>
        <v>#REF!</v>
      </c>
      <c r="AB95" s="19">
        <f t="shared" si="10"/>
        <v>30</v>
      </c>
      <c r="AC95" s="20" t="e">
        <f t="shared" ca="1" si="11"/>
        <v>#REF!</v>
      </c>
      <c r="AD95" s="30" t="e">
        <f>#REF!/SUMIF(#REF!,'Curva de la oferta Prod 3'!$A95,#REF!)</f>
        <v>#REF!</v>
      </c>
      <c r="AE95" s="28"/>
      <c r="AF95" s="31"/>
      <c r="AG95" s="31"/>
      <c r="AH95" s="31"/>
      <c r="AI95" s="31"/>
      <c r="AJ95" s="31"/>
      <c r="AK95" s="31"/>
    </row>
    <row r="96" spans="1:37" ht="14.5" x14ac:dyDescent="0.35">
      <c r="A96" s="15">
        <f t="shared" si="9"/>
        <v>2033</v>
      </c>
      <c r="B96" s="18">
        <v>48700</v>
      </c>
      <c r="C96" s="26">
        <f>IF(AND(COLUMN()&gt;=11,COLUMN()&lt;=20),(_xlfn.XLOOKUP($A96,#REF!,#REF!))/SUMIF($A$7:$AC$128,$A96,$AB$6:$AB$127)*C$5,0)</f>
        <v>0</v>
      </c>
      <c r="D96" s="26">
        <f>IF(AND(COLUMN()&gt;=11,COLUMN()&lt;=20),(_xlfn.XLOOKUP($A96,#REF!,#REF!))/SUMIF($A$7:$AC$128,$A96,$AB$6:$AB$127)*D$5,0)</f>
        <v>0</v>
      </c>
      <c r="E96" s="26">
        <f>IF(AND(COLUMN()&gt;=11,COLUMN()&lt;=20),(_xlfn.XLOOKUP($A96,#REF!,#REF!))/SUMIF($A$7:$AC$128,$A96,$AB$6:$AB$127)*E$5,0)</f>
        <v>0</v>
      </c>
      <c r="F96" s="26">
        <f>IF(AND(COLUMN()&gt;=11,COLUMN()&lt;=20),(_xlfn.XLOOKUP($A96,#REF!,#REF!))/SUMIF($A$7:$AC$128,$A96,$AB$6:$AB$127)*F$5,0)</f>
        <v>0</v>
      </c>
      <c r="G96" s="26">
        <f>IF(AND(COLUMN()&gt;=11,COLUMN()&lt;=20),(_xlfn.XLOOKUP($A96,#REF!,#REF!))/SUMIF($A$7:$AC$128,$A96,$AB$6:$AB$127)*G$5,0)</f>
        <v>0</v>
      </c>
      <c r="H96" s="26">
        <f>IF(AND(COLUMN()&gt;=11,COLUMN()&lt;=20),(_xlfn.XLOOKUP($A96,#REF!,#REF!))/SUMIF($A$7:$AC$128,$A96,$AB$6:$AB$127)*H$5,0)</f>
        <v>0</v>
      </c>
      <c r="I96" s="26">
        <f>IF(AND(COLUMN()&gt;=11,COLUMN()&lt;=20),(_xlfn.XLOOKUP($A96,#REF!,#REF!))/SUMIF($A$7:$AC$128,$A96,$AB$6:$AB$127)*I$5,0)</f>
        <v>0</v>
      </c>
      <c r="J96" s="26">
        <f>IF(AND(COLUMN()&gt;=11,COLUMN()&lt;=20),(_xlfn.XLOOKUP($A96,#REF!,#REF!))/SUMIF($A$7:$AC$128,$A96,$AB$6:$AB$127)*J$5,0)</f>
        <v>0</v>
      </c>
      <c r="K96" s="26" t="e">
        <f ca="1">IF(AND(COLUMN()&gt;=11,COLUMN()&lt;=20),(_xlfn.XLOOKUP($A96,#REF!,#REF!))/SUMIF($A$7:$AC$128,$A96,$AB$6:$AB$127)*K$5,0)</f>
        <v>#REF!</v>
      </c>
      <c r="L96" s="26" t="e">
        <f ca="1">IF(AND(COLUMN()&gt;=11,COLUMN()&lt;=20),(_xlfn.XLOOKUP($A96,#REF!,#REF!))/SUMIF($A$7:$AC$128,$A96,$AB$6:$AB$127)*L$5,0)</f>
        <v>#REF!</v>
      </c>
      <c r="M96" s="26" t="e">
        <f ca="1">IF(AND(COLUMN()&gt;=11,COLUMN()&lt;=20),(_xlfn.XLOOKUP($A96,#REF!,#REF!))/SUMIF($A$7:$AC$128,$A96,$AB$6:$AB$127)*M$5,0)</f>
        <v>#REF!</v>
      </c>
      <c r="N96" s="26" t="e">
        <f ca="1">IF(AND(COLUMN()&gt;=11,COLUMN()&lt;=20),(_xlfn.XLOOKUP($A96,#REF!,#REF!))/SUMIF($A$7:$AC$128,$A96,$AB$6:$AB$127)*N$5,0)</f>
        <v>#REF!</v>
      </c>
      <c r="O96" s="26" t="e">
        <f ca="1">IF(AND(COLUMN()&gt;=11,COLUMN()&lt;=20),(_xlfn.XLOOKUP($A96,#REF!,#REF!))/SUMIF($A$7:$AC$128,$A96,$AB$6:$AB$127)*O$5,0)</f>
        <v>#REF!</v>
      </c>
      <c r="P96" s="26" t="e">
        <f ca="1">IF(AND(COLUMN()&gt;=11,COLUMN()&lt;=20),(_xlfn.XLOOKUP($A96,#REF!,#REF!))/SUMIF($A$7:$AC$128,$A96,$AB$6:$AB$127)*P$5,0)</f>
        <v>#REF!</v>
      </c>
      <c r="Q96" s="26" t="e">
        <f ca="1">IF(AND(COLUMN()&gt;=11,COLUMN()&lt;=20),(_xlfn.XLOOKUP($A96,#REF!,#REF!))/SUMIF($A$7:$AC$128,$A96,$AB$6:$AB$127)*Q$5,0)</f>
        <v>#REF!</v>
      </c>
      <c r="R96" s="26" t="e">
        <f ca="1">IF(AND(COLUMN()&gt;=11,COLUMN()&lt;=20),(_xlfn.XLOOKUP($A96,#REF!,#REF!))/SUMIF($A$7:$AC$128,$A96,$AB$6:$AB$127)*R$5,0)</f>
        <v>#REF!</v>
      </c>
      <c r="S96" s="26" t="e">
        <f ca="1">IF(AND(COLUMN()&gt;=11,COLUMN()&lt;=20),(_xlfn.XLOOKUP($A96,#REF!,#REF!))/SUMIF($A$7:$AC$128,$A96,$AB$6:$AB$127)*S$5,0)</f>
        <v>#REF!</v>
      </c>
      <c r="T96" s="26" t="e">
        <f ca="1">IF(AND(COLUMN()&gt;=11,COLUMN()&lt;=20),(_xlfn.XLOOKUP($A96,#REF!,#REF!))/SUMIF($A$7:$AC$128,$A96,$AB$6:$AB$127)*T$5,0)</f>
        <v>#REF!</v>
      </c>
      <c r="U96" s="26">
        <f>IF(AND(COLUMN()&gt;=11,COLUMN()&lt;=20),(_xlfn.XLOOKUP($A96,#REF!,#REF!))/SUMIF($A$7:$AC$128,$A96,$AB$6:$AB$127)*U$5,0)</f>
        <v>0</v>
      </c>
      <c r="V96" s="26">
        <f>IF(AND(COLUMN()&gt;=11,COLUMN()&lt;=20),(_xlfn.XLOOKUP($A96,#REF!,#REF!))/SUMIF($A$7:$AC$128,$A96,$AB$6:$AB$127)*V$5,0)</f>
        <v>0</v>
      </c>
      <c r="W96" s="26">
        <f>IF(AND(COLUMN()&gt;=11,COLUMN()&lt;=20),(_xlfn.XLOOKUP($A96,#REF!,#REF!))/SUMIF($A$7:$AC$128,$A96,$AB$6:$AB$127)*W$5,0)</f>
        <v>0</v>
      </c>
      <c r="X96" s="26">
        <f>IF(AND(COLUMN()&gt;=11,COLUMN()&lt;=20),(_xlfn.XLOOKUP($A96,#REF!,#REF!))/SUMIF($A$7:$AC$128,$A96,$AB$6:$AB$127)*X$5,0)</f>
        <v>0</v>
      </c>
      <c r="Y96" s="26">
        <f>IF(AND(COLUMN()&gt;=11,COLUMN()&lt;=20),(_xlfn.XLOOKUP($A96,#REF!,#REF!))/SUMIF($A$7:$AC$128,$A96,$AB$6:$AB$127)*Y$5,0)</f>
        <v>0</v>
      </c>
      <c r="Z96" s="26">
        <f>IF(AND(COLUMN()&gt;=11,COLUMN()&lt;=20),(_xlfn.XLOOKUP($A96,#REF!,#REF!))/SUMIF($A$7:$AC$128,$A96,$AB$6:$AB$127)*Z$5,0)</f>
        <v>0</v>
      </c>
      <c r="AA96" s="26" t="e">
        <f t="shared" ca="1" si="14"/>
        <v>#REF!</v>
      </c>
      <c r="AB96" s="19">
        <f t="shared" si="10"/>
        <v>31</v>
      </c>
      <c r="AC96" s="20" t="e">
        <f t="shared" ca="1" si="11"/>
        <v>#REF!</v>
      </c>
      <c r="AD96" s="30" t="e">
        <f>#REF!/SUMIF(#REF!,'Curva de la oferta Prod 3'!$A96,#REF!)</f>
        <v>#REF!</v>
      </c>
      <c r="AE96" s="28"/>
      <c r="AF96" s="31"/>
      <c r="AG96" s="31"/>
      <c r="AH96" s="31"/>
      <c r="AI96" s="31"/>
      <c r="AJ96" s="31"/>
      <c r="AK96" s="31"/>
    </row>
    <row r="97" spans="1:37" ht="14.5" x14ac:dyDescent="0.35">
      <c r="A97" s="15">
        <f t="shared" si="9"/>
        <v>2033</v>
      </c>
      <c r="B97" s="18">
        <v>48731</v>
      </c>
      <c r="C97" s="26">
        <f>IF(AND(COLUMN()&gt;=11,COLUMN()&lt;=20),(_xlfn.XLOOKUP($A97,#REF!,#REF!))/SUMIF($A$7:$AC$128,$A97,$AB$6:$AB$127)*C$5,0)</f>
        <v>0</v>
      </c>
      <c r="D97" s="26">
        <f>IF(AND(COLUMN()&gt;=11,COLUMN()&lt;=20),(_xlfn.XLOOKUP($A97,#REF!,#REF!))/SUMIF($A$7:$AC$128,$A97,$AB$6:$AB$127)*D$5,0)</f>
        <v>0</v>
      </c>
      <c r="E97" s="26">
        <f>IF(AND(COLUMN()&gt;=11,COLUMN()&lt;=20),(_xlfn.XLOOKUP($A97,#REF!,#REF!))/SUMIF($A$7:$AC$128,$A97,$AB$6:$AB$127)*E$5,0)</f>
        <v>0</v>
      </c>
      <c r="F97" s="26">
        <f>IF(AND(COLUMN()&gt;=11,COLUMN()&lt;=20),(_xlfn.XLOOKUP($A97,#REF!,#REF!))/SUMIF($A$7:$AC$128,$A97,$AB$6:$AB$127)*F$5,0)</f>
        <v>0</v>
      </c>
      <c r="G97" s="26">
        <f>IF(AND(COLUMN()&gt;=11,COLUMN()&lt;=20),(_xlfn.XLOOKUP($A97,#REF!,#REF!))/SUMIF($A$7:$AC$128,$A97,$AB$6:$AB$127)*G$5,0)</f>
        <v>0</v>
      </c>
      <c r="H97" s="26">
        <f>IF(AND(COLUMN()&gt;=11,COLUMN()&lt;=20),(_xlfn.XLOOKUP($A97,#REF!,#REF!))/SUMIF($A$7:$AC$128,$A97,$AB$6:$AB$127)*H$5,0)</f>
        <v>0</v>
      </c>
      <c r="I97" s="26">
        <f>IF(AND(COLUMN()&gt;=11,COLUMN()&lt;=20),(_xlfn.XLOOKUP($A97,#REF!,#REF!))/SUMIF($A$7:$AC$128,$A97,$AB$6:$AB$127)*I$5,0)</f>
        <v>0</v>
      </c>
      <c r="J97" s="26">
        <f>IF(AND(COLUMN()&gt;=11,COLUMN()&lt;=20),(_xlfn.XLOOKUP($A97,#REF!,#REF!))/SUMIF($A$7:$AC$128,$A97,$AB$6:$AB$127)*J$5,0)</f>
        <v>0</v>
      </c>
      <c r="K97" s="26" t="e">
        <f ca="1">IF(AND(COLUMN()&gt;=11,COLUMN()&lt;=20),(_xlfn.XLOOKUP($A97,#REF!,#REF!))/SUMIF($A$7:$AC$128,$A97,$AB$6:$AB$127)*K$5,0)</f>
        <v>#REF!</v>
      </c>
      <c r="L97" s="26" t="e">
        <f ca="1">IF(AND(COLUMN()&gt;=11,COLUMN()&lt;=20),(_xlfn.XLOOKUP($A97,#REF!,#REF!))/SUMIF($A$7:$AC$128,$A97,$AB$6:$AB$127)*L$5,0)</f>
        <v>#REF!</v>
      </c>
      <c r="M97" s="26" t="e">
        <f ca="1">IF(AND(COLUMN()&gt;=11,COLUMN()&lt;=20),(_xlfn.XLOOKUP($A97,#REF!,#REF!))/SUMIF($A$7:$AC$128,$A97,$AB$6:$AB$127)*M$5,0)</f>
        <v>#REF!</v>
      </c>
      <c r="N97" s="26" t="e">
        <f ca="1">IF(AND(COLUMN()&gt;=11,COLUMN()&lt;=20),(_xlfn.XLOOKUP($A97,#REF!,#REF!))/SUMIF($A$7:$AC$128,$A97,$AB$6:$AB$127)*N$5,0)</f>
        <v>#REF!</v>
      </c>
      <c r="O97" s="26" t="e">
        <f ca="1">IF(AND(COLUMN()&gt;=11,COLUMN()&lt;=20),(_xlfn.XLOOKUP($A97,#REF!,#REF!))/SUMIF($A$7:$AC$128,$A97,$AB$6:$AB$127)*O$5,0)</f>
        <v>#REF!</v>
      </c>
      <c r="P97" s="26" t="e">
        <f ca="1">IF(AND(COLUMN()&gt;=11,COLUMN()&lt;=20),(_xlfn.XLOOKUP($A97,#REF!,#REF!))/SUMIF($A$7:$AC$128,$A97,$AB$6:$AB$127)*P$5,0)</f>
        <v>#REF!</v>
      </c>
      <c r="Q97" s="26" t="e">
        <f ca="1">IF(AND(COLUMN()&gt;=11,COLUMN()&lt;=20),(_xlfn.XLOOKUP($A97,#REF!,#REF!))/SUMIF($A$7:$AC$128,$A97,$AB$6:$AB$127)*Q$5,0)</f>
        <v>#REF!</v>
      </c>
      <c r="R97" s="26" t="e">
        <f ca="1">IF(AND(COLUMN()&gt;=11,COLUMN()&lt;=20),(_xlfn.XLOOKUP($A97,#REF!,#REF!))/SUMIF($A$7:$AC$128,$A97,$AB$6:$AB$127)*R$5,0)</f>
        <v>#REF!</v>
      </c>
      <c r="S97" s="26" t="e">
        <f ca="1">IF(AND(COLUMN()&gt;=11,COLUMN()&lt;=20),(_xlfn.XLOOKUP($A97,#REF!,#REF!))/SUMIF($A$7:$AC$128,$A97,$AB$6:$AB$127)*S$5,0)</f>
        <v>#REF!</v>
      </c>
      <c r="T97" s="26" t="e">
        <f ca="1">IF(AND(COLUMN()&gt;=11,COLUMN()&lt;=20),(_xlfn.XLOOKUP($A97,#REF!,#REF!))/SUMIF($A$7:$AC$128,$A97,$AB$6:$AB$127)*T$5,0)</f>
        <v>#REF!</v>
      </c>
      <c r="U97" s="26">
        <f>IF(AND(COLUMN()&gt;=11,COLUMN()&lt;=20),(_xlfn.XLOOKUP($A97,#REF!,#REF!))/SUMIF($A$7:$AC$128,$A97,$AB$6:$AB$127)*U$5,0)</f>
        <v>0</v>
      </c>
      <c r="V97" s="26">
        <f>IF(AND(COLUMN()&gt;=11,COLUMN()&lt;=20),(_xlfn.XLOOKUP($A97,#REF!,#REF!))/SUMIF($A$7:$AC$128,$A97,$AB$6:$AB$127)*V$5,0)</f>
        <v>0</v>
      </c>
      <c r="W97" s="26">
        <f>IF(AND(COLUMN()&gt;=11,COLUMN()&lt;=20),(_xlfn.XLOOKUP($A97,#REF!,#REF!))/SUMIF($A$7:$AC$128,$A97,$AB$6:$AB$127)*W$5,0)</f>
        <v>0</v>
      </c>
      <c r="X97" s="26">
        <f>IF(AND(COLUMN()&gt;=11,COLUMN()&lt;=20),(_xlfn.XLOOKUP($A97,#REF!,#REF!))/SUMIF($A$7:$AC$128,$A97,$AB$6:$AB$127)*X$5,0)</f>
        <v>0</v>
      </c>
      <c r="Y97" s="26">
        <f>IF(AND(COLUMN()&gt;=11,COLUMN()&lt;=20),(_xlfn.XLOOKUP($A97,#REF!,#REF!))/SUMIF($A$7:$AC$128,$A97,$AB$6:$AB$127)*Y$5,0)</f>
        <v>0</v>
      </c>
      <c r="Z97" s="26">
        <f>IF(AND(COLUMN()&gt;=11,COLUMN()&lt;=20),(_xlfn.XLOOKUP($A97,#REF!,#REF!))/SUMIF($A$7:$AC$128,$A97,$AB$6:$AB$127)*Z$5,0)</f>
        <v>0</v>
      </c>
      <c r="AA97" s="26" t="e">
        <f t="shared" ca="1" si="14"/>
        <v>#REF!</v>
      </c>
      <c r="AB97" s="19">
        <f t="shared" si="10"/>
        <v>30</v>
      </c>
      <c r="AC97" s="20" t="e">
        <f t="shared" ca="1" si="11"/>
        <v>#REF!</v>
      </c>
      <c r="AD97" s="30" t="e">
        <f>#REF!/SUMIF(#REF!,'Curva de la oferta Prod 3'!$A97,#REF!)</f>
        <v>#REF!</v>
      </c>
      <c r="AE97" s="28"/>
      <c r="AF97" s="31"/>
      <c r="AG97" s="31"/>
      <c r="AH97" s="31"/>
      <c r="AI97" s="31"/>
      <c r="AJ97" s="31"/>
      <c r="AK97" s="31"/>
    </row>
    <row r="98" spans="1:37" ht="14.5" x14ac:dyDescent="0.35">
      <c r="A98" s="15">
        <f t="shared" si="9"/>
        <v>2033</v>
      </c>
      <c r="B98" s="18">
        <v>48761</v>
      </c>
      <c r="C98" s="26">
        <f>IF(AND(COLUMN()&gt;=11,COLUMN()&lt;=20),(_xlfn.XLOOKUP($A98,#REF!,#REF!))/SUMIF($A$7:$AC$128,$A98,$AB$6:$AB$127)*C$5,0)</f>
        <v>0</v>
      </c>
      <c r="D98" s="26">
        <f>IF(AND(COLUMN()&gt;=11,COLUMN()&lt;=20),(_xlfn.XLOOKUP($A98,#REF!,#REF!))/SUMIF($A$7:$AC$128,$A98,$AB$6:$AB$127)*D$5,0)</f>
        <v>0</v>
      </c>
      <c r="E98" s="26">
        <f>IF(AND(COLUMN()&gt;=11,COLUMN()&lt;=20),(_xlfn.XLOOKUP($A98,#REF!,#REF!))/SUMIF($A$7:$AC$128,$A98,$AB$6:$AB$127)*E$5,0)</f>
        <v>0</v>
      </c>
      <c r="F98" s="26">
        <f>IF(AND(COLUMN()&gt;=11,COLUMN()&lt;=20),(_xlfn.XLOOKUP($A98,#REF!,#REF!))/SUMIF($A$7:$AC$128,$A98,$AB$6:$AB$127)*F$5,0)</f>
        <v>0</v>
      </c>
      <c r="G98" s="26">
        <f>IF(AND(COLUMN()&gt;=11,COLUMN()&lt;=20),(_xlfn.XLOOKUP($A98,#REF!,#REF!))/SUMIF($A$7:$AC$128,$A98,$AB$6:$AB$127)*G$5,0)</f>
        <v>0</v>
      </c>
      <c r="H98" s="26">
        <f>IF(AND(COLUMN()&gt;=11,COLUMN()&lt;=20),(_xlfn.XLOOKUP($A98,#REF!,#REF!))/SUMIF($A$7:$AC$128,$A98,$AB$6:$AB$127)*H$5,0)</f>
        <v>0</v>
      </c>
      <c r="I98" s="26">
        <f>IF(AND(COLUMN()&gt;=11,COLUMN()&lt;=20),(_xlfn.XLOOKUP($A98,#REF!,#REF!))/SUMIF($A$7:$AC$128,$A98,$AB$6:$AB$127)*I$5,0)</f>
        <v>0</v>
      </c>
      <c r="J98" s="26">
        <f>IF(AND(COLUMN()&gt;=11,COLUMN()&lt;=20),(_xlfn.XLOOKUP($A98,#REF!,#REF!))/SUMIF($A$7:$AC$128,$A98,$AB$6:$AB$127)*J$5,0)</f>
        <v>0</v>
      </c>
      <c r="K98" s="26" t="e">
        <f ca="1">IF(AND(COLUMN()&gt;=11,COLUMN()&lt;=20),(_xlfn.XLOOKUP($A98,#REF!,#REF!))/SUMIF($A$7:$AC$128,$A98,$AB$6:$AB$127)*K$5,0)</f>
        <v>#REF!</v>
      </c>
      <c r="L98" s="26" t="e">
        <f ca="1">IF(AND(COLUMN()&gt;=11,COLUMN()&lt;=20),(_xlfn.XLOOKUP($A98,#REF!,#REF!))/SUMIF($A$7:$AC$128,$A98,$AB$6:$AB$127)*L$5,0)</f>
        <v>#REF!</v>
      </c>
      <c r="M98" s="26" t="e">
        <f ca="1">IF(AND(COLUMN()&gt;=11,COLUMN()&lt;=20),(_xlfn.XLOOKUP($A98,#REF!,#REF!))/SUMIF($A$7:$AC$128,$A98,$AB$6:$AB$127)*M$5,0)</f>
        <v>#REF!</v>
      </c>
      <c r="N98" s="26" t="e">
        <f ca="1">IF(AND(COLUMN()&gt;=11,COLUMN()&lt;=20),(_xlfn.XLOOKUP($A98,#REF!,#REF!))/SUMIF($A$7:$AC$128,$A98,$AB$6:$AB$127)*N$5,0)</f>
        <v>#REF!</v>
      </c>
      <c r="O98" s="26" t="e">
        <f ca="1">IF(AND(COLUMN()&gt;=11,COLUMN()&lt;=20),(_xlfn.XLOOKUP($A98,#REF!,#REF!))/SUMIF($A$7:$AC$128,$A98,$AB$6:$AB$127)*O$5,0)</f>
        <v>#REF!</v>
      </c>
      <c r="P98" s="26" t="e">
        <f ca="1">IF(AND(COLUMN()&gt;=11,COLUMN()&lt;=20),(_xlfn.XLOOKUP($A98,#REF!,#REF!))/SUMIF($A$7:$AC$128,$A98,$AB$6:$AB$127)*P$5,0)</f>
        <v>#REF!</v>
      </c>
      <c r="Q98" s="26" t="e">
        <f ca="1">IF(AND(COLUMN()&gt;=11,COLUMN()&lt;=20),(_xlfn.XLOOKUP($A98,#REF!,#REF!))/SUMIF($A$7:$AC$128,$A98,$AB$6:$AB$127)*Q$5,0)</f>
        <v>#REF!</v>
      </c>
      <c r="R98" s="26" t="e">
        <f ca="1">IF(AND(COLUMN()&gt;=11,COLUMN()&lt;=20),(_xlfn.XLOOKUP($A98,#REF!,#REF!))/SUMIF($A$7:$AC$128,$A98,$AB$6:$AB$127)*R$5,0)</f>
        <v>#REF!</v>
      </c>
      <c r="S98" s="26" t="e">
        <f ca="1">IF(AND(COLUMN()&gt;=11,COLUMN()&lt;=20),(_xlfn.XLOOKUP($A98,#REF!,#REF!))/SUMIF($A$7:$AC$128,$A98,$AB$6:$AB$127)*S$5,0)</f>
        <v>#REF!</v>
      </c>
      <c r="T98" s="26" t="e">
        <f ca="1">IF(AND(COLUMN()&gt;=11,COLUMN()&lt;=20),(_xlfn.XLOOKUP($A98,#REF!,#REF!))/SUMIF($A$7:$AC$128,$A98,$AB$6:$AB$127)*T$5,0)</f>
        <v>#REF!</v>
      </c>
      <c r="U98" s="26">
        <f>IF(AND(COLUMN()&gt;=11,COLUMN()&lt;=20),(_xlfn.XLOOKUP($A98,#REF!,#REF!))/SUMIF($A$7:$AC$128,$A98,$AB$6:$AB$127)*U$5,0)</f>
        <v>0</v>
      </c>
      <c r="V98" s="26">
        <f>IF(AND(COLUMN()&gt;=11,COLUMN()&lt;=20),(_xlfn.XLOOKUP($A98,#REF!,#REF!))/SUMIF($A$7:$AC$128,$A98,$AB$6:$AB$127)*V$5,0)</f>
        <v>0</v>
      </c>
      <c r="W98" s="26">
        <f>IF(AND(COLUMN()&gt;=11,COLUMN()&lt;=20),(_xlfn.XLOOKUP($A98,#REF!,#REF!))/SUMIF($A$7:$AC$128,$A98,$AB$6:$AB$127)*W$5,0)</f>
        <v>0</v>
      </c>
      <c r="X98" s="26">
        <f>IF(AND(COLUMN()&gt;=11,COLUMN()&lt;=20),(_xlfn.XLOOKUP($A98,#REF!,#REF!))/SUMIF($A$7:$AC$128,$A98,$AB$6:$AB$127)*X$5,0)</f>
        <v>0</v>
      </c>
      <c r="Y98" s="26">
        <f>IF(AND(COLUMN()&gt;=11,COLUMN()&lt;=20),(_xlfn.XLOOKUP($A98,#REF!,#REF!))/SUMIF($A$7:$AC$128,$A98,$AB$6:$AB$127)*Y$5,0)</f>
        <v>0</v>
      </c>
      <c r="Z98" s="26">
        <f>IF(AND(COLUMN()&gt;=11,COLUMN()&lt;=20),(_xlfn.XLOOKUP($A98,#REF!,#REF!))/SUMIF($A$7:$AC$128,$A98,$AB$6:$AB$127)*Z$5,0)</f>
        <v>0</v>
      </c>
      <c r="AA98" s="26" t="e">
        <f t="shared" ca="1" si="14"/>
        <v>#REF!</v>
      </c>
      <c r="AB98" s="19">
        <f t="shared" si="10"/>
        <v>31</v>
      </c>
      <c r="AC98" s="20" t="e">
        <f t="shared" ca="1" si="11"/>
        <v>#REF!</v>
      </c>
      <c r="AD98" s="30" t="e">
        <f>#REF!/SUMIF(#REF!,'Curva de la oferta Prod 3'!$A98,#REF!)</f>
        <v>#REF!</v>
      </c>
      <c r="AE98" s="28"/>
      <c r="AF98" s="31"/>
      <c r="AG98" s="31"/>
      <c r="AH98" s="31"/>
      <c r="AI98" s="31"/>
      <c r="AJ98" s="31"/>
      <c r="AK98" s="31"/>
    </row>
    <row r="99" spans="1:37" ht="14.5" x14ac:dyDescent="0.35">
      <c r="A99" s="15">
        <f t="shared" si="9"/>
        <v>2033</v>
      </c>
      <c r="B99" s="18">
        <v>48792</v>
      </c>
      <c r="C99" s="26">
        <f>IF(AND(COLUMN()&gt;=11,COLUMN()&lt;=20),(_xlfn.XLOOKUP($A99,#REF!,#REF!))/SUMIF($A$7:$AC$128,$A99,$AB$6:$AB$127)*C$5,0)</f>
        <v>0</v>
      </c>
      <c r="D99" s="26">
        <f>IF(AND(COLUMN()&gt;=11,COLUMN()&lt;=20),(_xlfn.XLOOKUP($A99,#REF!,#REF!))/SUMIF($A$7:$AC$128,$A99,$AB$6:$AB$127)*D$5,0)</f>
        <v>0</v>
      </c>
      <c r="E99" s="26">
        <f>IF(AND(COLUMN()&gt;=11,COLUMN()&lt;=20),(_xlfn.XLOOKUP($A99,#REF!,#REF!))/SUMIF($A$7:$AC$128,$A99,$AB$6:$AB$127)*E$5,0)</f>
        <v>0</v>
      </c>
      <c r="F99" s="26">
        <f>IF(AND(COLUMN()&gt;=11,COLUMN()&lt;=20),(_xlfn.XLOOKUP($A99,#REF!,#REF!))/SUMIF($A$7:$AC$128,$A99,$AB$6:$AB$127)*F$5,0)</f>
        <v>0</v>
      </c>
      <c r="G99" s="26">
        <f>IF(AND(COLUMN()&gt;=11,COLUMN()&lt;=20),(_xlfn.XLOOKUP($A99,#REF!,#REF!))/SUMIF($A$7:$AC$128,$A99,$AB$6:$AB$127)*G$5,0)</f>
        <v>0</v>
      </c>
      <c r="H99" s="26">
        <f>IF(AND(COLUMN()&gt;=11,COLUMN()&lt;=20),(_xlfn.XLOOKUP($A99,#REF!,#REF!))/SUMIF($A$7:$AC$128,$A99,$AB$6:$AB$127)*H$5,0)</f>
        <v>0</v>
      </c>
      <c r="I99" s="26">
        <f>IF(AND(COLUMN()&gt;=11,COLUMN()&lt;=20),(_xlfn.XLOOKUP($A99,#REF!,#REF!))/SUMIF($A$7:$AC$128,$A99,$AB$6:$AB$127)*I$5,0)</f>
        <v>0</v>
      </c>
      <c r="J99" s="26">
        <f>IF(AND(COLUMN()&gt;=11,COLUMN()&lt;=20),(_xlfn.XLOOKUP($A99,#REF!,#REF!))/SUMIF($A$7:$AC$128,$A99,$AB$6:$AB$127)*J$5,0)</f>
        <v>0</v>
      </c>
      <c r="K99" s="26" t="e">
        <f ca="1">IF(AND(COLUMN()&gt;=11,COLUMN()&lt;=20),(_xlfn.XLOOKUP($A99,#REF!,#REF!))/SUMIF($A$7:$AC$128,$A99,$AB$6:$AB$127)*K$5,0)</f>
        <v>#REF!</v>
      </c>
      <c r="L99" s="26" t="e">
        <f ca="1">IF(AND(COLUMN()&gt;=11,COLUMN()&lt;=20),(_xlfn.XLOOKUP($A99,#REF!,#REF!))/SUMIF($A$7:$AC$128,$A99,$AB$6:$AB$127)*L$5,0)</f>
        <v>#REF!</v>
      </c>
      <c r="M99" s="26" t="e">
        <f ca="1">IF(AND(COLUMN()&gt;=11,COLUMN()&lt;=20),(_xlfn.XLOOKUP($A99,#REF!,#REF!))/SUMIF($A$7:$AC$128,$A99,$AB$6:$AB$127)*M$5,0)</f>
        <v>#REF!</v>
      </c>
      <c r="N99" s="26" t="e">
        <f ca="1">IF(AND(COLUMN()&gt;=11,COLUMN()&lt;=20),(_xlfn.XLOOKUP($A99,#REF!,#REF!))/SUMIF($A$7:$AC$128,$A99,$AB$6:$AB$127)*N$5,0)</f>
        <v>#REF!</v>
      </c>
      <c r="O99" s="26" t="e">
        <f ca="1">IF(AND(COLUMN()&gt;=11,COLUMN()&lt;=20),(_xlfn.XLOOKUP($A99,#REF!,#REF!))/SUMIF($A$7:$AC$128,$A99,$AB$6:$AB$127)*O$5,0)</f>
        <v>#REF!</v>
      </c>
      <c r="P99" s="26" t="e">
        <f ca="1">IF(AND(COLUMN()&gt;=11,COLUMN()&lt;=20),(_xlfn.XLOOKUP($A99,#REF!,#REF!))/SUMIF($A$7:$AC$128,$A99,$AB$6:$AB$127)*P$5,0)</f>
        <v>#REF!</v>
      </c>
      <c r="Q99" s="26" t="e">
        <f ca="1">IF(AND(COLUMN()&gt;=11,COLUMN()&lt;=20),(_xlfn.XLOOKUP($A99,#REF!,#REF!))/SUMIF($A$7:$AC$128,$A99,$AB$6:$AB$127)*Q$5,0)</f>
        <v>#REF!</v>
      </c>
      <c r="R99" s="26" t="e">
        <f ca="1">IF(AND(COLUMN()&gt;=11,COLUMN()&lt;=20),(_xlfn.XLOOKUP($A99,#REF!,#REF!))/SUMIF($A$7:$AC$128,$A99,$AB$6:$AB$127)*R$5,0)</f>
        <v>#REF!</v>
      </c>
      <c r="S99" s="26" t="e">
        <f ca="1">IF(AND(COLUMN()&gt;=11,COLUMN()&lt;=20),(_xlfn.XLOOKUP($A99,#REF!,#REF!))/SUMIF($A$7:$AC$128,$A99,$AB$6:$AB$127)*S$5,0)</f>
        <v>#REF!</v>
      </c>
      <c r="T99" s="26" t="e">
        <f ca="1">IF(AND(COLUMN()&gt;=11,COLUMN()&lt;=20),(_xlfn.XLOOKUP($A99,#REF!,#REF!))/SUMIF($A$7:$AC$128,$A99,$AB$6:$AB$127)*T$5,0)</f>
        <v>#REF!</v>
      </c>
      <c r="U99" s="26">
        <f>IF(AND(COLUMN()&gt;=11,COLUMN()&lt;=20),(_xlfn.XLOOKUP($A99,#REF!,#REF!))/SUMIF($A$7:$AC$128,$A99,$AB$6:$AB$127)*U$5,0)</f>
        <v>0</v>
      </c>
      <c r="V99" s="26">
        <f>IF(AND(COLUMN()&gt;=11,COLUMN()&lt;=20),(_xlfn.XLOOKUP($A99,#REF!,#REF!))/SUMIF($A$7:$AC$128,$A99,$AB$6:$AB$127)*V$5,0)</f>
        <v>0</v>
      </c>
      <c r="W99" s="26">
        <f>IF(AND(COLUMN()&gt;=11,COLUMN()&lt;=20),(_xlfn.XLOOKUP($A99,#REF!,#REF!))/SUMIF($A$7:$AC$128,$A99,$AB$6:$AB$127)*W$5,0)</f>
        <v>0</v>
      </c>
      <c r="X99" s="26">
        <f>IF(AND(COLUMN()&gt;=11,COLUMN()&lt;=20),(_xlfn.XLOOKUP($A99,#REF!,#REF!))/SUMIF($A$7:$AC$128,$A99,$AB$6:$AB$127)*X$5,0)</f>
        <v>0</v>
      </c>
      <c r="Y99" s="26">
        <f>IF(AND(COLUMN()&gt;=11,COLUMN()&lt;=20),(_xlfn.XLOOKUP($A99,#REF!,#REF!))/SUMIF($A$7:$AC$128,$A99,$AB$6:$AB$127)*Y$5,0)</f>
        <v>0</v>
      </c>
      <c r="Z99" s="26">
        <f>IF(AND(COLUMN()&gt;=11,COLUMN()&lt;=20),(_xlfn.XLOOKUP($A99,#REF!,#REF!))/SUMIF($A$7:$AC$128,$A99,$AB$6:$AB$127)*Z$5,0)</f>
        <v>0</v>
      </c>
      <c r="AA99" s="26" t="e">
        <f t="shared" ca="1" si="14"/>
        <v>#REF!</v>
      </c>
      <c r="AB99" s="19">
        <f t="shared" si="10"/>
        <v>31</v>
      </c>
      <c r="AC99" s="20" t="e">
        <f t="shared" ca="1" si="11"/>
        <v>#REF!</v>
      </c>
      <c r="AD99" s="30" t="e">
        <f>#REF!/SUMIF(#REF!,'Curva de la oferta Prod 3'!$A99,#REF!)</f>
        <v>#REF!</v>
      </c>
      <c r="AE99" s="28"/>
      <c r="AF99" s="31"/>
      <c r="AG99" s="31"/>
      <c r="AH99" s="31"/>
      <c r="AI99" s="31"/>
      <c r="AJ99" s="31"/>
      <c r="AK99" s="31"/>
    </row>
    <row r="100" spans="1:37" ht="14.5" x14ac:dyDescent="0.35">
      <c r="A100" s="15">
        <f t="shared" si="9"/>
        <v>2033</v>
      </c>
      <c r="B100" s="18">
        <v>48823</v>
      </c>
      <c r="C100" s="26">
        <f>IF(AND(COLUMN()&gt;=11,COLUMN()&lt;=20),(_xlfn.XLOOKUP($A100,#REF!,#REF!))/SUMIF($A$7:$AC$128,$A100,$AB$6:$AB$127)*C$5,0)</f>
        <v>0</v>
      </c>
      <c r="D100" s="26">
        <f>IF(AND(COLUMN()&gt;=11,COLUMN()&lt;=20),(_xlfn.XLOOKUP($A100,#REF!,#REF!))/SUMIF($A$7:$AC$128,$A100,$AB$6:$AB$127)*D$5,0)</f>
        <v>0</v>
      </c>
      <c r="E100" s="26">
        <f>IF(AND(COLUMN()&gt;=11,COLUMN()&lt;=20),(_xlfn.XLOOKUP($A100,#REF!,#REF!))/SUMIF($A$7:$AC$128,$A100,$AB$6:$AB$127)*E$5,0)</f>
        <v>0</v>
      </c>
      <c r="F100" s="26">
        <f>IF(AND(COLUMN()&gt;=11,COLUMN()&lt;=20),(_xlfn.XLOOKUP($A100,#REF!,#REF!))/SUMIF($A$7:$AC$128,$A100,$AB$6:$AB$127)*F$5,0)</f>
        <v>0</v>
      </c>
      <c r="G100" s="26">
        <f>IF(AND(COLUMN()&gt;=11,COLUMN()&lt;=20),(_xlfn.XLOOKUP($A100,#REF!,#REF!))/SUMIF($A$7:$AC$128,$A100,$AB$6:$AB$127)*G$5,0)</f>
        <v>0</v>
      </c>
      <c r="H100" s="26">
        <f>IF(AND(COLUMN()&gt;=11,COLUMN()&lt;=20),(_xlfn.XLOOKUP($A100,#REF!,#REF!))/SUMIF($A$7:$AC$128,$A100,$AB$6:$AB$127)*H$5,0)</f>
        <v>0</v>
      </c>
      <c r="I100" s="26">
        <f>IF(AND(COLUMN()&gt;=11,COLUMN()&lt;=20),(_xlfn.XLOOKUP($A100,#REF!,#REF!))/SUMIF($A$7:$AC$128,$A100,$AB$6:$AB$127)*I$5,0)</f>
        <v>0</v>
      </c>
      <c r="J100" s="26">
        <f>IF(AND(COLUMN()&gt;=11,COLUMN()&lt;=20),(_xlfn.XLOOKUP($A100,#REF!,#REF!))/SUMIF($A$7:$AC$128,$A100,$AB$6:$AB$127)*J$5,0)</f>
        <v>0</v>
      </c>
      <c r="K100" s="26" t="e">
        <f ca="1">IF(AND(COLUMN()&gt;=11,COLUMN()&lt;=20),(_xlfn.XLOOKUP($A100,#REF!,#REF!))/SUMIF($A$7:$AC$128,$A100,$AB$6:$AB$127)*K$5,0)</f>
        <v>#REF!</v>
      </c>
      <c r="L100" s="26" t="e">
        <f ca="1">IF(AND(COLUMN()&gt;=11,COLUMN()&lt;=20),(_xlfn.XLOOKUP($A100,#REF!,#REF!))/SUMIF($A$7:$AC$128,$A100,$AB$6:$AB$127)*L$5,0)</f>
        <v>#REF!</v>
      </c>
      <c r="M100" s="26" t="e">
        <f ca="1">IF(AND(COLUMN()&gt;=11,COLUMN()&lt;=20),(_xlfn.XLOOKUP($A100,#REF!,#REF!))/SUMIF($A$7:$AC$128,$A100,$AB$6:$AB$127)*M$5,0)</f>
        <v>#REF!</v>
      </c>
      <c r="N100" s="26" t="e">
        <f ca="1">IF(AND(COLUMN()&gt;=11,COLUMN()&lt;=20),(_xlfn.XLOOKUP($A100,#REF!,#REF!))/SUMIF($A$7:$AC$128,$A100,$AB$6:$AB$127)*N$5,0)</f>
        <v>#REF!</v>
      </c>
      <c r="O100" s="26" t="e">
        <f ca="1">IF(AND(COLUMN()&gt;=11,COLUMN()&lt;=20),(_xlfn.XLOOKUP($A100,#REF!,#REF!))/SUMIF($A$7:$AC$128,$A100,$AB$6:$AB$127)*O$5,0)</f>
        <v>#REF!</v>
      </c>
      <c r="P100" s="26" t="e">
        <f ca="1">IF(AND(COLUMN()&gt;=11,COLUMN()&lt;=20),(_xlfn.XLOOKUP($A100,#REF!,#REF!))/SUMIF($A$7:$AC$128,$A100,$AB$6:$AB$127)*P$5,0)</f>
        <v>#REF!</v>
      </c>
      <c r="Q100" s="26" t="e">
        <f ca="1">IF(AND(COLUMN()&gt;=11,COLUMN()&lt;=20),(_xlfn.XLOOKUP($A100,#REF!,#REF!))/SUMIF($A$7:$AC$128,$A100,$AB$6:$AB$127)*Q$5,0)</f>
        <v>#REF!</v>
      </c>
      <c r="R100" s="26" t="e">
        <f ca="1">IF(AND(COLUMN()&gt;=11,COLUMN()&lt;=20),(_xlfn.XLOOKUP($A100,#REF!,#REF!))/SUMIF($A$7:$AC$128,$A100,$AB$6:$AB$127)*R$5,0)</f>
        <v>#REF!</v>
      </c>
      <c r="S100" s="26" t="e">
        <f ca="1">IF(AND(COLUMN()&gt;=11,COLUMN()&lt;=20),(_xlfn.XLOOKUP($A100,#REF!,#REF!))/SUMIF($A$7:$AC$128,$A100,$AB$6:$AB$127)*S$5,0)</f>
        <v>#REF!</v>
      </c>
      <c r="T100" s="26" t="e">
        <f ca="1">IF(AND(COLUMN()&gt;=11,COLUMN()&lt;=20),(_xlfn.XLOOKUP($A100,#REF!,#REF!))/SUMIF($A$7:$AC$128,$A100,$AB$6:$AB$127)*T$5,0)</f>
        <v>#REF!</v>
      </c>
      <c r="U100" s="26">
        <f>IF(AND(COLUMN()&gt;=11,COLUMN()&lt;=20),(_xlfn.XLOOKUP($A100,#REF!,#REF!))/SUMIF($A$7:$AC$128,$A100,$AB$6:$AB$127)*U$5,0)</f>
        <v>0</v>
      </c>
      <c r="V100" s="26">
        <f>IF(AND(COLUMN()&gt;=11,COLUMN()&lt;=20),(_xlfn.XLOOKUP($A100,#REF!,#REF!))/SUMIF($A$7:$AC$128,$A100,$AB$6:$AB$127)*V$5,0)</f>
        <v>0</v>
      </c>
      <c r="W100" s="26">
        <f>IF(AND(COLUMN()&gt;=11,COLUMN()&lt;=20),(_xlfn.XLOOKUP($A100,#REF!,#REF!))/SUMIF($A$7:$AC$128,$A100,$AB$6:$AB$127)*W$5,0)</f>
        <v>0</v>
      </c>
      <c r="X100" s="26">
        <f>IF(AND(COLUMN()&gt;=11,COLUMN()&lt;=20),(_xlfn.XLOOKUP($A100,#REF!,#REF!))/SUMIF($A$7:$AC$128,$A100,$AB$6:$AB$127)*X$5,0)</f>
        <v>0</v>
      </c>
      <c r="Y100" s="26">
        <f>IF(AND(COLUMN()&gt;=11,COLUMN()&lt;=20),(_xlfn.XLOOKUP($A100,#REF!,#REF!))/SUMIF($A$7:$AC$128,$A100,$AB$6:$AB$127)*Y$5,0)</f>
        <v>0</v>
      </c>
      <c r="Z100" s="26">
        <f>IF(AND(COLUMN()&gt;=11,COLUMN()&lt;=20),(_xlfn.XLOOKUP($A100,#REF!,#REF!))/SUMIF($A$7:$AC$128,$A100,$AB$6:$AB$127)*Z$5,0)</f>
        <v>0</v>
      </c>
      <c r="AA100" s="26" t="e">
        <f t="shared" ca="1" si="14"/>
        <v>#REF!</v>
      </c>
      <c r="AB100" s="19">
        <f t="shared" si="10"/>
        <v>30</v>
      </c>
      <c r="AC100" s="20" t="e">
        <f t="shared" ca="1" si="11"/>
        <v>#REF!</v>
      </c>
      <c r="AD100" s="30" t="e">
        <f>#REF!/SUMIF(#REF!,'Curva de la oferta Prod 3'!$A100,#REF!)</f>
        <v>#REF!</v>
      </c>
      <c r="AE100" s="28"/>
      <c r="AF100" s="31"/>
      <c r="AG100" s="31"/>
      <c r="AH100" s="31"/>
      <c r="AI100" s="31"/>
      <c r="AJ100" s="31"/>
      <c r="AK100" s="31"/>
    </row>
    <row r="101" spans="1:37" ht="14.5" x14ac:dyDescent="0.35">
      <c r="A101" s="15">
        <f t="shared" si="9"/>
        <v>2033</v>
      </c>
      <c r="B101" s="18">
        <v>48853</v>
      </c>
      <c r="C101" s="26">
        <f>IF(AND(COLUMN()&gt;=11,COLUMN()&lt;=20),(_xlfn.XLOOKUP($A101,#REF!,#REF!))/SUMIF($A$7:$AC$128,$A101,$AB$6:$AB$127)*C$5,0)</f>
        <v>0</v>
      </c>
      <c r="D101" s="26">
        <f>IF(AND(COLUMN()&gt;=11,COLUMN()&lt;=20),(_xlfn.XLOOKUP($A101,#REF!,#REF!))/SUMIF($A$7:$AC$128,$A101,$AB$6:$AB$127)*D$5,0)</f>
        <v>0</v>
      </c>
      <c r="E101" s="26">
        <f>IF(AND(COLUMN()&gt;=11,COLUMN()&lt;=20),(_xlfn.XLOOKUP($A101,#REF!,#REF!))/SUMIF($A$7:$AC$128,$A101,$AB$6:$AB$127)*E$5,0)</f>
        <v>0</v>
      </c>
      <c r="F101" s="26">
        <f>IF(AND(COLUMN()&gt;=11,COLUMN()&lt;=20),(_xlfn.XLOOKUP($A101,#REF!,#REF!))/SUMIF($A$7:$AC$128,$A101,$AB$6:$AB$127)*F$5,0)</f>
        <v>0</v>
      </c>
      <c r="G101" s="26">
        <f>IF(AND(COLUMN()&gt;=11,COLUMN()&lt;=20),(_xlfn.XLOOKUP($A101,#REF!,#REF!))/SUMIF($A$7:$AC$128,$A101,$AB$6:$AB$127)*G$5,0)</f>
        <v>0</v>
      </c>
      <c r="H101" s="26">
        <f>IF(AND(COLUMN()&gt;=11,COLUMN()&lt;=20),(_xlfn.XLOOKUP($A101,#REF!,#REF!))/SUMIF($A$7:$AC$128,$A101,$AB$6:$AB$127)*H$5,0)</f>
        <v>0</v>
      </c>
      <c r="I101" s="26">
        <f>IF(AND(COLUMN()&gt;=11,COLUMN()&lt;=20),(_xlfn.XLOOKUP($A101,#REF!,#REF!))/SUMIF($A$7:$AC$128,$A101,$AB$6:$AB$127)*I$5,0)</f>
        <v>0</v>
      </c>
      <c r="J101" s="26">
        <f>IF(AND(COLUMN()&gt;=11,COLUMN()&lt;=20),(_xlfn.XLOOKUP($A101,#REF!,#REF!))/SUMIF($A$7:$AC$128,$A101,$AB$6:$AB$127)*J$5,0)</f>
        <v>0</v>
      </c>
      <c r="K101" s="26" t="e">
        <f ca="1">IF(AND(COLUMN()&gt;=11,COLUMN()&lt;=20),(_xlfn.XLOOKUP($A101,#REF!,#REF!))/SUMIF($A$7:$AC$128,$A101,$AB$6:$AB$127)*K$5,0)</f>
        <v>#REF!</v>
      </c>
      <c r="L101" s="26" t="e">
        <f ca="1">IF(AND(COLUMN()&gt;=11,COLUMN()&lt;=20),(_xlfn.XLOOKUP($A101,#REF!,#REF!))/SUMIF($A$7:$AC$128,$A101,$AB$6:$AB$127)*L$5,0)</f>
        <v>#REF!</v>
      </c>
      <c r="M101" s="26" t="e">
        <f ca="1">IF(AND(COLUMN()&gt;=11,COLUMN()&lt;=20),(_xlfn.XLOOKUP($A101,#REF!,#REF!))/SUMIF($A$7:$AC$128,$A101,$AB$6:$AB$127)*M$5,0)</f>
        <v>#REF!</v>
      </c>
      <c r="N101" s="26" t="e">
        <f ca="1">IF(AND(COLUMN()&gt;=11,COLUMN()&lt;=20),(_xlfn.XLOOKUP($A101,#REF!,#REF!))/SUMIF($A$7:$AC$128,$A101,$AB$6:$AB$127)*N$5,0)</f>
        <v>#REF!</v>
      </c>
      <c r="O101" s="26" t="e">
        <f ca="1">IF(AND(COLUMN()&gt;=11,COLUMN()&lt;=20),(_xlfn.XLOOKUP($A101,#REF!,#REF!))/SUMIF($A$7:$AC$128,$A101,$AB$6:$AB$127)*O$5,0)</f>
        <v>#REF!</v>
      </c>
      <c r="P101" s="26" t="e">
        <f ca="1">IF(AND(COLUMN()&gt;=11,COLUMN()&lt;=20),(_xlfn.XLOOKUP($A101,#REF!,#REF!))/SUMIF($A$7:$AC$128,$A101,$AB$6:$AB$127)*P$5,0)</f>
        <v>#REF!</v>
      </c>
      <c r="Q101" s="26" t="e">
        <f ca="1">IF(AND(COLUMN()&gt;=11,COLUMN()&lt;=20),(_xlfn.XLOOKUP($A101,#REF!,#REF!))/SUMIF($A$7:$AC$128,$A101,$AB$6:$AB$127)*Q$5,0)</f>
        <v>#REF!</v>
      </c>
      <c r="R101" s="26" t="e">
        <f ca="1">IF(AND(COLUMN()&gt;=11,COLUMN()&lt;=20),(_xlfn.XLOOKUP($A101,#REF!,#REF!))/SUMIF($A$7:$AC$128,$A101,$AB$6:$AB$127)*R$5,0)</f>
        <v>#REF!</v>
      </c>
      <c r="S101" s="26" t="e">
        <f ca="1">IF(AND(COLUMN()&gt;=11,COLUMN()&lt;=20),(_xlfn.XLOOKUP($A101,#REF!,#REF!))/SUMIF($A$7:$AC$128,$A101,$AB$6:$AB$127)*S$5,0)</f>
        <v>#REF!</v>
      </c>
      <c r="T101" s="26" t="e">
        <f ca="1">IF(AND(COLUMN()&gt;=11,COLUMN()&lt;=20),(_xlfn.XLOOKUP($A101,#REF!,#REF!))/SUMIF($A$7:$AC$128,$A101,$AB$6:$AB$127)*T$5,0)</f>
        <v>#REF!</v>
      </c>
      <c r="U101" s="26">
        <f>IF(AND(COLUMN()&gt;=11,COLUMN()&lt;=20),(_xlfn.XLOOKUP($A101,#REF!,#REF!))/SUMIF($A$7:$AC$128,$A101,$AB$6:$AB$127)*U$5,0)</f>
        <v>0</v>
      </c>
      <c r="V101" s="26">
        <f>IF(AND(COLUMN()&gt;=11,COLUMN()&lt;=20),(_xlfn.XLOOKUP($A101,#REF!,#REF!))/SUMIF($A$7:$AC$128,$A101,$AB$6:$AB$127)*V$5,0)</f>
        <v>0</v>
      </c>
      <c r="W101" s="26">
        <f>IF(AND(COLUMN()&gt;=11,COLUMN()&lt;=20),(_xlfn.XLOOKUP($A101,#REF!,#REF!))/SUMIF($A$7:$AC$128,$A101,$AB$6:$AB$127)*W$5,0)</f>
        <v>0</v>
      </c>
      <c r="X101" s="26">
        <f>IF(AND(COLUMN()&gt;=11,COLUMN()&lt;=20),(_xlfn.XLOOKUP($A101,#REF!,#REF!))/SUMIF($A$7:$AC$128,$A101,$AB$6:$AB$127)*X$5,0)</f>
        <v>0</v>
      </c>
      <c r="Y101" s="26">
        <f>IF(AND(COLUMN()&gt;=11,COLUMN()&lt;=20),(_xlfn.XLOOKUP($A101,#REF!,#REF!))/SUMIF($A$7:$AC$128,$A101,$AB$6:$AB$127)*Y$5,0)</f>
        <v>0</v>
      </c>
      <c r="Z101" s="26">
        <f>IF(AND(COLUMN()&gt;=11,COLUMN()&lt;=20),(_xlfn.XLOOKUP($A101,#REF!,#REF!))/SUMIF($A$7:$AC$128,$A101,$AB$6:$AB$127)*Z$5,0)</f>
        <v>0</v>
      </c>
      <c r="AA101" s="26" t="e">
        <f t="shared" ca="1" si="14"/>
        <v>#REF!</v>
      </c>
      <c r="AB101" s="19">
        <f t="shared" si="10"/>
        <v>31</v>
      </c>
      <c r="AC101" s="20" t="e">
        <f t="shared" ca="1" si="11"/>
        <v>#REF!</v>
      </c>
      <c r="AD101" s="30" t="e">
        <f>#REF!/SUMIF(#REF!,'Curva de la oferta Prod 3'!$A101,#REF!)</f>
        <v>#REF!</v>
      </c>
      <c r="AE101" s="28"/>
      <c r="AF101" s="31"/>
      <c r="AG101" s="31"/>
      <c r="AH101" s="31"/>
      <c r="AI101" s="31"/>
      <c r="AJ101" s="31"/>
      <c r="AK101" s="31"/>
    </row>
    <row r="102" spans="1:37" ht="14.5" x14ac:dyDescent="0.35">
      <c r="A102" s="15">
        <f t="shared" si="9"/>
        <v>2033</v>
      </c>
      <c r="B102" s="18">
        <v>48884</v>
      </c>
      <c r="C102" s="26">
        <f>IF(AND(COLUMN()&gt;=11,COLUMN()&lt;=20),(_xlfn.XLOOKUP($A102,#REF!,#REF!))/SUMIF($A$7:$AC$128,$A102,$AB$6:$AB$127)*C$5,0)</f>
        <v>0</v>
      </c>
      <c r="D102" s="26">
        <f>IF(AND(COLUMN()&gt;=11,COLUMN()&lt;=20),(_xlfn.XLOOKUP($A102,#REF!,#REF!))/SUMIF($A$7:$AC$128,$A102,$AB$6:$AB$127)*D$5,0)</f>
        <v>0</v>
      </c>
      <c r="E102" s="26">
        <f>IF(AND(COLUMN()&gt;=11,COLUMN()&lt;=20),(_xlfn.XLOOKUP($A102,#REF!,#REF!))/SUMIF($A$7:$AC$128,$A102,$AB$6:$AB$127)*E$5,0)</f>
        <v>0</v>
      </c>
      <c r="F102" s="26">
        <f>IF(AND(COLUMN()&gt;=11,COLUMN()&lt;=20),(_xlfn.XLOOKUP($A102,#REF!,#REF!))/SUMIF($A$7:$AC$128,$A102,$AB$6:$AB$127)*F$5,0)</f>
        <v>0</v>
      </c>
      <c r="G102" s="26">
        <f>IF(AND(COLUMN()&gt;=11,COLUMN()&lt;=20),(_xlfn.XLOOKUP($A102,#REF!,#REF!))/SUMIF($A$7:$AC$128,$A102,$AB$6:$AB$127)*G$5,0)</f>
        <v>0</v>
      </c>
      <c r="H102" s="26">
        <f>IF(AND(COLUMN()&gt;=11,COLUMN()&lt;=20),(_xlfn.XLOOKUP($A102,#REF!,#REF!))/SUMIF($A$7:$AC$128,$A102,$AB$6:$AB$127)*H$5,0)</f>
        <v>0</v>
      </c>
      <c r="I102" s="26">
        <f>IF(AND(COLUMN()&gt;=11,COLUMN()&lt;=20),(_xlfn.XLOOKUP($A102,#REF!,#REF!))/SUMIF($A$7:$AC$128,$A102,$AB$6:$AB$127)*I$5,0)</f>
        <v>0</v>
      </c>
      <c r="J102" s="26">
        <f>IF(AND(COLUMN()&gt;=11,COLUMN()&lt;=20),(_xlfn.XLOOKUP($A102,#REF!,#REF!))/SUMIF($A$7:$AC$128,$A102,$AB$6:$AB$127)*J$5,0)</f>
        <v>0</v>
      </c>
      <c r="K102" s="26" t="e">
        <f ca="1">IF(AND(COLUMN()&gt;=11,COLUMN()&lt;=20),(_xlfn.XLOOKUP($A102,#REF!,#REF!))/SUMIF($A$7:$AC$128,$A102,$AB$6:$AB$127)*K$5,0)</f>
        <v>#REF!</v>
      </c>
      <c r="L102" s="26" t="e">
        <f ca="1">IF(AND(COLUMN()&gt;=11,COLUMN()&lt;=20),(_xlfn.XLOOKUP($A102,#REF!,#REF!))/SUMIF($A$7:$AC$128,$A102,$AB$6:$AB$127)*L$5,0)</f>
        <v>#REF!</v>
      </c>
      <c r="M102" s="26" t="e">
        <f ca="1">IF(AND(COLUMN()&gt;=11,COLUMN()&lt;=20),(_xlfn.XLOOKUP($A102,#REF!,#REF!))/SUMIF($A$7:$AC$128,$A102,$AB$6:$AB$127)*M$5,0)</f>
        <v>#REF!</v>
      </c>
      <c r="N102" s="26" t="e">
        <f ca="1">IF(AND(COLUMN()&gt;=11,COLUMN()&lt;=20),(_xlfn.XLOOKUP($A102,#REF!,#REF!))/SUMIF($A$7:$AC$128,$A102,$AB$6:$AB$127)*N$5,0)</f>
        <v>#REF!</v>
      </c>
      <c r="O102" s="26" t="e">
        <f ca="1">IF(AND(COLUMN()&gt;=11,COLUMN()&lt;=20),(_xlfn.XLOOKUP($A102,#REF!,#REF!))/SUMIF($A$7:$AC$128,$A102,$AB$6:$AB$127)*O$5,0)</f>
        <v>#REF!</v>
      </c>
      <c r="P102" s="26" t="e">
        <f ca="1">IF(AND(COLUMN()&gt;=11,COLUMN()&lt;=20),(_xlfn.XLOOKUP($A102,#REF!,#REF!))/SUMIF($A$7:$AC$128,$A102,$AB$6:$AB$127)*P$5,0)</f>
        <v>#REF!</v>
      </c>
      <c r="Q102" s="26" t="e">
        <f ca="1">IF(AND(COLUMN()&gt;=11,COLUMN()&lt;=20),(_xlfn.XLOOKUP($A102,#REF!,#REF!))/SUMIF($A$7:$AC$128,$A102,$AB$6:$AB$127)*Q$5,0)</f>
        <v>#REF!</v>
      </c>
      <c r="R102" s="26" t="e">
        <f ca="1">IF(AND(COLUMN()&gt;=11,COLUMN()&lt;=20),(_xlfn.XLOOKUP($A102,#REF!,#REF!))/SUMIF($A$7:$AC$128,$A102,$AB$6:$AB$127)*R$5,0)</f>
        <v>#REF!</v>
      </c>
      <c r="S102" s="26" t="e">
        <f ca="1">IF(AND(COLUMN()&gt;=11,COLUMN()&lt;=20),(_xlfn.XLOOKUP($A102,#REF!,#REF!))/SUMIF($A$7:$AC$128,$A102,$AB$6:$AB$127)*S$5,0)</f>
        <v>#REF!</v>
      </c>
      <c r="T102" s="26" t="e">
        <f ca="1">IF(AND(COLUMN()&gt;=11,COLUMN()&lt;=20),(_xlfn.XLOOKUP($A102,#REF!,#REF!))/SUMIF($A$7:$AC$128,$A102,$AB$6:$AB$127)*T$5,0)</f>
        <v>#REF!</v>
      </c>
      <c r="U102" s="26">
        <f>IF(AND(COLUMN()&gt;=11,COLUMN()&lt;=20),(_xlfn.XLOOKUP($A102,#REF!,#REF!))/SUMIF($A$7:$AC$128,$A102,$AB$6:$AB$127)*U$5,0)</f>
        <v>0</v>
      </c>
      <c r="V102" s="26">
        <f>IF(AND(COLUMN()&gt;=11,COLUMN()&lt;=20),(_xlfn.XLOOKUP($A102,#REF!,#REF!))/SUMIF($A$7:$AC$128,$A102,$AB$6:$AB$127)*V$5,0)</f>
        <v>0</v>
      </c>
      <c r="W102" s="26">
        <f>IF(AND(COLUMN()&gt;=11,COLUMN()&lt;=20),(_xlfn.XLOOKUP($A102,#REF!,#REF!))/SUMIF($A$7:$AC$128,$A102,$AB$6:$AB$127)*W$5,0)</f>
        <v>0</v>
      </c>
      <c r="X102" s="26">
        <f>IF(AND(COLUMN()&gt;=11,COLUMN()&lt;=20),(_xlfn.XLOOKUP($A102,#REF!,#REF!))/SUMIF($A$7:$AC$128,$A102,$AB$6:$AB$127)*X$5,0)</f>
        <v>0</v>
      </c>
      <c r="Y102" s="26">
        <f>IF(AND(COLUMN()&gt;=11,COLUMN()&lt;=20),(_xlfn.XLOOKUP($A102,#REF!,#REF!))/SUMIF($A$7:$AC$128,$A102,$AB$6:$AB$127)*Y$5,0)</f>
        <v>0</v>
      </c>
      <c r="Z102" s="26">
        <f>IF(AND(COLUMN()&gt;=11,COLUMN()&lt;=20),(_xlfn.XLOOKUP($A102,#REF!,#REF!))/SUMIF($A$7:$AC$128,$A102,$AB$6:$AB$127)*Z$5,0)</f>
        <v>0</v>
      </c>
      <c r="AA102" s="26" t="e">
        <f t="shared" ca="1" si="14"/>
        <v>#REF!</v>
      </c>
      <c r="AB102" s="19">
        <f t="shared" si="10"/>
        <v>30</v>
      </c>
      <c r="AC102" s="20" t="e">
        <f t="shared" ca="1" si="11"/>
        <v>#REF!</v>
      </c>
      <c r="AD102" s="30" t="e">
        <f>#REF!/SUMIF(#REF!,'Curva de la oferta Prod 3'!$A102,#REF!)</f>
        <v>#REF!</v>
      </c>
      <c r="AE102" s="28"/>
      <c r="AF102" s="31"/>
      <c r="AG102" s="31"/>
      <c r="AH102" s="31"/>
      <c r="AI102" s="31"/>
      <c r="AJ102" s="31"/>
      <c r="AK102" s="31"/>
    </row>
    <row r="103" spans="1:37" ht="14.5" x14ac:dyDescent="0.35">
      <c r="A103" s="15">
        <f t="shared" si="9"/>
        <v>2033</v>
      </c>
      <c r="B103" s="18">
        <v>48914</v>
      </c>
      <c r="C103" s="26">
        <f>IF(AND(COLUMN()&gt;=11,COLUMN()&lt;=20),(_xlfn.XLOOKUP($A103,#REF!,#REF!))/SUMIF($A$7:$AC$128,$A103,$AB$6:$AB$127)*C$5,0)</f>
        <v>0</v>
      </c>
      <c r="D103" s="26">
        <f>IF(AND(COLUMN()&gt;=11,COLUMN()&lt;=20),(_xlfn.XLOOKUP($A103,#REF!,#REF!))/SUMIF($A$7:$AC$128,$A103,$AB$6:$AB$127)*D$5,0)</f>
        <v>0</v>
      </c>
      <c r="E103" s="26">
        <f>IF(AND(COLUMN()&gt;=11,COLUMN()&lt;=20),(_xlfn.XLOOKUP($A103,#REF!,#REF!))/SUMIF($A$7:$AC$128,$A103,$AB$6:$AB$127)*E$5,0)</f>
        <v>0</v>
      </c>
      <c r="F103" s="26">
        <f>IF(AND(COLUMN()&gt;=11,COLUMN()&lt;=20),(_xlfn.XLOOKUP($A103,#REF!,#REF!))/SUMIF($A$7:$AC$128,$A103,$AB$6:$AB$127)*F$5,0)</f>
        <v>0</v>
      </c>
      <c r="G103" s="26">
        <f>IF(AND(COLUMN()&gt;=11,COLUMN()&lt;=20),(_xlfn.XLOOKUP($A103,#REF!,#REF!))/SUMIF($A$7:$AC$128,$A103,$AB$6:$AB$127)*G$5,0)</f>
        <v>0</v>
      </c>
      <c r="H103" s="26">
        <f>IF(AND(COLUMN()&gt;=11,COLUMN()&lt;=20),(_xlfn.XLOOKUP($A103,#REF!,#REF!))/SUMIF($A$7:$AC$128,$A103,$AB$6:$AB$127)*H$5,0)</f>
        <v>0</v>
      </c>
      <c r="I103" s="26">
        <f>IF(AND(COLUMN()&gt;=11,COLUMN()&lt;=20),(_xlfn.XLOOKUP($A103,#REF!,#REF!))/SUMIF($A$7:$AC$128,$A103,$AB$6:$AB$127)*I$5,0)</f>
        <v>0</v>
      </c>
      <c r="J103" s="26">
        <f>IF(AND(COLUMN()&gt;=11,COLUMN()&lt;=20),(_xlfn.XLOOKUP($A103,#REF!,#REF!))/SUMIF($A$7:$AC$128,$A103,$AB$6:$AB$127)*J$5,0)</f>
        <v>0</v>
      </c>
      <c r="K103" s="26" t="e">
        <f ca="1">IF(AND(COLUMN()&gt;=11,COLUMN()&lt;=20),(_xlfn.XLOOKUP($A103,#REF!,#REF!))/SUMIF($A$7:$AC$128,$A103,$AB$6:$AB$127)*K$5,0)</f>
        <v>#REF!</v>
      </c>
      <c r="L103" s="26" t="e">
        <f ca="1">IF(AND(COLUMN()&gt;=11,COLUMN()&lt;=20),(_xlfn.XLOOKUP($A103,#REF!,#REF!))/SUMIF($A$7:$AC$128,$A103,$AB$6:$AB$127)*L$5,0)</f>
        <v>#REF!</v>
      </c>
      <c r="M103" s="26" t="e">
        <f ca="1">IF(AND(COLUMN()&gt;=11,COLUMN()&lt;=20),(_xlfn.XLOOKUP($A103,#REF!,#REF!))/SUMIF($A$7:$AC$128,$A103,$AB$6:$AB$127)*M$5,0)</f>
        <v>#REF!</v>
      </c>
      <c r="N103" s="26" t="e">
        <f ca="1">IF(AND(COLUMN()&gt;=11,COLUMN()&lt;=20),(_xlfn.XLOOKUP($A103,#REF!,#REF!))/SUMIF($A$7:$AC$128,$A103,$AB$6:$AB$127)*N$5,0)</f>
        <v>#REF!</v>
      </c>
      <c r="O103" s="26" t="e">
        <f ca="1">IF(AND(COLUMN()&gt;=11,COLUMN()&lt;=20),(_xlfn.XLOOKUP($A103,#REF!,#REF!))/SUMIF($A$7:$AC$128,$A103,$AB$6:$AB$127)*O$5,0)</f>
        <v>#REF!</v>
      </c>
      <c r="P103" s="26" t="e">
        <f ca="1">IF(AND(COLUMN()&gt;=11,COLUMN()&lt;=20),(_xlfn.XLOOKUP($A103,#REF!,#REF!))/SUMIF($A$7:$AC$128,$A103,$AB$6:$AB$127)*P$5,0)</f>
        <v>#REF!</v>
      </c>
      <c r="Q103" s="26" t="e">
        <f ca="1">IF(AND(COLUMN()&gt;=11,COLUMN()&lt;=20),(_xlfn.XLOOKUP($A103,#REF!,#REF!))/SUMIF($A$7:$AC$128,$A103,$AB$6:$AB$127)*Q$5,0)</f>
        <v>#REF!</v>
      </c>
      <c r="R103" s="26" t="e">
        <f ca="1">IF(AND(COLUMN()&gt;=11,COLUMN()&lt;=20),(_xlfn.XLOOKUP($A103,#REF!,#REF!))/SUMIF($A$7:$AC$128,$A103,$AB$6:$AB$127)*R$5,0)</f>
        <v>#REF!</v>
      </c>
      <c r="S103" s="26" t="e">
        <f ca="1">IF(AND(COLUMN()&gt;=11,COLUMN()&lt;=20),(_xlfn.XLOOKUP($A103,#REF!,#REF!))/SUMIF($A$7:$AC$128,$A103,$AB$6:$AB$127)*S$5,0)</f>
        <v>#REF!</v>
      </c>
      <c r="T103" s="26" t="e">
        <f ca="1">IF(AND(COLUMN()&gt;=11,COLUMN()&lt;=20),(_xlfn.XLOOKUP($A103,#REF!,#REF!))/SUMIF($A$7:$AC$128,$A103,$AB$6:$AB$127)*T$5,0)</f>
        <v>#REF!</v>
      </c>
      <c r="U103" s="26">
        <f>IF(AND(COLUMN()&gt;=11,COLUMN()&lt;=20),(_xlfn.XLOOKUP($A103,#REF!,#REF!))/SUMIF($A$7:$AC$128,$A103,$AB$6:$AB$127)*U$5,0)</f>
        <v>0</v>
      </c>
      <c r="V103" s="26">
        <f>IF(AND(COLUMN()&gt;=11,COLUMN()&lt;=20),(_xlfn.XLOOKUP($A103,#REF!,#REF!))/SUMIF($A$7:$AC$128,$A103,$AB$6:$AB$127)*V$5,0)</f>
        <v>0</v>
      </c>
      <c r="W103" s="26">
        <f>IF(AND(COLUMN()&gt;=11,COLUMN()&lt;=20),(_xlfn.XLOOKUP($A103,#REF!,#REF!))/SUMIF($A$7:$AC$128,$A103,$AB$6:$AB$127)*W$5,0)</f>
        <v>0</v>
      </c>
      <c r="X103" s="26">
        <f>IF(AND(COLUMN()&gt;=11,COLUMN()&lt;=20),(_xlfn.XLOOKUP($A103,#REF!,#REF!))/SUMIF($A$7:$AC$128,$A103,$AB$6:$AB$127)*X$5,0)</f>
        <v>0</v>
      </c>
      <c r="Y103" s="26">
        <f>IF(AND(COLUMN()&gt;=11,COLUMN()&lt;=20),(_xlfn.XLOOKUP($A103,#REF!,#REF!))/SUMIF($A$7:$AC$128,$A103,$AB$6:$AB$127)*Y$5,0)</f>
        <v>0</v>
      </c>
      <c r="Z103" s="26">
        <f>IF(AND(COLUMN()&gt;=11,COLUMN()&lt;=20),(_xlfn.XLOOKUP($A103,#REF!,#REF!))/SUMIF($A$7:$AC$128,$A103,$AB$6:$AB$127)*Z$5,0)</f>
        <v>0</v>
      </c>
      <c r="AA103" s="26" t="e">
        <f t="shared" ca="1" si="14"/>
        <v>#REF!</v>
      </c>
      <c r="AB103" s="19">
        <f t="shared" si="10"/>
        <v>31</v>
      </c>
      <c r="AC103" s="20" t="e">
        <f t="shared" ca="1" si="11"/>
        <v>#REF!</v>
      </c>
      <c r="AD103" s="30" t="e">
        <f>#REF!/SUMIF(#REF!,'Curva de la oferta Prod 3'!$A103,#REF!)</f>
        <v>#REF!</v>
      </c>
      <c r="AE103" s="28"/>
      <c r="AF103" s="31"/>
      <c r="AG103" s="31"/>
      <c r="AH103" s="31"/>
      <c r="AI103" s="31"/>
      <c r="AJ103" s="31"/>
      <c r="AK103" s="31"/>
    </row>
    <row r="104" spans="1:37" ht="14.5" x14ac:dyDescent="0.35">
      <c r="A104" s="15">
        <f t="shared" si="9"/>
        <v>2034</v>
      </c>
      <c r="B104" s="18">
        <v>48945</v>
      </c>
      <c r="C104" s="26">
        <f>IF(AND(COLUMN()&gt;=11,COLUMN()&lt;=20),(_xlfn.XLOOKUP($A104,#REF!,#REF!))/SUMIF($A$7:$AC$128,$A104,$AB$6:$AB$127)*C$5,0)</f>
        <v>0</v>
      </c>
      <c r="D104" s="26">
        <f>IF(AND(COLUMN()&gt;=11,COLUMN()&lt;=20),(_xlfn.XLOOKUP($A104,#REF!,#REF!))/SUMIF($A$7:$AC$128,$A104,$AB$6:$AB$127)*D$5,0)</f>
        <v>0</v>
      </c>
      <c r="E104" s="26">
        <f>IF(AND(COLUMN()&gt;=11,COLUMN()&lt;=20),(_xlfn.XLOOKUP($A104,#REF!,#REF!))/SUMIF($A$7:$AC$128,$A104,$AB$6:$AB$127)*E$5,0)</f>
        <v>0</v>
      </c>
      <c r="F104" s="26">
        <f>IF(AND(COLUMN()&gt;=11,COLUMN()&lt;=20),(_xlfn.XLOOKUP($A104,#REF!,#REF!))/SUMIF($A$7:$AC$128,$A104,$AB$6:$AB$127)*F$5,0)</f>
        <v>0</v>
      </c>
      <c r="G104" s="26">
        <f>IF(AND(COLUMN()&gt;=11,COLUMN()&lt;=20),(_xlfn.XLOOKUP($A104,#REF!,#REF!))/SUMIF($A$7:$AC$128,$A104,$AB$6:$AB$127)*G$5,0)</f>
        <v>0</v>
      </c>
      <c r="H104" s="26">
        <f>IF(AND(COLUMN()&gt;=11,COLUMN()&lt;=20),(_xlfn.XLOOKUP($A104,#REF!,#REF!))/SUMIF($A$7:$AC$128,$A104,$AB$6:$AB$127)*H$5,0)</f>
        <v>0</v>
      </c>
      <c r="I104" s="26">
        <f>IF(AND(COLUMN()&gt;=11,COLUMN()&lt;=20),(_xlfn.XLOOKUP($A104,#REF!,#REF!))/SUMIF($A$7:$AC$128,$A104,$AB$6:$AB$127)*I$5,0)</f>
        <v>0</v>
      </c>
      <c r="J104" s="26">
        <f>IF(AND(COLUMN()&gt;=11,COLUMN()&lt;=20),(_xlfn.XLOOKUP($A104,#REF!,#REF!))/SUMIF($A$7:$AC$128,$A104,$AB$6:$AB$127)*J$5,0)</f>
        <v>0</v>
      </c>
      <c r="K104" s="26" t="e">
        <f ca="1">IF(AND(COLUMN()&gt;=11,COLUMN()&lt;=20),(_xlfn.XLOOKUP($A104,#REF!,#REF!))/SUMIF($A$7:$AC$128,$A104,$AB$6:$AB$127)*K$5,0)</f>
        <v>#REF!</v>
      </c>
      <c r="L104" s="26" t="e">
        <f ca="1">IF(AND(COLUMN()&gt;=11,COLUMN()&lt;=20),(_xlfn.XLOOKUP($A104,#REF!,#REF!))/SUMIF($A$7:$AC$128,$A104,$AB$6:$AB$127)*L$5,0)</f>
        <v>#REF!</v>
      </c>
      <c r="M104" s="26" t="e">
        <f ca="1">IF(AND(COLUMN()&gt;=11,COLUMN()&lt;=20),(_xlfn.XLOOKUP($A104,#REF!,#REF!))/SUMIF($A$7:$AC$128,$A104,$AB$6:$AB$127)*M$5,0)</f>
        <v>#REF!</v>
      </c>
      <c r="N104" s="26" t="e">
        <f ca="1">IF(AND(COLUMN()&gt;=11,COLUMN()&lt;=20),(_xlfn.XLOOKUP($A104,#REF!,#REF!))/SUMIF($A$7:$AC$128,$A104,$AB$6:$AB$127)*N$5,0)</f>
        <v>#REF!</v>
      </c>
      <c r="O104" s="26" t="e">
        <f ca="1">IF(AND(COLUMN()&gt;=11,COLUMN()&lt;=20),(_xlfn.XLOOKUP($A104,#REF!,#REF!))/SUMIF($A$7:$AC$128,$A104,$AB$6:$AB$127)*O$5,0)</f>
        <v>#REF!</v>
      </c>
      <c r="P104" s="26" t="e">
        <f ca="1">IF(AND(COLUMN()&gt;=11,COLUMN()&lt;=20),(_xlfn.XLOOKUP($A104,#REF!,#REF!))/SUMIF($A$7:$AC$128,$A104,$AB$6:$AB$127)*P$5,0)</f>
        <v>#REF!</v>
      </c>
      <c r="Q104" s="26" t="e">
        <f ca="1">IF(AND(COLUMN()&gt;=11,COLUMN()&lt;=20),(_xlfn.XLOOKUP($A104,#REF!,#REF!))/SUMIF($A$7:$AC$128,$A104,$AB$6:$AB$127)*Q$5,0)</f>
        <v>#REF!</v>
      </c>
      <c r="R104" s="26" t="e">
        <f ca="1">IF(AND(COLUMN()&gt;=11,COLUMN()&lt;=20),(_xlfn.XLOOKUP($A104,#REF!,#REF!))/SUMIF($A$7:$AC$128,$A104,$AB$6:$AB$127)*R$5,0)</f>
        <v>#REF!</v>
      </c>
      <c r="S104" s="26" t="e">
        <f ca="1">IF(AND(COLUMN()&gt;=11,COLUMN()&lt;=20),(_xlfn.XLOOKUP($A104,#REF!,#REF!))/SUMIF($A$7:$AC$128,$A104,$AB$6:$AB$127)*S$5,0)</f>
        <v>#REF!</v>
      </c>
      <c r="T104" s="26" t="e">
        <f ca="1">IF(AND(COLUMN()&gt;=11,COLUMN()&lt;=20),(_xlfn.XLOOKUP($A104,#REF!,#REF!))/SUMIF($A$7:$AC$128,$A104,$AB$6:$AB$127)*T$5,0)</f>
        <v>#REF!</v>
      </c>
      <c r="U104" s="26">
        <f>IF(AND(COLUMN()&gt;=11,COLUMN()&lt;=20),(_xlfn.XLOOKUP($A104,#REF!,#REF!))/SUMIF($A$7:$AC$128,$A104,$AB$6:$AB$127)*U$5,0)</f>
        <v>0</v>
      </c>
      <c r="V104" s="26">
        <f>IF(AND(COLUMN()&gt;=11,COLUMN()&lt;=20),(_xlfn.XLOOKUP($A104,#REF!,#REF!))/SUMIF($A$7:$AC$128,$A104,$AB$6:$AB$127)*V$5,0)</f>
        <v>0</v>
      </c>
      <c r="W104" s="26">
        <f>IF(AND(COLUMN()&gt;=11,COLUMN()&lt;=20),(_xlfn.XLOOKUP($A104,#REF!,#REF!))/SUMIF($A$7:$AC$128,$A104,$AB$6:$AB$127)*W$5,0)</f>
        <v>0</v>
      </c>
      <c r="X104" s="26">
        <f>IF(AND(COLUMN()&gt;=11,COLUMN()&lt;=20),(_xlfn.XLOOKUP($A104,#REF!,#REF!))/SUMIF($A$7:$AC$128,$A104,$AB$6:$AB$127)*X$5,0)</f>
        <v>0</v>
      </c>
      <c r="Y104" s="26">
        <f>IF(AND(COLUMN()&gt;=11,COLUMN()&lt;=20),(_xlfn.XLOOKUP($A104,#REF!,#REF!))/SUMIF($A$7:$AC$128,$A104,$AB$6:$AB$127)*Y$5,0)</f>
        <v>0</v>
      </c>
      <c r="Z104" s="26">
        <f>IF(AND(COLUMN()&gt;=11,COLUMN()&lt;=20),(_xlfn.XLOOKUP($A104,#REF!,#REF!))/SUMIF($A$7:$AC$128,$A104,$AB$6:$AB$127)*Z$5,0)</f>
        <v>0</v>
      </c>
      <c r="AA104" s="26" t="e">
        <f t="shared" ca="1" si="14"/>
        <v>#REF!</v>
      </c>
      <c r="AB104" s="19">
        <f t="shared" si="10"/>
        <v>31</v>
      </c>
      <c r="AC104" s="20" t="e">
        <f t="shared" ca="1" si="11"/>
        <v>#REF!</v>
      </c>
      <c r="AD104" s="30" t="e">
        <f>#REF!/SUMIF(#REF!,'Curva de la oferta Prod 3'!$A104,#REF!)</f>
        <v>#REF!</v>
      </c>
      <c r="AE104" s="28"/>
      <c r="AF104" s="31"/>
      <c r="AG104" s="31"/>
      <c r="AH104" s="31"/>
      <c r="AI104" s="31"/>
      <c r="AJ104" s="31"/>
      <c r="AK104" s="31"/>
    </row>
    <row r="105" spans="1:37" ht="14.5" x14ac:dyDescent="0.35">
      <c r="A105" s="15">
        <f t="shared" si="9"/>
        <v>2034</v>
      </c>
      <c r="B105" s="18">
        <v>48976</v>
      </c>
      <c r="C105" s="26">
        <f>IF(AND(COLUMN()&gt;=11,COLUMN()&lt;=20),(_xlfn.XLOOKUP($A105,#REF!,#REF!))/SUMIF($A$7:$AC$128,$A105,$AB$6:$AB$127)*C$5,0)</f>
        <v>0</v>
      </c>
      <c r="D105" s="26">
        <f>IF(AND(COLUMN()&gt;=11,COLUMN()&lt;=20),(_xlfn.XLOOKUP($A105,#REF!,#REF!))/SUMIF($A$7:$AC$128,$A105,$AB$6:$AB$127)*D$5,0)</f>
        <v>0</v>
      </c>
      <c r="E105" s="26">
        <f>IF(AND(COLUMN()&gt;=11,COLUMN()&lt;=20),(_xlfn.XLOOKUP($A105,#REF!,#REF!))/SUMIF($A$7:$AC$128,$A105,$AB$6:$AB$127)*E$5,0)</f>
        <v>0</v>
      </c>
      <c r="F105" s="26">
        <f>IF(AND(COLUMN()&gt;=11,COLUMN()&lt;=20),(_xlfn.XLOOKUP($A105,#REF!,#REF!))/SUMIF($A$7:$AC$128,$A105,$AB$6:$AB$127)*F$5,0)</f>
        <v>0</v>
      </c>
      <c r="G105" s="26">
        <f>IF(AND(COLUMN()&gt;=11,COLUMN()&lt;=20),(_xlfn.XLOOKUP($A105,#REF!,#REF!))/SUMIF($A$7:$AC$128,$A105,$AB$6:$AB$127)*G$5,0)</f>
        <v>0</v>
      </c>
      <c r="H105" s="26">
        <f>IF(AND(COLUMN()&gt;=11,COLUMN()&lt;=20),(_xlfn.XLOOKUP($A105,#REF!,#REF!))/SUMIF($A$7:$AC$128,$A105,$AB$6:$AB$127)*H$5,0)</f>
        <v>0</v>
      </c>
      <c r="I105" s="26">
        <f>IF(AND(COLUMN()&gt;=11,COLUMN()&lt;=20),(_xlfn.XLOOKUP($A105,#REF!,#REF!))/SUMIF($A$7:$AC$128,$A105,$AB$6:$AB$127)*I$5,0)</f>
        <v>0</v>
      </c>
      <c r="J105" s="26">
        <f>IF(AND(COLUMN()&gt;=11,COLUMN()&lt;=20),(_xlfn.XLOOKUP($A105,#REF!,#REF!))/SUMIF($A$7:$AC$128,$A105,$AB$6:$AB$127)*J$5,0)</f>
        <v>0</v>
      </c>
      <c r="K105" s="26" t="e">
        <f ca="1">IF(AND(COLUMN()&gt;=11,COLUMN()&lt;=20),(_xlfn.XLOOKUP($A105,#REF!,#REF!))/SUMIF($A$7:$AC$128,$A105,$AB$6:$AB$127)*K$5,0)</f>
        <v>#REF!</v>
      </c>
      <c r="L105" s="26" t="e">
        <f ca="1">IF(AND(COLUMN()&gt;=11,COLUMN()&lt;=20),(_xlfn.XLOOKUP($A105,#REF!,#REF!))/SUMIF($A$7:$AC$128,$A105,$AB$6:$AB$127)*L$5,0)</f>
        <v>#REF!</v>
      </c>
      <c r="M105" s="26" t="e">
        <f ca="1">IF(AND(COLUMN()&gt;=11,COLUMN()&lt;=20),(_xlfn.XLOOKUP($A105,#REF!,#REF!))/SUMIF($A$7:$AC$128,$A105,$AB$6:$AB$127)*M$5,0)</f>
        <v>#REF!</v>
      </c>
      <c r="N105" s="26" t="e">
        <f ca="1">IF(AND(COLUMN()&gt;=11,COLUMN()&lt;=20),(_xlfn.XLOOKUP($A105,#REF!,#REF!))/SUMIF($A$7:$AC$128,$A105,$AB$6:$AB$127)*N$5,0)</f>
        <v>#REF!</v>
      </c>
      <c r="O105" s="26" t="e">
        <f ca="1">IF(AND(COLUMN()&gt;=11,COLUMN()&lt;=20),(_xlfn.XLOOKUP($A105,#REF!,#REF!))/SUMIF($A$7:$AC$128,$A105,$AB$6:$AB$127)*O$5,0)</f>
        <v>#REF!</v>
      </c>
      <c r="P105" s="26" t="e">
        <f ca="1">IF(AND(COLUMN()&gt;=11,COLUMN()&lt;=20),(_xlfn.XLOOKUP($A105,#REF!,#REF!))/SUMIF($A$7:$AC$128,$A105,$AB$6:$AB$127)*P$5,0)</f>
        <v>#REF!</v>
      </c>
      <c r="Q105" s="26" t="e">
        <f ca="1">IF(AND(COLUMN()&gt;=11,COLUMN()&lt;=20),(_xlfn.XLOOKUP($A105,#REF!,#REF!))/SUMIF($A$7:$AC$128,$A105,$AB$6:$AB$127)*Q$5,0)</f>
        <v>#REF!</v>
      </c>
      <c r="R105" s="26" t="e">
        <f ca="1">IF(AND(COLUMN()&gt;=11,COLUMN()&lt;=20),(_xlfn.XLOOKUP($A105,#REF!,#REF!))/SUMIF($A$7:$AC$128,$A105,$AB$6:$AB$127)*R$5,0)</f>
        <v>#REF!</v>
      </c>
      <c r="S105" s="26" t="e">
        <f ca="1">IF(AND(COLUMN()&gt;=11,COLUMN()&lt;=20),(_xlfn.XLOOKUP($A105,#REF!,#REF!))/SUMIF($A$7:$AC$128,$A105,$AB$6:$AB$127)*S$5,0)</f>
        <v>#REF!</v>
      </c>
      <c r="T105" s="26" t="e">
        <f ca="1">IF(AND(COLUMN()&gt;=11,COLUMN()&lt;=20),(_xlfn.XLOOKUP($A105,#REF!,#REF!))/SUMIF($A$7:$AC$128,$A105,$AB$6:$AB$127)*T$5,0)</f>
        <v>#REF!</v>
      </c>
      <c r="U105" s="26">
        <f>IF(AND(COLUMN()&gt;=11,COLUMN()&lt;=20),(_xlfn.XLOOKUP($A105,#REF!,#REF!))/SUMIF($A$7:$AC$128,$A105,$AB$6:$AB$127)*U$5,0)</f>
        <v>0</v>
      </c>
      <c r="V105" s="26">
        <f>IF(AND(COLUMN()&gt;=11,COLUMN()&lt;=20),(_xlfn.XLOOKUP($A105,#REF!,#REF!))/SUMIF($A$7:$AC$128,$A105,$AB$6:$AB$127)*V$5,0)</f>
        <v>0</v>
      </c>
      <c r="W105" s="26">
        <f>IF(AND(COLUMN()&gt;=11,COLUMN()&lt;=20),(_xlfn.XLOOKUP($A105,#REF!,#REF!))/SUMIF($A$7:$AC$128,$A105,$AB$6:$AB$127)*W$5,0)</f>
        <v>0</v>
      </c>
      <c r="X105" s="26">
        <f>IF(AND(COLUMN()&gt;=11,COLUMN()&lt;=20),(_xlfn.XLOOKUP($A105,#REF!,#REF!))/SUMIF($A$7:$AC$128,$A105,$AB$6:$AB$127)*X$5,0)</f>
        <v>0</v>
      </c>
      <c r="Y105" s="26">
        <f>IF(AND(COLUMN()&gt;=11,COLUMN()&lt;=20),(_xlfn.XLOOKUP($A105,#REF!,#REF!))/SUMIF($A$7:$AC$128,$A105,$AB$6:$AB$127)*Y$5,0)</f>
        <v>0</v>
      </c>
      <c r="Z105" s="26">
        <f>IF(AND(COLUMN()&gt;=11,COLUMN()&lt;=20),(_xlfn.XLOOKUP($A105,#REF!,#REF!))/SUMIF($A$7:$AC$128,$A105,$AB$6:$AB$127)*Z$5,0)</f>
        <v>0</v>
      </c>
      <c r="AA105" s="26" t="e">
        <f t="shared" ref="AA105:AA116" ca="1" si="15">SUM(C105:Z105)</f>
        <v>#REF!</v>
      </c>
      <c r="AB105" s="19">
        <f t="shared" si="10"/>
        <v>28</v>
      </c>
      <c r="AC105" s="20" t="e">
        <f t="shared" ca="1" si="11"/>
        <v>#REF!</v>
      </c>
      <c r="AD105" s="30" t="e">
        <f>#REF!/SUMIF(#REF!,'Curva de la oferta Prod 3'!$A105,#REF!)</f>
        <v>#REF!</v>
      </c>
      <c r="AE105" s="28"/>
      <c r="AF105" s="31"/>
      <c r="AG105" s="31"/>
      <c r="AH105" s="31"/>
      <c r="AI105" s="31"/>
      <c r="AJ105" s="31"/>
      <c r="AK105" s="31"/>
    </row>
    <row r="106" spans="1:37" ht="14.5" x14ac:dyDescent="0.35">
      <c r="A106" s="15">
        <f t="shared" si="9"/>
        <v>2034</v>
      </c>
      <c r="B106" s="18">
        <v>49004</v>
      </c>
      <c r="C106" s="26">
        <f>IF(AND(COLUMN()&gt;=11,COLUMN()&lt;=20),(_xlfn.XLOOKUP($A106,#REF!,#REF!))/SUMIF($A$7:$AC$128,$A106,$AB$6:$AB$127)*C$5,0)</f>
        <v>0</v>
      </c>
      <c r="D106" s="26">
        <f>IF(AND(COLUMN()&gt;=11,COLUMN()&lt;=20),(_xlfn.XLOOKUP($A106,#REF!,#REF!))/SUMIF($A$7:$AC$128,$A106,$AB$6:$AB$127)*D$5,0)</f>
        <v>0</v>
      </c>
      <c r="E106" s="26">
        <f>IF(AND(COLUMN()&gt;=11,COLUMN()&lt;=20),(_xlfn.XLOOKUP($A106,#REF!,#REF!))/SUMIF($A$7:$AC$128,$A106,$AB$6:$AB$127)*E$5,0)</f>
        <v>0</v>
      </c>
      <c r="F106" s="26">
        <f>IF(AND(COLUMN()&gt;=11,COLUMN()&lt;=20),(_xlfn.XLOOKUP($A106,#REF!,#REF!))/SUMIF($A$7:$AC$128,$A106,$AB$6:$AB$127)*F$5,0)</f>
        <v>0</v>
      </c>
      <c r="G106" s="26">
        <f>IF(AND(COLUMN()&gt;=11,COLUMN()&lt;=20),(_xlfn.XLOOKUP($A106,#REF!,#REF!))/SUMIF($A$7:$AC$128,$A106,$AB$6:$AB$127)*G$5,0)</f>
        <v>0</v>
      </c>
      <c r="H106" s="26">
        <f>IF(AND(COLUMN()&gt;=11,COLUMN()&lt;=20),(_xlfn.XLOOKUP($A106,#REF!,#REF!))/SUMIF($A$7:$AC$128,$A106,$AB$6:$AB$127)*H$5,0)</f>
        <v>0</v>
      </c>
      <c r="I106" s="26">
        <f>IF(AND(COLUMN()&gt;=11,COLUMN()&lt;=20),(_xlfn.XLOOKUP($A106,#REF!,#REF!))/SUMIF($A$7:$AC$128,$A106,$AB$6:$AB$127)*I$5,0)</f>
        <v>0</v>
      </c>
      <c r="J106" s="26">
        <f>IF(AND(COLUMN()&gt;=11,COLUMN()&lt;=20),(_xlfn.XLOOKUP($A106,#REF!,#REF!))/SUMIF($A$7:$AC$128,$A106,$AB$6:$AB$127)*J$5,0)</f>
        <v>0</v>
      </c>
      <c r="K106" s="26" t="e">
        <f ca="1">IF(AND(COLUMN()&gt;=11,COLUMN()&lt;=20),(_xlfn.XLOOKUP($A106,#REF!,#REF!))/SUMIF($A$7:$AC$128,$A106,$AB$6:$AB$127)*K$5,0)</f>
        <v>#REF!</v>
      </c>
      <c r="L106" s="26" t="e">
        <f ca="1">IF(AND(COLUMN()&gt;=11,COLUMN()&lt;=20),(_xlfn.XLOOKUP($A106,#REF!,#REF!))/SUMIF($A$7:$AC$128,$A106,$AB$6:$AB$127)*L$5,0)</f>
        <v>#REF!</v>
      </c>
      <c r="M106" s="26" t="e">
        <f ca="1">IF(AND(COLUMN()&gt;=11,COLUMN()&lt;=20),(_xlfn.XLOOKUP($A106,#REF!,#REF!))/SUMIF($A$7:$AC$128,$A106,$AB$6:$AB$127)*M$5,0)</f>
        <v>#REF!</v>
      </c>
      <c r="N106" s="26" t="e">
        <f ca="1">IF(AND(COLUMN()&gt;=11,COLUMN()&lt;=20),(_xlfn.XLOOKUP($A106,#REF!,#REF!))/SUMIF($A$7:$AC$128,$A106,$AB$6:$AB$127)*N$5,0)</f>
        <v>#REF!</v>
      </c>
      <c r="O106" s="26" t="e">
        <f ca="1">IF(AND(COLUMN()&gt;=11,COLUMN()&lt;=20),(_xlfn.XLOOKUP($A106,#REF!,#REF!))/SUMIF($A$7:$AC$128,$A106,$AB$6:$AB$127)*O$5,0)</f>
        <v>#REF!</v>
      </c>
      <c r="P106" s="26" t="e">
        <f ca="1">IF(AND(COLUMN()&gt;=11,COLUMN()&lt;=20),(_xlfn.XLOOKUP($A106,#REF!,#REF!))/SUMIF($A$7:$AC$128,$A106,$AB$6:$AB$127)*P$5,0)</f>
        <v>#REF!</v>
      </c>
      <c r="Q106" s="26" t="e">
        <f ca="1">IF(AND(COLUMN()&gt;=11,COLUMN()&lt;=20),(_xlfn.XLOOKUP($A106,#REF!,#REF!))/SUMIF($A$7:$AC$128,$A106,$AB$6:$AB$127)*Q$5,0)</f>
        <v>#REF!</v>
      </c>
      <c r="R106" s="26" t="e">
        <f ca="1">IF(AND(COLUMN()&gt;=11,COLUMN()&lt;=20),(_xlfn.XLOOKUP($A106,#REF!,#REF!))/SUMIF($A$7:$AC$128,$A106,$AB$6:$AB$127)*R$5,0)</f>
        <v>#REF!</v>
      </c>
      <c r="S106" s="26" t="e">
        <f ca="1">IF(AND(COLUMN()&gt;=11,COLUMN()&lt;=20),(_xlfn.XLOOKUP($A106,#REF!,#REF!))/SUMIF($A$7:$AC$128,$A106,$AB$6:$AB$127)*S$5,0)</f>
        <v>#REF!</v>
      </c>
      <c r="T106" s="26" t="e">
        <f ca="1">IF(AND(COLUMN()&gt;=11,COLUMN()&lt;=20),(_xlfn.XLOOKUP($A106,#REF!,#REF!))/SUMIF($A$7:$AC$128,$A106,$AB$6:$AB$127)*T$5,0)</f>
        <v>#REF!</v>
      </c>
      <c r="U106" s="26">
        <f>IF(AND(COLUMN()&gt;=11,COLUMN()&lt;=20),(_xlfn.XLOOKUP($A106,#REF!,#REF!))/SUMIF($A$7:$AC$128,$A106,$AB$6:$AB$127)*U$5,0)</f>
        <v>0</v>
      </c>
      <c r="V106" s="26">
        <f>IF(AND(COLUMN()&gt;=11,COLUMN()&lt;=20),(_xlfn.XLOOKUP($A106,#REF!,#REF!))/SUMIF($A$7:$AC$128,$A106,$AB$6:$AB$127)*V$5,0)</f>
        <v>0</v>
      </c>
      <c r="W106" s="26">
        <f>IF(AND(COLUMN()&gt;=11,COLUMN()&lt;=20),(_xlfn.XLOOKUP($A106,#REF!,#REF!))/SUMIF($A$7:$AC$128,$A106,$AB$6:$AB$127)*W$5,0)</f>
        <v>0</v>
      </c>
      <c r="X106" s="26">
        <f>IF(AND(COLUMN()&gt;=11,COLUMN()&lt;=20),(_xlfn.XLOOKUP($A106,#REF!,#REF!))/SUMIF($A$7:$AC$128,$A106,$AB$6:$AB$127)*X$5,0)</f>
        <v>0</v>
      </c>
      <c r="Y106" s="26">
        <f>IF(AND(COLUMN()&gt;=11,COLUMN()&lt;=20),(_xlfn.XLOOKUP($A106,#REF!,#REF!))/SUMIF($A$7:$AC$128,$A106,$AB$6:$AB$127)*Y$5,0)</f>
        <v>0</v>
      </c>
      <c r="Z106" s="26">
        <f>IF(AND(COLUMN()&gt;=11,COLUMN()&lt;=20),(_xlfn.XLOOKUP($A106,#REF!,#REF!))/SUMIF($A$7:$AC$128,$A106,$AB$6:$AB$127)*Z$5,0)</f>
        <v>0</v>
      </c>
      <c r="AA106" s="26" t="e">
        <f t="shared" ca="1" si="15"/>
        <v>#REF!</v>
      </c>
      <c r="AB106" s="19">
        <f t="shared" si="10"/>
        <v>31</v>
      </c>
      <c r="AC106" s="20" t="e">
        <f t="shared" ca="1" si="11"/>
        <v>#REF!</v>
      </c>
      <c r="AD106" s="30" t="e">
        <f>#REF!/SUMIF(#REF!,'Curva de la oferta Prod 3'!$A106,#REF!)</f>
        <v>#REF!</v>
      </c>
      <c r="AE106" s="28"/>
      <c r="AF106" s="31"/>
      <c r="AG106" s="31"/>
      <c r="AH106" s="31"/>
      <c r="AI106" s="31"/>
      <c r="AJ106" s="31"/>
      <c r="AK106" s="31"/>
    </row>
    <row r="107" spans="1:37" ht="14.5" x14ac:dyDescent="0.35">
      <c r="A107" s="15">
        <f t="shared" si="9"/>
        <v>2034</v>
      </c>
      <c r="B107" s="18">
        <v>49035</v>
      </c>
      <c r="C107" s="26">
        <f>IF(AND(COLUMN()&gt;=11,COLUMN()&lt;=20),(_xlfn.XLOOKUP($A107,#REF!,#REF!))/SUMIF($A$7:$AC$128,$A107,$AB$6:$AB$127)*C$5,0)</f>
        <v>0</v>
      </c>
      <c r="D107" s="26">
        <f>IF(AND(COLUMN()&gt;=11,COLUMN()&lt;=20),(_xlfn.XLOOKUP($A107,#REF!,#REF!))/SUMIF($A$7:$AC$128,$A107,$AB$6:$AB$127)*D$5,0)</f>
        <v>0</v>
      </c>
      <c r="E107" s="26">
        <f>IF(AND(COLUMN()&gt;=11,COLUMN()&lt;=20),(_xlfn.XLOOKUP($A107,#REF!,#REF!))/SUMIF($A$7:$AC$128,$A107,$AB$6:$AB$127)*E$5,0)</f>
        <v>0</v>
      </c>
      <c r="F107" s="26">
        <f>IF(AND(COLUMN()&gt;=11,COLUMN()&lt;=20),(_xlfn.XLOOKUP($A107,#REF!,#REF!))/SUMIF($A$7:$AC$128,$A107,$AB$6:$AB$127)*F$5,0)</f>
        <v>0</v>
      </c>
      <c r="G107" s="26">
        <f>IF(AND(COLUMN()&gt;=11,COLUMN()&lt;=20),(_xlfn.XLOOKUP($A107,#REF!,#REF!))/SUMIF($A$7:$AC$128,$A107,$AB$6:$AB$127)*G$5,0)</f>
        <v>0</v>
      </c>
      <c r="H107" s="26">
        <f>IF(AND(COLUMN()&gt;=11,COLUMN()&lt;=20),(_xlfn.XLOOKUP($A107,#REF!,#REF!))/SUMIF($A$7:$AC$128,$A107,$AB$6:$AB$127)*H$5,0)</f>
        <v>0</v>
      </c>
      <c r="I107" s="26">
        <f>IF(AND(COLUMN()&gt;=11,COLUMN()&lt;=20),(_xlfn.XLOOKUP($A107,#REF!,#REF!))/SUMIF($A$7:$AC$128,$A107,$AB$6:$AB$127)*I$5,0)</f>
        <v>0</v>
      </c>
      <c r="J107" s="26">
        <f>IF(AND(COLUMN()&gt;=11,COLUMN()&lt;=20),(_xlfn.XLOOKUP($A107,#REF!,#REF!))/SUMIF($A$7:$AC$128,$A107,$AB$6:$AB$127)*J$5,0)</f>
        <v>0</v>
      </c>
      <c r="K107" s="26" t="e">
        <f ca="1">IF(AND(COLUMN()&gt;=11,COLUMN()&lt;=20),(_xlfn.XLOOKUP($A107,#REF!,#REF!))/SUMIF($A$7:$AC$128,$A107,$AB$6:$AB$127)*K$5,0)</f>
        <v>#REF!</v>
      </c>
      <c r="L107" s="26" t="e">
        <f ca="1">IF(AND(COLUMN()&gt;=11,COLUMN()&lt;=20),(_xlfn.XLOOKUP($A107,#REF!,#REF!))/SUMIF($A$7:$AC$128,$A107,$AB$6:$AB$127)*L$5,0)</f>
        <v>#REF!</v>
      </c>
      <c r="M107" s="26" t="e">
        <f ca="1">IF(AND(COLUMN()&gt;=11,COLUMN()&lt;=20),(_xlfn.XLOOKUP($A107,#REF!,#REF!))/SUMIF($A$7:$AC$128,$A107,$AB$6:$AB$127)*M$5,0)</f>
        <v>#REF!</v>
      </c>
      <c r="N107" s="26" t="e">
        <f ca="1">IF(AND(COLUMN()&gt;=11,COLUMN()&lt;=20),(_xlfn.XLOOKUP($A107,#REF!,#REF!))/SUMIF($A$7:$AC$128,$A107,$AB$6:$AB$127)*N$5,0)</f>
        <v>#REF!</v>
      </c>
      <c r="O107" s="26" t="e">
        <f ca="1">IF(AND(COLUMN()&gt;=11,COLUMN()&lt;=20),(_xlfn.XLOOKUP($A107,#REF!,#REF!))/SUMIF($A$7:$AC$128,$A107,$AB$6:$AB$127)*O$5,0)</f>
        <v>#REF!</v>
      </c>
      <c r="P107" s="26" t="e">
        <f ca="1">IF(AND(COLUMN()&gt;=11,COLUMN()&lt;=20),(_xlfn.XLOOKUP($A107,#REF!,#REF!))/SUMIF($A$7:$AC$128,$A107,$AB$6:$AB$127)*P$5,0)</f>
        <v>#REF!</v>
      </c>
      <c r="Q107" s="26" t="e">
        <f ca="1">IF(AND(COLUMN()&gt;=11,COLUMN()&lt;=20),(_xlfn.XLOOKUP($A107,#REF!,#REF!))/SUMIF($A$7:$AC$128,$A107,$AB$6:$AB$127)*Q$5,0)</f>
        <v>#REF!</v>
      </c>
      <c r="R107" s="26" t="e">
        <f ca="1">IF(AND(COLUMN()&gt;=11,COLUMN()&lt;=20),(_xlfn.XLOOKUP($A107,#REF!,#REF!))/SUMIF($A$7:$AC$128,$A107,$AB$6:$AB$127)*R$5,0)</f>
        <v>#REF!</v>
      </c>
      <c r="S107" s="26" t="e">
        <f ca="1">IF(AND(COLUMN()&gt;=11,COLUMN()&lt;=20),(_xlfn.XLOOKUP($A107,#REF!,#REF!))/SUMIF($A$7:$AC$128,$A107,$AB$6:$AB$127)*S$5,0)</f>
        <v>#REF!</v>
      </c>
      <c r="T107" s="26" t="e">
        <f ca="1">IF(AND(COLUMN()&gt;=11,COLUMN()&lt;=20),(_xlfn.XLOOKUP($A107,#REF!,#REF!))/SUMIF($A$7:$AC$128,$A107,$AB$6:$AB$127)*T$5,0)</f>
        <v>#REF!</v>
      </c>
      <c r="U107" s="26">
        <f>IF(AND(COLUMN()&gt;=11,COLUMN()&lt;=20),(_xlfn.XLOOKUP($A107,#REF!,#REF!))/SUMIF($A$7:$AC$128,$A107,$AB$6:$AB$127)*U$5,0)</f>
        <v>0</v>
      </c>
      <c r="V107" s="26">
        <f>IF(AND(COLUMN()&gt;=11,COLUMN()&lt;=20),(_xlfn.XLOOKUP($A107,#REF!,#REF!))/SUMIF($A$7:$AC$128,$A107,$AB$6:$AB$127)*V$5,0)</f>
        <v>0</v>
      </c>
      <c r="W107" s="26">
        <f>IF(AND(COLUMN()&gt;=11,COLUMN()&lt;=20),(_xlfn.XLOOKUP($A107,#REF!,#REF!))/SUMIF($A$7:$AC$128,$A107,$AB$6:$AB$127)*W$5,0)</f>
        <v>0</v>
      </c>
      <c r="X107" s="26">
        <f>IF(AND(COLUMN()&gt;=11,COLUMN()&lt;=20),(_xlfn.XLOOKUP($A107,#REF!,#REF!))/SUMIF($A$7:$AC$128,$A107,$AB$6:$AB$127)*X$5,0)</f>
        <v>0</v>
      </c>
      <c r="Y107" s="26">
        <f>IF(AND(COLUMN()&gt;=11,COLUMN()&lt;=20),(_xlfn.XLOOKUP($A107,#REF!,#REF!))/SUMIF($A$7:$AC$128,$A107,$AB$6:$AB$127)*Y$5,0)</f>
        <v>0</v>
      </c>
      <c r="Z107" s="26">
        <f>IF(AND(COLUMN()&gt;=11,COLUMN()&lt;=20),(_xlfn.XLOOKUP($A107,#REF!,#REF!))/SUMIF($A$7:$AC$128,$A107,$AB$6:$AB$127)*Z$5,0)</f>
        <v>0</v>
      </c>
      <c r="AA107" s="26" t="e">
        <f t="shared" ca="1" si="15"/>
        <v>#REF!</v>
      </c>
      <c r="AB107" s="19">
        <f t="shared" si="10"/>
        <v>30</v>
      </c>
      <c r="AC107" s="20" t="e">
        <f t="shared" ca="1" si="11"/>
        <v>#REF!</v>
      </c>
      <c r="AD107" s="30" t="e">
        <f>#REF!/SUMIF(#REF!,'Curva de la oferta Prod 3'!$A107,#REF!)</f>
        <v>#REF!</v>
      </c>
      <c r="AE107" s="28"/>
      <c r="AF107" s="31"/>
      <c r="AG107" s="31"/>
      <c r="AH107" s="31"/>
      <c r="AI107" s="31"/>
      <c r="AJ107" s="31"/>
      <c r="AK107" s="31"/>
    </row>
    <row r="108" spans="1:37" ht="14.5" x14ac:dyDescent="0.35">
      <c r="A108" s="15">
        <f t="shared" si="9"/>
        <v>2034</v>
      </c>
      <c r="B108" s="18">
        <v>49065</v>
      </c>
      <c r="C108" s="26">
        <f>IF(AND(COLUMN()&gt;=11,COLUMN()&lt;=20),(_xlfn.XLOOKUP($A108,#REF!,#REF!))/SUMIF($A$7:$AC$128,$A108,$AB$6:$AB$127)*C$5,0)</f>
        <v>0</v>
      </c>
      <c r="D108" s="26">
        <f>IF(AND(COLUMN()&gt;=11,COLUMN()&lt;=20),(_xlfn.XLOOKUP($A108,#REF!,#REF!))/SUMIF($A$7:$AC$128,$A108,$AB$6:$AB$127)*D$5,0)</f>
        <v>0</v>
      </c>
      <c r="E108" s="26">
        <f>IF(AND(COLUMN()&gt;=11,COLUMN()&lt;=20),(_xlfn.XLOOKUP($A108,#REF!,#REF!))/SUMIF($A$7:$AC$128,$A108,$AB$6:$AB$127)*E$5,0)</f>
        <v>0</v>
      </c>
      <c r="F108" s="26">
        <f>IF(AND(COLUMN()&gt;=11,COLUMN()&lt;=20),(_xlfn.XLOOKUP($A108,#REF!,#REF!))/SUMIF($A$7:$AC$128,$A108,$AB$6:$AB$127)*F$5,0)</f>
        <v>0</v>
      </c>
      <c r="G108" s="26">
        <f>IF(AND(COLUMN()&gt;=11,COLUMN()&lt;=20),(_xlfn.XLOOKUP($A108,#REF!,#REF!))/SUMIF($A$7:$AC$128,$A108,$AB$6:$AB$127)*G$5,0)</f>
        <v>0</v>
      </c>
      <c r="H108" s="26">
        <f>IF(AND(COLUMN()&gt;=11,COLUMN()&lt;=20),(_xlfn.XLOOKUP($A108,#REF!,#REF!))/SUMIF($A$7:$AC$128,$A108,$AB$6:$AB$127)*H$5,0)</f>
        <v>0</v>
      </c>
      <c r="I108" s="26">
        <f>IF(AND(COLUMN()&gt;=11,COLUMN()&lt;=20),(_xlfn.XLOOKUP($A108,#REF!,#REF!))/SUMIF($A$7:$AC$128,$A108,$AB$6:$AB$127)*I$5,0)</f>
        <v>0</v>
      </c>
      <c r="J108" s="26">
        <f>IF(AND(COLUMN()&gt;=11,COLUMN()&lt;=20),(_xlfn.XLOOKUP($A108,#REF!,#REF!))/SUMIF($A$7:$AC$128,$A108,$AB$6:$AB$127)*J$5,0)</f>
        <v>0</v>
      </c>
      <c r="K108" s="26" t="e">
        <f ca="1">IF(AND(COLUMN()&gt;=11,COLUMN()&lt;=20),(_xlfn.XLOOKUP($A108,#REF!,#REF!))/SUMIF($A$7:$AC$128,$A108,$AB$6:$AB$127)*K$5,0)</f>
        <v>#REF!</v>
      </c>
      <c r="L108" s="26" t="e">
        <f ca="1">IF(AND(COLUMN()&gt;=11,COLUMN()&lt;=20),(_xlfn.XLOOKUP($A108,#REF!,#REF!))/SUMIF($A$7:$AC$128,$A108,$AB$6:$AB$127)*L$5,0)</f>
        <v>#REF!</v>
      </c>
      <c r="M108" s="26" t="e">
        <f ca="1">IF(AND(COLUMN()&gt;=11,COLUMN()&lt;=20),(_xlfn.XLOOKUP($A108,#REF!,#REF!))/SUMIF($A$7:$AC$128,$A108,$AB$6:$AB$127)*M$5,0)</f>
        <v>#REF!</v>
      </c>
      <c r="N108" s="26" t="e">
        <f ca="1">IF(AND(COLUMN()&gt;=11,COLUMN()&lt;=20),(_xlfn.XLOOKUP($A108,#REF!,#REF!))/SUMIF($A$7:$AC$128,$A108,$AB$6:$AB$127)*N$5,0)</f>
        <v>#REF!</v>
      </c>
      <c r="O108" s="26" t="e">
        <f ca="1">IF(AND(COLUMN()&gt;=11,COLUMN()&lt;=20),(_xlfn.XLOOKUP($A108,#REF!,#REF!))/SUMIF($A$7:$AC$128,$A108,$AB$6:$AB$127)*O$5,0)</f>
        <v>#REF!</v>
      </c>
      <c r="P108" s="26" t="e">
        <f ca="1">IF(AND(COLUMN()&gt;=11,COLUMN()&lt;=20),(_xlfn.XLOOKUP($A108,#REF!,#REF!))/SUMIF($A$7:$AC$128,$A108,$AB$6:$AB$127)*P$5,0)</f>
        <v>#REF!</v>
      </c>
      <c r="Q108" s="26" t="e">
        <f ca="1">IF(AND(COLUMN()&gt;=11,COLUMN()&lt;=20),(_xlfn.XLOOKUP($A108,#REF!,#REF!))/SUMIF($A$7:$AC$128,$A108,$AB$6:$AB$127)*Q$5,0)</f>
        <v>#REF!</v>
      </c>
      <c r="R108" s="26" t="e">
        <f ca="1">IF(AND(COLUMN()&gt;=11,COLUMN()&lt;=20),(_xlfn.XLOOKUP($A108,#REF!,#REF!))/SUMIF($A$7:$AC$128,$A108,$AB$6:$AB$127)*R$5,0)</f>
        <v>#REF!</v>
      </c>
      <c r="S108" s="26" t="e">
        <f ca="1">IF(AND(COLUMN()&gt;=11,COLUMN()&lt;=20),(_xlfn.XLOOKUP($A108,#REF!,#REF!))/SUMIF($A$7:$AC$128,$A108,$AB$6:$AB$127)*S$5,0)</f>
        <v>#REF!</v>
      </c>
      <c r="T108" s="26" t="e">
        <f ca="1">IF(AND(COLUMN()&gt;=11,COLUMN()&lt;=20),(_xlfn.XLOOKUP($A108,#REF!,#REF!))/SUMIF($A$7:$AC$128,$A108,$AB$6:$AB$127)*T$5,0)</f>
        <v>#REF!</v>
      </c>
      <c r="U108" s="26">
        <f>IF(AND(COLUMN()&gt;=11,COLUMN()&lt;=20),(_xlfn.XLOOKUP($A108,#REF!,#REF!))/SUMIF($A$7:$AC$128,$A108,$AB$6:$AB$127)*U$5,0)</f>
        <v>0</v>
      </c>
      <c r="V108" s="26">
        <f>IF(AND(COLUMN()&gt;=11,COLUMN()&lt;=20),(_xlfn.XLOOKUP($A108,#REF!,#REF!))/SUMIF($A$7:$AC$128,$A108,$AB$6:$AB$127)*V$5,0)</f>
        <v>0</v>
      </c>
      <c r="W108" s="26">
        <f>IF(AND(COLUMN()&gt;=11,COLUMN()&lt;=20),(_xlfn.XLOOKUP($A108,#REF!,#REF!))/SUMIF($A$7:$AC$128,$A108,$AB$6:$AB$127)*W$5,0)</f>
        <v>0</v>
      </c>
      <c r="X108" s="26">
        <f>IF(AND(COLUMN()&gt;=11,COLUMN()&lt;=20),(_xlfn.XLOOKUP($A108,#REF!,#REF!))/SUMIF($A$7:$AC$128,$A108,$AB$6:$AB$127)*X$5,0)</f>
        <v>0</v>
      </c>
      <c r="Y108" s="26">
        <f>IF(AND(COLUMN()&gt;=11,COLUMN()&lt;=20),(_xlfn.XLOOKUP($A108,#REF!,#REF!))/SUMIF($A$7:$AC$128,$A108,$AB$6:$AB$127)*Y$5,0)</f>
        <v>0</v>
      </c>
      <c r="Z108" s="26">
        <f>IF(AND(COLUMN()&gt;=11,COLUMN()&lt;=20),(_xlfn.XLOOKUP($A108,#REF!,#REF!))/SUMIF($A$7:$AC$128,$A108,$AB$6:$AB$127)*Z$5,0)</f>
        <v>0</v>
      </c>
      <c r="AA108" s="26" t="e">
        <f t="shared" ca="1" si="15"/>
        <v>#REF!</v>
      </c>
      <c r="AB108" s="19">
        <f t="shared" si="10"/>
        <v>31</v>
      </c>
      <c r="AC108" s="20" t="e">
        <f t="shared" ca="1" si="11"/>
        <v>#REF!</v>
      </c>
      <c r="AD108" s="30" t="e">
        <f>#REF!/SUMIF(#REF!,'Curva de la oferta Prod 3'!$A108,#REF!)</f>
        <v>#REF!</v>
      </c>
      <c r="AE108" s="28"/>
      <c r="AF108" s="31"/>
      <c r="AG108" s="31"/>
      <c r="AH108" s="31"/>
      <c r="AI108" s="31"/>
      <c r="AJ108" s="31"/>
      <c r="AK108" s="31"/>
    </row>
    <row r="109" spans="1:37" ht="14.5" x14ac:dyDescent="0.35">
      <c r="A109" s="15">
        <f t="shared" si="9"/>
        <v>2034</v>
      </c>
      <c r="B109" s="18">
        <v>49096</v>
      </c>
      <c r="C109" s="26">
        <f>IF(AND(COLUMN()&gt;=11,COLUMN()&lt;=20),(_xlfn.XLOOKUP($A109,#REF!,#REF!))/SUMIF($A$7:$AC$128,$A109,$AB$6:$AB$127)*C$5,0)</f>
        <v>0</v>
      </c>
      <c r="D109" s="26">
        <f>IF(AND(COLUMN()&gt;=11,COLUMN()&lt;=20),(_xlfn.XLOOKUP($A109,#REF!,#REF!))/SUMIF($A$7:$AC$128,$A109,$AB$6:$AB$127)*D$5,0)</f>
        <v>0</v>
      </c>
      <c r="E109" s="26">
        <f>IF(AND(COLUMN()&gt;=11,COLUMN()&lt;=20),(_xlfn.XLOOKUP($A109,#REF!,#REF!))/SUMIF($A$7:$AC$128,$A109,$AB$6:$AB$127)*E$5,0)</f>
        <v>0</v>
      </c>
      <c r="F109" s="26">
        <f>IF(AND(COLUMN()&gt;=11,COLUMN()&lt;=20),(_xlfn.XLOOKUP($A109,#REF!,#REF!))/SUMIF($A$7:$AC$128,$A109,$AB$6:$AB$127)*F$5,0)</f>
        <v>0</v>
      </c>
      <c r="G109" s="26">
        <f>IF(AND(COLUMN()&gt;=11,COLUMN()&lt;=20),(_xlfn.XLOOKUP($A109,#REF!,#REF!))/SUMIF($A$7:$AC$128,$A109,$AB$6:$AB$127)*G$5,0)</f>
        <v>0</v>
      </c>
      <c r="H109" s="26">
        <f>IF(AND(COLUMN()&gt;=11,COLUMN()&lt;=20),(_xlfn.XLOOKUP($A109,#REF!,#REF!))/SUMIF($A$7:$AC$128,$A109,$AB$6:$AB$127)*H$5,0)</f>
        <v>0</v>
      </c>
      <c r="I109" s="26">
        <f>IF(AND(COLUMN()&gt;=11,COLUMN()&lt;=20),(_xlfn.XLOOKUP($A109,#REF!,#REF!))/SUMIF($A$7:$AC$128,$A109,$AB$6:$AB$127)*I$5,0)</f>
        <v>0</v>
      </c>
      <c r="J109" s="26">
        <f>IF(AND(COLUMN()&gt;=11,COLUMN()&lt;=20),(_xlfn.XLOOKUP($A109,#REF!,#REF!))/SUMIF($A$7:$AC$128,$A109,$AB$6:$AB$127)*J$5,0)</f>
        <v>0</v>
      </c>
      <c r="K109" s="26" t="e">
        <f ca="1">IF(AND(COLUMN()&gt;=11,COLUMN()&lt;=20),(_xlfn.XLOOKUP($A109,#REF!,#REF!))/SUMIF($A$7:$AC$128,$A109,$AB$6:$AB$127)*K$5,0)</f>
        <v>#REF!</v>
      </c>
      <c r="L109" s="26" t="e">
        <f ca="1">IF(AND(COLUMN()&gt;=11,COLUMN()&lt;=20),(_xlfn.XLOOKUP($A109,#REF!,#REF!))/SUMIF($A$7:$AC$128,$A109,$AB$6:$AB$127)*L$5,0)</f>
        <v>#REF!</v>
      </c>
      <c r="M109" s="26" t="e">
        <f ca="1">IF(AND(COLUMN()&gt;=11,COLUMN()&lt;=20),(_xlfn.XLOOKUP($A109,#REF!,#REF!))/SUMIF($A$7:$AC$128,$A109,$AB$6:$AB$127)*M$5,0)</f>
        <v>#REF!</v>
      </c>
      <c r="N109" s="26" t="e">
        <f ca="1">IF(AND(COLUMN()&gt;=11,COLUMN()&lt;=20),(_xlfn.XLOOKUP($A109,#REF!,#REF!))/SUMIF($A$7:$AC$128,$A109,$AB$6:$AB$127)*N$5,0)</f>
        <v>#REF!</v>
      </c>
      <c r="O109" s="26" t="e">
        <f ca="1">IF(AND(COLUMN()&gt;=11,COLUMN()&lt;=20),(_xlfn.XLOOKUP($A109,#REF!,#REF!))/SUMIF($A$7:$AC$128,$A109,$AB$6:$AB$127)*O$5,0)</f>
        <v>#REF!</v>
      </c>
      <c r="P109" s="26" t="e">
        <f ca="1">IF(AND(COLUMN()&gt;=11,COLUMN()&lt;=20),(_xlfn.XLOOKUP($A109,#REF!,#REF!))/SUMIF($A$7:$AC$128,$A109,$AB$6:$AB$127)*P$5,0)</f>
        <v>#REF!</v>
      </c>
      <c r="Q109" s="26" t="e">
        <f ca="1">IF(AND(COLUMN()&gt;=11,COLUMN()&lt;=20),(_xlfn.XLOOKUP($A109,#REF!,#REF!))/SUMIF($A$7:$AC$128,$A109,$AB$6:$AB$127)*Q$5,0)</f>
        <v>#REF!</v>
      </c>
      <c r="R109" s="26" t="e">
        <f ca="1">IF(AND(COLUMN()&gt;=11,COLUMN()&lt;=20),(_xlfn.XLOOKUP($A109,#REF!,#REF!))/SUMIF($A$7:$AC$128,$A109,$AB$6:$AB$127)*R$5,0)</f>
        <v>#REF!</v>
      </c>
      <c r="S109" s="26" t="e">
        <f ca="1">IF(AND(COLUMN()&gt;=11,COLUMN()&lt;=20),(_xlfn.XLOOKUP($A109,#REF!,#REF!))/SUMIF($A$7:$AC$128,$A109,$AB$6:$AB$127)*S$5,0)</f>
        <v>#REF!</v>
      </c>
      <c r="T109" s="26" t="e">
        <f ca="1">IF(AND(COLUMN()&gt;=11,COLUMN()&lt;=20),(_xlfn.XLOOKUP($A109,#REF!,#REF!))/SUMIF($A$7:$AC$128,$A109,$AB$6:$AB$127)*T$5,0)</f>
        <v>#REF!</v>
      </c>
      <c r="U109" s="26">
        <f>IF(AND(COLUMN()&gt;=11,COLUMN()&lt;=20),(_xlfn.XLOOKUP($A109,#REF!,#REF!))/SUMIF($A$7:$AC$128,$A109,$AB$6:$AB$127)*U$5,0)</f>
        <v>0</v>
      </c>
      <c r="V109" s="26">
        <f>IF(AND(COLUMN()&gt;=11,COLUMN()&lt;=20),(_xlfn.XLOOKUP($A109,#REF!,#REF!))/SUMIF($A$7:$AC$128,$A109,$AB$6:$AB$127)*V$5,0)</f>
        <v>0</v>
      </c>
      <c r="W109" s="26">
        <f>IF(AND(COLUMN()&gt;=11,COLUMN()&lt;=20),(_xlfn.XLOOKUP($A109,#REF!,#REF!))/SUMIF($A$7:$AC$128,$A109,$AB$6:$AB$127)*W$5,0)</f>
        <v>0</v>
      </c>
      <c r="X109" s="26">
        <f>IF(AND(COLUMN()&gt;=11,COLUMN()&lt;=20),(_xlfn.XLOOKUP($A109,#REF!,#REF!))/SUMIF($A$7:$AC$128,$A109,$AB$6:$AB$127)*X$5,0)</f>
        <v>0</v>
      </c>
      <c r="Y109" s="26">
        <f>IF(AND(COLUMN()&gt;=11,COLUMN()&lt;=20),(_xlfn.XLOOKUP($A109,#REF!,#REF!))/SUMIF($A$7:$AC$128,$A109,$AB$6:$AB$127)*Y$5,0)</f>
        <v>0</v>
      </c>
      <c r="Z109" s="26">
        <f>IF(AND(COLUMN()&gt;=11,COLUMN()&lt;=20),(_xlfn.XLOOKUP($A109,#REF!,#REF!))/SUMIF($A$7:$AC$128,$A109,$AB$6:$AB$127)*Z$5,0)</f>
        <v>0</v>
      </c>
      <c r="AA109" s="26" t="e">
        <f t="shared" ca="1" si="15"/>
        <v>#REF!</v>
      </c>
      <c r="AB109" s="19">
        <f t="shared" si="10"/>
        <v>30</v>
      </c>
      <c r="AC109" s="20" t="e">
        <f t="shared" ca="1" si="11"/>
        <v>#REF!</v>
      </c>
      <c r="AD109" s="30" t="e">
        <f>#REF!/SUMIF(#REF!,'Curva de la oferta Prod 3'!$A109,#REF!)</f>
        <v>#REF!</v>
      </c>
      <c r="AE109" s="28"/>
      <c r="AF109" s="31"/>
      <c r="AG109" s="31"/>
      <c r="AH109" s="31"/>
      <c r="AI109" s="31"/>
      <c r="AJ109" s="31"/>
      <c r="AK109" s="31"/>
    </row>
    <row r="110" spans="1:37" ht="14.5" x14ac:dyDescent="0.35">
      <c r="A110" s="15">
        <f t="shared" si="9"/>
        <v>2034</v>
      </c>
      <c r="B110" s="18">
        <v>49126</v>
      </c>
      <c r="C110" s="26">
        <f>IF(AND(COLUMN()&gt;=11,COLUMN()&lt;=20),(_xlfn.XLOOKUP($A110,#REF!,#REF!))/SUMIF($A$7:$AC$128,$A110,$AB$6:$AB$127)*C$5,0)</f>
        <v>0</v>
      </c>
      <c r="D110" s="26">
        <f>IF(AND(COLUMN()&gt;=11,COLUMN()&lt;=20),(_xlfn.XLOOKUP($A110,#REF!,#REF!))/SUMIF($A$7:$AC$128,$A110,$AB$6:$AB$127)*D$5,0)</f>
        <v>0</v>
      </c>
      <c r="E110" s="26">
        <f>IF(AND(COLUMN()&gt;=11,COLUMN()&lt;=20),(_xlfn.XLOOKUP($A110,#REF!,#REF!))/SUMIF($A$7:$AC$128,$A110,$AB$6:$AB$127)*E$5,0)</f>
        <v>0</v>
      </c>
      <c r="F110" s="26">
        <f>IF(AND(COLUMN()&gt;=11,COLUMN()&lt;=20),(_xlfn.XLOOKUP($A110,#REF!,#REF!))/SUMIF($A$7:$AC$128,$A110,$AB$6:$AB$127)*F$5,0)</f>
        <v>0</v>
      </c>
      <c r="G110" s="26">
        <f>IF(AND(COLUMN()&gt;=11,COLUMN()&lt;=20),(_xlfn.XLOOKUP($A110,#REF!,#REF!))/SUMIF($A$7:$AC$128,$A110,$AB$6:$AB$127)*G$5,0)</f>
        <v>0</v>
      </c>
      <c r="H110" s="26">
        <f>IF(AND(COLUMN()&gt;=11,COLUMN()&lt;=20),(_xlfn.XLOOKUP($A110,#REF!,#REF!))/SUMIF($A$7:$AC$128,$A110,$AB$6:$AB$127)*H$5,0)</f>
        <v>0</v>
      </c>
      <c r="I110" s="26">
        <f>IF(AND(COLUMN()&gt;=11,COLUMN()&lt;=20),(_xlfn.XLOOKUP($A110,#REF!,#REF!))/SUMIF($A$7:$AC$128,$A110,$AB$6:$AB$127)*I$5,0)</f>
        <v>0</v>
      </c>
      <c r="J110" s="26">
        <f>IF(AND(COLUMN()&gt;=11,COLUMN()&lt;=20),(_xlfn.XLOOKUP($A110,#REF!,#REF!))/SUMIF($A$7:$AC$128,$A110,$AB$6:$AB$127)*J$5,0)</f>
        <v>0</v>
      </c>
      <c r="K110" s="26" t="e">
        <f ca="1">IF(AND(COLUMN()&gt;=11,COLUMN()&lt;=20),(_xlfn.XLOOKUP($A110,#REF!,#REF!))/SUMIF($A$7:$AC$128,$A110,$AB$6:$AB$127)*K$5,0)</f>
        <v>#REF!</v>
      </c>
      <c r="L110" s="26" t="e">
        <f ca="1">IF(AND(COLUMN()&gt;=11,COLUMN()&lt;=20),(_xlfn.XLOOKUP($A110,#REF!,#REF!))/SUMIF($A$7:$AC$128,$A110,$AB$6:$AB$127)*L$5,0)</f>
        <v>#REF!</v>
      </c>
      <c r="M110" s="26" t="e">
        <f ca="1">IF(AND(COLUMN()&gt;=11,COLUMN()&lt;=20),(_xlfn.XLOOKUP($A110,#REF!,#REF!))/SUMIF($A$7:$AC$128,$A110,$AB$6:$AB$127)*M$5,0)</f>
        <v>#REF!</v>
      </c>
      <c r="N110" s="26" t="e">
        <f ca="1">IF(AND(COLUMN()&gt;=11,COLUMN()&lt;=20),(_xlfn.XLOOKUP($A110,#REF!,#REF!))/SUMIF($A$7:$AC$128,$A110,$AB$6:$AB$127)*N$5,0)</f>
        <v>#REF!</v>
      </c>
      <c r="O110" s="26" t="e">
        <f ca="1">IF(AND(COLUMN()&gt;=11,COLUMN()&lt;=20),(_xlfn.XLOOKUP($A110,#REF!,#REF!))/SUMIF($A$7:$AC$128,$A110,$AB$6:$AB$127)*O$5,0)</f>
        <v>#REF!</v>
      </c>
      <c r="P110" s="26" t="e">
        <f ca="1">IF(AND(COLUMN()&gt;=11,COLUMN()&lt;=20),(_xlfn.XLOOKUP($A110,#REF!,#REF!))/SUMIF($A$7:$AC$128,$A110,$AB$6:$AB$127)*P$5,0)</f>
        <v>#REF!</v>
      </c>
      <c r="Q110" s="26" t="e">
        <f ca="1">IF(AND(COLUMN()&gt;=11,COLUMN()&lt;=20),(_xlfn.XLOOKUP($A110,#REF!,#REF!))/SUMIF($A$7:$AC$128,$A110,$AB$6:$AB$127)*Q$5,0)</f>
        <v>#REF!</v>
      </c>
      <c r="R110" s="26" t="e">
        <f ca="1">IF(AND(COLUMN()&gt;=11,COLUMN()&lt;=20),(_xlfn.XLOOKUP($A110,#REF!,#REF!))/SUMIF($A$7:$AC$128,$A110,$AB$6:$AB$127)*R$5,0)</f>
        <v>#REF!</v>
      </c>
      <c r="S110" s="26" t="e">
        <f ca="1">IF(AND(COLUMN()&gt;=11,COLUMN()&lt;=20),(_xlfn.XLOOKUP($A110,#REF!,#REF!))/SUMIF($A$7:$AC$128,$A110,$AB$6:$AB$127)*S$5,0)</f>
        <v>#REF!</v>
      </c>
      <c r="T110" s="26" t="e">
        <f ca="1">IF(AND(COLUMN()&gt;=11,COLUMN()&lt;=20),(_xlfn.XLOOKUP($A110,#REF!,#REF!))/SUMIF($A$7:$AC$128,$A110,$AB$6:$AB$127)*T$5,0)</f>
        <v>#REF!</v>
      </c>
      <c r="U110" s="26">
        <f>IF(AND(COLUMN()&gt;=11,COLUMN()&lt;=20),(_xlfn.XLOOKUP($A110,#REF!,#REF!))/SUMIF($A$7:$AC$128,$A110,$AB$6:$AB$127)*U$5,0)</f>
        <v>0</v>
      </c>
      <c r="V110" s="26">
        <f>IF(AND(COLUMN()&gt;=11,COLUMN()&lt;=20),(_xlfn.XLOOKUP($A110,#REF!,#REF!))/SUMIF($A$7:$AC$128,$A110,$AB$6:$AB$127)*V$5,0)</f>
        <v>0</v>
      </c>
      <c r="W110" s="26">
        <f>IF(AND(COLUMN()&gt;=11,COLUMN()&lt;=20),(_xlfn.XLOOKUP($A110,#REF!,#REF!))/SUMIF($A$7:$AC$128,$A110,$AB$6:$AB$127)*W$5,0)</f>
        <v>0</v>
      </c>
      <c r="X110" s="26">
        <f>IF(AND(COLUMN()&gt;=11,COLUMN()&lt;=20),(_xlfn.XLOOKUP($A110,#REF!,#REF!))/SUMIF($A$7:$AC$128,$A110,$AB$6:$AB$127)*X$5,0)</f>
        <v>0</v>
      </c>
      <c r="Y110" s="26">
        <f>IF(AND(COLUMN()&gt;=11,COLUMN()&lt;=20),(_xlfn.XLOOKUP($A110,#REF!,#REF!))/SUMIF($A$7:$AC$128,$A110,$AB$6:$AB$127)*Y$5,0)</f>
        <v>0</v>
      </c>
      <c r="Z110" s="26">
        <f>IF(AND(COLUMN()&gt;=11,COLUMN()&lt;=20),(_xlfn.XLOOKUP($A110,#REF!,#REF!))/SUMIF($A$7:$AC$128,$A110,$AB$6:$AB$127)*Z$5,0)</f>
        <v>0</v>
      </c>
      <c r="AA110" s="26" t="e">
        <f t="shared" ca="1" si="15"/>
        <v>#REF!</v>
      </c>
      <c r="AB110" s="19">
        <f t="shared" si="10"/>
        <v>31</v>
      </c>
      <c r="AC110" s="20" t="e">
        <f t="shared" ca="1" si="11"/>
        <v>#REF!</v>
      </c>
      <c r="AD110" s="30" t="e">
        <f>#REF!/SUMIF(#REF!,'Curva de la oferta Prod 3'!$A110,#REF!)</f>
        <v>#REF!</v>
      </c>
      <c r="AE110" s="28"/>
      <c r="AF110" s="31"/>
      <c r="AG110" s="31"/>
      <c r="AH110" s="31"/>
      <c r="AI110" s="31"/>
      <c r="AJ110" s="31"/>
      <c r="AK110" s="31"/>
    </row>
    <row r="111" spans="1:37" ht="14.5" x14ac:dyDescent="0.35">
      <c r="A111" s="15">
        <f t="shared" si="9"/>
        <v>2034</v>
      </c>
      <c r="B111" s="18">
        <v>49157</v>
      </c>
      <c r="C111" s="26">
        <f>IF(AND(COLUMN()&gt;=11,COLUMN()&lt;=20),(_xlfn.XLOOKUP($A111,#REF!,#REF!))/SUMIF($A$7:$AC$128,$A111,$AB$6:$AB$127)*C$5,0)</f>
        <v>0</v>
      </c>
      <c r="D111" s="26">
        <f>IF(AND(COLUMN()&gt;=11,COLUMN()&lt;=20),(_xlfn.XLOOKUP($A111,#REF!,#REF!))/SUMIF($A$7:$AC$128,$A111,$AB$6:$AB$127)*D$5,0)</f>
        <v>0</v>
      </c>
      <c r="E111" s="26">
        <f>IF(AND(COLUMN()&gt;=11,COLUMN()&lt;=20),(_xlfn.XLOOKUP($A111,#REF!,#REF!))/SUMIF($A$7:$AC$128,$A111,$AB$6:$AB$127)*E$5,0)</f>
        <v>0</v>
      </c>
      <c r="F111" s="26">
        <f>IF(AND(COLUMN()&gt;=11,COLUMN()&lt;=20),(_xlfn.XLOOKUP($A111,#REF!,#REF!))/SUMIF($A$7:$AC$128,$A111,$AB$6:$AB$127)*F$5,0)</f>
        <v>0</v>
      </c>
      <c r="G111" s="26">
        <f>IF(AND(COLUMN()&gt;=11,COLUMN()&lt;=20),(_xlfn.XLOOKUP($A111,#REF!,#REF!))/SUMIF($A$7:$AC$128,$A111,$AB$6:$AB$127)*G$5,0)</f>
        <v>0</v>
      </c>
      <c r="H111" s="26">
        <f>IF(AND(COLUMN()&gt;=11,COLUMN()&lt;=20),(_xlfn.XLOOKUP($A111,#REF!,#REF!))/SUMIF($A$7:$AC$128,$A111,$AB$6:$AB$127)*H$5,0)</f>
        <v>0</v>
      </c>
      <c r="I111" s="26">
        <f>IF(AND(COLUMN()&gt;=11,COLUMN()&lt;=20),(_xlfn.XLOOKUP($A111,#REF!,#REF!))/SUMIF($A$7:$AC$128,$A111,$AB$6:$AB$127)*I$5,0)</f>
        <v>0</v>
      </c>
      <c r="J111" s="26">
        <f>IF(AND(COLUMN()&gt;=11,COLUMN()&lt;=20),(_xlfn.XLOOKUP($A111,#REF!,#REF!))/SUMIF($A$7:$AC$128,$A111,$AB$6:$AB$127)*J$5,0)</f>
        <v>0</v>
      </c>
      <c r="K111" s="26" t="e">
        <f ca="1">IF(AND(COLUMN()&gt;=11,COLUMN()&lt;=20),(_xlfn.XLOOKUP($A111,#REF!,#REF!))/SUMIF($A$7:$AC$128,$A111,$AB$6:$AB$127)*K$5,0)</f>
        <v>#REF!</v>
      </c>
      <c r="L111" s="26" t="e">
        <f ca="1">IF(AND(COLUMN()&gt;=11,COLUMN()&lt;=20),(_xlfn.XLOOKUP($A111,#REF!,#REF!))/SUMIF($A$7:$AC$128,$A111,$AB$6:$AB$127)*L$5,0)</f>
        <v>#REF!</v>
      </c>
      <c r="M111" s="26" t="e">
        <f ca="1">IF(AND(COLUMN()&gt;=11,COLUMN()&lt;=20),(_xlfn.XLOOKUP($A111,#REF!,#REF!))/SUMIF($A$7:$AC$128,$A111,$AB$6:$AB$127)*M$5,0)</f>
        <v>#REF!</v>
      </c>
      <c r="N111" s="26" t="e">
        <f ca="1">IF(AND(COLUMN()&gt;=11,COLUMN()&lt;=20),(_xlfn.XLOOKUP($A111,#REF!,#REF!))/SUMIF($A$7:$AC$128,$A111,$AB$6:$AB$127)*N$5,0)</f>
        <v>#REF!</v>
      </c>
      <c r="O111" s="26" t="e">
        <f ca="1">IF(AND(COLUMN()&gt;=11,COLUMN()&lt;=20),(_xlfn.XLOOKUP($A111,#REF!,#REF!))/SUMIF($A$7:$AC$128,$A111,$AB$6:$AB$127)*O$5,0)</f>
        <v>#REF!</v>
      </c>
      <c r="P111" s="26" t="e">
        <f ca="1">IF(AND(COLUMN()&gt;=11,COLUMN()&lt;=20),(_xlfn.XLOOKUP($A111,#REF!,#REF!))/SUMIF($A$7:$AC$128,$A111,$AB$6:$AB$127)*P$5,0)</f>
        <v>#REF!</v>
      </c>
      <c r="Q111" s="26" t="e">
        <f ca="1">IF(AND(COLUMN()&gt;=11,COLUMN()&lt;=20),(_xlfn.XLOOKUP($A111,#REF!,#REF!))/SUMIF($A$7:$AC$128,$A111,$AB$6:$AB$127)*Q$5,0)</f>
        <v>#REF!</v>
      </c>
      <c r="R111" s="26" t="e">
        <f ca="1">IF(AND(COLUMN()&gt;=11,COLUMN()&lt;=20),(_xlfn.XLOOKUP($A111,#REF!,#REF!))/SUMIF($A$7:$AC$128,$A111,$AB$6:$AB$127)*R$5,0)</f>
        <v>#REF!</v>
      </c>
      <c r="S111" s="26" t="e">
        <f ca="1">IF(AND(COLUMN()&gt;=11,COLUMN()&lt;=20),(_xlfn.XLOOKUP($A111,#REF!,#REF!))/SUMIF($A$7:$AC$128,$A111,$AB$6:$AB$127)*S$5,0)</f>
        <v>#REF!</v>
      </c>
      <c r="T111" s="26" t="e">
        <f ca="1">IF(AND(COLUMN()&gt;=11,COLUMN()&lt;=20),(_xlfn.XLOOKUP($A111,#REF!,#REF!))/SUMIF($A$7:$AC$128,$A111,$AB$6:$AB$127)*T$5,0)</f>
        <v>#REF!</v>
      </c>
      <c r="U111" s="26">
        <f>IF(AND(COLUMN()&gt;=11,COLUMN()&lt;=20),(_xlfn.XLOOKUP($A111,#REF!,#REF!))/SUMIF($A$7:$AC$128,$A111,$AB$6:$AB$127)*U$5,0)</f>
        <v>0</v>
      </c>
      <c r="V111" s="26">
        <f>IF(AND(COLUMN()&gt;=11,COLUMN()&lt;=20),(_xlfn.XLOOKUP($A111,#REF!,#REF!))/SUMIF($A$7:$AC$128,$A111,$AB$6:$AB$127)*V$5,0)</f>
        <v>0</v>
      </c>
      <c r="W111" s="26">
        <f>IF(AND(COLUMN()&gt;=11,COLUMN()&lt;=20),(_xlfn.XLOOKUP($A111,#REF!,#REF!))/SUMIF($A$7:$AC$128,$A111,$AB$6:$AB$127)*W$5,0)</f>
        <v>0</v>
      </c>
      <c r="X111" s="26">
        <f>IF(AND(COLUMN()&gt;=11,COLUMN()&lt;=20),(_xlfn.XLOOKUP($A111,#REF!,#REF!))/SUMIF($A$7:$AC$128,$A111,$AB$6:$AB$127)*X$5,0)</f>
        <v>0</v>
      </c>
      <c r="Y111" s="26">
        <f>IF(AND(COLUMN()&gt;=11,COLUMN()&lt;=20),(_xlfn.XLOOKUP($A111,#REF!,#REF!))/SUMIF($A$7:$AC$128,$A111,$AB$6:$AB$127)*Y$5,0)</f>
        <v>0</v>
      </c>
      <c r="Z111" s="26">
        <f>IF(AND(COLUMN()&gt;=11,COLUMN()&lt;=20),(_xlfn.XLOOKUP($A111,#REF!,#REF!))/SUMIF($A$7:$AC$128,$A111,$AB$6:$AB$127)*Z$5,0)</f>
        <v>0</v>
      </c>
      <c r="AA111" s="26" t="e">
        <f t="shared" ca="1" si="15"/>
        <v>#REF!</v>
      </c>
      <c r="AB111" s="19">
        <f t="shared" si="10"/>
        <v>31</v>
      </c>
      <c r="AC111" s="20" t="e">
        <f t="shared" ca="1" si="11"/>
        <v>#REF!</v>
      </c>
      <c r="AD111" s="30" t="e">
        <f>#REF!/SUMIF(#REF!,'Curva de la oferta Prod 3'!$A111,#REF!)</f>
        <v>#REF!</v>
      </c>
      <c r="AE111" s="28"/>
      <c r="AF111" s="31"/>
      <c r="AG111" s="31"/>
      <c r="AH111" s="31"/>
      <c r="AI111" s="31"/>
      <c r="AJ111" s="31"/>
      <c r="AK111" s="31"/>
    </row>
    <row r="112" spans="1:37" ht="14.5" x14ac:dyDescent="0.35">
      <c r="A112" s="15">
        <f t="shared" si="9"/>
        <v>2034</v>
      </c>
      <c r="B112" s="18">
        <v>49188</v>
      </c>
      <c r="C112" s="26">
        <f>IF(AND(COLUMN()&gt;=11,COLUMN()&lt;=20),(_xlfn.XLOOKUP($A112,#REF!,#REF!))/SUMIF($A$7:$AC$128,$A112,$AB$6:$AB$127)*C$5,0)</f>
        <v>0</v>
      </c>
      <c r="D112" s="26">
        <f>IF(AND(COLUMN()&gt;=11,COLUMN()&lt;=20),(_xlfn.XLOOKUP($A112,#REF!,#REF!))/SUMIF($A$7:$AC$128,$A112,$AB$6:$AB$127)*D$5,0)</f>
        <v>0</v>
      </c>
      <c r="E112" s="26">
        <f>IF(AND(COLUMN()&gt;=11,COLUMN()&lt;=20),(_xlfn.XLOOKUP($A112,#REF!,#REF!))/SUMIF($A$7:$AC$128,$A112,$AB$6:$AB$127)*E$5,0)</f>
        <v>0</v>
      </c>
      <c r="F112" s="26">
        <f>IF(AND(COLUMN()&gt;=11,COLUMN()&lt;=20),(_xlfn.XLOOKUP($A112,#REF!,#REF!))/SUMIF($A$7:$AC$128,$A112,$AB$6:$AB$127)*F$5,0)</f>
        <v>0</v>
      </c>
      <c r="G112" s="26">
        <f>IF(AND(COLUMN()&gt;=11,COLUMN()&lt;=20),(_xlfn.XLOOKUP($A112,#REF!,#REF!))/SUMIF($A$7:$AC$128,$A112,$AB$6:$AB$127)*G$5,0)</f>
        <v>0</v>
      </c>
      <c r="H112" s="26">
        <f>IF(AND(COLUMN()&gt;=11,COLUMN()&lt;=20),(_xlfn.XLOOKUP($A112,#REF!,#REF!))/SUMIF($A$7:$AC$128,$A112,$AB$6:$AB$127)*H$5,0)</f>
        <v>0</v>
      </c>
      <c r="I112" s="26">
        <f>IF(AND(COLUMN()&gt;=11,COLUMN()&lt;=20),(_xlfn.XLOOKUP($A112,#REF!,#REF!))/SUMIF($A$7:$AC$128,$A112,$AB$6:$AB$127)*I$5,0)</f>
        <v>0</v>
      </c>
      <c r="J112" s="26">
        <f>IF(AND(COLUMN()&gt;=11,COLUMN()&lt;=20),(_xlfn.XLOOKUP($A112,#REF!,#REF!))/SUMIF($A$7:$AC$128,$A112,$AB$6:$AB$127)*J$5,0)</f>
        <v>0</v>
      </c>
      <c r="K112" s="26" t="e">
        <f ca="1">IF(AND(COLUMN()&gt;=11,COLUMN()&lt;=20),(_xlfn.XLOOKUP($A112,#REF!,#REF!))/SUMIF($A$7:$AC$128,$A112,$AB$6:$AB$127)*K$5,0)</f>
        <v>#REF!</v>
      </c>
      <c r="L112" s="26" t="e">
        <f ca="1">IF(AND(COLUMN()&gt;=11,COLUMN()&lt;=20),(_xlfn.XLOOKUP($A112,#REF!,#REF!))/SUMIF($A$7:$AC$128,$A112,$AB$6:$AB$127)*L$5,0)</f>
        <v>#REF!</v>
      </c>
      <c r="M112" s="26" t="e">
        <f ca="1">IF(AND(COLUMN()&gt;=11,COLUMN()&lt;=20),(_xlfn.XLOOKUP($A112,#REF!,#REF!))/SUMIF($A$7:$AC$128,$A112,$AB$6:$AB$127)*M$5,0)</f>
        <v>#REF!</v>
      </c>
      <c r="N112" s="26" t="e">
        <f ca="1">IF(AND(COLUMN()&gt;=11,COLUMN()&lt;=20),(_xlfn.XLOOKUP($A112,#REF!,#REF!))/SUMIF($A$7:$AC$128,$A112,$AB$6:$AB$127)*N$5,0)</f>
        <v>#REF!</v>
      </c>
      <c r="O112" s="26" t="e">
        <f ca="1">IF(AND(COLUMN()&gt;=11,COLUMN()&lt;=20),(_xlfn.XLOOKUP($A112,#REF!,#REF!))/SUMIF($A$7:$AC$128,$A112,$AB$6:$AB$127)*O$5,0)</f>
        <v>#REF!</v>
      </c>
      <c r="P112" s="26" t="e">
        <f ca="1">IF(AND(COLUMN()&gt;=11,COLUMN()&lt;=20),(_xlfn.XLOOKUP($A112,#REF!,#REF!))/SUMIF($A$7:$AC$128,$A112,$AB$6:$AB$127)*P$5,0)</f>
        <v>#REF!</v>
      </c>
      <c r="Q112" s="26" t="e">
        <f ca="1">IF(AND(COLUMN()&gt;=11,COLUMN()&lt;=20),(_xlfn.XLOOKUP($A112,#REF!,#REF!))/SUMIF($A$7:$AC$128,$A112,$AB$6:$AB$127)*Q$5,0)</f>
        <v>#REF!</v>
      </c>
      <c r="R112" s="26" t="e">
        <f ca="1">IF(AND(COLUMN()&gt;=11,COLUMN()&lt;=20),(_xlfn.XLOOKUP($A112,#REF!,#REF!))/SUMIF($A$7:$AC$128,$A112,$AB$6:$AB$127)*R$5,0)</f>
        <v>#REF!</v>
      </c>
      <c r="S112" s="26" t="e">
        <f ca="1">IF(AND(COLUMN()&gt;=11,COLUMN()&lt;=20),(_xlfn.XLOOKUP($A112,#REF!,#REF!))/SUMIF($A$7:$AC$128,$A112,$AB$6:$AB$127)*S$5,0)</f>
        <v>#REF!</v>
      </c>
      <c r="T112" s="26" t="e">
        <f ca="1">IF(AND(COLUMN()&gt;=11,COLUMN()&lt;=20),(_xlfn.XLOOKUP($A112,#REF!,#REF!))/SUMIF($A$7:$AC$128,$A112,$AB$6:$AB$127)*T$5,0)</f>
        <v>#REF!</v>
      </c>
      <c r="U112" s="26">
        <f>IF(AND(COLUMN()&gt;=11,COLUMN()&lt;=20),(_xlfn.XLOOKUP($A112,#REF!,#REF!))/SUMIF($A$7:$AC$128,$A112,$AB$6:$AB$127)*U$5,0)</f>
        <v>0</v>
      </c>
      <c r="V112" s="26">
        <f>IF(AND(COLUMN()&gt;=11,COLUMN()&lt;=20),(_xlfn.XLOOKUP($A112,#REF!,#REF!))/SUMIF($A$7:$AC$128,$A112,$AB$6:$AB$127)*V$5,0)</f>
        <v>0</v>
      </c>
      <c r="W112" s="26">
        <f>IF(AND(COLUMN()&gt;=11,COLUMN()&lt;=20),(_xlfn.XLOOKUP($A112,#REF!,#REF!))/SUMIF($A$7:$AC$128,$A112,$AB$6:$AB$127)*W$5,0)</f>
        <v>0</v>
      </c>
      <c r="X112" s="26">
        <f>IF(AND(COLUMN()&gt;=11,COLUMN()&lt;=20),(_xlfn.XLOOKUP($A112,#REF!,#REF!))/SUMIF($A$7:$AC$128,$A112,$AB$6:$AB$127)*X$5,0)</f>
        <v>0</v>
      </c>
      <c r="Y112" s="26">
        <f>IF(AND(COLUMN()&gt;=11,COLUMN()&lt;=20),(_xlfn.XLOOKUP($A112,#REF!,#REF!))/SUMIF($A$7:$AC$128,$A112,$AB$6:$AB$127)*Y$5,0)</f>
        <v>0</v>
      </c>
      <c r="Z112" s="26">
        <f>IF(AND(COLUMN()&gt;=11,COLUMN()&lt;=20),(_xlfn.XLOOKUP($A112,#REF!,#REF!))/SUMIF($A$7:$AC$128,$A112,$AB$6:$AB$127)*Z$5,0)</f>
        <v>0</v>
      </c>
      <c r="AA112" s="26" t="e">
        <f t="shared" ca="1" si="15"/>
        <v>#REF!</v>
      </c>
      <c r="AB112" s="19">
        <f t="shared" si="10"/>
        <v>30</v>
      </c>
      <c r="AC112" s="20" t="e">
        <f t="shared" ca="1" si="11"/>
        <v>#REF!</v>
      </c>
      <c r="AD112" s="30" t="e">
        <f>#REF!/SUMIF(#REF!,'Curva de la oferta Prod 3'!$A112,#REF!)</f>
        <v>#REF!</v>
      </c>
      <c r="AE112" s="28"/>
      <c r="AF112" s="31"/>
      <c r="AG112" s="31"/>
      <c r="AH112" s="31"/>
      <c r="AI112" s="31"/>
      <c r="AJ112" s="31"/>
      <c r="AK112" s="31"/>
    </row>
    <row r="113" spans="1:37" ht="14.5" x14ac:dyDescent="0.35">
      <c r="A113" s="15">
        <f t="shared" si="9"/>
        <v>2034</v>
      </c>
      <c r="B113" s="18">
        <v>49218</v>
      </c>
      <c r="C113" s="26">
        <f>IF(AND(COLUMN()&gt;=11,COLUMN()&lt;=20),(_xlfn.XLOOKUP($A113,#REF!,#REF!))/SUMIF($A$7:$AC$128,$A113,$AB$6:$AB$127)*C$5,0)</f>
        <v>0</v>
      </c>
      <c r="D113" s="26">
        <f>IF(AND(COLUMN()&gt;=11,COLUMN()&lt;=20),(_xlfn.XLOOKUP($A113,#REF!,#REF!))/SUMIF($A$7:$AC$128,$A113,$AB$6:$AB$127)*D$5,0)</f>
        <v>0</v>
      </c>
      <c r="E113" s="26">
        <f>IF(AND(COLUMN()&gt;=11,COLUMN()&lt;=20),(_xlfn.XLOOKUP($A113,#REF!,#REF!))/SUMIF($A$7:$AC$128,$A113,$AB$6:$AB$127)*E$5,0)</f>
        <v>0</v>
      </c>
      <c r="F113" s="26">
        <f>IF(AND(COLUMN()&gt;=11,COLUMN()&lt;=20),(_xlfn.XLOOKUP($A113,#REF!,#REF!))/SUMIF($A$7:$AC$128,$A113,$AB$6:$AB$127)*F$5,0)</f>
        <v>0</v>
      </c>
      <c r="G113" s="26">
        <f>IF(AND(COLUMN()&gt;=11,COLUMN()&lt;=20),(_xlfn.XLOOKUP($A113,#REF!,#REF!))/SUMIF($A$7:$AC$128,$A113,$AB$6:$AB$127)*G$5,0)</f>
        <v>0</v>
      </c>
      <c r="H113" s="26">
        <f>IF(AND(COLUMN()&gt;=11,COLUMN()&lt;=20),(_xlfn.XLOOKUP($A113,#REF!,#REF!))/SUMIF($A$7:$AC$128,$A113,$AB$6:$AB$127)*H$5,0)</f>
        <v>0</v>
      </c>
      <c r="I113" s="26">
        <f>IF(AND(COLUMN()&gt;=11,COLUMN()&lt;=20),(_xlfn.XLOOKUP($A113,#REF!,#REF!))/SUMIF($A$7:$AC$128,$A113,$AB$6:$AB$127)*I$5,0)</f>
        <v>0</v>
      </c>
      <c r="J113" s="26">
        <f>IF(AND(COLUMN()&gt;=11,COLUMN()&lt;=20),(_xlfn.XLOOKUP($A113,#REF!,#REF!))/SUMIF($A$7:$AC$128,$A113,$AB$6:$AB$127)*J$5,0)</f>
        <v>0</v>
      </c>
      <c r="K113" s="26" t="e">
        <f ca="1">IF(AND(COLUMN()&gt;=11,COLUMN()&lt;=20),(_xlfn.XLOOKUP($A113,#REF!,#REF!))/SUMIF($A$7:$AC$128,$A113,$AB$6:$AB$127)*K$5,0)</f>
        <v>#REF!</v>
      </c>
      <c r="L113" s="26" t="e">
        <f ca="1">IF(AND(COLUMN()&gt;=11,COLUMN()&lt;=20),(_xlfn.XLOOKUP($A113,#REF!,#REF!))/SUMIF($A$7:$AC$128,$A113,$AB$6:$AB$127)*L$5,0)</f>
        <v>#REF!</v>
      </c>
      <c r="M113" s="26" t="e">
        <f ca="1">IF(AND(COLUMN()&gt;=11,COLUMN()&lt;=20),(_xlfn.XLOOKUP($A113,#REF!,#REF!))/SUMIF($A$7:$AC$128,$A113,$AB$6:$AB$127)*M$5,0)</f>
        <v>#REF!</v>
      </c>
      <c r="N113" s="26" t="e">
        <f ca="1">IF(AND(COLUMN()&gt;=11,COLUMN()&lt;=20),(_xlfn.XLOOKUP($A113,#REF!,#REF!))/SUMIF($A$7:$AC$128,$A113,$AB$6:$AB$127)*N$5,0)</f>
        <v>#REF!</v>
      </c>
      <c r="O113" s="26" t="e">
        <f ca="1">IF(AND(COLUMN()&gt;=11,COLUMN()&lt;=20),(_xlfn.XLOOKUP($A113,#REF!,#REF!))/SUMIF($A$7:$AC$128,$A113,$AB$6:$AB$127)*O$5,0)</f>
        <v>#REF!</v>
      </c>
      <c r="P113" s="26" t="e">
        <f ca="1">IF(AND(COLUMN()&gt;=11,COLUMN()&lt;=20),(_xlfn.XLOOKUP($A113,#REF!,#REF!))/SUMIF($A$7:$AC$128,$A113,$AB$6:$AB$127)*P$5,0)</f>
        <v>#REF!</v>
      </c>
      <c r="Q113" s="26" t="e">
        <f ca="1">IF(AND(COLUMN()&gt;=11,COLUMN()&lt;=20),(_xlfn.XLOOKUP($A113,#REF!,#REF!))/SUMIF($A$7:$AC$128,$A113,$AB$6:$AB$127)*Q$5,0)</f>
        <v>#REF!</v>
      </c>
      <c r="R113" s="26" t="e">
        <f ca="1">IF(AND(COLUMN()&gt;=11,COLUMN()&lt;=20),(_xlfn.XLOOKUP($A113,#REF!,#REF!))/SUMIF($A$7:$AC$128,$A113,$AB$6:$AB$127)*R$5,0)</f>
        <v>#REF!</v>
      </c>
      <c r="S113" s="26" t="e">
        <f ca="1">IF(AND(COLUMN()&gt;=11,COLUMN()&lt;=20),(_xlfn.XLOOKUP($A113,#REF!,#REF!))/SUMIF($A$7:$AC$128,$A113,$AB$6:$AB$127)*S$5,0)</f>
        <v>#REF!</v>
      </c>
      <c r="T113" s="26" t="e">
        <f ca="1">IF(AND(COLUMN()&gt;=11,COLUMN()&lt;=20),(_xlfn.XLOOKUP($A113,#REF!,#REF!))/SUMIF($A$7:$AC$128,$A113,$AB$6:$AB$127)*T$5,0)</f>
        <v>#REF!</v>
      </c>
      <c r="U113" s="26">
        <f>IF(AND(COLUMN()&gt;=11,COLUMN()&lt;=20),(_xlfn.XLOOKUP($A113,#REF!,#REF!))/SUMIF($A$7:$AC$128,$A113,$AB$6:$AB$127)*U$5,0)</f>
        <v>0</v>
      </c>
      <c r="V113" s="26">
        <f>IF(AND(COLUMN()&gt;=11,COLUMN()&lt;=20),(_xlfn.XLOOKUP($A113,#REF!,#REF!))/SUMIF($A$7:$AC$128,$A113,$AB$6:$AB$127)*V$5,0)</f>
        <v>0</v>
      </c>
      <c r="W113" s="26">
        <f>IF(AND(COLUMN()&gt;=11,COLUMN()&lt;=20),(_xlfn.XLOOKUP($A113,#REF!,#REF!))/SUMIF($A$7:$AC$128,$A113,$AB$6:$AB$127)*W$5,0)</f>
        <v>0</v>
      </c>
      <c r="X113" s="26">
        <f>IF(AND(COLUMN()&gt;=11,COLUMN()&lt;=20),(_xlfn.XLOOKUP($A113,#REF!,#REF!))/SUMIF($A$7:$AC$128,$A113,$AB$6:$AB$127)*X$5,0)</f>
        <v>0</v>
      </c>
      <c r="Y113" s="26">
        <f>IF(AND(COLUMN()&gt;=11,COLUMN()&lt;=20),(_xlfn.XLOOKUP($A113,#REF!,#REF!))/SUMIF($A$7:$AC$128,$A113,$AB$6:$AB$127)*Y$5,0)</f>
        <v>0</v>
      </c>
      <c r="Z113" s="26">
        <f>IF(AND(COLUMN()&gt;=11,COLUMN()&lt;=20),(_xlfn.XLOOKUP($A113,#REF!,#REF!))/SUMIF($A$7:$AC$128,$A113,$AB$6:$AB$127)*Z$5,0)</f>
        <v>0</v>
      </c>
      <c r="AA113" s="26" t="e">
        <f t="shared" ca="1" si="15"/>
        <v>#REF!</v>
      </c>
      <c r="AB113" s="19">
        <f t="shared" si="10"/>
        <v>31</v>
      </c>
      <c r="AC113" s="20" t="e">
        <f t="shared" ca="1" si="11"/>
        <v>#REF!</v>
      </c>
      <c r="AD113" s="30" t="e">
        <f>#REF!/SUMIF(#REF!,'Curva de la oferta Prod 3'!$A113,#REF!)</f>
        <v>#REF!</v>
      </c>
      <c r="AE113" s="28"/>
      <c r="AF113" s="31"/>
      <c r="AG113" s="31"/>
      <c r="AH113" s="31"/>
      <c r="AI113" s="31"/>
      <c r="AJ113" s="31"/>
      <c r="AK113" s="31"/>
    </row>
    <row r="114" spans="1:37" ht="14.5" x14ac:dyDescent="0.35">
      <c r="A114" s="15">
        <f t="shared" si="9"/>
        <v>2034</v>
      </c>
      <c r="B114" s="18">
        <v>49249</v>
      </c>
      <c r="C114" s="26">
        <f>IF(AND(COLUMN()&gt;=11,COLUMN()&lt;=20),(_xlfn.XLOOKUP($A114,#REF!,#REF!))/SUMIF($A$7:$AC$128,$A114,$AB$6:$AB$127)*C$5,0)</f>
        <v>0</v>
      </c>
      <c r="D114" s="26">
        <f>IF(AND(COLUMN()&gt;=11,COLUMN()&lt;=20),(_xlfn.XLOOKUP($A114,#REF!,#REF!))/SUMIF($A$7:$AC$128,$A114,$AB$6:$AB$127)*D$5,0)</f>
        <v>0</v>
      </c>
      <c r="E114" s="26">
        <f>IF(AND(COLUMN()&gt;=11,COLUMN()&lt;=20),(_xlfn.XLOOKUP($A114,#REF!,#REF!))/SUMIF($A$7:$AC$128,$A114,$AB$6:$AB$127)*E$5,0)</f>
        <v>0</v>
      </c>
      <c r="F114" s="26">
        <f>IF(AND(COLUMN()&gt;=11,COLUMN()&lt;=20),(_xlfn.XLOOKUP($A114,#REF!,#REF!))/SUMIF($A$7:$AC$128,$A114,$AB$6:$AB$127)*F$5,0)</f>
        <v>0</v>
      </c>
      <c r="G114" s="26">
        <f>IF(AND(COLUMN()&gt;=11,COLUMN()&lt;=20),(_xlfn.XLOOKUP($A114,#REF!,#REF!))/SUMIF($A$7:$AC$128,$A114,$AB$6:$AB$127)*G$5,0)</f>
        <v>0</v>
      </c>
      <c r="H114" s="26">
        <f>IF(AND(COLUMN()&gt;=11,COLUMN()&lt;=20),(_xlfn.XLOOKUP($A114,#REF!,#REF!))/SUMIF($A$7:$AC$128,$A114,$AB$6:$AB$127)*H$5,0)</f>
        <v>0</v>
      </c>
      <c r="I114" s="26">
        <f>IF(AND(COLUMN()&gt;=11,COLUMN()&lt;=20),(_xlfn.XLOOKUP($A114,#REF!,#REF!))/SUMIF($A$7:$AC$128,$A114,$AB$6:$AB$127)*I$5,0)</f>
        <v>0</v>
      </c>
      <c r="J114" s="26">
        <f>IF(AND(COLUMN()&gt;=11,COLUMN()&lt;=20),(_xlfn.XLOOKUP($A114,#REF!,#REF!))/SUMIF($A$7:$AC$128,$A114,$AB$6:$AB$127)*J$5,0)</f>
        <v>0</v>
      </c>
      <c r="K114" s="26" t="e">
        <f ca="1">IF(AND(COLUMN()&gt;=11,COLUMN()&lt;=20),(_xlfn.XLOOKUP($A114,#REF!,#REF!))/SUMIF($A$7:$AC$128,$A114,$AB$6:$AB$127)*K$5,0)</f>
        <v>#REF!</v>
      </c>
      <c r="L114" s="26" t="e">
        <f ca="1">IF(AND(COLUMN()&gt;=11,COLUMN()&lt;=20),(_xlfn.XLOOKUP($A114,#REF!,#REF!))/SUMIF($A$7:$AC$128,$A114,$AB$6:$AB$127)*L$5,0)</f>
        <v>#REF!</v>
      </c>
      <c r="M114" s="26" t="e">
        <f ca="1">IF(AND(COLUMN()&gt;=11,COLUMN()&lt;=20),(_xlfn.XLOOKUP($A114,#REF!,#REF!))/SUMIF($A$7:$AC$128,$A114,$AB$6:$AB$127)*M$5,0)</f>
        <v>#REF!</v>
      </c>
      <c r="N114" s="26" t="e">
        <f ca="1">IF(AND(COLUMN()&gt;=11,COLUMN()&lt;=20),(_xlfn.XLOOKUP($A114,#REF!,#REF!))/SUMIF($A$7:$AC$128,$A114,$AB$6:$AB$127)*N$5,0)</f>
        <v>#REF!</v>
      </c>
      <c r="O114" s="26" t="e">
        <f ca="1">IF(AND(COLUMN()&gt;=11,COLUMN()&lt;=20),(_xlfn.XLOOKUP($A114,#REF!,#REF!))/SUMIF($A$7:$AC$128,$A114,$AB$6:$AB$127)*O$5,0)</f>
        <v>#REF!</v>
      </c>
      <c r="P114" s="26" t="e">
        <f ca="1">IF(AND(COLUMN()&gt;=11,COLUMN()&lt;=20),(_xlfn.XLOOKUP($A114,#REF!,#REF!))/SUMIF($A$7:$AC$128,$A114,$AB$6:$AB$127)*P$5,0)</f>
        <v>#REF!</v>
      </c>
      <c r="Q114" s="26" t="e">
        <f ca="1">IF(AND(COLUMN()&gt;=11,COLUMN()&lt;=20),(_xlfn.XLOOKUP($A114,#REF!,#REF!))/SUMIF($A$7:$AC$128,$A114,$AB$6:$AB$127)*Q$5,0)</f>
        <v>#REF!</v>
      </c>
      <c r="R114" s="26" t="e">
        <f ca="1">IF(AND(COLUMN()&gt;=11,COLUMN()&lt;=20),(_xlfn.XLOOKUP($A114,#REF!,#REF!))/SUMIF($A$7:$AC$128,$A114,$AB$6:$AB$127)*R$5,0)</f>
        <v>#REF!</v>
      </c>
      <c r="S114" s="26" t="e">
        <f ca="1">IF(AND(COLUMN()&gt;=11,COLUMN()&lt;=20),(_xlfn.XLOOKUP($A114,#REF!,#REF!))/SUMIF($A$7:$AC$128,$A114,$AB$6:$AB$127)*S$5,0)</f>
        <v>#REF!</v>
      </c>
      <c r="T114" s="26" t="e">
        <f ca="1">IF(AND(COLUMN()&gt;=11,COLUMN()&lt;=20),(_xlfn.XLOOKUP($A114,#REF!,#REF!))/SUMIF($A$7:$AC$128,$A114,$AB$6:$AB$127)*T$5,0)</f>
        <v>#REF!</v>
      </c>
      <c r="U114" s="26">
        <f>IF(AND(COLUMN()&gt;=11,COLUMN()&lt;=20),(_xlfn.XLOOKUP($A114,#REF!,#REF!))/SUMIF($A$7:$AC$128,$A114,$AB$6:$AB$127)*U$5,0)</f>
        <v>0</v>
      </c>
      <c r="V114" s="26">
        <f>IF(AND(COLUMN()&gt;=11,COLUMN()&lt;=20),(_xlfn.XLOOKUP($A114,#REF!,#REF!))/SUMIF($A$7:$AC$128,$A114,$AB$6:$AB$127)*V$5,0)</f>
        <v>0</v>
      </c>
      <c r="W114" s="26">
        <f>IF(AND(COLUMN()&gt;=11,COLUMN()&lt;=20),(_xlfn.XLOOKUP($A114,#REF!,#REF!))/SUMIF($A$7:$AC$128,$A114,$AB$6:$AB$127)*W$5,0)</f>
        <v>0</v>
      </c>
      <c r="X114" s="26">
        <f>IF(AND(COLUMN()&gt;=11,COLUMN()&lt;=20),(_xlfn.XLOOKUP($A114,#REF!,#REF!))/SUMIF($A$7:$AC$128,$A114,$AB$6:$AB$127)*X$5,0)</f>
        <v>0</v>
      </c>
      <c r="Y114" s="26">
        <f>IF(AND(COLUMN()&gt;=11,COLUMN()&lt;=20),(_xlfn.XLOOKUP($A114,#REF!,#REF!))/SUMIF($A$7:$AC$128,$A114,$AB$6:$AB$127)*Y$5,0)</f>
        <v>0</v>
      </c>
      <c r="Z114" s="26">
        <f>IF(AND(COLUMN()&gt;=11,COLUMN()&lt;=20),(_xlfn.XLOOKUP($A114,#REF!,#REF!))/SUMIF($A$7:$AC$128,$A114,$AB$6:$AB$127)*Z$5,0)</f>
        <v>0</v>
      </c>
      <c r="AA114" s="26" t="e">
        <f t="shared" ca="1" si="15"/>
        <v>#REF!</v>
      </c>
      <c r="AB114" s="19">
        <f t="shared" si="10"/>
        <v>30</v>
      </c>
      <c r="AC114" s="20" t="e">
        <f t="shared" ca="1" si="11"/>
        <v>#REF!</v>
      </c>
      <c r="AD114" s="30" t="e">
        <f>#REF!/SUMIF(#REF!,'Curva de la oferta Prod 3'!$A114,#REF!)</f>
        <v>#REF!</v>
      </c>
      <c r="AE114" s="28"/>
      <c r="AF114" s="31"/>
      <c r="AG114" s="31"/>
      <c r="AH114" s="31"/>
      <c r="AI114" s="31"/>
      <c r="AJ114" s="31"/>
      <c r="AK114" s="31"/>
    </row>
    <row r="115" spans="1:37" ht="14.5" x14ac:dyDescent="0.35">
      <c r="A115" s="15">
        <f t="shared" si="9"/>
        <v>2034</v>
      </c>
      <c r="B115" s="18">
        <v>49279</v>
      </c>
      <c r="C115" s="26">
        <f>IF(AND(COLUMN()&gt;=11,COLUMN()&lt;=20),(_xlfn.XLOOKUP($A115,#REF!,#REF!))/SUMIF($A$7:$AC$128,$A115,$AB$6:$AB$127)*C$5,0)</f>
        <v>0</v>
      </c>
      <c r="D115" s="26">
        <f>IF(AND(COLUMN()&gt;=11,COLUMN()&lt;=20),(_xlfn.XLOOKUP($A115,#REF!,#REF!))/SUMIF($A$7:$AC$128,$A115,$AB$6:$AB$127)*D$5,0)</f>
        <v>0</v>
      </c>
      <c r="E115" s="26">
        <f>IF(AND(COLUMN()&gt;=11,COLUMN()&lt;=20),(_xlfn.XLOOKUP($A115,#REF!,#REF!))/SUMIF($A$7:$AC$128,$A115,$AB$6:$AB$127)*E$5,0)</f>
        <v>0</v>
      </c>
      <c r="F115" s="26">
        <f>IF(AND(COLUMN()&gt;=11,COLUMN()&lt;=20),(_xlfn.XLOOKUP($A115,#REF!,#REF!))/SUMIF($A$7:$AC$128,$A115,$AB$6:$AB$127)*F$5,0)</f>
        <v>0</v>
      </c>
      <c r="G115" s="26">
        <f>IF(AND(COLUMN()&gt;=11,COLUMN()&lt;=20),(_xlfn.XLOOKUP($A115,#REF!,#REF!))/SUMIF($A$7:$AC$128,$A115,$AB$6:$AB$127)*G$5,0)</f>
        <v>0</v>
      </c>
      <c r="H115" s="26">
        <f>IF(AND(COLUMN()&gt;=11,COLUMN()&lt;=20),(_xlfn.XLOOKUP($A115,#REF!,#REF!))/SUMIF($A$7:$AC$128,$A115,$AB$6:$AB$127)*H$5,0)</f>
        <v>0</v>
      </c>
      <c r="I115" s="26">
        <f>IF(AND(COLUMN()&gt;=11,COLUMN()&lt;=20),(_xlfn.XLOOKUP($A115,#REF!,#REF!))/SUMIF($A$7:$AC$128,$A115,$AB$6:$AB$127)*I$5,0)</f>
        <v>0</v>
      </c>
      <c r="J115" s="26">
        <f>IF(AND(COLUMN()&gt;=11,COLUMN()&lt;=20),(_xlfn.XLOOKUP($A115,#REF!,#REF!))/SUMIF($A$7:$AC$128,$A115,$AB$6:$AB$127)*J$5,0)</f>
        <v>0</v>
      </c>
      <c r="K115" s="26" t="e">
        <f ca="1">IF(AND(COLUMN()&gt;=11,COLUMN()&lt;=20),(_xlfn.XLOOKUP($A115,#REF!,#REF!))/SUMIF($A$7:$AC$128,$A115,$AB$6:$AB$127)*K$5,0)</f>
        <v>#REF!</v>
      </c>
      <c r="L115" s="26" t="e">
        <f ca="1">IF(AND(COLUMN()&gt;=11,COLUMN()&lt;=20),(_xlfn.XLOOKUP($A115,#REF!,#REF!))/SUMIF($A$7:$AC$128,$A115,$AB$6:$AB$127)*L$5,0)</f>
        <v>#REF!</v>
      </c>
      <c r="M115" s="26" t="e">
        <f ca="1">IF(AND(COLUMN()&gt;=11,COLUMN()&lt;=20),(_xlfn.XLOOKUP($A115,#REF!,#REF!))/SUMIF($A$7:$AC$128,$A115,$AB$6:$AB$127)*M$5,0)</f>
        <v>#REF!</v>
      </c>
      <c r="N115" s="26" t="e">
        <f ca="1">IF(AND(COLUMN()&gt;=11,COLUMN()&lt;=20),(_xlfn.XLOOKUP($A115,#REF!,#REF!))/SUMIF($A$7:$AC$128,$A115,$AB$6:$AB$127)*N$5,0)</f>
        <v>#REF!</v>
      </c>
      <c r="O115" s="26" t="e">
        <f ca="1">IF(AND(COLUMN()&gt;=11,COLUMN()&lt;=20),(_xlfn.XLOOKUP($A115,#REF!,#REF!))/SUMIF($A$7:$AC$128,$A115,$AB$6:$AB$127)*O$5,0)</f>
        <v>#REF!</v>
      </c>
      <c r="P115" s="26" t="e">
        <f ca="1">IF(AND(COLUMN()&gt;=11,COLUMN()&lt;=20),(_xlfn.XLOOKUP($A115,#REF!,#REF!))/SUMIF($A$7:$AC$128,$A115,$AB$6:$AB$127)*P$5,0)</f>
        <v>#REF!</v>
      </c>
      <c r="Q115" s="26" t="e">
        <f ca="1">IF(AND(COLUMN()&gt;=11,COLUMN()&lt;=20),(_xlfn.XLOOKUP($A115,#REF!,#REF!))/SUMIF($A$7:$AC$128,$A115,$AB$6:$AB$127)*Q$5,0)</f>
        <v>#REF!</v>
      </c>
      <c r="R115" s="26" t="e">
        <f ca="1">IF(AND(COLUMN()&gt;=11,COLUMN()&lt;=20),(_xlfn.XLOOKUP($A115,#REF!,#REF!))/SUMIF($A$7:$AC$128,$A115,$AB$6:$AB$127)*R$5,0)</f>
        <v>#REF!</v>
      </c>
      <c r="S115" s="26" t="e">
        <f ca="1">IF(AND(COLUMN()&gt;=11,COLUMN()&lt;=20),(_xlfn.XLOOKUP($A115,#REF!,#REF!))/SUMIF($A$7:$AC$128,$A115,$AB$6:$AB$127)*S$5,0)</f>
        <v>#REF!</v>
      </c>
      <c r="T115" s="26" t="e">
        <f ca="1">IF(AND(COLUMN()&gt;=11,COLUMN()&lt;=20),(_xlfn.XLOOKUP($A115,#REF!,#REF!))/SUMIF($A$7:$AC$128,$A115,$AB$6:$AB$127)*T$5,0)</f>
        <v>#REF!</v>
      </c>
      <c r="U115" s="26">
        <f>IF(AND(COLUMN()&gt;=11,COLUMN()&lt;=20),(_xlfn.XLOOKUP($A115,#REF!,#REF!))/SUMIF($A$7:$AC$128,$A115,$AB$6:$AB$127)*U$5,0)</f>
        <v>0</v>
      </c>
      <c r="V115" s="26">
        <f>IF(AND(COLUMN()&gt;=11,COLUMN()&lt;=20),(_xlfn.XLOOKUP($A115,#REF!,#REF!))/SUMIF($A$7:$AC$128,$A115,$AB$6:$AB$127)*V$5,0)</f>
        <v>0</v>
      </c>
      <c r="W115" s="26">
        <f>IF(AND(COLUMN()&gt;=11,COLUMN()&lt;=20),(_xlfn.XLOOKUP($A115,#REF!,#REF!))/SUMIF($A$7:$AC$128,$A115,$AB$6:$AB$127)*W$5,0)</f>
        <v>0</v>
      </c>
      <c r="X115" s="26">
        <f>IF(AND(COLUMN()&gt;=11,COLUMN()&lt;=20),(_xlfn.XLOOKUP($A115,#REF!,#REF!))/SUMIF($A$7:$AC$128,$A115,$AB$6:$AB$127)*X$5,0)</f>
        <v>0</v>
      </c>
      <c r="Y115" s="26">
        <f>IF(AND(COLUMN()&gt;=11,COLUMN()&lt;=20),(_xlfn.XLOOKUP($A115,#REF!,#REF!))/SUMIF($A$7:$AC$128,$A115,$AB$6:$AB$127)*Y$5,0)</f>
        <v>0</v>
      </c>
      <c r="Z115" s="26">
        <f>IF(AND(COLUMN()&gt;=11,COLUMN()&lt;=20),(_xlfn.XLOOKUP($A115,#REF!,#REF!))/SUMIF($A$7:$AC$128,$A115,$AB$6:$AB$127)*Z$5,0)</f>
        <v>0</v>
      </c>
      <c r="AA115" s="26" t="e">
        <f t="shared" ca="1" si="15"/>
        <v>#REF!</v>
      </c>
      <c r="AB115" s="19">
        <f t="shared" si="10"/>
        <v>31</v>
      </c>
      <c r="AC115" s="20" t="e">
        <f t="shared" ca="1" si="11"/>
        <v>#REF!</v>
      </c>
      <c r="AD115" s="30" t="e">
        <f>#REF!/SUMIF(#REF!,'Curva de la oferta Prod 3'!$A115,#REF!)</f>
        <v>#REF!</v>
      </c>
      <c r="AE115" s="28"/>
      <c r="AF115" s="31"/>
      <c r="AG115" s="31"/>
      <c r="AH115" s="31"/>
      <c r="AI115" s="31"/>
      <c r="AJ115" s="31"/>
      <c r="AK115" s="31"/>
    </row>
    <row r="116" spans="1:37" ht="14.5" x14ac:dyDescent="0.35">
      <c r="A116" s="15">
        <f t="shared" si="9"/>
        <v>2035</v>
      </c>
      <c r="B116" s="18">
        <v>49310</v>
      </c>
      <c r="C116" s="26">
        <f>IF(AND(COLUMN()&gt;=11,COLUMN()&lt;=20),(_xlfn.XLOOKUP($A116,#REF!,#REF!))/SUMIF($A$7:$AC$128,$A116,$AB$6:$AB$127)*C$5,0)</f>
        <v>0</v>
      </c>
      <c r="D116" s="26">
        <f>IF(AND(COLUMN()&gt;=11,COLUMN()&lt;=20),(_xlfn.XLOOKUP($A116,#REF!,#REF!))/SUMIF($A$7:$AC$128,$A116,$AB$6:$AB$127)*D$5,0)</f>
        <v>0</v>
      </c>
      <c r="E116" s="26">
        <f>IF(AND(COLUMN()&gt;=11,COLUMN()&lt;=20),(_xlfn.XLOOKUP($A116,#REF!,#REF!))/SUMIF($A$7:$AC$128,$A116,$AB$6:$AB$127)*E$5,0)</f>
        <v>0</v>
      </c>
      <c r="F116" s="26">
        <f>IF(AND(COLUMN()&gt;=11,COLUMN()&lt;=20),(_xlfn.XLOOKUP($A116,#REF!,#REF!))/SUMIF($A$7:$AC$128,$A116,$AB$6:$AB$127)*F$5,0)</f>
        <v>0</v>
      </c>
      <c r="G116" s="26">
        <f>IF(AND(COLUMN()&gt;=11,COLUMN()&lt;=20),(_xlfn.XLOOKUP($A116,#REF!,#REF!))/SUMIF($A$7:$AC$128,$A116,$AB$6:$AB$127)*G$5,0)</f>
        <v>0</v>
      </c>
      <c r="H116" s="26">
        <f>IF(AND(COLUMN()&gt;=11,COLUMN()&lt;=20),(_xlfn.XLOOKUP($A116,#REF!,#REF!))/SUMIF($A$7:$AC$128,$A116,$AB$6:$AB$127)*H$5,0)</f>
        <v>0</v>
      </c>
      <c r="I116" s="26">
        <f>IF(AND(COLUMN()&gt;=11,COLUMN()&lt;=20),(_xlfn.XLOOKUP($A116,#REF!,#REF!))/SUMIF($A$7:$AC$128,$A116,$AB$6:$AB$127)*I$5,0)</f>
        <v>0</v>
      </c>
      <c r="J116" s="26">
        <f>IF(AND(COLUMN()&gt;=11,COLUMN()&lt;=20),(_xlfn.XLOOKUP($A116,#REF!,#REF!))/SUMIF($A$7:$AC$128,$A116,$AB$6:$AB$127)*J$5,0)</f>
        <v>0</v>
      </c>
      <c r="K116" s="26" t="e">
        <f ca="1">IF(AND(COLUMN()&gt;=11,COLUMN()&lt;=20),(_xlfn.XLOOKUP($A116,#REF!,#REF!))/SUMIF($A$7:$AC$128,$A116,$AB$6:$AB$127)*K$5,0)</f>
        <v>#REF!</v>
      </c>
      <c r="L116" s="26" t="e">
        <f ca="1">IF(AND(COLUMN()&gt;=11,COLUMN()&lt;=20),(_xlfn.XLOOKUP($A116,#REF!,#REF!))/SUMIF($A$7:$AC$128,$A116,$AB$6:$AB$127)*L$5,0)</f>
        <v>#REF!</v>
      </c>
      <c r="M116" s="26" t="e">
        <f ca="1">IF(AND(COLUMN()&gt;=11,COLUMN()&lt;=20),(_xlfn.XLOOKUP($A116,#REF!,#REF!))/SUMIF($A$7:$AC$128,$A116,$AB$6:$AB$127)*M$5,0)</f>
        <v>#REF!</v>
      </c>
      <c r="N116" s="26" t="e">
        <f ca="1">IF(AND(COLUMN()&gt;=11,COLUMN()&lt;=20),(_xlfn.XLOOKUP($A116,#REF!,#REF!))/SUMIF($A$7:$AC$128,$A116,$AB$6:$AB$127)*N$5,0)</f>
        <v>#REF!</v>
      </c>
      <c r="O116" s="26" t="e">
        <f ca="1">IF(AND(COLUMN()&gt;=11,COLUMN()&lt;=20),(_xlfn.XLOOKUP($A116,#REF!,#REF!))/SUMIF($A$7:$AC$128,$A116,$AB$6:$AB$127)*O$5,0)</f>
        <v>#REF!</v>
      </c>
      <c r="P116" s="26" t="e">
        <f ca="1">IF(AND(COLUMN()&gt;=11,COLUMN()&lt;=20),(_xlfn.XLOOKUP($A116,#REF!,#REF!))/SUMIF($A$7:$AC$128,$A116,$AB$6:$AB$127)*P$5,0)</f>
        <v>#REF!</v>
      </c>
      <c r="Q116" s="26" t="e">
        <f ca="1">IF(AND(COLUMN()&gt;=11,COLUMN()&lt;=20),(_xlfn.XLOOKUP($A116,#REF!,#REF!))/SUMIF($A$7:$AC$128,$A116,$AB$6:$AB$127)*Q$5,0)</f>
        <v>#REF!</v>
      </c>
      <c r="R116" s="26" t="e">
        <f ca="1">IF(AND(COLUMN()&gt;=11,COLUMN()&lt;=20),(_xlfn.XLOOKUP($A116,#REF!,#REF!))/SUMIF($A$7:$AC$128,$A116,$AB$6:$AB$127)*R$5,0)</f>
        <v>#REF!</v>
      </c>
      <c r="S116" s="26" t="e">
        <f ca="1">IF(AND(COLUMN()&gt;=11,COLUMN()&lt;=20),(_xlfn.XLOOKUP($A116,#REF!,#REF!))/SUMIF($A$7:$AC$128,$A116,$AB$6:$AB$127)*S$5,0)</f>
        <v>#REF!</v>
      </c>
      <c r="T116" s="26" t="e">
        <f ca="1">IF(AND(COLUMN()&gt;=11,COLUMN()&lt;=20),(_xlfn.XLOOKUP($A116,#REF!,#REF!))/SUMIF($A$7:$AC$128,$A116,$AB$6:$AB$127)*T$5,0)</f>
        <v>#REF!</v>
      </c>
      <c r="U116" s="26">
        <f>IF(AND(COLUMN()&gt;=11,COLUMN()&lt;=20),(_xlfn.XLOOKUP($A116,#REF!,#REF!))/SUMIF($A$7:$AC$128,$A116,$AB$6:$AB$127)*U$5,0)</f>
        <v>0</v>
      </c>
      <c r="V116" s="26">
        <f>IF(AND(COLUMN()&gt;=11,COLUMN()&lt;=20),(_xlfn.XLOOKUP($A116,#REF!,#REF!))/SUMIF($A$7:$AC$128,$A116,$AB$6:$AB$127)*V$5,0)</f>
        <v>0</v>
      </c>
      <c r="W116" s="26">
        <f>IF(AND(COLUMN()&gt;=11,COLUMN()&lt;=20),(_xlfn.XLOOKUP($A116,#REF!,#REF!))/SUMIF($A$7:$AC$128,$A116,$AB$6:$AB$127)*W$5,0)</f>
        <v>0</v>
      </c>
      <c r="X116" s="26">
        <f>IF(AND(COLUMN()&gt;=11,COLUMN()&lt;=20),(_xlfn.XLOOKUP($A116,#REF!,#REF!))/SUMIF($A$7:$AC$128,$A116,$AB$6:$AB$127)*X$5,0)</f>
        <v>0</v>
      </c>
      <c r="Y116" s="26">
        <f>IF(AND(COLUMN()&gt;=11,COLUMN()&lt;=20),(_xlfn.XLOOKUP($A116,#REF!,#REF!))/SUMIF($A$7:$AC$128,$A116,$AB$6:$AB$127)*Y$5,0)</f>
        <v>0</v>
      </c>
      <c r="Z116" s="26">
        <f>IF(AND(COLUMN()&gt;=11,COLUMN()&lt;=20),(_xlfn.XLOOKUP($A116,#REF!,#REF!))/SUMIF($A$7:$AC$128,$A116,$AB$6:$AB$127)*Z$5,0)</f>
        <v>0</v>
      </c>
      <c r="AA116" s="26" t="e">
        <f t="shared" ca="1" si="15"/>
        <v>#REF!</v>
      </c>
      <c r="AB116" s="19">
        <f t="shared" si="10"/>
        <v>31</v>
      </c>
      <c r="AC116" s="20" t="e">
        <f t="shared" ca="1" si="11"/>
        <v>#REF!</v>
      </c>
      <c r="AD116" s="30" t="e">
        <f>#REF!/SUMIF(#REF!,'Curva de la oferta Prod 3'!$A116,#REF!)</f>
        <v>#REF!</v>
      </c>
      <c r="AE116" s="28"/>
      <c r="AF116" s="31"/>
      <c r="AG116" s="31"/>
      <c r="AH116" s="31"/>
      <c r="AI116" s="31"/>
      <c r="AJ116" s="31"/>
      <c r="AK116" s="31"/>
    </row>
    <row r="117" spans="1:37" ht="14.5" x14ac:dyDescent="0.35">
      <c r="A117" s="15">
        <f t="shared" si="9"/>
        <v>2035</v>
      </c>
      <c r="B117" s="18">
        <v>49341</v>
      </c>
      <c r="C117" s="26">
        <f>IF(AND(COLUMN()&gt;=11,COLUMN()&lt;=20),(_xlfn.XLOOKUP($A117,#REF!,#REF!))/SUMIF($A$7:$AC$128,$A117,$AB$6:$AB$127)*C$5,0)</f>
        <v>0</v>
      </c>
      <c r="D117" s="26">
        <f>IF(AND(COLUMN()&gt;=11,COLUMN()&lt;=20),(_xlfn.XLOOKUP($A117,#REF!,#REF!))/SUMIF($A$7:$AC$128,$A117,$AB$6:$AB$127)*D$5,0)</f>
        <v>0</v>
      </c>
      <c r="E117" s="26">
        <f>IF(AND(COLUMN()&gt;=11,COLUMN()&lt;=20),(_xlfn.XLOOKUP($A117,#REF!,#REF!))/SUMIF($A$7:$AC$128,$A117,$AB$6:$AB$127)*E$5,0)</f>
        <v>0</v>
      </c>
      <c r="F117" s="26">
        <f>IF(AND(COLUMN()&gt;=11,COLUMN()&lt;=20),(_xlfn.XLOOKUP($A117,#REF!,#REF!))/SUMIF($A$7:$AC$128,$A117,$AB$6:$AB$127)*F$5,0)</f>
        <v>0</v>
      </c>
      <c r="G117" s="26">
        <f>IF(AND(COLUMN()&gt;=11,COLUMN()&lt;=20),(_xlfn.XLOOKUP($A117,#REF!,#REF!))/SUMIF($A$7:$AC$128,$A117,$AB$6:$AB$127)*G$5,0)</f>
        <v>0</v>
      </c>
      <c r="H117" s="26">
        <f>IF(AND(COLUMN()&gt;=11,COLUMN()&lt;=20),(_xlfn.XLOOKUP($A117,#REF!,#REF!))/SUMIF($A$7:$AC$128,$A117,$AB$6:$AB$127)*H$5,0)</f>
        <v>0</v>
      </c>
      <c r="I117" s="26">
        <f>IF(AND(COLUMN()&gt;=11,COLUMN()&lt;=20),(_xlfn.XLOOKUP($A117,#REF!,#REF!))/SUMIF($A$7:$AC$128,$A117,$AB$6:$AB$127)*I$5,0)</f>
        <v>0</v>
      </c>
      <c r="J117" s="26">
        <f>IF(AND(COLUMN()&gt;=11,COLUMN()&lt;=20),(_xlfn.XLOOKUP($A117,#REF!,#REF!))/SUMIF($A$7:$AC$128,$A117,$AB$6:$AB$127)*J$5,0)</f>
        <v>0</v>
      </c>
      <c r="K117" s="26" t="e">
        <f ca="1">IF(AND(COLUMN()&gt;=11,COLUMN()&lt;=20),(_xlfn.XLOOKUP($A117,#REF!,#REF!))/SUMIF($A$7:$AC$128,$A117,$AB$6:$AB$127)*K$5,0)</f>
        <v>#REF!</v>
      </c>
      <c r="L117" s="26" t="e">
        <f ca="1">IF(AND(COLUMN()&gt;=11,COLUMN()&lt;=20),(_xlfn.XLOOKUP($A117,#REF!,#REF!))/SUMIF($A$7:$AC$128,$A117,$AB$6:$AB$127)*L$5,0)</f>
        <v>#REF!</v>
      </c>
      <c r="M117" s="26" t="e">
        <f ca="1">IF(AND(COLUMN()&gt;=11,COLUMN()&lt;=20),(_xlfn.XLOOKUP($A117,#REF!,#REF!))/SUMIF($A$7:$AC$128,$A117,$AB$6:$AB$127)*M$5,0)</f>
        <v>#REF!</v>
      </c>
      <c r="N117" s="26" t="e">
        <f ca="1">IF(AND(COLUMN()&gt;=11,COLUMN()&lt;=20),(_xlfn.XLOOKUP($A117,#REF!,#REF!))/SUMIF($A$7:$AC$128,$A117,$AB$6:$AB$127)*N$5,0)</f>
        <v>#REF!</v>
      </c>
      <c r="O117" s="26" t="e">
        <f ca="1">IF(AND(COLUMN()&gt;=11,COLUMN()&lt;=20),(_xlfn.XLOOKUP($A117,#REF!,#REF!))/SUMIF($A$7:$AC$128,$A117,$AB$6:$AB$127)*O$5,0)</f>
        <v>#REF!</v>
      </c>
      <c r="P117" s="26" t="e">
        <f ca="1">IF(AND(COLUMN()&gt;=11,COLUMN()&lt;=20),(_xlfn.XLOOKUP($A117,#REF!,#REF!))/SUMIF($A$7:$AC$128,$A117,$AB$6:$AB$127)*P$5,0)</f>
        <v>#REF!</v>
      </c>
      <c r="Q117" s="26" t="e">
        <f ca="1">IF(AND(COLUMN()&gt;=11,COLUMN()&lt;=20),(_xlfn.XLOOKUP($A117,#REF!,#REF!))/SUMIF($A$7:$AC$128,$A117,$AB$6:$AB$127)*Q$5,0)</f>
        <v>#REF!</v>
      </c>
      <c r="R117" s="26" t="e">
        <f ca="1">IF(AND(COLUMN()&gt;=11,COLUMN()&lt;=20),(_xlfn.XLOOKUP($A117,#REF!,#REF!))/SUMIF($A$7:$AC$128,$A117,$AB$6:$AB$127)*R$5,0)</f>
        <v>#REF!</v>
      </c>
      <c r="S117" s="26" t="e">
        <f ca="1">IF(AND(COLUMN()&gt;=11,COLUMN()&lt;=20),(_xlfn.XLOOKUP($A117,#REF!,#REF!))/SUMIF($A$7:$AC$128,$A117,$AB$6:$AB$127)*S$5,0)</f>
        <v>#REF!</v>
      </c>
      <c r="T117" s="26" t="e">
        <f ca="1">IF(AND(COLUMN()&gt;=11,COLUMN()&lt;=20),(_xlfn.XLOOKUP($A117,#REF!,#REF!))/SUMIF($A$7:$AC$128,$A117,$AB$6:$AB$127)*T$5,0)</f>
        <v>#REF!</v>
      </c>
      <c r="U117" s="26">
        <f>IF(AND(COLUMN()&gt;=11,COLUMN()&lt;=20),(_xlfn.XLOOKUP($A117,#REF!,#REF!))/SUMIF($A$7:$AC$128,$A117,$AB$6:$AB$127)*U$5,0)</f>
        <v>0</v>
      </c>
      <c r="V117" s="26">
        <f>IF(AND(COLUMN()&gt;=11,COLUMN()&lt;=20),(_xlfn.XLOOKUP($A117,#REF!,#REF!))/SUMIF($A$7:$AC$128,$A117,$AB$6:$AB$127)*V$5,0)</f>
        <v>0</v>
      </c>
      <c r="W117" s="26">
        <f>IF(AND(COLUMN()&gt;=11,COLUMN()&lt;=20),(_xlfn.XLOOKUP($A117,#REF!,#REF!))/SUMIF($A$7:$AC$128,$A117,$AB$6:$AB$127)*W$5,0)</f>
        <v>0</v>
      </c>
      <c r="X117" s="26">
        <f>IF(AND(COLUMN()&gt;=11,COLUMN()&lt;=20),(_xlfn.XLOOKUP($A117,#REF!,#REF!))/SUMIF($A$7:$AC$128,$A117,$AB$6:$AB$127)*X$5,0)</f>
        <v>0</v>
      </c>
      <c r="Y117" s="26">
        <f>IF(AND(COLUMN()&gt;=11,COLUMN()&lt;=20),(_xlfn.XLOOKUP($A117,#REF!,#REF!))/SUMIF($A$7:$AC$128,$A117,$AB$6:$AB$127)*Y$5,0)</f>
        <v>0</v>
      </c>
      <c r="Z117" s="26">
        <f>IF(AND(COLUMN()&gt;=11,COLUMN()&lt;=20),(_xlfn.XLOOKUP($A117,#REF!,#REF!))/SUMIF($A$7:$AC$128,$A117,$AB$6:$AB$127)*Z$5,0)</f>
        <v>0</v>
      </c>
      <c r="AA117" s="26" t="e">
        <f t="shared" ref="AA117:AA127" ca="1" si="16">SUM(C117:Z117)</f>
        <v>#REF!</v>
      </c>
      <c r="AB117" s="19">
        <f t="shared" si="10"/>
        <v>28</v>
      </c>
      <c r="AC117" s="20" t="e">
        <f t="shared" ca="1" si="11"/>
        <v>#REF!</v>
      </c>
      <c r="AD117" s="30" t="e">
        <f>#REF!/SUMIF(#REF!,'Curva de la oferta Prod 3'!$A117,#REF!)</f>
        <v>#REF!</v>
      </c>
      <c r="AE117" s="28"/>
      <c r="AF117" s="31"/>
      <c r="AG117" s="31"/>
      <c r="AH117" s="31"/>
      <c r="AI117" s="31"/>
      <c r="AJ117" s="31"/>
      <c r="AK117" s="31"/>
    </row>
    <row r="118" spans="1:37" ht="14.5" x14ac:dyDescent="0.35">
      <c r="A118" s="15">
        <f t="shared" si="9"/>
        <v>2035</v>
      </c>
      <c r="B118" s="18">
        <v>49369</v>
      </c>
      <c r="C118" s="26">
        <f>IF(AND(COLUMN()&gt;=11,COLUMN()&lt;=20),(_xlfn.XLOOKUP($A118,#REF!,#REF!))/SUMIF($A$7:$AC$128,$A118,$AB$6:$AB$127)*C$5,0)</f>
        <v>0</v>
      </c>
      <c r="D118" s="26">
        <f>IF(AND(COLUMN()&gt;=11,COLUMN()&lt;=20),(_xlfn.XLOOKUP($A118,#REF!,#REF!))/SUMIF($A$7:$AC$128,$A118,$AB$6:$AB$127)*D$5,0)</f>
        <v>0</v>
      </c>
      <c r="E118" s="26">
        <f>IF(AND(COLUMN()&gt;=11,COLUMN()&lt;=20),(_xlfn.XLOOKUP($A118,#REF!,#REF!))/SUMIF($A$7:$AC$128,$A118,$AB$6:$AB$127)*E$5,0)</f>
        <v>0</v>
      </c>
      <c r="F118" s="26">
        <f>IF(AND(COLUMN()&gt;=11,COLUMN()&lt;=20),(_xlfn.XLOOKUP($A118,#REF!,#REF!))/SUMIF($A$7:$AC$128,$A118,$AB$6:$AB$127)*F$5,0)</f>
        <v>0</v>
      </c>
      <c r="G118" s="26">
        <f>IF(AND(COLUMN()&gt;=11,COLUMN()&lt;=20),(_xlfn.XLOOKUP($A118,#REF!,#REF!))/SUMIF($A$7:$AC$128,$A118,$AB$6:$AB$127)*G$5,0)</f>
        <v>0</v>
      </c>
      <c r="H118" s="26">
        <f>IF(AND(COLUMN()&gt;=11,COLUMN()&lt;=20),(_xlfn.XLOOKUP($A118,#REF!,#REF!))/SUMIF($A$7:$AC$128,$A118,$AB$6:$AB$127)*H$5,0)</f>
        <v>0</v>
      </c>
      <c r="I118" s="26">
        <f>IF(AND(COLUMN()&gt;=11,COLUMN()&lt;=20),(_xlfn.XLOOKUP($A118,#REF!,#REF!))/SUMIF($A$7:$AC$128,$A118,$AB$6:$AB$127)*I$5,0)</f>
        <v>0</v>
      </c>
      <c r="J118" s="26">
        <f>IF(AND(COLUMN()&gt;=11,COLUMN()&lt;=20),(_xlfn.XLOOKUP($A118,#REF!,#REF!))/SUMIF($A$7:$AC$128,$A118,$AB$6:$AB$127)*J$5,0)</f>
        <v>0</v>
      </c>
      <c r="K118" s="26" t="e">
        <f ca="1">IF(AND(COLUMN()&gt;=11,COLUMN()&lt;=20),(_xlfn.XLOOKUP($A118,#REF!,#REF!))/SUMIF($A$7:$AC$128,$A118,$AB$6:$AB$127)*K$5,0)</f>
        <v>#REF!</v>
      </c>
      <c r="L118" s="26" t="e">
        <f ca="1">IF(AND(COLUMN()&gt;=11,COLUMN()&lt;=20),(_xlfn.XLOOKUP($A118,#REF!,#REF!))/SUMIF($A$7:$AC$128,$A118,$AB$6:$AB$127)*L$5,0)</f>
        <v>#REF!</v>
      </c>
      <c r="M118" s="26" t="e">
        <f ca="1">IF(AND(COLUMN()&gt;=11,COLUMN()&lt;=20),(_xlfn.XLOOKUP($A118,#REF!,#REF!))/SUMIF($A$7:$AC$128,$A118,$AB$6:$AB$127)*M$5,0)</f>
        <v>#REF!</v>
      </c>
      <c r="N118" s="26" t="e">
        <f ca="1">IF(AND(COLUMN()&gt;=11,COLUMN()&lt;=20),(_xlfn.XLOOKUP($A118,#REF!,#REF!))/SUMIF($A$7:$AC$128,$A118,$AB$6:$AB$127)*N$5,0)</f>
        <v>#REF!</v>
      </c>
      <c r="O118" s="26" t="e">
        <f ca="1">IF(AND(COLUMN()&gt;=11,COLUMN()&lt;=20),(_xlfn.XLOOKUP($A118,#REF!,#REF!))/SUMIF($A$7:$AC$128,$A118,$AB$6:$AB$127)*O$5,0)</f>
        <v>#REF!</v>
      </c>
      <c r="P118" s="26" t="e">
        <f ca="1">IF(AND(COLUMN()&gt;=11,COLUMN()&lt;=20),(_xlfn.XLOOKUP($A118,#REF!,#REF!))/SUMIF($A$7:$AC$128,$A118,$AB$6:$AB$127)*P$5,0)</f>
        <v>#REF!</v>
      </c>
      <c r="Q118" s="26" t="e">
        <f ca="1">IF(AND(COLUMN()&gt;=11,COLUMN()&lt;=20),(_xlfn.XLOOKUP($A118,#REF!,#REF!))/SUMIF($A$7:$AC$128,$A118,$AB$6:$AB$127)*Q$5,0)</f>
        <v>#REF!</v>
      </c>
      <c r="R118" s="26" t="e">
        <f ca="1">IF(AND(COLUMN()&gt;=11,COLUMN()&lt;=20),(_xlfn.XLOOKUP($A118,#REF!,#REF!))/SUMIF($A$7:$AC$128,$A118,$AB$6:$AB$127)*R$5,0)</f>
        <v>#REF!</v>
      </c>
      <c r="S118" s="26" t="e">
        <f ca="1">IF(AND(COLUMN()&gt;=11,COLUMN()&lt;=20),(_xlfn.XLOOKUP($A118,#REF!,#REF!))/SUMIF($A$7:$AC$128,$A118,$AB$6:$AB$127)*S$5,0)</f>
        <v>#REF!</v>
      </c>
      <c r="T118" s="26" t="e">
        <f ca="1">IF(AND(COLUMN()&gt;=11,COLUMN()&lt;=20),(_xlfn.XLOOKUP($A118,#REF!,#REF!))/SUMIF($A$7:$AC$128,$A118,$AB$6:$AB$127)*T$5,0)</f>
        <v>#REF!</v>
      </c>
      <c r="U118" s="26">
        <f>IF(AND(COLUMN()&gt;=11,COLUMN()&lt;=20),(_xlfn.XLOOKUP($A118,#REF!,#REF!))/SUMIF($A$7:$AC$128,$A118,$AB$6:$AB$127)*U$5,0)</f>
        <v>0</v>
      </c>
      <c r="V118" s="26">
        <f>IF(AND(COLUMN()&gt;=11,COLUMN()&lt;=20),(_xlfn.XLOOKUP($A118,#REF!,#REF!))/SUMIF($A$7:$AC$128,$A118,$AB$6:$AB$127)*V$5,0)</f>
        <v>0</v>
      </c>
      <c r="W118" s="26">
        <f>IF(AND(COLUMN()&gt;=11,COLUMN()&lt;=20),(_xlfn.XLOOKUP($A118,#REF!,#REF!))/SUMIF($A$7:$AC$128,$A118,$AB$6:$AB$127)*W$5,0)</f>
        <v>0</v>
      </c>
      <c r="X118" s="26">
        <f>IF(AND(COLUMN()&gt;=11,COLUMN()&lt;=20),(_xlfn.XLOOKUP($A118,#REF!,#REF!))/SUMIF($A$7:$AC$128,$A118,$AB$6:$AB$127)*X$5,0)</f>
        <v>0</v>
      </c>
      <c r="Y118" s="26">
        <f>IF(AND(COLUMN()&gt;=11,COLUMN()&lt;=20),(_xlfn.XLOOKUP($A118,#REF!,#REF!))/SUMIF($A$7:$AC$128,$A118,$AB$6:$AB$127)*Y$5,0)</f>
        <v>0</v>
      </c>
      <c r="Z118" s="26">
        <f>IF(AND(COLUMN()&gt;=11,COLUMN()&lt;=20),(_xlfn.XLOOKUP($A118,#REF!,#REF!))/SUMIF($A$7:$AC$128,$A118,$AB$6:$AB$127)*Z$5,0)</f>
        <v>0</v>
      </c>
      <c r="AA118" s="26" t="e">
        <f t="shared" ca="1" si="16"/>
        <v>#REF!</v>
      </c>
      <c r="AB118" s="19">
        <f t="shared" si="10"/>
        <v>31</v>
      </c>
      <c r="AC118" s="20" t="e">
        <f t="shared" ca="1" si="11"/>
        <v>#REF!</v>
      </c>
      <c r="AD118" s="30" t="e">
        <f>#REF!/SUMIF(#REF!,'Curva de la oferta Prod 3'!$A118,#REF!)</f>
        <v>#REF!</v>
      </c>
      <c r="AE118" s="28"/>
      <c r="AF118" s="31"/>
      <c r="AG118" s="31"/>
      <c r="AH118" s="31"/>
      <c r="AI118" s="31"/>
      <c r="AJ118" s="31"/>
      <c r="AK118" s="31"/>
    </row>
    <row r="119" spans="1:37" ht="14.5" x14ac:dyDescent="0.35">
      <c r="A119" s="15">
        <f t="shared" si="9"/>
        <v>2035</v>
      </c>
      <c r="B119" s="18">
        <v>49400</v>
      </c>
      <c r="C119" s="26">
        <f>IF(AND(COLUMN()&gt;=11,COLUMN()&lt;=20),(_xlfn.XLOOKUP($A119,#REF!,#REF!))/SUMIF($A$7:$AC$128,$A119,$AB$6:$AB$127)*C$5,0)</f>
        <v>0</v>
      </c>
      <c r="D119" s="26">
        <f>IF(AND(COLUMN()&gt;=11,COLUMN()&lt;=20),(_xlfn.XLOOKUP($A119,#REF!,#REF!))/SUMIF($A$7:$AC$128,$A119,$AB$6:$AB$127)*D$5,0)</f>
        <v>0</v>
      </c>
      <c r="E119" s="26">
        <f>IF(AND(COLUMN()&gt;=11,COLUMN()&lt;=20),(_xlfn.XLOOKUP($A119,#REF!,#REF!))/SUMIF($A$7:$AC$128,$A119,$AB$6:$AB$127)*E$5,0)</f>
        <v>0</v>
      </c>
      <c r="F119" s="26">
        <f>IF(AND(COLUMN()&gt;=11,COLUMN()&lt;=20),(_xlfn.XLOOKUP($A119,#REF!,#REF!))/SUMIF($A$7:$AC$128,$A119,$AB$6:$AB$127)*F$5,0)</f>
        <v>0</v>
      </c>
      <c r="G119" s="26">
        <f>IF(AND(COLUMN()&gt;=11,COLUMN()&lt;=20),(_xlfn.XLOOKUP($A119,#REF!,#REF!))/SUMIF($A$7:$AC$128,$A119,$AB$6:$AB$127)*G$5,0)</f>
        <v>0</v>
      </c>
      <c r="H119" s="26">
        <f>IF(AND(COLUMN()&gt;=11,COLUMN()&lt;=20),(_xlfn.XLOOKUP($A119,#REF!,#REF!))/SUMIF($A$7:$AC$128,$A119,$AB$6:$AB$127)*H$5,0)</f>
        <v>0</v>
      </c>
      <c r="I119" s="26">
        <f>IF(AND(COLUMN()&gt;=11,COLUMN()&lt;=20),(_xlfn.XLOOKUP($A119,#REF!,#REF!))/SUMIF($A$7:$AC$128,$A119,$AB$6:$AB$127)*I$5,0)</f>
        <v>0</v>
      </c>
      <c r="J119" s="26">
        <f>IF(AND(COLUMN()&gt;=11,COLUMN()&lt;=20),(_xlfn.XLOOKUP($A119,#REF!,#REF!))/SUMIF($A$7:$AC$128,$A119,$AB$6:$AB$127)*J$5,0)</f>
        <v>0</v>
      </c>
      <c r="K119" s="26" t="e">
        <f ca="1">IF(AND(COLUMN()&gt;=11,COLUMN()&lt;=20),(_xlfn.XLOOKUP($A119,#REF!,#REF!))/SUMIF($A$7:$AC$128,$A119,$AB$6:$AB$127)*K$5,0)</f>
        <v>#REF!</v>
      </c>
      <c r="L119" s="26" t="e">
        <f ca="1">IF(AND(COLUMN()&gt;=11,COLUMN()&lt;=20),(_xlfn.XLOOKUP($A119,#REF!,#REF!))/SUMIF($A$7:$AC$128,$A119,$AB$6:$AB$127)*L$5,0)</f>
        <v>#REF!</v>
      </c>
      <c r="M119" s="26" t="e">
        <f ca="1">IF(AND(COLUMN()&gt;=11,COLUMN()&lt;=20),(_xlfn.XLOOKUP($A119,#REF!,#REF!))/SUMIF($A$7:$AC$128,$A119,$AB$6:$AB$127)*M$5,0)</f>
        <v>#REF!</v>
      </c>
      <c r="N119" s="26" t="e">
        <f ca="1">IF(AND(COLUMN()&gt;=11,COLUMN()&lt;=20),(_xlfn.XLOOKUP($A119,#REF!,#REF!))/SUMIF($A$7:$AC$128,$A119,$AB$6:$AB$127)*N$5,0)</f>
        <v>#REF!</v>
      </c>
      <c r="O119" s="26" t="e">
        <f ca="1">IF(AND(COLUMN()&gt;=11,COLUMN()&lt;=20),(_xlfn.XLOOKUP($A119,#REF!,#REF!))/SUMIF($A$7:$AC$128,$A119,$AB$6:$AB$127)*O$5,0)</f>
        <v>#REF!</v>
      </c>
      <c r="P119" s="26" t="e">
        <f ca="1">IF(AND(COLUMN()&gt;=11,COLUMN()&lt;=20),(_xlfn.XLOOKUP($A119,#REF!,#REF!))/SUMIF($A$7:$AC$128,$A119,$AB$6:$AB$127)*P$5,0)</f>
        <v>#REF!</v>
      </c>
      <c r="Q119" s="26" t="e">
        <f ca="1">IF(AND(COLUMN()&gt;=11,COLUMN()&lt;=20),(_xlfn.XLOOKUP($A119,#REF!,#REF!))/SUMIF($A$7:$AC$128,$A119,$AB$6:$AB$127)*Q$5,0)</f>
        <v>#REF!</v>
      </c>
      <c r="R119" s="26" t="e">
        <f ca="1">IF(AND(COLUMN()&gt;=11,COLUMN()&lt;=20),(_xlfn.XLOOKUP($A119,#REF!,#REF!))/SUMIF($A$7:$AC$128,$A119,$AB$6:$AB$127)*R$5,0)</f>
        <v>#REF!</v>
      </c>
      <c r="S119" s="26" t="e">
        <f ca="1">IF(AND(COLUMN()&gt;=11,COLUMN()&lt;=20),(_xlfn.XLOOKUP($A119,#REF!,#REF!))/SUMIF($A$7:$AC$128,$A119,$AB$6:$AB$127)*S$5,0)</f>
        <v>#REF!</v>
      </c>
      <c r="T119" s="26" t="e">
        <f ca="1">IF(AND(COLUMN()&gt;=11,COLUMN()&lt;=20),(_xlfn.XLOOKUP($A119,#REF!,#REF!))/SUMIF($A$7:$AC$128,$A119,$AB$6:$AB$127)*T$5,0)</f>
        <v>#REF!</v>
      </c>
      <c r="U119" s="26">
        <f>IF(AND(COLUMN()&gt;=11,COLUMN()&lt;=20),(_xlfn.XLOOKUP($A119,#REF!,#REF!))/SUMIF($A$7:$AC$128,$A119,$AB$6:$AB$127)*U$5,0)</f>
        <v>0</v>
      </c>
      <c r="V119" s="26">
        <f>IF(AND(COLUMN()&gt;=11,COLUMN()&lt;=20),(_xlfn.XLOOKUP($A119,#REF!,#REF!))/SUMIF($A$7:$AC$128,$A119,$AB$6:$AB$127)*V$5,0)</f>
        <v>0</v>
      </c>
      <c r="W119" s="26">
        <f>IF(AND(COLUMN()&gt;=11,COLUMN()&lt;=20),(_xlfn.XLOOKUP($A119,#REF!,#REF!))/SUMIF($A$7:$AC$128,$A119,$AB$6:$AB$127)*W$5,0)</f>
        <v>0</v>
      </c>
      <c r="X119" s="26">
        <f>IF(AND(COLUMN()&gt;=11,COLUMN()&lt;=20),(_xlfn.XLOOKUP($A119,#REF!,#REF!))/SUMIF($A$7:$AC$128,$A119,$AB$6:$AB$127)*X$5,0)</f>
        <v>0</v>
      </c>
      <c r="Y119" s="26">
        <f>IF(AND(COLUMN()&gt;=11,COLUMN()&lt;=20),(_xlfn.XLOOKUP($A119,#REF!,#REF!))/SUMIF($A$7:$AC$128,$A119,$AB$6:$AB$127)*Y$5,0)</f>
        <v>0</v>
      </c>
      <c r="Z119" s="26">
        <f>IF(AND(COLUMN()&gt;=11,COLUMN()&lt;=20),(_xlfn.XLOOKUP($A119,#REF!,#REF!))/SUMIF($A$7:$AC$128,$A119,$AB$6:$AB$127)*Z$5,0)</f>
        <v>0</v>
      </c>
      <c r="AA119" s="26" t="e">
        <f t="shared" ca="1" si="16"/>
        <v>#REF!</v>
      </c>
      <c r="AB119" s="19">
        <f t="shared" si="10"/>
        <v>30</v>
      </c>
      <c r="AC119" s="20" t="e">
        <f t="shared" ca="1" si="11"/>
        <v>#REF!</v>
      </c>
      <c r="AD119" s="30" t="e">
        <f>#REF!/SUMIF(#REF!,'Curva de la oferta Prod 3'!$A119,#REF!)</f>
        <v>#REF!</v>
      </c>
      <c r="AE119" s="28"/>
      <c r="AF119" s="31"/>
      <c r="AG119" s="31"/>
      <c r="AH119" s="31"/>
      <c r="AI119" s="31"/>
      <c r="AJ119" s="31"/>
      <c r="AK119" s="31"/>
    </row>
    <row r="120" spans="1:37" ht="14.5" x14ac:dyDescent="0.35">
      <c r="A120" s="15">
        <f t="shared" si="9"/>
        <v>2035</v>
      </c>
      <c r="B120" s="18">
        <v>49430</v>
      </c>
      <c r="C120" s="26">
        <f>IF(AND(COLUMN()&gt;=11,COLUMN()&lt;=20),(_xlfn.XLOOKUP($A120,#REF!,#REF!))/SUMIF($A$7:$AC$128,$A120,$AB$6:$AB$127)*C$5,0)</f>
        <v>0</v>
      </c>
      <c r="D120" s="26">
        <f>IF(AND(COLUMN()&gt;=11,COLUMN()&lt;=20),(_xlfn.XLOOKUP($A120,#REF!,#REF!))/SUMIF($A$7:$AC$128,$A120,$AB$6:$AB$127)*D$5,0)</f>
        <v>0</v>
      </c>
      <c r="E120" s="26">
        <f>IF(AND(COLUMN()&gt;=11,COLUMN()&lt;=20),(_xlfn.XLOOKUP($A120,#REF!,#REF!))/SUMIF($A$7:$AC$128,$A120,$AB$6:$AB$127)*E$5,0)</f>
        <v>0</v>
      </c>
      <c r="F120" s="26">
        <f>IF(AND(COLUMN()&gt;=11,COLUMN()&lt;=20),(_xlfn.XLOOKUP($A120,#REF!,#REF!))/SUMIF($A$7:$AC$128,$A120,$AB$6:$AB$127)*F$5,0)</f>
        <v>0</v>
      </c>
      <c r="G120" s="26">
        <f>IF(AND(COLUMN()&gt;=11,COLUMN()&lt;=20),(_xlfn.XLOOKUP($A120,#REF!,#REF!))/SUMIF($A$7:$AC$128,$A120,$AB$6:$AB$127)*G$5,0)</f>
        <v>0</v>
      </c>
      <c r="H120" s="26">
        <f>IF(AND(COLUMN()&gt;=11,COLUMN()&lt;=20),(_xlfn.XLOOKUP($A120,#REF!,#REF!))/SUMIF($A$7:$AC$128,$A120,$AB$6:$AB$127)*H$5,0)</f>
        <v>0</v>
      </c>
      <c r="I120" s="26">
        <f>IF(AND(COLUMN()&gt;=11,COLUMN()&lt;=20),(_xlfn.XLOOKUP($A120,#REF!,#REF!))/SUMIF($A$7:$AC$128,$A120,$AB$6:$AB$127)*I$5,0)</f>
        <v>0</v>
      </c>
      <c r="J120" s="26">
        <f>IF(AND(COLUMN()&gt;=11,COLUMN()&lt;=20),(_xlfn.XLOOKUP($A120,#REF!,#REF!))/SUMIF($A$7:$AC$128,$A120,$AB$6:$AB$127)*J$5,0)</f>
        <v>0</v>
      </c>
      <c r="K120" s="26" t="e">
        <f ca="1">IF(AND(COLUMN()&gt;=11,COLUMN()&lt;=20),(_xlfn.XLOOKUP($A120,#REF!,#REF!))/SUMIF($A$7:$AC$128,$A120,$AB$6:$AB$127)*K$5,0)</f>
        <v>#REF!</v>
      </c>
      <c r="L120" s="26" t="e">
        <f ca="1">IF(AND(COLUMN()&gt;=11,COLUMN()&lt;=20),(_xlfn.XLOOKUP($A120,#REF!,#REF!))/SUMIF($A$7:$AC$128,$A120,$AB$6:$AB$127)*L$5,0)</f>
        <v>#REF!</v>
      </c>
      <c r="M120" s="26" t="e">
        <f ca="1">IF(AND(COLUMN()&gt;=11,COLUMN()&lt;=20),(_xlfn.XLOOKUP($A120,#REF!,#REF!))/SUMIF($A$7:$AC$128,$A120,$AB$6:$AB$127)*M$5,0)</f>
        <v>#REF!</v>
      </c>
      <c r="N120" s="26" t="e">
        <f ca="1">IF(AND(COLUMN()&gt;=11,COLUMN()&lt;=20),(_xlfn.XLOOKUP($A120,#REF!,#REF!))/SUMIF($A$7:$AC$128,$A120,$AB$6:$AB$127)*N$5,0)</f>
        <v>#REF!</v>
      </c>
      <c r="O120" s="26" t="e">
        <f ca="1">IF(AND(COLUMN()&gt;=11,COLUMN()&lt;=20),(_xlfn.XLOOKUP($A120,#REF!,#REF!))/SUMIF($A$7:$AC$128,$A120,$AB$6:$AB$127)*O$5,0)</f>
        <v>#REF!</v>
      </c>
      <c r="P120" s="26" t="e">
        <f ca="1">IF(AND(COLUMN()&gt;=11,COLUMN()&lt;=20),(_xlfn.XLOOKUP($A120,#REF!,#REF!))/SUMIF($A$7:$AC$128,$A120,$AB$6:$AB$127)*P$5,0)</f>
        <v>#REF!</v>
      </c>
      <c r="Q120" s="26" t="e">
        <f ca="1">IF(AND(COLUMN()&gt;=11,COLUMN()&lt;=20),(_xlfn.XLOOKUP($A120,#REF!,#REF!))/SUMIF($A$7:$AC$128,$A120,$AB$6:$AB$127)*Q$5,0)</f>
        <v>#REF!</v>
      </c>
      <c r="R120" s="26" t="e">
        <f ca="1">IF(AND(COLUMN()&gt;=11,COLUMN()&lt;=20),(_xlfn.XLOOKUP($A120,#REF!,#REF!))/SUMIF($A$7:$AC$128,$A120,$AB$6:$AB$127)*R$5,0)</f>
        <v>#REF!</v>
      </c>
      <c r="S120" s="26" t="e">
        <f ca="1">IF(AND(COLUMN()&gt;=11,COLUMN()&lt;=20),(_xlfn.XLOOKUP($A120,#REF!,#REF!))/SUMIF($A$7:$AC$128,$A120,$AB$6:$AB$127)*S$5,0)</f>
        <v>#REF!</v>
      </c>
      <c r="T120" s="26" t="e">
        <f ca="1">IF(AND(COLUMN()&gt;=11,COLUMN()&lt;=20),(_xlfn.XLOOKUP($A120,#REF!,#REF!))/SUMIF($A$7:$AC$128,$A120,$AB$6:$AB$127)*T$5,0)</f>
        <v>#REF!</v>
      </c>
      <c r="U120" s="26">
        <f>IF(AND(COLUMN()&gt;=11,COLUMN()&lt;=20),(_xlfn.XLOOKUP($A120,#REF!,#REF!))/SUMIF($A$7:$AC$128,$A120,$AB$6:$AB$127)*U$5,0)</f>
        <v>0</v>
      </c>
      <c r="V120" s="26">
        <f>IF(AND(COLUMN()&gt;=11,COLUMN()&lt;=20),(_xlfn.XLOOKUP($A120,#REF!,#REF!))/SUMIF($A$7:$AC$128,$A120,$AB$6:$AB$127)*V$5,0)</f>
        <v>0</v>
      </c>
      <c r="W120" s="26">
        <f>IF(AND(COLUMN()&gt;=11,COLUMN()&lt;=20),(_xlfn.XLOOKUP($A120,#REF!,#REF!))/SUMIF($A$7:$AC$128,$A120,$AB$6:$AB$127)*W$5,0)</f>
        <v>0</v>
      </c>
      <c r="X120" s="26">
        <f>IF(AND(COLUMN()&gt;=11,COLUMN()&lt;=20),(_xlfn.XLOOKUP($A120,#REF!,#REF!))/SUMIF($A$7:$AC$128,$A120,$AB$6:$AB$127)*X$5,0)</f>
        <v>0</v>
      </c>
      <c r="Y120" s="26">
        <f>IF(AND(COLUMN()&gt;=11,COLUMN()&lt;=20),(_xlfn.XLOOKUP($A120,#REF!,#REF!))/SUMIF($A$7:$AC$128,$A120,$AB$6:$AB$127)*Y$5,0)</f>
        <v>0</v>
      </c>
      <c r="Z120" s="26">
        <f>IF(AND(COLUMN()&gt;=11,COLUMN()&lt;=20),(_xlfn.XLOOKUP($A120,#REF!,#REF!))/SUMIF($A$7:$AC$128,$A120,$AB$6:$AB$127)*Z$5,0)</f>
        <v>0</v>
      </c>
      <c r="AA120" s="26" t="e">
        <f t="shared" ca="1" si="16"/>
        <v>#REF!</v>
      </c>
      <c r="AB120" s="19">
        <f t="shared" si="10"/>
        <v>31</v>
      </c>
      <c r="AC120" s="20" t="e">
        <f t="shared" ca="1" si="11"/>
        <v>#REF!</v>
      </c>
      <c r="AD120" s="30" t="e">
        <f>#REF!/SUMIF(#REF!,'Curva de la oferta Prod 3'!$A120,#REF!)</f>
        <v>#REF!</v>
      </c>
      <c r="AE120" s="28"/>
      <c r="AF120" s="31"/>
      <c r="AG120" s="31"/>
      <c r="AH120" s="31"/>
      <c r="AI120" s="31"/>
      <c r="AJ120" s="31"/>
      <c r="AK120" s="31"/>
    </row>
    <row r="121" spans="1:37" ht="14.5" x14ac:dyDescent="0.35">
      <c r="A121" s="15">
        <f t="shared" si="9"/>
        <v>2035</v>
      </c>
      <c r="B121" s="18">
        <v>49461</v>
      </c>
      <c r="C121" s="26">
        <f>IF(AND(COLUMN()&gt;=11,COLUMN()&lt;=20),(_xlfn.XLOOKUP($A121,#REF!,#REF!))/SUMIF($A$7:$AC$128,$A121,$AB$6:$AB$127)*C$5,0)</f>
        <v>0</v>
      </c>
      <c r="D121" s="26">
        <f>IF(AND(COLUMN()&gt;=11,COLUMN()&lt;=20),(_xlfn.XLOOKUP($A121,#REF!,#REF!))/SUMIF($A$7:$AC$128,$A121,$AB$6:$AB$127)*D$5,0)</f>
        <v>0</v>
      </c>
      <c r="E121" s="26">
        <f>IF(AND(COLUMN()&gt;=11,COLUMN()&lt;=20),(_xlfn.XLOOKUP($A121,#REF!,#REF!))/SUMIF($A$7:$AC$128,$A121,$AB$6:$AB$127)*E$5,0)</f>
        <v>0</v>
      </c>
      <c r="F121" s="26">
        <f>IF(AND(COLUMN()&gt;=11,COLUMN()&lt;=20),(_xlfn.XLOOKUP($A121,#REF!,#REF!))/SUMIF($A$7:$AC$128,$A121,$AB$6:$AB$127)*F$5,0)</f>
        <v>0</v>
      </c>
      <c r="G121" s="26">
        <f>IF(AND(COLUMN()&gt;=11,COLUMN()&lt;=20),(_xlfn.XLOOKUP($A121,#REF!,#REF!))/SUMIF($A$7:$AC$128,$A121,$AB$6:$AB$127)*G$5,0)</f>
        <v>0</v>
      </c>
      <c r="H121" s="26">
        <f>IF(AND(COLUMN()&gt;=11,COLUMN()&lt;=20),(_xlfn.XLOOKUP($A121,#REF!,#REF!))/SUMIF($A$7:$AC$128,$A121,$AB$6:$AB$127)*H$5,0)</f>
        <v>0</v>
      </c>
      <c r="I121" s="26">
        <f>IF(AND(COLUMN()&gt;=11,COLUMN()&lt;=20),(_xlfn.XLOOKUP($A121,#REF!,#REF!))/SUMIF($A$7:$AC$128,$A121,$AB$6:$AB$127)*I$5,0)</f>
        <v>0</v>
      </c>
      <c r="J121" s="26">
        <f>IF(AND(COLUMN()&gt;=11,COLUMN()&lt;=20),(_xlfn.XLOOKUP($A121,#REF!,#REF!))/SUMIF($A$7:$AC$128,$A121,$AB$6:$AB$127)*J$5,0)</f>
        <v>0</v>
      </c>
      <c r="K121" s="26" t="e">
        <f ca="1">IF(AND(COLUMN()&gt;=11,COLUMN()&lt;=20),(_xlfn.XLOOKUP($A121,#REF!,#REF!))/SUMIF($A$7:$AC$128,$A121,$AB$6:$AB$127)*K$5,0)</f>
        <v>#REF!</v>
      </c>
      <c r="L121" s="26" t="e">
        <f ca="1">IF(AND(COLUMN()&gt;=11,COLUMN()&lt;=20),(_xlfn.XLOOKUP($A121,#REF!,#REF!))/SUMIF($A$7:$AC$128,$A121,$AB$6:$AB$127)*L$5,0)</f>
        <v>#REF!</v>
      </c>
      <c r="M121" s="26" t="e">
        <f ca="1">IF(AND(COLUMN()&gt;=11,COLUMN()&lt;=20),(_xlfn.XLOOKUP($A121,#REF!,#REF!))/SUMIF($A$7:$AC$128,$A121,$AB$6:$AB$127)*M$5,0)</f>
        <v>#REF!</v>
      </c>
      <c r="N121" s="26" t="e">
        <f ca="1">IF(AND(COLUMN()&gt;=11,COLUMN()&lt;=20),(_xlfn.XLOOKUP($A121,#REF!,#REF!))/SUMIF($A$7:$AC$128,$A121,$AB$6:$AB$127)*N$5,0)</f>
        <v>#REF!</v>
      </c>
      <c r="O121" s="26" t="e">
        <f ca="1">IF(AND(COLUMN()&gt;=11,COLUMN()&lt;=20),(_xlfn.XLOOKUP($A121,#REF!,#REF!))/SUMIF($A$7:$AC$128,$A121,$AB$6:$AB$127)*O$5,0)</f>
        <v>#REF!</v>
      </c>
      <c r="P121" s="26" t="e">
        <f ca="1">IF(AND(COLUMN()&gt;=11,COLUMN()&lt;=20),(_xlfn.XLOOKUP($A121,#REF!,#REF!))/SUMIF($A$7:$AC$128,$A121,$AB$6:$AB$127)*P$5,0)</f>
        <v>#REF!</v>
      </c>
      <c r="Q121" s="26" t="e">
        <f ca="1">IF(AND(COLUMN()&gt;=11,COLUMN()&lt;=20),(_xlfn.XLOOKUP($A121,#REF!,#REF!))/SUMIF($A$7:$AC$128,$A121,$AB$6:$AB$127)*Q$5,0)</f>
        <v>#REF!</v>
      </c>
      <c r="R121" s="26" t="e">
        <f ca="1">IF(AND(COLUMN()&gt;=11,COLUMN()&lt;=20),(_xlfn.XLOOKUP($A121,#REF!,#REF!))/SUMIF($A$7:$AC$128,$A121,$AB$6:$AB$127)*R$5,0)</f>
        <v>#REF!</v>
      </c>
      <c r="S121" s="26" t="e">
        <f ca="1">IF(AND(COLUMN()&gt;=11,COLUMN()&lt;=20),(_xlfn.XLOOKUP($A121,#REF!,#REF!))/SUMIF($A$7:$AC$128,$A121,$AB$6:$AB$127)*S$5,0)</f>
        <v>#REF!</v>
      </c>
      <c r="T121" s="26" t="e">
        <f ca="1">IF(AND(COLUMN()&gt;=11,COLUMN()&lt;=20),(_xlfn.XLOOKUP($A121,#REF!,#REF!))/SUMIF($A$7:$AC$128,$A121,$AB$6:$AB$127)*T$5,0)</f>
        <v>#REF!</v>
      </c>
      <c r="U121" s="26">
        <f>IF(AND(COLUMN()&gt;=11,COLUMN()&lt;=20),(_xlfn.XLOOKUP($A121,#REF!,#REF!))/SUMIF($A$7:$AC$128,$A121,$AB$6:$AB$127)*U$5,0)</f>
        <v>0</v>
      </c>
      <c r="V121" s="26">
        <f>IF(AND(COLUMN()&gt;=11,COLUMN()&lt;=20),(_xlfn.XLOOKUP($A121,#REF!,#REF!))/SUMIF($A$7:$AC$128,$A121,$AB$6:$AB$127)*V$5,0)</f>
        <v>0</v>
      </c>
      <c r="W121" s="26">
        <f>IF(AND(COLUMN()&gt;=11,COLUMN()&lt;=20),(_xlfn.XLOOKUP($A121,#REF!,#REF!))/SUMIF($A$7:$AC$128,$A121,$AB$6:$AB$127)*W$5,0)</f>
        <v>0</v>
      </c>
      <c r="X121" s="26">
        <f>IF(AND(COLUMN()&gt;=11,COLUMN()&lt;=20),(_xlfn.XLOOKUP($A121,#REF!,#REF!))/SUMIF($A$7:$AC$128,$A121,$AB$6:$AB$127)*X$5,0)</f>
        <v>0</v>
      </c>
      <c r="Y121" s="26">
        <f>IF(AND(COLUMN()&gt;=11,COLUMN()&lt;=20),(_xlfn.XLOOKUP($A121,#REF!,#REF!))/SUMIF($A$7:$AC$128,$A121,$AB$6:$AB$127)*Y$5,0)</f>
        <v>0</v>
      </c>
      <c r="Z121" s="26">
        <f>IF(AND(COLUMN()&gt;=11,COLUMN()&lt;=20),(_xlfn.XLOOKUP($A121,#REF!,#REF!))/SUMIF($A$7:$AC$128,$A121,$AB$6:$AB$127)*Z$5,0)</f>
        <v>0</v>
      </c>
      <c r="AA121" s="26" t="e">
        <f t="shared" ca="1" si="16"/>
        <v>#REF!</v>
      </c>
      <c r="AB121" s="19">
        <f t="shared" si="10"/>
        <v>30</v>
      </c>
      <c r="AC121" s="20" t="e">
        <f t="shared" ca="1" si="11"/>
        <v>#REF!</v>
      </c>
      <c r="AD121" s="30" t="e">
        <f>#REF!/SUMIF(#REF!,'Curva de la oferta Prod 3'!$A121,#REF!)</f>
        <v>#REF!</v>
      </c>
      <c r="AE121" s="28"/>
      <c r="AF121" s="31"/>
      <c r="AG121" s="31"/>
      <c r="AH121" s="31"/>
      <c r="AI121" s="31"/>
      <c r="AJ121" s="31"/>
      <c r="AK121" s="31"/>
    </row>
    <row r="122" spans="1:37" ht="14.5" x14ac:dyDescent="0.35">
      <c r="A122" s="15">
        <f t="shared" si="9"/>
        <v>2035</v>
      </c>
      <c r="B122" s="18">
        <v>49491</v>
      </c>
      <c r="C122" s="26">
        <f>IF(AND(COLUMN()&gt;=11,COLUMN()&lt;=20),(_xlfn.XLOOKUP($A122,#REF!,#REF!))/SUMIF($A$7:$AC$128,$A122,$AB$6:$AB$127)*C$5,0)</f>
        <v>0</v>
      </c>
      <c r="D122" s="26">
        <f>IF(AND(COLUMN()&gt;=11,COLUMN()&lt;=20),(_xlfn.XLOOKUP($A122,#REF!,#REF!))/SUMIF($A$7:$AC$128,$A122,$AB$6:$AB$127)*D$5,0)</f>
        <v>0</v>
      </c>
      <c r="E122" s="26">
        <f>IF(AND(COLUMN()&gt;=11,COLUMN()&lt;=20),(_xlfn.XLOOKUP($A122,#REF!,#REF!))/SUMIF($A$7:$AC$128,$A122,$AB$6:$AB$127)*E$5,0)</f>
        <v>0</v>
      </c>
      <c r="F122" s="26">
        <f>IF(AND(COLUMN()&gt;=11,COLUMN()&lt;=20),(_xlfn.XLOOKUP($A122,#REF!,#REF!))/SUMIF($A$7:$AC$128,$A122,$AB$6:$AB$127)*F$5,0)</f>
        <v>0</v>
      </c>
      <c r="G122" s="26">
        <f>IF(AND(COLUMN()&gt;=11,COLUMN()&lt;=20),(_xlfn.XLOOKUP($A122,#REF!,#REF!))/SUMIF($A$7:$AC$128,$A122,$AB$6:$AB$127)*G$5,0)</f>
        <v>0</v>
      </c>
      <c r="H122" s="26">
        <f>IF(AND(COLUMN()&gt;=11,COLUMN()&lt;=20),(_xlfn.XLOOKUP($A122,#REF!,#REF!))/SUMIF($A$7:$AC$128,$A122,$AB$6:$AB$127)*H$5,0)</f>
        <v>0</v>
      </c>
      <c r="I122" s="26">
        <f>IF(AND(COLUMN()&gt;=11,COLUMN()&lt;=20),(_xlfn.XLOOKUP($A122,#REF!,#REF!))/SUMIF($A$7:$AC$128,$A122,$AB$6:$AB$127)*I$5,0)</f>
        <v>0</v>
      </c>
      <c r="J122" s="26">
        <f>IF(AND(COLUMN()&gt;=11,COLUMN()&lt;=20),(_xlfn.XLOOKUP($A122,#REF!,#REF!))/SUMIF($A$7:$AC$128,$A122,$AB$6:$AB$127)*J$5,0)</f>
        <v>0</v>
      </c>
      <c r="K122" s="26" t="e">
        <f ca="1">IF(AND(COLUMN()&gt;=11,COLUMN()&lt;=20),(_xlfn.XLOOKUP($A122,#REF!,#REF!))/SUMIF($A$7:$AC$128,$A122,$AB$6:$AB$127)*K$5,0)</f>
        <v>#REF!</v>
      </c>
      <c r="L122" s="26" t="e">
        <f ca="1">IF(AND(COLUMN()&gt;=11,COLUMN()&lt;=20),(_xlfn.XLOOKUP($A122,#REF!,#REF!))/SUMIF($A$7:$AC$128,$A122,$AB$6:$AB$127)*L$5,0)</f>
        <v>#REF!</v>
      </c>
      <c r="M122" s="26" t="e">
        <f ca="1">IF(AND(COLUMN()&gt;=11,COLUMN()&lt;=20),(_xlfn.XLOOKUP($A122,#REF!,#REF!))/SUMIF($A$7:$AC$128,$A122,$AB$6:$AB$127)*M$5,0)</f>
        <v>#REF!</v>
      </c>
      <c r="N122" s="26" t="e">
        <f ca="1">IF(AND(COLUMN()&gt;=11,COLUMN()&lt;=20),(_xlfn.XLOOKUP($A122,#REF!,#REF!))/SUMIF($A$7:$AC$128,$A122,$AB$6:$AB$127)*N$5,0)</f>
        <v>#REF!</v>
      </c>
      <c r="O122" s="26" t="e">
        <f ca="1">IF(AND(COLUMN()&gt;=11,COLUMN()&lt;=20),(_xlfn.XLOOKUP($A122,#REF!,#REF!))/SUMIF($A$7:$AC$128,$A122,$AB$6:$AB$127)*O$5,0)</f>
        <v>#REF!</v>
      </c>
      <c r="P122" s="26" t="e">
        <f ca="1">IF(AND(COLUMN()&gt;=11,COLUMN()&lt;=20),(_xlfn.XLOOKUP($A122,#REF!,#REF!))/SUMIF($A$7:$AC$128,$A122,$AB$6:$AB$127)*P$5,0)</f>
        <v>#REF!</v>
      </c>
      <c r="Q122" s="26" t="e">
        <f ca="1">IF(AND(COLUMN()&gt;=11,COLUMN()&lt;=20),(_xlfn.XLOOKUP($A122,#REF!,#REF!))/SUMIF($A$7:$AC$128,$A122,$AB$6:$AB$127)*Q$5,0)</f>
        <v>#REF!</v>
      </c>
      <c r="R122" s="26" t="e">
        <f ca="1">IF(AND(COLUMN()&gt;=11,COLUMN()&lt;=20),(_xlfn.XLOOKUP($A122,#REF!,#REF!))/SUMIF($A$7:$AC$128,$A122,$AB$6:$AB$127)*R$5,0)</f>
        <v>#REF!</v>
      </c>
      <c r="S122" s="26" t="e">
        <f ca="1">IF(AND(COLUMN()&gt;=11,COLUMN()&lt;=20),(_xlfn.XLOOKUP($A122,#REF!,#REF!))/SUMIF($A$7:$AC$128,$A122,$AB$6:$AB$127)*S$5,0)</f>
        <v>#REF!</v>
      </c>
      <c r="T122" s="26" t="e">
        <f ca="1">IF(AND(COLUMN()&gt;=11,COLUMN()&lt;=20),(_xlfn.XLOOKUP($A122,#REF!,#REF!))/SUMIF($A$7:$AC$128,$A122,$AB$6:$AB$127)*T$5,0)</f>
        <v>#REF!</v>
      </c>
      <c r="U122" s="26">
        <f>IF(AND(COLUMN()&gt;=11,COLUMN()&lt;=20),(_xlfn.XLOOKUP($A122,#REF!,#REF!))/SUMIF($A$7:$AC$128,$A122,$AB$6:$AB$127)*U$5,0)</f>
        <v>0</v>
      </c>
      <c r="V122" s="26">
        <f>IF(AND(COLUMN()&gt;=11,COLUMN()&lt;=20),(_xlfn.XLOOKUP($A122,#REF!,#REF!))/SUMIF($A$7:$AC$128,$A122,$AB$6:$AB$127)*V$5,0)</f>
        <v>0</v>
      </c>
      <c r="W122" s="26">
        <f>IF(AND(COLUMN()&gt;=11,COLUMN()&lt;=20),(_xlfn.XLOOKUP($A122,#REF!,#REF!))/SUMIF($A$7:$AC$128,$A122,$AB$6:$AB$127)*W$5,0)</f>
        <v>0</v>
      </c>
      <c r="X122" s="26">
        <f>IF(AND(COLUMN()&gt;=11,COLUMN()&lt;=20),(_xlfn.XLOOKUP($A122,#REF!,#REF!))/SUMIF($A$7:$AC$128,$A122,$AB$6:$AB$127)*X$5,0)</f>
        <v>0</v>
      </c>
      <c r="Y122" s="26">
        <f>IF(AND(COLUMN()&gt;=11,COLUMN()&lt;=20),(_xlfn.XLOOKUP($A122,#REF!,#REF!))/SUMIF($A$7:$AC$128,$A122,$AB$6:$AB$127)*Y$5,0)</f>
        <v>0</v>
      </c>
      <c r="Z122" s="26">
        <f>IF(AND(COLUMN()&gt;=11,COLUMN()&lt;=20),(_xlfn.XLOOKUP($A122,#REF!,#REF!))/SUMIF($A$7:$AC$128,$A122,$AB$6:$AB$127)*Z$5,0)</f>
        <v>0</v>
      </c>
      <c r="AA122" s="26" t="e">
        <f t="shared" ca="1" si="16"/>
        <v>#REF!</v>
      </c>
      <c r="AB122" s="19">
        <f t="shared" si="10"/>
        <v>31</v>
      </c>
      <c r="AC122" s="20" t="e">
        <f t="shared" ca="1" si="11"/>
        <v>#REF!</v>
      </c>
      <c r="AD122" s="30" t="e">
        <f>#REF!/SUMIF(#REF!,'Curva de la oferta Prod 3'!$A122,#REF!)</f>
        <v>#REF!</v>
      </c>
      <c r="AE122" s="28"/>
      <c r="AF122" s="31"/>
      <c r="AG122" s="31"/>
      <c r="AH122" s="31"/>
      <c r="AI122" s="31"/>
      <c r="AJ122" s="31"/>
      <c r="AK122" s="31"/>
    </row>
    <row r="123" spans="1:37" ht="14.5" x14ac:dyDescent="0.35">
      <c r="A123" s="15">
        <f t="shared" si="9"/>
        <v>2035</v>
      </c>
      <c r="B123" s="18">
        <v>49522</v>
      </c>
      <c r="C123" s="26">
        <f>IF(AND(COLUMN()&gt;=11,COLUMN()&lt;=20),(_xlfn.XLOOKUP($A123,#REF!,#REF!))/SUMIF($A$7:$AC$128,$A123,$AB$6:$AB$127)*C$5,0)</f>
        <v>0</v>
      </c>
      <c r="D123" s="26">
        <f>IF(AND(COLUMN()&gt;=11,COLUMN()&lt;=20),(_xlfn.XLOOKUP($A123,#REF!,#REF!))/SUMIF($A$7:$AC$128,$A123,$AB$6:$AB$127)*D$5,0)</f>
        <v>0</v>
      </c>
      <c r="E123" s="26">
        <f>IF(AND(COLUMN()&gt;=11,COLUMN()&lt;=20),(_xlfn.XLOOKUP($A123,#REF!,#REF!))/SUMIF($A$7:$AC$128,$A123,$AB$6:$AB$127)*E$5,0)</f>
        <v>0</v>
      </c>
      <c r="F123" s="26">
        <f>IF(AND(COLUMN()&gt;=11,COLUMN()&lt;=20),(_xlfn.XLOOKUP($A123,#REF!,#REF!))/SUMIF($A$7:$AC$128,$A123,$AB$6:$AB$127)*F$5,0)</f>
        <v>0</v>
      </c>
      <c r="G123" s="26">
        <f>IF(AND(COLUMN()&gt;=11,COLUMN()&lt;=20),(_xlfn.XLOOKUP($A123,#REF!,#REF!))/SUMIF($A$7:$AC$128,$A123,$AB$6:$AB$127)*G$5,0)</f>
        <v>0</v>
      </c>
      <c r="H123" s="26">
        <f>IF(AND(COLUMN()&gt;=11,COLUMN()&lt;=20),(_xlfn.XLOOKUP($A123,#REF!,#REF!))/SUMIF($A$7:$AC$128,$A123,$AB$6:$AB$127)*H$5,0)</f>
        <v>0</v>
      </c>
      <c r="I123" s="26">
        <f>IF(AND(COLUMN()&gt;=11,COLUMN()&lt;=20),(_xlfn.XLOOKUP($A123,#REF!,#REF!))/SUMIF($A$7:$AC$128,$A123,$AB$6:$AB$127)*I$5,0)</f>
        <v>0</v>
      </c>
      <c r="J123" s="26">
        <f>IF(AND(COLUMN()&gt;=11,COLUMN()&lt;=20),(_xlfn.XLOOKUP($A123,#REF!,#REF!))/SUMIF($A$7:$AC$128,$A123,$AB$6:$AB$127)*J$5,0)</f>
        <v>0</v>
      </c>
      <c r="K123" s="26" t="e">
        <f ca="1">IF(AND(COLUMN()&gt;=11,COLUMN()&lt;=20),(_xlfn.XLOOKUP($A123,#REF!,#REF!))/SUMIF($A$7:$AC$128,$A123,$AB$6:$AB$127)*K$5,0)</f>
        <v>#REF!</v>
      </c>
      <c r="L123" s="26" t="e">
        <f ca="1">IF(AND(COLUMN()&gt;=11,COLUMN()&lt;=20),(_xlfn.XLOOKUP($A123,#REF!,#REF!))/SUMIF($A$7:$AC$128,$A123,$AB$6:$AB$127)*L$5,0)</f>
        <v>#REF!</v>
      </c>
      <c r="M123" s="26" t="e">
        <f ca="1">IF(AND(COLUMN()&gt;=11,COLUMN()&lt;=20),(_xlfn.XLOOKUP($A123,#REF!,#REF!))/SUMIF($A$7:$AC$128,$A123,$AB$6:$AB$127)*M$5,0)</f>
        <v>#REF!</v>
      </c>
      <c r="N123" s="26" t="e">
        <f ca="1">IF(AND(COLUMN()&gt;=11,COLUMN()&lt;=20),(_xlfn.XLOOKUP($A123,#REF!,#REF!))/SUMIF($A$7:$AC$128,$A123,$AB$6:$AB$127)*N$5,0)</f>
        <v>#REF!</v>
      </c>
      <c r="O123" s="26" t="e">
        <f ca="1">IF(AND(COLUMN()&gt;=11,COLUMN()&lt;=20),(_xlfn.XLOOKUP($A123,#REF!,#REF!))/SUMIF($A$7:$AC$128,$A123,$AB$6:$AB$127)*O$5,0)</f>
        <v>#REF!</v>
      </c>
      <c r="P123" s="26" t="e">
        <f ca="1">IF(AND(COLUMN()&gt;=11,COLUMN()&lt;=20),(_xlfn.XLOOKUP($A123,#REF!,#REF!))/SUMIF($A$7:$AC$128,$A123,$AB$6:$AB$127)*P$5,0)</f>
        <v>#REF!</v>
      </c>
      <c r="Q123" s="26" t="e">
        <f ca="1">IF(AND(COLUMN()&gt;=11,COLUMN()&lt;=20),(_xlfn.XLOOKUP($A123,#REF!,#REF!))/SUMIF($A$7:$AC$128,$A123,$AB$6:$AB$127)*Q$5,0)</f>
        <v>#REF!</v>
      </c>
      <c r="R123" s="26" t="e">
        <f ca="1">IF(AND(COLUMN()&gt;=11,COLUMN()&lt;=20),(_xlfn.XLOOKUP($A123,#REF!,#REF!))/SUMIF($A$7:$AC$128,$A123,$AB$6:$AB$127)*R$5,0)</f>
        <v>#REF!</v>
      </c>
      <c r="S123" s="26" t="e">
        <f ca="1">IF(AND(COLUMN()&gt;=11,COLUMN()&lt;=20),(_xlfn.XLOOKUP($A123,#REF!,#REF!))/SUMIF($A$7:$AC$128,$A123,$AB$6:$AB$127)*S$5,0)</f>
        <v>#REF!</v>
      </c>
      <c r="T123" s="26" t="e">
        <f ca="1">IF(AND(COLUMN()&gt;=11,COLUMN()&lt;=20),(_xlfn.XLOOKUP($A123,#REF!,#REF!))/SUMIF($A$7:$AC$128,$A123,$AB$6:$AB$127)*T$5,0)</f>
        <v>#REF!</v>
      </c>
      <c r="U123" s="26">
        <f>IF(AND(COLUMN()&gt;=11,COLUMN()&lt;=20),(_xlfn.XLOOKUP($A123,#REF!,#REF!))/SUMIF($A$7:$AC$128,$A123,$AB$6:$AB$127)*U$5,0)</f>
        <v>0</v>
      </c>
      <c r="V123" s="26">
        <f>IF(AND(COLUMN()&gt;=11,COLUMN()&lt;=20),(_xlfn.XLOOKUP($A123,#REF!,#REF!))/SUMIF($A$7:$AC$128,$A123,$AB$6:$AB$127)*V$5,0)</f>
        <v>0</v>
      </c>
      <c r="W123" s="26">
        <f>IF(AND(COLUMN()&gt;=11,COLUMN()&lt;=20),(_xlfn.XLOOKUP($A123,#REF!,#REF!))/SUMIF($A$7:$AC$128,$A123,$AB$6:$AB$127)*W$5,0)</f>
        <v>0</v>
      </c>
      <c r="X123" s="26">
        <f>IF(AND(COLUMN()&gt;=11,COLUMN()&lt;=20),(_xlfn.XLOOKUP($A123,#REF!,#REF!))/SUMIF($A$7:$AC$128,$A123,$AB$6:$AB$127)*X$5,0)</f>
        <v>0</v>
      </c>
      <c r="Y123" s="26">
        <f>IF(AND(COLUMN()&gt;=11,COLUMN()&lt;=20),(_xlfn.XLOOKUP($A123,#REF!,#REF!))/SUMIF($A$7:$AC$128,$A123,$AB$6:$AB$127)*Y$5,0)</f>
        <v>0</v>
      </c>
      <c r="Z123" s="26">
        <f>IF(AND(COLUMN()&gt;=11,COLUMN()&lt;=20),(_xlfn.XLOOKUP($A123,#REF!,#REF!))/SUMIF($A$7:$AC$128,$A123,$AB$6:$AB$127)*Z$5,0)</f>
        <v>0</v>
      </c>
      <c r="AA123" s="26" t="e">
        <f t="shared" ca="1" si="16"/>
        <v>#REF!</v>
      </c>
      <c r="AB123" s="19">
        <f t="shared" si="10"/>
        <v>31</v>
      </c>
      <c r="AC123" s="20" t="e">
        <f t="shared" ca="1" si="11"/>
        <v>#REF!</v>
      </c>
      <c r="AD123" s="30" t="e">
        <f>#REF!/SUMIF(#REF!,'Curva de la oferta Prod 3'!$A123,#REF!)</f>
        <v>#REF!</v>
      </c>
      <c r="AE123" s="28"/>
    </row>
    <row r="124" spans="1:37" ht="14.5" x14ac:dyDescent="0.35">
      <c r="A124" s="15">
        <f t="shared" si="9"/>
        <v>2035</v>
      </c>
      <c r="B124" s="18">
        <v>49553</v>
      </c>
      <c r="C124" s="26">
        <f>IF(AND(COLUMN()&gt;=11,COLUMN()&lt;=20),(_xlfn.XLOOKUP($A124,#REF!,#REF!))/SUMIF($A$7:$AC$128,$A124,$AB$6:$AB$127)*C$5,0)</f>
        <v>0</v>
      </c>
      <c r="D124" s="26">
        <f>IF(AND(COLUMN()&gt;=11,COLUMN()&lt;=20),(_xlfn.XLOOKUP($A124,#REF!,#REF!))/SUMIF($A$7:$AC$128,$A124,$AB$6:$AB$127)*D$5,0)</f>
        <v>0</v>
      </c>
      <c r="E124" s="26">
        <f>IF(AND(COLUMN()&gt;=11,COLUMN()&lt;=20),(_xlfn.XLOOKUP($A124,#REF!,#REF!))/SUMIF($A$7:$AC$128,$A124,$AB$6:$AB$127)*E$5,0)</f>
        <v>0</v>
      </c>
      <c r="F124" s="26">
        <f>IF(AND(COLUMN()&gt;=11,COLUMN()&lt;=20),(_xlfn.XLOOKUP($A124,#REF!,#REF!))/SUMIF($A$7:$AC$128,$A124,$AB$6:$AB$127)*F$5,0)</f>
        <v>0</v>
      </c>
      <c r="G124" s="26">
        <f>IF(AND(COLUMN()&gt;=11,COLUMN()&lt;=20),(_xlfn.XLOOKUP($A124,#REF!,#REF!))/SUMIF($A$7:$AC$128,$A124,$AB$6:$AB$127)*G$5,0)</f>
        <v>0</v>
      </c>
      <c r="H124" s="26">
        <f>IF(AND(COLUMN()&gt;=11,COLUMN()&lt;=20),(_xlfn.XLOOKUP($A124,#REF!,#REF!))/SUMIF($A$7:$AC$128,$A124,$AB$6:$AB$127)*H$5,0)</f>
        <v>0</v>
      </c>
      <c r="I124" s="26">
        <f>IF(AND(COLUMN()&gt;=11,COLUMN()&lt;=20),(_xlfn.XLOOKUP($A124,#REF!,#REF!))/SUMIF($A$7:$AC$128,$A124,$AB$6:$AB$127)*I$5,0)</f>
        <v>0</v>
      </c>
      <c r="J124" s="26">
        <f>IF(AND(COLUMN()&gt;=11,COLUMN()&lt;=20),(_xlfn.XLOOKUP($A124,#REF!,#REF!))/SUMIF($A$7:$AC$128,$A124,$AB$6:$AB$127)*J$5,0)</f>
        <v>0</v>
      </c>
      <c r="K124" s="26" t="e">
        <f ca="1">IF(AND(COLUMN()&gt;=11,COLUMN()&lt;=20),(_xlfn.XLOOKUP($A124,#REF!,#REF!))/SUMIF($A$7:$AC$128,$A124,$AB$6:$AB$127)*K$5,0)</f>
        <v>#REF!</v>
      </c>
      <c r="L124" s="26" t="e">
        <f ca="1">IF(AND(COLUMN()&gt;=11,COLUMN()&lt;=20),(_xlfn.XLOOKUP($A124,#REF!,#REF!))/SUMIF($A$7:$AC$128,$A124,$AB$6:$AB$127)*L$5,0)</f>
        <v>#REF!</v>
      </c>
      <c r="M124" s="26" t="e">
        <f ca="1">IF(AND(COLUMN()&gt;=11,COLUMN()&lt;=20),(_xlfn.XLOOKUP($A124,#REF!,#REF!))/SUMIF($A$7:$AC$128,$A124,$AB$6:$AB$127)*M$5,0)</f>
        <v>#REF!</v>
      </c>
      <c r="N124" s="26" t="e">
        <f ca="1">IF(AND(COLUMN()&gt;=11,COLUMN()&lt;=20),(_xlfn.XLOOKUP($A124,#REF!,#REF!))/SUMIF($A$7:$AC$128,$A124,$AB$6:$AB$127)*N$5,0)</f>
        <v>#REF!</v>
      </c>
      <c r="O124" s="26" t="e">
        <f ca="1">IF(AND(COLUMN()&gt;=11,COLUMN()&lt;=20),(_xlfn.XLOOKUP($A124,#REF!,#REF!))/SUMIF($A$7:$AC$128,$A124,$AB$6:$AB$127)*O$5,0)</f>
        <v>#REF!</v>
      </c>
      <c r="P124" s="26" t="e">
        <f ca="1">IF(AND(COLUMN()&gt;=11,COLUMN()&lt;=20),(_xlfn.XLOOKUP($A124,#REF!,#REF!))/SUMIF($A$7:$AC$128,$A124,$AB$6:$AB$127)*P$5,0)</f>
        <v>#REF!</v>
      </c>
      <c r="Q124" s="26" t="e">
        <f ca="1">IF(AND(COLUMN()&gt;=11,COLUMN()&lt;=20),(_xlfn.XLOOKUP($A124,#REF!,#REF!))/SUMIF($A$7:$AC$128,$A124,$AB$6:$AB$127)*Q$5,0)</f>
        <v>#REF!</v>
      </c>
      <c r="R124" s="26" t="e">
        <f ca="1">IF(AND(COLUMN()&gt;=11,COLUMN()&lt;=20),(_xlfn.XLOOKUP($A124,#REF!,#REF!))/SUMIF($A$7:$AC$128,$A124,$AB$6:$AB$127)*R$5,0)</f>
        <v>#REF!</v>
      </c>
      <c r="S124" s="26" t="e">
        <f ca="1">IF(AND(COLUMN()&gt;=11,COLUMN()&lt;=20),(_xlfn.XLOOKUP($A124,#REF!,#REF!))/SUMIF($A$7:$AC$128,$A124,$AB$6:$AB$127)*S$5,0)</f>
        <v>#REF!</v>
      </c>
      <c r="T124" s="26" t="e">
        <f ca="1">IF(AND(COLUMN()&gt;=11,COLUMN()&lt;=20),(_xlfn.XLOOKUP($A124,#REF!,#REF!))/SUMIF($A$7:$AC$128,$A124,$AB$6:$AB$127)*T$5,0)</f>
        <v>#REF!</v>
      </c>
      <c r="U124" s="26">
        <f>IF(AND(COLUMN()&gt;=11,COLUMN()&lt;=20),(_xlfn.XLOOKUP($A124,#REF!,#REF!))/SUMIF($A$7:$AC$128,$A124,$AB$6:$AB$127)*U$5,0)</f>
        <v>0</v>
      </c>
      <c r="V124" s="26">
        <f>IF(AND(COLUMN()&gt;=11,COLUMN()&lt;=20),(_xlfn.XLOOKUP($A124,#REF!,#REF!))/SUMIF($A$7:$AC$128,$A124,$AB$6:$AB$127)*V$5,0)</f>
        <v>0</v>
      </c>
      <c r="W124" s="26">
        <f>IF(AND(COLUMN()&gt;=11,COLUMN()&lt;=20),(_xlfn.XLOOKUP($A124,#REF!,#REF!))/SUMIF($A$7:$AC$128,$A124,$AB$6:$AB$127)*W$5,0)</f>
        <v>0</v>
      </c>
      <c r="X124" s="26">
        <f>IF(AND(COLUMN()&gt;=11,COLUMN()&lt;=20),(_xlfn.XLOOKUP($A124,#REF!,#REF!))/SUMIF($A$7:$AC$128,$A124,$AB$6:$AB$127)*X$5,0)</f>
        <v>0</v>
      </c>
      <c r="Y124" s="26">
        <f>IF(AND(COLUMN()&gt;=11,COLUMN()&lt;=20),(_xlfn.XLOOKUP($A124,#REF!,#REF!))/SUMIF($A$7:$AC$128,$A124,$AB$6:$AB$127)*Y$5,0)</f>
        <v>0</v>
      </c>
      <c r="Z124" s="26">
        <f>IF(AND(COLUMN()&gt;=11,COLUMN()&lt;=20),(_xlfn.XLOOKUP($A124,#REF!,#REF!))/SUMIF($A$7:$AC$128,$A124,$AB$6:$AB$127)*Z$5,0)</f>
        <v>0</v>
      </c>
      <c r="AA124" s="26" t="e">
        <f t="shared" ca="1" si="16"/>
        <v>#REF!</v>
      </c>
      <c r="AB124" s="19">
        <f t="shared" si="10"/>
        <v>30</v>
      </c>
      <c r="AC124" s="20" t="e">
        <f t="shared" ca="1" si="11"/>
        <v>#REF!</v>
      </c>
      <c r="AD124" s="30" t="e">
        <f>#REF!/SUMIF(#REF!,'Curva de la oferta Prod 3'!$A124,#REF!)</f>
        <v>#REF!</v>
      </c>
      <c r="AE124" s="28"/>
    </row>
    <row r="125" spans="1:37" ht="14.5" x14ac:dyDescent="0.35">
      <c r="A125" s="15">
        <f t="shared" si="9"/>
        <v>2035</v>
      </c>
      <c r="B125" s="18">
        <v>49583</v>
      </c>
      <c r="C125" s="26">
        <f>IF(AND(COLUMN()&gt;=11,COLUMN()&lt;=20),(_xlfn.XLOOKUP($A125,#REF!,#REF!))/SUMIF($A$7:$AC$128,$A125,$AB$6:$AB$127)*C$5,0)</f>
        <v>0</v>
      </c>
      <c r="D125" s="26">
        <f>IF(AND(COLUMN()&gt;=11,COLUMN()&lt;=20),(_xlfn.XLOOKUP($A125,#REF!,#REF!))/SUMIF($A$7:$AC$128,$A125,$AB$6:$AB$127)*D$5,0)</f>
        <v>0</v>
      </c>
      <c r="E125" s="26">
        <f>IF(AND(COLUMN()&gt;=11,COLUMN()&lt;=20),(_xlfn.XLOOKUP($A125,#REF!,#REF!))/SUMIF($A$7:$AC$128,$A125,$AB$6:$AB$127)*E$5,0)</f>
        <v>0</v>
      </c>
      <c r="F125" s="26">
        <f>IF(AND(COLUMN()&gt;=11,COLUMN()&lt;=20),(_xlfn.XLOOKUP($A125,#REF!,#REF!))/SUMIF($A$7:$AC$128,$A125,$AB$6:$AB$127)*F$5,0)</f>
        <v>0</v>
      </c>
      <c r="G125" s="26">
        <f>IF(AND(COLUMN()&gt;=11,COLUMN()&lt;=20),(_xlfn.XLOOKUP($A125,#REF!,#REF!))/SUMIF($A$7:$AC$128,$A125,$AB$6:$AB$127)*G$5,0)</f>
        <v>0</v>
      </c>
      <c r="H125" s="26">
        <f>IF(AND(COLUMN()&gt;=11,COLUMN()&lt;=20),(_xlfn.XLOOKUP($A125,#REF!,#REF!))/SUMIF($A$7:$AC$128,$A125,$AB$6:$AB$127)*H$5,0)</f>
        <v>0</v>
      </c>
      <c r="I125" s="26">
        <f>IF(AND(COLUMN()&gt;=11,COLUMN()&lt;=20),(_xlfn.XLOOKUP($A125,#REF!,#REF!))/SUMIF($A$7:$AC$128,$A125,$AB$6:$AB$127)*I$5,0)</f>
        <v>0</v>
      </c>
      <c r="J125" s="26">
        <f>IF(AND(COLUMN()&gt;=11,COLUMN()&lt;=20),(_xlfn.XLOOKUP($A125,#REF!,#REF!))/SUMIF($A$7:$AC$128,$A125,$AB$6:$AB$127)*J$5,0)</f>
        <v>0</v>
      </c>
      <c r="K125" s="26" t="e">
        <f ca="1">IF(AND(COLUMN()&gt;=11,COLUMN()&lt;=20),(_xlfn.XLOOKUP($A125,#REF!,#REF!))/SUMIF($A$7:$AC$128,$A125,$AB$6:$AB$127)*K$5,0)</f>
        <v>#REF!</v>
      </c>
      <c r="L125" s="26" t="e">
        <f ca="1">IF(AND(COLUMN()&gt;=11,COLUMN()&lt;=20),(_xlfn.XLOOKUP($A125,#REF!,#REF!))/SUMIF($A$7:$AC$128,$A125,$AB$6:$AB$127)*L$5,0)</f>
        <v>#REF!</v>
      </c>
      <c r="M125" s="26" t="e">
        <f ca="1">IF(AND(COLUMN()&gt;=11,COLUMN()&lt;=20),(_xlfn.XLOOKUP($A125,#REF!,#REF!))/SUMIF($A$7:$AC$128,$A125,$AB$6:$AB$127)*M$5,0)</f>
        <v>#REF!</v>
      </c>
      <c r="N125" s="26" t="e">
        <f ca="1">IF(AND(COLUMN()&gt;=11,COLUMN()&lt;=20),(_xlfn.XLOOKUP($A125,#REF!,#REF!))/SUMIF($A$7:$AC$128,$A125,$AB$6:$AB$127)*N$5,0)</f>
        <v>#REF!</v>
      </c>
      <c r="O125" s="26" t="e">
        <f ca="1">IF(AND(COLUMN()&gt;=11,COLUMN()&lt;=20),(_xlfn.XLOOKUP($A125,#REF!,#REF!))/SUMIF($A$7:$AC$128,$A125,$AB$6:$AB$127)*O$5,0)</f>
        <v>#REF!</v>
      </c>
      <c r="P125" s="26" t="e">
        <f ca="1">IF(AND(COLUMN()&gt;=11,COLUMN()&lt;=20),(_xlfn.XLOOKUP($A125,#REF!,#REF!))/SUMIF($A$7:$AC$128,$A125,$AB$6:$AB$127)*P$5,0)</f>
        <v>#REF!</v>
      </c>
      <c r="Q125" s="26" t="e">
        <f ca="1">IF(AND(COLUMN()&gt;=11,COLUMN()&lt;=20),(_xlfn.XLOOKUP($A125,#REF!,#REF!))/SUMIF($A$7:$AC$128,$A125,$AB$6:$AB$127)*Q$5,0)</f>
        <v>#REF!</v>
      </c>
      <c r="R125" s="26" t="e">
        <f ca="1">IF(AND(COLUMN()&gt;=11,COLUMN()&lt;=20),(_xlfn.XLOOKUP($A125,#REF!,#REF!))/SUMIF($A$7:$AC$128,$A125,$AB$6:$AB$127)*R$5,0)</f>
        <v>#REF!</v>
      </c>
      <c r="S125" s="26" t="e">
        <f ca="1">IF(AND(COLUMN()&gt;=11,COLUMN()&lt;=20),(_xlfn.XLOOKUP($A125,#REF!,#REF!))/SUMIF($A$7:$AC$128,$A125,$AB$6:$AB$127)*S$5,0)</f>
        <v>#REF!</v>
      </c>
      <c r="T125" s="26" t="e">
        <f ca="1">IF(AND(COLUMN()&gt;=11,COLUMN()&lt;=20),(_xlfn.XLOOKUP($A125,#REF!,#REF!))/SUMIF($A$7:$AC$128,$A125,$AB$6:$AB$127)*T$5,0)</f>
        <v>#REF!</v>
      </c>
      <c r="U125" s="26">
        <f>IF(AND(COLUMN()&gt;=11,COLUMN()&lt;=20),(_xlfn.XLOOKUP($A125,#REF!,#REF!))/SUMIF($A$7:$AC$128,$A125,$AB$6:$AB$127)*U$5,0)</f>
        <v>0</v>
      </c>
      <c r="V125" s="26">
        <f>IF(AND(COLUMN()&gt;=11,COLUMN()&lt;=20),(_xlfn.XLOOKUP($A125,#REF!,#REF!))/SUMIF($A$7:$AC$128,$A125,$AB$6:$AB$127)*V$5,0)</f>
        <v>0</v>
      </c>
      <c r="W125" s="26">
        <f>IF(AND(COLUMN()&gt;=11,COLUMN()&lt;=20),(_xlfn.XLOOKUP($A125,#REF!,#REF!))/SUMIF($A$7:$AC$128,$A125,$AB$6:$AB$127)*W$5,0)</f>
        <v>0</v>
      </c>
      <c r="X125" s="26">
        <f>IF(AND(COLUMN()&gt;=11,COLUMN()&lt;=20),(_xlfn.XLOOKUP($A125,#REF!,#REF!))/SUMIF($A$7:$AC$128,$A125,$AB$6:$AB$127)*X$5,0)</f>
        <v>0</v>
      </c>
      <c r="Y125" s="26">
        <f>IF(AND(COLUMN()&gt;=11,COLUMN()&lt;=20),(_xlfn.XLOOKUP($A125,#REF!,#REF!))/SUMIF($A$7:$AC$128,$A125,$AB$6:$AB$127)*Y$5,0)</f>
        <v>0</v>
      </c>
      <c r="Z125" s="26">
        <f>IF(AND(COLUMN()&gt;=11,COLUMN()&lt;=20),(_xlfn.XLOOKUP($A125,#REF!,#REF!))/SUMIF($A$7:$AC$128,$A125,$AB$6:$AB$127)*Z$5,0)</f>
        <v>0</v>
      </c>
      <c r="AA125" s="26" t="e">
        <f t="shared" ca="1" si="16"/>
        <v>#REF!</v>
      </c>
      <c r="AB125" s="19">
        <f t="shared" si="10"/>
        <v>31</v>
      </c>
      <c r="AC125" s="20" t="e">
        <f t="shared" ca="1" si="11"/>
        <v>#REF!</v>
      </c>
      <c r="AD125" s="30" t="e">
        <f>#REF!/SUMIF(#REF!,'Curva de la oferta Prod 3'!$A125,#REF!)</f>
        <v>#REF!</v>
      </c>
      <c r="AE125" s="28"/>
    </row>
    <row r="126" spans="1:37" ht="14.5" x14ac:dyDescent="0.35">
      <c r="A126" s="15">
        <f t="shared" si="9"/>
        <v>2035</v>
      </c>
      <c r="B126" s="18">
        <v>49614</v>
      </c>
      <c r="C126" s="26">
        <f>IF(AND(COLUMN()&gt;=11,COLUMN()&lt;=20),(_xlfn.XLOOKUP($A126,#REF!,#REF!))/SUMIF($A$7:$AC$128,$A126,$AB$6:$AB$127)*C$5,0)</f>
        <v>0</v>
      </c>
      <c r="D126" s="26">
        <f>IF(AND(COLUMN()&gt;=11,COLUMN()&lt;=20),(_xlfn.XLOOKUP($A126,#REF!,#REF!))/SUMIF($A$7:$AC$128,$A126,$AB$6:$AB$127)*D$5,0)</f>
        <v>0</v>
      </c>
      <c r="E126" s="26">
        <f>IF(AND(COLUMN()&gt;=11,COLUMN()&lt;=20),(_xlfn.XLOOKUP($A126,#REF!,#REF!))/SUMIF($A$7:$AC$128,$A126,$AB$6:$AB$127)*E$5,0)</f>
        <v>0</v>
      </c>
      <c r="F126" s="26">
        <f>IF(AND(COLUMN()&gt;=11,COLUMN()&lt;=20),(_xlfn.XLOOKUP($A126,#REF!,#REF!))/SUMIF($A$7:$AC$128,$A126,$AB$6:$AB$127)*F$5,0)</f>
        <v>0</v>
      </c>
      <c r="G126" s="26">
        <f>IF(AND(COLUMN()&gt;=11,COLUMN()&lt;=20),(_xlfn.XLOOKUP($A126,#REF!,#REF!))/SUMIF($A$7:$AC$128,$A126,$AB$6:$AB$127)*G$5,0)</f>
        <v>0</v>
      </c>
      <c r="H126" s="26">
        <f>IF(AND(COLUMN()&gt;=11,COLUMN()&lt;=20),(_xlfn.XLOOKUP($A126,#REF!,#REF!))/SUMIF($A$7:$AC$128,$A126,$AB$6:$AB$127)*H$5,0)</f>
        <v>0</v>
      </c>
      <c r="I126" s="26">
        <f>IF(AND(COLUMN()&gt;=11,COLUMN()&lt;=20),(_xlfn.XLOOKUP($A126,#REF!,#REF!))/SUMIF($A$7:$AC$128,$A126,$AB$6:$AB$127)*I$5,0)</f>
        <v>0</v>
      </c>
      <c r="J126" s="26">
        <f>IF(AND(COLUMN()&gt;=11,COLUMN()&lt;=20),(_xlfn.XLOOKUP($A126,#REF!,#REF!))/SUMIF($A$7:$AC$128,$A126,$AB$6:$AB$127)*J$5,0)</f>
        <v>0</v>
      </c>
      <c r="K126" s="26" t="e">
        <f ca="1">IF(AND(COLUMN()&gt;=11,COLUMN()&lt;=20),(_xlfn.XLOOKUP($A126,#REF!,#REF!))/SUMIF($A$7:$AC$128,$A126,$AB$6:$AB$127)*K$5,0)</f>
        <v>#REF!</v>
      </c>
      <c r="L126" s="26" t="e">
        <f ca="1">IF(AND(COLUMN()&gt;=11,COLUMN()&lt;=20),(_xlfn.XLOOKUP($A126,#REF!,#REF!))/SUMIF($A$7:$AC$128,$A126,$AB$6:$AB$127)*L$5,0)</f>
        <v>#REF!</v>
      </c>
      <c r="M126" s="26" t="e">
        <f ca="1">IF(AND(COLUMN()&gt;=11,COLUMN()&lt;=20),(_xlfn.XLOOKUP($A126,#REF!,#REF!))/SUMIF($A$7:$AC$128,$A126,$AB$6:$AB$127)*M$5,0)</f>
        <v>#REF!</v>
      </c>
      <c r="N126" s="26" t="e">
        <f ca="1">IF(AND(COLUMN()&gt;=11,COLUMN()&lt;=20),(_xlfn.XLOOKUP($A126,#REF!,#REF!))/SUMIF($A$7:$AC$128,$A126,$AB$6:$AB$127)*N$5,0)</f>
        <v>#REF!</v>
      </c>
      <c r="O126" s="26" t="e">
        <f ca="1">IF(AND(COLUMN()&gt;=11,COLUMN()&lt;=20),(_xlfn.XLOOKUP($A126,#REF!,#REF!))/SUMIF($A$7:$AC$128,$A126,$AB$6:$AB$127)*O$5,0)</f>
        <v>#REF!</v>
      </c>
      <c r="P126" s="26" t="e">
        <f ca="1">IF(AND(COLUMN()&gt;=11,COLUMN()&lt;=20),(_xlfn.XLOOKUP($A126,#REF!,#REF!))/SUMIF($A$7:$AC$128,$A126,$AB$6:$AB$127)*P$5,0)</f>
        <v>#REF!</v>
      </c>
      <c r="Q126" s="26" t="e">
        <f ca="1">IF(AND(COLUMN()&gt;=11,COLUMN()&lt;=20),(_xlfn.XLOOKUP($A126,#REF!,#REF!))/SUMIF($A$7:$AC$128,$A126,$AB$6:$AB$127)*Q$5,0)</f>
        <v>#REF!</v>
      </c>
      <c r="R126" s="26" t="e">
        <f ca="1">IF(AND(COLUMN()&gt;=11,COLUMN()&lt;=20),(_xlfn.XLOOKUP($A126,#REF!,#REF!))/SUMIF($A$7:$AC$128,$A126,$AB$6:$AB$127)*R$5,0)</f>
        <v>#REF!</v>
      </c>
      <c r="S126" s="26" t="e">
        <f ca="1">IF(AND(COLUMN()&gt;=11,COLUMN()&lt;=20),(_xlfn.XLOOKUP($A126,#REF!,#REF!))/SUMIF($A$7:$AC$128,$A126,$AB$6:$AB$127)*S$5,0)</f>
        <v>#REF!</v>
      </c>
      <c r="T126" s="26" t="e">
        <f ca="1">IF(AND(COLUMN()&gt;=11,COLUMN()&lt;=20),(_xlfn.XLOOKUP($A126,#REF!,#REF!))/SUMIF($A$7:$AC$128,$A126,$AB$6:$AB$127)*T$5,0)</f>
        <v>#REF!</v>
      </c>
      <c r="U126" s="26">
        <f>IF(AND(COLUMN()&gt;=11,COLUMN()&lt;=20),(_xlfn.XLOOKUP($A126,#REF!,#REF!))/SUMIF($A$7:$AC$128,$A126,$AB$6:$AB$127)*U$5,0)</f>
        <v>0</v>
      </c>
      <c r="V126" s="26">
        <f>IF(AND(COLUMN()&gt;=11,COLUMN()&lt;=20),(_xlfn.XLOOKUP($A126,#REF!,#REF!))/SUMIF($A$7:$AC$128,$A126,$AB$6:$AB$127)*V$5,0)</f>
        <v>0</v>
      </c>
      <c r="W126" s="26">
        <f>IF(AND(COLUMN()&gt;=11,COLUMN()&lt;=20),(_xlfn.XLOOKUP($A126,#REF!,#REF!))/SUMIF($A$7:$AC$128,$A126,$AB$6:$AB$127)*W$5,0)</f>
        <v>0</v>
      </c>
      <c r="X126" s="26">
        <f>IF(AND(COLUMN()&gt;=11,COLUMN()&lt;=20),(_xlfn.XLOOKUP($A126,#REF!,#REF!))/SUMIF($A$7:$AC$128,$A126,$AB$6:$AB$127)*X$5,0)</f>
        <v>0</v>
      </c>
      <c r="Y126" s="26">
        <f>IF(AND(COLUMN()&gt;=11,COLUMN()&lt;=20),(_xlfn.XLOOKUP($A126,#REF!,#REF!))/SUMIF($A$7:$AC$128,$A126,$AB$6:$AB$127)*Y$5,0)</f>
        <v>0</v>
      </c>
      <c r="Z126" s="26">
        <f>IF(AND(COLUMN()&gt;=11,COLUMN()&lt;=20),(_xlfn.XLOOKUP($A126,#REF!,#REF!))/SUMIF($A$7:$AC$128,$A126,$AB$6:$AB$127)*Z$5,0)</f>
        <v>0</v>
      </c>
      <c r="AA126" s="26" t="e">
        <f t="shared" ca="1" si="16"/>
        <v>#REF!</v>
      </c>
      <c r="AB126" s="19">
        <f t="shared" si="10"/>
        <v>30</v>
      </c>
      <c r="AC126" s="20" t="e">
        <f t="shared" ca="1" si="11"/>
        <v>#REF!</v>
      </c>
      <c r="AD126" s="30" t="e">
        <f>#REF!/SUMIF(#REF!,'Curva de la oferta Prod 3'!$A126,#REF!)</f>
        <v>#REF!</v>
      </c>
      <c r="AE126" s="28"/>
    </row>
    <row r="127" spans="1:37" ht="14.5" x14ac:dyDescent="0.35">
      <c r="A127" s="15">
        <f t="shared" si="9"/>
        <v>2035</v>
      </c>
      <c r="B127" s="18">
        <v>49644</v>
      </c>
      <c r="C127" s="26">
        <f>IF(AND(COLUMN()&gt;=11,COLUMN()&lt;=20),(_xlfn.XLOOKUP($A127,#REF!,#REF!))/SUMIF($A$7:$AC$128,$A127,$AB$6:$AB$127)*C$5,0)</f>
        <v>0</v>
      </c>
      <c r="D127" s="26">
        <f>IF(AND(COLUMN()&gt;=11,COLUMN()&lt;=20),(_xlfn.XLOOKUP($A127,#REF!,#REF!))/SUMIF($A$7:$AC$128,$A127,$AB$6:$AB$127)*D$5,0)</f>
        <v>0</v>
      </c>
      <c r="E127" s="26">
        <f>IF(AND(COLUMN()&gt;=11,COLUMN()&lt;=20),(_xlfn.XLOOKUP($A127,#REF!,#REF!))/SUMIF($A$7:$AC$128,$A127,$AB$6:$AB$127)*E$5,0)</f>
        <v>0</v>
      </c>
      <c r="F127" s="26">
        <f>IF(AND(COLUMN()&gt;=11,COLUMN()&lt;=20),(_xlfn.XLOOKUP($A127,#REF!,#REF!))/SUMIF($A$7:$AC$128,$A127,$AB$6:$AB$127)*F$5,0)</f>
        <v>0</v>
      </c>
      <c r="G127" s="26">
        <f>IF(AND(COLUMN()&gt;=11,COLUMN()&lt;=20),(_xlfn.XLOOKUP($A127,#REF!,#REF!))/SUMIF($A$7:$AC$128,$A127,$AB$6:$AB$127)*G$5,0)</f>
        <v>0</v>
      </c>
      <c r="H127" s="26">
        <f>IF(AND(COLUMN()&gt;=11,COLUMN()&lt;=20),(_xlfn.XLOOKUP($A127,#REF!,#REF!))/SUMIF($A$7:$AC$128,$A127,$AB$6:$AB$127)*H$5,0)</f>
        <v>0</v>
      </c>
      <c r="I127" s="26">
        <f>IF(AND(COLUMN()&gt;=11,COLUMN()&lt;=20),(_xlfn.XLOOKUP($A127,#REF!,#REF!))/SUMIF($A$7:$AC$128,$A127,$AB$6:$AB$127)*I$5,0)</f>
        <v>0</v>
      </c>
      <c r="J127" s="26">
        <f>IF(AND(COLUMN()&gt;=11,COLUMN()&lt;=20),(_xlfn.XLOOKUP($A127,#REF!,#REF!))/SUMIF($A$7:$AC$128,$A127,$AB$6:$AB$127)*J$5,0)</f>
        <v>0</v>
      </c>
      <c r="K127" s="26" t="e">
        <f ca="1">IF(AND(COLUMN()&gt;=11,COLUMN()&lt;=20),(_xlfn.XLOOKUP($A127,#REF!,#REF!))/SUMIF($A$7:$AC$128,$A127,$AB$6:$AB$127)*K$5,0)</f>
        <v>#REF!</v>
      </c>
      <c r="L127" s="26" t="e">
        <f ca="1">IF(AND(COLUMN()&gt;=11,COLUMN()&lt;=20),(_xlfn.XLOOKUP($A127,#REF!,#REF!))/SUMIF($A$7:$AC$128,$A127,$AB$6:$AB$127)*L$5,0)</f>
        <v>#REF!</v>
      </c>
      <c r="M127" s="26" t="e">
        <f ca="1">IF(AND(COLUMN()&gt;=11,COLUMN()&lt;=20),(_xlfn.XLOOKUP($A127,#REF!,#REF!))/SUMIF($A$7:$AC$128,$A127,$AB$6:$AB$127)*M$5,0)</f>
        <v>#REF!</v>
      </c>
      <c r="N127" s="26" t="e">
        <f ca="1">IF(AND(COLUMN()&gt;=11,COLUMN()&lt;=20),(_xlfn.XLOOKUP($A127,#REF!,#REF!))/SUMIF($A$7:$AC$128,$A127,$AB$6:$AB$127)*N$5,0)</f>
        <v>#REF!</v>
      </c>
      <c r="O127" s="26" t="e">
        <f ca="1">IF(AND(COLUMN()&gt;=11,COLUMN()&lt;=20),(_xlfn.XLOOKUP($A127,#REF!,#REF!))/SUMIF($A$7:$AC$128,$A127,$AB$6:$AB$127)*O$5,0)</f>
        <v>#REF!</v>
      </c>
      <c r="P127" s="26" t="e">
        <f ca="1">IF(AND(COLUMN()&gt;=11,COLUMN()&lt;=20),(_xlfn.XLOOKUP($A127,#REF!,#REF!))/SUMIF($A$7:$AC$128,$A127,$AB$6:$AB$127)*P$5,0)</f>
        <v>#REF!</v>
      </c>
      <c r="Q127" s="26" t="e">
        <f ca="1">IF(AND(COLUMN()&gt;=11,COLUMN()&lt;=20),(_xlfn.XLOOKUP($A127,#REF!,#REF!))/SUMIF($A$7:$AC$128,$A127,$AB$6:$AB$127)*Q$5,0)</f>
        <v>#REF!</v>
      </c>
      <c r="R127" s="26" t="e">
        <f ca="1">IF(AND(COLUMN()&gt;=11,COLUMN()&lt;=20),(_xlfn.XLOOKUP($A127,#REF!,#REF!))/SUMIF($A$7:$AC$128,$A127,$AB$6:$AB$127)*R$5,0)</f>
        <v>#REF!</v>
      </c>
      <c r="S127" s="26" t="e">
        <f ca="1">IF(AND(COLUMN()&gt;=11,COLUMN()&lt;=20),(_xlfn.XLOOKUP($A127,#REF!,#REF!))/SUMIF($A$7:$AC$128,$A127,$AB$6:$AB$127)*S$5,0)</f>
        <v>#REF!</v>
      </c>
      <c r="T127" s="26" t="e">
        <f ca="1">IF(AND(COLUMN()&gt;=11,COLUMN()&lt;=20),(_xlfn.XLOOKUP($A127,#REF!,#REF!))/SUMIF($A$7:$AC$128,$A127,$AB$6:$AB$127)*T$5,0)</f>
        <v>#REF!</v>
      </c>
      <c r="U127" s="26">
        <f>IF(AND(COLUMN()&gt;=11,COLUMN()&lt;=20),(_xlfn.XLOOKUP($A127,#REF!,#REF!))/SUMIF($A$7:$AC$128,$A127,$AB$6:$AB$127)*U$5,0)</f>
        <v>0</v>
      </c>
      <c r="V127" s="26">
        <f>IF(AND(COLUMN()&gt;=11,COLUMN()&lt;=20),(_xlfn.XLOOKUP($A127,#REF!,#REF!))/SUMIF($A$7:$AC$128,$A127,$AB$6:$AB$127)*V$5,0)</f>
        <v>0</v>
      </c>
      <c r="W127" s="26">
        <f>IF(AND(COLUMN()&gt;=11,COLUMN()&lt;=20),(_xlfn.XLOOKUP($A127,#REF!,#REF!))/SUMIF($A$7:$AC$128,$A127,$AB$6:$AB$127)*W$5,0)</f>
        <v>0</v>
      </c>
      <c r="X127" s="26">
        <f>IF(AND(COLUMN()&gt;=11,COLUMN()&lt;=20),(_xlfn.XLOOKUP($A127,#REF!,#REF!))/SUMIF($A$7:$AC$128,$A127,$AB$6:$AB$127)*X$5,0)</f>
        <v>0</v>
      </c>
      <c r="Y127" s="26">
        <f>IF(AND(COLUMN()&gt;=11,COLUMN()&lt;=20),(_xlfn.XLOOKUP($A127,#REF!,#REF!))/SUMIF($A$7:$AC$128,$A127,$AB$6:$AB$127)*Y$5,0)</f>
        <v>0</v>
      </c>
      <c r="Z127" s="26">
        <f>IF(AND(COLUMN()&gt;=11,COLUMN()&lt;=20),(_xlfn.XLOOKUP($A127,#REF!,#REF!))/SUMIF($A$7:$AC$128,$A127,$AB$6:$AB$127)*Z$5,0)</f>
        <v>0</v>
      </c>
      <c r="AA127" s="26" t="e">
        <f t="shared" ca="1" si="16"/>
        <v>#REF!</v>
      </c>
      <c r="AB127" s="19">
        <f t="shared" si="10"/>
        <v>31</v>
      </c>
      <c r="AC127" s="20" t="e">
        <f t="shared" ca="1" si="11"/>
        <v>#REF!</v>
      </c>
      <c r="AD127" s="30" t="e">
        <f>#REF!/SUMIF(#REF!,'Curva de la oferta Prod 3'!$A127,#REF!)</f>
        <v>#REF!</v>
      </c>
      <c r="AE127" s="28"/>
    </row>
    <row r="128" spans="1:37" ht="14.5" x14ac:dyDescent="0.35">
      <c r="B128" s="21" t="s">
        <v>37</v>
      </c>
      <c r="C128" s="22">
        <f t="shared" ref="C128:AC128" si="17">+SUM(C8:C127)</f>
        <v>0</v>
      </c>
      <c r="D128" s="22">
        <f t="shared" si="17"/>
        <v>0</v>
      </c>
      <c r="E128" s="22">
        <f t="shared" si="17"/>
        <v>0</v>
      </c>
      <c r="F128" s="22">
        <f t="shared" si="17"/>
        <v>0</v>
      </c>
      <c r="G128" s="22">
        <f t="shared" si="17"/>
        <v>0</v>
      </c>
      <c r="H128" s="22">
        <f t="shared" si="17"/>
        <v>0</v>
      </c>
      <c r="I128" s="22">
        <f t="shared" si="17"/>
        <v>0</v>
      </c>
      <c r="J128" s="22">
        <f t="shared" si="17"/>
        <v>0</v>
      </c>
      <c r="K128" s="22" t="e">
        <f t="shared" ca="1" si="17"/>
        <v>#REF!</v>
      </c>
      <c r="L128" s="22" t="e">
        <f t="shared" ca="1" si="17"/>
        <v>#REF!</v>
      </c>
      <c r="M128" s="22" t="e">
        <f t="shared" ca="1" si="17"/>
        <v>#REF!</v>
      </c>
      <c r="N128" s="22" t="e">
        <f t="shared" ca="1" si="17"/>
        <v>#REF!</v>
      </c>
      <c r="O128" s="22" t="e">
        <f t="shared" ca="1" si="17"/>
        <v>#REF!</v>
      </c>
      <c r="P128" s="22" t="e">
        <f t="shared" ca="1" si="17"/>
        <v>#REF!</v>
      </c>
      <c r="Q128" s="22" t="e">
        <f t="shared" ca="1" si="17"/>
        <v>#REF!</v>
      </c>
      <c r="R128" s="22" t="e">
        <f t="shared" ca="1" si="17"/>
        <v>#REF!</v>
      </c>
      <c r="S128" s="22" t="e">
        <f t="shared" ca="1" si="17"/>
        <v>#REF!</v>
      </c>
      <c r="T128" s="22" t="e">
        <f t="shared" ca="1" si="17"/>
        <v>#REF!</v>
      </c>
      <c r="U128" s="22">
        <f t="shared" si="17"/>
        <v>0</v>
      </c>
      <c r="V128" s="22">
        <f t="shared" si="17"/>
        <v>0</v>
      </c>
      <c r="W128" s="22">
        <f t="shared" si="17"/>
        <v>0</v>
      </c>
      <c r="X128" s="22">
        <f t="shared" si="17"/>
        <v>0</v>
      </c>
      <c r="Y128" s="22">
        <f t="shared" si="17"/>
        <v>0</v>
      </c>
      <c r="Z128" s="22">
        <f t="shared" si="17"/>
        <v>0</v>
      </c>
      <c r="AA128" s="22" t="e">
        <f t="shared" ca="1" si="17"/>
        <v>#REF!</v>
      </c>
      <c r="AB128" s="23">
        <f t="shared" si="17"/>
        <v>3652</v>
      </c>
      <c r="AC128" s="24" t="e">
        <f t="shared" ca="1" si="17"/>
        <v>#REF!</v>
      </c>
      <c r="AD128" s="27"/>
      <c r="AE128"/>
    </row>
  </sheetData>
  <mergeCells count="29">
    <mergeCell ref="B3:AC4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V6:V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AD6:AD7"/>
    <mergeCell ref="W6:W7"/>
    <mergeCell ref="X6:X7"/>
    <mergeCell ref="Y6:Y7"/>
    <mergeCell ref="Z6:Z7"/>
    <mergeCell ref="AA6:AA7"/>
    <mergeCell ref="AC6:AC7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C52967167A474ABDD27D334443AB95" ma:contentTypeVersion="17" ma:contentTypeDescription="Crear nuevo documento." ma:contentTypeScope="" ma:versionID="d4c521328f41bf846e4561c5c2fa43b6">
  <xsd:schema xmlns:xsd="http://www.w3.org/2001/XMLSchema" xmlns:xs="http://www.w3.org/2001/XMLSchema" xmlns:p="http://schemas.microsoft.com/office/2006/metadata/properties" xmlns:ns2="97826b54-de19-49ee-ac62-b1fe1744a0de" xmlns:ns3="6f62393a-a723-485e-8b8f-7b0cfe5ca86a" targetNamespace="http://schemas.microsoft.com/office/2006/metadata/properties" ma:root="true" ma:fieldsID="9b2861bda78163d14dac91fa1c07556a" ns2:_="" ns3:_="">
    <xsd:import namespace="97826b54-de19-49ee-ac62-b1fe1744a0de"/>
    <xsd:import namespace="6f62393a-a723-485e-8b8f-7b0cfe5ca8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26b54-de19-49ee-ac62-b1fe1744a0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db1d78a8-738e-47a1-8bbf-6fb1ef3f43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Estado de aprobación" ma:internalName="Estado_x0020_de_x0020_aprobaci_x00f3_n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62393a-a723-485e-8b8f-7b0cfe5ca86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826b54-de19-49ee-ac62-b1fe1744a0de">
      <Terms xmlns="http://schemas.microsoft.com/office/infopath/2007/PartnerControls"/>
    </lcf76f155ced4ddcb4097134ff3c332f>
    <_Flow_SignoffStatus xmlns="97826b54-de19-49ee-ac62-b1fe1744a0de" xsi:nil="true"/>
  </documentManagement>
</p:properties>
</file>

<file path=customXml/itemProps1.xml><?xml version="1.0" encoding="utf-8"?>
<ds:datastoreItem xmlns:ds="http://schemas.openxmlformats.org/officeDocument/2006/customXml" ds:itemID="{08C510ED-68D5-4D76-B3BB-716EE86FE5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D63360-421F-4FCE-A81D-FD6B026C96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826b54-de19-49ee-ac62-b1fe1744a0de"/>
    <ds:schemaRef ds:uri="6f62393a-a723-485e-8b8f-7b0cfe5ca8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E9BDAB-B4A8-41DB-A341-C96601AED392}">
  <ds:schemaRefs>
    <ds:schemaRef ds:uri="http://schemas.microsoft.com/office/2006/metadata/properties"/>
    <ds:schemaRef ds:uri="http://schemas.microsoft.com/office/infopath/2007/PartnerControls"/>
    <ds:schemaRef ds:uri="97826b54-de19-49ee-ac62-b1fe1744a0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4</vt:i4>
      </vt:variant>
    </vt:vector>
  </HeadingPairs>
  <TitlesOfParts>
    <vt:vector size="13" baseType="lpstr">
      <vt:lpstr>Oferta Producto 1</vt:lpstr>
      <vt:lpstr>Curvas Prod 1</vt:lpstr>
      <vt:lpstr>Oferta Producto 2</vt:lpstr>
      <vt:lpstr>Curvas Prod 2</vt:lpstr>
      <vt:lpstr>Oferta Producto 3</vt:lpstr>
      <vt:lpstr>Curvas Prod 3</vt:lpstr>
      <vt:lpstr>Oferta Producto 4</vt:lpstr>
      <vt:lpstr>Curvas Prod 4</vt:lpstr>
      <vt:lpstr>Curva de la oferta Prod 3</vt:lpstr>
      <vt:lpstr>'Oferta Producto 1'!Área_de_impresión</vt:lpstr>
      <vt:lpstr>'Oferta Producto 2'!Área_de_impresión</vt:lpstr>
      <vt:lpstr>'Oferta Producto 3'!Área_de_impresión</vt:lpstr>
      <vt:lpstr>'Oferta Producto 4'!Área_de_impresión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Robinson Rojas Valderrama</dc:creator>
  <cp:keywords/>
  <dc:description/>
  <cp:lastModifiedBy>Robinson Rojas Valderrama</cp:lastModifiedBy>
  <cp:revision/>
  <dcterms:created xsi:type="dcterms:W3CDTF">2022-10-20T15:28:19Z</dcterms:created>
  <dcterms:modified xsi:type="dcterms:W3CDTF">2026-07-09T00:22:27Z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0x01010027C52967167A474ABDD27D334443AB95</vt:lpwstr>
  </property>
  <property fmtid="{D5CDD505-2E9C-101B-9397-08002B2CF9AE}" pid="3" name="MediaServiceImageTags">
    <vt:lpwstr/>
  </property>
</Properties>
</file>