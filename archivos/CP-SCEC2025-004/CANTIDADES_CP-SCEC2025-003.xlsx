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Z:\Unidades compartidas\9. COMERCIALIZADORA\2. DOCUMENTOS OPERATIVOS\6. PLANEACIÓN\5. MEM\1. COMPRA ENERGÍA\0. SICEP\CP-SCEC2025-003\Pliegos de consulta\"/>
    </mc:Choice>
  </mc:AlternateContent>
  <xr:revisionPtr revIDLastSave="0" documentId="13_ncr:1_{1D1B2B03-6B13-4904-B38D-ABF6C54ABA1B}" xr6:coauthVersionLast="47" xr6:coauthVersionMax="47" xr10:uidLastSave="{00000000-0000-0000-0000-000000000000}"/>
  <bookViews>
    <workbookView xWindow="-28920" yWindow="-120" windowWidth="29040" windowHeight="15720" tabRatio="923" xr2:uid="{00000000-000D-0000-FFFF-FFFF00000000}"/>
  </bookViews>
  <sheets>
    <sheet name="R-Producto 1" sheetId="45" r:id="rId1"/>
    <sheet name="Producto 1" sheetId="44" r:id="rId2"/>
    <sheet name="R-Producto 2" sheetId="49" r:id="rId3"/>
    <sheet name="Producto 2" sheetId="48" r:id="rId4"/>
    <sheet name="R-Producto 3" sheetId="51" r:id="rId5"/>
    <sheet name="Producto 3" sheetId="50" r:id="rId6"/>
  </sheets>
  <definedNames>
    <definedName name="_xlnm.Print_Area" localSheetId="1">'Producto 1'!$B$1:$AB$5</definedName>
    <definedName name="_xlnm.Print_Area" localSheetId="3">'Producto 2'!$B$1:$AB$5</definedName>
    <definedName name="_xlnm.Print_Area" localSheetId="5">'Producto 3'!$B$1:$AB$5</definedName>
    <definedName name="_xlnm.Print_Area" localSheetId="0">'R-Producto 1'!$C$2:$H$9</definedName>
    <definedName name="_xlnm.Print_Area" localSheetId="2">'R-Producto 2'!$C$2:$H$9</definedName>
    <definedName name="_xlnm.Print_Area" localSheetId="4">'R-Producto 3'!$C$2:$H$9</definedName>
    <definedName name="Cuadr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1" l="1"/>
  <c r="D12" i="51"/>
  <c r="D13" i="51"/>
  <c r="D14" i="51"/>
  <c r="D15" i="51"/>
  <c r="F15" i="51" s="1"/>
  <c r="D16" i="51"/>
  <c r="F16" i="51" s="1"/>
  <c r="D17" i="51"/>
  <c r="F17" i="51" s="1"/>
  <c r="D18" i="51"/>
  <c r="D19" i="51"/>
  <c r="F19" i="51" s="1"/>
  <c r="D20" i="51"/>
  <c r="F20" i="51" s="1"/>
  <c r="D21" i="51"/>
  <c r="F21" i="51" s="1"/>
  <c r="D10" i="51"/>
  <c r="F18" i="51"/>
  <c r="F14" i="51"/>
  <c r="F13" i="51"/>
  <c r="F12" i="51"/>
  <c r="F11" i="51"/>
  <c r="AC41" i="50"/>
  <c r="AC40" i="50"/>
  <c r="AC39" i="50"/>
  <c r="AC38" i="50"/>
  <c r="AC37" i="50"/>
  <c r="AC36" i="50"/>
  <c r="AC35" i="50"/>
  <c r="AC34" i="50"/>
  <c r="AC33" i="50"/>
  <c r="AC32" i="50"/>
  <c r="AC31" i="50"/>
  <c r="AC30" i="50"/>
  <c r="AC29" i="50"/>
  <c r="AC28" i="50"/>
  <c r="AC27" i="50"/>
  <c r="AC26" i="50"/>
  <c r="AC25" i="50"/>
  <c r="AC24" i="50"/>
  <c r="AC23" i="50"/>
  <c r="AC22" i="50"/>
  <c r="AC21" i="50"/>
  <c r="AC20" i="50"/>
  <c r="AC19" i="50"/>
  <c r="AC18" i="50"/>
  <c r="AC17" i="50"/>
  <c r="AC16" i="50"/>
  <c r="AC15" i="50"/>
  <c r="AC14" i="50"/>
  <c r="AC13" i="50"/>
  <c r="AC12" i="50"/>
  <c r="AC11" i="50"/>
  <c r="AC10" i="50"/>
  <c r="AC9" i="50"/>
  <c r="AC8" i="50"/>
  <c r="AC7" i="50"/>
  <c r="AC6" i="50"/>
  <c r="D11" i="49"/>
  <c r="D12" i="49"/>
  <c r="F12" i="49" s="1"/>
  <c r="D13" i="49"/>
  <c r="F13" i="49" s="1"/>
  <c r="D14" i="49"/>
  <c r="F14" i="49" s="1"/>
  <c r="D15" i="49"/>
  <c r="F15" i="49" s="1"/>
  <c r="D16" i="49"/>
  <c r="F16" i="49" s="1"/>
  <c r="D17" i="49"/>
  <c r="F17" i="49" s="1"/>
  <c r="D18" i="49"/>
  <c r="F18" i="49" s="1"/>
  <c r="D19" i="49"/>
  <c r="D20" i="49"/>
  <c r="F20" i="49" s="1"/>
  <c r="D21" i="49"/>
  <c r="F21" i="49" s="1"/>
  <c r="D10" i="49"/>
  <c r="F19" i="49"/>
  <c r="F11" i="49"/>
  <c r="AC41" i="48"/>
  <c r="AC40" i="48"/>
  <c r="AC39" i="48"/>
  <c r="AC38" i="48"/>
  <c r="AC37" i="48"/>
  <c r="AC36" i="48"/>
  <c r="AC35" i="48"/>
  <c r="AC34" i="48"/>
  <c r="AC33" i="48"/>
  <c r="AC32" i="48"/>
  <c r="AC31" i="48"/>
  <c r="AC30" i="48"/>
  <c r="AC29" i="48"/>
  <c r="AC28" i="48"/>
  <c r="AC27" i="48"/>
  <c r="AC26" i="48"/>
  <c r="AC25" i="48"/>
  <c r="AC24" i="48"/>
  <c r="AC23" i="48"/>
  <c r="AC22" i="48"/>
  <c r="AC21" i="48"/>
  <c r="AC20" i="48"/>
  <c r="AC19" i="48"/>
  <c r="AC18" i="48"/>
  <c r="AC17" i="48"/>
  <c r="AC16" i="48"/>
  <c r="AC15" i="48"/>
  <c r="AC14" i="48"/>
  <c r="AC13" i="48"/>
  <c r="AC12" i="48"/>
  <c r="AC11" i="48"/>
  <c r="AC10" i="48"/>
  <c r="AC9" i="48"/>
  <c r="AC8" i="48"/>
  <c r="AC7" i="48"/>
  <c r="AC6" i="48"/>
  <c r="F15" i="45"/>
  <c r="F16" i="45"/>
  <c r="F17" i="45"/>
  <c r="F18" i="45"/>
  <c r="F19" i="45"/>
  <c r="F20" i="45"/>
  <c r="F21" i="45"/>
  <c r="F22" i="45"/>
  <c r="F11" i="45"/>
  <c r="F12" i="45"/>
  <c r="F13" i="45"/>
  <c r="F14" i="45"/>
  <c r="F10" i="45"/>
  <c r="D21" i="45"/>
  <c r="D20" i="45"/>
  <c r="D19" i="45"/>
  <c r="D18" i="45"/>
  <c r="D17" i="45"/>
  <c r="D16" i="45"/>
  <c r="D15" i="45"/>
  <c r="D14" i="45"/>
  <c r="D13" i="45"/>
  <c r="D12" i="45"/>
  <c r="D11" i="45"/>
  <c r="D10" i="45"/>
  <c r="AC7" i="44"/>
  <c r="AC8" i="44"/>
  <c r="AC9" i="44"/>
  <c r="AC10" i="44"/>
  <c r="AC11" i="44"/>
  <c r="AC12" i="44"/>
  <c r="AC13" i="44"/>
  <c r="AC14" i="44"/>
  <c r="AC15" i="44"/>
  <c r="AC16" i="44"/>
  <c r="AC17" i="44"/>
  <c r="AC18" i="44"/>
  <c r="AC19" i="44"/>
  <c r="AC20" i="44"/>
  <c r="AC21" i="44"/>
  <c r="AC22" i="44"/>
  <c r="AC23" i="44"/>
  <c r="AC24" i="44"/>
  <c r="AC25" i="44"/>
  <c r="AC26" i="44"/>
  <c r="AC27" i="44"/>
  <c r="AC28" i="44"/>
  <c r="AC29" i="44"/>
  <c r="AC30" i="44"/>
  <c r="AC31" i="44"/>
  <c r="AC32" i="44"/>
  <c r="AC33" i="44"/>
  <c r="AC34" i="44"/>
  <c r="AC35" i="44"/>
  <c r="AC36" i="44"/>
  <c r="AC37" i="44"/>
  <c r="AC38" i="44"/>
  <c r="AC39" i="44"/>
  <c r="AC40" i="44"/>
  <c r="AC41" i="44"/>
  <c r="AC6" i="44"/>
  <c r="D22" i="51" l="1"/>
  <c r="F22" i="51" s="1"/>
  <c r="F10" i="51"/>
  <c r="D22" i="49"/>
  <c r="F22" i="49" s="1"/>
  <c r="F10" i="49"/>
  <c r="D22" i="45"/>
</calcChain>
</file>

<file path=xl/sharedStrings.xml><?xml version="1.0" encoding="utf-8"?>
<sst xmlns="http://schemas.openxmlformats.org/spreadsheetml/2006/main" count="393" uniqueCount="70">
  <si>
    <t>Mes</t>
  </si>
  <si>
    <t>Dias\Horas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</si>
  <si>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</si>
  <si>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</si>
  <si>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</si>
  <si>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</si>
  <si>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</si>
  <si>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</si>
  <si>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</si>
  <si>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</si>
  <si>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</si>
  <si>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</si>
  <si>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</si>
  <si>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</si>
  <si>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</si>
  <si>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</si>
  <si>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</si>
  <si>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</si>
  <si>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</si>
  <si>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</si>
  <si>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</si>
  <si>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</si>
  <si>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</si>
  <si>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</si>
  <si>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</si>
  <si>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May</t>
  </si>
  <si>
    <t>Jun</t>
  </si>
  <si>
    <t>Jul</t>
  </si>
  <si>
    <t>Ago</t>
  </si>
  <si>
    <t>Sep</t>
  </si>
  <si>
    <t>Oct</t>
  </si>
  <si>
    <t>Nov</t>
  </si>
  <si>
    <t>Dic</t>
  </si>
  <si>
    <t>MES</t>
  </si>
  <si>
    <t>NOMBRE DEL OFERENTE</t>
  </si>
  <si>
    <t>% E. Ofertado</t>
  </si>
  <si>
    <t>$/kWh</t>
  </si>
  <si>
    <t>AÑO</t>
  </si>
  <si>
    <t>PRODUCTO  1</t>
  </si>
  <si>
    <t>E. Solicitada
[kWh]</t>
  </si>
  <si>
    <t>E. Ofertada
[kWh]</t>
  </si>
  <si>
    <t xml:space="preserve"> - La tarifa ofertada debe tener dos decimales</t>
  </si>
  <si>
    <t xml:space="preserve"> PRECIOS Y CANTIDADES DE ENERGÍA OFERTADA</t>
  </si>
  <si>
    <t>Año</t>
  </si>
  <si>
    <t xml:space="preserve"> - El Tope Ofertado debe tener máximo dos decimales y corresponde al tope horario para cada hora del mes ofertado.</t>
  </si>
  <si>
    <t>Habil</t>
  </si>
  <si>
    <t>Sabado</t>
  </si>
  <si>
    <t>Total</t>
  </si>
  <si>
    <t>N. Días</t>
  </si>
  <si>
    <t>TOTAL PRODUCTO</t>
  </si>
  <si>
    <t>SOL &amp; CIELO ENERGÍA SAS ESP</t>
  </si>
  <si>
    <t>HO1</t>
  </si>
  <si>
    <t>Domingo y Festivo</t>
  </si>
  <si>
    <t>PRODUCTO  2</t>
  </si>
  <si>
    <t>ANEXO 4 - CANTIDADES DE  ENERGÍA ESTIMADAS EN kWh</t>
  </si>
  <si>
    <t>PERIODO:  DE 1 ENERO 2026 A 31 DICIEMBRE 2026</t>
  </si>
  <si>
    <t>Abr</t>
  </si>
  <si>
    <t>Ene</t>
  </si>
  <si>
    <t>Feb</t>
  </si>
  <si>
    <t>Mar</t>
  </si>
  <si>
    <t>PERIODO 2026-01-01 A 2026-12-31</t>
  </si>
  <si>
    <t>ANEXO 4 - OFERTAS PRODUCTO 1</t>
  </si>
  <si>
    <t xml:space="preserve"> - Por favor complete los campos azules</t>
  </si>
  <si>
    <t>PERIODO:  DE 1 ENERO 2027 A 31 DICIEMBRE 2027</t>
  </si>
  <si>
    <t>ANEXO 4 - OFERTAS PRODUCTO 2</t>
  </si>
  <si>
    <t>PERIODO 2027-01-01 A 2027-12-31</t>
  </si>
  <si>
    <t>PERIODO:  DE 1 ENERO 2028 A 31 DICIEMBRE 2028</t>
  </si>
  <si>
    <t>ANEXO 4 - OFERTAS PRODUCTO 3</t>
  </si>
  <si>
    <t>PERIODO 2028-01-01 A 2028-12-31</t>
  </si>
  <si>
    <t>PRODUCTO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</si>
</sst>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\ _€_-;\-* #,##0\ _€_-;_-* &quot;-&quot;\ _€_-;_-@_-"/>
    <numFmt numFmtId="166" formatCode="_-* #,##0.00\ _€_-;\-* #,##0.00\ _€_-;_-* &quot;-&quot;??\ _€_-;_-@_-"/>
    <numFmt numFmtId="167" formatCode="_(* #,##0.0_);_(* \(#,##0.0\);_(* &quot;-&quot;??_);_(@_)"/>
    <numFmt numFmtId="168" formatCode="_ * #,##0.00_ ;_ * \-#,##0.00_ ;_ * &quot;-&quot;??_ ;_ @_ 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8" fontId="4" fillId="0" borderId="0" applyFont="0" applyFill="0" applyBorder="0" applyAlignment="0" applyProtection="0"/>
  </cellStyleXfs>
  <cellXfs count="49">
    <xf numFmtId="0" fontId="0" fillId="0" borderId="0" xfId="0"/>
    <xf numFmtId="167" fontId="6" fillId="0" borderId="0" xfId="1" applyNumberFormat="1" applyFont="1" applyFill="1" applyBorder="1" applyAlignment="1">
      <alignment horizontal="center"/>
    </xf>
    <xf numFmtId="0" fontId="6" fillId="0" borderId="0" xfId="3" applyFont="1"/>
    <xf numFmtId="0" fontId="6" fillId="0" borderId="0" xfId="0" applyFont="1"/>
    <xf numFmtId="166" fontId="6" fillId="0" borderId="0" xfId="1" applyFont="1" applyFill="1" applyBorder="1"/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/>
    <xf numFmtId="3" fontId="6" fillId="0" borderId="0" xfId="0" applyNumberFormat="1" applyFont="1"/>
    <xf numFmtId="9" fontId="6" fillId="0" borderId="0" xfId="4" applyFont="1" applyFill="1" applyBorder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17" fontId="9" fillId="0" borderId="10" xfId="0" applyNumberFormat="1" applyFont="1" applyBorder="1" applyAlignment="1">
      <alignment horizontal="center" vertical="center"/>
    </xf>
    <xf numFmtId="165" fontId="6" fillId="0" borderId="11" xfId="2" applyFont="1" applyFill="1" applyBorder="1" applyAlignment="1">
      <alignment horizontal="center" vertical="center"/>
    </xf>
    <xf numFmtId="165" fontId="6" fillId="0" borderId="10" xfId="2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0" xfId="0" applyFont="1"/>
    <xf numFmtId="0" fontId="6" fillId="0" borderId="0" xfId="0" quotePrefix="1" applyFont="1"/>
    <xf numFmtId="165" fontId="6" fillId="0" borderId="0" xfId="0" applyNumberFormat="1" applyFont="1"/>
    <xf numFmtId="0" fontId="9" fillId="0" borderId="7" xfId="0" applyFont="1" applyBorder="1" applyAlignment="1">
      <alignment horizontal="center" vertical="center"/>
    </xf>
    <xf numFmtId="17" fontId="9" fillId="0" borderId="18" xfId="0" applyNumberFormat="1" applyFont="1" applyBorder="1" applyAlignment="1">
      <alignment horizontal="center" vertical="center"/>
    </xf>
    <xf numFmtId="165" fontId="6" fillId="0" borderId="8" xfId="2" applyFont="1" applyFill="1" applyBorder="1" applyAlignment="1">
      <alignment horizontal="center" vertical="center"/>
    </xf>
    <xf numFmtId="165" fontId="6" fillId="0" borderId="18" xfId="2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" fontId="9" fillId="0" borderId="15" xfId="0" applyNumberFormat="1" applyFont="1" applyBorder="1" applyAlignment="1">
      <alignment horizontal="center" vertical="center"/>
    </xf>
    <xf numFmtId="165" fontId="6" fillId="0" borderId="16" xfId="0" applyNumberFormat="1" applyFont="1" applyBorder="1"/>
    <xf numFmtId="165" fontId="6" fillId="0" borderId="15" xfId="2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0" xfId="0" applyFont="1" applyFill="1" applyAlignment="1" applyProtection="1">
      <alignment horizontal="center"/>
      <protection locked="0"/>
    </xf>
    <xf numFmtId="9" fontId="6" fillId="2" borderId="1" xfId="4" applyFont="1" applyFill="1" applyBorder="1" applyAlignment="1" applyProtection="1">
      <alignment horizontal="center" vertical="center"/>
      <protection locked="0"/>
    </xf>
    <xf numFmtId="9" fontId="6" fillId="2" borderId="17" xfId="4" applyFont="1" applyFill="1" applyBorder="1" applyAlignment="1" applyProtection="1">
      <alignment horizontal="center" vertical="center"/>
      <protection locked="0"/>
    </xf>
    <xf numFmtId="9" fontId="6" fillId="2" borderId="14" xfId="4" applyFont="1" applyFill="1" applyBorder="1" applyAlignment="1" applyProtection="1">
      <alignment horizontal="center" vertical="center"/>
      <protection locked="0"/>
    </xf>
    <xf numFmtId="166" fontId="6" fillId="2" borderId="3" xfId="1" applyFont="1" applyFill="1" applyBorder="1" applyAlignment="1" applyProtection="1">
      <alignment horizontal="center" vertical="center"/>
      <protection locked="0"/>
    </xf>
    <xf numFmtId="166" fontId="6" fillId="2" borderId="8" xfId="1" applyFont="1" applyFill="1" applyBorder="1" applyAlignment="1" applyProtection="1">
      <alignment horizontal="center" vertical="center"/>
      <protection locked="0"/>
    </xf>
    <xf numFmtId="2" fontId="6" fillId="2" borderId="16" xfId="1" quotePrefix="1" applyNumberFormat="1" applyFont="1" applyFill="1" applyBorder="1" applyAlignment="1" applyProtection="1">
      <alignment horizontal="center" vertical="center"/>
      <protection locked="0"/>
    </xf>
  </cellXfs>
  <cellStyles count="14">
    <cellStyle name="Millares" xfId="1" builtinId="3"/>
    <cellStyle name="Millares [0]" xfId="2" builtinId="6"/>
    <cellStyle name="Millares 2" xfId="7" xr:uid="{00000000-0005-0000-0000-000002000000}"/>
    <cellStyle name="Millares 3" xfId="9" xr:uid="{00000000-0005-0000-0000-000003000000}"/>
    <cellStyle name="Millares 4" xfId="13" xr:uid="{6DA14229-D450-4BCD-BD9A-9983C5C088F3}"/>
    <cellStyle name="Moneda 2" xfId="11" xr:uid="{D955DB16-FB66-42B4-A489-4764EC4A4088}"/>
    <cellStyle name="Normal" xfId="0" builtinId="0"/>
    <cellStyle name="Normal 2" xfId="3" xr:uid="{00000000-0005-0000-0000-000005000000}"/>
    <cellStyle name="Normal 2 2" xfId="12" xr:uid="{F7694215-9558-4456-A429-A7EDA9DC2E77}"/>
    <cellStyle name="Normal 3" xfId="5" xr:uid="{00000000-0005-0000-0000-000006000000}"/>
    <cellStyle name="Normal 4" xfId="8" xr:uid="{00000000-0005-0000-0000-000007000000}"/>
    <cellStyle name="Normal 5" xfId="10" xr:uid="{5DCFC1C1-8DB6-495A-8A3C-6EC3855601A8}"/>
    <cellStyle name="Porcentaje" xfId="4" builtinId="5"/>
    <cellStyle name="Porcentaje 2" xfId="6" xr:uid="{00000000-0005-0000-0000-000009000000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B8226-A19B-4A49-BA1D-E2B90CEAFCDE}" name="Tabla1" displayName="Tabla1" ref="A5:AC41" totalsRowShown="0" headerRowDxfId="92" dataDxfId="91" dataCellStyle="Millares">
  <autoFilter ref="A5:AC41" xr:uid="{623B8226-A19B-4A49-BA1D-E2B90CEAFCDE}"/>
  <tableColumns count="29">
    <tableColumn id="1" xr3:uid="{258FC7B1-AB2C-41E9-A4DA-A22C0F76CE93}" name="Año" dataDxfId="90" dataCellStyle="Normal 2"/>
    <tableColumn id="2" xr3:uid="{2CFE93B2-E9F0-40B3-9CCD-741BDAA0874C}" name="Mes" dataDxfId="89"/>
    <tableColumn id="3" xr3:uid="{1DF17EEE-269F-4ACD-9D0D-FC60933DE82B}" name="Dias\Horas" dataDxfId="88"/>
    <tableColumn id="4" xr3:uid="{707697F8-85C2-425A-BE80-FD1CB5DE8B72}" name="HO1" dataDxfId="87" dataCellStyle="Millares"/>
    <tableColumn id="5" xr3:uid="{7C3DBE8F-9144-4ABE-A782-F1DADD14A57D}" name="HO2" dataDxfId="86" dataCellStyle="Millares"/>
    <tableColumn id="6" xr3:uid="{DC7A1BE4-942D-4028-A791-AFFB3557B890}" name="HO3" dataDxfId="85" dataCellStyle="Millares"/>
    <tableColumn id="7" xr3:uid="{05840084-9C8D-40A2-BF0D-745725769AF7}" name="HO4" dataDxfId="84" dataCellStyle="Millares"/>
    <tableColumn id="8" xr3:uid="{476F1D24-2E1C-4362-8D75-95E46A3A2D33}" name="HO5" dataDxfId="83" dataCellStyle="Millares"/>
    <tableColumn id="9" xr3:uid="{3BB499EE-3583-40F8-9F65-998958A70E32}" name="HO6" dataDxfId="82" dataCellStyle="Millares"/>
    <tableColumn id="10" xr3:uid="{D60A03BA-156A-48A3-8980-D9BA1B3EF120}" name="HO7" dataDxfId="81" dataCellStyle="Millares"/>
    <tableColumn id="11" xr3:uid="{F8F076C4-25CA-452E-8047-3659C4FAD26F}" name="HO8" dataDxfId="80" dataCellStyle="Millares"/>
    <tableColumn id="12" xr3:uid="{0FB7A36B-4B9B-43A6-8AF2-4886F888D32F}" name="HO9" dataDxfId="79" dataCellStyle="Millares"/>
    <tableColumn id="13" xr3:uid="{7A540E58-AA37-4C1B-88BD-BDEAA76B27CA}" name="H10" dataDxfId="78" dataCellStyle="Millares"/>
    <tableColumn id="14" xr3:uid="{9C4E1837-4D81-4890-B611-89CA84F202BE}" name="H11" dataDxfId="77" dataCellStyle="Millares"/>
    <tableColumn id="15" xr3:uid="{E2A592E3-3D92-4920-BE15-B3346115244D}" name="H12" dataDxfId="76" dataCellStyle="Millares"/>
    <tableColumn id="16" xr3:uid="{4D6B59C0-4646-4E66-A96F-6FDC070B829B}" name="H13" dataDxfId="75" dataCellStyle="Millares"/>
    <tableColumn id="17" xr3:uid="{F071DE44-637F-4744-B382-4E1444E479DE}" name="H14" dataDxfId="74" dataCellStyle="Millares"/>
    <tableColumn id="18" xr3:uid="{50D7028A-6057-4636-9612-C53729934B5E}" name="H15" dataDxfId="73" dataCellStyle="Millares"/>
    <tableColumn id="19" xr3:uid="{A01D35F9-A947-4D26-A92D-F864B52732A9}" name="H16" dataDxfId="72" dataCellStyle="Millares"/>
    <tableColumn id="20" xr3:uid="{79F6CB1F-0146-432F-83EF-BAF9DB2FD289}" name="H17" dataDxfId="71" dataCellStyle="Millares"/>
    <tableColumn id="21" xr3:uid="{CC508A62-EF3E-4686-B86B-F031627D9142}" name="H18" dataDxfId="70" dataCellStyle="Millares"/>
    <tableColumn id="22" xr3:uid="{2F6E929D-CE44-44B3-95DF-92412FAF3013}" name="H19" dataDxfId="69" dataCellStyle="Millares"/>
    <tableColumn id="23" xr3:uid="{AC79BE4C-94C7-44D1-BA95-949C6A4637F1}" name="H20" dataDxfId="68" dataCellStyle="Millares"/>
    <tableColumn id="24" xr3:uid="{FF587CCF-6B2E-4491-B88D-95E97D43BFDE}" name="H21" dataDxfId="67" dataCellStyle="Millares"/>
    <tableColumn id="25" xr3:uid="{FDBBB00F-B638-4DD4-AD11-447BC4227883}" name="H22" dataDxfId="66" dataCellStyle="Millares"/>
    <tableColumn id="26" xr3:uid="{D596B851-B005-48EB-AA3E-E6774E8E1A3B}" name="H23" dataDxfId="65" dataCellStyle="Millares"/>
    <tableColumn id="27" xr3:uid="{09883F07-BBE2-4693-8766-1F8C0694B6F5}" name="H24" dataDxfId="64" dataCellStyle="Millares"/>
    <tableColumn id="28" xr3:uid="{68465093-3698-4221-B23C-85C48A645668}" name="N. Días" dataDxfId="63"/>
    <tableColumn id="29" xr3:uid="{164E94B5-8FC1-41A8-97C2-57A01D3D4044}" name="Total" dataDxfId="62">
      <calculatedColumnFormula>AB6*SUM(D6:AA6)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D6A7C2-536F-403A-99C9-A8859EDF8F09}" name="Tabla13" displayName="Tabla13" ref="A5:AC41" totalsRowShown="0" headerRowDxfId="61" dataDxfId="60" dataCellStyle="Millares">
  <autoFilter ref="A5:AC41" xr:uid="{623B8226-A19B-4A49-BA1D-E2B90CEAFCDE}"/>
  <tableColumns count="29">
    <tableColumn id="1" xr3:uid="{0B46943D-BD4F-4BE7-830E-4C1644F48356}" name="Año" dataDxfId="59" dataCellStyle="Normal 2"/>
    <tableColumn id="2" xr3:uid="{31E46633-6C98-4917-A8B8-D6F334AFC4B0}" name="Mes" dataDxfId="58"/>
    <tableColumn id="3" xr3:uid="{32C2D1E8-B888-4CAE-A4A3-411FC78EDB2D}" name="Dias\Horas" dataDxfId="57"/>
    <tableColumn id="4" xr3:uid="{814D2710-81E9-49C5-91D0-6FD1F9D763A8}" name="HO1" dataDxfId="56" dataCellStyle="Millares"/>
    <tableColumn id="5" xr3:uid="{A579FA5C-8AF2-4A3F-82FA-4AF0331D6863}" name="HO2" dataDxfId="55" dataCellStyle="Millares"/>
    <tableColumn id="6" xr3:uid="{005484E7-C374-4CAB-B026-D196667572EE}" name="HO3" dataDxfId="54" dataCellStyle="Millares"/>
    <tableColumn id="7" xr3:uid="{DE35CAFB-6216-49E3-B162-6FB6C052A9F0}" name="HO4" dataDxfId="53" dataCellStyle="Millares"/>
    <tableColumn id="8" xr3:uid="{175737CB-9726-40F0-86D2-CF775FF824AC}" name="HO5" dataDxfId="52" dataCellStyle="Millares"/>
    <tableColumn id="9" xr3:uid="{A3E9620D-A429-4136-B8EE-FAE0562CA589}" name="HO6" dataDxfId="51" dataCellStyle="Millares"/>
    <tableColumn id="10" xr3:uid="{B7749DFD-88CE-498C-B356-4FF645649084}" name="HO7" dataDxfId="50" dataCellStyle="Millares"/>
    <tableColumn id="11" xr3:uid="{922CE34E-7484-45AF-B13A-E4246CE09323}" name="HO8" dataDxfId="49" dataCellStyle="Millares"/>
    <tableColumn id="12" xr3:uid="{7DA4AA3B-C5A0-4487-88F4-487B1E1AC0AB}" name="HO9" dataDxfId="48" dataCellStyle="Millares"/>
    <tableColumn id="13" xr3:uid="{268A9951-5C6F-407D-8C03-50EA51DBFE11}" name="H10" dataDxfId="47" dataCellStyle="Millares"/>
    <tableColumn id="14" xr3:uid="{192F64DB-4F75-425B-92C1-F0B3D5925B6F}" name="H11" dataDxfId="46" dataCellStyle="Millares"/>
    <tableColumn id="15" xr3:uid="{D2AAFE92-11DB-46AD-A22E-791F575BC5E2}" name="H12" dataDxfId="45" dataCellStyle="Millares"/>
    <tableColumn id="16" xr3:uid="{D8503B22-6C49-425A-ACA6-4949489047AC}" name="H13" dataDxfId="44" dataCellStyle="Millares"/>
    <tableColumn id="17" xr3:uid="{6411376B-E475-4E74-B2F3-597E3ABDCED5}" name="H14" dataDxfId="43" dataCellStyle="Millares"/>
    <tableColumn id="18" xr3:uid="{C6311B6B-8D61-4CCA-8AF3-5BB68046A51B}" name="H15" dataDxfId="42" dataCellStyle="Millares"/>
    <tableColumn id="19" xr3:uid="{BDC4E056-F15C-4FC2-8F90-25FE6BE85918}" name="H16" dataDxfId="41" dataCellStyle="Millares"/>
    <tableColumn id="20" xr3:uid="{7D799F37-DA16-411F-823A-07EC6F2FFD74}" name="H17" dataDxfId="40" dataCellStyle="Millares"/>
    <tableColumn id="21" xr3:uid="{4C0A9FDE-6799-48A5-A0C6-4448A1BC4ACC}" name="H18" dataDxfId="39" dataCellStyle="Millares"/>
    <tableColumn id="22" xr3:uid="{17C94DC6-8379-4B34-9A72-6F674A570917}" name="H19" dataDxfId="38" dataCellStyle="Millares"/>
    <tableColumn id="23" xr3:uid="{5D62F22B-B78A-4C10-91A5-BC5789F39D68}" name="H20" dataDxfId="37" dataCellStyle="Millares"/>
    <tableColumn id="24" xr3:uid="{DDBBABC2-A999-48C0-95B2-E4C170C19CBE}" name="H21" dataDxfId="36" dataCellStyle="Millares"/>
    <tableColumn id="25" xr3:uid="{1F934B5B-C6E0-4225-93E3-B208A8AAE12C}" name="H22" dataDxfId="35" dataCellStyle="Millares"/>
    <tableColumn id="26" xr3:uid="{5C11495F-88C0-49F5-A906-9A324E47627F}" name="H23" dataDxfId="34" dataCellStyle="Millares"/>
    <tableColumn id="27" xr3:uid="{15AEEEED-4E86-4022-A595-4C4F6CECD05A}" name="H24" dataDxfId="33" dataCellStyle="Millares"/>
    <tableColumn id="28" xr3:uid="{DB7AD282-F3AC-47D3-B4D0-DAD7745011EE}" name="N. Días" dataDxfId="32"/>
    <tableColumn id="29" xr3:uid="{93066F9A-36E5-4E34-9EE1-0E6446598C9C}" name="Total" dataDxfId="31">
      <calculatedColumnFormula>AB6*SUM(D6:AA6)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E3FF2-A908-4DF6-A0FF-28632A0243A5}" name="Tabla134" displayName="Tabla134" ref="A5:AC41" totalsRowShown="0" headerRowDxfId="30" dataDxfId="29" dataCellStyle="Millares">
  <autoFilter ref="A5:AC41" xr:uid="{623B8226-A19B-4A49-BA1D-E2B90CEAFCDE}"/>
  <tableColumns count="29">
    <tableColumn id="1" xr3:uid="{6070537B-587E-4E5A-A58B-F230EDD8C98E}" name="Año" dataDxfId="28" dataCellStyle="Normal 2"/>
    <tableColumn id="2" xr3:uid="{E0430832-7FD4-4A91-9FBA-7FB7045321B7}" name="Mes" dataDxfId="27"/>
    <tableColumn id="3" xr3:uid="{0611858A-5600-470C-B945-C864F2BB4C63}" name="Dias\Horas" dataDxfId="26"/>
    <tableColumn id="4" xr3:uid="{807FDBA3-0BFF-426C-A2D2-092EDFD5820B}" name="HO1" dataDxfId="25" dataCellStyle="Millares"/>
    <tableColumn id="5" xr3:uid="{F0E2D565-D3E4-45CF-B5FD-0DE201743926}" name="HO2" dataDxfId="24" dataCellStyle="Millares"/>
    <tableColumn id="6" xr3:uid="{DB755C86-510A-42F4-A529-C37FD1B328C4}" name="HO3" dataDxfId="23" dataCellStyle="Millares"/>
    <tableColumn id="7" xr3:uid="{8B2DC661-A959-4A39-9182-E69F61B62553}" name="HO4" dataDxfId="22" dataCellStyle="Millares"/>
    <tableColumn id="8" xr3:uid="{03A032AD-DB80-408A-93D9-EFB547F72E12}" name="HO5" dataDxfId="21" dataCellStyle="Millares"/>
    <tableColumn id="9" xr3:uid="{8FD71EF3-8F27-4A4F-8667-1DFFDDDEFDC6}" name="HO6" dataDxfId="20" dataCellStyle="Millares"/>
    <tableColumn id="10" xr3:uid="{378AA99F-1034-4760-BC2E-06FC0187A93A}" name="HO7" dataDxfId="19" dataCellStyle="Millares"/>
    <tableColumn id="11" xr3:uid="{79CEADA8-8AF4-4914-B877-8DAA8117E138}" name="HO8" dataDxfId="18" dataCellStyle="Millares"/>
    <tableColumn id="12" xr3:uid="{A273C8E0-885C-491D-B9CC-908A05D57FC1}" name="HO9" dataDxfId="17" dataCellStyle="Millares"/>
    <tableColumn id="13" xr3:uid="{B1A5656E-40BE-4C3D-9AF1-55185220E0D8}" name="H10" dataDxfId="16" dataCellStyle="Millares"/>
    <tableColumn id="14" xr3:uid="{C12DFB95-D10D-4D07-8BD6-2A956D0B4A5D}" name="H11" dataDxfId="15" dataCellStyle="Millares"/>
    <tableColumn id="15" xr3:uid="{A710733D-96EF-4285-8C28-5A462391D437}" name="H12" dataDxfId="14" dataCellStyle="Millares"/>
    <tableColumn id="16" xr3:uid="{EC623EFA-67E9-4CE8-9887-5F76CB1259A6}" name="H13" dataDxfId="13" dataCellStyle="Millares"/>
    <tableColumn id="17" xr3:uid="{C72A1503-FF10-424A-B10A-3CCE9A1D02D6}" name="H14" dataDxfId="12" dataCellStyle="Millares"/>
    <tableColumn id="18" xr3:uid="{44EEC20E-5DB9-457F-92B3-85475D385047}" name="H15" dataDxfId="11" dataCellStyle="Millares"/>
    <tableColumn id="19" xr3:uid="{3DC884F5-B904-4A7D-A59B-5D58D2800C01}" name="H16" dataDxfId="10" dataCellStyle="Millares"/>
    <tableColumn id="20" xr3:uid="{C3EC3F03-19EB-4EB2-855F-B962FD12F7A8}" name="H17" dataDxfId="9" dataCellStyle="Millares"/>
    <tableColumn id="21" xr3:uid="{33DCC1EC-7FEE-479E-AE45-6AF2B4EC50FE}" name="H18" dataDxfId="8" dataCellStyle="Millares"/>
    <tableColumn id="22" xr3:uid="{DA0C27E7-0567-448C-BADD-6DC501473A05}" name="H19" dataDxfId="7" dataCellStyle="Millares"/>
    <tableColumn id="23" xr3:uid="{61F389A8-253B-407E-89F1-8407BB22D548}" name="H20" dataDxfId="6" dataCellStyle="Millares"/>
    <tableColumn id="24" xr3:uid="{C841478C-6765-4B6C-B02A-4E9E793DBECF}" name="H21" dataDxfId="5" dataCellStyle="Millares"/>
    <tableColumn id="25" xr3:uid="{BA10EC2C-0BCE-44D1-BF45-B90341864F56}" name="H22" dataDxfId="4" dataCellStyle="Millares"/>
    <tableColumn id="26" xr3:uid="{AE7C6ABE-DD1D-457F-94BC-633F1C039E5F}" name="H23" dataDxfId="3" dataCellStyle="Millares"/>
    <tableColumn id="27" xr3:uid="{3F5931EE-78FA-4D33-A156-FF382B38095C}" name="H24" dataDxfId="2" dataCellStyle="Millares"/>
    <tableColumn id="28" xr3:uid="{A9E01A67-5C2E-45E2-B59D-6CDB68848231}" name="N. Días" dataDxfId="1"/>
    <tableColumn id="29" xr3:uid="{4BBD600F-A49B-4E99-A476-AFE1DAB85DE3}" name="Total" dataDxfId="0">
      <calculatedColumnFormula>AB6*SUM(D6:AA6)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46"/>
  <sheetViews>
    <sheetView showGridLines="0" tabSelected="1" zoomScaleNormal="100" workbookViewId="0">
      <selection activeCell="E10" sqref="E10:E21"/>
    </sheetView>
  </sheetViews>
  <sheetFormatPr baseColWidth="10" defaultRowHeight="15" customHeight="1" x14ac:dyDescent="0.25"/>
  <cols>
    <col min="1" max="1" width="4.140625" style="3" customWidth="1"/>
    <col min="2" max="2" width="10" style="3" customWidth="1"/>
    <col min="3" max="3" width="18.28515625" style="3" bestFit="1" customWidth="1"/>
    <col min="4" max="7" width="16.85546875" style="3" customWidth="1"/>
    <col min="8" max="8" width="8.140625" style="3" bestFit="1" customWidth="1"/>
    <col min="9" max="16" width="14.5703125" style="3" customWidth="1"/>
    <col min="17" max="20" width="17" style="3" customWidth="1"/>
    <col min="21" max="16384" width="11.42578125" style="3"/>
  </cols>
  <sheetData>
    <row r="2" spans="2:21" ht="15" customHeight="1" x14ac:dyDescent="0.25">
      <c r="B2" s="11" t="s">
        <v>61</v>
      </c>
      <c r="C2" s="11"/>
      <c r="D2" s="11"/>
      <c r="E2" s="11"/>
      <c r="F2" s="11"/>
      <c r="G2" s="11"/>
      <c r="H2" s="12"/>
    </row>
    <row r="3" spans="2:21" ht="15" customHeight="1" x14ac:dyDescent="0.25">
      <c r="B3" s="42" t="s">
        <v>34</v>
      </c>
      <c r="C3" s="42"/>
      <c r="D3" s="42"/>
      <c r="E3" s="42"/>
      <c r="F3" s="42"/>
      <c r="G3" s="42"/>
      <c r="H3" s="12"/>
    </row>
    <row r="4" spans="2:21" ht="15" customHeight="1" x14ac:dyDescent="0.25">
      <c r="B4" s="11" t="s">
        <v>42</v>
      </c>
      <c r="C4" s="11"/>
      <c r="D4" s="11"/>
      <c r="E4" s="11"/>
      <c r="F4" s="11"/>
      <c r="G4" s="11"/>
      <c r="H4" s="12"/>
    </row>
    <row r="5" spans="2:21" ht="15" customHeight="1" x14ac:dyDescent="0.25">
      <c r="B5" s="11"/>
      <c r="C5" s="11"/>
      <c r="D5" s="11"/>
      <c r="E5" s="11"/>
      <c r="F5" s="11"/>
      <c r="G5" s="11"/>
      <c r="H5" s="12"/>
    </row>
    <row r="6" spans="2:21" ht="15" customHeight="1" thickBot="1" x14ac:dyDescent="0.3">
      <c r="B6" s="13"/>
      <c r="C6" s="13"/>
      <c r="D6" s="13"/>
      <c r="E6" s="13"/>
      <c r="F6" s="13"/>
      <c r="G6" s="13"/>
      <c r="H6" s="13"/>
      <c r="U6" s="13"/>
    </row>
    <row r="7" spans="2:21" ht="15" customHeight="1" thickBot="1" x14ac:dyDescent="0.3">
      <c r="B7" s="39" t="s">
        <v>38</v>
      </c>
      <c r="C7" s="40"/>
      <c r="D7" s="40"/>
      <c r="E7" s="40"/>
      <c r="F7" s="40"/>
      <c r="G7" s="41"/>
      <c r="H7" s="13"/>
      <c r="U7" s="13"/>
    </row>
    <row r="8" spans="2:21" ht="15" customHeight="1" thickBot="1" x14ac:dyDescent="0.3">
      <c r="B8" s="14" t="s">
        <v>37</v>
      </c>
      <c r="C8" s="14" t="s">
        <v>33</v>
      </c>
      <c r="D8" s="15" t="s">
        <v>60</v>
      </c>
      <c r="E8" s="16"/>
      <c r="F8" s="16"/>
      <c r="G8" s="17"/>
      <c r="H8" s="13"/>
      <c r="U8" s="13"/>
    </row>
    <row r="9" spans="2:21" ht="30.75" thickBot="1" x14ac:dyDescent="0.3">
      <c r="B9" s="18"/>
      <c r="C9" s="18"/>
      <c r="D9" s="19" t="s">
        <v>39</v>
      </c>
      <c r="E9" s="20" t="s">
        <v>35</v>
      </c>
      <c r="F9" s="20" t="s">
        <v>40</v>
      </c>
      <c r="G9" s="21" t="s">
        <v>36</v>
      </c>
      <c r="H9" s="22"/>
      <c r="U9" s="13"/>
    </row>
    <row r="10" spans="2:21" ht="15" customHeight="1" x14ac:dyDescent="0.25">
      <c r="B10" s="23">
        <v>2026</v>
      </c>
      <c r="C10" s="24" t="s">
        <v>57</v>
      </c>
      <c r="D10" s="25">
        <f>SUMIFS('Producto 1'!$AC:$AC,'Producto 1'!$A:$A,'R-Producto 1'!$B10,'Producto 1'!$B:$B,'R-Producto 1'!$C10)</f>
        <v>1008654.2873616917</v>
      </c>
      <c r="E10" s="43"/>
      <c r="F10" s="26">
        <f>D10*$E$10</f>
        <v>0</v>
      </c>
      <c r="G10" s="46"/>
      <c r="H10" s="22"/>
      <c r="U10" s="13"/>
    </row>
    <row r="11" spans="2:21" ht="15" customHeight="1" x14ac:dyDescent="0.25">
      <c r="B11" s="27">
        <v>2026</v>
      </c>
      <c r="C11" s="24" t="s">
        <v>58</v>
      </c>
      <c r="D11" s="25">
        <f>SUMIFS('Producto 1'!$AC:$AC,'Producto 1'!$A:$A,'R-Producto 1'!$B11,'Producto 1'!$B:$B,'R-Producto 1'!$C11)</f>
        <v>967854.40867635305</v>
      </c>
      <c r="E11" s="44"/>
      <c r="F11" s="26">
        <f t="shared" ref="F11:F22" si="0">D11*$E$10</f>
        <v>0</v>
      </c>
      <c r="G11" s="47"/>
      <c r="H11" s="22"/>
      <c r="U11" s="13"/>
    </row>
    <row r="12" spans="2:21" ht="15" customHeight="1" x14ac:dyDescent="0.25">
      <c r="B12" s="27">
        <v>2026</v>
      </c>
      <c r="C12" s="24" t="s">
        <v>59</v>
      </c>
      <c r="D12" s="25">
        <f>SUMIFS('Producto 1'!$AC:$AC,'Producto 1'!$A:$A,'R-Producto 1'!$B12,'Producto 1'!$B:$B,'R-Producto 1'!$C12)</f>
        <v>1078395.3639867753</v>
      </c>
      <c r="E12" s="44"/>
      <c r="F12" s="26">
        <f t="shared" si="0"/>
        <v>0</v>
      </c>
      <c r="G12" s="47"/>
      <c r="H12" s="22"/>
      <c r="U12" s="13"/>
    </row>
    <row r="13" spans="2:21" ht="15" customHeight="1" x14ac:dyDescent="0.25">
      <c r="B13" s="27">
        <v>2026</v>
      </c>
      <c r="C13" s="24" t="s">
        <v>56</v>
      </c>
      <c r="D13" s="25">
        <f>SUMIFS('Producto 1'!$AC:$AC,'Producto 1'!$A:$A,'R-Producto 1'!$B13,'Producto 1'!$B:$B,'R-Producto 1'!$C13)</f>
        <v>1066544.2407881434</v>
      </c>
      <c r="E13" s="44"/>
      <c r="F13" s="26">
        <f t="shared" si="0"/>
        <v>0</v>
      </c>
      <c r="G13" s="47"/>
      <c r="H13" s="22"/>
      <c r="U13" s="13"/>
    </row>
    <row r="14" spans="2:21" ht="15" customHeight="1" x14ac:dyDescent="0.25">
      <c r="B14" s="27">
        <v>2026</v>
      </c>
      <c r="C14" s="24" t="s">
        <v>25</v>
      </c>
      <c r="D14" s="25">
        <f>SUMIFS('Producto 1'!$AC:$AC,'Producto 1'!$A:$A,'R-Producto 1'!$B14,'Producto 1'!$B:$B,'R-Producto 1'!$C14)</f>
        <v>1105125.6551631805</v>
      </c>
      <c r="E14" s="44"/>
      <c r="F14" s="26">
        <f t="shared" si="0"/>
        <v>0</v>
      </c>
      <c r="G14" s="47"/>
      <c r="H14" s="22"/>
      <c r="U14" s="13"/>
    </row>
    <row r="15" spans="2:21" ht="15" customHeight="1" x14ac:dyDescent="0.25">
      <c r="B15" s="27">
        <v>2026</v>
      </c>
      <c r="C15" s="24" t="s">
        <v>26</v>
      </c>
      <c r="D15" s="25">
        <f>SUMIFS('Producto 1'!$AC:$AC,'Producto 1'!$A:$A,'R-Producto 1'!$B15,'Producto 1'!$B:$B,'R-Producto 1'!$C15)</f>
        <v>1103598.9467205331</v>
      </c>
      <c r="E15" s="44"/>
      <c r="F15" s="26">
        <f t="shared" si="0"/>
        <v>0</v>
      </c>
      <c r="G15" s="47"/>
      <c r="H15" s="22"/>
      <c r="U15" s="13"/>
    </row>
    <row r="16" spans="2:21" ht="15" customHeight="1" x14ac:dyDescent="0.25">
      <c r="B16" s="27">
        <v>2026</v>
      </c>
      <c r="C16" s="24" t="s">
        <v>27</v>
      </c>
      <c r="D16" s="25">
        <f>SUMIFS('Producto 1'!$AC:$AC,'Producto 1'!$A:$A,'R-Producto 1'!$B16,'Producto 1'!$B:$B,'R-Producto 1'!$C16)</f>
        <v>1214406.8302122273</v>
      </c>
      <c r="E16" s="44"/>
      <c r="F16" s="26">
        <f t="shared" si="0"/>
        <v>0</v>
      </c>
      <c r="G16" s="47"/>
      <c r="H16" s="22"/>
      <c r="U16" s="13"/>
    </row>
    <row r="17" spans="1:21" ht="15" customHeight="1" x14ac:dyDescent="0.25">
      <c r="B17" s="27">
        <v>2026</v>
      </c>
      <c r="C17" s="24" t="s">
        <v>28</v>
      </c>
      <c r="D17" s="25">
        <f>SUMIFS('Producto 1'!$AC:$AC,'Producto 1'!$A:$A,'R-Producto 1'!$B17,'Producto 1'!$B:$B,'R-Producto 1'!$C17)</f>
        <v>1191259.4253209459</v>
      </c>
      <c r="E17" s="44"/>
      <c r="F17" s="26">
        <f t="shared" si="0"/>
        <v>0</v>
      </c>
      <c r="G17" s="47"/>
      <c r="H17" s="22"/>
      <c r="U17" s="13"/>
    </row>
    <row r="18" spans="1:21" ht="15" customHeight="1" x14ac:dyDescent="0.25">
      <c r="B18" s="27">
        <v>2026</v>
      </c>
      <c r="C18" s="24" t="s">
        <v>29</v>
      </c>
      <c r="D18" s="25">
        <f>SUMIFS('Producto 1'!$AC:$AC,'Producto 1'!$A:$A,'R-Producto 1'!$B18,'Producto 1'!$B:$B,'R-Producto 1'!$C18)</f>
        <v>1248005.9557807231</v>
      </c>
      <c r="E18" s="44"/>
      <c r="F18" s="26">
        <f t="shared" si="0"/>
        <v>0</v>
      </c>
      <c r="G18" s="47"/>
      <c r="H18" s="22"/>
      <c r="U18" s="13"/>
    </row>
    <row r="19" spans="1:21" ht="15" customHeight="1" x14ac:dyDescent="0.25">
      <c r="B19" s="27">
        <v>2026</v>
      </c>
      <c r="C19" s="24" t="s">
        <v>30</v>
      </c>
      <c r="D19" s="25">
        <f>SUMIFS('Producto 1'!$AC:$AC,'Producto 1'!$A:$A,'R-Producto 1'!$B19,'Producto 1'!$B:$B,'R-Producto 1'!$C19)</f>
        <v>1290392.8954248361</v>
      </c>
      <c r="E19" s="44"/>
      <c r="F19" s="26">
        <f t="shared" si="0"/>
        <v>0</v>
      </c>
      <c r="G19" s="47"/>
      <c r="H19" s="22"/>
      <c r="U19" s="13"/>
    </row>
    <row r="20" spans="1:21" ht="15" customHeight="1" x14ac:dyDescent="0.25">
      <c r="A20" s="28"/>
      <c r="B20" s="27">
        <v>2026</v>
      </c>
      <c r="C20" s="24" t="s">
        <v>31</v>
      </c>
      <c r="D20" s="25">
        <f>SUMIFS('Producto 1'!$AC:$AC,'Producto 1'!$A:$A,'R-Producto 1'!$B20,'Producto 1'!$B:$B,'R-Producto 1'!$C20)</f>
        <v>1243654.0799161887</v>
      </c>
      <c r="E20" s="44"/>
      <c r="F20" s="26">
        <f t="shared" si="0"/>
        <v>0</v>
      </c>
      <c r="G20" s="47"/>
      <c r="H20" s="22"/>
    </row>
    <row r="21" spans="1:21" ht="15" customHeight="1" thickBot="1" x14ac:dyDescent="0.3">
      <c r="A21" s="28"/>
      <c r="B21" s="31">
        <v>2026</v>
      </c>
      <c r="C21" s="32" t="s">
        <v>32</v>
      </c>
      <c r="D21" s="33">
        <f>SUMIFS('Producto 1'!$AC:$AC,'Producto 1'!$A:$A,'R-Producto 1'!$B21,'Producto 1'!$B:$B,'R-Producto 1'!$C21)</f>
        <v>1342281.6629876113</v>
      </c>
      <c r="E21" s="44"/>
      <c r="F21" s="34">
        <f t="shared" si="0"/>
        <v>0</v>
      </c>
      <c r="G21" s="47"/>
      <c r="H21" s="22"/>
    </row>
    <row r="22" spans="1:21" ht="15" customHeight="1" thickBot="1" x14ac:dyDescent="0.3">
      <c r="A22" s="28"/>
      <c r="B22" s="35"/>
      <c r="C22" s="36" t="s">
        <v>49</v>
      </c>
      <c r="D22" s="37">
        <f>SUM(D10:D21)</f>
        <v>13860173.752339207</v>
      </c>
      <c r="E22" s="45"/>
      <c r="F22" s="38">
        <f t="shared" si="0"/>
        <v>0</v>
      </c>
      <c r="G22" s="48"/>
      <c r="H22" s="22"/>
    </row>
    <row r="23" spans="1:21" ht="15" customHeight="1" x14ac:dyDescent="0.25">
      <c r="A23" s="28"/>
      <c r="H23" s="22"/>
    </row>
    <row r="24" spans="1:21" ht="15" customHeight="1" x14ac:dyDescent="0.25">
      <c r="A24" s="28"/>
      <c r="B24" s="29" t="s">
        <v>62</v>
      </c>
      <c r="H24" s="22"/>
    </row>
    <row r="25" spans="1:21" ht="15" customHeight="1" x14ac:dyDescent="0.25">
      <c r="A25" s="28"/>
      <c r="B25" s="3" t="s">
        <v>44</v>
      </c>
      <c r="H25" s="22"/>
    </row>
    <row r="26" spans="1:21" ht="15" customHeight="1" x14ac:dyDescent="0.25">
      <c r="A26" s="28"/>
      <c r="B26" s="3" t="s">
        <v>41</v>
      </c>
      <c r="E26" s="30"/>
      <c r="H26" s="22"/>
    </row>
    <row r="27" spans="1:21" ht="15" customHeight="1" x14ac:dyDescent="0.25">
      <c r="A27" s="28"/>
      <c r="E27" s="30"/>
      <c r="H27" s="22"/>
    </row>
    <row r="28" spans="1:21" ht="15" customHeight="1" x14ac:dyDescent="0.25">
      <c r="A28" s="28"/>
      <c r="H28" s="22"/>
    </row>
    <row r="29" spans="1:21" ht="15" customHeight="1" x14ac:dyDescent="0.25">
      <c r="A29" s="28"/>
      <c r="H29" s="22"/>
    </row>
    <row r="30" spans="1:21" ht="15" customHeight="1" x14ac:dyDescent="0.25">
      <c r="A30" s="28"/>
      <c r="H30" s="22"/>
    </row>
    <row r="31" spans="1:21" ht="15" customHeight="1" x14ac:dyDescent="0.25">
      <c r="A31" s="28"/>
      <c r="H31" s="22"/>
    </row>
    <row r="32" spans="1:21" ht="15" customHeight="1" x14ac:dyDescent="0.25">
      <c r="A32" s="28"/>
      <c r="H32" s="22"/>
    </row>
    <row r="33" spans="1:8" ht="15" customHeight="1" x14ac:dyDescent="0.25">
      <c r="A33" s="28"/>
      <c r="H33" s="22"/>
    </row>
    <row r="34" spans="1:8" ht="15" customHeight="1" x14ac:dyDescent="0.25">
      <c r="A34" s="28"/>
      <c r="H34" s="22"/>
    </row>
    <row r="35" spans="1:8" ht="15" customHeight="1" x14ac:dyDescent="0.25">
      <c r="A35" s="28"/>
      <c r="H35" s="22"/>
    </row>
    <row r="36" spans="1:8" ht="15" customHeight="1" x14ac:dyDescent="0.25">
      <c r="A36" s="28"/>
      <c r="H36" s="22"/>
    </row>
    <row r="37" spans="1:8" ht="15" customHeight="1" x14ac:dyDescent="0.25">
      <c r="A37" s="28"/>
      <c r="H37" s="22"/>
    </row>
    <row r="38" spans="1:8" ht="15" customHeight="1" x14ac:dyDescent="0.25">
      <c r="A38" s="28"/>
      <c r="H38" s="22"/>
    </row>
    <row r="39" spans="1:8" ht="15" customHeight="1" x14ac:dyDescent="0.25">
      <c r="A39" s="28"/>
      <c r="H39" s="22"/>
    </row>
    <row r="40" spans="1:8" ht="15" customHeight="1" x14ac:dyDescent="0.25">
      <c r="A40" s="28"/>
      <c r="H40" s="22"/>
    </row>
    <row r="41" spans="1:8" ht="15" customHeight="1" x14ac:dyDescent="0.25">
      <c r="A41" s="28"/>
      <c r="H41" s="22"/>
    </row>
    <row r="42" spans="1:8" ht="15" customHeight="1" x14ac:dyDescent="0.25">
      <c r="A42" s="28"/>
      <c r="H42" s="22"/>
    </row>
    <row r="43" spans="1:8" ht="15" customHeight="1" x14ac:dyDescent="0.25">
      <c r="A43" s="28"/>
      <c r="H43" s="22"/>
    </row>
    <row r="44" spans="1:8" ht="15" customHeight="1" x14ac:dyDescent="0.25">
      <c r="A44" s="28"/>
      <c r="H44" s="22"/>
    </row>
    <row r="45" spans="1:8" ht="15" customHeight="1" x14ac:dyDescent="0.25">
      <c r="A45" s="28"/>
      <c r="H45" s="22"/>
    </row>
    <row r="46" spans="1:8" ht="15" customHeight="1" x14ac:dyDescent="0.25">
      <c r="A46" s="28"/>
      <c r="H46" s="22"/>
    </row>
    <row r="47" spans="1:8" ht="15" customHeight="1" x14ac:dyDescent="0.25">
      <c r="A47" s="28"/>
      <c r="H47" s="22"/>
    </row>
    <row r="48" spans="1:8" ht="15" customHeight="1" x14ac:dyDescent="0.25">
      <c r="A48" s="28"/>
      <c r="H48" s="22"/>
    </row>
    <row r="49" spans="1:8" ht="15" customHeight="1" x14ac:dyDescent="0.25">
      <c r="A49" s="28"/>
      <c r="H49" s="22"/>
    </row>
    <row r="50" spans="1:8" ht="15" customHeight="1" x14ac:dyDescent="0.25">
      <c r="A50" s="28"/>
      <c r="H50" s="22"/>
    </row>
    <row r="51" spans="1:8" ht="15" customHeight="1" x14ac:dyDescent="0.25">
      <c r="A51" s="28"/>
      <c r="H51" s="22"/>
    </row>
    <row r="52" spans="1:8" ht="15" customHeight="1" x14ac:dyDescent="0.25">
      <c r="A52" s="28"/>
      <c r="H52" s="22"/>
    </row>
    <row r="53" spans="1:8" ht="15" customHeight="1" x14ac:dyDescent="0.25">
      <c r="A53" s="28"/>
      <c r="H53" s="22"/>
    </row>
    <row r="54" spans="1:8" ht="15" customHeight="1" x14ac:dyDescent="0.25">
      <c r="A54" s="28"/>
      <c r="H54" s="22"/>
    </row>
    <row r="55" spans="1:8" ht="15" customHeight="1" x14ac:dyDescent="0.25">
      <c r="A55" s="28"/>
      <c r="H55" s="22"/>
    </row>
    <row r="56" spans="1:8" ht="15" customHeight="1" x14ac:dyDescent="0.25">
      <c r="A56" s="28"/>
      <c r="H56" s="22"/>
    </row>
    <row r="57" spans="1:8" ht="15" customHeight="1" x14ac:dyDescent="0.25">
      <c r="A57" s="28"/>
      <c r="H57" s="22"/>
    </row>
    <row r="58" spans="1:8" ht="15" customHeight="1" x14ac:dyDescent="0.25">
      <c r="A58" s="28"/>
      <c r="H58" s="22"/>
    </row>
    <row r="59" spans="1:8" ht="15" customHeight="1" x14ac:dyDescent="0.25">
      <c r="A59" s="28"/>
      <c r="H59" s="22"/>
    </row>
    <row r="60" spans="1:8" ht="15" customHeight="1" x14ac:dyDescent="0.25">
      <c r="A60" s="28"/>
      <c r="H60" s="22"/>
    </row>
    <row r="61" spans="1:8" ht="15" customHeight="1" x14ac:dyDescent="0.25">
      <c r="A61" s="28"/>
      <c r="H61" s="22"/>
    </row>
    <row r="62" spans="1:8" ht="15" customHeight="1" x14ac:dyDescent="0.25">
      <c r="A62" s="28"/>
      <c r="H62" s="22"/>
    </row>
    <row r="63" spans="1:8" ht="15" customHeight="1" x14ac:dyDescent="0.25">
      <c r="A63" s="28"/>
      <c r="H63" s="22"/>
    </row>
    <row r="64" spans="1:8" ht="15" customHeight="1" x14ac:dyDescent="0.25">
      <c r="A64" s="28"/>
      <c r="H64" s="22"/>
    </row>
    <row r="65" spans="1:8" ht="15" customHeight="1" x14ac:dyDescent="0.25">
      <c r="A65" s="28"/>
      <c r="H65" s="22"/>
    </row>
    <row r="66" spans="1:8" ht="15" customHeight="1" x14ac:dyDescent="0.25">
      <c r="A66" s="28"/>
      <c r="H66" s="22"/>
    </row>
    <row r="67" spans="1:8" ht="15" customHeight="1" x14ac:dyDescent="0.25">
      <c r="A67" s="28"/>
      <c r="H67" s="22"/>
    </row>
    <row r="68" spans="1:8" ht="15" customHeight="1" x14ac:dyDescent="0.25">
      <c r="A68" s="28"/>
      <c r="H68" s="22"/>
    </row>
    <row r="69" spans="1:8" ht="15" customHeight="1" x14ac:dyDescent="0.25">
      <c r="A69" s="28"/>
      <c r="H69" s="22"/>
    </row>
    <row r="70" spans="1:8" ht="15" customHeight="1" x14ac:dyDescent="0.25">
      <c r="A70" s="28"/>
      <c r="H70" s="22"/>
    </row>
    <row r="71" spans="1:8" ht="15" customHeight="1" x14ac:dyDescent="0.25">
      <c r="A71" s="28"/>
      <c r="H71" s="22"/>
    </row>
    <row r="72" spans="1:8" ht="15" customHeight="1" x14ac:dyDescent="0.25">
      <c r="A72" s="28"/>
      <c r="H72" s="22"/>
    </row>
    <row r="73" spans="1:8" ht="15" customHeight="1" x14ac:dyDescent="0.25">
      <c r="A73" s="28"/>
      <c r="H73" s="22"/>
    </row>
    <row r="74" spans="1:8" ht="15" customHeight="1" x14ac:dyDescent="0.25">
      <c r="A74" s="28"/>
      <c r="H74" s="22"/>
    </row>
    <row r="75" spans="1:8" ht="15" customHeight="1" x14ac:dyDescent="0.25">
      <c r="A75" s="28"/>
      <c r="H75" s="22"/>
    </row>
    <row r="76" spans="1:8" ht="15" customHeight="1" x14ac:dyDescent="0.25">
      <c r="A76" s="28"/>
      <c r="H76" s="22"/>
    </row>
    <row r="77" spans="1:8" ht="15" customHeight="1" x14ac:dyDescent="0.25">
      <c r="A77" s="28"/>
      <c r="H77" s="22"/>
    </row>
    <row r="78" spans="1:8" ht="15" customHeight="1" x14ac:dyDescent="0.25">
      <c r="A78" s="28"/>
      <c r="H78" s="22"/>
    </row>
    <row r="79" spans="1:8" ht="15" customHeight="1" x14ac:dyDescent="0.25">
      <c r="A79" s="28"/>
      <c r="H79" s="22"/>
    </row>
    <row r="80" spans="1:8" ht="15" customHeight="1" x14ac:dyDescent="0.25">
      <c r="A80" s="28"/>
      <c r="H80" s="22"/>
    </row>
    <row r="81" spans="1:8" ht="15" customHeight="1" x14ac:dyDescent="0.25">
      <c r="A81" s="28"/>
      <c r="H81" s="22"/>
    </row>
    <row r="82" spans="1:8" ht="15" customHeight="1" x14ac:dyDescent="0.25">
      <c r="A82" s="28"/>
      <c r="H82" s="22"/>
    </row>
    <row r="83" spans="1:8" ht="15" customHeight="1" x14ac:dyDescent="0.25">
      <c r="A83" s="28"/>
      <c r="H83" s="22"/>
    </row>
    <row r="84" spans="1:8" ht="15" customHeight="1" x14ac:dyDescent="0.25">
      <c r="A84" s="28"/>
      <c r="H84" s="22"/>
    </row>
    <row r="85" spans="1:8" ht="15" customHeight="1" x14ac:dyDescent="0.25">
      <c r="A85" s="28"/>
      <c r="H85" s="22"/>
    </row>
    <row r="86" spans="1:8" ht="15" customHeight="1" x14ac:dyDescent="0.25">
      <c r="A86" s="28"/>
      <c r="H86" s="22"/>
    </row>
    <row r="87" spans="1:8" ht="15" customHeight="1" x14ac:dyDescent="0.25">
      <c r="A87" s="28"/>
      <c r="H87" s="22"/>
    </row>
    <row r="88" spans="1:8" ht="15" customHeight="1" x14ac:dyDescent="0.25">
      <c r="A88" s="28"/>
      <c r="H88" s="22"/>
    </row>
    <row r="89" spans="1:8" ht="15" customHeight="1" x14ac:dyDescent="0.25">
      <c r="A89" s="28"/>
      <c r="H89" s="22"/>
    </row>
    <row r="90" spans="1:8" ht="15" customHeight="1" x14ac:dyDescent="0.25">
      <c r="A90" s="28"/>
      <c r="H90" s="22"/>
    </row>
    <row r="91" spans="1:8" ht="15" customHeight="1" x14ac:dyDescent="0.25">
      <c r="A91" s="28"/>
      <c r="H91" s="22"/>
    </row>
    <row r="92" spans="1:8" ht="15" customHeight="1" x14ac:dyDescent="0.25">
      <c r="A92" s="28"/>
      <c r="H92" s="22"/>
    </row>
    <row r="93" spans="1:8" ht="15" customHeight="1" x14ac:dyDescent="0.25">
      <c r="A93" s="28"/>
      <c r="H93" s="22"/>
    </row>
    <row r="94" spans="1:8" ht="15" customHeight="1" x14ac:dyDescent="0.25">
      <c r="A94" s="28"/>
      <c r="H94" s="22"/>
    </row>
    <row r="95" spans="1:8" ht="15" customHeight="1" x14ac:dyDescent="0.25">
      <c r="A95" s="28"/>
      <c r="H95" s="22"/>
    </row>
    <row r="96" spans="1:8" ht="15" customHeight="1" x14ac:dyDescent="0.25">
      <c r="A96" s="28"/>
      <c r="H96" s="22"/>
    </row>
    <row r="97" spans="1:8" ht="15" customHeight="1" x14ac:dyDescent="0.25">
      <c r="A97" s="28"/>
      <c r="H97" s="22"/>
    </row>
    <row r="98" spans="1:8" ht="15" customHeight="1" x14ac:dyDescent="0.25">
      <c r="A98" s="28"/>
      <c r="H98" s="22"/>
    </row>
    <row r="99" spans="1:8" ht="15" customHeight="1" x14ac:dyDescent="0.25">
      <c r="A99" s="28"/>
      <c r="H99" s="22"/>
    </row>
    <row r="100" spans="1:8" ht="15" customHeight="1" x14ac:dyDescent="0.25">
      <c r="A100" s="28"/>
      <c r="H100" s="22"/>
    </row>
    <row r="101" spans="1:8" ht="15" customHeight="1" x14ac:dyDescent="0.25">
      <c r="A101" s="28"/>
      <c r="H101" s="22"/>
    </row>
    <row r="102" spans="1:8" ht="15" customHeight="1" x14ac:dyDescent="0.25">
      <c r="A102" s="28"/>
      <c r="H102" s="22"/>
    </row>
    <row r="103" spans="1:8" ht="15" customHeight="1" x14ac:dyDescent="0.25">
      <c r="A103" s="28"/>
      <c r="H103" s="22"/>
    </row>
    <row r="104" spans="1:8" ht="15" customHeight="1" x14ac:dyDescent="0.25">
      <c r="A104" s="28"/>
      <c r="H104" s="22"/>
    </row>
    <row r="105" spans="1:8" ht="15" customHeight="1" x14ac:dyDescent="0.25">
      <c r="A105" s="28"/>
      <c r="H105" s="22"/>
    </row>
    <row r="106" spans="1:8" ht="15" customHeight="1" x14ac:dyDescent="0.25">
      <c r="A106" s="28"/>
      <c r="H106" s="22"/>
    </row>
    <row r="107" spans="1:8" ht="15" customHeight="1" x14ac:dyDescent="0.25">
      <c r="A107" s="28"/>
      <c r="H107" s="22"/>
    </row>
    <row r="108" spans="1:8" ht="15" customHeight="1" x14ac:dyDescent="0.25">
      <c r="A108" s="28"/>
      <c r="H108" s="22"/>
    </row>
    <row r="109" spans="1:8" ht="15" customHeight="1" x14ac:dyDescent="0.25">
      <c r="A109" s="28"/>
      <c r="H109" s="22"/>
    </row>
    <row r="110" spans="1:8" ht="15" customHeight="1" x14ac:dyDescent="0.25">
      <c r="A110" s="28"/>
      <c r="H110" s="22"/>
    </row>
    <row r="111" spans="1:8" ht="15" customHeight="1" x14ac:dyDescent="0.25">
      <c r="A111" s="28"/>
      <c r="H111" s="22"/>
    </row>
    <row r="112" spans="1:8" ht="15" customHeight="1" x14ac:dyDescent="0.25">
      <c r="A112" s="28"/>
      <c r="H112" s="22"/>
    </row>
    <row r="113" spans="1:8" ht="15" customHeight="1" x14ac:dyDescent="0.25">
      <c r="A113" s="28"/>
      <c r="H113" s="22"/>
    </row>
    <row r="114" spans="1:8" ht="15" customHeight="1" x14ac:dyDescent="0.25">
      <c r="A114" s="28"/>
      <c r="H114" s="22"/>
    </row>
    <row r="115" spans="1:8" ht="15" customHeight="1" x14ac:dyDescent="0.25">
      <c r="A115" s="28"/>
      <c r="H115" s="22"/>
    </row>
    <row r="116" spans="1:8" ht="15" customHeight="1" x14ac:dyDescent="0.25">
      <c r="A116" s="28"/>
      <c r="H116" s="22"/>
    </row>
    <row r="117" spans="1:8" ht="15" customHeight="1" x14ac:dyDescent="0.25">
      <c r="A117" s="28"/>
      <c r="H117" s="22"/>
    </row>
    <row r="118" spans="1:8" ht="15" customHeight="1" x14ac:dyDescent="0.25">
      <c r="A118" s="28"/>
      <c r="H118" s="22"/>
    </row>
    <row r="119" spans="1:8" ht="15" customHeight="1" x14ac:dyDescent="0.25">
      <c r="A119" s="28"/>
      <c r="H119" s="22"/>
    </row>
    <row r="120" spans="1:8" ht="15" customHeight="1" x14ac:dyDescent="0.25">
      <c r="A120" s="28"/>
      <c r="H120" s="22"/>
    </row>
    <row r="121" spans="1:8" ht="15" customHeight="1" x14ac:dyDescent="0.25">
      <c r="A121" s="28"/>
      <c r="H121" s="22"/>
    </row>
    <row r="122" spans="1:8" ht="15" customHeight="1" x14ac:dyDescent="0.25">
      <c r="A122" s="28"/>
      <c r="H122" s="22"/>
    </row>
    <row r="123" spans="1:8" ht="15" customHeight="1" x14ac:dyDescent="0.25">
      <c r="A123" s="28"/>
      <c r="H123" s="22"/>
    </row>
    <row r="124" spans="1:8" ht="15" customHeight="1" x14ac:dyDescent="0.25">
      <c r="A124" s="28"/>
      <c r="H124" s="22"/>
    </row>
    <row r="125" spans="1:8" ht="15" customHeight="1" x14ac:dyDescent="0.25">
      <c r="A125" s="28"/>
      <c r="H125" s="22"/>
    </row>
    <row r="126" spans="1:8" ht="15" customHeight="1" x14ac:dyDescent="0.25">
      <c r="A126" s="28"/>
      <c r="H126" s="22"/>
    </row>
    <row r="127" spans="1:8" ht="15" customHeight="1" x14ac:dyDescent="0.25">
      <c r="A127" s="28"/>
      <c r="H127" s="22"/>
    </row>
    <row r="128" spans="1:8" ht="15" customHeight="1" x14ac:dyDescent="0.25">
      <c r="A128" s="28"/>
      <c r="H128" s="22"/>
    </row>
    <row r="129" spans="1:8" ht="15" customHeight="1" x14ac:dyDescent="0.25">
      <c r="A129" s="28"/>
      <c r="H129" s="22"/>
    </row>
    <row r="130" spans="1:8" ht="15" customHeight="1" x14ac:dyDescent="0.25">
      <c r="A130" s="28"/>
      <c r="H130" s="22"/>
    </row>
    <row r="131" spans="1:8" ht="15" customHeight="1" x14ac:dyDescent="0.25">
      <c r="A131" s="28"/>
      <c r="H131" s="22"/>
    </row>
    <row r="132" spans="1:8" ht="15" customHeight="1" x14ac:dyDescent="0.25">
      <c r="A132" s="28"/>
      <c r="H132" s="22"/>
    </row>
    <row r="133" spans="1:8" ht="15" customHeight="1" x14ac:dyDescent="0.25">
      <c r="A133" s="28"/>
      <c r="H133" s="22"/>
    </row>
    <row r="134" spans="1:8" ht="15" customHeight="1" x14ac:dyDescent="0.25">
      <c r="A134" s="28"/>
      <c r="H134" s="22"/>
    </row>
    <row r="135" spans="1:8" ht="15" customHeight="1" x14ac:dyDescent="0.25">
      <c r="A135" s="28"/>
      <c r="H135" s="22"/>
    </row>
    <row r="136" spans="1:8" ht="15" customHeight="1" x14ac:dyDescent="0.25">
      <c r="A136" s="28"/>
      <c r="H136" s="22"/>
    </row>
    <row r="137" spans="1:8" ht="15" customHeight="1" x14ac:dyDescent="0.25">
      <c r="A137" s="28"/>
      <c r="H137" s="22"/>
    </row>
    <row r="138" spans="1:8" ht="15" customHeight="1" x14ac:dyDescent="0.25">
      <c r="A138" s="28"/>
      <c r="H138" s="22"/>
    </row>
    <row r="139" spans="1:8" ht="15" customHeight="1" x14ac:dyDescent="0.25">
      <c r="A139" s="28"/>
      <c r="H139" s="22"/>
    </row>
    <row r="140" spans="1:8" ht="15" customHeight="1" x14ac:dyDescent="0.25">
      <c r="A140" s="28"/>
      <c r="H140" s="22"/>
    </row>
    <row r="141" spans="1:8" ht="15" customHeight="1" x14ac:dyDescent="0.25">
      <c r="A141" s="28"/>
      <c r="H141" s="22"/>
    </row>
    <row r="142" spans="1:8" ht="15" customHeight="1" x14ac:dyDescent="0.25">
      <c r="A142" s="28"/>
      <c r="H142" s="22"/>
    </row>
    <row r="143" spans="1:8" ht="15" customHeight="1" x14ac:dyDescent="0.25">
      <c r="A143" s="28"/>
      <c r="H143" s="22"/>
    </row>
    <row r="144" spans="1:8" ht="15" customHeight="1" x14ac:dyDescent="0.25">
      <c r="A144" s="28"/>
      <c r="H144" s="22"/>
    </row>
    <row r="145" spans="1:8" ht="15" customHeight="1" x14ac:dyDescent="0.25">
      <c r="A145" s="28"/>
      <c r="H145" s="22"/>
    </row>
    <row r="146" spans="1:8" ht="15" customHeight="1" x14ac:dyDescent="0.25">
      <c r="A146" s="28"/>
      <c r="H146" s="22"/>
    </row>
  </sheetData>
  <mergeCells count="10">
    <mergeCell ref="E10:E21"/>
    <mergeCell ref="G10:G21"/>
    <mergeCell ref="B8:B9"/>
    <mergeCell ref="C8:C9"/>
    <mergeCell ref="D8:G8"/>
    <mergeCell ref="B2:G2"/>
    <mergeCell ref="B3:G3"/>
    <mergeCell ref="B4:G4"/>
    <mergeCell ref="B5:G5"/>
    <mergeCell ref="B7:G7"/>
  </mergeCells>
  <phoneticPr fontId="5" type="noConversion"/>
  <printOptions horizontalCentered="1"/>
  <pageMargins left="0.35433070866141736" right="0.35433070866141736" top="1.5748031496062993" bottom="0.1968503937007874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93"/>
  <sheetViews>
    <sheetView showGridLines="0" zoomScale="80" zoomScaleNormal="80" workbookViewId="0">
      <pane xSplit="3" ySplit="5" topLeftCell="D6" activePane="bottomRight" state="frozen"/>
      <selection activeCell="A32" sqref="A32"/>
      <selection pane="topRight" activeCell="A32" sqref="A32"/>
      <selection pane="bottomLeft" activeCell="A32" sqref="A32"/>
      <selection pane="bottomRight" activeCell="AC6" sqref="AC6:AC41"/>
    </sheetView>
  </sheetViews>
  <sheetFormatPr baseColWidth="10" defaultColWidth="11.42578125" defaultRowHeight="15" x14ac:dyDescent="0.25"/>
  <cols>
    <col min="1" max="1" width="10.85546875" style="2" customWidth="1"/>
    <col min="2" max="2" width="12.42578125" style="2" bestFit="1" customWidth="1"/>
    <col min="3" max="3" width="19.140625" style="2" bestFit="1" customWidth="1"/>
    <col min="4" max="27" width="11" style="4" customWidth="1"/>
    <col min="28" max="28" width="10.5703125" style="2" customWidth="1"/>
    <col min="29" max="30" width="12.5703125" style="2" customWidth="1"/>
    <col min="31" max="31" width="12.5703125" style="3" customWidth="1"/>
    <col min="32" max="34" width="11.42578125" style="3" customWidth="1"/>
    <col min="35" max="36" width="11.42578125" style="3"/>
    <col min="37" max="37" width="12.140625" style="3" bestFit="1" customWidth="1"/>
    <col min="38" max="56" width="11.42578125" style="3"/>
    <col min="57" max="16384" width="11.42578125" style="2"/>
  </cols>
  <sheetData>
    <row r="1" spans="1:30" ht="18.75" x14ac:dyDescent="0.3">
      <c r="B1" s="10" t="s">
        <v>54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30" ht="18.75" x14ac:dyDescent="0.3">
      <c r="B2" s="10" t="s">
        <v>50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30" ht="18.75" x14ac:dyDescent="0.3">
      <c r="B3" s="10" t="s">
        <v>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5" spans="1:30" x14ac:dyDescent="0.25">
      <c r="A5" s="5" t="s">
        <v>43</v>
      </c>
      <c r="B5" s="5" t="s">
        <v>0</v>
      </c>
      <c r="C5" s="3" t="s">
        <v>1</v>
      </c>
      <c r="D5" s="6" t="s">
        <v>51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18</v>
      </c>
      <c r="V5" s="6" t="s">
        <v>19</v>
      </c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  <c r="AB5" s="6" t="s">
        <v>48</v>
      </c>
      <c r="AC5" s="6" t="s">
        <v>47</v>
      </c>
    </row>
    <row r="6" spans="1:30" x14ac:dyDescent="0.25">
      <c r="A6" s="3">
        <v>2026</v>
      </c>
      <c r="B6" s="5" t="s">
        <v>57</v>
      </c>
      <c r="C6" s="7" t="s">
        <v>45</v>
      </c>
      <c r="D6" s="1">
        <v>1587.3636433002948</v>
      </c>
      <c r="E6" s="1">
        <v>1533.2495063614151</v>
      </c>
      <c r="F6" s="1">
        <v>1503.5296649275865</v>
      </c>
      <c r="G6" s="1">
        <v>1484.4657611619837</v>
      </c>
      <c r="H6" s="1">
        <v>1493.0825816993356</v>
      </c>
      <c r="I6" s="1">
        <v>1535.2072138729941</v>
      </c>
      <c r="J6" s="1">
        <v>1623.457179511302</v>
      </c>
      <c r="K6" s="1">
        <v>1756.8041975896122</v>
      </c>
      <c r="L6" s="1">
        <v>1759.4320807171612</v>
      </c>
      <c r="M6" s="1">
        <v>1372.9588117833946</v>
      </c>
      <c r="N6" s="1">
        <v>1119.7293451606215</v>
      </c>
      <c r="O6" s="1">
        <v>967.98520686520578</v>
      </c>
      <c r="P6" s="1">
        <v>796.58064551043526</v>
      </c>
      <c r="Q6" s="1">
        <v>970.03595394169156</v>
      </c>
      <c r="R6" s="1">
        <v>1476.4357682970381</v>
      </c>
      <c r="S6" s="1">
        <v>1696.5509031100887</v>
      </c>
      <c r="T6" s="1">
        <v>2044.7354835983306</v>
      </c>
      <c r="U6" s="1">
        <v>2173.4276159448996</v>
      </c>
      <c r="V6" s="1">
        <v>1932.0742621176169</v>
      </c>
      <c r="W6" s="1">
        <v>1840.1385728820142</v>
      </c>
      <c r="X6" s="1">
        <v>1844.0341200814173</v>
      </c>
      <c r="Y6" s="1">
        <v>1826.0585853927946</v>
      </c>
      <c r="Z6" s="1">
        <v>1722.504580489463</v>
      </c>
      <c r="AA6" s="1">
        <v>1664.6470548062894</v>
      </c>
      <c r="AB6" s="8">
        <v>20</v>
      </c>
      <c r="AC6" s="8">
        <f t="shared" ref="AC6:AC41" si="0">AB6*SUM(D6:AA6)</f>
        <v>754489.77478245972</v>
      </c>
      <c r="AD6" s="9"/>
    </row>
    <row r="7" spans="1:30" x14ac:dyDescent="0.25">
      <c r="A7" s="3">
        <v>2026</v>
      </c>
      <c r="B7" s="5" t="s">
        <v>57</v>
      </c>
      <c r="C7" s="7" t="s">
        <v>46</v>
      </c>
      <c r="D7" s="1">
        <v>1502.4904235067688</v>
      </c>
      <c r="E7" s="1">
        <v>1453.3800134801218</v>
      </c>
      <c r="F7" s="1">
        <v>1437.0694400814723</v>
      </c>
      <c r="G7" s="1">
        <v>1424.6724669092227</v>
      </c>
      <c r="H7" s="1">
        <v>1427.3879664675114</v>
      </c>
      <c r="I7" s="1">
        <v>1403.909294450596</v>
      </c>
      <c r="J7" s="1">
        <v>1172.4034367466961</v>
      </c>
      <c r="K7" s="1">
        <v>866.36927293495501</v>
      </c>
      <c r="L7" s="1">
        <v>880.85779592879896</v>
      </c>
      <c r="M7" s="1">
        <v>649.69467117885745</v>
      </c>
      <c r="N7" s="1">
        <v>434.27089823763458</v>
      </c>
      <c r="O7" s="1">
        <v>293.35492601384459</v>
      </c>
      <c r="P7" s="1">
        <v>0</v>
      </c>
      <c r="Q7" s="1">
        <v>0</v>
      </c>
      <c r="R7" s="1">
        <v>219.79916127963048</v>
      </c>
      <c r="S7" s="1">
        <v>560.55188039323934</v>
      </c>
      <c r="T7" s="1">
        <v>886.63445734082097</v>
      </c>
      <c r="U7" s="1">
        <v>1362.3419387525282</v>
      </c>
      <c r="V7" s="1">
        <v>1623.3111131309297</v>
      </c>
      <c r="W7" s="1">
        <v>1647.4166642260243</v>
      </c>
      <c r="X7" s="1">
        <v>1670.5438152645197</v>
      </c>
      <c r="Y7" s="1">
        <v>1696.5387916186187</v>
      </c>
      <c r="Z7" s="1">
        <v>1633.1419831607191</v>
      </c>
      <c r="AA7" s="1">
        <v>1598.2213032962609</v>
      </c>
      <c r="AB7" s="8">
        <v>5</v>
      </c>
      <c r="AC7" s="8">
        <f t="shared" si="0"/>
        <v>129221.80857199884</v>
      </c>
      <c r="AD7" s="9"/>
    </row>
    <row r="8" spans="1:30" x14ac:dyDescent="0.25">
      <c r="A8" s="3">
        <v>2026</v>
      </c>
      <c r="B8" s="5" t="s">
        <v>57</v>
      </c>
      <c r="C8" s="7" t="s">
        <v>52</v>
      </c>
      <c r="D8" s="1">
        <v>1493.805484902779</v>
      </c>
      <c r="E8" s="1">
        <v>1433.8435038279686</v>
      </c>
      <c r="F8" s="1">
        <v>1390.338396413893</v>
      </c>
      <c r="G8" s="1">
        <v>1367.3085593386136</v>
      </c>
      <c r="H8" s="1">
        <v>1353.0617019127935</v>
      </c>
      <c r="I8" s="1">
        <v>1333.0716565407047</v>
      </c>
      <c r="J8" s="1">
        <v>1028.0914548827548</v>
      </c>
      <c r="K8" s="1">
        <v>407.06466030936377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123.63823322293121</v>
      </c>
      <c r="S8" s="1">
        <v>339.64285506153203</v>
      </c>
      <c r="T8" s="1">
        <v>722.53428404170415</v>
      </c>
      <c r="U8" s="1">
        <v>1090.5957701318634</v>
      </c>
      <c r="V8" s="1">
        <v>1384.4667665646721</v>
      </c>
      <c r="W8" s="1">
        <v>1453.2158048096708</v>
      </c>
      <c r="X8" s="1">
        <v>1506.9330628885905</v>
      </c>
      <c r="Y8" s="1">
        <v>1530.2952179032536</v>
      </c>
      <c r="Z8" s="1">
        <v>1456.9304261934499</v>
      </c>
      <c r="AA8" s="1">
        <v>1408.9461622589779</v>
      </c>
      <c r="AB8" s="8">
        <v>6</v>
      </c>
      <c r="AC8" s="8">
        <f t="shared" si="0"/>
        <v>124942.7040072331</v>
      </c>
      <c r="AD8" s="9"/>
    </row>
    <row r="9" spans="1:30" x14ac:dyDescent="0.25">
      <c r="A9" s="3">
        <v>2026</v>
      </c>
      <c r="B9" s="5" t="s">
        <v>58</v>
      </c>
      <c r="C9" s="7" t="s">
        <v>45</v>
      </c>
      <c r="D9" s="1">
        <v>1631.220378030514</v>
      </c>
      <c r="E9" s="1">
        <v>1577.294251126531</v>
      </c>
      <c r="F9" s="1">
        <v>1547.6776660456844</v>
      </c>
      <c r="G9" s="1">
        <v>1528.6799964550123</v>
      </c>
      <c r="H9" s="1">
        <v>1537.2668793675298</v>
      </c>
      <c r="I9" s="1">
        <v>1579.2451569282721</v>
      </c>
      <c r="J9" s="1">
        <v>1667.1885136089613</v>
      </c>
      <c r="K9" s="1">
        <v>1800.0722409662058</v>
      </c>
      <c r="L9" s="1">
        <v>1802.690993976812</v>
      </c>
      <c r="M9" s="1">
        <v>1417.5604583266031</v>
      </c>
      <c r="N9" s="1">
        <v>1165.2107928713208</v>
      </c>
      <c r="O9" s="1">
        <v>1013.9938628499369</v>
      </c>
      <c r="P9" s="1">
        <v>843.1848164453196</v>
      </c>
      <c r="Q9" s="1">
        <v>1016.0374849670087</v>
      </c>
      <c r="R9" s="1">
        <v>1520.677902385542</v>
      </c>
      <c r="S9" s="1">
        <v>1740.0282859428494</v>
      </c>
      <c r="T9" s="1">
        <v>2087.0031604497876</v>
      </c>
      <c r="U9" s="1">
        <v>2215.2481746556623</v>
      </c>
      <c r="V9" s="1">
        <v>1974.733360534311</v>
      </c>
      <c r="W9" s="1">
        <v>1883.1170856536105</v>
      </c>
      <c r="X9" s="1">
        <v>1886.999098460592</v>
      </c>
      <c r="Y9" s="1">
        <v>1869.0860166002922</v>
      </c>
      <c r="Z9" s="1">
        <v>1765.891791842721</v>
      </c>
      <c r="AA9" s="1">
        <v>1708.2352819391208</v>
      </c>
      <c r="AB9" s="8">
        <v>20</v>
      </c>
      <c r="AC9" s="8">
        <f t="shared" si="0"/>
        <v>775566.87300860393</v>
      </c>
    </row>
    <row r="10" spans="1:30" x14ac:dyDescent="0.25">
      <c r="A10" s="3">
        <v>2026</v>
      </c>
      <c r="B10" s="5" t="s">
        <v>58</v>
      </c>
      <c r="C10" s="7" t="s">
        <v>46</v>
      </c>
      <c r="D10" s="1">
        <v>1545.8821402402632</v>
      </c>
      <c r="E10" s="1">
        <v>1495.8992532499606</v>
      </c>
      <c r="F10" s="1">
        <v>1479.2989123754005</v>
      </c>
      <c r="G10" s="1">
        <v>1466.6816992681561</v>
      </c>
      <c r="H10" s="1">
        <v>1469.4454413641906</v>
      </c>
      <c r="I10" s="1">
        <v>1445.5496561433561</v>
      </c>
      <c r="J10" s="1">
        <v>1209.9309529615125</v>
      </c>
      <c r="K10" s="1">
        <v>898.45990198323068</v>
      </c>
      <c r="L10" s="1">
        <v>913.20582259486423</v>
      </c>
      <c r="M10" s="1">
        <v>677.93594123096636</v>
      </c>
      <c r="N10" s="1">
        <v>458.68503104505203</v>
      </c>
      <c r="O10" s="1">
        <v>315.26559897415996</v>
      </c>
      <c r="P10" s="1">
        <v>0</v>
      </c>
      <c r="Q10" s="1">
        <v>0</v>
      </c>
      <c r="R10" s="1">
        <v>240.4030703534323</v>
      </c>
      <c r="S10" s="1">
        <v>587.20947335134224</v>
      </c>
      <c r="T10" s="1">
        <v>919.08510998793781</v>
      </c>
      <c r="U10" s="1">
        <v>1403.2438305309265</v>
      </c>
      <c r="V10" s="1">
        <v>1668.8492845238925</v>
      </c>
      <c r="W10" s="1">
        <v>1693.3830857194298</v>
      </c>
      <c r="X10" s="1">
        <v>1716.9211049731393</v>
      </c>
      <c r="Y10" s="1">
        <v>1743.3778982419703</v>
      </c>
      <c r="Z10" s="1">
        <v>1678.854806071131</v>
      </c>
      <c r="AA10" s="1">
        <v>1643.3137386204071</v>
      </c>
      <c r="AB10" s="8">
        <v>4</v>
      </c>
      <c r="AC10" s="8">
        <f t="shared" si="0"/>
        <v>106683.5270152189</v>
      </c>
    </row>
    <row r="11" spans="1:30" x14ac:dyDescent="0.25">
      <c r="A11" s="3">
        <v>2026</v>
      </c>
      <c r="B11" s="5" t="s">
        <v>58</v>
      </c>
      <c r="C11" s="7" t="s">
        <v>52</v>
      </c>
      <c r="D11" s="1">
        <v>1533.5023213898917</v>
      </c>
      <c r="E11" s="1">
        <v>1472.1826057609996</v>
      </c>
      <c r="F11" s="1">
        <v>1427.6924010143089</v>
      </c>
      <c r="G11" s="1">
        <v>1404.1410934170171</v>
      </c>
      <c r="H11" s="1">
        <v>1389.5716407355471</v>
      </c>
      <c r="I11" s="1">
        <v>1369.128955626531</v>
      </c>
      <c r="J11" s="1">
        <v>1057.243008850101</v>
      </c>
      <c r="K11" s="1">
        <v>422.15414489726697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132.31002035158889</v>
      </c>
      <c r="S11" s="1">
        <v>353.20569037863589</v>
      </c>
      <c r="T11" s="1">
        <v>744.76702842901466</v>
      </c>
      <c r="U11" s="1">
        <v>1121.1626253796499</v>
      </c>
      <c r="V11" s="1">
        <v>1421.6878183407789</v>
      </c>
      <c r="W11" s="1">
        <v>1491.9935587345717</v>
      </c>
      <c r="X11" s="1">
        <v>1546.9271504992194</v>
      </c>
      <c r="Y11" s="1">
        <v>1570.8183007964376</v>
      </c>
      <c r="Z11" s="1">
        <v>1495.7922912453964</v>
      </c>
      <c r="AA11" s="1">
        <v>1446.7215072855984</v>
      </c>
      <c r="AB11" s="8">
        <v>4</v>
      </c>
      <c r="AC11" s="8">
        <f t="shared" si="0"/>
        <v>85604.008652530218</v>
      </c>
    </row>
    <row r="12" spans="1:30" x14ac:dyDescent="0.25">
      <c r="A12" s="3">
        <v>2026</v>
      </c>
      <c r="B12" s="5" t="s">
        <v>59</v>
      </c>
      <c r="C12" s="7" t="s">
        <v>45</v>
      </c>
      <c r="D12" s="1">
        <v>1674.9247402626484</v>
      </c>
      <c r="E12" s="1">
        <v>1621.1859701858198</v>
      </c>
      <c r="F12" s="1">
        <v>1591.6722827119488</v>
      </c>
      <c r="G12" s="1">
        <v>1572.7406171772359</v>
      </c>
      <c r="H12" s="1">
        <v>1581.2976664779217</v>
      </c>
      <c r="I12" s="1">
        <v>1623.1300979090656</v>
      </c>
      <c r="J12" s="1">
        <v>1710.7679108909406</v>
      </c>
      <c r="K12" s="1">
        <v>1843.1899571491062</v>
      </c>
      <c r="L12" s="1">
        <v>1845.7996117637526</v>
      </c>
      <c r="M12" s="1">
        <v>1462.0071443068719</v>
      </c>
      <c r="N12" s="1">
        <v>1210.5342233049287</v>
      </c>
      <c r="O12" s="1">
        <v>1059.8426698653127</v>
      </c>
      <c r="P12" s="1">
        <v>889.62706939907287</v>
      </c>
      <c r="Q12" s="1">
        <v>1061.8791917773865</v>
      </c>
      <c r="R12" s="1">
        <v>1564.7663249737907</v>
      </c>
      <c r="S12" s="1">
        <v>1783.3546142688583</v>
      </c>
      <c r="T12" s="1">
        <v>2129.1239857047972</v>
      </c>
      <c r="U12" s="1">
        <v>2256.9234352031835</v>
      </c>
      <c r="V12" s="1">
        <v>2017.2442474292907</v>
      </c>
      <c r="W12" s="1">
        <v>1925.9462771545914</v>
      </c>
      <c r="X12" s="1">
        <v>1929.8148025920127</v>
      </c>
      <c r="Y12" s="1">
        <v>1911.963956578687</v>
      </c>
      <c r="Z12" s="1">
        <v>1809.128261974146</v>
      </c>
      <c r="AA12" s="1">
        <v>1751.6720694562086</v>
      </c>
      <c r="AB12" s="8">
        <v>21</v>
      </c>
      <c r="AC12" s="8">
        <f t="shared" si="0"/>
        <v>836399.27969886921</v>
      </c>
    </row>
    <row r="13" spans="1:30" x14ac:dyDescent="0.25">
      <c r="A13" s="3">
        <v>2026</v>
      </c>
      <c r="B13" s="5" t="s">
        <v>59</v>
      </c>
      <c r="C13" s="7" t="s">
        <v>46</v>
      </c>
      <c r="D13" s="1">
        <v>1590.0447377960295</v>
      </c>
      <c r="E13" s="1">
        <v>1539.1738737464357</v>
      </c>
      <c r="F13" s="1">
        <v>1522.2786174966218</v>
      </c>
      <c r="G13" s="1">
        <v>1509.4372517550246</v>
      </c>
      <c r="H13" s="1">
        <v>1512.2500934474779</v>
      </c>
      <c r="I13" s="1">
        <v>1487.9297847473581</v>
      </c>
      <c r="J13" s="1">
        <v>1248.1251688309007</v>
      </c>
      <c r="K13" s="1">
        <v>931.12064100571865</v>
      </c>
      <c r="L13" s="1">
        <v>946.12853206383329</v>
      </c>
      <c r="M13" s="1">
        <v>706.67893500176308</v>
      </c>
      <c r="N13" s="1">
        <v>483.53289609886178</v>
      </c>
      <c r="O13" s="1">
        <v>337.56552866040573</v>
      </c>
      <c r="P13" s="1">
        <v>0</v>
      </c>
      <c r="Q13" s="1">
        <v>0</v>
      </c>
      <c r="R13" s="1">
        <v>261.37302068036962</v>
      </c>
      <c r="S13" s="1">
        <v>614.34065502006354</v>
      </c>
      <c r="T13" s="1">
        <v>952.11226865230935</v>
      </c>
      <c r="U13" s="1">
        <v>1444.8723698434674</v>
      </c>
      <c r="V13" s="1">
        <v>1715.1964698404981</v>
      </c>
      <c r="W13" s="1">
        <v>1740.166129265735</v>
      </c>
      <c r="X13" s="1">
        <v>1764.1223160639183</v>
      </c>
      <c r="Y13" s="1">
        <v>1791.0491307120606</v>
      </c>
      <c r="Z13" s="1">
        <v>1725.3797456979655</v>
      </c>
      <c r="AA13" s="1">
        <v>1689.2072690898412</v>
      </c>
      <c r="AB13" s="8">
        <v>4</v>
      </c>
      <c r="AC13" s="8">
        <f t="shared" si="0"/>
        <v>110048.34174206664</v>
      </c>
    </row>
    <row r="14" spans="1:30" x14ac:dyDescent="0.25">
      <c r="A14" s="3">
        <v>2026</v>
      </c>
      <c r="B14" s="5" t="s">
        <v>59</v>
      </c>
      <c r="C14" s="7" t="s">
        <v>52</v>
      </c>
      <c r="D14" s="1">
        <v>1574.09802355189</v>
      </c>
      <c r="E14" s="1">
        <v>1511.389829836326</v>
      </c>
      <c r="F14" s="1">
        <v>1465.8922219448427</v>
      </c>
      <c r="G14" s="1">
        <v>1441.8076360344357</v>
      </c>
      <c r="H14" s="1">
        <v>1426.9082834900005</v>
      </c>
      <c r="I14" s="1">
        <v>1406.0027094061174</v>
      </c>
      <c r="J14" s="1">
        <v>1087.0546489489789</v>
      </c>
      <c r="K14" s="1">
        <v>437.585304564296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141.1781649857721</v>
      </c>
      <c r="S14" s="1">
        <v>367.07563246291573</v>
      </c>
      <c r="T14" s="1">
        <v>767.50319456366628</v>
      </c>
      <c r="U14" s="1">
        <v>1152.4216137897438</v>
      </c>
      <c r="V14" s="1">
        <v>1459.7516759620203</v>
      </c>
      <c r="W14" s="1">
        <v>1531.6493673116001</v>
      </c>
      <c r="X14" s="1">
        <v>1587.8268345183487</v>
      </c>
      <c r="Y14" s="1">
        <v>1612.2589582743126</v>
      </c>
      <c r="Z14" s="1">
        <v>1535.5341154993457</v>
      </c>
      <c r="AA14" s="1">
        <v>1485.352209161937</v>
      </c>
      <c r="AB14" s="8">
        <v>6</v>
      </c>
      <c r="AC14" s="8">
        <f t="shared" si="0"/>
        <v>131947.74254583928</v>
      </c>
    </row>
    <row r="15" spans="1:30" x14ac:dyDescent="0.25">
      <c r="A15" s="3">
        <v>2026</v>
      </c>
      <c r="B15" s="5" t="s">
        <v>56</v>
      </c>
      <c r="C15" s="7" t="s">
        <v>45</v>
      </c>
      <c r="D15" s="1">
        <v>1718.4772593880975</v>
      </c>
      <c r="E15" s="1">
        <v>1664.9251952001359</v>
      </c>
      <c r="F15" s="1">
        <v>1635.5140478336339</v>
      </c>
      <c r="G15" s="1">
        <v>1616.6481570354163</v>
      </c>
      <c r="H15" s="1">
        <v>1625.1754763758986</v>
      </c>
      <c r="I15" s="1">
        <v>1666.8625683941264</v>
      </c>
      <c r="J15" s="1">
        <v>1754.1958992349373</v>
      </c>
      <c r="K15" s="1">
        <v>1886.1578684236633</v>
      </c>
      <c r="L15" s="1">
        <v>1888.7584562531238</v>
      </c>
      <c r="M15" s="1">
        <v>1506.2994081073762</v>
      </c>
      <c r="N15" s="1">
        <v>1255.7001854646346</v>
      </c>
      <c r="O15" s="1">
        <v>1105.5321832784148</v>
      </c>
      <c r="P15" s="1">
        <v>935.90796692719357</v>
      </c>
      <c r="Q15" s="1">
        <v>1107.5616296539019</v>
      </c>
      <c r="R15" s="1">
        <v>1608.701570105311</v>
      </c>
      <c r="S15" s="1">
        <v>1826.5304129003862</v>
      </c>
      <c r="T15" s="1">
        <v>2171.0984695733591</v>
      </c>
      <c r="U15" s="1">
        <v>2298.4539024003329</v>
      </c>
      <c r="V15" s="1">
        <v>2059.6074377373761</v>
      </c>
      <c r="W15" s="1">
        <v>1968.6266661754034</v>
      </c>
      <c r="X15" s="1">
        <v>1972.4817511027541</v>
      </c>
      <c r="Y15" s="1">
        <v>1954.692924708917</v>
      </c>
      <c r="Z15" s="1">
        <v>1852.2145146075559</v>
      </c>
      <c r="AA15" s="1">
        <v>1794.9579435078167</v>
      </c>
      <c r="AB15" s="8">
        <v>20</v>
      </c>
      <c r="AC15" s="8">
        <f t="shared" si="0"/>
        <v>817501.63788779534</v>
      </c>
    </row>
    <row r="16" spans="1:30" x14ac:dyDescent="0.25">
      <c r="A16" s="3">
        <v>2026</v>
      </c>
      <c r="B16" s="5" t="s">
        <v>56</v>
      </c>
      <c r="C16" s="7" t="s">
        <v>46</v>
      </c>
      <c r="D16" s="1">
        <v>1634.9919113510946</v>
      </c>
      <c r="E16" s="1">
        <v>1583.217294777739</v>
      </c>
      <c r="F16" s="1">
        <v>1566.0218837976954</v>
      </c>
      <c r="G16" s="1">
        <v>1552.9523832108516</v>
      </c>
      <c r="H16" s="1">
        <v>1555.815196784577</v>
      </c>
      <c r="I16" s="1">
        <v>1531.0628226816571</v>
      </c>
      <c r="J16" s="1">
        <v>1286.9979286886792</v>
      </c>
      <c r="K16" s="1">
        <v>964.3616183605202</v>
      </c>
      <c r="L16" s="1">
        <v>979.63613393295179</v>
      </c>
      <c r="M16" s="1">
        <v>735.93256592500711</v>
      </c>
      <c r="N16" s="1">
        <v>508.82219892205114</v>
      </c>
      <c r="O16" s="1">
        <v>360.2616304602999</v>
      </c>
      <c r="P16" s="1">
        <v>0</v>
      </c>
      <c r="Q16" s="1">
        <v>0</v>
      </c>
      <c r="R16" s="1">
        <v>282.71551521085428</v>
      </c>
      <c r="S16" s="1">
        <v>641.95383899725414</v>
      </c>
      <c r="T16" s="1">
        <v>985.72617532171762</v>
      </c>
      <c r="U16" s="1">
        <v>1487.2404660353163</v>
      </c>
      <c r="V16" s="1">
        <v>1762.3670417160247</v>
      </c>
      <c r="W16" s="1">
        <v>1787.7803026633633</v>
      </c>
      <c r="X16" s="1">
        <v>1812.1620860124021</v>
      </c>
      <c r="Y16" s="1">
        <v>1839.5672722618483</v>
      </c>
      <c r="Z16" s="1">
        <v>1772.7312297995431</v>
      </c>
      <c r="AA16" s="1">
        <v>1735.9161266578212</v>
      </c>
      <c r="AB16" s="8">
        <v>4</v>
      </c>
      <c r="AC16" s="8">
        <f t="shared" si="0"/>
        <v>113472.93449427708</v>
      </c>
    </row>
    <row r="17" spans="1:29" x14ac:dyDescent="0.25">
      <c r="A17" s="3">
        <v>2026</v>
      </c>
      <c r="B17" s="5" t="s">
        <v>56</v>
      </c>
      <c r="C17" s="7" t="s">
        <v>52</v>
      </c>
      <c r="D17" s="1">
        <v>1615.6129446353543</v>
      </c>
      <c r="E17" s="1">
        <v>1551.4848331668154</v>
      </c>
      <c r="F17" s="1">
        <v>1504.9570112421225</v>
      </c>
      <c r="G17" s="1">
        <v>1480.3270718606468</v>
      </c>
      <c r="H17" s="1">
        <v>1465.0903494458303</v>
      </c>
      <c r="I17" s="1">
        <v>1443.7114050730102</v>
      </c>
      <c r="J17" s="1">
        <v>1117.5413216793768</v>
      </c>
      <c r="K17" s="1">
        <v>453.36587594711432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150.2471132989632</v>
      </c>
      <c r="S17" s="1">
        <v>381.25963521185975</v>
      </c>
      <c r="T17" s="1">
        <v>790.75418155371699</v>
      </c>
      <c r="U17" s="1">
        <v>1184.388407511291</v>
      </c>
      <c r="V17" s="1">
        <v>1498.6774232978378</v>
      </c>
      <c r="W17" s="1">
        <v>1572.2031125579974</v>
      </c>
      <c r="X17" s="1">
        <v>1629.6526205982905</v>
      </c>
      <c r="Y17" s="1">
        <v>1654.6379672141143</v>
      </c>
      <c r="Z17" s="1">
        <v>1576.1758240977515</v>
      </c>
      <c r="AA17" s="1">
        <v>1524.8576359530593</v>
      </c>
      <c r="AB17" s="8">
        <v>6</v>
      </c>
      <c r="AC17" s="8">
        <f t="shared" si="0"/>
        <v>135569.66840607091</v>
      </c>
    </row>
    <row r="18" spans="1:29" x14ac:dyDescent="0.25">
      <c r="A18" s="3">
        <v>2026</v>
      </c>
      <c r="B18" s="5" t="s">
        <v>25</v>
      </c>
      <c r="C18" s="7" t="s">
        <v>45</v>
      </c>
      <c r="D18" s="1">
        <v>1761.8784629589836</v>
      </c>
      <c r="E18" s="1">
        <v>1708.512455983172</v>
      </c>
      <c r="F18" s="1">
        <v>1679.2034924665018</v>
      </c>
      <c r="G18" s="1">
        <v>1660.4031478820457</v>
      </c>
      <c r="H18" s="1">
        <v>1668.9008405538334</v>
      </c>
      <c r="I18" s="1">
        <v>1710.4430981153291</v>
      </c>
      <c r="J18" s="1">
        <v>1797.4730046846307</v>
      </c>
      <c r="K18" s="1">
        <v>1928.9764952606383</v>
      </c>
      <c r="L18" s="1">
        <v>1931.5680478058603</v>
      </c>
      <c r="M18" s="1">
        <v>1550.4377862407728</v>
      </c>
      <c r="N18" s="1">
        <v>1300.7092264462135</v>
      </c>
      <c r="O18" s="1">
        <v>1151.0629565267996</v>
      </c>
      <c r="P18" s="1">
        <v>982.02806963068031</v>
      </c>
      <c r="Q18" s="1">
        <v>1153.0853519484058</v>
      </c>
      <c r="R18" s="1">
        <v>1652.4841699681892</v>
      </c>
      <c r="S18" s="1">
        <v>1869.5562048263359</v>
      </c>
      <c r="T18" s="1">
        <v>2212.9271204928377</v>
      </c>
      <c r="U18" s="1">
        <v>2339.8400793060964</v>
      </c>
      <c r="V18" s="1">
        <v>2101.8234446043366</v>
      </c>
      <c r="W18" s="1">
        <v>2011.1587697040482</v>
      </c>
      <c r="X18" s="1">
        <v>2015.0004608180125</v>
      </c>
      <c r="Y18" s="1">
        <v>1997.2734385674225</v>
      </c>
      <c r="Z18" s="1">
        <v>1895.1510716471817</v>
      </c>
      <c r="AA18" s="1">
        <v>1838.0934284161931</v>
      </c>
      <c r="AB18" s="8">
        <v>19</v>
      </c>
      <c r="AC18" s="8">
        <f t="shared" si="0"/>
        <v>796441.82187223563</v>
      </c>
    </row>
    <row r="19" spans="1:29" x14ac:dyDescent="0.25">
      <c r="A19" s="3">
        <v>2026</v>
      </c>
      <c r="B19" s="5" t="s">
        <v>25</v>
      </c>
      <c r="C19" s="7" t="s">
        <v>46</v>
      </c>
      <c r="D19" s="1">
        <v>1680.7375993858177</v>
      </c>
      <c r="E19" s="1">
        <v>1628.0431745632977</v>
      </c>
      <c r="F19" s="1">
        <v>1610.5422764176501</v>
      </c>
      <c r="G19" s="1">
        <v>1597.240588028214</v>
      </c>
      <c r="H19" s="1">
        <v>1600.1542612647472</v>
      </c>
      <c r="I19" s="1">
        <v>1574.9621458485522</v>
      </c>
      <c r="J19" s="1">
        <v>1326.5612872906186</v>
      </c>
      <c r="K19" s="1">
        <v>998.19314234231456</v>
      </c>
      <c r="L19" s="1">
        <v>1013.7390191793074</v>
      </c>
      <c r="M19" s="1">
        <v>765.70590578714973</v>
      </c>
      <c r="N19" s="1">
        <v>534.56078193101325</v>
      </c>
      <c r="O19" s="1">
        <v>383.36094261772217</v>
      </c>
      <c r="P19" s="1">
        <v>0</v>
      </c>
      <c r="Q19" s="1">
        <v>0</v>
      </c>
      <c r="R19" s="1">
        <v>304.43717242425475</v>
      </c>
      <c r="S19" s="1">
        <v>670.0575883535613</v>
      </c>
      <c r="T19" s="1">
        <v>1019.9372539392245</v>
      </c>
      <c r="U19" s="1">
        <v>1530.3612577941799</v>
      </c>
      <c r="V19" s="1">
        <v>1810.3756281245505</v>
      </c>
      <c r="W19" s="1">
        <v>1836.2403714507959</v>
      </c>
      <c r="X19" s="1">
        <v>1861.0553123379891</v>
      </c>
      <c r="Y19" s="1">
        <v>1888.9473687576165</v>
      </c>
      <c r="Z19" s="1">
        <v>1820.9239424522798</v>
      </c>
      <c r="AA19" s="1">
        <v>1783.4547961171015</v>
      </c>
      <c r="AB19" s="8">
        <v>5</v>
      </c>
      <c r="AC19" s="8">
        <f t="shared" si="0"/>
        <v>146197.95908203983</v>
      </c>
    </row>
    <row r="20" spans="1:29" x14ac:dyDescent="0.25">
      <c r="A20" s="3">
        <v>2026</v>
      </c>
      <c r="B20" s="5" t="s">
        <v>25</v>
      </c>
      <c r="C20" s="7" t="s">
        <v>52</v>
      </c>
      <c r="D20" s="1">
        <v>1658.0678987506603</v>
      </c>
      <c r="E20" s="1">
        <v>1592.4877179663963</v>
      </c>
      <c r="F20" s="1">
        <v>1544.9063546072648</v>
      </c>
      <c r="G20" s="1">
        <v>1519.7187131758615</v>
      </c>
      <c r="H20" s="1">
        <v>1504.1369817379486</v>
      </c>
      <c r="I20" s="1">
        <v>1482.2739484310327</v>
      </c>
      <c r="J20" s="1">
        <v>1148.7183119787255</v>
      </c>
      <c r="K20" s="1">
        <v>469.50377086503852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159.52141214049388</v>
      </c>
      <c r="S20" s="1">
        <v>395.76480998184496</v>
      </c>
      <c r="T20" s="1">
        <v>814.53164662015922</v>
      </c>
      <c r="U20" s="1">
        <v>1217.0790335619404</v>
      </c>
      <c r="V20" s="1">
        <v>1538.4845763386361</v>
      </c>
      <c r="W20" s="1">
        <v>1613.6751266846336</v>
      </c>
      <c r="X20" s="1">
        <v>1672.425478706115</v>
      </c>
      <c r="Y20" s="1">
        <v>1697.9765749492512</v>
      </c>
      <c r="Z20" s="1">
        <v>1617.7377933531916</v>
      </c>
      <c r="AA20" s="1">
        <v>1565.2575942801082</v>
      </c>
      <c r="AB20" s="8">
        <v>7</v>
      </c>
      <c r="AC20" s="8">
        <f t="shared" si="0"/>
        <v>162485.87420890512</v>
      </c>
    </row>
    <row r="21" spans="1:29" x14ac:dyDescent="0.25">
      <c r="A21" s="3">
        <v>2026</v>
      </c>
      <c r="B21" s="5" t="s">
        <v>26</v>
      </c>
      <c r="C21" s="7" t="s">
        <v>45</v>
      </c>
      <c r="D21" s="1">
        <v>1805.1288766945418</v>
      </c>
      <c r="E21" s="1">
        <v>1751.9482805078765</v>
      </c>
      <c r="F21" s="1">
        <v>1722.7411458212546</v>
      </c>
      <c r="G21" s="1">
        <v>1704.0061197217883</v>
      </c>
      <c r="H21" s="1">
        <v>1712.4742886575223</v>
      </c>
      <c r="I21" s="1">
        <v>1753.8722149640885</v>
      </c>
      <c r="J21" s="1">
        <v>1840.5997514560549</v>
      </c>
      <c r="K21" s="1">
        <v>1971.6463563225088</v>
      </c>
      <c r="L21" s="1">
        <v>1974.2289049749952</v>
      </c>
      <c r="M21" s="1">
        <v>1594.4228133557008</v>
      </c>
      <c r="N21" s="1">
        <v>1345.5618914446518</v>
      </c>
      <c r="O21" s="1">
        <v>1196.4355411252027</v>
      </c>
      <c r="P21" s="1">
        <v>1027.9879361628223</v>
      </c>
      <c r="Q21" s="1">
        <v>1198.4509100902246</v>
      </c>
      <c r="R21" s="1">
        <v>1696.114654901518</v>
      </c>
      <c r="S21" s="1">
        <v>1912.4325112185779</v>
      </c>
      <c r="T21" s="1">
        <v>2254.6104451341216</v>
      </c>
      <c r="U21" s="1">
        <v>2381.0824672316703</v>
      </c>
      <c r="V21" s="1">
        <v>2143.892779393108</v>
      </c>
      <c r="W21" s="1">
        <v>2053.5431029323427</v>
      </c>
      <c r="X21" s="1">
        <v>2057.3714467673699</v>
      </c>
      <c r="Y21" s="1">
        <v>2039.7060139324158</v>
      </c>
      <c r="Z21" s="1">
        <v>1937.9384531839905</v>
      </c>
      <c r="AA21" s="1">
        <v>1881.0790466819199</v>
      </c>
      <c r="AB21" s="8">
        <v>19</v>
      </c>
      <c r="AC21" s="8">
        <f t="shared" si="0"/>
        <v>816188.24310084933</v>
      </c>
    </row>
    <row r="22" spans="1:29" x14ac:dyDescent="0.25">
      <c r="A22" s="3">
        <v>2026</v>
      </c>
      <c r="B22" s="5" t="s">
        <v>26</v>
      </c>
      <c r="C22" s="7" t="s">
        <v>46</v>
      </c>
      <c r="D22" s="1">
        <v>1727.2959880063277</v>
      </c>
      <c r="E22" s="1">
        <v>1673.6654139692969</v>
      </c>
      <c r="F22" s="1">
        <v>1655.8536014886422</v>
      </c>
      <c r="G22" s="1">
        <v>1642.3156003359609</v>
      </c>
      <c r="H22" s="1">
        <v>1645.2810367888287</v>
      </c>
      <c r="I22" s="1">
        <v>1619.6413677815626</v>
      </c>
      <c r="J22" s="1">
        <v>1366.8275135527206</v>
      </c>
      <c r="K22" s="1">
        <v>1032.6257043790442</v>
      </c>
      <c r="L22" s="1">
        <v>1048.4477633821552</v>
      </c>
      <c r="M22" s="1">
        <v>796.00818754056797</v>
      </c>
      <c r="N22" s="1">
        <v>560.7566268675439</v>
      </c>
      <c r="O22" s="1">
        <v>406.87062841533015</v>
      </c>
      <c r="P22" s="1">
        <v>0</v>
      </c>
      <c r="Q22" s="1">
        <v>0</v>
      </c>
      <c r="R22" s="1">
        <v>326.54472838133989</v>
      </c>
      <c r="S22" s="1">
        <v>698.66061828790544</v>
      </c>
      <c r="T22" s="1">
        <v>1054.7561136357208</v>
      </c>
      <c r="U22" s="1">
        <v>1574.2481172247208</v>
      </c>
      <c r="V22" s="1">
        <v>1859.2371169152066</v>
      </c>
      <c r="W22" s="1">
        <v>1885.5613634854844</v>
      </c>
      <c r="X22" s="1">
        <v>1910.8171572237702</v>
      </c>
      <c r="Y22" s="1">
        <v>1939.2047333648152</v>
      </c>
      <c r="Z22" s="1">
        <v>1869.9728286043373</v>
      </c>
      <c r="AA22" s="1">
        <v>1831.8380195917848</v>
      </c>
      <c r="AB22" s="8">
        <v>4</v>
      </c>
      <c r="AC22" s="8">
        <f t="shared" si="0"/>
        <v>120505.72091689226</v>
      </c>
    </row>
    <row r="23" spans="1:29" x14ac:dyDescent="0.25">
      <c r="A23" s="3">
        <v>2026</v>
      </c>
      <c r="B23" s="5" t="s">
        <v>26</v>
      </c>
      <c r="C23" s="7" t="s">
        <v>52</v>
      </c>
      <c r="D23" s="1">
        <v>1701.4841713074366</v>
      </c>
      <c r="E23" s="1">
        <v>1634.4190416285951</v>
      </c>
      <c r="F23" s="1">
        <v>1585.7602812254531</v>
      </c>
      <c r="G23" s="1">
        <v>1560.0023095532165</v>
      </c>
      <c r="H23" s="1">
        <v>1544.0677569641934</v>
      </c>
      <c r="I23" s="1">
        <v>1521.709673372985</v>
      </c>
      <c r="J23" s="1">
        <v>1180.6012508852236</v>
      </c>
      <c r="K23" s="1">
        <v>486.00708028674416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169.00571131517424</v>
      </c>
      <c r="S23" s="1">
        <v>410.59842915351913</v>
      </c>
      <c r="T23" s="1">
        <v>838.84751094143769</v>
      </c>
      <c r="U23" s="1">
        <v>1250.5098818632214</v>
      </c>
      <c r="V23" s="1">
        <v>1579.193092980408</v>
      </c>
      <c r="W23" s="1">
        <v>1656.0862022898564</v>
      </c>
      <c r="X23" s="1">
        <v>1716.1668536372472</v>
      </c>
      <c r="Y23" s="1">
        <v>1742.296509921965</v>
      </c>
      <c r="Z23" s="1">
        <v>1660.2408609643276</v>
      </c>
      <c r="AA23" s="1">
        <v>1606.5723392506411</v>
      </c>
      <c r="AB23" s="8">
        <v>7</v>
      </c>
      <c r="AC23" s="8">
        <f t="shared" si="0"/>
        <v>166904.98270279152</v>
      </c>
    </row>
    <row r="24" spans="1:29" x14ac:dyDescent="0.25">
      <c r="A24" s="3">
        <v>2026</v>
      </c>
      <c r="B24" s="5" t="s">
        <v>27</v>
      </c>
      <c r="C24" s="7" t="s">
        <v>45</v>
      </c>
      <c r="D24" s="1">
        <v>1848.2290244874889</v>
      </c>
      <c r="E24" s="1">
        <v>1795.2331949128488</v>
      </c>
      <c r="F24" s="1">
        <v>1766.1275352699454</v>
      </c>
      <c r="G24" s="1">
        <v>1747.4576007179012</v>
      </c>
      <c r="H24" s="1">
        <v>1755.8963484926007</v>
      </c>
      <c r="I24" s="1">
        <v>1797.1504449977542</v>
      </c>
      <c r="J24" s="1">
        <v>1883.5766619439469</v>
      </c>
      <c r="K24" s="1">
        <v>2014.1679684697501</v>
      </c>
      <c r="L24" s="1">
        <v>2016.74154451194</v>
      </c>
      <c r="M24" s="1">
        <v>1638.255022243256</v>
      </c>
      <c r="N24" s="1">
        <v>1390.2587237607527</v>
      </c>
      <c r="O24" s="1">
        <v>1241.6504866722184</v>
      </c>
      <c r="P24" s="1">
        <v>1073.7881232359659</v>
      </c>
      <c r="Q24" s="1">
        <v>1243.6588535928418</v>
      </c>
      <c r="R24" s="1">
        <v>1739.5935534018204</v>
      </c>
      <c r="S24" s="1">
        <v>1955.1598514382622</v>
      </c>
      <c r="T24" s="1">
        <v>2296.1489484077606</v>
      </c>
      <c r="U24" s="1">
        <v>2422.1815657465331</v>
      </c>
      <c r="V24" s="1">
        <v>2185.8159516899846</v>
      </c>
      <c r="W24" s="1">
        <v>2095.7801792621613</v>
      </c>
      <c r="X24" s="1">
        <v>2099.5952221910115</v>
      </c>
      <c r="Y24" s="1">
        <v>2081.9911647901286</v>
      </c>
      <c r="Z24" s="1">
        <v>1980.5771775019853</v>
      </c>
      <c r="AA24" s="1">
        <v>1923.9153189902436</v>
      </c>
      <c r="AB24" s="8">
        <v>22</v>
      </c>
      <c r="AC24" s="8">
        <f t="shared" si="0"/>
        <v>967844.91026804014</v>
      </c>
    </row>
    <row r="25" spans="1:29" x14ac:dyDescent="0.25">
      <c r="A25" s="3">
        <v>2026</v>
      </c>
      <c r="B25" s="5" t="s">
        <v>27</v>
      </c>
      <c r="C25" s="7" t="s">
        <v>46</v>
      </c>
      <c r="D25" s="1">
        <v>1774.6815153437469</v>
      </c>
      <c r="E25" s="1">
        <v>1720.0981608194516</v>
      </c>
      <c r="F25" s="1">
        <v>1701.9699104173483</v>
      </c>
      <c r="G25" s="1">
        <v>1688.1913982582782</v>
      </c>
      <c r="H25" s="1">
        <v>1691.2095175331979</v>
      </c>
      <c r="I25" s="1">
        <v>1665.1143438670933</v>
      </c>
      <c r="J25" s="1">
        <v>1407.8090943559059</v>
      </c>
      <c r="K25" s="1">
        <v>1067.6699822853907</v>
      </c>
      <c r="L25" s="1">
        <v>1083.7731300024898</v>
      </c>
      <c r="M25" s="1">
        <v>826.84880816677753</v>
      </c>
      <c r="N25" s="1">
        <v>587.41785727404363</v>
      </c>
      <c r="O25" s="1">
        <v>430.79797839595085</v>
      </c>
      <c r="P25" s="1">
        <v>0</v>
      </c>
      <c r="Q25" s="1">
        <v>0</v>
      </c>
      <c r="R25" s="1">
        <v>349.04503881318561</v>
      </c>
      <c r="S25" s="1">
        <v>727.77179883013366</v>
      </c>
      <c r="T25" s="1">
        <v>1090.1935520199022</v>
      </c>
      <c r="U25" s="1">
        <v>1618.9146539953522</v>
      </c>
      <c r="V25" s="1">
        <v>1908.9666604290187</v>
      </c>
      <c r="W25" s="1">
        <v>1935.7585736041106</v>
      </c>
      <c r="X25" s="1">
        <v>1961.4630522184448</v>
      </c>
      <c r="Y25" s="1">
        <v>1990.3549512967988</v>
      </c>
      <c r="Z25" s="1">
        <v>1919.8930987101721</v>
      </c>
      <c r="AA25" s="1">
        <v>1881.0808011089721</v>
      </c>
      <c r="AB25" s="8">
        <v>4</v>
      </c>
      <c r="AC25" s="8">
        <f t="shared" si="0"/>
        <v>124116.09551098304</v>
      </c>
    </row>
    <row r="26" spans="1:29" x14ac:dyDescent="0.25">
      <c r="A26" s="3">
        <v>2026</v>
      </c>
      <c r="B26" s="5" t="s">
        <v>27</v>
      </c>
      <c r="C26" s="7" t="s">
        <v>52</v>
      </c>
      <c r="D26" s="1">
        <v>1745.883529686314</v>
      </c>
      <c r="E26" s="1">
        <v>1677.2998270332855</v>
      </c>
      <c r="F26" s="1">
        <v>1627.5392738078599</v>
      </c>
      <c r="G26" s="1">
        <v>1601.1980577605113</v>
      </c>
      <c r="H26" s="1">
        <v>1584.9026950003408</v>
      </c>
      <c r="I26" s="1">
        <v>1562.0383515739722</v>
      </c>
      <c r="J26" s="1">
        <v>1213.2061233746872</v>
      </c>
      <c r="K26" s="1">
        <v>502.88407838679075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178.70476591454019</v>
      </c>
      <c r="S26" s="1">
        <v>425.76792977791484</v>
      </c>
      <c r="T26" s="1">
        <v>863.71396563030532</v>
      </c>
      <c r="U26" s="1">
        <v>1284.697713457871</v>
      </c>
      <c r="V26" s="1">
        <v>1620.8233830309168</v>
      </c>
      <c r="W26" s="1">
        <v>1699.457602784164</v>
      </c>
      <c r="X26" s="1">
        <v>1760.8986757671291</v>
      </c>
      <c r="Y26" s="1">
        <v>1787.6199925772016</v>
      </c>
      <c r="Z26" s="1">
        <v>1703.7063364631899</v>
      </c>
      <c r="AA26" s="1">
        <v>1648.8225846138243</v>
      </c>
      <c r="AB26" s="8">
        <v>5</v>
      </c>
      <c r="AC26" s="8">
        <f t="shared" si="0"/>
        <v>122445.82443320411</v>
      </c>
    </row>
    <row r="27" spans="1:29" x14ac:dyDescent="0.25">
      <c r="A27" s="3">
        <v>2026</v>
      </c>
      <c r="B27" s="5" t="s">
        <v>28</v>
      </c>
      <c r="C27" s="7" t="s">
        <v>45</v>
      </c>
      <c r="D27" s="1">
        <v>1891.1794284103685</v>
      </c>
      <c r="E27" s="1">
        <v>1838.3677235087125</v>
      </c>
      <c r="F27" s="1">
        <v>1809.363186352366</v>
      </c>
      <c r="G27" s="1">
        <v>1790.7581171986303</v>
      </c>
      <c r="H27" s="1">
        <v>1799.1675460309357</v>
      </c>
      <c r="I27" s="1">
        <v>1840.2783124459816</v>
      </c>
      <c r="J27" s="1">
        <v>1926.4042567280758</v>
      </c>
      <c r="K27" s="1">
        <v>2056.5418467670975</v>
      </c>
      <c r="L27" s="1">
        <v>2059.1064813727448</v>
      </c>
      <c r="M27" s="1">
        <v>1681.934943843446</v>
      </c>
      <c r="N27" s="1">
        <v>1434.8002648077163</v>
      </c>
      <c r="O27" s="1">
        <v>1286.7083408569574</v>
      </c>
      <c r="P27" s="1">
        <v>1119.4291856282593</v>
      </c>
      <c r="Q27" s="1">
        <v>1288.7097300605519</v>
      </c>
      <c r="R27" s="1">
        <v>1782.9213921294513</v>
      </c>
      <c r="S27" s="1">
        <v>1997.7387430421104</v>
      </c>
      <c r="T27" s="1">
        <v>2337.5431334700816</v>
      </c>
      <c r="U27" s="1">
        <v>2463.1378726844978</v>
      </c>
      <c r="V27" s="1">
        <v>2227.5934693107934</v>
      </c>
      <c r="W27" s="1">
        <v>2137.8705103116536</v>
      </c>
      <c r="X27" s="1">
        <v>2141.6722985459869</v>
      </c>
      <c r="Y27" s="1">
        <v>2124.1294033410377</v>
      </c>
      <c r="Z27" s="1">
        <v>2023.0677610844818</v>
      </c>
      <c r="AA27" s="1">
        <v>1966.6027642173808</v>
      </c>
      <c r="AB27" s="8">
        <v>19</v>
      </c>
      <c r="AC27" s="8">
        <f t="shared" si="0"/>
        <v>855475.50753083685</v>
      </c>
    </row>
    <row r="28" spans="1:29" x14ac:dyDescent="0.25">
      <c r="A28" s="3">
        <v>2026</v>
      </c>
      <c r="B28" s="5" t="s">
        <v>28</v>
      </c>
      <c r="C28" s="7" t="s">
        <v>46</v>
      </c>
      <c r="D28" s="1">
        <v>1822.9088760315731</v>
      </c>
      <c r="E28" s="1">
        <v>1767.3558142823599</v>
      </c>
      <c r="F28" s="1">
        <v>1748.9055042424197</v>
      </c>
      <c r="G28" s="1">
        <v>1734.8822082494185</v>
      </c>
      <c r="H28" s="1">
        <v>1737.9539462894741</v>
      </c>
      <c r="I28" s="1">
        <v>1711.395175641102</v>
      </c>
      <c r="J28" s="1">
        <v>1449.5187384182982</v>
      </c>
      <c r="K28" s="1">
        <v>1103.3368435740517</v>
      </c>
      <c r="L28" s="1">
        <v>1119.7260737208821</v>
      </c>
      <c r="M28" s="1">
        <v>858.23733159051255</v>
      </c>
      <c r="N28" s="1">
        <v>614.55274101269379</v>
      </c>
      <c r="O28" s="1">
        <v>455.15041262343686</v>
      </c>
      <c r="P28" s="1">
        <v>0</v>
      </c>
      <c r="Q28" s="1">
        <v>0</v>
      </c>
      <c r="R28" s="1">
        <v>371.94508124719215</v>
      </c>
      <c r="S28" s="1">
        <v>757.40015759168728</v>
      </c>
      <c r="T28" s="1">
        <v>1126.2605585266951</v>
      </c>
      <c r="U28" s="1">
        <v>1664.3747195587084</v>
      </c>
      <c r="V28" s="1">
        <v>1959.5796801977713</v>
      </c>
      <c r="W28" s="1">
        <v>1986.8475683656366</v>
      </c>
      <c r="X28" s="1">
        <v>2013.0087030217678</v>
      </c>
      <c r="Y28" s="1">
        <v>2042.413884647925</v>
      </c>
      <c r="Z28" s="1">
        <v>1970.70023344742</v>
      </c>
      <c r="AA28" s="1">
        <v>1931.1984112516334</v>
      </c>
      <c r="AB28" s="8">
        <v>5</v>
      </c>
      <c r="AC28" s="8">
        <f t="shared" si="0"/>
        <v>159738.26331766331</v>
      </c>
    </row>
    <row r="29" spans="1:29" x14ac:dyDescent="0.25">
      <c r="A29" s="3">
        <v>2026</v>
      </c>
      <c r="B29" s="5" t="s">
        <v>28</v>
      </c>
      <c r="C29" s="7" t="s">
        <v>52</v>
      </c>
      <c r="D29" s="1">
        <v>1791.2882341523205</v>
      </c>
      <c r="E29" s="1">
        <v>1721.1515730868155</v>
      </c>
      <c r="F29" s="1">
        <v>1670.2642788609537</v>
      </c>
      <c r="G29" s="1">
        <v>1643.3266118861516</v>
      </c>
      <c r="H29" s="1">
        <v>1626.662269037362</v>
      </c>
      <c r="I29" s="1">
        <v>1603.2802024042226</v>
      </c>
      <c r="J29" s="1">
        <v>1246.5492763748484</v>
      </c>
      <c r="K29" s="1">
        <v>520.14322669399962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188.62343870088787</v>
      </c>
      <c r="S29" s="1">
        <v>441.28091730512335</v>
      </c>
      <c r="T29" s="1">
        <v>889.1434778460158</v>
      </c>
      <c r="U29" s="1">
        <v>1319.6596689132257</v>
      </c>
      <c r="V29" s="1">
        <v>1663.3963184424501</v>
      </c>
      <c r="W29" s="1">
        <v>1743.8110730509256</v>
      </c>
      <c r="X29" s="1">
        <v>1806.6433720463324</v>
      </c>
      <c r="Y29" s="1">
        <v>1833.969746503155</v>
      </c>
      <c r="Z29" s="1">
        <v>1748.1560118990219</v>
      </c>
      <c r="AA29" s="1">
        <v>1692.0295131455714</v>
      </c>
      <c r="AB29" s="8">
        <v>7</v>
      </c>
      <c r="AC29" s="8">
        <f t="shared" si="0"/>
        <v>176045.65447244569</v>
      </c>
    </row>
    <row r="30" spans="1:29" x14ac:dyDescent="0.25">
      <c r="A30" s="3">
        <v>2026</v>
      </c>
      <c r="B30" s="5" t="s">
        <v>29</v>
      </c>
      <c r="C30" s="7" t="s">
        <v>45</v>
      </c>
      <c r="D30" s="1">
        <v>1933.9806087218749</v>
      </c>
      <c r="E30" s="1">
        <v>1881.3523887844663</v>
      </c>
      <c r="F30" s="1">
        <v>1852.4486227824132</v>
      </c>
      <c r="G30" s="1">
        <v>1833.9081936635871</v>
      </c>
      <c r="H30" s="1">
        <v>1842.2884054169986</v>
      </c>
      <c r="I30" s="1">
        <v>1883.2563397170825</v>
      </c>
      <c r="J30" s="1">
        <v>1969.083054579547</v>
      </c>
      <c r="K30" s="1">
        <v>2098.7685044897844</v>
      </c>
      <c r="L30" s="1">
        <v>2101.3242287243352</v>
      </c>
      <c r="M30" s="1">
        <v>1725.4631072516204</v>
      </c>
      <c r="N30" s="1">
        <v>1479.1870541176977</v>
      </c>
      <c r="O30" s="1">
        <v>1331.6096494656817</v>
      </c>
      <c r="P30" s="1">
        <v>1164.9116761903715</v>
      </c>
      <c r="Q30" s="1">
        <v>1333.6040851950956</v>
      </c>
      <c r="R30" s="1">
        <v>1826.0986959149768</v>
      </c>
      <c r="S30" s="1">
        <v>2040.1697017886845</v>
      </c>
      <c r="T30" s="1">
        <v>2378.7935017292839</v>
      </c>
      <c r="U30" s="1">
        <v>2503.9518841497406</v>
      </c>
      <c r="V30" s="1">
        <v>2269.2258383070453</v>
      </c>
      <c r="W30" s="1">
        <v>2179.8146059214428</v>
      </c>
      <c r="X30" s="1">
        <v>2183.6031855123597</v>
      </c>
      <c r="Y30" s="1">
        <v>2166.1212400060704</v>
      </c>
      <c r="Z30" s="1">
        <v>2065.4107186203664</v>
      </c>
      <c r="AA30" s="1">
        <v>2009.141899436805</v>
      </c>
      <c r="AB30" s="8">
        <v>22</v>
      </c>
      <c r="AC30" s="8">
        <f t="shared" si="0"/>
        <v>1013177.3781907212</v>
      </c>
    </row>
    <row r="31" spans="1:29" x14ac:dyDescent="0.25">
      <c r="A31" s="3">
        <v>2026</v>
      </c>
      <c r="B31" s="5" t="s">
        <v>29</v>
      </c>
      <c r="C31" s="7" t="s">
        <v>46</v>
      </c>
      <c r="D31" s="1">
        <v>1871.9930257626024</v>
      </c>
      <c r="E31" s="1">
        <v>1815.4530293368016</v>
      </c>
      <c r="F31" s="1">
        <v>1796.6749380693495</v>
      </c>
      <c r="G31" s="1">
        <v>1782.4025095054371</v>
      </c>
      <c r="H31" s="1">
        <v>1785.5288188813233</v>
      </c>
      <c r="I31" s="1">
        <v>1758.4982151620984</v>
      </c>
      <c r="J31" s="1">
        <v>1491.9693802362981</v>
      </c>
      <c r="K31" s="1">
        <v>1139.6373488258437</v>
      </c>
      <c r="L31" s="1">
        <v>1156.3177438346129</v>
      </c>
      <c r="M31" s="1">
        <v>890.18349164557526</v>
      </c>
      <c r="N31" s="1">
        <v>642.16969282938692</v>
      </c>
      <c r="O31" s="1">
        <v>479.93548298368779</v>
      </c>
      <c r="P31" s="1">
        <v>0</v>
      </c>
      <c r="Q31" s="1">
        <v>0</v>
      </c>
      <c r="R31" s="1">
        <v>395.25195717087172</v>
      </c>
      <c r="S31" s="1">
        <v>787.55488256513695</v>
      </c>
      <c r="T31" s="1">
        <v>1162.9683178251698</v>
      </c>
      <c r="U31" s="1">
        <v>1710.6424114470901</v>
      </c>
      <c r="V31" s="1">
        <v>2011.0918717263471</v>
      </c>
      <c r="W31" s="1">
        <v>2038.8441908786226</v>
      </c>
      <c r="X31" s="1">
        <v>2065.4700943550142</v>
      </c>
      <c r="Y31" s="1">
        <v>2095.3976773125187</v>
      </c>
      <c r="Z31" s="1">
        <v>2022.4099885175783</v>
      </c>
      <c r="AA31" s="1">
        <v>1982.2063918941385</v>
      </c>
      <c r="AB31" s="8">
        <v>4</v>
      </c>
      <c r="AC31" s="8">
        <f t="shared" si="0"/>
        <v>131530.40584306204</v>
      </c>
    </row>
    <row r="32" spans="1:29" x14ac:dyDescent="0.25">
      <c r="A32" s="3">
        <v>2026</v>
      </c>
      <c r="B32" s="5" t="s">
        <v>29</v>
      </c>
      <c r="C32" s="7" t="s">
        <v>52</v>
      </c>
      <c r="D32" s="1">
        <v>1837.7210490153875</v>
      </c>
      <c r="E32" s="1">
        <v>1765.9962655007971</v>
      </c>
      <c r="F32" s="1">
        <v>1713.9567171883336</v>
      </c>
      <c r="G32" s="1">
        <v>1686.4090936943767</v>
      </c>
      <c r="H32" s="1">
        <v>1669.3674158459539</v>
      </c>
      <c r="I32" s="1">
        <v>1645.4559030663631</v>
      </c>
      <c r="J32" s="1">
        <v>1280.6474269611281</v>
      </c>
      <c r="K32" s="1">
        <v>537.7931783337649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198.76670254529037</v>
      </c>
      <c r="S32" s="1">
        <v>457.14516939739764</v>
      </c>
      <c r="T32" s="1">
        <v>915.14879704491511</v>
      </c>
      <c r="U32" s="1">
        <v>1355.413276914896</v>
      </c>
      <c r="V32" s="1">
        <v>1706.9332437762778</v>
      </c>
      <c r="W32" s="1">
        <v>1789.1688503484952</v>
      </c>
      <c r="X32" s="1">
        <v>1853.4238772446365</v>
      </c>
      <c r="Y32" s="1">
        <v>1881.3690098240686</v>
      </c>
      <c r="Z32" s="1">
        <v>1793.6121727640402</v>
      </c>
      <c r="AA32" s="1">
        <v>1736.2147872688374</v>
      </c>
      <c r="AB32" s="8">
        <v>4</v>
      </c>
      <c r="AC32" s="8">
        <f t="shared" si="0"/>
        <v>103298.17174693983</v>
      </c>
    </row>
    <row r="33" spans="1:29" x14ac:dyDescent="0.25">
      <c r="A33" s="3">
        <v>2026</v>
      </c>
      <c r="B33" s="5" t="s">
        <v>30</v>
      </c>
      <c r="C33" s="7" t="s">
        <v>45</v>
      </c>
      <c r="D33" s="1">
        <v>1976.6330838731551</v>
      </c>
      <c r="E33" s="1">
        <v>1924.1877114138124</v>
      </c>
      <c r="F33" s="1">
        <v>1895.3843664544311</v>
      </c>
      <c r="G33" s="1">
        <v>1876.9083527901021</v>
      </c>
      <c r="H33" s="1">
        <v>1885.2594489742123</v>
      </c>
      <c r="I33" s="1">
        <v>1926.0850474043536</v>
      </c>
      <c r="J33" s="1">
        <v>2011.6135724670885</v>
      </c>
      <c r="K33" s="1">
        <v>2140.8484531297604</v>
      </c>
      <c r="L33" s="1">
        <v>2143.3952979507289</v>
      </c>
      <c r="M33" s="1">
        <v>1768.8400397248802</v>
      </c>
      <c r="N33" s="1">
        <v>1523.4196293483424</v>
      </c>
      <c r="O33" s="1">
        <v>1376.3549563884148</v>
      </c>
      <c r="P33" s="1">
        <v>1210.2361458521887</v>
      </c>
      <c r="Q33" s="1">
        <v>1378.342462802269</v>
      </c>
      <c r="R33" s="1">
        <v>1869.125987765532</v>
      </c>
      <c r="S33" s="1">
        <v>2082.4532416446341</v>
      </c>
      <c r="T33" s="1">
        <v>2419.9005528515117</v>
      </c>
      <c r="U33" s="1">
        <v>2544.6240945228119</v>
      </c>
      <c r="V33" s="1">
        <v>2310.7135629720633</v>
      </c>
      <c r="W33" s="1">
        <v>2221.6129741607997</v>
      </c>
      <c r="X33" s="1">
        <v>2225.3883909994047</v>
      </c>
      <c r="Y33" s="1">
        <v>2207.9671834327855</v>
      </c>
      <c r="Z33" s="1">
        <v>2107.6065630103285</v>
      </c>
      <c r="AA33" s="1">
        <v>2051.5332399255085</v>
      </c>
      <c r="AB33" s="8">
        <v>21</v>
      </c>
      <c r="AC33" s="8">
        <f t="shared" si="0"/>
        <v>988647.12155704142</v>
      </c>
    </row>
    <row r="34" spans="1:29" x14ac:dyDescent="0.25">
      <c r="A34" s="3">
        <v>2026</v>
      </c>
      <c r="B34" s="5" t="s">
        <v>30</v>
      </c>
      <c r="C34" s="7" t="s">
        <v>46</v>
      </c>
      <c r="D34" s="1">
        <v>1921.9491859268114</v>
      </c>
      <c r="E34" s="1">
        <v>1864.4047213163644</v>
      </c>
      <c r="F34" s="1">
        <v>1845.2930255841279</v>
      </c>
      <c r="G34" s="1">
        <v>1830.7670384543089</v>
      </c>
      <c r="H34" s="1">
        <v>1833.948888659731</v>
      </c>
      <c r="I34" s="1">
        <v>1806.4380694618339</v>
      </c>
      <c r="J34" s="1">
        <v>1535.1741840956761</v>
      </c>
      <c r="K34" s="1">
        <v>1176.5827551196771</v>
      </c>
      <c r="L34" s="1">
        <v>1193.5594877151602</v>
      </c>
      <c r="M34" s="1">
        <v>922.69719509337654</v>
      </c>
      <c r="N34" s="1">
        <v>670.27727696320767</v>
      </c>
      <c r="O34" s="1">
        <v>505.16087552655085</v>
      </c>
      <c r="P34" s="1">
        <v>0</v>
      </c>
      <c r="Q34" s="1">
        <v>0</v>
      </c>
      <c r="R34" s="1">
        <v>418.97289423407676</v>
      </c>
      <c r="S34" s="1">
        <v>818.24532497345308</v>
      </c>
      <c r="T34" s="1">
        <v>1200.3282132869949</v>
      </c>
      <c r="U34" s="1">
        <v>1757.7320776442234</v>
      </c>
      <c r="V34" s="1">
        <v>2063.5192093600303</v>
      </c>
      <c r="W34" s="1">
        <v>2091.7645657143012</v>
      </c>
      <c r="X34" s="1">
        <v>2118.8634949179691</v>
      </c>
      <c r="Y34" s="1">
        <v>2149.3227599912234</v>
      </c>
      <c r="Z34" s="1">
        <v>2075.0383995319758</v>
      </c>
      <c r="AA34" s="1">
        <v>2034.1205610219167</v>
      </c>
      <c r="AB34" s="8">
        <v>5</v>
      </c>
      <c r="AC34" s="8">
        <f t="shared" si="0"/>
        <v>169170.80102296494</v>
      </c>
    </row>
    <row r="35" spans="1:29" x14ac:dyDescent="0.25">
      <c r="A35" s="3">
        <v>2026</v>
      </c>
      <c r="B35" s="5" t="s">
        <v>30</v>
      </c>
      <c r="C35" s="7" t="s">
        <v>52</v>
      </c>
      <c r="D35" s="1">
        <v>1885.2052540435693</v>
      </c>
      <c r="E35" s="1">
        <v>1811.8563878149625</v>
      </c>
      <c r="F35" s="1">
        <v>1758.6384946303629</v>
      </c>
      <c r="G35" s="1">
        <v>1730.467103214964</v>
      </c>
      <c r="H35" s="1">
        <v>1713.0395462734959</v>
      </c>
      <c r="I35" s="1">
        <v>1688.5865989622357</v>
      </c>
      <c r="J35" s="1">
        <v>1315.5176707379828</v>
      </c>
      <c r="K35" s="1">
        <v>555.84278236642365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209.13964292081897</v>
      </c>
      <c r="S35" s="1">
        <v>473.36863982859688</v>
      </c>
      <c r="T35" s="1">
        <v>941.74296137256715</v>
      </c>
      <c r="U35" s="1">
        <v>1391.9764630550271</v>
      </c>
      <c r="V35" s="1">
        <v>1751.4559869040581</v>
      </c>
      <c r="W35" s="1">
        <v>1835.5536754591853</v>
      </c>
      <c r="X35" s="1">
        <v>1901.2636454497097</v>
      </c>
      <c r="Y35" s="1">
        <v>1929.8415468510084</v>
      </c>
      <c r="Z35" s="1">
        <v>1840.0976091665916</v>
      </c>
      <c r="AA35" s="1">
        <v>1781.4005599143902</v>
      </c>
      <c r="AB35" s="8">
        <v>5</v>
      </c>
      <c r="AC35" s="8">
        <f t="shared" si="0"/>
        <v>132574.97284482975</v>
      </c>
    </row>
    <row r="36" spans="1:29" x14ac:dyDescent="0.25">
      <c r="A36" s="3">
        <v>2026</v>
      </c>
      <c r="B36" s="5" t="s">
        <v>31</v>
      </c>
      <c r="C36" s="7" t="s">
        <v>45</v>
      </c>
      <c r="D36" s="1">
        <v>2019.1373705140895</v>
      </c>
      <c r="E36" s="1">
        <v>1966.8742102614647</v>
      </c>
      <c r="F36" s="1">
        <v>1938.1709374495344</v>
      </c>
      <c r="G36" s="1">
        <v>1919.7591154395545</v>
      </c>
      <c r="H36" s="1">
        <v>1928.0811972112801</v>
      </c>
      <c r="I36" s="1">
        <v>1968.7649542923818</v>
      </c>
      <c r="J36" s="1">
        <v>2053.9963255633106</v>
      </c>
      <c r="K36" s="1">
        <v>2182.7822024018856</v>
      </c>
      <c r="L36" s="1">
        <v>2185.3201986592303</v>
      </c>
      <c r="M36" s="1">
        <v>1812.0662666884646</v>
      </c>
      <c r="N36" s="1">
        <v>1567.4985262892997</v>
      </c>
      <c r="O36" s="1">
        <v>1420.9448036255303</v>
      </c>
      <c r="P36" s="1">
        <v>1255.4031436294886</v>
      </c>
      <c r="Q36" s="1">
        <v>1422.925404798511</v>
      </c>
      <c r="R36" s="1">
        <v>1912.0037888711554</v>
      </c>
      <c r="S36" s="1">
        <v>2124.5898747909218</v>
      </c>
      <c r="T36" s="1">
        <v>2460.8647847669081</v>
      </c>
      <c r="U36" s="1">
        <v>2585.1549964666237</v>
      </c>
      <c r="V36" s="1">
        <v>2352.0571458470931</v>
      </c>
      <c r="W36" s="1">
        <v>2263.2661213337988</v>
      </c>
      <c r="X36" s="1">
        <v>2267.028421151756</v>
      </c>
      <c r="Y36" s="1">
        <v>2249.6677405015362</v>
      </c>
      <c r="Z36" s="1">
        <v>2149.6558053730751</v>
      </c>
      <c r="AA36" s="1">
        <v>2093.7772991702441</v>
      </c>
      <c r="AB36" s="8">
        <v>19</v>
      </c>
      <c r="AC36" s="8">
        <f t="shared" si="0"/>
        <v>913896.02206684579</v>
      </c>
    </row>
    <row r="37" spans="1:29" x14ac:dyDescent="0.25">
      <c r="A37" s="3">
        <v>2026</v>
      </c>
      <c r="B37" s="5" t="s">
        <v>31</v>
      </c>
      <c r="C37" s="7" t="s">
        <v>46</v>
      </c>
      <c r="D37" s="1">
        <v>1972.7928483316314</v>
      </c>
      <c r="E37" s="1">
        <v>1914.2260705348094</v>
      </c>
      <c r="F37" s="1">
        <v>1894.7748436470861</v>
      </c>
      <c r="G37" s="1">
        <v>1879.9907933258123</v>
      </c>
      <c r="H37" s="1">
        <v>1883.2291710781337</v>
      </c>
      <c r="I37" s="1">
        <v>1855.2296050750597</v>
      </c>
      <c r="J37" s="1">
        <v>1579.146548153923</v>
      </c>
      <c r="K37" s="1">
        <v>1214.1845195234669</v>
      </c>
      <c r="L37" s="1">
        <v>1231.4628543271106</v>
      </c>
      <c r="M37" s="1">
        <v>955.7885246951023</v>
      </c>
      <c r="N37" s="1">
        <v>698.88420980227181</v>
      </c>
      <c r="O37" s="1">
        <v>530.83441284932678</v>
      </c>
      <c r="P37" s="1">
        <v>0</v>
      </c>
      <c r="Q37" s="1">
        <v>0</v>
      </c>
      <c r="R37" s="1">
        <v>443.11524849035243</v>
      </c>
      <c r="S37" s="1">
        <v>849.48100216989519</v>
      </c>
      <c r="T37" s="1">
        <v>1238.3518305165135</v>
      </c>
      <c r="U37" s="1">
        <v>1805.6583210346839</v>
      </c>
      <c r="V37" s="1">
        <v>2116.8779512382798</v>
      </c>
      <c r="W37" s="1">
        <v>2145.6251039069366</v>
      </c>
      <c r="X37" s="1">
        <v>2173.2054624339821</v>
      </c>
      <c r="Y37" s="1">
        <v>2204.2058552862936</v>
      </c>
      <c r="Z37" s="1">
        <v>2128.601786984545</v>
      </c>
      <c r="AA37" s="1">
        <v>2086.957017636742</v>
      </c>
      <c r="AB37" s="8">
        <v>4</v>
      </c>
      <c r="AC37" s="8">
        <f t="shared" si="0"/>
        <v>139210.49592416783</v>
      </c>
    </row>
    <row r="38" spans="1:29" x14ac:dyDescent="0.25">
      <c r="A38" s="3">
        <v>2026</v>
      </c>
      <c r="B38" s="5" t="s">
        <v>31</v>
      </c>
      <c r="C38" s="7" t="s">
        <v>52</v>
      </c>
      <c r="D38" s="1">
        <v>1933.7646561346937</v>
      </c>
      <c r="E38" s="1">
        <v>1858.7549326696153</v>
      </c>
      <c r="F38" s="1">
        <v>1804.3320130469797</v>
      </c>
      <c r="G38" s="1">
        <v>1775.5227295727191</v>
      </c>
      <c r="H38" s="1">
        <v>1757.7005559786899</v>
      </c>
      <c r="I38" s="1">
        <v>1732.6939142944534</v>
      </c>
      <c r="J38" s="1">
        <v>1351.1774904100371</v>
      </c>
      <c r="K38" s="1">
        <v>574.30108822386126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219.74746045221926</v>
      </c>
      <c r="S38" s="1">
        <v>489.95946247192666</v>
      </c>
      <c r="T38" s="1">
        <v>968.93930420061815</v>
      </c>
      <c r="U38" s="1">
        <v>1429.3675588195556</v>
      </c>
      <c r="V38" s="1">
        <v>1796.98686995156</v>
      </c>
      <c r="W38" s="1">
        <v>1882.9888040906885</v>
      </c>
      <c r="X38" s="1">
        <v>1950.1866618261574</v>
      </c>
      <c r="Y38" s="1">
        <v>1979.411659996445</v>
      </c>
      <c r="Z38" s="1">
        <v>1887.6356272573057</v>
      </c>
      <c r="AA38" s="1">
        <v>1827.609485627504</v>
      </c>
      <c r="AB38" s="8">
        <v>7</v>
      </c>
      <c r="AC38" s="8">
        <f t="shared" si="0"/>
        <v>190547.56192517522</v>
      </c>
    </row>
    <row r="39" spans="1:29" x14ac:dyDescent="0.25">
      <c r="A39" s="3">
        <v>2026</v>
      </c>
      <c r="B39" s="5" t="s">
        <v>32</v>
      </c>
      <c r="C39" s="7" t="s">
        <v>45</v>
      </c>
      <c r="D39" s="1">
        <v>2061.4939834995494</v>
      </c>
      <c r="E39" s="1">
        <v>2009.4124023894324</v>
      </c>
      <c r="F39" s="1">
        <v>1980.808854041908</v>
      </c>
      <c r="G39" s="1">
        <v>1962.4610006636835</v>
      </c>
      <c r="H39" s="1">
        <v>1970.7541688284882</v>
      </c>
      <c r="I39" s="1">
        <v>2011.2965773633277</v>
      </c>
      <c r="J39" s="1">
        <v>2096.2318272509474</v>
      </c>
      <c r="K39" s="1">
        <v>2224.5702602501065</v>
      </c>
      <c r="L39" s="1">
        <v>2227.0994386866023</v>
      </c>
      <c r="M39" s="1">
        <v>1855.1423117421159</v>
      </c>
      <c r="N39" s="1">
        <v>1611.424278868712</v>
      </c>
      <c r="O39" s="1">
        <v>1465.3797312943161</v>
      </c>
      <c r="P39" s="1">
        <v>1300.4132166305903</v>
      </c>
      <c r="Q39" s="1">
        <v>1467.3534512174665</v>
      </c>
      <c r="R39" s="1">
        <v>1954.7326186111031</v>
      </c>
      <c r="S39" s="1">
        <v>2166.5801116290286</v>
      </c>
      <c r="T39" s="1">
        <v>2501.6866936756451</v>
      </c>
      <c r="U39" s="1">
        <v>2625.5450809324179</v>
      </c>
      <c r="V39" s="1">
        <v>2393.2570877273884</v>
      </c>
      <c r="W39" s="1">
        <v>2304.7745519854498</v>
      </c>
      <c r="X39" s="1">
        <v>2308.5237803555365</v>
      </c>
      <c r="Y39" s="1">
        <v>2291.2234163316089</v>
      </c>
      <c r="Z39" s="1">
        <v>2191.5589550515215</v>
      </c>
      <c r="AA39" s="1">
        <v>2135.8745888737458</v>
      </c>
      <c r="AB39" s="8">
        <v>21</v>
      </c>
      <c r="AC39" s="8">
        <f t="shared" si="0"/>
        <v>1031469.5661459145</v>
      </c>
    </row>
    <row r="40" spans="1:29" x14ac:dyDescent="0.25">
      <c r="A40" s="3">
        <v>2026</v>
      </c>
      <c r="B40" s="5" t="s">
        <v>32</v>
      </c>
      <c r="C40" s="7" t="s">
        <v>46</v>
      </c>
      <c r="D40" s="1">
        <v>2024.5397800060837</v>
      </c>
      <c r="E40" s="1">
        <v>1964.9325269936085</v>
      </c>
      <c r="F40" s="1">
        <v>1945.1357369683515</v>
      </c>
      <c r="G40" s="1">
        <v>1930.0890388026014</v>
      </c>
      <c r="H40" s="1">
        <v>1933.3849483488334</v>
      </c>
      <c r="I40" s="1">
        <v>1904.8879526497585</v>
      </c>
      <c r="J40" s="1">
        <v>1623.9001085951263</v>
      </c>
      <c r="K40" s="1">
        <v>1252.4543026470619</v>
      </c>
      <c r="L40" s="1">
        <v>1270.0395978095858</v>
      </c>
      <c r="M40" s="1">
        <v>989.46774233845883</v>
      </c>
      <c r="N40" s="1">
        <v>727.99936258674859</v>
      </c>
      <c r="O40" s="1">
        <v>556.96405652262047</v>
      </c>
      <c r="P40" s="1">
        <v>0</v>
      </c>
      <c r="Q40" s="1">
        <v>0</v>
      </c>
      <c r="R40" s="1">
        <v>467.686506678108</v>
      </c>
      <c r="S40" s="1">
        <v>881.27160058942025</v>
      </c>
      <c r="T40" s="1">
        <v>1277.0509609435317</v>
      </c>
      <c r="U40" s="1">
        <v>1854.4360039323701</v>
      </c>
      <c r="V40" s="1">
        <v>2171.1846443365084</v>
      </c>
      <c r="W40" s="1">
        <v>2200.4425080430183</v>
      </c>
      <c r="X40" s="1">
        <v>2228.5128487846523</v>
      </c>
      <c r="Y40" s="1">
        <v>2260.0639828874087</v>
      </c>
      <c r="Z40" s="1">
        <v>2183.1167613129392</v>
      </c>
      <c r="AA40" s="1">
        <v>2140.7321467491624</v>
      </c>
      <c r="AB40" s="8">
        <v>4</v>
      </c>
      <c r="AC40" s="8">
        <f t="shared" si="0"/>
        <v>143153.17247410383</v>
      </c>
    </row>
    <row r="41" spans="1:29" x14ac:dyDescent="0.25">
      <c r="A41" s="3">
        <v>2026</v>
      </c>
      <c r="B41" s="5" t="s">
        <v>32</v>
      </c>
      <c r="C41" s="7" t="s">
        <v>52</v>
      </c>
      <c r="D41" s="1">
        <v>1983.423601252297</v>
      </c>
      <c r="E41" s="1">
        <v>1906.7154133333242</v>
      </c>
      <c r="F41" s="1">
        <v>1851.0601815491964</v>
      </c>
      <c r="G41" s="1">
        <v>1821.5985620621791</v>
      </c>
      <c r="H41" s="1">
        <v>1803.3728364092667</v>
      </c>
      <c r="I41" s="1">
        <v>1777.7999629080082</v>
      </c>
      <c r="J41" s="1">
        <v>1387.6447645472913</v>
      </c>
      <c r="K41" s="1">
        <v>593.177350246576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230.59547352332004</v>
      </c>
      <c r="S41" s="1">
        <v>506.92595537797479</v>
      </c>
      <c r="T41" s="1">
        <v>996.75146081167645</v>
      </c>
      <c r="U41" s="1">
        <v>1467.6053107789676</v>
      </c>
      <c r="V41" s="1">
        <v>1843.5487204901847</v>
      </c>
      <c r="W41" s="1">
        <v>1931.4980185356667</v>
      </c>
      <c r="X41" s="1">
        <v>2000.2174546408341</v>
      </c>
      <c r="Y41" s="1">
        <v>2030.1042019586234</v>
      </c>
      <c r="Z41" s="1">
        <v>1936.2500609139734</v>
      </c>
      <c r="AA41" s="1">
        <v>1874.8647319261472</v>
      </c>
      <c r="AB41" s="8">
        <v>6</v>
      </c>
      <c r="AC41" s="8">
        <f t="shared" si="0"/>
        <v>167658.92436759302</v>
      </c>
    </row>
    <row r="42" spans="1:29" x14ac:dyDescent="0.25">
      <c r="B42" s="5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8"/>
      <c r="AC42" s="8"/>
    </row>
    <row r="43" spans="1:29" x14ac:dyDescent="0.25">
      <c r="B43" s="5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8"/>
      <c r="AC43" s="8"/>
    </row>
    <row r="44" spans="1:29" x14ac:dyDescent="0.25">
      <c r="B44" s="5"/>
      <c r="C44" s="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8"/>
      <c r="AC44" s="8"/>
    </row>
    <row r="45" spans="1:29" x14ac:dyDescent="0.25">
      <c r="B45" s="5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8"/>
      <c r="AC45" s="8"/>
    </row>
    <row r="46" spans="1:29" x14ac:dyDescent="0.25">
      <c r="B46" s="5"/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8"/>
      <c r="AC46" s="8"/>
    </row>
    <row r="47" spans="1:29" x14ac:dyDescent="0.25">
      <c r="B47" s="5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8"/>
      <c r="AC47" s="8"/>
    </row>
    <row r="48" spans="1:29" x14ac:dyDescent="0.25">
      <c r="B48" s="5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8"/>
      <c r="AC48" s="8"/>
    </row>
    <row r="49" spans="2:29" x14ac:dyDescent="0.25">
      <c r="B49" s="5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8"/>
      <c r="AC49" s="8"/>
    </row>
    <row r="50" spans="2:29" x14ac:dyDescent="0.25">
      <c r="B50" s="5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8"/>
      <c r="AC50" s="8"/>
    </row>
    <row r="51" spans="2:29" x14ac:dyDescent="0.25">
      <c r="B51" s="5"/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8"/>
      <c r="AC51" s="8"/>
    </row>
    <row r="52" spans="2:29" x14ac:dyDescent="0.25">
      <c r="B52" s="5"/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8"/>
      <c r="AC52" s="8"/>
    </row>
    <row r="53" spans="2:29" x14ac:dyDescent="0.25">
      <c r="B53" s="5"/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8"/>
      <c r="AC53" s="8"/>
    </row>
    <row r="54" spans="2:29" x14ac:dyDescent="0.25">
      <c r="B54" s="5"/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8"/>
      <c r="AC54" s="8"/>
    </row>
    <row r="55" spans="2:29" x14ac:dyDescent="0.25">
      <c r="B55" s="5"/>
      <c r="C55" s="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8"/>
      <c r="AC55" s="8"/>
    </row>
    <row r="56" spans="2:29" x14ac:dyDescent="0.25">
      <c r="B56" s="5"/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8"/>
      <c r="AC56" s="8"/>
    </row>
    <row r="57" spans="2:29" x14ac:dyDescent="0.25">
      <c r="B57" s="5"/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8"/>
      <c r="AC57" s="8"/>
    </row>
    <row r="58" spans="2:29" x14ac:dyDescent="0.25">
      <c r="B58" s="5"/>
      <c r="C58" s="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8"/>
      <c r="AC58" s="8"/>
    </row>
    <row r="59" spans="2:29" x14ac:dyDescent="0.25">
      <c r="B59" s="5"/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8"/>
      <c r="AC59" s="8"/>
    </row>
    <row r="60" spans="2:29" x14ac:dyDescent="0.25">
      <c r="B60" s="5"/>
      <c r="C60" s="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8"/>
      <c r="AC60" s="8"/>
    </row>
    <row r="61" spans="2:29" x14ac:dyDescent="0.25">
      <c r="B61" s="5"/>
      <c r="C61" s="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8"/>
      <c r="AC61" s="8"/>
    </row>
    <row r="62" spans="2:29" x14ac:dyDescent="0.25">
      <c r="B62" s="5"/>
      <c r="C62" s="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8"/>
      <c r="AC62" s="8"/>
    </row>
    <row r="63" spans="2:29" x14ac:dyDescent="0.25">
      <c r="B63" s="5"/>
      <c r="C63" s="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8"/>
      <c r="AC63" s="8"/>
    </row>
    <row r="64" spans="2:29" x14ac:dyDescent="0.25">
      <c r="B64" s="5"/>
      <c r="C64" s="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8"/>
      <c r="AC64" s="8"/>
    </row>
    <row r="65" spans="2:29" x14ac:dyDescent="0.25">
      <c r="B65" s="5"/>
      <c r="C65" s="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8"/>
      <c r="AC65" s="8"/>
    </row>
    <row r="66" spans="2:29" x14ac:dyDescent="0.25">
      <c r="B66" s="5"/>
      <c r="C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8"/>
      <c r="AC66" s="8"/>
    </row>
    <row r="67" spans="2:29" x14ac:dyDescent="0.25">
      <c r="B67" s="5"/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8"/>
      <c r="AC67" s="8"/>
    </row>
    <row r="68" spans="2:29" x14ac:dyDescent="0.25">
      <c r="B68" s="5"/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8"/>
      <c r="AC68" s="8"/>
    </row>
    <row r="69" spans="2:29" x14ac:dyDescent="0.25">
      <c r="B69" s="5"/>
      <c r="C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8"/>
      <c r="AC69" s="8"/>
    </row>
    <row r="70" spans="2:29" x14ac:dyDescent="0.25">
      <c r="B70" s="5"/>
      <c r="C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8"/>
      <c r="AC70" s="8"/>
    </row>
    <row r="71" spans="2:29" x14ac:dyDescent="0.25">
      <c r="B71" s="5"/>
      <c r="C71" s="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8"/>
      <c r="AC71" s="8"/>
    </row>
    <row r="72" spans="2:29" x14ac:dyDescent="0.25">
      <c r="B72" s="5"/>
      <c r="C72" s="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8"/>
      <c r="AC72" s="8"/>
    </row>
    <row r="73" spans="2:29" x14ac:dyDescent="0.25">
      <c r="B73" s="5"/>
      <c r="C73" s="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8"/>
      <c r="AC73" s="8"/>
    </row>
    <row r="74" spans="2:29" x14ac:dyDescent="0.25">
      <c r="B74" s="5"/>
      <c r="C74" s="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8"/>
      <c r="AC74" s="8"/>
    </row>
    <row r="75" spans="2:29" x14ac:dyDescent="0.25">
      <c r="B75" s="5"/>
      <c r="C75" s="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8"/>
      <c r="AC75" s="8"/>
    </row>
    <row r="76" spans="2:29" x14ac:dyDescent="0.25">
      <c r="B76" s="5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8"/>
      <c r="AC76" s="8"/>
    </row>
    <row r="77" spans="2:29" x14ac:dyDescent="0.25">
      <c r="B77" s="5"/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8"/>
      <c r="AC77" s="8"/>
    </row>
    <row r="78" spans="2:29" x14ac:dyDescent="0.25">
      <c r="B78" s="5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8"/>
      <c r="AC78" s="8"/>
    </row>
    <row r="79" spans="2:29" x14ac:dyDescent="0.25">
      <c r="B79" s="5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8"/>
      <c r="AC79" s="8"/>
    </row>
    <row r="80" spans="2:29" x14ac:dyDescent="0.25">
      <c r="B80" s="5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8"/>
      <c r="AC80" s="8"/>
    </row>
    <row r="81" spans="2:29" x14ac:dyDescent="0.25">
      <c r="B81" s="5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8"/>
      <c r="AC81" s="8"/>
    </row>
    <row r="82" spans="2:29" x14ac:dyDescent="0.25">
      <c r="B82" s="5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8"/>
      <c r="AC82" s="8"/>
    </row>
    <row r="83" spans="2:29" x14ac:dyDescent="0.25">
      <c r="B83" s="5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8"/>
      <c r="AC83" s="8"/>
    </row>
    <row r="84" spans="2:29" x14ac:dyDescent="0.25">
      <c r="B84" s="5"/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8"/>
      <c r="AC84" s="8"/>
    </row>
    <row r="85" spans="2:29" x14ac:dyDescent="0.25">
      <c r="B85" s="5"/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8"/>
      <c r="AC85" s="8"/>
    </row>
    <row r="86" spans="2:29" x14ac:dyDescent="0.25">
      <c r="B86" s="5"/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8"/>
      <c r="AC86" s="8"/>
    </row>
    <row r="87" spans="2:29" x14ac:dyDescent="0.25">
      <c r="B87" s="5"/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8"/>
      <c r="AC87" s="8"/>
    </row>
    <row r="88" spans="2:29" x14ac:dyDescent="0.25">
      <c r="B88" s="5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8"/>
      <c r="AC88" s="8"/>
    </row>
    <row r="89" spans="2:29" x14ac:dyDescent="0.25">
      <c r="B89" s="5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8"/>
      <c r="AC89" s="8"/>
    </row>
    <row r="90" spans="2:29" x14ac:dyDescent="0.25">
      <c r="B90" s="5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8"/>
      <c r="AC90" s="8"/>
    </row>
    <row r="91" spans="2:29" x14ac:dyDescent="0.25">
      <c r="B91" s="5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8"/>
      <c r="AC91" s="8"/>
    </row>
    <row r="92" spans="2:29" x14ac:dyDescent="0.25">
      <c r="B92" s="5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8"/>
      <c r="AC92" s="8"/>
    </row>
    <row r="93" spans="2:29" x14ac:dyDescent="0.25">
      <c r="B93" s="5"/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8"/>
      <c r="AC93" s="8"/>
    </row>
  </sheetData>
  <mergeCells count="3">
    <mergeCell ref="B1:AB1"/>
    <mergeCell ref="B2:AB2"/>
    <mergeCell ref="B3:AB3"/>
  </mergeCells>
  <phoneticPr fontId="5" type="noConversion"/>
  <printOptions horizontalCentered="1"/>
  <pageMargins left="0" right="0" top="0" bottom="0" header="0" footer="0"/>
  <pageSetup scale="85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E93A-AE9F-4076-B272-ABBBA6153FD3}">
  <dimension ref="A2:U146"/>
  <sheetViews>
    <sheetView showGridLines="0" zoomScaleNormal="100" workbookViewId="0">
      <selection activeCell="E10" sqref="E10:E21"/>
    </sheetView>
  </sheetViews>
  <sheetFormatPr baseColWidth="10" defaultRowHeight="15" customHeight="1" x14ac:dyDescent="0.25"/>
  <cols>
    <col min="1" max="1" width="4.140625" style="3" customWidth="1"/>
    <col min="2" max="2" width="10" style="3" customWidth="1"/>
    <col min="3" max="3" width="18.28515625" style="3" bestFit="1" customWidth="1"/>
    <col min="4" max="7" width="16.85546875" style="3" customWidth="1"/>
    <col min="8" max="8" width="8.140625" style="3" bestFit="1" customWidth="1"/>
    <col min="9" max="16" width="14.5703125" style="3" customWidth="1"/>
    <col min="17" max="20" width="17" style="3" customWidth="1"/>
    <col min="21" max="16384" width="11.42578125" style="3"/>
  </cols>
  <sheetData>
    <row r="2" spans="2:21" ht="15" customHeight="1" x14ac:dyDescent="0.25">
      <c r="B2" s="11" t="s">
        <v>64</v>
      </c>
      <c r="C2" s="11"/>
      <c r="D2" s="11"/>
      <c r="E2" s="11"/>
      <c r="F2" s="11"/>
      <c r="G2" s="11"/>
      <c r="H2" s="12"/>
    </row>
    <row r="3" spans="2:21" ht="15" customHeight="1" x14ac:dyDescent="0.25">
      <c r="B3" s="42" t="s">
        <v>34</v>
      </c>
      <c r="C3" s="42"/>
      <c r="D3" s="42"/>
      <c r="E3" s="42"/>
      <c r="F3" s="42"/>
      <c r="G3" s="42"/>
      <c r="H3" s="12"/>
    </row>
    <row r="4" spans="2:21" ht="15" customHeight="1" x14ac:dyDescent="0.25">
      <c r="B4" s="11" t="s">
        <v>42</v>
      </c>
      <c r="C4" s="11"/>
      <c r="D4" s="11"/>
      <c r="E4" s="11"/>
      <c r="F4" s="11"/>
      <c r="G4" s="11"/>
      <c r="H4" s="12"/>
    </row>
    <row r="5" spans="2:21" ht="15" customHeight="1" x14ac:dyDescent="0.25">
      <c r="B5" s="11"/>
      <c r="C5" s="11"/>
      <c r="D5" s="11"/>
      <c r="E5" s="11"/>
      <c r="F5" s="11"/>
      <c r="G5" s="11"/>
      <c r="H5" s="12"/>
    </row>
    <row r="6" spans="2:21" ht="15" customHeight="1" thickBot="1" x14ac:dyDescent="0.3">
      <c r="B6" s="13"/>
      <c r="C6" s="13"/>
      <c r="D6" s="13"/>
      <c r="E6" s="13"/>
      <c r="F6" s="13"/>
      <c r="G6" s="13"/>
      <c r="H6" s="13"/>
      <c r="U6" s="13"/>
    </row>
    <row r="7" spans="2:21" ht="15" customHeight="1" thickBot="1" x14ac:dyDescent="0.3">
      <c r="B7" s="39" t="s">
        <v>53</v>
      </c>
      <c r="C7" s="40"/>
      <c r="D7" s="40"/>
      <c r="E7" s="40"/>
      <c r="F7" s="40"/>
      <c r="G7" s="41"/>
      <c r="H7" s="13"/>
      <c r="U7" s="13"/>
    </row>
    <row r="8" spans="2:21" ht="15" customHeight="1" thickBot="1" x14ac:dyDescent="0.3">
      <c r="B8" s="14" t="s">
        <v>37</v>
      </c>
      <c r="C8" s="14" t="s">
        <v>33</v>
      </c>
      <c r="D8" s="15" t="s">
        <v>65</v>
      </c>
      <c r="E8" s="16"/>
      <c r="F8" s="16"/>
      <c r="G8" s="17"/>
      <c r="H8" s="13"/>
      <c r="U8" s="13"/>
    </row>
    <row r="9" spans="2:21" ht="30.75" thickBot="1" x14ac:dyDescent="0.3">
      <c r="B9" s="18"/>
      <c r="C9" s="18"/>
      <c r="D9" s="19" t="s">
        <v>39</v>
      </c>
      <c r="E9" s="20" t="s">
        <v>35</v>
      </c>
      <c r="F9" s="20" t="s">
        <v>40</v>
      </c>
      <c r="G9" s="21" t="s">
        <v>36</v>
      </c>
      <c r="H9" s="22"/>
      <c r="U9" s="13"/>
    </row>
    <row r="10" spans="2:21" ht="15" customHeight="1" x14ac:dyDescent="0.25">
      <c r="B10" s="23">
        <v>2027</v>
      </c>
      <c r="C10" s="24" t="s">
        <v>57</v>
      </c>
      <c r="D10" s="25">
        <f>SUMIFS('Producto 2'!$AC:$AC,'Producto 2'!$A:$A,'R-Producto 2'!$B10,'Producto 2'!$B:$B,'R-Producto 2'!$C10)</f>
        <v>1337233.9410469104</v>
      </c>
      <c r="E10" s="43"/>
      <c r="F10" s="26">
        <f>D10*$E$10</f>
        <v>0</v>
      </c>
      <c r="G10" s="46"/>
      <c r="H10" s="22"/>
      <c r="U10" s="13"/>
    </row>
    <row r="11" spans="2:21" ht="15" customHeight="1" x14ac:dyDescent="0.25">
      <c r="B11" s="27">
        <v>2027</v>
      </c>
      <c r="C11" s="24" t="s">
        <v>58</v>
      </c>
      <c r="D11" s="25">
        <f>SUMIFS('Producto 2'!$AC:$AC,'Producto 2'!$A:$A,'R-Producto 2'!$B11,'Producto 2'!$B:$B,'R-Producto 2'!$C11)</f>
        <v>1291849.1428572515</v>
      </c>
      <c r="E11" s="44"/>
      <c r="F11" s="26">
        <f t="shared" ref="F11:F22" si="0">D11*$E$10</f>
        <v>0</v>
      </c>
      <c r="G11" s="47"/>
      <c r="H11" s="22"/>
      <c r="U11" s="13"/>
    </row>
    <row r="12" spans="2:21" ht="15" customHeight="1" x14ac:dyDescent="0.25">
      <c r="B12" s="27">
        <v>2027</v>
      </c>
      <c r="C12" s="24" t="s">
        <v>59</v>
      </c>
      <c r="D12" s="25">
        <f>SUMIFS('Producto 2'!$AC:$AC,'Producto 2'!$A:$A,'R-Producto 2'!$B12,'Producto 2'!$B:$B,'R-Producto 2'!$C12)</f>
        <v>1409866.2951043108</v>
      </c>
      <c r="E12" s="44"/>
      <c r="F12" s="26">
        <f t="shared" si="0"/>
        <v>0</v>
      </c>
      <c r="G12" s="47"/>
      <c r="H12" s="22"/>
      <c r="U12" s="13"/>
    </row>
    <row r="13" spans="2:21" ht="15" customHeight="1" x14ac:dyDescent="0.25">
      <c r="B13" s="27">
        <v>2027</v>
      </c>
      <c r="C13" s="24" t="s">
        <v>56</v>
      </c>
      <c r="D13" s="25">
        <f>SUMIFS('Producto 2'!$AC:$AC,'Producto 2'!$A:$A,'R-Producto 2'!$B13,'Producto 2'!$B:$B,'R-Producto 2'!$C13)</f>
        <v>1453010.6348574942</v>
      </c>
      <c r="E13" s="44"/>
      <c r="F13" s="26">
        <f t="shared" si="0"/>
        <v>0</v>
      </c>
      <c r="G13" s="47"/>
      <c r="H13" s="22"/>
      <c r="U13" s="13"/>
    </row>
    <row r="14" spans="2:21" ht="15" customHeight="1" x14ac:dyDescent="0.25">
      <c r="B14" s="27">
        <v>2027</v>
      </c>
      <c r="C14" s="24" t="s">
        <v>25</v>
      </c>
      <c r="D14" s="25">
        <f>SUMIFS('Producto 2'!$AC:$AC,'Producto 2'!$A:$A,'R-Producto 2'!$B14,'Producto 2'!$B:$B,'R-Producto 2'!$C14)</f>
        <v>1447315.8318565898</v>
      </c>
      <c r="E14" s="44"/>
      <c r="F14" s="26">
        <f t="shared" si="0"/>
        <v>0</v>
      </c>
      <c r="G14" s="47"/>
      <c r="H14" s="22"/>
      <c r="U14" s="13"/>
    </row>
    <row r="15" spans="2:21" ht="15" customHeight="1" x14ac:dyDescent="0.25">
      <c r="B15" s="27">
        <v>2027</v>
      </c>
      <c r="C15" s="24" t="s">
        <v>26</v>
      </c>
      <c r="D15" s="25">
        <f>SUMIFS('Producto 2'!$AC:$AC,'Producto 2'!$A:$A,'R-Producto 2'!$B15,'Producto 2'!$B:$B,'R-Producto 2'!$C15)</f>
        <v>1489648.3936685391</v>
      </c>
      <c r="E15" s="44"/>
      <c r="F15" s="26">
        <f t="shared" si="0"/>
        <v>0</v>
      </c>
      <c r="G15" s="47"/>
      <c r="H15" s="22"/>
      <c r="U15" s="13"/>
    </row>
    <row r="16" spans="2:21" ht="15" customHeight="1" x14ac:dyDescent="0.25">
      <c r="B16" s="27">
        <v>2027</v>
      </c>
      <c r="C16" s="24" t="s">
        <v>27</v>
      </c>
      <c r="D16" s="25">
        <f>SUMIFS('Producto 2'!$AC:$AC,'Producto 2'!$A:$A,'R-Producto 2'!$B16,'Producto 2'!$B:$B,'R-Producto 2'!$C16)</f>
        <v>1539719.8023867235</v>
      </c>
      <c r="E16" s="44"/>
      <c r="F16" s="26">
        <f t="shared" si="0"/>
        <v>0</v>
      </c>
      <c r="G16" s="47"/>
      <c r="H16" s="22"/>
      <c r="U16" s="13"/>
    </row>
    <row r="17" spans="1:21" ht="15" customHeight="1" x14ac:dyDescent="0.25">
      <c r="B17" s="27">
        <v>2027</v>
      </c>
      <c r="C17" s="24" t="s">
        <v>28</v>
      </c>
      <c r="D17" s="25">
        <f>SUMIFS('Producto 2'!$AC:$AC,'Producto 2'!$A:$A,'R-Producto 2'!$B17,'Producto 2'!$B:$B,'R-Producto 2'!$C17)</f>
        <v>1573185.8068176485</v>
      </c>
      <c r="E17" s="44"/>
      <c r="F17" s="26">
        <f t="shared" si="0"/>
        <v>0</v>
      </c>
      <c r="G17" s="47"/>
      <c r="H17" s="22"/>
      <c r="U17" s="13"/>
    </row>
    <row r="18" spans="1:21" ht="15" customHeight="1" x14ac:dyDescent="0.25">
      <c r="B18" s="27">
        <v>2027</v>
      </c>
      <c r="C18" s="24" t="s">
        <v>29</v>
      </c>
      <c r="D18" s="25">
        <f>SUMIFS('Producto 2'!$AC:$AC,'Producto 2'!$A:$A,'R-Producto 2'!$B18,'Producto 2'!$B:$B,'R-Producto 2'!$C18)</f>
        <v>1601483.0533254424</v>
      </c>
      <c r="E18" s="44"/>
      <c r="F18" s="26">
        <f t="shared" si="0"/>
        <v>0</v>
      </c>
      <c r="G18" s="47"/>
      <c r="H18" s="22"/>
      <c r="U18" s="13"/>
    </row>
    <row r="19" spans="1:21" ht="15" customHeight="1" x14ac:dyDescent="0.25">
      <c r="B19" s="27">
        <v>2027</v>
      </c>
      <c r="C19" s="24" t="s">
        <v>30</v>
      </c>
      <c r="D19" s="25">
        <f>SUMIFS('Producto 2'!$AC:$AC,'Producto 2'!$A:$A,'R-Producto 2'!$B19,'Producto 2'!$B:$B,'R-Producto 2'!$C19)</f>
        <v>1632132.9647382025</v>
      </c>
      <c r="E19" s="44"/>
      <c r="F19" s="26">
        <f t="shared" si="0"/>
        <v>0</v>
      </c>
      <c r="G19" s="47"/>
      <c r="H19" s="22"/>
      <c r="U19" s="13"/>
    </row>
    <row r="20" spans="1:21" ht="15" customHeight="1" x14ac:dyDescent="0.25">
      <c r="A20" s="28"/>
      <c r="B20" s="27">
        <v>2027</v>
      </c>
      <c r="C20" s="24" t="s">
        <v>31</v>
      </c>
      <c r="D20" s="25">
        <f>SUMIFS('Producto 2'!$AC:$AC,'Producto 2'!$A:$A,'R-Producto 2'!$B20,'Producto 2'!$B:$B,'R-Producto 2'!$C20)</f>
        <v>1615391.0323820258</v>
      </c>
      <c r="E20" s="44"/>
      <c r="F20" s="26">
        <f t="shared" si="0"/>
        <v>0</v>
      </c>
      <c r="G20" s="47"/>
      <c r="H20" s="22"/>
    </row>
    <row r="21" spans="1:21" ht="15" customHeight="1" thickBot="1" x14ac:dyDescent="0.3">
      <c r="A21" s="28"/>
      <c r="B21" s="31">
        <v>2027</v>
      </c>
      <c r="C21" s="32" t="s">
        <v>32</v>
      </c>
      <c r="D21" s="33">
        <f>SUMIFS('Producto 2'!$AC:$AC,'Producto 2'!$A:$A,'R-Producto 2'!$B21,'Producto 2'!$B:$B,'R-Producto 2'!$C21)</f>
        <v>1718495.504263828</v>
      </c>
      <c r="E21" s="44"/>
      <c r="F21" s="34">
        <f t="shared" si="0"/>
        <v>0</v>
      </c>
      <c r="G21" s="47"/>
      <c r="H21" s="22"/>
    </row>
    <row r="22" spans="1:21" ht="15" customHeight="1" thickBot="1" x14ac:dyDescent="0.3">
      <c r="A22" s="28"/>
      <c r="B22" s="35"/>
      <c r="C22" s="36" t="s">
        <v>49</v>
      </c>
      <c r="D22" s="37">
        <f>SUM(D10:D21)</f>
        <v>18109332.403304968</v>
      </c>
      <c r="E22" s="45"/>
      <c r="F22" s="38">
        <f t="shared" si="0"/>
        <v>0</v>
      </c>
      <c r="G22" s="48"/>
      <c r="H22" s="22"/>
    </row>
    <row r="23" spans="1:21" ht="15" customHeight="1" x14ac:dyDescent="0.25">
      <c r="A23" s="28"/>
      <c r="H23" s="22"/>
    </row>
    <row r="24" spans="1:21" ht="15" customHeight="1" x14ac:dyDescent="0.25">
      <c r="A24" s="28"/>
      <c r="B24" s="29" t="s">
        <v>62</v>
      </c>
      <c r="H24" s="22"/>
    </row>
    <row r="25" spans="1:21" ht="15" customHeight="1" x14ac:dyDescent="0.25">
      <c r="A25" s="28"/>
      <c r="B25" s="3" t="s">
        <v>44</v>
      </c>
      <c r="H25" s="22"/>
    </row>
    <row r="26" spans="1:21" ht="15" customHeight="1" x14ac:dyDescent="0.25">
      <c r="A26" s="28"/>
      <c r="B26" s="3" t="s">
        <v>41</v>
      </c>
      <c r="E26" s="30"/>
      <c r="H26" s="22"/>
    </row>
    <row r="27" spans="1:21" ht="15" customHeight="1" x14ac:dyDescent="0.25">
      <c r="A27" s="28"/>
      <c r="E27" s="30"/>
      <c r="H27" s="22"/>
    </row>
    <row r="28" spans="1:21" ht="15" customHeight="1" x14ac:dyDescent="0.25">
      <c r="A28" s="28"/>
      <c r="H28" s="22"/>
    </row>
    <row r="29" spans="1:21" ht="15" customHeight="1" x14ac:dyDescent="0.25">
      <c r="A29" s="28"/>
      <c r="H29" s="22"/>
    </row>
    <row r="30" spans="1:21" ht="15" customHeight="1" x14ac:dyDescent="0.25">
      <c r="A30" s="28"/>
      <c r="H30" s="22"/>
    </row>
    <row r="31" spans="1:21" ht="15" customHeight="1" x14ac:dyDescent="0.25">
      <c r="A31" s="28"/>
      <c r="H31" s="22"/>
    </row>
    <row r="32" spans="1:21" ht="15" customHeight="1" x14ac:dyDescent="0.25">
      <c r="A32" s="28"/>
      <c r="H32" s="22"/>
    </row>
    <row r="33" spans="1:8" ht="15" customHeight="1" x14ac:dyDescent="0.25">
      <c r="A33" s="28"/>
      <c r="H33" s="22"/>
    </row>
    <row r="34" spans="1:8" ht="15" customHeight="1" x14ac:dyDescent="0.25">
      <c r="A34" s="28"/>
      <c r="H34" s="22"/>
    </row>
    <row r="35" spans="1:8" ht="15" customHeight="1" x14ac:dyDescent="0.25">
      <c r="A35" s="28"/>
      <c r="H35" s="22"/>
    </row>
    <row r="36" spans="1:8" ht="15" customHeight="1" x14ac:dyDescent="0.25">
      <c r="A36" s="28"/>
      <c r="H36" s="22"/>
    </row>
    <row r="37" spans="1:8" ht="15" customHeight="1" x14ac:dyDescent="0.25">
      <c r="A37" s="28"/>
      <c r="H37" s="22"/>
    </row>
    <row r="38" spans="1:8" ht="15" customHeight="1" x14ac:dyDescent="0.25">
      <c r="A38" s="28"/>
      <c r="H38" s="22"/>
    </row>
    <row r="39" spans="1:8" ht="15" customHeight="1" x14ac:dyDescent="0.25">
      <c r="A39" s="28"/>
      <c r="H39" s="22"/>
    </row>
    <row r="40" spans="1:8" ht="15" customHeight="1" x14ac:dyDescent="0.25">
      <c r="A40" s="28"/>
      <c r="H40" s="22"/>
    </row>
    <row r="41" spans="1:8" ht="15" customHeight="1" x14ac:dyDescent="0.25">
      <c r="A41" s="28"/>
      <c r="H41" s="22"/>
    </row>
    <row r="42" spans="1:8" ht="15" customHeight="1" x14ac:dyDescent="0.25">
      <c r="A42" s="28"/>
      <c r="H42" s="22"/>
    </row>
    <row r="43" spans="1:8" ht="15" customHeight="1" x14ac:dyDescent="0.25">
      <c r="A43" s="28"/>
      <c r="H43" s="22"/>
    </row>
    <row r="44" spans="1:8" ht="15" customHeight="1" x14ac:dyDescent="0.25">
      <c r="A44" s="28"/>
      <c r="H44" s="22"/>
    </row>
    <row r="45" spans="1:8" ht="15" customHeight="1" x14ac:dyDescent="0.25">
      <c r="A45" s="28"/>
      <c r="H45" s="22"/>
    </row>
    <row r="46" spans="1:8" ht="15" customHeight="1" x14ac:dyDescent="0.25">
      <c r="A46" s="28"/>
      <c r="H46" s="22"/>
    </row>
    <row r="47" spans="1:8" ht="15" customHeight="1" x14ac:dyDescent="0.25">
      <c r="A47" s="28"/>
      <c r="H47" s="22"/>
    </row>
    <row r="48" spans="1:8" ht="15" customHeight="1" x14ac:dyDescent="0.25">
      <c r="A48" s="28"/>
      <c r="H48" s="22"/>
    </row>
    <row r="49" spans="1:8" ht="15" customHeight="1" x14ac:dyDescent="0.25">
      <c r="A49" s="28"/>
      <c r="H49" s="22"/>
    </row>
    <row r="50" spans="1:8" ht="15" customHeight="1" x14ac:dyDescent="0.25">
      <c r="A50" s="28"/>
      <c r="H50" s="22"/>
    </row>
    <row r="51" spans="1:8" ht="15" customHeight="1" x14ac:dyDescent="0.25">
      <c r="A51" s="28"/>
      <c r="H51" s="22"/>
    </row>
    <row r="52" spans="1:8" ht="15" customHeight="1" x14ac:dyDescent="0.25">
      <c r="A52" s="28"/>
      <c r="H52" s="22"/>
    </row>
    <row r="53" spans="1:8" ht="15" customHeight="1" x14ac:dyDescent="0.25">
      <c r="A53" s="28"/>
      <c r="H53" s="22"/>
    </row>
    <row r="54" spans="1:8" ht="15" customHeight="1" x14ac:dyDescent="0.25">
      <c r="A54" s="28"/>
      <c r="H54" s="22"/>
    </row>
    <row r="55" spans="1:8" ht="15" customHeight="1" x14ac:dyDescent="0.25">
      <c r="A55" s="28"/>
      <c r="H55" s="22"/>
    </row>
    <row r="56" spans="1:8" ht="15" customHeight="1" x14ac:dyDescent="0.25">
      <c r="A56" s="28"/>
      <c r="H56" s="22"/>
    </row>
    <row r="57" spans="1:8" ht="15" customHeight="1" x14ac:dyDescent="0.25">
      <c r="A57" s="28"/>
      <c r="H57" s="22"/>
    </row>
    <row r="58" spans="1:8" ht="15" customHeight="1" x14ac:dyDescent="0.25">
      <c r="A58" s="28"/>
      <c r="H58" s="22"/>
    </row>
    <row r="59" spans="1:8" ht="15" customHeight="1" x14ac:dyDescent="0.25">
      <c r="A59" s="28"/>
      <c r="H59" s="22"/>
    </row>
    <row r="60" spans="1:8" ht="15" customHeight="1" x14ac:dyDescent="0.25">
      <c r="A60" s="28"/>
      <c r="H60" s="22"/>
    </row>
    <row r="61" spans="1:8" ht="15" customHeight="1" x14ac:dyDescent="0.25">
      <c r="A61" s="28"/>
      <c r="H61" s="22"/>
    </row>
    <row r="62" spans="1:8" ht="15" customHeight="1" x14ac:dyDescent="0.25">
      <c r="A62" s="28"/>
      <c r="H62" s="22"/>
    </row>
    <row r="63" spans="1:8" ht="15" customHeight="1" x14ac:dyDescent="0.25">
      <c r="A63" s="28"/>
      <c r="H63" s="22"/>
    </row>
    <row r="64" spans="1:8" ht="15" customHeight="1" x14ac:dyDescent="0.25">
      <c r="A64" s="28"/>
      <c r="H64" s="22"/>
    </row>
    <row r="65" spans="1:8" ht="15" customHeight="1" x14ac:dyDescent="0.25">
      <c r="A65" s="28"/>
      <c r="H65" s="22"/>
    </row>
    <row r="66" spans="1:8" ht="15" customHeight="1" x14ac:dyDescent="0.25">
      <c r="A66" s="28"/>
      <c r="H66" s="22"/>
    </row>
    <row r="67" spans="1:8" ht="15" customHeight="1" x14ac:dyDescent="0.25">
      <c r="A67" s="28"/>
      <c r="H67" s="22"/>
    </row>
    <row r="68" spans="1:8" ht="15" customHeight="1" x14ac:dyDescent="0.25">
      <c r="A68" s="28"/>
      <c r="H68" s="22"/>
    </row>
    <row r="69" spans="1:8" ht="15" customHeight="1" x14ac:dyDescent="0.25">
      <c r="A69" s="28"/>
      <c r="H69" s="22"/>
    </row>
    <row r="70" spans="1:8" ht="15" customHeight="1" x14ac:dyDescent="0.25">
      <c r="A70" s="28"/>
      <c r="H70" s="22"/>
    </row>
    <row r="71" spans="1:8" ht="15" customHeight="1" x14ac:dyDescent="0.25">
      <c r="A71" s="28"/>
      <c r="H71" s="22"/>
    </row>
    <row r="72" spans="1:8" ht="15" customHeight="1" x14ac:dyDescent="0.25">
      <c r="A72" s="28"/>
      <c r="H72" s="22"/>
    </row>
    <row r="73" spans="1:8" ht="15" customHeight="1" x14ac:dyDescent="0.25">
      <c r="A73" s="28"/>
      <c r="H73" s="22"/>
    </row>
    <row r="74" spans="1:8" ht="15" customHeight="1" x14ac:dyDescent="0.25">
      <c r="A74" s="28"/>
      <c r="H74" s="22"/>
    </row>
    <row r="75" spans="1:8" ht="15" customHeight="1" x14ac:dyDescent="0.25">
      <c r="A75" s="28"/>
      <c r="H75" s="22"/>
    </row>
    <row r="76" spans="1:8" ht="15" customHeight="1" x14ac:dyDescent="0.25">
      <c r="A76" s="28"/>
      <c r="H76" s="22"/>
    </row>
    <row r="77" spans="1:8" ht="15" customHeight="1" x14ac:dyDescent="0.25">
      <c r="A77" s="28"/>
      <c r="H77" s="22"/>
    </row>
    <row r="78" spans="1:8" ht="15" customHeight="1" x14ac:dyDescent="0.25">
      <c r="A78" s="28"/>
      <c r="H78" s="22"/>
    </row>
    <row r="79" spans="1:8" ht="15" customHeight="1" x14ac:dyDescent="0.25">
      <c r="A79" s="28"/>
      <c r="H79" s="22"/>
    </row>
    <row r="80" spans="1:8" ht="15" customHeight="1" x14ac:dyDescent="0.25">
      <c r="A80" s="28"/>
      <c r="H80" s="22"/>
    </row>
    <row r="81" spans="1:8" ht="15" customHeight="1" x14ac:dyDescent="0.25">
      <c r="A81" s="28"/>
      <c r="H81" s="22"/>
    </row>
    <row r="82" spans="1:8" ht="15" customHeight="1" x14ac:dyDescent="0.25">
      <c r="A82" s="28"/>
      <c r="H82" s="22"/>
    </row>
    <row r="83" spans="1:8" ht="15" customHeight="1" x14ac:dyDescent="0.25">
      <c r="A83" s="28"/>
      <c r="H83" s="22"/>
    </row>
    <row r="84" spans="1:8" ht="15" customHeight="1" x14ac:dyDescent="0.25">
      <c r="A84" s="28"/>
      <c r="H84" s="22"/>
    </row>
    <row r="85" spans="1:8" ht="15" customHeight="1" x14ac:dyDescent="0.25">
      <c r="A85" s="28"/>
      <c r="H85" s="22"/>
    </row>
    <row r="86" spans="1:8" ht="15" customHeight="1" x14ac:dyDescent="0.25">
      <c r="A86" s="28"/>
      <c r="H86" s="22"/>
    </row>
    <row r="87" spans="1:8" ht="15" customHeight="1" x14ac:dyDescent="0.25">
      <c r="A87" s="28"/>
      <c r="H87" s="22"/>
    </row>
    <row r="88" spans="1:8" ht="15" customHeight="1" x14ac:dyDescent="0.25">
      <c r="A88" s="28"/>
      <c r="H88" s="22"/>
    </row>
    <row r="89" spans="1:8" ht="15" customHeight="1" x14ac:dyDescent="0.25">
      <c r="A89" s="28"/>
      <c r="H89" s="22"/>
    </row>
    <row r="90" spans="1:8" ht="15" customHeight="1" x14ac:dyDescent="0.25">
      <c r="A90" s="28"/>
      <c r="H90" s="22"/>
    </row>
    <row r="91" spans="1:8" ht="15" customHeight="1" x14ac:dyDescent="0.25">
      <c r="A91" s="28"/>
      <c r="H91" s="22"/>
    </row>
    <row r="92" spans="1:8" ht="15" customHeight="1" x14ac:dyDescent="0.25">
      <c r="A92" s="28"/>
      <c r="H92" s="22"/>
    </row>
    <row r="93" spans="1:8" ht="15" customHeight="1" x14ac:dyDescent="0.25">
      <c r="A93" s="28"/>
      <c r="H93" s="22"/>
    </row>
    <row r="94" spans="1:8" ht="15" customHeight="1" x14ac:dyDescent="0.25">
      <c r="A94" s="28"/>
      <c r="H94" s="22"/>
    </row>
    <row r="95" spans="1:8" ht="15" customHeight="1" x14ac:dyDescent="0.25">
      <c r="A95" s="28"/>
      <c r="H95" s="22"/>
    </row>
    <row r="96" spans="1:8" ht="15" customHeight="1" x14ac:dyDescent="0.25">
      <c r="A96" s="28"/>
      <c r="H96" s="22"/>
    </row>
    <row r="97" spans="1:8" ht="15" customHeight="1" x14ac:dyDescent="0.25">
      <c r="A97" s="28"/>
      <c r="H97" s="22"/>
    </row>
    <row r="98" spans="1:8" ht="15" customHeight="1" x14ac:dyDescent="0.25">
      <c r="A98" s="28"/>
      <c r="H98" s="22"/>
    </row>
    <row r="99" spans="1:8" ht="15" customHeight="1" x14ac:dyDescent="0.25">
      <c r="A99" s="28"/>
      <c r="H99" s="22"/>
    </row>
    <row r="100" spans="1:8" ht="15" customHeight="1" x14ac:dyDescent="0.25">
      <c r="A100" s="28"/>
      <c r="H100" s="22"/>
    </row>
    <row r="101" spans="1:8" ht="15" customHeight="1" x14ac:dyDescent="0.25">
      <c r="A101" s="28"/>
      <c r="H101" s="22"/>
    </row>
    <row r="102" spans="1:8" ht="15" customHeight="1" x14ac:dyDescent="0.25">
      <c r="A102" s="28"/>
      <c r="H102" s="22"/>
    </row>
    <row r="103" spans="1:8" ht="15" customHeight="1" x14ac:dyDescent="0.25">
      <c r="A103" s="28"/>
      <c r="H103" s="22"/>
    </row>
    <row r="104" spans="1:8" ht="15" customHeight="1" x14ac:dyDescent="0.25">
      <c r="A104" s="28"/>
      <c r="H104" s="22"/>
    </row>
    <row r="105" spans="1:8" ht="15" customHeight="1" x14ac:dyDescent="0.25">
      <c r="A105" s="28"/>
      <c r="H105" s="22"/>
    </row>
    <row r="106" spans="1:8" ht="15" customHeight="1" x14ac:dyDescent="0.25">
      <c r="A106" s="28"/>
      <c r="H106" s="22"/>
    </row>
    <row r="107" spans="1:8" ht="15" customHeight="1" x14ac:dyDescent="0.25">
      <c r="A107" s="28"/>
      <c r="H107" s="22"/>
    </row>
    <row r="108" spans="1:8" ht="15" customHeight="1" x14ac:dyDescent="0.25">
      <c r="A108" s="28"/>
      <c r="H108" s="22"/>
    </row>
    <row r="109" spans="1:8" ht="15" customHeight="1" x14ac:dyDescent="0.25">
      <c r="A109" s="28"/>
      <c r="H109" s="22"/>
    </row>
    <row r="110" spans="1:8" ht="15" customHeight="1" x14ac:dyDescent="0.25">
      <c r="A110" s="28"/>
      <c r="H110" s="22"/>
    </row>
    <row r="111" spans="1:8" ht="15" customHeight="1" x14ac:dyDescent="0.25">
      <c r="A111" s="28"/>
      <c r="H111" s="22"/>
    </row>
    <row r="112" spans="1:8" ht="15" customHeight="1" x14ac:dyDescent="0.25">
      <c r="A112" s="28"/>
      <c r="H112" s="22"/>
    </row>
    <row r="113" spans="1:8" ht="15" customHeight="1" x14ac:dyDescent="0.25">
      <c r="A113" s="28"/>
      <c r="H113" s="22"/>
    </row>
    <row r="114" spans="1:8" ht="15" customHeight="1" x14ac:dyDescent="0.25">
      <c r="A114" s="28"/>
      <c r="H114" s="22"/>
    </row>
    <row r="115" spans="1:8" ht="15" customHeight="1" x14ac:dyDescent="0.25">
      <c r="A115" s="28"/>
      <c r="H115" s="22"/>
    </row>
    <row r="116" spans="1:8" ht="15" customHeight="1" x14ac:dyDescent="0.25">
      <c r="A116" s="28"/>
      <c r="H116" s="22"/>
    </row>
    <row r="117" spans="1:8" ht="15" customHeight="1" x14ac:dyDescent="0.25">
      <c r="A117" s="28"/>
      <c r="H117" s="22"/>
    </row>
    <row r="118" spans="1:8" ht="15" customHeight="1" x14ac:dyDescent="0.25">
      <c r="A118" s="28"/>
      <c r="H118" s="22"/>
    </row>
    <row r="119" spans="1:8" ht="15" customHeight="1" x14ac:dyDescent="0.25">
      <c r="A119" s="28"/>
      <c r="H119" s="22"/>
    </row>
    <row r="120" spans="1:8" ht="15" customHeight="1" x14ac:dyDescent="0.25">
      <c r="A120" s="28"/>
      <c r="H120" s="22"/>
    </row>
    <row r="121" spans="1:8" ht="15" customHeight="1" x14ac:dyDescent="0.25">
      <c r="A121" s="28"/>
      <c r="H121" s="22"/>
    </row>
    <row r="122" spans="1:8" ht="15" customHeight="1" x14ac:dyDescent="0.25">
      <c r="A122" s="28"/>
      <c r="H122" s="22"/>
    </row>
    <row r="123" spans="1:8" ht="15" customHeight="1" x14ac:dyDescent="0.25">
      <c r="A123" s="28"/>
      <c r="H123" s="22"/>
    </row>
    <row r="124" spans="1:8" ht="15" customHeight="1" x14ac:dyDescent="0.25">
      <c r="A124" s="28"/>
      <c r="H124" s="22"/>
    </row>
    <row r="125" spans="1:8" ht="15" customHeight="1" x14ac:dyDescent="0.25">
      <c r="A125" s="28"/>
      <c r="H125" s="22"/>
    </row>
    <row r="126" spans="1:8" ht="15" customHeight="1" x14ac:dyDescent="0.25">
      <c r="A126" s="28"/>
      <c r="H126" s="22"/>
    </row>
    <row r="127" spans="1:8" ht="15" customHeight="1" x14ac:dyDescent="0.25">
      <c r="A127" s="28"/>
      <c r="H127" s="22"/>
    </row>
    <row r="128" spans="1:8" ht="15" customHeight="1" x14ac:dyDescent="0.25">
      <c r="A128" s="28"/>
      <c r="H128" s="22"/>
    </row>
    <row r="129" spans="1:8" ht="15" customHeight="1" x14ac:dyDescent="0.25">
      <c r="A129" s="28"/>
      <c r="H129" s="22"/>
    </row>
    <row r="130" spans="1:8" ht="15" customHeight="1" x14ac:dyDescent="0.25">
      <c r="A130" s="28"/>
      <c r="H130" s="22"/>
    </row>
    <row r="131" spans="1:8" ht="15" customHeight="1" x14ac:dyDescent="0.25">
      <c r="A131" s="28"/>
      <c r="H131" s="22"/>
    </row>
    <row r="132" spans="1:8" ht="15" customHeight="1" x14ac:dyDescent="0.25">
      <c r="A132" s="28"/>
      <c r="H132" s="22"/>
    </row>
    <row r="133" spans="1:8" ht="15" customHeight="1" x14ac:dyDescent="0.25">
      <c r="A133" s="28"/>
      <c r="H133" s="22"/>
    </row>
    <row r="134" spans="1:8" ht="15" customHeight="1" x14ac:dyDescent="0.25">
      <c r="A134" s="28"/>
      <c r="H134" s="22"/>
    </row>
    <row r="135" spans="1:8" ht="15" customHeight="1" x14ac:dyDescent="0.25">
      <c r="A135" s="28"/>
      <c r="H135" s="22"/>
    </row>
    <row r="136" spans="1:8" ht="15" customHeight="1" x14ac:dyDescent="0.25">
      <c r="A136" s="28"/>
      <c r="H136" s="22"/>
    </row>
    <row r="137" spans="1:8" ht="15" customHeight="1" x14ac:dyDescent="0.25">
      <c r="A137" s="28"/>
      <c r="H137" s="22"/>
    </row>
    <row r="138" spans="1:8" ht="15" customHeight="1" x14ac:dyDescent="0.25">
      <c r="A138" s="28"/>
      <c r="H138" s="22"/>
    </row>
    <row r="139" spans="1:8" ht="15" customHeight="1" x14ac:dyDescent="0.25">
      <c r="A139" s="28"/>
      <c r="H139" s="22"/>
    </row>
    <row r="140" spans="1:8" ht="15" customHeight="1" x14ac:dyDescent="0.25">
      <c r="A140" s="28"/>
      <c r="H140" s="22"/>
    </row>
    <row r="141" spans="1:8" ht="15" customHeight="1" x14ac:dyDescent="0.25">
      <c r="A141" s="28"/>
      <c r="H141" s="22"/>
    </row>
    <row r="142" spans="1:8" ht="15" customHeight="1" x14ac:dyDescent="0.25">
      <c r="A142" s="28"/>
      <c r="H142" s="22"/>
    </row>
    <row r="143" spans="1:8" ht="15" customHeight="1" x14ac:dyDescent="0.25">
      <c r="A143" s="28"/>
      <c r="H143" s="22"/>
    </row>
    <row r="144" spans="1:8" ht="15" customHeight="1" x14ac:dyDescent="0.25">
      <c r="A144" s="28"/>
      <c r="H144" s="22"/>
    </row>
    <row r="145" spans="1:8" ht="15" customHeight="1" x14ac:dyDescent="0.25">
      <c r="A145" s="28"/>
      <c r="H145" s="22"/>
    </row>
    <row r="146" spans="1:8" ht="15" customHeight="1" x14ac:dyDescent="0.25">
      <c r="A146" s="28"/>
      <c r="H146" s="22"/>
    </row>
  </sheetData>
  <mergeCells count="10">
    <mergeCell ref="E10:E21"/>
    <mergeCell ref="G10:G21"/>
    <mergeCell ref="B2:G2"/>
    <mergeCell ref="B3:G3"/>
    <mergeCell ref="B4:G4"/>
    <mergeCell ref="B5:G5"/>
    <mergeCell ref="B7:G7"/>
    <mergeCell ref="B8:B9"/>
    <mergeCell ref="C8:C9"/>
    <mergeCell ref="D8:G8"/>
  </mergeCells>
  <printOptions horizontalCentered="1"/>
  <pageMargins left="0.35433070866141736" right="0.35433070866141736" top="1.5748031496062993" bottom="0.19685039370078741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4C7F-E549-4726-8F76-9205A8A32AB2}">
  <dimension ref="A1:BD93"/>
  <sheetViews>
    <sheetView showGridLines="0" zoomScale="80" zoomScaleNormal="80" workbookViewId="0">
      <pane xSplit="3" ySplit="5" topLeftCell="D6" activePane="bottomRight" state="frozen"/>
      <selection activeCell="A32" sqref="A32"/>
      <selection pane="topRight" activeCell="A32" sqref="A32"/>
      <selection pane="bottomLeft" activeCell="A32" sqref="A32"/>
      <selection pane="bottomRight" activeCell="AC6" sqref="AC6:AC41"/>
    </sheetView>
  </sheetViews>
  <sheetFormatPr baseColWidth="10" defaultColWidth="11.42578125" defaultRowHeight="15" x14ac:dyDescent="0.25"/>
  <cols>
    <col min="1" max="1" width="10.85546875" style="2" customWidth="1"/>
    <col min="2" max="2" width="12.42578125" style="2" bestFit="1" customWidth="1"/>
    <col min="3" max="3" width="19.140625" style="2" bestFit="1" customWidth="1"/>
    <col min="4" max="27" width="11" style="4" customWidth="1"/>
    <col min="28" max="28" width="10.5703125" style="2" customWidth="1"/>
    <col min="29" max="30" width="12.5703125" style="2" customWidth="1"/>
    <col min="31" max="31" width="12.5703125" style="3" customWidth="1"/>
    <col min="32" max="34" width="11.42578125" style="3" customWidth="1"/>
    <col min="35" max="36" width="11.42578125" style="3"/>
    <col min="37" max="37" width="12.140625" style="3" bestFit="1" customWidth="1"/>
    <col min="38" max="56" width="11.42578125" style="3"/>
    <col min="57" max="16384" width="11.42578125" style="2"/>
  </cols>
  <sheetData>
    <row r="1" spans="1:30" ht="18.75" x14ac:dyDescent="0.3">
      <c r="B1" s="10" t="s">
        <v>54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30" ht="18.75" x14ac:dyDescent="0.3">
      <c r="B2" s="10" t="s">
        <v>50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30" ht="18.75" x14ac:dyDescent="0.3">
      <c r="B3" s="10" t="s">
        <v>63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5" spans="1:30" x14ac:dyDescent="0.25">
      <c r="A5" s="5" t="s">
        <v>43</v>
      </c>
      <c r="B5" s="5" t="s">
        <v>0</v>
      </c>
      <c r="C5" s="3" t="s">
        <v>1</v>
      </c>
      <c r="D5" s="6" t="s">
        <v>51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18</v>
      </c>
      <c r="V5" s="6" t="s">
        <v>19</v>
      </c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  <c r="AB5" s="6" t="s">
        <v>48</v>
      </c>
      <c r="AC5" s="6" t="s">
        <v>47</v>
      </c>
    </row>
    <row r="6" spans="1:30" x14ac:dyDescent="0.25">
      <c r="A6" s="3">
        <v>2027</v>
      </c>
      <c r="B6" s="5" t="s">
        <v>57</v>
      </c>
      <c r="C6" s="7" t="s">
        <v>45</v>
      </c>
      <c r="D6" s="1">
        <v>2103.7034358956334</v>
      </c>
      <c r="E6" s="1">
        <v>2051.802803063284</v>
      </c>
      <c r="F6" s="1">
        <v>2023.2986327050839</v>
      </c>
      <c r="G6" s="1">
        <v>2005.0145257108738</v>
      </c>
      <c r="H6" s="1">
        <v>2013.2788807239908</v>
      </c>
      <c r="I6" s="1">
        <v>2053.6804318031891</v>
      </c>
      <c r="J6" s="1">
        <v>2138.3205891290745</v>
      </c>
      <c r="K6" s="1">
        <v>2266.2131328536066</v>
      </c>
      <c r="L6" s="1">
        <v>2268.7335241052187</v>
      </c>
      <c r="M6" s="1">
        <v>1898.0686966664207</v>
      </c>
      <c r="N6" s="1">
        <v>1655.1974191596823</v>
      </c>
      <c r="O6" s="1">
        <v>1509.6602776355189</v>
      </c>
      <c r="P6" s="1">
        <v>1345.2669100629819</v>
      </c>
      <c r="Q6" s="1">
        <v>1511.6271402165289</v>
      </c>
      <c r="R6" s="1">
        <v>1997.312994560139</v>
      </c>
      <c r="S6" s="1">
        <v>2208.4244607871346</v>
      </c>
      <c r="T6" s="1">
        <v>2542.3667740539345</v>
      </c>
      <c r="U6" s="1">
        <v>2665.7948371657121</v>
      </c>
      <c r="V6" s="1">
        <v>2434.3138876682788</v>
      </c>
      <c r="W6" s="1">
        <v>2346.1387689078097</v>
      </c>
      <c r="X6" s="1">
        <v>2349.8749712444687</v>
      </c>
      <c r="Y6" s="1">
        <v>2332.6347142873419</v>
      </c>
      <c r="Z6" s="1">
        <v>2233.3165196189607</v>
      </c>
      <c r="AA6" s="1">
        <v>2177.8256189609269</v>
      </c>
      <c r="AB6" s="8">
        <v>19</v>
      </c>
      <c r="AC6" s="8">
        <f t="shared" ref="AC6:AC41" si="0">AB6*SUM(D6:AA6)</f>
        <v>952505.52899272996</v>
      </c>
      <c r="AD6" s="9"/>
    </row>
    <row r="7" spans="1:30" x14ac:dyDescent="0.25">
      <c r="A7" s="3">
        <v>2027</v>
      </c>
      <c r="B7" s="5" t="s">
        <v>57</v>
      </c>
      <c r="C7" s="7" t="s">
        <v>46</v>
      </c>
      <c r="D7" s="1">
        <v>2077.2060280902615</v>
      </c>
      <c r="E7" s="1">
        <v>2016.5398151731147</v>
      </c>
      <c r="F7" s="1">
        <v>1996.391322866366</v>
      </c>
      <c r="G7" s="1">
        <v>1981.0773107539071</v>
      </c>
      <c r="H7" s="1">
        <v>1984.4317741821333</v>
      </c>
      <c r="I7" s="1">
        <v>1955.4285116392803</v>
      </c>
      <c r="J7" s="1">
        <v>1669.4487438586602</v>
      </c>
      <c r="K7" s="1">
        <v>1291.4039722582943</v>
      </c>
      <c r="L7" s="1">
        <v>1309.3016811212956</v>
      </c>
      <c r="M7" s="1">
        <v>1023.7452922199668</v>
      </c>
      <c r="N7" s="1">
        <v>757.6317641599037</v>
      </c>
      <c r="O7" s="1">
        <v>583.55790955928774</v>
      </c>
      <c r="P7" s="1">
        <v>0</v>
      </c>
      <c r="Q7" s="1">
        <v>0</v>
      </c>
      <c r="R7" s="1">
        <v>492.69428854231478</v>
      </c>
      <c r="S7" s="1">
        <v>913.62697875252343</v>
      </c>
      <c r="T7" s="1">
        <v>1316.4376054799368</v>
      </c>
      <c r="U7" s="1">
        <v>1904.0802526894258</v>
      </c>
      <c r="V7" s="1">
        <v>2226.4561295974336</v>
      </c>
      <c r="W7" s="1">
        <v>2256.2337774408679</v>
      </c>
      <c r="X7" s="1">
        <v>2284.8028052357308</v>
      </c>
      <c r="Y7" s="1">
        <v>2316.9144648496149</v>
      </c>
      <c r="Z7" s="1">
        <v>2238.6002280495622</v>
      </c>
      <c r="AA7" s="1">
        <v>2195.4626244596247</v>
      </c>
      <c r="AB7" s="8">
        <v>5</v>
      </c>
      <c r="AC7" s="8">
        <f t="shared" si="0"/>
        <v>183957.3664048975</v>
      </c>
      <c r="AD7" s="9"/>
    </row>
    <row r="8" spans="1:30" x14ac:dyDescent="0.25">
      <c r="A8" s="3">
        <v>2027</v>
      </c>
      <c r="B8" s="5" t="s">
        <v>57</v>
      </c>
      <c r="C8" s="7" t="s">
        <v>52</v>
      </c>
      <c r="D8" s="1">
        <v>2034.206986631827</v>
      </c>
      <c r="E8" s="1">
        <v>1955.7618754916448</v>
      </c>
      <c r="F8" s="1">
        <v>1898.8464279849168</v>
      </c>
      <c r="G8" s="1">
        <v>1868.717701473086</v>
      </c>
      <c r="H8" s="1">
        <v>1850.0792860282654</v>
      </c>
      <c r="I8" s="1">
        <v>1823.9273593773705</v>
      </c>
      <c r="J8" s="1">
        <v>1424.937776548802</v>
      </c>
      <c r="K8" s="1">
        <v>612.48103232347739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241.68912094348252</v>
      </c>
      <c r="S8" s="1">
        <v>524.27662494508729</v>
      </c>
      <c r="T8" s="1">
        <v>1025.1933752355603</v>
      </c>
      <c r="U8" s="1">
        <v>1506.7088899871646</v>
      </c>
      <c r="V8" s="1">
        <v>1891.1648829819014</v>
      </c>
      <c r="W8" s="1">
        <v>1981.1056395953483</v>
      </c>
      <c r="X8" s="1">
        <v>2051.3811075604467</v>
      </c>
      <c r="Y8" s="1">
        <v>2081.9445881818247</v>
      </c>
      <c r="Z8" s="1">
        <v>1985.9652836910072</v>
      </c>
      <c r="AA8" s="1">
        <v>1923.1899909163531</v>
      </c>
      <c r="AB8" s="8">
        <v>7</v>
      </c>
      <c r="AC8" s="8">
        <f t="shared" si="0"/>
        <v>200771.04564928298</v>
      </c>
      <c r="AD8" s="9"/>
    </row>
    <row r="9" spans="1:30" x14ac:dyDescent="0.25">
      <c r="A9" s="3">
        <v>2027</v>
      </c>
      <c r="B9" s="5" t="s">
        <v>58</v>
      </c>
      <c r="C9" s="7" t="s">
        <v>45</v>
      </c>
      <c r="D9" s="1">
        <v>2145.7662389858824</v>
      </c>
      <c r="E9" s="1">
        <v>2094.0459257583893</v>
      </c>
      <c r="F9" s="1">
        <v>2065.6407881181976</v>
      </c>
      <c r="G9" s="1">
        <v>2047.4202060324219</v>
      </c>
      <c r="H9" s="1">
        <v>2055.6558480000704</v>
      </c>
      <c r="I9" s="1">
        <v>2095.9170310080408</v>
      </c>
      <c r="J9" s="1">
        <v>2180.2631210193081</v>
      </c>
      <c r="K9" s="1">
        <v>2307.7113246329404</v>
      </c>
      <c r="L9" s="1">
        <v>2310.2229592291947</v>
      </c>
      <c r="M9" s="1">
        <v>1940.8459414291315</v>
      </c>
      <c r="N9" s="1">
        <v>1698.8184773867192</v>
      </c>
      <c r="O9" s="1">
        <v>1553.7869790198624</v>
      </c>
      <c r="P9" s="1">
        <v>1389.9647672399233</v>
      </c>
      <c r="Q9" s="1">
        <v>1555.7470080833591</v>
      </c>
      <c r="R9" s="1">
        <v>2039.7454324948048</v>
      </c>
      <c r="S9" s="1">
        <v>2250.1234291262817</v>
      </c>
      <c r="T9" s="1">
        <v>2582.9055186600181</v>
      </c>
      <c r="U9" s="1">
        <v>2705.904752712227</v>
      </c>
      <c r="V9" s="1">
        <v>2475.2280429912139</v>
      </c>
      <c r="W9" s="1">
        <v>2387.3592731460735</v>
      </c>
      <c r="X9" s="1">
        <v>2391.0824947059627</v>
      </c>
      <c r="Y9" s="1">
        <v>2373.9021359842232</v>
      </c>
      <c r="Z9" s="1">
        <v>2274.9290048852108</v>
      </c>
      <c r="AA9" s="1">
        <v>2219.6308975850561</v>
      </c>
      <c r="AB9" s="8">
        <v>20</v>
      </c>
      <c r="AC9" s="8">
        <f t="shared" si="0"/>
        <v>1022852.3519646901</v>
      </c>
    </row>
    <row r="10" spans="1:30" x14ac:dyDescent="0.25">
      <c r="A10" s="3">
        <v>2027</v>
      </c>
      <c r="B10" s="5" t="s">
        <v>58</v>
      </c>
      <c r="C10" s="7" t="s">
        <v>46</v>
      </c>
      <c r="D10" s="1">
        <v>2130.8079248116769</v>
      </c>
      <c r="E10" s="1">
        <v>2069.0639389088487</v>
      </c>
      <c r="F10" s="1">
        <v>2048.5574961109414</v>
      </c>
      <c r="G10" s="1">
        <v>2032.9714210533348</v>
      </c>
      <c r="H10" s="1">
        <v>2036.385478609669</v>
      </c>
      <c r="I10" s="1">
        <v>2006.8669550778368</v>
      </c>
      <c r="J10" s="1">
        <v>1715.8065789430029</v>
      </c>
      <c r="K10" s="1">
        <v>1331.0456069632692</v>
      </c>
      <c r="L10" s="1">
        <v>1349.2612797503489</v>
      </c>
      <c r="M10" s="1">
        <v>1058.6318040837909</v>
      </c>
      <c r="N10" s="1">
        <v>787.79060376801613</v>
      </c>
      <c r="O10" s="1">
        <v>610.62421892724512</v>
      </c>
      <c r="P10" s="1">
        <v>0</v>
      </c>
      <c r="Q10" s="1">
        <v>0</v>
      </c>
      <c r="R10" s="1">
        <v>518.14634919745026</v>
      </c>
      <c r="S10" s="1">
        <v>946.55717032244536</v>
      </c>
      <c r="T10" s="1">
        <v>1356.5239782412755</v>
      </c>
      <c r="U10" s="1">
        <v>1954.6064623870448</v>
      </c>
      <c r="V10" s="1">
        <v>2282.7095471535899</v>
      </c>
      <c r="W10" s="1">
        <v>2313.0162134222655</v>
      </c>
      <c r="X10" s="1">
        <v>2342.092787755867</v>
      </c>
      <c r="Y10" s="1">
        <v>2374.7749309650353</v>
      </c>
      <c r="Z10" s="1">
        <v>2295.069393064111</v>
      </c>
      <c r="AA10" s="1">
        <v>2251.1654231298662</v>
      </c>
      <c r="AB10" s="8">
        <v>4</v>
      </c>
      <c r="AC10" s="8">
        <f t="shared" si="0"/>
        <v>151249.90225058774</v>
      </c>
    </row>
    <row r="11" spans="1:30" x14ac:dyDescent="0.25">
      <c r="A11" s="3">
        <v>2027</v>
      </c>
      <c r="B11" s="5" t="s">
        <v>58</v>
      </c>
      <c r="C11" s="7" t="s">
        <v>52</v>
      </c>
      <c r="D11" s="1">
        <v>2086.1402732632355</v>
      </c>
      <c r="E11" s="1">
        <v>2005.9189093027717</v>
      </c>
      <c r="F11" s="1">
        <v>1947.7147106848274</v>
      </c>
      <c r="G11" s="1">
        <v>1916.9037716723028</v>
      </c>
      <c r="H11" s="1">
        <v>1897.8433217945108</v>
      </c>
      <c r="I11" s="1">
        <v>1871.0992303446337</v>
      </c>
      <c r="J11" s="1">
        <v>1463.0752238093323</v>
      </c>
      <c r="K11" s="1">
        <v>632.22181263674486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253.0339646744267</v>
      </c>
      <c r="S11" s="1">
        <v>542.02017018417473</v>
      </c>
      <c r="T11" s="1">
        <v>1054.2793072403406</v>
      </c>
      <c r="U11" s="1">
        <v>1546.6979015931502</v>
      </c>
      <c r="V11" s="1">
        <v>1939.8592304833351</v>
      </c>
      <c r="W11" s="1">
        <v>2031.8365387731174</v>
      </c>
      <c r="X11" s="1">
        <v>2103.7032722276167</v>
      </c>
      <c r="Y11" s="1">
        <v>2134.9588095987688</v>
      </c>
      <c r="Z11" s="1">
        <v>2036.8062210394796</v>
      </c>
      <c r="AA11" s="1">
        <v>1972.6094911706041</v>
      </c>
      <c r="AB11" s="8">
        <v>4</v>
      </c>
      <c r="AC11" s="8">
        <f t="shared" si="0"/>
        <v>117746.88864197346</v>
      </c>
    </row>
    <row r="12" spans="1:30" x14ac:dyDescent="0.25">
      <c r="A12" s="3">
        <v>2027</v>
      </c>
      <c r="B12" s="5" t="s">
        <v>59</v>
      </c>
      <c r="C12" s="7" t="s">
        <v>45</v>
      </c>
      <c r="D12" s="1">
        <v>2187.6829022774723</v>
      </c>
      <c r="E12" s="1">
        <v>2136.1422821661376</v>
      </c>
      <c r="F12" s="1">
        <v>2107.8358331722234</v>
      </c>
      <c r="G12" s="1">
        <v>2089.6785552887795</v>
      </c>
      <c r="H12" s="1">
        <v>2097.885583969377</v>
      </c>
      <c r="I12" s="1">
        <v>2138.0068865902531</v>
      </c>
      <c r="J12" s="1">
        <v>2222.0599309719773</v>
      </c>
      <c r="K12" s="1">
        <v>2349.0653382561413</v>
      </c>
      <c r="L12" s="1">
        <v>2351.5682466204935</v>
      </c>
      <c r="M12" s="1">
        <v>1983.4745641914633</v>
      </c>
      <c r="N12" s="1">
        <v>1742.2879819321597</v>
      </c>
      <c r="O12" s="1">
        <v>1597.7603699545443</v>
      </c>
      <c r="P12" s="1">
        <v>1434.5073295870288</v>
      </c>
      <c r="Q12" s="1">
        <v>1599.7135892423803</v>
      </c>
      <c r="R12" s="1">
        <v>2082.0304463996677</v>
      </c>
      <c r="S12" s="1">
        <v>2291.6775217465115</v>
      </c>
      <c r="T12" s="1">
        <v>2623.3034185401352</v>
      </c>
      <c r="U12" s="1">
        <v>2745.8753134237918</v>
      </c>
      <c r="V12" s="1">
        <v>2516.0000492897875</v>
      </c>
      <c r="W12" s="1">
        <v>2428.4365640046426</v>
      </c>
      <c r="X12" s="1">
        <v>2432.1468498871836</v>
      </c>
      <c r="Y12" s="1">
        <v>2415.0261812949652</v>
      </c>
      <c r="Z12" s="1">
        <v>2316.3969149027444</v>
      </c>
      <c r="AA12" s="1">
        <v>2261.2909311339131</v>
      </c>
      <c r="AB12" s="8">
        <v>20</v>
      </c>
      <c r="AC12" s="8">
        <f t="shared" si="0"/>
        <v>1042997.0716968755</v>
      </c>
    </row>
    <row r="13" spans="1:30" x14ac:dyDescent="0.25">
      <c r="A13" s="3">
        <v>2027</v>
      </c>
      <c r="B13" s="5" t="s">
        <v>59</v>
      </c>
      <c r="C13" s="7" t="s">
        <v>46</v>
      </c>
      <c r="D13" s="1">
        <v>2185.3620925500177</v>
      </c>
      <c r="E13" s="1">
        <v>2122.5211863544191</v>
      </c>
      <c r="F13" s="1">
        <v>2101.6504338523578</v>
      </c>
      <c r="G13" s="1">
        <v>2085.7874624822543</v>
      </c>
      <c r="H13" s="1">
        <v>2089.2621728934291</v>
      </c>
      <c r="I13" s="1">
        <v>2059.2192344408359</v>
      </c>
      <c r="J13" s="1">
        <v>1762.9879897860105</v>
      </c>
      <c r="K13" s="1">
        <v>1371.3914999520371</v>
      </c>
      <c r="L13" s="1">
        <v>1389.9307854899694</v>
      </c>
      <c r="M13" s="1">
        <v>1094.1380965181088</v>
      </c>
      <c r="N13" s="1">
        <v>818.48523391003766</v>
      </c>
      <c r="O13" s="1">
        <v>638.17137810692088</v>
      </c>
      <c r="P13" s="1">
        <v>0</v>
      </c>
      <c r="Q13" s="1">
        <v>0</v>
      </c>
      <c r="R13" s="1">
        <v>544.05058153242169</v>
      </c>
      <c r="S13" s="1">
        <v>980.07238721669148</v>
      </c>
      <c r="T13" s="1">
        <v>1397.3225103344507</v>
      </c>
      <c r="U13" s="1">
        <v>2006.0303016096072</v>
      </c>
      <c r="V13" s="1">
        <v>2339.9623416426211</v>
      </c>
      <c r="W13" s="1">
        <v>2370.8074246777273</v>
      </c>
      <c r="X13" s="1">
        <v>2400.4005624298447</v>
      </c>
      <c r="Y13" s="1">
        <v>2433.663324230009</v>
      </c>
      <c r="Z13" s="1">
        <v>2352.5417678992526</v>
      </c>
      <c r="AA13" s="1">
        <v>2307.8578166461816</v>
      </c>
      <c r="AB13" s="8">
        <v>4</v>
      </c>
      <c r="AC13" s="8">
        <f t="shared" si="0"/>
        <v>155406.46633822084</v>
      </c>
    </row>
    <row r="14" spans="1:30" x14ac:dyDescent="0.25">
      <c r="A14" s="3">
        <v>2027</v>
      </c>
      <c r="B14" s="5" t="s">
        <v>59</v>
      </c>
      <c r="C14" s="7" t="s">
        <v>52</v>
      </c>
      <c r="D14" s="1">
        <v>2139.2494986562151</v>
      </c>
      <c r="E14" s="1">
        <v>2057.2116617261745</v>
      </c>
      <c r="F14" s="1">
        <v>1997.6895304742566</v>
      </c>
      <c r="G14" s="1">
        <v>1966.1809314479842</v>
      </c>
      <c r="H14" s="1">
        <v>1946.6888909030467</v>
      </c>
      <c r="I14" s="1">
        <v>1919.3392261143954</v>
      </c>
      <c r="J14" s="1">
        <v>1502.0762270935616</v>
      </c>
      <c r="K14" s="1">
        <v>652.40958851412518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264.63569261880173</v>
      </c>
      <c r="S14" s="1">
        <v>560.16548708008861</v>
      </c>
      <c r="T14" s="1">
        <v>1084.023839481682</v>
      </c>
      <c r="U14" s="1">
        <v>1587.5923946703579</v>
      </c>
      <c r="V14" s="1">
        <v>1989.6561766148684</v>
      </c>
      <c r="W14" s="1">
        <v>2083.7161507442038</v>
      </c>
      <c r="X14" s="1">
        <v>2157.2101811217053</v>
      </c>
      <c r="Y14" s="1">
        <v>2189.1734456615486</v>
      </c>
      <c r="Z14" s="1">
        <v>2088.7983628038601</v>
      </c>
      <c r="AA14" s="1">
        <v>2023.1480098751781</v>
      </c>
      <c r="AB14" s="8">
        <v>7</v>
      </c>
      <c r="AC14" s="8">
        <f t="shared" si="0"/>
        <v>211462.75706921442</v>
      </c>
    </row>
    <row r="15" spans="1:30" x14ac:dyDescent="0.25">
      <c r="A15" s="3">
        <v>2027</v>
      </c>
      <c r="B15" s="5" t="s">
        <v>56</v>
      </c>
      <c r="C15" s="7" t="s">
        <v>45</v>
      </c>
      <c r="D15" s="1">
        <v>2229.4539335073869</v>
      </c>
      <c r="E15" s="1">
        <v>2178.0923822001369</v>
      </c>
      <c r="F15" s="1">
        <v>2149.8842789761857</v>
      </c>
      <c r="G15" s="1">
        <v>2131.7900853557758</v>
      </c>
      <c r="H15" s="1">
        <v>2139.9686001611472</v>
      </c>
      <c r="I15" s="1">
        <v>2179.9505083846893</v>
      </c>
      <c r="J15" s="1">
        <v>2263.7115252722815</v>
      </c>
      <c r="K15" s="1">
        <v>2390.2756746448113</v>
      </c>
      <c r="L15" s="1">
        <v>2392.7698870950167</v>
      </c>
      <c r="M15" s="1">
        <v>2025.9550813143728</v>
      </c>
      <c r="N15" s="1">
        <v>1785.6064593425699</v>
      </c>
      <c r="O15" s="1">
        <v>1641.5809830897119</v>
      </c>
      <c r="P15" s="1">
        <v>1478.8951366488245</v>
      </c>
      <c r="Q15" s="1">
        <v>1643.5274162612527</v>
      </c>
      <c r="R15" s="1">
        <v>2124.1685484735453</v>
      </c>
      <c r="S15" s="1">
        <v>2333.0872419929851</v>
      </c>
      <c r="T15" s="1">
        <v>2663.5609630344725</v>
      </c>
      <c r="U15" s="1">
        <v>2785.7070034642284</v>
      </c>
      <c r="V15" s="1">
        <v>2556.6304004357407</v>
      </c>
      <c r="W15" s="1">
        <v>2469.371139053173</v>
      </c>
      <c r="X15" s="1">
        <v>2473.0685342010979</v>
      </c>
      <c r="Y15" s="1">
        <v>2456.007348355562</v>
      </c>
      <c r="Z15" s="1">
        <v>2357.7207519727908</v>
      </c>
      <c r="AA15" s="1">
        <v>2302.8062242359219</v>
      </c>
      <c r="AB15" s="8">
        <v>22</v>
      </c>
      <c r="AC15" s="8">
        <f t="shared" si="0"/>
        <v>1169378.982364421</v>
      </c>
    </row>
    <row r="16" spans="1:30" x14ac:dyDescent="0.25">
      <c r="A16" s="3">
        <v>2027</v>
      </c>
      <c r="B16" s="5" t="s">
        <v>56</v>
      </c>
      <c r="C16" s="7" t="s">
        <v>46</v>
      </c>
      <c r="D16" s="1">
        <v>2240.8854489918799</v>
      </c>
      <c r="E16" s="1">
        <v>2176.9281350326082</v>
      </c>
      <c r="F16" s="1">
        <v>2155.6866006380246</v>
      </c>
      <c r="G16" s="1">
        <v>2139.5418137203005</v>
      </c>
      <c r="H16" s="1">
        <v>2143.0782545219868</v>
      </c>
      <c r="I16" s="1">
        <v>2112.5015845915623</v>
      </c>
      <c r="J16" s="1">
        <v>1811.0076077230124</v>
      </c>
      <c r="K16" s="1">
        <v>1412.4541628108127</v>
      </c>
      <c r="L16" s="1">
        <v>1431.3228102812909</v>
      </c>
      <c r="M16" s="1">
        <v>1130.2751803100423</v>
      </c>
      <c r="N16" s="1">
        <v>849.72517323787781</v>
      </c>
      <c r="O16" s="1">
        <v>666.20792969414094</v>
      </c>
      <c r="P16" s="1">
        <v>0</v>
      </c>
      <c r="Q16" s="1">
        <v>0</v>
      </c>
      <c r="R16" s="1">
        <v>570.41501865821419</v>
      </c>
      <c r="S16" s="1">
        <v>1014.18302277383</v>
      </c>
      <c r="T16" s="1">
        <v>1438.8458537127071</v>
      </c>
      <c r="U16" s="1">
        <v>2058.3677173036367</v>
      </c>
      <c r="V16" s="1">
        <v>2398.2322676170033</v>
      </c>
      <c r="W16" s="1">
        <v>2429.6253327271033</v>
      </c>
      <c r="X16" s="1">
        <v>2459.7442109679887</v>
      </c>
      <c r="Y16" s="1">
        <v>2493.5979064093599</v>
      </c>
      <c r="Z16" s="1">
        <v>2411.0351752010961</v>
      </c>
      <c r="AA16" s="1">
        <v>2365.5573857761942</v>
      </c>
      <c r="AB16" s="8">
        <v>4</v>
      </c>
      <c r="AC16" s="8">
        <f t="shared" si="0"/>
        <v>159636.87437080272</v>
      </c>
    </row>
    <row r="17" spans="1:29" x14ac:dyDescent="0.25">
      <c r="A17" s="3">
        <v>2027</v>
      </c>
      <c r="B17" s="5" t="s">
        <v>56</v>
      </c>
      <c r="C17" s="7" t="s">
        <v>52</v>
      </c>
      <c r="D17" s="1">
        <v>2193.561289894486</v>
      </c>
      <c r="E17" s="1">
        <v>2109.6658491303915</v>
      </c>
      <c r="F17" s="1">
        <v>2048.7959429570201</v>
      </c>
      <c r="G17" s="1">
        <v>2016.5738866219358</v>
      </c>
      <c r="H17" s="1">
        <v>1996.6404827914125</v>
      </c>
      <c r="I17" s="1">
        <v>1968.6715325111795</v>
      </c>
      <c r="J17" s="1">
        <v>1541.9603401225604</v>
      </c>
      <c r="K17" s="1">
        <v>673.05448139110194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276.50012147189886</v>
      </c>
      <c r="S17" s="1">
        <v>578.72167305175242</v>
      </c>
      <c r="T17" s="1">
        <v>1114.4418848140717</v>
      </c>
      <c r="U17" s="1">
        <v>1629.4128722685459</v>
      </c>
      <c r="V17" s="1">
        <v>2040.5806878007679</v>
      </c>
      <c r="W17" s="1">
        <v>2136.7704861077282</v>
      </c>
      <c r="X17" s="1">
        <v>2211.9286607108475</v>
      </c>
      <c r="Y17" s="1">
        <v>2244.6156776676239</v>
      </c>
      <c r="Z17" s="1">
        <v>2141.9677760017198</v>
      </c>
      <c r="AA17" s="1">
        <v>2074.8308852525529</v>
      </c>
      <c r="AB17" s="8">
        <v>4</v>
      </c>
      <c r="AC17" s="8">
        <f t="shared" si="0"/>
        <v>123994.77812227039</v>
      </c>
    </row>
    <row r="18" spans="1:29" x14ac:dyDescent="0.25">
      <c r="A18" s="3">
        <v>2027</v>
      </c>
      <c r="B18" s="5" t="s">
        <v>25</v>
      </c>
      <c r="C18" s="7" t="s">
        <v>45</v>
      </c>
      <c r="D18" s="1">
        <v>2271.0798386485667</v>
      </c>
      <c r="E18" s="1">
        <v>2219.8967340023901</v>
      </c>
      <c r="F18" s="1">
        <v>2191.7866348633511</v>
      </c>
      <c r="G18" s="1">
        <v>2173.7553063308169</v>
      </c>
      <c r="H18" s="1">
        <v>2181.9054063273984</v>
      </c>
      <c r="I18" s="1">
        <v>2221.7484044548814</v>
      </c>
      <c r="J18" s="1">
        <v>2305.2184084464202</v>
      </c>
      <c r="K18" s="1">
        <v>2431.3428329801882</v>
      </c>
      <c r="L18" s="1">
        <v>2433.828379728669</v>
      </c>
      <c r="M18" s="1">
        <v>2068.2880073648103</v>
      </c>
      <c r="N18" s="1">
        <v>1828.7744343351219</v>
      </c>
      <c r="O18" s="1">
        <v>1685.2493492249127</v>
      </c>
      <c r="P18" s="1">
        <v>1523.1287260952845</v>
      </c>
      <c r="Q18" s="1">
        <v>1687.1890198573242</v>
      </c>
      <c r="R18" s="1">
        <v>2166.1602491357116</v>
      </c>
      <c r="S18" s="1">
        <v>2374.3530914620796</v>
      </c>
      <c r="T18" s="1">
        <v>2703.6786397830897</v>
      </c>
      <c r="U18" s="1">
        <v>2825.4003053152173</v>
      </c>
      <c r="V18" s="1">
        <v>2597.1195885849443</v>
      </c>
      <c r="W18" s="1">
        <v>2510.1634941326029</v>
      </c>
      <c r="X18" s="1">
        <v>2513.848043332498</v>
      </c>
      <c r="Y18" s="1">
        <v>2496.8461335713209</v>
      </c>
      <c r="Z18" s="1">
        <v>2398.901016651424</v>
      </c>
      <c r="AA18" s="1">
        <v>2344.1772797662652</v>
      </c>
      <c r="AB18" s="8">
        <v>19</v>
      </c>
      <c r="AC18" s="8">
        <f t="shared" si="0"/>
        <v>1028922.9471635105</v>
      </c>
    </row>
    <row r="19" spans="1:29" x14ac:dyDescent="0.25">
      <c r="A19" s="3">
        <v>2027</v>
      </c>
      <c r="B19" s="5" t="s">
        <v>25</v>
      </c>
      <c r="C19" s="7" t="s">
        <v>46</v>
      </c>
      <c r="D19" s="1">
        <v>2297.3952123770787</v>
      </c>
      <c r="E19" s="1">
        <v>2232.3016569761962</v>
      </c>
      <c r="F19" s="1">
        <v>2210.6827535182729</v>
      </c>
      <c r="G19" s="1">
        <v>2194.2511444245333</v>
      </c>
      <c r="H19" s="1">
        <v>2197.8504122954932</v>
      </c>
      <c r="I19" s="1">
        <v>2166.7305288157395</v>
      </c>
      <c r="J19" s="1">
        <v>1859.8803240241059</v>
      </c>
      <c r="K19" s="1">
        <v>1454.2463294019176</v>
      </c>
      <c r="L19" s="1">
        <v>1473.4501901244212</v>
      </c>
      <c r="M19" s="1">
        <v>1167.0542618601917</v>
      </c>
      <c r="N19" s="1">
        <v>881.52010950821466</v>
      </c>
      <c r="O19" s="1">
        <v>694.74256804925653</v>
      </c>
      <c r="P19" s="1">
        <v>0</v>
      </c>
      <c r="Q19" s="1">
        <v>0</v>
      </c>
      <c r="R19" s="1">
        <v>597.24783639902353</v>
      </c>
      <c r="S19" s="1">
        <v>1048.8996549765498</v>
      </c>
      <c r="T19" s="1">
        <v>1481.1068850991037</v>
      </c>
      <c r="U19" s="1">
        <v>2111.6349397230742</v>
      </c>
      <c r="V19" s="1">
        <v>2457.5373950498747</v>
      </c>
      <c r="W19" s="1">
        <v>2489.4881774771843</v>
      </c>
      <c r="X19" s="1">
        <v>2520.1421363134477</v>
      </c>
      <c r="Y19" s="1">
        <v>2554.5972636995166</v>
      </c>
      <c r="Z19" s="1">
        <v>2470.5677542461385</v>
      </c>
      <c r="AA19" s="1">
        <v>2424.2820236207926</v>
      </c>
      <c r="AB19" s="8">
        <v>4</v>
      </c>
      <c r="AC19" s="8">
        <f t="shared" si="0"/>
        <v>163942.43823192053</v>
      </c>
    </row>
    <row r="20" spans="1:29" x14ac:dyDescent="0.25">
      <c r="A20" s="3">
        <v>2027</v>
      </c>
      <c r="B20" s="5" t="s">
        <v>25</v>
      </c>
      <c r="C20" s="7" t="s">
        <v>52</v>
      </c>
      <c r="D20" s="1">
        <v>2249.1028769856703</v>
      </c>
      <c r="E20" s="1">
        <v>2163.3077701863058</v>
      </c>
      <c r="F20" s="1">
        <v>2101.0595710774128</v>
      </c>
      <c r="G20" s="1">
        <v>2068.1079024362384</v>
      </c>
      <c r="H20" s="1">
        <v>2047.7231414177768</v>
      </c>
      <c r="I20" s="1">
        <v>2019.1208830053542</v>
      </c>
      <c r="J20" s="1">
        <v>1582.7475593773324</v>
      </c>
      <c r="K20" s="1">
        <v>694.16684188542467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288.6331996379364</v>
      </c>
      <c r="S20" s="1">
        <v>597.6980315132854</v>
      </c>
      <c r="T20" s="1">
        <v>1145.5486937675946</v>
      </c>
      <c r="U20" s="1">
        <v>1672.180301693299</v>
      </c>
      <c r="V20" s="1">
        <v>2092.6582957864634</v>
      </c>
      <c r="W20" s="1">
        <v>2191.0261444274938</v>
      </c>
      <c r="X20" s="1">
        <v>2267.8861449017936</v>
      </c>
      <c r="Y20" s="1">
        <v>2301.3133023875612</v>
      </c>
      <c r="Z20" s="1">
        <v>2196.3411178928113</v>
      </c>
      <c r="AA20" s="1">
        <v>2127.6840292650918</v>
      </c>
      <c r="AB20" s="8">
        <v>8</v>
      </c>
      <c r="AC20" s="8">
        <f t="shared" si="0"/>
        <v>254450.44646115875</v>
      </c>
    </row>
    <row r="21" spans="1:29" x14ac:dyDescent="0.25">
      <c r="A21" s="3">
        <v>2027</v>
      </c>
      <c r="B21" s="5" t="s">
        <v>26</v>
      </c>
      <c r="C21" s="7" t="s">
        <v>45</v>
      </c>
      <c r="D21" s="1">
        <v>2312.5611219160382</v>
      </c>
      <c r="E21" s="1">
        <v>2261.5558439494503</v>
      </c>
      <c r="F21" s="1">
        <v>2233.5434083973969</v>
      </c>
      <c r="G21" s="1">
        <v>2215.5747265390664</v>
      </c>
      <c r="H21" s="1">
        <v>2223.6965104491051</v>
      </c>
      <c r="I21" s="1">
        <v>2263.401081099184</v>
      </c>
      <c r="J21" s="1">
        <v>2346.5810832677057</v>
      </c>
      <c r="K21" s="1">
        <v>2472.2673107091932</v>
      </c>
      <c r="L21" s="1">
        <v>2474.7442218634033</v>
      </c>
      <c r="M21" s="1">
        <v>2110.4738551219543</v>
      </c>
      <c r="N21" s="1">
        <v>1871.7924298039511</v>
      </c>
      <c r="O21" s="1">
        <v>1728.7659973155251</v>
      </c>
      <c r="P21" s="1">
        <v>1567.2086337283431</v>
      </c>
      <c r="Q21" s="1">
        <v>1730.698928904058</v>
      </c>
      <c r="R21" s="1">
        <v>2208.0060570320788</v>
      </c>
      <c r="S21" s="1">
        <v>2415.4755700074638</v>
      </c>
      <c r="T21" s="1">
        <v>2743.6569347318273</v>
      </c>
      <c r="U21" s="1">
        <v>2864.9556997821414</v>
      </c>
      <c r="V21" s="1">
        <v>2637.4681041833605</v>
      </c>
      <c r="W21" s="1">
        <v>2550.8141233611582</v>
      </c>
      <c r="X21" s="1">
        <v>2554.4858712440068</v>
      </c>
      <c r="Y21" s="1">
        <v>2537.5430316228767</v>
      </c>
      <c r="Z21" s="1">
        <v>2439.9382077556224</v>
      </c>
      <c r="AA21" s="1">
        <v>2385.4045988529738</v>
      </c>
      <c r="AB21" s="8">
        <v>21</v>
      </c>
      <c r="AC21" s="8">
        <f t="shared" si="0"/>
        <v>1158162.8803843956</v>
      </c>
    </row>
    <row r="22" spans="1:29" x14ac:dyDescent="0.25">
      <c r="A22" s="3">
        <v>2027</v>
      </c>
      <c r="B22" s="5" t="s">
        <v>26</v>
      </c>
      <c r="C22" s="7" t="s">
        <v>46</v>
      </c>
      <c r="D22" s="1">
        <v>2354.9089068381627</v>
      </c>
      <c r="E22" s="1">
        <v>2288.658923960114</v>
      </c>
      <c r="F22" s="1">
        <v>2266.6559472428489</v>
      </c>
      <c r="G22" s="1">
        <v>2249.9324203988335</v>
      </c>
      <c r="H22" s="1">
        <v>2253.5956315010094</v>
      </c>
      <c r="I22" s="1">
        <v>2221.9228839455332</v>
      </c>
      <c r="J22" s="1">
        <v>1909.6212945120583</v>
      </c>
      <c r="K22" s="1">
        <v>1496.7809598126532</v>
      </c>
      <c r="L22" s="1">
        <v>1516.3259890589898</v>
      </c>
      <c r="M22" s="1">
        <v>1204.4867466578298</v>
      </c>
      <c r="N22" s="1">
        <v>913.87990258674608</v>
      </c>
      <c r="O22" s="1">
        <v>723.78414199333554</v>
      </c>
      <c r="P22" s="1">
        <v>0</v>
      </c>
      <c r="Q22" s="1">
        <v>0</v>
      </c>
      <c r="R22" s="1">
        <v>624.55735582764464</v>
      </c>
      <c r="S22" s="1">
        <v>1084.2330497319776</v>
      </c>
      <c r="T22" s="1">
        <v>1524.1187099796894</v>
      </c>
      <c r="U22" s="1">
        <v>2165.8484874624119</v>
      </c>
      <c r="V22" s="1">
        <v>2517.8961149386791</v>
      </c>
      <c r="W22" s="1">
        <v>2550.414522878044</v>
      </c>
      <c r="X22" s="1">
        <v>2581.613068349096</v>
      </c>
      <c r="Y22" s="1">
        <v>2616.6803124922403</v>
      </c>
      <c r="Z22" s="1">
        <v>2531.1579665663999</v>
      </c>
      <c r="AA22" s="1">
        <v>2484.0499411629266</v>
      </c>
      <c r="AB22" s="8">
        <v>4</v>
      </c>
      <c r="AC22" s="8">
        <f t="shared" si="0"/>
        <v>168324.4931115889</v>
      </c>
    </row>
    <row r="23" spans="1:29" x14ac:dyDescent="0.25">
      <c r="A23" s="3">
        <v>2027</v>
      </c>
      <c r="B23" s="5" t="s">
        <v>26</v>
      </c>
      <c r="C23" s="7" t="s">
        <v>52</v>
      </c>
      <c r="D23" s="1">
        <v>2305.9021065134534</v>
      </c>
      <c r="E23" s="1">
        <v>2218.1643190523664</v>
      </c>
      <c r="F23" s="1">
        <v>2154.5066179666451</v>
      </c>
      <c r="G23" s="1">
        <v>2120.8088162203458</v>
      </c>
      <c r="H23" s="1">
        <v>2099.9624778170923</v>
      </c>
      <c r="I23" s="1">
        <v>2070.7125711136155</v>
      </c>
      <c r="J23" s="1">
        <v>1624.4583341243424</v>
      </c>
      <c r="K23" s="1">
        <v>715.75725498654174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301.04101021237869</v>
      </c>
      <c r="S23" s="1">
        <v>617.10407653840468</v>
      </c>
      <c r="T23" s="1">
        <v>1177.3598621940091</v>
      </c>
      <c r="U23" s="1">
        <v>1715.9161250182933</v>
      </c>
      <c r="V23" s="1">
        <v>2145.9151104392618</v>
      </c>
      <c r="W23" s="1">
        <v>2246.5103275680672</v>
      </c>
      <c r="X23" s="1">
        <v>2325.1106887942988</v>
      </c>
      <c r="Y23" s="1">
        <v>2359.2947460013502</v>
      </c>
      <c r="Z23" s="1">
        <v>2251.945649344073</v>
      </c>
      <c r="AA23" s="1">
        <v>2181.7339406063843</v>
      </c>
      <c r="AB23" s="8">
        <v>5</v>
      </c>
      <c r="AC23" s="8">
        <f t="shared" si="0"/>
        <v>163161.02017255462</v>
      </c>
    </row>
    <row r="24" spans="1:29" x14ac:dyDescent="0.25">
      <c r="A24" s="3">
        <v>2027</v>
      </c>
      <c r="B24" s="5" t="s">
        <v>27</v>
      </c>
      <c r="C24" s="7" t="s">
        <v>45</v>
      </c>
      <c r="D24" s="1">
        <v>2353.8982857730225</v>
      </c>
      <c r="E24" s="1">
        <v>2303.0702166585543</v>
      </c>
      <c r="F24" s="1">
        <v>2275.1551053785602</v>
      </c>
      <c r="G24" s="1">
        <v>2257.2488525396011</v>
      </c>
      <c r="H24" s="1">
        <v>2265.3424187423507</v>
      </c>
      <c r="I24" s="1">
        <v>2304.9090428569075</v>
      </c>
      <c r="J24" s="1">
        <v>2387.8000507626534</v>
      </c>
      <c r="K24" s="1">
        <v>2513.0496035504552</v>
      </c>
      <c r="L24" s="1">
        <v>2515.5179091132454</v>
      </c>
      <c r="M24" s="1">
        <v>2152.5131355834224</v>
      </c>
      <c r="N24" s="1">
        <v>1914.6609668264891</v>
      </c>
      <c r="O24" s="1">
        <v>1772.1314544791653</v>
      </c>
      <c r="P24" s="1">
        <v>1611.1353934883846</v>
      </c>
      <c r="Q24" s="1">
        <v>1774.0576704374403</v>
      </c>
      <c r="R24" s="1">
        <v>2249.7064790413579</v>
      </c>
      <c r="S24" s="1">
        <v>2456.4551757461527</v>
      </c>
      <c r="T24" s="1">
        <v>2783.4963321381924</v>
      </c>
      <c r="U24" s="1">
        <v>2904.3736659999099</v>
      </c>
      <c r="V24" s="1">
        <v>2677.6764359729827</v>
      </c>
      <c r="W24" s="1">
        <v>2591.3235191403382</v>
      </c>
      <c r="X24" s="1">
        <v>2594.9825101820616</v>
      </c>
      <c r="Y24" s="1">
        <v>2578.0985354721838</v>
      </c>
      <c r="Z24" s="1">
        <v>2480.8328223693143</v>
      </c>
      <c r="AA24" s="1">
        <v>2426.488680882997</v>
      </c>
      <c r="AB24" s="8">
        <v>20</v>
      </c>
      <c r="AC24" s="8">
        <f t="shared" si="0"/>
        <v>1122878.485262715</v>
      </c>
    </row>
    <row r="25" spans="1:29" x14ac:dyDescent="0.25">
      <c r="A25" s="3">
        <v>2027</v>
      </c>
      <c r="B25" s="5" t="s">
        <v>27</v>
      </c>
      <c r="C25" s="7" t="s">
        <v>46</v>
      </c>
      <c r="D25" s="1">
        <v>2413.4443678347902</v>
      </c>
      <c r="E25" s="1">
        <v>2346.0174128265489</v>
      </c>
      <c r="F25" s="1">
        <v>2323.6235395497306</v>
      </c>
      <c r="G25" s="1">
        <v>2306.602908855135</v>
      </c>
      <c r="H25" s="1">
        <v>2310.3311991797796</v>
      </c>
      <c r="I25" s="1">
        <v>2278.0957655745869</v>
      </c>
      <c r="J25" s="1">
        <v>1960.2459442622498</v>
      </c>
      <c r="K25" s="1">
        <v>1540.0712443743282</v>
      </c>
      <c r="L25" s="1">
        <v>1559.9635032154119</v>
      </c>
      <c r="M25" s="1">
        <v>1242.5842428178375</v>
      </c>
      <c r="N25" s="1">
        <v>946.81458750581339</v>
      </c>
      <c r="O25" s="1">
        <v>753.34165755225285</v>
      </c>
      <c r="P25" s="1">
        <v>0</v>
      </c>
      <c r="Q25" s="1">
        <v>0</v>
      </c>
      <c r="R25" s="1">
        <v>652.3520458459036</v>
      </c>
      <c r="S25" s="1">
        <v>1120.1941642102738</v>
      </c>
      <c r="T25" s="1">
        <v>1567.8946666676197</v>
      </c>
      <c r="U25" s="1">
        <v>2221.0251725792418</v>
      </c>
      <c r="V25" s="1">
        <v>2579.327145008363</v>
      </c>
      <c r="W25" s="1">
        <v>2612.4232626798698</v>
      </c>
      <c r="X25" s="1">
        <v>2644.1760697058198</v>
      </c>
      <c r="Y25" s="1">
        <v>2679.8663052407524</v>
      </c>
      <c r="Z25" s="1">
        <v>2592.8246016744929</v>
      </c>
      <c r="AA25" s="1">
        <v>2544.8796729149785</v>
      </c>
      <c r="AB25" s="8">
        <v>5</v>
      </c>
      <c r="AC25" s="8">
        <f t="shared" si="0"/>
        <v>215980.49740037887</v>
      </c>
    </row>
    <row r="26" spans="1:29" x14ac:dyDescent="0.25">
      <c r="A26" s="3">
        <v>2027</v>
      </c>
      <c r="B26" s="5" t="s">
        <v>27</v>
      </c>
      <c r="C26" s="7" t="s">
        <v>52</v>
      </c>
      <c r="D26" s="1">
        <v>2363.9874555988754</v>
      </c>
      <c r="E26" s="1">
        <v>2274.2629988583672</v>
      </c>
      <c r="F26" s="1">
        <v>2209.1638800801638</v>
      </c>
      <c r="G26" s="1">
        <v>2174.7030503450051</v>
      </c>
      <c r="H26" s="1">
        <v>2153.3846829415616</v>
      </c>
      <c r="I26" s="1">
        <v>2123.4724630802616</v>
      </c>
      <c r="J26" s="1">
        <v>1667.1135766680532</v>
      </c>
      <c r="K26" s="1">
        <v>737.83654536253925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313.7297740317847</v>
      </c>
      <c r="S26" s="1">
        <v>636.94953763044475</v>
      </c>
      <c r="T26" s="1">
        <v>1209.8913390859557</v>
      </c>
      <c r="U26" s="1">
        <v>1760.6422698355923</v>
      </c>
      <c r="V26" s="1">
        <v>2200.3778328389071</v>
      </c>
      <c r="W26" s="1">
        <v>2303.2508533328269</v>
      </c>
      <c r="X26" s="1">
        <v>2383.630982746954</v>
      </c>
      <c r="Y26" s="1">
        <v>2418.5890783502823</v>
      </c>
      <c r="Z26" s="1">
        <v>2308.8092484972622</v>
      </c>
      <c r="AA26" s="1">
        <v>2237.0077179867517</v>
      </c>
      <c r="AB26" s="8">
        <v>6</v>
      </c>
      <c r="AC26" s="8">
        <f t="shared" si="0"/>
        <v>200860.81972362957</v>
      </c>
    </row>
    <row r="27" spans="1:29" x14ac:dyDescent="0.25">
      <c r="A27" s="3">
        <v>2027</v>
      </c>
      <c r="B27" s="5" t="s">
        <v>28</v>
      </c>
      <c r="C27" s="7" t="s">
        <v>45</v>
      </c>
      <c r="D27" s="1">
        <v>2395.0918309370195</v>
      </c>
      <c r="E27" s="1">
        <v>2344.4403549937356</v>
      </c>
      <c r="F27" s="1">
        <v>2316.6222298497642</v>
      </c>
      <c r="G27" s="1">
        <v>2298.7781891315476</v>
      </c>
      <c r="H27" s="1">
        <v>2306.8436356644606</v>
      </c>
      <c r="I27" s="1">
        <v>2346.2727925144295</v>
      </c>
      <c r="J27" s="1">
        <v>2428.8758102170505</v>
      </c>
      <c r="K27" s="1">
        <v>2553.6902055003166</v>
      </c>
      <c r="L27" s="1">
        <v>2556.149935370298</v>
      </c>
      <c r="M27" s="1">
        <v>2194.4063579714611</v>
      </c>
      <c r="N27" s="1">
        <v>1957.380564669776</v>
      </c>
      <c r="O27" s="1">
        <v>1815.3462460020719</v>
      </c>
      <c r="P27" s="1">
        <v>1654.9095374607123</v>
      </c>
      <c r="Q27" s="1">
        <v>1817.2657696623628</v>
      </c>
      <c r="R27" s="1">
        <v>2291.2620202811991</v>
      </c>
      <c r="S27" s="1">
        <v>2497.2924050645415</v>
      </c>
      <c r="T27" s="1">
        <v>2823.1973145772249</v>
      </c>
      <c r="U27" s="1">
        <v>2943.6546814387625</v>
      </c>
      <c r="V27" s="1">
        <v>2717.745070997757</v>
      </c>
      <c r="W27" s="1">
        <v>2631.6921721608805</v>
      </c>
      <c r="X27" s="1">
        <v>2635.3384506828752</v>
      </c>
      <c r="Y27" s="1">
        <v>2618.5131363684868</v>
      </c>
      <c r="Z27" s="1">
        <v>2521.5853558493959</v>
      </c>
      <c r="AA27" s="1">
        <v>2467.4300235082528</v>
      </c>
      <c r="AB27" s="8">
        <v>21</v>
      </c>
      <c r="AC27" s="8">
        <f t="shared" si="0"/>
        <v>1199809.4659083621</v>
      </c>
    </row>
    <row r="28" spans="1:29" x14ac:dyDescent="0.25">
      <c r="A28" s="3">
        <v>2027</v>
      </c>
      <c r="B28" s="5" t="s">
        <v>28</v>
      </c>
      <c r="C28" s="7" t="s">
        <v>46</v>
      </c>
      <c r="D28" s="1">
        <v>2473.019747684647</v>
      </c>
      <c r="E28" s="1">
        <v>2404.3949109046544</v>
      </c>
      <c r="F28" s="1">
        <v>2381.603196547901</v>
      </c>
      <c r="G28" s="1">
        <v>2364.280183768125</v>
      </c>
      <c r="H28" s="1">
        <v>2368.0747094880821</v>
      </c>
      <c r="I28" s="1">
        <v>2335.2665933657054</v>
      </c>
      <c r="J28" s="1">
        <v>2011.7699723861147</v>
      </c>
      <c r="K28" s="1">
        <v>1584.1306077526874</v>
      </c>
      <c r="L28" s="1">
        <v>1604.3762649381247</v>
      </c>
      <c r="M28" s="1">
        <v>1281.3585646804718</v>
      </c>
      <c r="N28" s="1">
        <v>980.33437757634567</v>
      </c>
      <c r="O28" s="1">
        <v>783.42428074953159</v>
      </c>
      <c r="P28" s="1">
        <v>0</v>
      </c>
      <c r="Q28" s="1">
        <v>0</v>
      </c>
      <c r="R28" s="1">
        <v>680.6405258109321</v>
      </c>
      <c r="S28" s="1">
        <v>1156.7941502425374</v>
      </c>
      <c r="T28" s="1">
        <v>1612.4483304394757</v>
      </c>
      <c r="U28" s="1">
        <v>2277.1821058078103</v>
      </c>
      <c r="V28" s="1">
        <v>2641.8495355158925</v>
      </c>
      <c r="W28" s="1">
        <v>2675.5336262920664</v>
      </c>
      <c r="X28" s="1">
        <v>2707.8505416739945</v>
      </c>
      <c r="Y28" s="1">
        <v>2744.1748364300738</v>
      </c>
      <c r="Z28" s="1">
        <v>2655.5867828904029</v>
      </c>
      <c r="AA28" s="1">
        <v>2606.7900826664659</v>
      </c>
      <c r="AB28" s="8">
        <v>3</v>
      </c>
      <c r="AC28" s="8">
        <f t="shared" si="0"/>
        <v>132992.6517828361</v>
      </c>
    </row>
    <row r="29" spans="1:29" x14ac:dyDescent="0.25">
      <c r="A29" s="3">
        <v>2027</v>
      </c>
      <c r="B29" s="5" t="s">
        <v>28</v>
      </c>
      <c r="C29" s="7" t="s">
        <v>52</v>
      </c>
      <c r="D29" s="1">
        <v>2423.3880461777494</v>
      </c>
      <c r="E29" s="1">
        <v>2331.6319354945404</v>
      </c>
      <c r="F29" s="1">
        <v>2265.058760632447</v>
      </c>
      <c r="G29" s="1">
        <v>2229.8176254694977</v>
      </c>
      <c r="H29" s="1">
        <v>2208.0165407918507</v>
      </c>
      <c r="I29" s="1">
        <v>2177.4270108456108</v>
      </c>
      <c r="J29" s="1">
        <v>1710.7346728356138</v>
      </c>
      <c r="K29" s="1">
        <v>760.41578278724569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326.70585279271495</v>
      </c>
      <c r="S29" s="1">
        <v>657.24436460038544</v>
      </c>
      <c r="T29" s="1">
        <v>1243.1594345732151</v>
      </c>
      <c r="U29" s="1">
        <v>1806.3811602493643</v>
      </c>
      <c r="V29" s="1">
        <v>2256.073768664558</v>
      </c>
      <c r="W29" s="1">
        <v>2361.2761694108262</v>
      </c>
      <c r="X29" s="1">
        <v>2443.4763667615171</v>
      </c>
      <c r="Y29" s="1">
        <v>2479.2260275115391</v>
      </c>
      <c r="Z29" s="1">
        <v>2366.9604247460684</v>
      </c>
      <c r="AA29" s="1">
        <v>2293.5330737195804</v>
      </c>
      <c r="AB29" s="8">
        <v>7</v>
      </c>
      <c r="AC29" s="8">
        <f t="shared" si="0"/>
        <v>240383.68912645028</v>
      </c>
    </row>
    <row r="30" spans="1:29" x14ac:dyDescent="0.25">
      <c r="A30" s="3">
        <v>2027</v>
      </c>
      <c r="B30" s="5" t="s">
        <v>29</v>
      </c>
      <c r="C30" s="7" t="s">
        <v>45</v>
      </c>
      <c r="D30" s="1">
        <v>2436.1422563858755</v>
      </c>
      <c r="E30" s="1">
        <v>2385.6667600719152</v>
      </c>
      <c r="F30" s="1">
        <v>2357.9452841027237</v>
      </c>
      <c r="G30" s="1">
        <v>2340.1632393601967</v>
      </c>
      <c r="H30" s="1">
        <v>2348.2006639201118</v>
      </c>
      <c r="I30" s="1">
        <v>2387.4928311112844</v>
      </c>
      <c r="J30" s="1">
        <v>2469.8088591820028</v>
      </c>
      <c r="K30" s="1">
        <v>2594.1896088388162</v>
      </c>
      <c r="L30" s="1">
        <v>2596.6407928107228</v>
      </c>
      <c r="M30" s="1">
        <v>2236.1540297391139</v>
      </c>
      <c r="N30" s="1">
        <v>1999.9517407967496</v>
      </c>
      <c r="O30" s="1">
        <v>1858.4108953454693</v>
      </c>
      <c r="P30" s="1">
        <v>1698.5315958819929</v>
      </c>
      <c r="Q30" s="1">
        <v>1860.3237499589864</v>
      </c>
      <c r="R30" s="1">
        <v>2332.6731841143105</v>
      </c>
      <c r="S30" s="1">
        <v>2537.987752624419</v>
      </c>
      <c r="T30" s="1">
        <v>2862.7603629473424</v>
      </c>
      <c r="U30" s="1">
        <v>2982.799221910052</v>
      </c>
      <c r="V30" s="1">
        <v>2757.6744946094809</v>
      </c>
      <c r="W30" s="1">
        <v>2671.9205714087038</v>
      </c>
      <c r="X30" s="1">
        <v>2675.5541815783799</v>
      </c>
      <c r="Y30" s="1">
        <v>2658.7873238542716</v>
      </c>
      <c r="Z30" s="1">
        <v>2562.1963018317342</v>
      </c>
      <c r="AA30" s="1">
        <v>2508.229122651655</v>
      </c>
      <c r="AB30" s="8">
        <v>22</v>
      </c>
      <c r="AC30" s="8">
        <f t="shared" si="0"/>
        <v>1278644.5061507989</v>
      </c>
    </row>
    <row r="31" spans="1:29" x14ac:dyDescent="0.25">
      <c r="A31" s="3">
        <v>2027</v>
      </c>
      <c r="B31" s="5" t="s">
        <v>29</v>
      </c>
      <c r="C31" s="7" t="s">
        <v>46</v>
      </c>
      <c r="D31" s="1">
        <v>2533.6535211926271</v>
      </c>
      <c r="E31" s="1">
        <v>2463.8095215265439</v>
      </c>
      <c r="F31" s="1">
        <v>2440.6128981957522</v>
      </c>
      <c r="G31" s="1">
        <v>2422.9821313250764</v>
      </c>
      <c r="H31" s="1">
        <v>2426.8440691533187</v>
      </c>
      <c r="I31" s="1">
        <v>2393.4530964528321</v>
      </c>
      <c r="J31" s="1">
        <v>2064.2093568995606</v>
      </c>
      <c r="K31" s="1">
        <v>1628.972713111008</v>
      </c>
      <c r="L31" s="1">
        <v>1649.5780469820761</v>
      </c>
      <c r="M31" s="1">
        <v>1320.8217364750894</v>
      </c>
      <c r="N31" s="1">
        <v>1014.4496675550899</v>
      </c>
      <c r="O31" s="1">
        <v>814.04134044880095</v>
      </c>
      <c r="P31" s="1">
        <v>0</v>
      </c>
      <c r="Q31" s="1">
        <v>0</v>
      </c>
      <c r="R31" s="1">
        <v>709.43156820809952</v>
      </c>
      <c r="S31" s="1">
        <v>1194.0443577790797</v>
      </c>
      <c r="T31" s="1">
        <v>1657.7935177450659</v>
      </c>
      <c r="U31" s="1">
        <v>2334.3367018651948</v>
      </c>
      <c r="V31" s="1">
        <v>2705.4826751578912</v>
      </c>
      <c r="W31" s="1">
        <v>2739.7651847464504</v>
      </c>
      <c r="X31" s="1">
        <v>2772.6562302199791</v>
      </c>
      <c r="Y31" s="1">
        <v>2809.6258486534321</v>
      </c>
      <c r="Z31" s="1">
        <v>2719.4639732717824</v>
      </c>
      <c r="AA31" s="1">
        <v>2669.8003693338524</v>
      </c>
      <c r="AB31" s="8">
        <v>4</v>
      </c>
      <c r="AC31" s="8">
        <f t="shared" si="0"/>
        <v>181943.31410519444</v>
      </c>
    </row>
    <row r="32" spans="1:29" x14ac:dyDescent="0.25">
      <c r="A32" s="3">
        <v>2027</v>
      </c>
      <c r="B32" s="5" t="s">
        <v>29</v>
      </c>
      <c r="C32" s="7" t="s">
        <v>52</v>
      </c>
      <c r="D32" s="1">
        <v>2484.1336596013684</v>
      </c>
      <c r="E32" s="1">
        <v>2390.299891712883</v>
      </c>
      <c r="F32" s="1">
        <v>2322.2192833360027</v>
      </c>
      <c r="G32" s="1">
        <v>2286.18017408884</v>
      </c>
      <c r="H32" s="1">
        <v>2263.8854418456403</v>
      </c>
      <c r="I32" s="1">
        <v>2232.6032653080661</v>
      </c>
      <c r="J32" s="1">
        <v>1755.3434926989562</v>
      </c>
      <c r="K32" s="1">
        <v>783.50628769022455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339.97575224126086</v>
      </c>
      <c r="S32" s="1">
        <v>677.99873255533487</v>
      </c>
      <c r="T32" s="1">
        <v>1277.1808281000303</v>
      </c>
      <c r="U32" s="1">
        <v>1853.1557281185333</v>
      </c>
      <c r="V32" s="1">
        <v>2313.0308418848867</v>
      </c>
      <c r="W32" s="1">
        <v>2420.6153676394556</v>
      </c>
      <c r="X32" s="1">
        <v>2504.6768451929488</v>
      </c>
      <c r="Y32" s="1">
        <v>2541.2359947027976</v>
      </c>
      <c r="Z32" s="1">
        <v>2426.4283330297117</v>
      </c>
      <c r="AA32" s="1">
        <v>2351.3383476152944</v>
      </c>
      <c r="AB32" s="8">
        <v>4</v>
      </c>
      <c r="AC32" s="8">
        <f t="shared" si="0"/>
        <v>140895.23306944896</v>
      </c>
    </row>
    <row r="33" spans="1:29" x14ac:dyDescent="0.25">
      <c r="A33" s="3">
        <v>2027</v>
      </c>
      <c r="B33" s="5" t="s">
        <v>30</v>
      </c>
      <c r="C33" s="7" t="s">
        <v>45</v>
      </c>
      <c r="D33" s="1">
        <v>2477.0500593638258</v>
      </c>
      <c r="E33" s="1">
        <v>2426.7499312689711</v>
      </c>
      <c r="F33" s="1">
        <v>2399.1247686840297</v>
      </c>
      <c r="G33" s="1">
        <v>2381.4045045230973</v>
      </c>
      <c r="H33" s="1">
        <v>2389.4140044674227</v>
      </c>
      <c r="I33" s="1">
        <v>2428.5696579462337</v>
      </c>
      <c r="J33" s="1">
        <v>2510.5996934799628</v>
      </c>
      <c r="K33" s="1">
        <v>2634.5483041356524</v>
      </c>
      <c r="L33" s="1">
        <v>2636.9909719007014</v>
      </c>
      <c r="M33" s="1">
        <v>2277.7566565763677</v>
      </c>
      <c r="N33" s="1">
        <v>2042.3750108725139</v>
      </c>
      <c r="O33" s="1">
        <v>1901.3259241519077</v>
      </c>
      <c r="P33" s="1">
        <v>1742.0020971466784</v>
      </c>
      <c r="Q33" s="1">
        <v>1903.2321328890794</v>
      </c>
      <c r="R33" s="1">
        <v>2373.9404721545557</v>
      </c>
      <c r="S33" s="1">
        <v>2578.5417113689577</v>
      </c>
      <c r="T33" s="1">
        <v>2902.1859564761662</v>
      </c>
      <c r="U33" s="1">
        <v>3021.807761572009</v>
      </c>
      <c r="V33" s="1">
        <v>2797.4651904736825</v>
      </c>
      <c r="W33" s="1">
        <v>2712.0092041708313</v>
      </c>
      <c r="X33" s="1">
        <v>2715.6301900021467</v>
      </c>
      <c r="Y33" s="1">
        <v>2698.9215857711943</v>
      </c>
      <c r="Z33" s="1">
        <v>2602.6661522371451</v>
      </c>
      <c r="AA33" s="1">
        <v>2548.8864725131207</v>
      </c>
      <c r="AB33" s="8">
        <v>20</v>
      </c>
      <c r="AC33" s="8">
        <f t="shared" si="0"/>
        <v>1182063.9682829252</v>
      </c>
    </row>
    <row r="34" spans="1:29" x14ac:dyDescent="0.25">
      <c r="A34" s="3">
        <v>2027</v>
      </c>
      <c r="B34" s="5" t="s">
        <v>30</v>
      </c>
      <c r="C34" s="7" t="s">
        <v>46</v>
      </c>
      <c r="D34" s="1">
        <v>2595.364491380019</v>
      </c>
      <c r="E34" s="1">
        <v>2524.2796696412797</v>
      </c>
      <c r="F34" s="1">
        <v>2500.6709438768139</v>
      </c>
      <c r="G34" s="1">
        <v>2482.7269554724976</v>
      </c>
      <c r="H34" s="1">
        <v>2486.657503027036</v>
      </c>
      <c r="I34" s="1">
        <v>2452.6733189389956</v>
      </c>
      <c r="J34" s="1">
        <v>2117.5803596778806</v>
      </c>
      <c r="K34" s="1">
        <v>1674.6114663471558</v>
      </c>
      <c r="L34" s="1">
        <v>1695.5828667837686</v>
      </c>
      <c r="M34" s="1">
        <v>1360.9859960489562</v>
      </c>
      <c r="N34" s="1">
        <v>1049.1710368681088</v>
      </c>
      <c r="O34" s="1">
        <v>845.20233124675178</v>
      </c>
      <c r="P34" s="1">
        <v>0</v>
      </c>
      <c r="Q34" s="1">
        <v>0</v>
      </c>
      <c r="R34" s="1">
        <v>738.73410137143105</v>
      </c>
      <c r="S34" s="1">
        <v>1231.9563384091357</v>
      </c>
      <c r="T34" s="1">
        <v>1703.9442904920179</v>
      </c>
      <c r="U34" s="1">
        <v>2392.5066848517467</v>
      </c>
      <c r="V34" s="1">
        <v>2770.2462970832307</v>
      </c>
      <c r="W34" s="1">
        <v>2805.1378567663851</v>
      </c>
      <c r="X34" s="1">
        <v>2838.6132321095001</v>
      </c>
      <c r="Y34" s="1">
        <v>2876.2396387966214</v>
      </c>
      <c r="Z34" s="1">
        <v>2784.4759816496025</v>
      </c>
      <c r="AA34" s="1">
        <v>2733.9300729142892</v>
      </c>
      <c r="AB34" s="8">
        <v>5</v>
      </c>
      <c r="AC34" s="8">
        <f t="shared" si="0"/>
        <v>233306.45716876612</v>
      </c>
    </row>
    <row r="35" spans="1:29" x14ac:dyDescent="0.25">
      <c r="A35" s="3">
        <v>2027</v>
      </c>
      <c r="B35" s="5" t="s">
        <v>30</v>
      </c>
      <c r="C35" s="7" t="s">
        <v>52</v>
      </c>
      <c r="D35" s="1">
        <v>2546.2547515678202</v>
      </c>
      <c r="E35" s="1">
        <v>2450.2962815477804</v>
      </c>
      <c r="F35" s="1">
        <v>2380.6741064514672</v>
      </c>
      <c r="G35" s="1">
        <v>2343.8189543877379</v>
      </c>
      <c r="H35" s="1">
        <v>2321.0193967902387</v>
      </c>
      <c r="I35" s="1">
        <v>2289.0288898864787</v>
      </c>
      <c r="J35" s="1">
        <v>1800.9624015396744</v>
      </c>
      <c r="K35" s="1">
        <v>807.11963683243641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353.54612543479533</v>
      </c>
      <c r="S35" s="1">
        <v>699.22304699996755</v>
      </c>
      <c r="T35" s="1">
        <v>1311.9725767875889</v>
      </c>
      <c r="U35" s="1">
        <v>1900.9894245540013</v>
      </c>
      <c r="V35" s="1">
        <v>2371.2776087581674</v>
      </c>
      <c r="W35" s="1">
        <v>2481.2981985900587</v>
      </c>
      <c r="X35" s="1">
        <v>2567.2631017925337</v>
      </c>
      <c r="Y35" s="1">
        <v>2604.6500695243226</v>
      </c>
      <c r="Z35" s="1">
        <v>2487.2427884501967</v>
      </c>
      <c r="AA35" s="1">
        <v>2410.4525211899304</v>
      </c>
      <c r="AB35" s="8">
        <v>6</v>
      </c>
      <c r="AC35" s="8">
        <f t="shared" si="0"/>
        <v>216762.53928651116</v>
      </c>
    </row>
    <row r="36" spans="1:29" x14ac:dyDescent="0.25">
      <c r="A36" s="3">
        <v>2027</v>
      </c>
      <c r="B36" s="5" t="s">
        <v>31</v>
      </c>
      <c r="C36" s="7" t="s">
        <v>45</v>
      </c>
      <c r="D36" s="1">
        <v>2517.8157353875181</v>
      </c>
      <c r="E36" s="1">
        <v>2467.6903662257882</v>
      </c>
      <c r="F36" s="1">
        <v>2440.161182401212</v>
      </c>
      <c r="G36" s="1">
        <v>2422.5024841761278</v>
      </c>
      <c r="H36" s="1">
        <v>2430.4841565240208</v>
      </c>
      <c r="I36" s="1">
        <v>2469.5037705833124</v>
      </c>
      <c r="J36" s="1">
        <v>2551.2488072107358</v>
      </c>
      <c r="K36" s="1">
        <v>2674.7667802561264</v>
      </c>
      <c r="L36" s="1">
        <v>2677.2009614023782</v>
      </c>
      <c r="M36" s="1">
        <v>2319.2147424162795</v>
      </c>
      <c r="N36" s="1">
        <v>2084.6508887705859</v>
      </c>
      <c r="O36" s="1">
        <v>1944.0918522515826</v>
      </c>
      <c r="P36" s="1">
        <v>1785.3215678134079</v>
      </c>
      <c r="Q36" s="1">
        <v>1945.9914382023353</v>
      </c>
      <c r="R36" s="1">
        <v>2415.0643842730283</v>
      </c>
      <c r="S36" s="1">
        <v>2618.9547725286866</v>
      </c>
      <c r="T36" s="1">
        <v>2941.4745727263253</v>
      </c>
      <c r="U36" s="1">
        <v>3060.6807729354846</v>
      </c>
      <c r="V36" s="1">
        <v>2837.1176405754795</v>
      </c>
      <c r="W36" s="1">
        <v>2751.9585560412929</v>
      </c>
      <c r="X36" s="1">
        <v>2755.5669613952873</v>
      </c>
      <c r="Y36" s="1">
        <v>2738.9164082659922</v>
      </c>
      <c r="Z36" s="1">
        <v>2642.9953972773524</v>
      </c>
      <c r="AA36" s="1">
        <v>2589.4025655755563</v>
      </c>
      <c r="AB36" s="8">
        <v>20</v>
      </c>
      <c r="AC36" s="8">
        <f t="shared" si="0"/>
        <v>1201655.5353043177</v>
      </c>
    </row>
    <row r="37" spans="1:29" x14ac:dyDescent="0.25">
      <c r="A37" s="3">
        <v>2027</v>
      </c>
      <c r="B37" s="5" t="s">
        <v>31</v>
      </c>
      <c r="C37" s="7" t="s">
        <v>46</v>
      </c>
      <c r="D37" s="1">
        <v>2658.1717953154725</v>
      </c>
      <c r="E37" s="1">
        <v>2585.8241075285982</v>
      </c>
      <c r="F37" s="1">
        <v>2561.7959580745401</v>
      </c>
      <c r="G37" s="1">
        <v>2543.5331835613238</v>
      </c>
      <c r="H37" s="1">
        <v>2547.5335597365975</v>
      </c>
      <c r="I37" s="1">
        <v>2512.9456254919328</v>
      </c>
      <c r="J37" s="1">
        <v>2171.8995314986914</v>
      </c>
      <c r="K37" s="1">
        <v>1721.0610204059176</v>
      </c>
      <c r="L37" s="1">
        <v>1742.4049908081779</v>
      </c>
      <c r="M37" s="1">
        <v>1401.8637986623025</v>
      </c>
      <c r="N37" s="1">
        <v>1084.5092528915452</v>
      </c>
      <c r="O37" s="1">
        <v>876.9169164174873</v>
      </c>
      <c r="P37" s="1">
        <v>0</v>
      </c>
      <c r="Q37" s="1">
        <v>0</v>
      </c>
      <c r="R37" s="1">
        <v>768.55721225235652</v>
      </c>
      <c r="S37" s="1">
        <v>1270.5418489431027</v>
      </c>
      <c r="T37" s="1">
        <v>1750.914960406491</v>
      </c>
      <c r="U37" s="1">
        <v>2451.7100937474793</v>
      </c>
      <c r="V37" s="1">
        <v>2836.1604850124404</v>
      </c>
      <c r="W37" s="1">
        <v>2871.6719149437367</v>
      </c>
      <c r="X37" s="1">
        <v>2905.7420011398208</v>
      </c>
      <c r="Y37" s="1">
        <v>2944.0368643322299</v>
      </c>
      <c r="Z37" s="1">
        <v>2850.6429687710306</v>
      </c>
      <c r="AA37" s="1">
        <v>2799.1990805451228</v>
      </c>
      <c r="AB37" s="8">
        <v>4</v>
      </c>
      <c r="AC37" s="8">
        <f t="shared" si="0"/>
        <v>191430.5486819456</v>
      </c>
    </row>
    <row r="38" spans="1:29" x14ac:dyDescent="0.25">
      <c r="A38" s="3">
        <v>2027</v>
      </c>
      <c r="B38" s="5" t="s">
        <v>31</v>
      </c>
      <c r="C38" s="7" t="s">
        <v>52</v>
      </c>
      <c r="D38" s="1">
        <v>2609.7824673913938</v>
      </c>
      <c r="E38" s="1">
        <v>2511.6511850631605</v>
      </c>
      <c r="F38" s="1">
        <v>2440.4525371558398</v>
      </c>
      <c r="G38" s="1">
        <v>2402.7628644082388</v>
      </c>
      <c r="H38" s="1">
        <v>2379.4470505661488</v>
      </c>
      <c r="I38" s="1">
        <v>2346.7321743896055</v>
      </c>
      <c r="J38" s="1">
        <v>1847.614271062183</v>
      </c>
      <c r="K38" s="1">
        <v>831.26766911041682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367.42377607757976</v>
      </c>
      <c r="S38" s="1">
        <v>720.92794905347557</v>
      </c>
      <c r="T38" s="1">
        <v>1347.5521239858585</v>
      </c>
      <c r="U38" s="1">
        <v>1949.9062316762033</v>
      </c>
      <c r="V38" s="1">
        <v>2430.8432721493718</v>
      </c>
      <c r="W38" s="1">
        <v>2543.3550864838162</v>
      </c>
      <c r="X38" s="1">
        <v>2631.2665150916255</v>
      </c>
      <c r="Y38" s="1">
        <v>2669.5000455461909</v>
      </c>
      <c r="Z38" s="1">
        <v>2549.4342812205491</v>
      </c>
      <c r="AA38" s="1">
        <v>2470.905232195445</v>
      </c>
      <c r="AB38" s="8">
        <v>6</v>
      </c>
      <c r="AC38" s="8">
        <f t="shared" si="0"/>
        <v>222304.94839576259</v>
      </c>
    </row>
    <row r="39" spans="1:29" x14ac:dyDescent="0.25">
      <c r="A39" s="3">
        <v>2027</v>
      </c>
      <c r="B39" s="5" t="s">
        <v>32</v>
      </c>
      <c r="C39" s="7" t="s">
        <v>45</v>
      </c>
      <c r="D39" s="1">
        <v>2558.4397782520145</v>
      </c>
      <c r="E39" s="1">
        <v>2508.4885608542859</v>
      </c>
      <c r="F39" s="1">
        <v>2481.0550223287814</v>
      </c>
      <c r="G39" s="1">
        <v>2463.4576761395483</v>
      </c>
      <c r="H39" s="1">
        <v>2471.4116175730901</v>
      </c>
      <c r="I39" s="1">
        <v>2510.2956648578579</v>
      </c>
      <c r="J39" s="1">
        <v>2591.756692757464</v>
      </c>
      <c r="K39" s="1">
        <v>2714.8455243670619</v>
      </c>
      <c r="L39" s="1">
        <v>2717.2712483797782</v>
      </c>
      <c r="M39" s="1">
        <v>2360.528789441079</v>
      </c>
      <c r="N39" s="1">
        <v>2126.7798865791187</v>
      </c>
      <c r="O39" s="1">
        <v>1986.7091976686306</v>
      </c>
      <c r="P39" s="1">
        <v>1828.4905326113853</v>
      </c>
      <c r="Q39" s="1">
        <v>1988.6021838426691</v>
      </c>
      <c r="R39" s="1">
        <v>2456.0454186041084</v>
      </c>
      <c r="S39" s="1">
        <v>2659.2274256274404</v>
      </c>
      <c r="T39" s="1">
        <v>2980.6266876012419</v>
      </c>
      <c r="U39" s="1">
        <v>3099.4187268696746</v>
      </c>
      <c r="V39" s="1">
        <v>2876.6323252254169</v>
      </c>
      <c r="W39" s="1">
        <v>2791.7691109270086</v>
      </c>
      <c r="X39" s="1">
        <v>2795.3649795123338</v>
      </c>
      <c r="Y39" s="1">
        <v>2778.7722757963706</v>
      </c>
      <c r="Z39" s="1">
        <v>2683.1845254609252</v>
      </c>
      <c r="AA39" s="1">
        <v>2629.7778926108235</v>
      </c>
      <c r="AB39" s="8">
        <v>22</v>
      </c>
      <c r="AC39" s="8">
        <f t="shared" si="0"/>
        <v>1343296.9383655384</v>
      </c>
    </row>
    <row r="40" spans="1:29" x14ac:dyDescent="0.25">
      <c r="A40" s="3">
        <v>2027</v>
      </c>
      <c r="B40" s="5" t="s">
        <v>32</v>
      </c>
      <c r="C40" s="7" t="s">
        <v>46</v>
      </c>
      <c r="D40" s="1">
        <v>2722.0949100495586</v>
      </c>
      <c r="E40" s="1">
        <v>2648.4619206141424</v>
      </c>
      <c r="F40" s="1">
        <v>2624.0068961479114</v>
      </c>
      <c r="G40" s="1">
        <v>2605.4196720923969</v>
      </c>
      <c r="H40" s="1">
        <v>2609.4911174372619</v>
      </c>
      <c r="I40" s="1">
        <v>2574.2887070391189</v>
      </c>
      <c r="J40" s="1">
        <v>2227.1837171744633</v>
      </c>
      <c r="K40" s="1">
        <v>1768.3357796679425</v>
      </c>
      <c r="L40" s="1">
        <v>1790.058938972898</v>
      </c>
      <c r="M40" s="1">
        <v>1443.4678208507994</v>
      </c>
      <c r="N40" s="1">
        <v>1120.475274290673</v>
      </c>
      <c r="O40" s="1">
        <v>909.19493090918263</v>
      </c>
      <c r="P40" s="1">
        <v>0</v>
      </c>
      <c r="Q40" s="1">
        <v>0</v>
      </c>
      <c r="R40" s="1">
        <v>798.91014923764646</v>
      </c>
      <c r="S40" s="1">
        <v>1309.8128550584242</v>
      </c>
      <c r="T40" s="1">
        <v>1798.7200934713555</v>
      </c>
      <c r="U40" s="1">
        <v>2511.9652880060994</v>
      </c>
      <c r="V40" s="1">
        <v>2903.2456794658292</v>
      </c>
      <c r="W40" s="1">
        <v>2939.387992025569</v>
      </c>
      <c r="X40" s="1">
        <v>2974.0633544826273</v>
      </c>
      <c r="Y40" s="1">
        <v>3013.0385497256875</v>
      </c>
      <c r="Z40" s="1">
        <v>2917.9854535514405</v>
      </c>
      <c r="AA40" s="1">
        <v>2865.6276326710581</v>
      </c>
      <c r="AB40" s="8">
        <v>3</v>
      </c>
      <c r="AC40" s="8">
        <f t="shared" si="0"/>
        <v>147225.71019882627</v>
      </c>
    </row>
    <row r="41" spans="1:29" x14ac:dyDescent="0.25">
      <c r="A41" s="3">
        <v>2027</v>
      </c>
      <c r="B41" s="5" t="s">
        <v>32</v>
      </c>
      <c r="C41" s="7" t="s">
        <v>52</v>
      </c>
      <c r="D41" s="1">
        <v>2674.7486576177384</v>
      </c>
      <c r="E41" s="1">
        <v>2574.3953634335735</v>
      </c>
      <c r="F41" s="1">
        <v>2501.5845462360644</v>
      </c>
      <c r="G41" s="1">
        <v>2463.0414565381861</v>
      </c>
      <c r="H41" s="1">
        <v>2439.1976967286264</v>
      </c>
      <c r="I41" s="1">
        <v>2405.7420491996158</v>
      </c>
      <c r="J41" s="1">
        <v>1895.3224908607804</v>
      </c>
      <c r="K41" s="1">
        <v>855.9624914918794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381.61566193190055</v>
      </c>
      <c r="S41" s="1">
        <v>743.12432078464883</v>
      </c>
      <c r="T41" s="1">
        <v>1383.9373080190653</v>
      </c>
      <c r="U41" s="1">
        <v>1999.9306746388943</v>
      </c>
      <c r="V41" s="1">
        <v>2491.7576961714522</v>
      </c>
      <c r="W41" s="1">
        <v>2606.8171444453706</v>
      </c>
      <c r="X41" s="1">
        <v>2696.719174133731</v>
      </c>
      <c r="Y41" s="1">
        <v>2735.8184362484617</v>
      </c>
      <c r="Z41" s="1">
        <v>2613.0339919515268</v>
      </c>
      <c r="AA41" s="1">
        <v>2532.726789479032</v>
      </c>
      <c r="AB41" s="8">
        <v>6</v>
      </c>
      <c r="AC41" s="8">
        <f t="shared" si="0"/>
        <v>227972.85569946328</v>
      </c>
    </row>
    <row r="42" spans="1:29" x14ac:dyDescent="0.25">
      <c r="B42" s="5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8"/>
      <c r="AC42" s="8"/>
    </row>
    <row r="43" spans="1:29" x14ac:dyDescent="0.25">
      <c r="B43" s="5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8"/>
      <c r="AC43" s="8"/>
    </row>
    <row r="44" spans="1:29" x14ac:dyDescent="0.25">
      <c r="B44" s="5"/>
      <c r="C44" s="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8"/>
      <c r="AC44" s="8"/>
    </row>
    <row r="45" spans="1:29" x14ac:dyDescent="0.25">
      <c r="B45" s="5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8"/>
      <c r="AC45" s="8"/>
    </row>
    <row r="46" spans="1:29" x14ac:dyDescent="0.25">
      <c r="B46" s="5"/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8"/>
      <c r="AC46" s="8"/>
    </row>
    <row r="47" spans="1:29" x14ac:dyDescent="0.25">
      <c r="B47" s="5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8"/>
      <c r="AC47" s="8"/>
    </row>
    <row r="48" spans="1:29" x14ac:dyDescent="0.25">
      <c r="B48" s="5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8"/>
      <c r="AC48" s="8"/>
    </row>
    <row r="49" spans="2:29" x14ac:dyDescent="0.25">
      <c r="B49" s="5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8"/>
      <c r="AC49" s="8"/>
    </row>
    <row r="50" spans="2:29" x14ac:dyDescent="0.25">
      <c r="B50" s="5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8"/>
      <c r="AC50" s="8"/>
    </row>
    <row r="51" spans="2:29" x14ac:dyDescent="0.25">
      <c r="B51" s="5"/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8"/>
      <c r="AC51" s="8"/>
    </row>
    <row r="52" spans="2:29" x14ac:dyDescent="0.25">
      <c r="B52" s="5"/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8"/>
      <c r="AC52" s="8"/>
    </row>
    <row r="53" spans="2:29" x14ac:dyDescent="0.25">
      <c r="B53" s="5"/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8"/>
      <c r="AC53" s="8"/>
    </row>
    <row r="54" spans="2:29" x14ac:dyDescent="0.25">
      <c r="B54" s="5"/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8"/>
      <c r="AC54" s="8"/>
    </row>
    <row r="55" spans="2:29" x14ac:dyDescent="0.25">
      <c r="B55" s="5"/>
      <c r="C55" s="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8"/>
      <c r="AC55" s="8"/>
    </row>
    <row r="56" spans="2:29" x14ac:dyDescent="0.25">
      <c r="B56" s="5"/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8"/>
      <c r="AC56" s="8"/>
    </row>
    <row r="57" spans="2:29" x14ac:dyDescent="0.25">
      <c r="B57" s="5"/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8"/>
      <c r="AC57" s="8"/>
    </row>
    <row r="58" spans="2:29" x14ac:dyDescent="0.25">
      <c r="B58" s="5"/>
      <c r="C58" s="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8"/>
      <c r="AC58" s="8"/>
    </row>
    <row r="59" spans="2:29" x14ac:dyDescent="0.25">
      <c r="B59" s="5"/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8"/>
      <c r="AC59" s="8"/>
    </row>
    <row r="60" spans="2:29" x14ac:dyDescent="0.25">
      <c r="B60" s="5"/>
      <c r="C60" s="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8"/>
      <c r="AC60" s="8"/>
    </row>
    <row r="61" spans="2:29" x14ac:dyDescent="0.25">
      <c r="B61" s="5"/>
      <c r="C61" s="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8"/>
      <c r="AC61" s="8"/>
    </row>
    <row r="62" spans="2:29" x14ac:dyDescent="0.25">
      <c r="B62" s="5"/>
      <c r="C62" s="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8"/>
      <c r="AC62" s="8"/>
    </row>
    <row r="63" spans="2:29" x14ac:dyDescent="0.25">
      <c r="B63" s="5"/>
      <c r="C63" s="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8"/>
      <c r="AC63" s="8"/>
    </row>
    <row r="64" spans="2:29" x14ac:dyDescent="0.25">
      <c r="B64" s="5"/>
      <c r="C64" s="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8"/>
      <c r="AC64" s="8"/>
    </row>
    <row r="65" spans="2:29" x14ac:dyDescent="0.25">
      <c r="B65" s="5"/>
      <c r="C65" s="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8"/>
      <c r="AC65" s="8"/>
    </row>
    <row r="66" spans="2:29" x14ac:dyDescent="0.25">
      <c r="B66" s="5"/>
      <c r="C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8"/>
      <c r="AC66" s="8"/>
    </row>
    <row r="67" spans="2:29" x14ac:dyDescent="0.25">
      <c r="B67" s="5"/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8"/>
      <c r="AC67" s="8"/>
    </row>
    <row r="68" spans="2:29" x14ac:dyDescent="0.25">
      <c r="B68" s="5"/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8"/>
      <c r="AC68" s="8"/>
    </row>
    <row r="69" spans="2:29" x14ac:dyDescent="0.25">
      <c r="B69" s="5"/>
      <c r="C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8"/>
      <c r="AC69" s="8"/>
    </row>
    <row r="70" spans="2:29" x14ac:dyDescent="0.25">
      <c r="B70" s="5"/>
      <c r="C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8"/>
      <c r="AC70" s="8"/>
    </row>
    <row r="71" spans="2:29" x14ac:dyDescent="0.25">
      <c r="B71" s="5"/>
      <c r="C71" s="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8"/>
      <c r="AC71" s="8"/>
    </row>
    <row r="72" spans="2:29" x14ac:dyDescent="0.25">
      <c r="B72" s="5"/>
      <c r="C72" s="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8"/>
      <c r="AC72" s="8"/>
    </row>
    <row r="73" spans="2:29" x14ac:dyDescent="0.25">
      <c r="B73" s="5"/>
      <c r="C73" s="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8"/>
      <c r="AC73" s="8"/>
    </row>
    <row r="74" spans="2:29" x14ac:dyDescent="0.25">
      <c r="B74" s="5"/>
      <c r="C74" s="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8"/>
      <c r="AC74" s="8"/>
    </row>
    <row r="75" spans="2:29" x14ac:dyDescent="0.25">
      <c r="B75" s="5"/>
      <c r="C75" s="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8"/>
      <c r="AC75" s="8"/>
    </row>
    <row r="76" spans="2:29" x14ac:dyDescent="0.25">
      <c r="B76" s="5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8"/>
      <c r="AC76" s="8"/>
    </row>
    <row r="77" spans="2:29" x14ac:dyDescent="0.25">
      <c r="B77" s="5"/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8"/>
      <c r="AC77" s="8"/>
    </row>
    <row r="78" spans="2:29" x14ac:dyDescent="0.25">
      <c r="B78" s="5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8"/>
      <c r="AC78" s="8"/>
    </row>
    <row r="79" spans="2:29" x14ac:dyDescent="0.25">
      <c r="B79" s="5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8"/>
      <c r="AC79" s="8"/>
    </row>
    <row r="80" spans="2:29" x14ac:dyDescent="0.25">
      <c r="B80" s="5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8"/>
      <c r="AC80" s="8"/>
    </row>
    <row r="81" spans="2:29" x14ac:dyDescent="0.25">
      <c r="B81" s="5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8"/>
      <c r="AC81" s="8"/>
    </row>
    <row r="82" spans="2:29" x14ac:dyDescent="0.25">
      <c r="B82" s="5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8"/>
      <c r="AC82" s="8"/>
    </row>
    <row r="83" spans="2:29" x14ac:dyDescent="0.25">
      <c r="B83" s="5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8"/>
      <c r="AC83" s="8"/>
    </row>
    <row r="84" spans="2:29" x14ac:dyDescent="0.25">
      <c r="B84" s="5"/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8"/>
      <c r="AC84" s="8"/>
    </row>
    <row r="85" spans="2:29" x14ac:dyDescent="0.25">
      <c r="B85" s="5"/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8"/>
      <c r="AC85" s="8"/>
    </row>
    <row r="86" spans="2:29" x14ac:dyDescent="0.25">
      <c r="B86" s="5"/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8"/>
      <c r="AC86" s="8"/>
    </row>
    <row r="87" spans="2:29" x14ac:dyDescent="0.25">
      <c r="B87" s="5"/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8"/>
      <c r="AC87" s="8"/>
    </row>
    <row r="88" spans="2:29" x14ac:dyDescent="0.25">
      <c r="B88" s="5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8"/>
      <c r="AC88" s="8"/>
    </row>
    <row r="89" spans="2:29" x14ac:dyDescent="0.25">
      <c r="B89" s="5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8"/>
      <c r="AC89" s="8"/>
    </row>
    <row r="90" spans="2:29" x14ac:dyDescent="0.25">
      <c r="B90" s="5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8"/>
      <c r="AC90" s="8"/>
    </row>
    <row r="91" spans="2:29" x14ac:dyDescent="0.25">
      <c r="B91" s="5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8"/>
      <c r="AC91" s="8"/>
    </row>
    <row r="92" spans="2:29" x14ac:dyDescent="0.25">
      <c r="B92" s="5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8"/>
      <c r="AC92" s="8"/>
    </row>
    <row r="93" spans="2:29" x14ac:dyDescent="0.25">
      <c r="B93" s="5"/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8"/>
      <c r="AC93" s="8"/>
    </row>
  </sheetData>
  <mergeCells count="3">
    <mergeCell ref="B1:AB1"/>
    <mergeCell ref="B2:AB2"/>
    <mergeCell ref="B3:AB3"/>
  </mergeCells>
  <printOptions horizontalCentered="1"/>
  <pageMargins left="0" right="0" top="0" bottom="0" header="0" footer="0"/>
  <pageSetup scale="85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B719-F088-48D3-9AF8-8478ADD8215B}">
  <dimension ref="A2:U146"/>
  <sheetViews>
    <sheetView showGridLines="0" zoomScaleNormal="100" workbookViewId="0">
      <selection activeCell="E10" sqref="E10:E21"/>
    </sheetView>
  </sheetViews>
  <sheetFormatPr baseColWidth="10" defaultRowHeight="15" customHeight="1" x14ac:dyDescent="0.25"/>
  <cols>
    <col min="1" max="1" width="4.140625" style="3" customWidth="1"/>
    <col min="2" max="2" width="10" style="3" customWidth="1"/>
    <col min="3" max="3" width="18.28515625" style="3" bestFit="1" customWidth="1"/>
    <col min="4" max="7" width="16.85546875" style="3" customWidth="1"/>
    <col min="8" max="8" width="8.140625" style="3" bestFit="1" customWidth="1"/>
    <col min="9" max="16" width="14.5703125" style="3" customWidth="1"/>
    <col min="17" max="20" width="17" style="3" customWidth="1"/>
    <col min="21" max="16384" width="11.42578125" style="3"/>
  </cols>
  <sheetData>
    <row r="2" spans="2:21" ht="15" customHeight="1" x14ac:dyDescent="0.25">
      <c r="B2" s="11" t="s">
        <v>67</v>
      </c>
      <c r="C2" s="11"/>
      <c r="D2" s="11"/>
      <c r="E2" s="11"/>
      <c r="F2" s="11"/>
      <c r="G2" s="11"/>
      <c r="H2" s="12"/>
    </row>
    <row r="3" spans="2:21" ht="15" customHeight="1" x14ac:dyDescent="0.25">
      <c r="B3" s="42" t="s">
        <v>34</v>
      </c>
      <c r="C3" s="42"/>
      <c r="D3" s="42"/>
      <c r="E3" s="42"/>
      <c r="F3" s="42"/>
      <c r="G3" s="42"/>
      <c r="H3" s="12"/>
    </row>
    <row r="4" spans="2:21" ht="15" customHeight="1" x14ac:dyDescent="0.25">
      <c r="B4" s="11" t="s">
        <v>42</v>
      </c>
      <c r="C4" s="11"/>
      <c r="D4" s="11"/>
      <c r="E4" s="11"/>
      <c r="F4" s="11"/>
      <c r="G4" s="11"/>
      <c r="H4" s="12"/>
    </row>
    <row r="5" spans="2:21" ht="15" customHeight="1" x14ac:dyDescent="0.25">
      <c r="B5" s="11"/>
      <c r="C5" s="11"/>
      <c r="D5" s="11"/>
      <c r="E5" s="11"/>
      <c r="F5" s="11"/>
      <c r="G5" s="11"/>
      <c r="H5" s="12"/>
    </row>
    <row r="6" spans="2:21" ht="15" customHeight="1" thickBot="1" x14ac:dyDescent="0.3">
      <c r="B6" s="13"/>
      <c r="C6" s="13"/>
      <c r="D6" s="13"/>
      <c r="E6" s="13"/>
      <c r="F6" s="13"/>
      <c r="G6" s="13"/>
      <c r="H6" s="13"/>
      <c r="U6" s="13"/>
    </row>
    <row r="7" spans="2:21" ht="15" customHeight="1" thickBot="1" x14ac:dyDescent="0.3">
      <c r="B7" s="39" t="s">
        <v>69</v>
      </c>
      <c r="C7" s="40"/>
      <c r="D7" s="40"/>
      <c r="E7" s="40"/>
      <c r="F7" s="40"/>
      <c r="G7" s="41"/>
      <c r="H7" s="13"/>
      <c r="U7" s="13"/>
    </row>
    <row r="8" spans="2:21" ht="15" customHeight="1" thickBot="1" x14ac:dyDescent="0.3">
      <c r="B8" s="14" t="s">
        <v>37</v>
      </c>
      <c r="C8" s="14" t="s">
        <v>33</v>
      </c>
      <c r="D8" s="15" t="s">
        <v>68</v>
      </c>
      <c r="E8" s="16"/>
      <c r="F8" s="16"/>
      <c r="G8" s="17"/>
      <c r="H8" s="13"/>
      <c r="U8" s="13"/>
    </row>
    <row r="9" spans="2:21" ht="30.75" thickBot="1" x14ac:dyDescent="0.3">
      <c r="B9" s="18"/>
      <c r="C9" s="18"/>
      <c r="D9" s="19" t="s">
        <v>39</v>
      </c>
      <c r="E9" s="20" t="s">
        <v>35</v>
      </c>
      <c r="F9" s="20" t="s">
        <v>40</v>
      </c>
      <c r="G9" s="21" t="s">
        <v>36</v>
      </c>
      <c r="H9" s="22"/>
      <c r="U9" s="13"/>
    </row>
    <row r="10" spans="2:21" ht="15" customHeight="1" x14ac:dyDescent="0.25">
      <c r="B10" s="23">
        <v>2028</v>
      </c>
      <c r="C10" s="24" t="s">
        <v>57</v>
      </c>
      <c r="D10" s="25">
        <f>SUMIFS('Producto 3'!$AC:$AC,'Producto 3'!$A:$A,'R-Producto 3'!$B10,'Producto 3'!$B:$B,'R-Producto 3'!$C10)</f>
        <v>1714623.1943588797</v>
      </c>
      <c r="E10" s="43"/>
      <c r="F10" s="26">
        <f>D10*$E$10</f>
        <v>0</v>
      </c>
      <c r="G10" s="46"/>
      <c r="H10" s="22"/>
      <c r="U10" s="13"/>
    </row>
    <row r="11" spans="2:21" ht="15" customHeight="1" x14ac:dyDescent="0.25">
      <c r="B11" s="27">
        <v>2028</v>
      </c>
      <c r="C11" s="24" t="s">
        <v>58</v>
      </c>
      <c r="D11" s="25">
        <f>SUMIFS('Producto 3'!$AC:$AC,'Producto 3'!$A:$A,'R-Producto 3'!$B11,'Producto 3'!$B:$B,'R-Producto 3'!$C11)</f>
        <v>1689124.5038823045</v>
      </c>
      <c r="E11" s="44"/>
      <c r="F11" s="26">
        <f t="shared" ref="F11:F22" si="0">D11*$E$10</f>
        <v>0</v>
      </c>
      <c r="G11" s="47"/>
      <c r="H11" s="22"/>
      <c r="U11" s="13"/>
    </row>
    <row r="12" spans="2:21" ht="15" customHeight="1" x14ac:dyDescent="0.25">
      <c r="B12" s="27">
        <v>2028</v>
      </c>
      <c r="C12" s="24" t="s">
        <v>59</v>
      </c>
      <c r="D12" s="25">
        <f>SUMIFS('Producto 3'!$AC:$AC,'Producto 3'!$A:$A,'R-Producto 3'!$B12,'Producto 3'!$B:$B,'R-Producto 3'!$C12)</f>
        <v>1823513.899323344</v>
      </c>
      <c r="E12" s="44"/>
      <c r="F12" s="26">
        <f t="shared" si="0"/>
        <v>0</v>
      </c>
      <c r="G12" s="47"/>
      <c r="H12" s="22"/>
      <c r="U12" s="13"/>
    </row>
    <row r="13" spans="2:21" ht="15" customHeight="1" x14ac:dyDescent="0.25">
      <c r="B13" s="27">
        <v>2028</v>
      </c>
      <c r="C13" s="24" t="s">
        <v>56</v>
      </c>
      <c r="D13" s="25">
        <f>SUMIFS('Producto 3'!$AC:$AC,'Producto 3'!$A:$A,'R-Producto 3'!$B13,'Producto 3'!$B:$B,'R-Producto 3'!$C13)</f>
        <v>1733516.6538324838</v>
      </c>
      <c r="E13" s="44"/>
      <c r="F13" s="26">
        <f t="shared" si="0"/>
        <v>0</v>
      </c>
      <c r="G13" s="47"/>
      <c r="H13" s="22"/>
      <c r="U13" s="13"/>
    </row>
    <row r="14" spans="2:21" ht="15" customHeight="1" x14ac:dyDescent="0.25">
      <c r="B14" s="27">
        <v>2028</v>
      </c>
      <c r="C14" s="24" t="s">
        <v>25</v>
      </c>
      <c r="D14" s="25">
        <f>SUMIFS('Producto 3'!$AC:$AC,'Producto 3'!$A:$A,'R-Producto 3'!$B14,'Producto 3'!$B:$B,'R-Producto 3'!$C14)</f>
        <v>1863951.5441726288</v>
      </c>
      <c r="E14" s="44"/>
      <c r="F14" s="26">
        <f t="shared" si="0"/>
        <v>0</v>
      </c>
      <c r="G14" s="47"/>
      <c r="H14" s="22"/>
      <c r="U14" s="13"/>
    </row>
    <row r="15" spans="2:21" ht="15" customHeight="1" x14ac:dyDescent="0.25">
      <c r="B15" s="27">
        <v>2028</v>
      </c>
      <c r="C15" s="24" t="s">
        <v>26</v>
      </c>
      <c r="D15" s="25">
        <f>SUMIFS('Producto 3'!$AC:$AC,'Producto 3'!$A:$A,'R-Producto 3'!$B15,'Producto 3'!$B:$B,'R-Producto 3'!$C15)</f>
        <v>1829078.4272756809</v>
      </c>
      <c r="E15" s="44"/>
      <c r="F15" s="26">
        <f t="shared" si="0"/>
        <v>0</v>
      </c>
      <c r="G15" s="47"/>
      <c r="H15" s="22"/>
      <c r="U15" s="13"/>
    </row>
    <row r="16" spans="2:21" ht="15" customHeight="1" x14ac:dyDescent="0.25">
      <c r="B16" s="27">
        <v>2028</v>
      </c>
      <c r="C16" s="24" t="s">
        <v>27</v>
      </c>
      <c r="D16" s="25">
        <f>SUMIFS('Producto 3'!$AC:$AC,'Producto 3'!$A:$A,'R-Producto 3'!$B16,'Producto 3'!$B:$B,'R-Producto 3'!$C16)</f>
        <v>1895934.1382374098</v>
      </c>
      <c r="E16" s="44"/>
      <c r="F16" s="26">
        <f t="shared" si="0"/>
        <v>0</v>
      </c>
      <c r="G16" s="47"/>
      <c r="H16" s="22"/>
      <c r="U16" s="13"/>
    </row>
    <row r="17" spans="1:21" ht="15" customHeight="1" x14ac:dyDescent="0.25">
      <c r="B17" s="27">
        <v>2028</v>
      </c>
      <c r="C17" s="24" t="s">
        <v>28</v>
      </c>
      <c r="D17" s="25">
        <f>SUMIFS('Producto 3'!$AC:$AC,'Producto 3'!$A:$A,'R-Producto 3'!$B17,'Producto 3'!$B:$B,'R-Producto 3'!$C17)</f>
        <v>1960392.6714443394</v>
      </c>
      <c r="E17" s="44"/>
      <c r="F17" s="26">
        <f t="shared" si="0"/>
        <v>0</v>
      </c>
      <c r="G17" s="47"/>
      <c r="H17" s="22"/>
      <c r="U17" s="13"/>
    </row>
    <row r="18" spans="1:21" ht="15" customHeight="1" x14ac:dyDescent="0.25">
      <c r="B18" s="27">
        <v>2028</v>
      </c>
      <c r="C18" s="24" t="s">
        <v>29</v>
      </c>
      <c r="D18" s="25">
        <f>SUMIFS('Producto 3'!$AC:$AC,'Producto 3'!$A:$A,'R-Producto 3'!$B18,'Producto 3'!$B:$B,'R-Producto 3'!$C18)</f>
        <v>1958914.1860382049</v>
      </c>
      <c r="E18" s="44"/>
      <c r="F18" s="26">
        <f t="shared" si="0"/>
        <v>0</v>
      </c>
      <c r="G18" s="47"/>
      <c r="H18" s="22"/>
      <c r="U18" s="13"/>
    </row>
    <row r="19" spans="1:21" ht="15" customHeight="1" x14ac:dyDescent="0.25">
      <c r="B19" s="27">
        <v>2028</v>
      </c>
      <c r="C19" s="24" t="s">
        <v>30</v>
      </c>
      <c r="D19" s="25">
        <f>SUMIFS('Producto 3'!$AC:$AC,'Producto 3'!$A:$A,'R-Producto 3'!$B19,'Producto 3'!$B:$B,'R-Producto 3'!$C19)</f>
        <v>2025597.2932400072</v>
      </c>
      <c r="E19" s="44"/>
      <c r="F19" s="26">
        <f t="shared" si="0"/>
        <v>0</v>
      </c>
      <c r="G19" s="47"/>
      <c r="H19" s="22"/>
      <c r="U19" s="13"/>
    </row>
    <row r="20" spans="1:21" ht="15" customHeight="1" x14ac:dyDescent="0.25">
      <c r="A20" s="28"/>
      <c r="B20" s="27">
        <v>2028</v>
      </c>
      <c r="C20" s="24" t="s">
        <v>31</v>
      </c>
      <c r="D20" s="25">
        <f>SUMIFS('Producto 3'!$AC:$AC,'Producto 3'!$A:$A,'R-Producto 3'!$B20,'Producto 3'!$B:$B,'R-Producto 3'!$C20)</f>
        <v>1986913.6209413349</v>
      </c>
      <c r="E20" s="44"/>
      <c r="F20" s="26">
        <f t="shared" si="0"/>
        <v>0</v>
      </c>
      <c r="G20" s="47"/>
      <c r="H20" s="22"/>
    </row>
    <row r="21" spans="1:21" ht="15" customHeight="1" thickBot="1" x14ac:dyDescent="0.3">
      <c r="A21" s="28"/>
      <c r="B21" s="31">
        <v>2028</v>
      </c>
      <c r="C21" s="32" t="s">
        <v>32</v>
      </c>
      <c r="D21" s="33">
        <f>SUMIFS('Producto 3'!$AC:$AC,'Producto 3'!$A:$A,'R-Producto 3'!$B21,'Producto 3'!$B:$B,'R-Producto 3'!$C21)</f>
        <v>2063193.1456547221</v>
      </c>
      <c r="E21" s="44"/>
      <c r="F21" s="34">
        <f t="shared" si="0"/>
        <v>0</v>
      </c>
      <c r="G21" s="47"/>
      <c r="H21" s="22"/>
    </row>
    <row r="22" spans="1:21" ht="15" customHeight="1" thickBot="1" x14ac:dyDescent="0.3">
      <c r="A22" s="28"/>
      <c r="B22" s="35"/>
      <c r="C22" s="36" t="s">
        <v>49</v>
      </c>
      <c r="D22" s="37">
        <f>SUM(D10:D21)</f>
        <v>22544753.278401341</v>
      </c>
      <c r="E22" s="45"/>
      <c r="F22" s="38">
        <f t="shared" si="0"/>
        <v>0</v>
      </c>
      <c r="G22" s="48"/>
      <c r="H22" s="22"/>
    </row>
    <row r="23" spans="1:21" ht="15" customHeight="1" x14ac:dyDescent="0.25">
      <c r="A23" s="28"/>
      <c r="H23" s="22"/>
    </row>
    <row r="24" spans="1:21" ht="15" customHeight="1" x14ac:dyDescent="0.25">
      <c r="A24" s="28"/>
      <c r="B24" s="29" t="s">
        <v>62</v>
      </c>
      <c r="H24" s="22"/>
    </row>
    <row r="25" spans="1:21" ht="15" customHeight="1" x14ac:dyDescent="0.25">
      <c r="A25" s="28"/>
      <c r="B25" s="3" t="s">
        <v>44</v>
      </c>
      <c r="H25" s="22"/>
    </row>
    <row r="26" spans="1:21" ht="15" customHeight="1" x14ac:dyDescent="0.25">
      <c r="A26" s="28"/>
      <c r="B26" s="3" t="s">
        <v>41</v>
      </c>
      <c r="E26" s="30"/>
      <c r="H26" s="22"/>
    </row>
    <row r="27" spans="1:21" ht="15" customHeight="1" x14ac:dyDescent="0.25">
      <c r="A27" s="28"/>
      <c r="E27" s="30"/>
      <c r="H27" s="22"/>
    </row>
    <row r="28" spans="1:21" ht="15" customHeight="1" x14ac:dyDescent="0.25">
      <c r="A28" s="28"/>
      <c r="H28" s="22"/>
    </row>
    <row r="29" spans="1:21" ht="15" customHeight="1" x14ac:dyDescent="0.25">
      <c r="A29" s="28"/>
      <c r="H29" s="22"/>
    </row>
    <row r="30" spans="1:21" ht="15" customHeight="1" x14ac:dyDescent="0.25">
      <c r="A30" s="28"/>
      <c r="H30" s="22"/>
    </row>
    <row r="31" spans="1:21" ht="15" customHeight="1" x14ac:dyDescent="0.25">
      <c r="A31" s="28"/>
      <c r="H31" s="22"/>
    </row>
    <row r="32" spans="1:21" ht="15" customHeight="1" x14ac:dyDescent="0.25">
      <c r="A32" s="28"/>
      <c r="H32" s="22"/>
    </row>
    <row r="33" spans="1:8" ht="15" customHeight="1" x14ac:dyDescent="0.25">
      <c r="A33" s="28"/>
      <c r="H33" s="22"/>
    </row>
    <row r="34" spans="1:8" ht="15" customHeight="1" x14ac:dyDescent="0.25">
      <c r="A34" s="28"/>
      <c r="H34" s="22"/>
    </row>
    <row r="35" spans="1:8" ht="15" customHeight="1" x14ac:dyDescent="0.25">
      <c r="A35" s="28"/>
      <c r="H35" s="22"/>
    </row>
    <row r="36" spans="1:8" ht="15" customHeight="1" x14ac:dyDescent="0.25">
      <c r="A36" s="28"/>
      <c r="H36" s="22"/>
    </row>
    <row r="37" spans="1:8" ht="15" customHeight="1" x14ac:dyDescent="0.25">
      <c r="A37" s="28"/>
      <c r="H37" s="22"/>
    </row>
    <row r="38" spans="1:8" ht="15" customHeight="1" x14ac:dyDescent="0.25">
      <c r="A38" s="28"/>
      <c r="H38" s="22"/>
    </row>
    <row r="39" spans="1:8" ht="15" customHeight="1" x14ac:dyDescent="0.25">
      <c r="A39" s="28"/>
      <c r="H39" s="22"/>
    </row>
    <row r="40" spans="1:8" ht="15" customHeight="1" x14ac:dyDescent="0.25">
      <c r="A40" s="28"/>
      <c r="H40" s="22"/>
    </row>
    <row r="41" spans="1:8" ht="15" customHeight="1" x14ac:dyDescent="0.25">
      <c r="A41" s="28"/>
      <c r="H41" s="22"/>
    </row>
    <row r="42" spans="1:8" ht="15" customHeight="1" x14ac:dyDescent="0.25">
      <c r="A42" s="28"/>
      <c r="H42" s="22"/>
    </row>
    <row r="43" spans="1:8" ht="15" customHeight="1" x14ac:dyDescent="0.25">
      <c r="A43" s="28"/>
      <c r="H43" s="22"/>
    </row>
    <row r="44" spans="1:8" ht="15" customHeight="1" x14ac:dyDescent="0.25">
      <c r="A44" s="28"/>
      <c r="H44" s="22"/>
    </row>
    <row r="45" spans="1:8" ht="15" customHeight="1" x14ac:dyDescent="0.25">
      <c r="A45" s="28"/>
      <c r="H45" s="22"/>
    </row>
    <row r="46" spans="1:8" ht="15" customHeight="1" x14ac:dyDescent="0.25">
      <c r="A46" s="28"/>
      <c r="H46" s="22"/>
    </row>
    <row r="47" spans="1:8" ht="15" customHeight="1" x14ac:dyDescent="0.25">
      <c r="A47" s="28"/>
      <c r="H47" s="22"/>
    </row>
    <row r="48" spans="1:8" ht="15" customHeight="1" x14ac:dyDescent="0.25">
      <c r="A48" s="28"/>
      <c r="H48" s="22"/>
    </row>
    <row r="49" spans="1:8" ht="15" customHeight="1" x14ac:dyDescent="0.25">
      <c r="A49" s="28"/>
      <c r="H49" s="22"/>
    </row>
    <row r="50" spans="1:8" ht="15" customHeight="1" x14ac:dyDescent="0.25">
      <c r="A50" s="28"/>
      <c r="H50" s="22"/>
    </row>
    <row r="51" spans="1:8" ht="15" customHeight="1" x14ac:dyDescent="0.25">
      <c r="A51" s="28"/>
      <c r="H51" s="22"/>
    </row>
    <row r="52" spans="1:8" ht="15" customHeight="1" x14ac:dyDescent="0.25">
      <c r="A52" s="28"/>
      <c r="H52" s="22"/>
    </row>
    <row r="53" spans="1:8" ht="15" customHeight="1" x14ac:dyDescent="0.25">
      <c r="A53" s="28"/>
      <c r="H53" s="22"/>
    </row>
    <row r="54" spans="1:8" ht="15" customHeight="1" x14ac:dyDescent="0.25">
      <c r="A54" s="28"/>
      <c r="H54" s="22"/>
    </row>
    <row r="55" spans="1:8" ht="15" customHeight="1" x14ac:dyDescent="0.25">
      <c r="A55" s="28"/>
      <c r="H55" s="22"/>
    </row>
    <row r="56" spans="1:8" ht="15" customHeight="1" x14ac:dyDescent="0.25">
      <c r="A56" s="28"/>
      <c r="H56" s="22"/>
    </row>
    <row r="57" spans="1:8" ht="15" customHeight="1" x14ac:dyDescent="0.25">
      <c r="A57" s="28"/>
      <c r="H57" s="22"/>
    </row>
    <row r="58" spans="1:8" ht="15" customHeight="1" x14ac:dyDescent="0.25">
      <c r="A58" s="28"/>
      <c r="H58" s="22"/>
    </row>
    <row r="59" spans="1:8" ht="15" customHeight="1" x14ac:dyDescent="0.25">
      <c r="A59" s="28"/>
      <c r="H59" s="22"/>
    </row>
    <row r="60" spans="1:8" ht="15" customHeight="1" x14ac:dyDescent="0.25">
      <c r="A60" s="28"/>
      <c r="H60" s="22"/>
    </row>
    <row r="61" spans="1:8" ht="15" customHeight="1" x14ac:dyDescent="0.25">
      <c r="A61" s="28"/>
      <c r="H61" s="22"/>
    </row>
    <row r="62" spans="1:8" ht="15" customHeight="1" x14ac:dyDescent="0.25">
      <c r="A62" s="28"/>
      <c r="H62" s="22"/>
    </row>
    <row r="63" spans="1:8" ht="15" customHeight="1" x14ac:dyDescent="0.25">
      <c r="A63" s="28"/>
      <c r="H63" s="22"/>
    </row>
    <row r="64" spans="1:8" ht="15" customHeight="1" x14ac:dyDescent="0.25">
      <c r="A64" s="28"/>
      <c r="H64" s="22"/>
    </row>
    <row r="65" spans="1:8" ht="15" customHeight="1" x14ac:dyDescent="0.25">
      <c r="A65" s="28"/>
      <c r="H65" s="22"/>
    </row>
    <row r="66" spans="1:8" ht="15" customHeight="1" x14ac:dyDescent="0.25">
      <c r="A66" s="28"/>
      <c r="H66" s="22"/>
    </row>
    <row r="67" spans="1:8" ht="15" customHeight="1" x14ac:dyDescent="0.25">
      <c r="A67" s="28"/>
      <c r="H67" s="22"/>
    </row>
    <row r="68" spans="1:8" ht="15" customHeight="1" x14ac:dyDescent="0.25">
      <c r="A68" s="28"/>
      <c r="H68" s="22"/>
    </row>
    <row r="69" spans="1:8" ht="15" customHeight="1" x14ac:dyDescent="0.25">
      <c r="A69" s="28"/>
      <c r="H69" s="22"/>
    </row>
    <row r="70" spans="1:8" ht="15" customHeight="1" x14ac:dyDescent="0.25">
      <c r="A70" s="28"/>
      <c r="H70" s="22"/>
    </row>
    <row r="71" spans="1:8" ht="15" customHeight="1" x14ac:dyDescent="0.25">
      <c r="A71" s="28"/>
      <c r="H71" s="22"/>
    </row>
    <row r="72" spans="1:8" ht="15" customHeight="1" x14ac:dyDescent="0.25">
      <c r="A72" s="28"/>
      <c r="H72" s="22"/>
    </row>
    <row r="73" spans="1:8" ht="15" customHeight="1" x14ac:dyDescent="0.25">
      <c r="A73" s="28"/>
      <c r="H73" s="22"/>
    </row>
    <row r="74" spans="1:8" ht="15" customHeight="1" x14ac:dyDescent="0.25">
      <c r="A74" s="28"/>
      <c r="H74" s="22"/>
    </row>
    <row r="75" spans="1:8" ht="15" customHeight="1" x14ac:dyDescent="0.25">
      <c r="A75" s="28"/>
      <c r="H75" s="22"/>
    </row>
    <row r="76" spans="1:8" ht="15" customHeight="1" x14ac:dyDescent="0.25">
      <c r="A76" s="28"/>
      <c r="H76" s="22"/>
    </row>
    <row r="77" spans="1:8" ht="15" customHeight="1" x14ac:dyDescent="0.25">
      <c r="A77" s="28"/>
      <c r="H77" s="22"/>
    </row>
    <row r="78" spans="1:8" ht="15" customHeight="1" x14ac:dyDescent="0.25">
      <c r="A78" s="28"/>
      <c r="H78" s="22"/>
    </row>
    <row r="79" spans="1:8" ht="15" customHeight="1" x14ac:dyDescent="0.25">
      <c r="A79" s="28"/>
      <c r="H79" s="22"/>
    </row>
    <row r="80" spans="1:8" ht="15" customHeight="1" x14ac:dyDescent="0.25">
      <c r="A80" s="28"/>
      <c r="H80" s="22"/>
    </row>
    <row r="81" spans="1:8" ht="15" customHeight="1" x14ac:dyDescent="0.25">
      <c r="A81" s="28"/>
      <c r="H81" s="22"/>
    </row>
    <row r="82" spans="1:8" ht="15" customHeight="1" x14ac:dyDescent="0.25">
      <c r="A82" s="28"/>
      <c r="H82" s="22"/>
    </row>
    <row r="83" spans="1:8" ht="15" customHeight="1" x14ac:dyDescent="0.25">
      <c r="A83" s="28"/>
      <c r="H83" s="22"/>
    </row>
    <row r="84" spans="1:8" ht="15" customHeight="1" x14ac:dyDescent="0.25">
      <c r="A84" s="28"/>
      <c r="H84" s="22"/>
    </row>
    <row r="85" spans="1:8" ht="15" customHeight="1" x14ac:dyDescent="0.25">
      <c r="A85" s="28"/>
      <c r="H85" s="22"/>
    </row>
    <row r="86" spans="1:8" ht="15" customHeight="1" x14ac:dyDescent="0.25">
      <c r="A86" s="28"/>
      <c r="H86" s="22"/>
    </row>
    <row r="87" spans="1:8" ht="15" customHeight="1" x14ac:dyDescent="0.25">
      <c r="A87" s="28"/>
      <c r="H87" s="22"/>
    </row>
    <row r="88" spans="1:8" ht="15" customHeight="1" x14ac:dyDescent="0.25">
      <c r="A88" s="28"/>
      <c r="H88" s="22"/>
    </row>
    <row r="89" spans="1:8" ht="15" customHeight="1" x14ac:dyDescent="0.25">
      <c r="A89" s="28"/>
      <c r="H89" s="22"/>
    </row>
    <row r="90" spans="1:8" ht="15" customHeight="1" x14ac:dyDescent="0.25">
      <c r="A90" s="28"/>
      <c r="H90" s="22"/>
    </row>
    <row r="91" spans="1:8" ht="15" customHeight="1" x14ac:dyDescent="0.25">
      <c r="A91" s="28"/>
      <c r="H91" s="22"/>
    </row>
    <row r="92" spans="1:8" ht="15" customHeight="1" x14ac:dyDescent="0.25">
      <c r="A92" s="28"/>
      <c r="H92" s="22"/>
    </row>
    <row r="93" spans="1:8" ht="15" customHeight="1" x14ac:dyDescent="0.25">
      <c r="A93" s="28"/>
      <c r="H93" s="22"/>
    </row>
    <row r="94" spans="1:8" ht="15" customHeight="1" x14ac:dyDescent="0.25">
      <c r="A94" s="28"/>
      <c r="H94" s="22"/>
    </row>
    <row r="95" spans="1:8" ht="15" customHeight="1" x14ac:dyDescent="0.25">
      <c r="A95" s="28"/>
      <c r="H95" s="22"/>
    </row>
    <row r="96" spans="1:8" ht="15" customHeight="1" x14ac:dyDescent="0.25">
      <c r="A96" s="28"/>
      <c r="H96" s="22"/>
    </row>
    <row r="97" spans="1:8" ht="15" customHeight="1" x14ac:dyDescent="0.25">
      <c r="A97" s="28"/>
      <c r="H97" s="22"/>
    </row>
    <row r="98" spans="1:8" ht="15" customHeight="1" x14ac:dyDescent="0.25">
      <c r="A98" s="28"/>
      <c r="H98" s="22"/>
    </row>
    <row r="99" spans="1:8" ht="15" customHeight="1" x14ac:dyDescent="0.25">
      <c r="A99" s="28"/>
      <c r="H99" s="22"/>
    </row>
    <row r="100" spans="1:8" ht="15" customHeight="1" x14ac:dyDescent="0.25">
      <c r="A100" s="28"/>
      <c r="H100" s="22"/>
    </row>
    <row r="101" spans="1:8" ht="15" customHeight="1" x14ac:dyDescent="0.25">
      <c r="A101" s="28"/>
      <c r="H101" s="22"/>
    </row>
    <row r="102" spans="1:8" ht="15" customHeight="1" x14ac:dyDescent="0.25">
      <c r="A102" s="28"/>
      <c r="H102" s="22"/>
    </row>
    <row r="103" spans="1:8" ht="15" customHeight="1" x14ac:dyDescent="0.25">
      <c r="A103" s="28"/>
      <c r="H103" s="22"/>
    </row>
    <row r="104" spans="1:8" ht="15" customHeight="1" x14ac:dyDescent="0.25">
      <c r="A104" s="28"/>
      <c r="H104" s="22"/>
    </row>
    <row r="105" spans="1:8" ht="15" customHeight="1" x14ac:dyDescent="0.25">
      <c r="A105" s="28"/>
      <c r="H105" s="22"/>
    </row>
    <row r="106" spans="1:8" ht="15" customHeight="1" x14ac:dyDescent="0.25">
      <c r="A106" s="28"/>
      <c r="H106" s="22"/>
    </row>
    <row r="107" spans="1:8" ht="15" customHeight="1" x14ac:dyDescent="0.25">
      <c r="A107" s="28"/>
      <c r="H107" s="22"/>
    </row>
    <row r="108" spans="1:8" ht="15" customHeight="1" x14ac:dyDescent="0.25">
      <c r="A108" s="28"/>
      <c r="H108" s="22"/>
    </row>
    <row r="109" spans="1:8" ht="15" customHeight="1" x14ac:dyDescent="0.25">
      <c r="A109" s="28"/>
      <c r="H109" s="22"/>
    </row>
    <row r="110" spans="1:8" ht="15" customHeight="1" x14ac:dyDescent="0.25">
      <c r="A110" s="28"/>
      <c r="H110" s="22"/>
    </row>
    <row r="111" spans="1:8" ht="15" customHeight="1" x14ac:dyDescent="0.25">
      <c r="A111" s="28"/>
      <c r="H111" s="22"/>
    </row>
    <row r="112" spans="1:8" ht="15" customHeight="1" x14ac:dyDescent="0.25">
      <c r="A112" s="28"/>
      <c r="H112" s="22"/>
    </row>
    <row r="113" spans="1:8" ht="15" customHeight="1" x14ac:dyDescent="0.25">
      <c r="A113" s="28"/>
      <c r="H113" s="22"/>
    </row>
    <row r="114" spans="1:8" ht="15" customHeight="1" x14ac:dyDescent="0.25">
      <c r="A114" s="28"/>
      <c r="H114" s="22"/>
    </row>
    <row r="115" spans="1:8" ht="15" customHeight="1" x14ac:dyDescent="0.25">
      <c r="A115" s="28"/>
      <c r="H115" s="22"/>
    </row>
    <row r="116" spans="1:8" ht="15" customHeight="1" x14ac:dyDescent="0.25">
      <c r="A116" s="28"/>
      <c r="H116" s="22"/>
    </row>
    <row r="117" spans="1:8" ht="15" customHeight="1" x14ac:dyDescent="0.25">
      <c r="A117" s="28"/>
      <c r="H117" s="22"/>
    </row>
    <row r="118" spans="1:8" ht="15" customHeight="1" x14ac:dyDescent="0.25">
      <c r="A118" s="28"/>
      <c r="H118" s="22"/>
    </row>
    <row r="119" spans="1:8" ht="15" customHeight="1" x14ac:dyDescent="0.25">
      <c r="A119" s="28"/>
      <c r="H119" s="22"/>
    </row>
    <row r="120" spans="1:8" ht="15" customHeight="1" x14ac:dyDescent="0.25">
      <c r="A120" s="28"/>
      <c r="H120" s="22"/>
    </row>
    <row r="121" spans="1:8" ht="15" customHeight="1" x14ac:dyDescent="0.25">
      <c r="A121" s="28"/>
      <c r="H121" s="22"/>
    </row>
    <row r="122" spans="1:8" ht="15" customHeight="1" x14ac:dyDescent="0.25">
      <c r="A122" s="28"/>
      <c r="H122" s="22"/>
    </row>
    <row r="123" spans="1:8" ht="15" customHeight="1" x14ac:dyDescent="0.25">
      <c r="A123" s="28"/>
      <c r="H123" s="22"/>
    </row>
    <row r="124" spans="1:8" ht="15" customHeight="1" x14ac:dyDescent="0.25">
      <c r="A124" s="28"/>
      <c r="H124" s="22"/>
    </row>
    <row r="125" spans="1:8" ht="15" customHeight="1" x14ac:dyDescent="0.25">
      <c r="A125" s="28"/>
      <c r="H125" s="22"/>
    </row>
    <row r="126" spans="1:8" ht="15" customHeight="1" x14ac:dyDescent="0.25">
      <c r="A126" s="28"/>
      <c r="H126" s="22"/>
    </row>
    <row r="127" spans="1:8" ht="15" customHeight="1" x14ac:dyDescent="0.25">
      <c r="A127" s="28"/>
      <c r="H127" s="22"/>
    </row>
    <row r="128" spans="1:8" ht="15" customHeight="1" x14ac:dyDescent="0.25">
      <c r="A128" s="28"/>
      <c r="H128" s="22"/>
    </row>
    <row r="129" spans="1:8" ht="15" customHeight="1" x14ac:dyDescent="0.25">
      <c r="A129" s="28"/>
      <c r="H129" s="22"/>
    </row>
    <row r="130" spans="1:8" ht="15" customHeight="1" x14ac:dyDescent="0.25">
      <c r="A130" s="28"/>
      <c r="H130" s="22"/>
    </row>
    <row r="131" spans="1:8" ht="15" customHeight="1" x14ac:dyDescent="0.25">
      <c r="A131" s="28"/>
      <c r="H131" s="22"/>
    </row>
    <row r="132" spans="1:8" ht="15" customHeight="1" x14ac:dyDescent="0.25">
      <c r="A132" s="28"/>
      <c r="H132" s="22"/>
    </row>
    <row r="133" spans="1:8" ht="15" customHeight="1" x14ac:dyDescent="0.25">
      <c r="A133" s="28"/>
      <c r="H133" s="22"/>
    </row>
    <row r="134" spans="1:8" ht="15" customHeight="1" x14ac:dyDescent="0.25">
      <c r="A134" s="28"/>
      <c r="H134" s="22"/>
    </row>
    <row r="135" spans="1:8" ht="15" customHeight="1" x14ac:dyDescent="0.25">
      <c r="A135" s="28"/>
      <c r="H135" s="22"/>
    </row>
    <row r="136" spans="1:8" ht="15" customHeight="1" x14ac:dyDescent="0.25">
      <c r="A136" s="28"/>
      <c r="H136" s="22"/>
    </row>
    <row r="137" spans="1:8" ht="15" customHeight="1" x14ac:dyDescent="0.25">
      <c r="A137" s="28"/>
      <c r="H137" s="22"/>
    </row>
    <row r="138" spans="1:8" ht="15" customHeight="1" x14ac:dyDescent="0.25">
      <c r="A138" s="28"/>
      <c r="H138" s="22"/>
    </row>
    <row r="139" spans="1:8" ht="15" customHeight="1" x14ac:dyDescent="0.25">
      <c r="A139" s="28"/>
      <c r="H139" s="22"/>
    </row>
    <row r="140" spans="1:8" ht="15" customHeight="1" x14ac:dyDescent="0.25">
      <c r="A140" s="28"/>
      <c r="H140" s="22"/>
    </row>
    <row r="141" spans="1:8" ht="15" customHeight="1" x14ac:dyDescent="0.25">
      <c r="A141" s="28"/>
      <c r="H141" s="22"/>
    </row>
    <row r="142" spans="1:8" ht="15" customHeight="1" x14ac:dyDescent="0.25">
      <c r="A142" s="28"/>
      <c r="H142" s="22"/>
    </row>
    <row r="143" spans="1:8" ht="15" customHeight="1" x14ac:dyDescent="0.25">
      <c r="A143" s="28"/>
      <c r="H143" s="22"/>
    </row>
    <row r="144" spans="1:8" ht="15" customHeight="1" x14ac:dyDescent="0.25">
      <c r="A144" s="28"/>
      <c r="H144" s="22"/>
    </row>
    <row r="145" spans="1:8" ht="15" customHeight="1" x14ac:dyDescent="0.25">
      <c r="A145" s="28"/>
      <c r="H145" s="22"/>
    </row>
    <row r="146" spans="1:8" ht="15" customHeight="1" x14ac:dyDescent="0.25">
      <c r="A146" s="28"/>
      <c r="H146" s="22"/>
    </row>
  </sheetData>
  <mergeCells count="10">
    <mergeCell ref="E10:E21"/>
    <mergeCell ref="G10:G21"/>
    <mergeCell ref="B2:G2"/>
    <mergeCell ref="B3:G3"/>
    <mergeCell ref="B4:G4"/>
    <mergeCell ref="B5:G5"/>
    <mergeCell ref="B7:G7"/>
    <mergeCell ref="B8:B9"/>
    <mergeCell ref="C8:C9"/>
    <mergeCell ref="D8:G8"/>
  </mergeCells>
  <printOptions horizontalCentered="1"/>
  <pageMargins left="0.35433070866141736" right="0.35433070866141736" top="1.5748031496062993" bottom="0.19685039370078741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C9D1-606B-4D1B-AE13-FAA477D63DCC}">
  <dimension ref="A1:BD93"/>
  <sheetViews>
    <sheetView showGridLines="0" zoomScale="80" zoomScaleNormal="80" workbookViewId="0">
      <pane xSplit="3" ySplit="5" topLeftCell="D6" activePane="bottomRight" state="frozen"/>
      <selection activeCell="A32" sqref="A32"/>
      <selection pane="topRight" activeCell="A32" sqref="A32"/>
      <selection pane="bottomLeft" activeCell="A32" sqref="A32"/>
      <selection pane="bottomRight" activeCell="AC6" sqref="AC6:AC41"/>
    </sheetView>
  </sheetViews>
  <sheetFormatPr baseColWidth="10" defaultColWidth="11.42578125" defaultRowHeight="15" x14ac:dyDescent="0.25"/>
  <cols>
    <col min="1" max="1" width="10.85546875" style="2" customWidth="1"/>
    <col min="2" max="2" width="12.42578125" style="2" bestFit="1" customWidth="1"/>
    <col min="3" max="3" width="19.140625" style="2" bestFit="1" customWidth="1"/>
    <col min="4" max="27" width="11" style="4" customWidth="1"/>
    <col min="28" max="28" width="10.5703125" style="2" customWidth="1"/>
    <col min="29" max="30" width="12.5703125" style="2" customWidth="1"/>
    <col min="31" max="31" width="12.5703125" style="3" customWidth="1"/>
    <col min="32" max="34" width="11.42578125" style="3" customWidth="1"/>
    <col min="35" max="36" width="11.42578125" style="3"/>
    <col min="37" max="37" width="12.140625" style="3" bestFit="1" customWidth="1"/>
    <col min="38" max="56" width="11.42578125" style="3"/>
    <col min="57" max="16384" width="11.42578125" style="2"/>
  </cols>
  <sheetData>
    <row r="1" spans="1:30" ht="18.75" x14ac:dyDescent="0.3">
      <c r="B1" s="10" t="s">
        <v>54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30" ht="18.75" x14ac:dyDescent="0.3">
      <c r="B2" s="10" t="s">
        <v>50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30" ht="18.75" x14ac:dyDescent="0.3">
      <c r="B3" s="10" t="s">
        <v>66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5" spans="1:30" x14ac:dyDescent="0.25">
      <c r="A5" s="5" t="s">
        <v>43</v>
      </c>
      <c r="B5" s="5" t="s">
        <v>0</v>
      </c>
      <c r="C5" s="3" t="s">
        <v>1</v>
      </c>
      <c r="D5" s="6" t="s">
        <v>51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18</v>
      </c>
      <c r="V5" s="6" t="s">
        <v>19</v>
      </c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  <c r="AB5" s="6" t="s">
        <v>48</v>
      </c>
      <c r="AC5" s="6" t="s">
        <v>47</v>
      </c>
    </row>
    <row r="6" spans="1:30" x14ac:dyDescent="0.25">
      <c r="A6" s="3">
        <v>2028</v>
      </c>
      <c r="B6" s="5" t="s">
        <v>57</v>
      </c>
      <c r="C6" s="7" t="s">
        <v>45</v>
      </c>
      <c r="D6" s="1">
        <v>2598.9226800367742</v>
      </c>
      <c r="E6" s="1">
        <v>2549.1450093434246</v>
      </c>
      <c r="F6" s="1">
        <v>2521.8067838142515</v>
      </c>
      <c r="G6" s="1">
        <v>2504.27057650403</v>
      </c>
      <c r="H6" s="1">
        <v>2512.1968833693963</v>
      </c>
      <c r="I6" s="1">
        <v>2550.9458348825142</v>
      </c>
      <c r="J6" s="1">
        <v>2632.1238407925907</v>
      </c>
      <c r="K6" s="1">
        <v>2754.7850219427082</v>
      </c>
      <c r="L6" s="1">
        <v>2757.2023182047096</v>
      </c>
      <c r="M6" s="1">
        <v>2401.6992980882519</v>
      </c>
      <c r="N6" s="1">
        <v>2168.7625146071064</v>
      </c>
      <c r="O6" s="1">
        <v>2029.1784766274054</v>
      </c>
      <c r="P6" s="1">
        <v>1871.5095144467355</v>
      </c>
      <c r="Q6" s="1">
        <v>2031.0648859544908</v>
      </c>
      <c r="R6" s="1">
        <v>2496.8840715514957</v>
      </c>
      <c r="S6" s="1">
        <v>2699.3601584882904</v>
      </c>
      <c r="T6" s="1">
        <v>3019.6427753508951</v>
      </c>
      <c r="U6" s="1">
        <v>3138.0220926078223</v>
      </c>
      <c r="V6" s="1">
        <v>2916.0097230652855</v>
      </c>
      <c r="W6" s="1">
        <v>2831.4413510536478</v>
      </c>
      <c r="X6" s="1">
        <v>2835.0247264270979</v>
      </c>
      <c r="Y6" s="1">
        <v>2818.4896711368724</v>
      </c>
      <c r="Z6" s="1">
        <v>2723.234023599196</v>
      </c>
      <c r="AA6" s="1">
        <v>2670.0129426856834</v>
      </c>
      <c r="AB6" s="8">
        <v>20</v>
      </c>
      <c r="AC6" s="8">
        <f t="shared" ref="AC6:AC41" si="0">AB6*SUM(D6:AA6)</f>
        <v>1240634.7034916135</v>
      </c>
      <c r="AD6" s="9"/>
    </row>
    <row r="7" spans="1:30" x14ac:dyDescent="0.25">
      <c r="A7" s="3">
        <v>2028</v>
      </c>
      <c r="B7" s="5" t="s">
        <v>57</v>
      </c>
      <c r="C7" s="7" t="s">
        <v>46</v>
      </c>
      <c r="D7" s="1">
        <v>2787.15365865476</v>
      </c>
      <c r="E7" s="1">
        <v>2712.2125333880067</v>
      </c>
      <c r="F7" s="1">
        <v>2687.3230502096444</v>
      </c>
      <c r="G7" s="1">
        <v>2668.4056125640182</v>
      </c>
      <c r="H7" s="1">
        <v>2672.5493896664525</v>
      </c>
      <c r="I7" s="1">
        <v>2636.7215865639751</v>
      </c>
      <c r="J7" s="1">
        <v>2283.4500607762311</v>
      </c>
      <c r="K7" s="1">
        <v>1816.4504044166556</v>
      </c>
      <c r="L7" s="1">
        <v>1838.5594891508858</v>
      </c>
      <c r="M7" s="1">
        <v>1485.810964356654</v>
      </c>
      <c r="N7" s="1">
        <v>1157.0802544182675</v>
      </c>
      <c r="O7" s="1">
        <v>942.04638439398093</v>
      </c>
      <c r="P7" s="1">
        <v>0</v>
      </c>
      <c r="Q7" s="1">
        <v>0</v>
      </c>
      <c r="R7" s="1">
        <v>829.80232501741182</v>
      </c>
      <c r="S7" s="1">
        <v>1349.7815350102424</v>
      </c>
      <c r="T7" s="1">
        <v>1847.3745144432232</v>
      </c>
      <c r="U7" s="1">
        <v>2573.2909532484218</v>
      </c>
      <c r="V7" s="1">
        <v>2971.5226841022568</v>
      </c>
      <c r="W7" s="1">
        <v>3008.307087312523</v>
      </c>
      <c r="X7" s="1">
        <v>3043.5984791396022</v>
      </c>
      <c r="Y7" s="1">
        <v>3083.2660929551221</v>
      </c>
      <c r="Z7" s="1">
        <v>2986.5243194374934</v>
      </c>
      <c r="AA7" s="1">
        <v>2933.2363293208823</v>
      </c>
      <c r="AB7" s="8">
        <v>4</v>
      </c>
      <c r="AC7" s="8">
        <f t="shared" si="0"/>
        <v>201257.87083418685</v>
      </c>
      <c r="AD7" s="9"/>
    </row>
    <row r="8" spans="1:30" x14ac:dyDescent="0.25">
      <c r="A8" s="3">
        <v>2028</v>
      </c>
      <c r="B8" s="5" t="s">
        <v>57</v>
      </c>
      <c r="C8" s="7" t="s">
        <v>52</v>
      </c>
      <c r="D8" s="1">
        <v>2741.1858939925964</v>
      </c>
      <c r="E8" s="1">
        <v>2638.5602743667528</v>
      </c>
      <c r="F8" s="1">
        <v>2564.1007831153188</v>
      </c>
      <c r="G8" s="1">
        <v>2524.6849523277392</v>
      </c>
      <c r="H8" s="1">
        <v>2500.3012921344302</v>
      </c>
      <c r="I8" s="1">
        <v>2466.0880997767617</v>
      </c>
      <c r="J8" s="1">
        <v>1944.1109801463626</v>
      </c>
      <c r="K8" s="1">
        <v>881.21648508572048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396.12889830644434</v>
      </c>
      <c r="S8" s="1">
        <v>765.82329066775856</v>
      </c>
      <c r="T8" s="1">
        <v>1421.1463711291967</v>
      </c>
      <c r="U8" s="1">
        <v>2051.0878339251899</v>
      </c>
      <c r="V8" s="1">
        <v>2554.0514211581481</v>
      </c>
      <c r="W8" s="1">
        <v>2671.7161901018449</v>
      </c>
      <c r="X8" s="1">
        <v>2763.6538945628195</v>
      </c>
      <c r="Y8" s="1">
        <v>2803.6384913222819</v>
      </c>
      <c r="Z8" s="1">
        <v>2678.0738072844738</v>
      </c>
      <c r="AA8" s="1">
        <v>2595.9481881789047</v>
      </c>
      <c r="AB8" s="8">
        <v>7</v>
      </c>
      <c r="AC8" s="8">
        <f t="shared" si="0"/>
        <v>272730.62003307923</v>
      </c>
      <c r="AD8" s="9"/>
    </row>
    <row r="9" spans="1:30" x14ac:dyDescent="0.25">
      <c r="A9" s="3">
        <v>2028</v>
      </c>
      <c r="B9" s="5" t="s">
        <v>58</v>
      </c>
      <c r="C9" s="7" t="s">
        <v>45</v>
      </c>
      <c r="D9" s="1">
        <v>2639.264931111612</v>
      </c>
      <c r="E9" s="1">
        <v>2589.6602041651927</v>
      </c>
      <c r="F9" s="1">
        <v>2562.4169604841377</v>
      </c>
      <c r="G9" s="1">
        <v>2544.941679636664</v>
      </c>
      <c r="H9" s="1">
        <v>2552.8404479452934</v>
      </c>
      <c r="I9" s="1">
        <v>2591.4547730532186</v>
      </c>
      <c r="J9" s="1">
        <v>2672.350740283805</v>
      </c>
      <c r="K9" s="1">
        <v>2794.5857567706198</v>
      </c>
      <c r="L9" s="1">
        <v>2796.9946545626408</v>
      </c>
      <c r="M9" s="1">
        <v>2442.726767056603</v>
      </c>
      <c r="N9" s="1">
        <v>2210.5992813905636</v>
      </c>
      <c r="O9" s="1">
        <v>2071.5002035587295</v>
      </c>
      <c r="P9" s="1">
        <v>1914.3790344088379</v>
      </c>
      <c r="Q9" s="1">
        <v>2073.380058888958</v>
      </c>
      <c r="R9" s="1">
        <v>2537.5808377942235</v>
      </c>
      <c r="S9" s="1">
        <v>2739.353457239451</v>
      </c>
      <c r="T9" s="1">
        <v>3058.5233085775662</v>
      </c>
      <c r="U9" s="1">
        <v>3176.4913377529028</v>
      </c>
      <c r="V9" s="1">
        <v>2955.2503110739194</v>
      </c>
      <c r="W9" s="1">
        <v>2870.9757569714729</v>
      </c>
      <c r="X9" s="1">
        <v>2874.5466825385115</v>
      </c>
      <c r="Y9" s="1">
        <v>2858.0690753847248</v>
      </c>
      <c r="Z9" s="1">
        <v>2763.1443768121567</v>
      </c>
      <c r="AA9" s="1">
        <v>2710.1082031677201</v>
      </c>
      <c r="AB9" s="8">
        <v>21</v>
      </c>
      <c r="AC9" s="8">
        <f t="shared" si="0"/>
        <v>1323023.9156532199</v>
      </c>
    </row>
    <row r="10" spans="1:30" x14ac:dyDescent="0.25">
      <c r="A10" s="3">
        <v>2028</v>
      </c>
      <c r="B10" s="5" t="s">
        <v>58</v>
      </c>
      <c r="C10" s="7" t="s">
        <v>46</v>
      </c>
      <c r="D10" s="1">
        <v>2853.3682163727649</v>
      </c>
      <c r="E10" s="1">
        <v>2777.095715428427</v>
      </c>
      <c r="F10" s="1">
        <v>2751.7640551088307</v>
      </c>
      <c r="G10" s="1">
        <v>2732.5105374233867</v>
      </c>
      <c r="H10" s="1">
        <v>2736.727931302029</v>
      </c>
      <c r="I10" s="1">
        <v>2700.2636250050487</v>
      </c>
      <c r="J10" s="1">
        <v>2340.7160109501096</v>
      </c>
      <c r="K10" s="1">
        <v>1865.4198153845314</v>
      </c>
      <c r="L10" s="1">
        <v>1887.9216817531983</v>
      </c>
      <c r="M10" s="1">
        <v>1528.9063601295452</v>
      </c>
      <c r="N10" s="1">
        <v>1194.3355447733488</v>
      </c>
      <c r="O10" s="1">
        <v>975.48146437207356</v>
      </c>
      <c r="P10" s="1">
        <v>0</v>
      </c>
      <c r="Q10" s="1">
        <v>0</v>
      </c>
      <c r="R10" s="1">
        <v>861.24331950405485</v>
      </c>
      <c r="S10" s="1">
        <v>1390.4602834079719</v>
      </c>
      <c r="T10" s="1">
        <v>1896.8933114497227</v>
      </c>
      <c r="U10" s="1">
        <v>2635.7061070569316</v>
      </c>
      <c r="V10" s="1">
        <v>3041.0126721705146</v>
      </c>
      <c r="W10" s="1">
        <v>3078.45057317087</v>
      </c>
      <c r="X10" s="1">
        <v>3114.3689385126841</v>
      </c>
      <c r="Y10" s="1">
        <v>3154.7412721470459</v>
      </c>
      <c r="Z10" s="1">
        <v>3056.2808208832621</v>
      </c>
      <c r="AA10" s="1">
        <v>3002.0461364957005</v>
      </c>
      <c r="AB10" s="8">
        <v>4</v>
      </c>
      <c r="AC10" s="8">
        <f t="shared" si="0"/>
        <v>206302.85757120824</v>
      </c>
    </row>
    <row r="11" spans="1:30" x14ac:dyDescent="0.25">
      <c r="A11" s="3">
        <v>2028</v>
      </c>
      <c r="B11" s="5" t="s">
        <v>58</v>
      </c>
      <c r="C11" s="7" t="s">
        <v>52</v>
      </c>
      <c r="D11" s="1">
        <v>2809.1274857921244</v>
      </c>
      <c r="E11" s="1">
        <v>2704.1780878753966</v>
      </c>
      <c r="F11" s="1">
        <v>2628.0325912195503</v>
      </c>
      <c r="G11" s="1">
        <v>2587.7242576413878</v>
      </c>
      <c r="H11" s="1">
        <v>2562.7884719611284</v>
      </c>
      <c r="I11" s="1">
        <v>2527.8005814924772</v>
      </c>
      <c r="J11" s="1">
        <v>1994.0041997386675</v>
      </c>
      <c r="K11" s="1">
        <v>907.04231134946849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410.97076162366182</v>
      </c>
      <c r="S11" s="1">
        <v>789.03623916198035</v>
      </c>
      <c r="T11" s="1">
        <v>1459.1979686220166</v>
      </c>
      <c r="U11" s="1">
        <v>2103.4033579220345</v>
      </c>
      <c r="V11" s="1">
        <v>2617.7556789758287</v>
      </c>
      <c r="W11" s="1">
        <v>2738.084761535074</v>
      </c>
      <c r="X11" s="1">
        <v>2832.104235075924</v>
      </c>
      <c r="Y11" s="1">
        <v>2872.9942133401037</v>
      </c>
      <c r="Z11" s="1">
        <v>2744.586335878153</v>
      </c>
      <c r="AA11" s="1">
        <v>2660.6011252641601</v>
      </c>
      <c r="AB11" s="8">
        <v>4</v>
      </c>
      <c r="AC11" s="8">
        <f t="shared" si="0"/>
        <v>159797.73065787656</v>
      </c>
    </row>
    <row r="12" spans="1:30" x14ac:dyDescent="0.25">
      <c r="A12" s="3">
        <v>2028</v>
      </c>
      <c r="B12" s="5" t="s">
        <v>59</v>
      </c>
      <c r="C12" s="7" t="s">
        <v>45</v>
      </c>
      <c r="D12" s="1">
        <v>2679.4670201426393</v>
      </c>
      <c r="E12" s="1">
        <v>2630.0346360805715</v>
      </c>
      <c r="F12" s="1">
        <v>2602.8860442499367</v>
      </c>
      <c r="G12" s="1">
        <v>2585.4714781869507</v>
      </c>
      <c r="H12" s="1">
        <v>2593.3428036167065</v>
      </c>
      <c r="I12" s="1">
        <v>2631.8229700551651</v>
      </c>
      <c r="J12" s="1">
        <v>2712.4378784999635</v>
      </c>
      <c r="K12" s="1">
        <v>2834.2482109575158</v>
      </c>
      <c r="L12" s="1">
        <v>2836.6487394585611</v>
      </c>
      <c r="M12" s="1">
        <v>2483.6116933122953</v>
      </c>
      <c r="N12" s="1">
        <v>2252.2906936986865</v>
      </c>
      <c r="O12" s="1">
        <v>2113.6748911061263</v>
      </c>
      <c r="P12" s="1">
        <v>1957.0996117766385</v>
      </c>
      <c r="Q12" s="1">
        <v>2115.5482152102054</v>
      </c>
      <c r="R12" s="1">
        <v>2578.1362102926491</v>
      </c>
      <c r="S12" s="1">
        <v>2779.2078063201711</v>
      </c>
      <c r="T12" s="1">
        <v>3097.2687582415629</v>
      </c>
      <c r="U12" s="1">
        <v>3214.8269282832875</v>
      </c>
      <c r="V12" s="1">
        <v>2994.3545645729741</v>
      </c>
      <c r="W12" s="1">
        <v>2910.3728075611584</v>
      </c>
      <c r="X12" s="1">
        <v>2913.9313265764445</v>
      </c>
      <c r="Y12" s="1">
        <v>2897.510967965668</v>
      </c>
      <c r="Z12" s="1">
        <v>2802.9160685343359</v>
      </c>
      <c r="AA12" s="1">
        <v>2750.0641597312465</v>
      </c>
      <c r="AB12" s="8">
        <v>22</v>
      </c>
      <c r="AC12" s="8">
        <f t="shared" si="0"/>
        <v>1407277.8386574921</v>
      </c>
    </row>
    <row r="13" spans="1:30" x14ac:dyDescent="0.25">
      <c r="A13" s="3">
        <v>2028</v>
      </c>
      <c r="B13" s="5" t="s">
        <v>59</v>
      </c>
      <c r="C13" s="7" t="s">
        <v>46</v>
      </c>
      <c r="D13" s="1">
        <v>2920.7591168709723</v>
      </c>
      <c r="E13" s="1">
        <v>2843.1315875324863</v>
      </c>
      <c r="F13" s="1">
        <v>2817.3498945198621</v>
      </c>
      <c r="G13" s="1">
        <v>2797.7543261237688</v>
      </c>
      <c r="H13" s="1">
        <v>2802.0466446264122</v>
      </c>
      <c r="I13" s="1">
        <v>2764.9345272599958</v>
      </c>
      <c r="J13" s="1">
        <v>2398.9993263282586</v>
      </c>
      <c r="K13" s="1">
        <v>1915.2591983801317</v>
      </c>
      <c r="L13" s="1">
        <v>1938.1608243931441</v>
      </c>
      <c r="M13" s="1">
        <v>1572.767372398635</v>
      </c>
      <c r="N13" s="1">
        <v>1232.2526985213744</v>
      </c>
      <c r="O13" s="1">
        <v>1009.5105393309259</v>
      </c>
      <c r="P13" s="1">
        <v>0</v>
      </c>
      <c r="Q13" s="1">
        <v>0</v>
      </c>
      <c r="R13" s="1">
        <v>893.24288280307678</v>
      </c>
      <c r="S13" s="1">
        <v>1431.8617150589694</v>
      </c>
      <c r="T13" s="1">
        <v>1947.2918406684494</v>
      </c>
      <c r="U13" s="1">
        <v>2699.2301048732888</v>
      </c>
      <c r="V13" s="1">
        <v>3111.7371930753211</v>
      </c>
      <c r="W13" s="1">
        <v>3149.840201660254</v>
      </c>
      <c r="X13" s="1">
        <v>3186.3966790910513</v>
      </c>
      <c r="Y13" s="1">
        <v>3227.4862523299266</v>
      </c>
      <c r="Z13" s="1">
        <v>3127.2765899414098</v>
      </c>
      <c r="AA13" s="1">
        <v>3072.0783926706604</v>
      </c>
      <c r="AB13" s="8">
        <v>4</v>
      </c>
      <c r="AC13" s="8">
        <f t="shared" si="0"/>
        <v>211437.47163383345</v>
      </c>
    </row>
    <row r="14" spans="1:30" x14ac:dyDescent="0.25">
      <c r="A14" s="3">
        <v>2028</v>
      </c>
      <c r="B14" s="5" t="s">
        <v>59</v>
      </c>
      <c r="C14" s="7" t="s">
        <v>52</v>
      </c>
      <c r="D14" s="1">
        <v>2878.6074965229818</v>
      </c>
      <c r="E14" s="1">
        <v>2771.2817024060714</v>
      </c>
      <c r="F14" s="1">
        <v>2693.412023691958</v>
      </c>
      <c r="G14" s="1">
        <v>2652.1909781530576</v>
      </c>
      <c r="H14" s="1">
        <v>2626.6905650664917</v>
      </c>
      <c r="I14" s="1">
        <v>2590.9104347983512</v>
      </c>
      <c r="J14" s="1">
        <v>2045.0271643300634</v>
      </c>
      <c r="K14" s="1">
        <v>933.45291843728978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426.14869306790803</v>
      </c>
      <c r="S14" s="1">
        <v>812.77480441715272</v>
      </c>
      <c r="T14" s="1">
        <v>1498.1111782201729</v>
      </c>
      <c r="U14" s="1">
        <v>2156.903475779392</v>
      </c>
      <c r="V14" s="1">
        <v>2682.9024086820427</v>
      </c>
      <c r="W14" s="1">
        <v>2805.9561335950452</v>
      </c>
      <c r="X14" s="1">
        <v>2902.1045142482822</v>
      </c>
      <c r="Y14" s="1">
        <v>2943.9203748033697</v>
      </c>
      <c r="Z14" s="1">
        <v>2812.6049247575706</v>
      </c>
      <c r="AA14" s="1">
        <v>2726.7180154265161</v>
      </c>
      <c r="AB14" s="8">
        <v>5</v>
      </c>
      <c r="AC14" s="8">
        <f t="shared" si="0"/>
        <v>204798.58903201862</v>
      </c>
    </row>
    <row r="15" spans="1:30" x14ac:dyDescent="0.25">
      <c r="A15" s="3">
        <v>2028</v>
      </c>
      <c r="B15" s="5" t="s">
        <v>56</v>
      </c>
      <c r="C15" s="7" t="s">
        <v>45</v>
      </c>
      <c r="D15" s="1">
        <v>2719.5294340981836</v>
      </c>
      <c r="E15" s="1">
        <v>2670.2687941454792</v>
      </c>
      <c r="F15" s="1">
        <v>2643.2145253140861</v>
      </c>
      <c r="G15" s="1">
        <v>2625.8604630927657</v>
      </c>
      <c r="H15" s="1">
        <v>2633.7044409890959</v>
      </c>
      <c r="I15" s="1">
        <v>2672.0509148687488</v>
      </c>
      <c r="J15" s="1">
        <v>2752.3857410169931</v>
      </c>
      <c r="K15" s="1">
        <v>2873.7728649351211</v>
      </c>
      <c r="L15" s="1">
        <v>2876.1650532228177</v>
      </c>
      <c r="M15" s="1">
        <v>2524.3545720948705</v>
      </c>
      <c r="N15" s="1">
        <v>2293.8372565399909</v>
      </c>
      <c r="O15" s="1">
        <v>2155.7030501320301</v>
      </c>
      <c r="P15" s="1">
        <v>1999.6717640249403</v>
      </c>
      <c r="Q15" s="1">
        <v>2157.5698657015541</v>
      </c>
      <c r="R15" s="1">
        <v>2618.550680294426</v>
      </c>
      <c r="S15" s="1">
        <v>2818.9236884866004</v>
      </c>
      <c r="T15" s="1">
        <v>3135.8795936669248</v>
      </c>
      <c r="U15" s="1">
        <v>3253.0293285583875</v>
      </c>
      <c r="V15" s="1">
        <v>3033.3229572326836</v>
      </c>
      <c r="W15" s="1">
        <v>2949.6329800395929</v>
      </c>
      <c r="X15" s="1">
        <v>2953.1791356075046</v>
      </c>
      <c r="Y15" s="1">
        <v>2936.8158266397613</v>
      </c>
      <c r="Z15" s="1">
        <v>2842.5495805206538</v>
      </c>
      <c r="AA15" s="1">
        <v>2789.881296363184</v>
      </c>
      <c r="AB15" s="8">
        <v>18</v>
      </c>
      <c r="AC15" s="8">
        <f t="shared" si="0"/>
        <v>1168737.3685365552</v>
      </c>
    </row>
    <row r="16" spans="1:30" x14ac:dyDescent="0.25">
      <c r="A16" s="3">
        <v>2028</v>
      </c>
      <c r="B16" s="5" t="s">
        <v>56</v>
      </c>
      <c r="C16" s="7" t="s">
        <v>46</v>
      </c>
      <c r="D16" s="1">
        <v>2989.347258610147</v>
      </c>
      <c r="E16" s="1">
        <v>2910.3406279557362</v>
      </c>
      <c r="F16" s="1">
        <v>2884.1009071395292</v>
      </c>
      <c r="G16" s="1">
        <v>2864.1572112892759</v>
      </c>
      <c r="H16" s="1">
        <v>2868.5257854984425</v>
      </c>
      <c r="I16" s="1">
        <v>2830.7543482962292</v>
      </c>
      <c r="J16" s="1">
        <v>2458.3180810359781</v>
      </c>
      <c r="K16" s="1">
        <v>1965.9840089973482</v>
      </c>
      <c r="L16" s="1">
        <v>1989.2924966332989</v>
      </c>
      <c r="M16" s="1">
        <v>1617.4076028169247</v>
      </c>
      <c r="N16" s="1">
        <v>1270.8434740769681</v>
      </c>
      <c r="O16" s="1">
        <v>1044.1441619606285</v>
      </c>
      <c r="P16" s="1">
        <v>0</v>
      </c>
      <c r="Q16" s="1">
        <v>0</v>
      </c>
      <c r="R16" s="1">
        <v>925.81093823666447</v>
      </c>
      <c r="S16" s="1">
        <v>1473.9986688804856</v>
      </c>
      <c r="T16" s="1">
        <v>1998.5857310890397</v>
      </c>
      <c r="U16" s="1">
        <v>2763.8826460006062</v>
      </c>
      <c r="V16" s="1">
        <v>3183.7181790599666</v>
      </c>
      <c r="W16" s="1">
        <v>3222.4981112791816</v>
      </c>
      <c r="X16" s="1">
        <v>3259.7040372569054</v>
      </c>
      <c r="Y16" s="1">
        <v>3301.5235923077412</v>
      </c>
      <c r="Z16" s="1">
        <v>3199.5336429714621</v>
      </c>
      <c r="AA16" s="1">
        <v>3143.3548154121863</v>
      </c>
      <c r="AB16" s="8">
        <v>5</v>
      </c>
      <c r="AC16" s="8">
        <f t="shared" si="0"/>
        <v>270829.13163402368</v>
      </c>
    </row>
    <row r="17" spans="1:29" x14ac:dyDescent="0.25">
      <c r="A17" s="3">
        <v>2028</v>
      </c>
      <c r="B17" s="5" t="s">
        <v>56</v>
      </c>
      <c r="C17" s="7" t="s">
        <v>52</v>
      </c>
      <c r="D17" s="1">
        <v>2949.6607610005685</v>
      </c>
      <c r="E17" s="1">
        <v>2839.9047613333282</v>
      </c>
      <c r="F17" s="1">
        <v>2760.2718594633043</v>
      </c>
      <c r="G17" s="1">
        <v>2718.1174351920749</v>
      </c>
      <c r="H17" s="1">
        <v>2692.0396096956724</v>
      </c>
      <c r="I17" s="1">
        <v>2655.4493007385722</v>
      </c>
      <c r="J17" s="1">
        <v>2097.2054550270291</v>
      </c>
      <c r="K17" s="1">
        <v>960.46154769173484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441.6703023161885</v>
      </c>
      <c r="S17" s="1">
        <v>837.05088810873326</v>
      </c>
      <c r="T17" s="1">
        <v>1537.9055096280922</v>
      </c>
      <c r="U17" s="1">
        <v>2211.6150105606121</v>
      </c>
      <c r="V17" s="1">
        <v>2749.5242725386311</v>
      </c>
      <c r="W17" s="1">
        <v>2875.3643345827295</v>
      </c>
      <c r="X17" s="1">
        <v>2973.6898277394548</v>
      </c>
      <c r="Y17" s="1">
        <v>3016.4525355762134</v>
      </c>
      <c r="Z17" s="1">
        <v>2882.1636760329943</v>
      </c>
      <c r="AA17" s="1">
        <v>2794.3320073318891</v>
      </c>
      <c r="AB17" s="8">
        <v>7</v>
      </c>
      <c r="AC17" s="8">
        <f t="shared" si="0"/>
        <v>293950.1536619048</v>
      </c>
    </row>
    <row r="18" spans="1:29" x14ac:dyDescent="0.25">
      <c r="A18" s="3">
        <v>2028</v>
      </c>
      <c r="B18" s="5" t="s">
        <v>25</v>
      </c>
      <c r="C18" s="7" t="s">
        <v>45</v>
      </c>
      <c r="D18" s="1">
        <v>2759.4526582546864</v>
      </c>
      <c r="E18" s="1">
        <v>2710.3631657166952</v>
      </c>
      <c r="F18" s="1">
        <v>2683.4028921759013</v>
      </c>
      <c r="G18" s="1">
        <v>2666.1091235863082</v>
      </c>
      <c r="H18" s="1">
        <v>2673.9258489633999</v>
      </c>
      <c r="I18" s="1">
        <v>2712.1390947754885</v>
      </c>
      <c r="J18" s="1">
        <v>2792.1948117237725</v>
      </c>
      <c r="K18" s="1">
        <v>2913.1601974659852</v>
      </c>
      <c r="L18" s="1">
        <v>2915.5440745169349</v>
      </c>
      <c r="M18" s="1">
        <v>2564.955896923248</v>
      </c>
      <c r="N18" s="1">
        <v>2335.2394731684294</v>
      </c>
      <c r="O18" s="1">
        <v>2197.5851897239727</v>
      </c>
      <c r="P18" s="1">
        <v>2042.0960068306717</v>
      </c>
      <c r="Q18" s="1">
        <v>2199.4455193716985</v>
      </c>
      <c r="R18" s="1">
        <v>2658.8247373404547</v>
      </c>
      <c r="S18" s="1">
        <v>2858.5015848176372</v>
      </c>
      <c r="T18" s="1">
        <v>3174.3562825471076</v>
      </c>
      <c r="U18" s="1">
        <v>3291.099001324279</v>
      </c>
      <c r="V18" s="1">
        <v>3072.155961077598</v>
      </c>
      <c r="W18" s="1">
        <v>2988.7567499656579</v>
      </c>
      <c r="X18" s="1">
        <v>2992.2905850408151</v>
      </c>
      <c r="Y18" s="1">
        <v>2975.9841275071717</v>
      </c>
      <c r="Z18" s="1">
        <v>2882.0453928522579</v>
      </c>
      <c r="AA18" s="1">
        <v>2829.5600953689277</v>
      </c>
      <c r="AB18" s="8">
        <v>21</v>
      </c>
      <c r="AC18" s="8">
        <f t="shared" si="0"/>
        <v>1383672.9578918209</v>
      </c>
    </row>
    <row r="19" spans="1:29" x14ac:dyDescent="0.25">
      <c r="A19" s="3">
        <v>2028</v>
      </c>
      <c r="B19" s="5" t="s">
        <v>25</v>
      </c>
      <c r="C19" s="7" t="s">
        <v>46</v>
      </c>
      <c r="D19" s="1">
        <v>3059.1539113252006</v>
      </c>
      <c r="E19" s="1">
        <v>2978.7436787626684</v>
      </c>
      <c r="F19" s="1">
        <v>2952.0377929942142</v>
      </c>
      <c r="G19" s="1">
        <v>2931.739784989164</v>
      </c>
      <c r="H19" s="1">
        <v>2936.1859696348847</v>
      </c>
      <c r="I19" s="1">
        <v>2897.7434993701245</v>
      </c>
      <c r="J19" s="1">
        <v>2518.6906702966398</v>
      </c>
      <c r="K19" s="1">
        <v>2017.6099774083054</v>
      </c>
      <c r="L19" s="1">
        <v>2041.3325548168523</v>
      </c>
      <c r="M19" s="1">
        <v>1662.8408946792365</v>
      </c>
      <c r="N19" s="1">
        <v>1310.1198387502986</v>
      </c>
      <c r="O19" s="1">
        <v>1079.3930724263719</v>
      </c>
      <c r="P19" s="1">
        <v>0</v>
      </c>
      <c r="Q19" s="1">
        <v>0</v>
      </c>
      <c r="R19" s="1">
        <v>958.95758542099202</v>
      </c>
      <c r="S19" s="1">
        <v>1516.8842118811181</v>
      </c>
      <c r="T19" s="1">
        <v>2050.7908893598469</v>
      </c>
      <c r="U19" s="1">
        <v>2829.6837797123635</v>
      </c>
      <c r="V19" s="1">
        <v>3256.9779520076768</v>
      </c>
      <c r="W19" s="1">
        <v>3296.4468338303473</v>
      </c>
      <c r="X19" s="1">
        <v>3334.313746212164</v>
      </c>
      <c r="Y19" s="1">
        <v>3376.8762516556435</v>
      </c>
      <c r="Z19" s="1">
        <v>3273.074387467258</v>
      </c>
      <c r="AA19" s="1">
        <v>3215.8975081127705</v>
      </c>
      <c r="AB19" s="8">
        <v>4</v>
      </c>
      <c r="AC19" s="8">
        <f t="shared" si="0"/>
        <v>221981.9791644566</v>
      </c>
    </row>
    <row r="20" spans="1:29" x14ac:dyDescent="0.25">
      <c r="A20" s="3">
        <v>2028</v>
      </c>
      <c r="B20" s="5" t="s">
        <v>25</v>
      </c>
      <c r="C20" s="7" t="s">
        <v>52</v>
      </c>
      <c r="D20" s="1">
        <v>3022.3229028139649</v>
      </c>
      <c r="E20" s="1">
        <v>2910.0816698272974</v>
      </c>
      <c r="F20" s="1">
        <v>2828.6456196861077</v>
      </c>
      <c r="G20" s="1">
        <v>2785.5366819479359</v>
      </c>
      <c r="H20" s="1">
        <v>2758.8683695440445</v>
      </c>
      <c r="I20" s="1">
        <v>2721.4495368136286</v>
      </c>
      <c r="J20" s="1">
        <v>2150.5652321756147</v>
      </c>
      <c r="K20" s="1">
        <v>988.08174028247765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457.5433713533817</v>
      </c>
      <c r="S20" s="1">
        <v>861.87666140487693</v>
      </c>
      <c r="T20" s="1">
        <v>1578.6009143134556</v>
      </c>
      <c r="U20" s="1">
        <v>2267.5653926905652</v>
      </c>
      <c r="V20" s="1">
        <v>2817.6546723874267</v>
      </c>
      <c r="W20" s="1">
        <v>2946.3441633106654</v>
      </c>
      <c r="X20" s="1">
        <v>3046.8960658890451</v>
      </c>
      <c r="Y20" s="1">
        <v>3090.627060713914</v>
      </c>
      <c r="Z20" s="1">
        <v>2953.2974639975423</v>
      </c>
      <c r="AA20" s="1">
        <v>2863.4770002399605</v>
      </c>
      <c r="AB20" s="8">
        <v>6</v>
      </c>
      <c r="AC20" s="8">
        <f t="shared" si="0"/>
        <v>258296.6071163514</v>
      </c>
    </row>
    <row r="21" spans="1:29" x14ac:dyDescent="0.25">
      <c r="A21" s="3">
        <v>2028</v>
      </c>
      <c r="B21" s="5" t="s">
        <v>26</v>
      </c>
      <c r="C21" s="7" t="s">
        <v>45</v>
      </c>
      <c r="D21" s="1">
        <v>2799.2371762025818</v>
      </c>
      <c r="E21" s="1">
        <v>2750.3182364577647</v>
      </c>
      <c r="F21" s="1">
        <v>2723.4516316374929</v>
      </c>
      <c r="G21" s="1">
        <v>2706.2179472000262</v>
      </c>
      <c r="H21" s="1">
        <v>2714.0075147419557</v>
      </c>
      <c r="I21" s="1">
        <v>2752.0879953639287</v>
      </c>
      <c r="J21" s="1">
        <v>2831.8655728279941</v>
      </c>
      <c r="K21" s="1">
        <v>2952.4106856492813</v>
      </c>
      <c r="L21" s="1">
        <v>2954.7862803394119</v>
      </c>
      <c r="M21" s="1">
        <v>2605.4161596017025</v>
      </c>
      <c r="N21" s="1">
        <v>2376.4978450894878</v>
      </c>
      <c r="O21" s="1">
        <v>2239.3218172007519</v>
      </c>
      <c r="P21" s="1">
        <v>2084.3728540791317</v>
      </c>
      <c r="Q21" s="1">
        <v>2241.1756834608718</v>
      </c>
      <c r="R21" s="1">
        <v>2698.9588692708116</v>
      </c>
      <c r="S21" s="1">
        <v>2897.9419747207558</v>
      </c>
      <c r="T21" s="1">
        <v>3212.699290950648</v>
      </c>
      <c r="U21" s="1">
        <v>3329.036407719309</v>
      </c>
      <c r="V21" s="1">
        <v>3110.8540464923017</v>
      </c>
      <c r="W21" s="1">
        <v>3027.7445912459907</v>
      </c>
      <c r="X21" s="1">
        <v>3031.2661486337747</v>
      </c>
      <c r="Y21" s="1">
        <v>3015.0163450139394</v>
      </c>
      <c r="Z21" s="1">
        <v>2921.4039839423381</v>
      </c>
      <c r="AA21" s="1">
        <v>2869.1010373781874</v>
      </c>
      <c r="AB21" s="8">
        <v>20</v>
      </c>
      <c r="AC21" s="8">
        <f t="shared" si="0"/>
        <v>1336903.8019044087</v>
      </c>
    </row>
    <row r="22" spans="1:29" x14ac:dyDescent="0.25">
      <c r="A22" s="3">
        <v>2028</v>
      </c>
      <c r="B22" s="5" t="s">
        <v>26</v>
      </c>
      <c r="C22" s="7" t="s">
        <v>46</v>
      </c>
      <c r="D22" s="1">
        <v>3130.2007226211085</v>
      </c>
      <c r="E22" s="1">
        <v>3048.3619522900062</v>
      </c>
      <c r="F22" s="1">
        <v>3021.1816198591368</v>
      </c>
      <c r="G22" s="1">
        <v>3000.5230051236008</v>
      </c>
      <c r="H22" s="1">
        <v>3005.0481790035278</v>
      </c>
      <c r="I22" s="1">
        <v>2965.9227543567163</v>
      </c>
      <c r="J22" s="1">
        <v>2580.1358161361941</v>
      </c>
      <c r="K22" s="1">
        <v>2070.1531132414152</v>
      </c>
      <c r="L22" s="1">
        <v>2094.2971369847874</v>
      </c>
      <c r="M22" s="1">
        <v>1709.081337215131</v>
      </c>
      <c r="N22" s="1">
        <v>1350.0939724582399</v>
      </c>
      <c r="O22" s="1">
        <v>1115.2682016990575</v>
      </c>
      <c r="P22" s="1">
        <v>0</v>
      </c>
      <c r="Q22" s="1">
        <v>0</v>
      </c>
      <c r="R22" s="1">
        <v>992.69310339819356</v>
      </c>
      <c r="S22" s="1">
        <v>1560.5316432129948</v>
      </c>
      <c r="T22" s="1">
        <v>2103.9235047207208</v>
      </c>
      <c r="U22" s="1">
        <v>2896.6539114698467</v>
      </c>
      <c r="V22" s="1">
        <v>3331.5392303638096</v>
      </c>
      <c r="W22" s="1">
        <v>3371.7093014079273</v>
      </c>
      <c r="X22" s="1">
        <v>3410.2489430282085</v>
      </c>
      <c r="Y22" s="1">
        <v>3453.5675978399131</v>
      </c>
      <c r="Z22" s="1">
        <v>3347.9216290056943</v>
      </c>
      <c r="AA22" s="1">
        <v>3289.7289668454137</v>
      </c>
      <c r="AB22" s="8">
        <v>4</v>
      </c>
      <c r="AC22" s="8">
        <f t="shared" si="0"/>
        <v>227395.14256912656</v>
      </c>
    </row>
    <row r="23" spans="1:29" x14ac:dyDescent="0.25">
      <c r="A23" s="3">
        <v>2028</v>
      </c>
      <c r="B23" s="5" t="s">
        <v>26</v>
      </c>
      <c r="C23" s="7" t="s">
        <v>52</v>
      </c>
      <c r="D23" s="1">
        <v>3096.6303521863383</v>
      </c>
      <c r="E23" s="1">
        <v>2981.8476121032227</v>
      </c>
      <c r="F23" s="1">
        <v>2898.5675845409623</v>
      </c>
      <c r="G23" s="1">
        <v>2854.4825200420046</v>
      </c>
      <c r="H23" s="1">
        <v>2827.2103501837601</v>
      </c>
      <c r="I23" s="1">
        <v>2788.9442332032108</v>
      </c>
      <c r="J23" s="1">
        <v>2205.133248477312</v>
      </c>
      <c r="K23" s="1">
        <v>1016.3273439953789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473.77585837385055</v>
      </c>
      <c r="S23" s="1">
        <v>887.26457106862858</v>
      </c>
      <c r="T23" s="1">
        <v>1620.2177955101556</v>
      </c>
      <c r="U23" s="1">
        <v>2324.7826737082842</v>
      </c>
      <c r="V23" s="1">
        <v>2887.3277663967551</v>
      </c>
      <c r="W23" s="1">
        <v>3018.9312065498511</v>
      </c>
      <c r="X23" s="1">
        <v>3121.7599317108434</v>
      </c>
      <c r="Y23" s="1">
        <v>3166.4811386950473</v>
      </c>
      <c r="Z23" s="1">
        <v>3026.0419526119185</v>
      </c>
      <c r="AA23" s="1">
        <v>2934.1876610000645</v>
      </c>
      <c r="AB23" s="8">
        <v>6</v>
      </c>
      <c r="AC23" s="8">
        <f t="shared" si="0"/>
        <v>264779.48280214553</v>
      </c>
    </row>
    <row r="24" spans="1:29" x14ac:dyDescent="0.25">
      <c r="A24" s="3">
        <v>2028</v>
      </c>
      <c r="B24" s="5" t="s">
        <v>27</v>
      </c>
      <c r="C24" s="7" t="s">
        <v>45</v>
      </c>
      <c r="D24" s="1">
        <v>2838.8834698521546</v>
      </c>
      <c r="E24" s="1">
        <v>2790.1344903448794</v>
      </c>
      <c r="F24" s="1">
        <v>2763.3612288096633</v>
      </c>
      <c r="G24" s="1">
        <v>2746.1874197725219</v>
      </c>
      <c r="H24" s="1">
        <v>2753.9499238344029</v>
      </c>
      <c r="I24" s="1">
        <v>2791.8981005355226</v>
      </c>
      <c r="J24" s="1">
        <v>2871.3985048620043</v>
      </c>
      <c r="K24" s="1">
        <v>2991.5248049265851</v>
      </c>
      <c r="L24" s="1">
        <v>2993.8921460315005</v>
      </c>
      <c r="M24" s="1">
        <v>2645.7358502258212</v>
      </c>
      <c r="N24" s="1">
        <v>2417.6128720662591</v>
      </c>
      <c r="O24" s="1">
        <v>2280.9134381185754</v>
      </c>
      <c r="P24" s="1">
        <v>2126.5028178702155</v>
      </c>
      <c r="Q24" s="1">
        <v>2282.7608634469912</v>
      </c>
      <c r="R24" s="1">
        <v>2738.9535622306589</v>
      </c>
      <c r="S24" s="1">
        <v>2937.2453359378142</v>
      </c>
      <c r="T24" s="1">
        <v>3250.9090833268106</v>
      </c>
      <c r="U24" s="1">
        <v>3366.8420072796803</v>
      </c>
      <c r="V24" s="1">
        <v>3149.4176822271097</v>
      </c>
      <c r="W24" s="1">
        <v>3066.5969761407223</v>
      </c>
      <c r="X24" s="1">
        <v>3070.1062984977948</v>
      </c>
      <c r="Y24" s="1">
        <v>3053.9129519577259</v>
      </c>
      <c r="Z24" s="1">
        <v>2960.6258305419228</v>
      </c>
      <c r="AA24" s="1">
        <v>2908.5046013508095</v>
      </c>
      <c r="AB24" s="8">
        <v>19</v>
      </c>
      <c r="AC24" s="8">
        <f t="shared" si="0"/>
        <v>1288159.5349435748</v>
      </c>
    </row>
    <row r="25" spans="1:29" x14ac:dyDescent="0.25">
      <c r="A25" s="3">
        <v>2028</v>
      </c>
      <c r="B25" s="5" t="s">
        <v>27</v>
      </c>
      <c r="C25" s="7" t="s">
        <v>46</v>
      </c>
      <c r="D25" s="1">
        <v>3202.509724686005</v>
      </c>
      <c r="E25" s="1">
        <v>3119.2170377248226</v>
      </c>
      <c r="F25" s="1">
        <v>3091.5538297916396</v>
      </c>
      <c r="G25" s="1">
        <v>3070.5282019228794</v>
      </c>
      <c r="H25" s="1">
        <v>3075.1337683298621</v>
      </c>
      <c r="I25" s="1">
        <v>3035.3132561918428</v>
      </c>
      <c r="J25" s="1">
        <v>2642.6725731890206</v>
      </c>
      <c r="K25" s="1">
        <v>2123.6297105460899</v>
      </c>
      <c r="L25" s="1">
        <v>2148.2026678804182</v>
      </c>
      <c r="M25" s="1">
        <v>1756.1432699580901</v>
      </c>
      <c r="N25" s="1">
        <v>1390.7782715014605</v>
      </c>
      <c r="O25" s="1">
        <v>1151.7806749450801</v>
      </c>
      <c r="P25" s="1">
        <v>0</v>
      </c>
      <c r="Q25" s="1">
        <v>0</v>
      </c>
      <c r="R25" s="1">
        <v>1027.0279538239765</v>
      </c>
      <c r="S25" s="1">
        <v>1604.9544982959492</v>
      </c>
      <c r="T25" s="1">
        <v>2158.0000540234209</v>
      </c>
      <c r="U25" s="1">
        <v>2964.8138092500467</v>
      </c>
      <c r="V25" s="1">
        <v>3407.4251361810279</v>
      </c>
      <c r="W25" s="1">
        <v>3448.3088535090064</v>
      </c>
      <c r="X25" s="1">
        <v>3487.5331758208763</v>
      </c>
      <c r="Y25" s="1">
        <v>3531.6214134643933</v>
      </c>
      <c r="Z25" s="1">
        <v>3424.098578318919</v>
      </c>
      <c r="AA25" s="1">
        <v>3364.8720873398379</v>
      </c>
      <c r="AB25" s="8">
        <v>5</v>
      </c>
      <c r="AC25" s="8">
        <f t="shared" si="0"/>
        <v>291130.5927334734</v>
      </c>
    </row>
    <row r="26" spans="1:29" x14ac:dyDescent="0.25">
      <c r="A26" s="3">
        <v>2028</v>
      </c>
      <c r="B26" s="5" t="s">
        <v>27</v>
      </c>
      <c r="C26" s="7" t="s">
        <v>52</v>
      </c>
      <c r="D26" s="1">
        <v>3172.6203642397659</v>
      </c>
      <c r="E26" s="1">
        <v>3055.2385690615797</v>
      </c>
      <c r="F26" s="1">
        <v>2970.0728104234049</v>
      </c>
      <c r="G26" s="1">
        <v>2924.9895164744485</v>
      </c>
      <c r="H26" s="1">
        <v>2897.0998158622565</v>
      </c>
      <c r="I26" s="1">
        <v>2857.9672293564558</v>
      </c>
      <c r="J26" s="1">
        <v>2260.9368624019107</v>
      </c>
      <c r="K26" s="1">
        <v>1045.2125201752747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490.37590177139896</v>
      </c>
      <c r="S26" s="1">
        <v>913.22734569828867</v>
      </c>
      <c r="T26" s="1">
        <v>1662.7770184477558</v>
      </c>
      <c r="U26" s="1">
        <v>2383.295540331012</v>
      </c>
      <c r="V26" s="1">
        <v>2958.5784861871302</v>
      </c>
      <c r="W26" s="1">
        <v>3093.1618568716899</v>
      </c>
      <c r="X26" s="1">
        <v>3198.3189592944182</v>
      </c>
      <c r="Y26" s="1">
        <v>3244.0528000664708</v>
      </c>
      <c r="Z26" s="1">
        <v>3100.4336133850584</v>
      </c>
      <c r="AA26" s="1">
        <v>3006.4994414319176</v>
      </c>
      <c r="AB26" s="8">
        <v>7</v>
      </c>
      <c r="AC26" s="8">
        <f t="shared" si="0"/>
        <v>316644.01056036167</v>
      </c>
    </row>
    <row r="27" spans="1:29" x14ac:dyDescent="0.25">
      <c r="A27" s="3">
        <v>2028</v>
      </c>
      <c r="B27" s="5" t="s">
        <v>28</v>
      </c>
      <c r="C27" s="7" t="s">
        <v>45</v>
      </c>
      <c r="D27" s="1">
        <v>2878.3920194393763</v>
      </c>
      <c r="E27" s="1">
        <v>2829.812409672742</v>
      </c>
      <c r="F27" s="1">
        <v>2803.1321671177825</v>
      </c>
      <c r="G27" s="1">
        <v>2786.0180254544371</v>
      </c>
      <c r="H27" s="1">
        <v>2793.7535600635629</v>
      </c>
      <c r="I27" s="1">
        <v>2831.5698925104925</v>
      </c>
      <c r="J27" s="1">
        <v>2910.7940866886247</v>
      </c>
      <c r="K27" s="1">
        <v>3030.5030290876357</v>
      </c>
      <c r="L27" s="1">
        <v>3032.862145282963</v>
      </c>
      <c r="M27" s="1">
        <v>2685.915457188441</v>
      </c>
      <c r="N27" s="1">
        <v>2458.5850521254974</v>
      </c>
      <c r="O27" s="1">
        <v>2322.3605562771845</v>
      </c>
      <c r="P27" s="1">
        <v>2168.4864085246177</v>
      </c>
      <c r="Q27" s="1">
        <v>2324.2015630517785</v>
      </c>
      <c r="R27" s="1">
        <v>2778.8093006761333</v>
      </c>
      <c r="S27" s="1">
        <v>2976.4121445508399</v>
      </c>
      <c r="T27" s="1">
        <v>3288.9861225112118</v>
      </c>
      <c r="U27" s="1">
        <v>3404.5162579450175</v>
      </c>
      <c r="V27" s="1">
        <v>3187.8473354037478</v>
      </c>
      <c r="W27" s="1">
        <v>3105.3143752691999</v>
      </c>
      <c r="X27" s="1">
        <v>3108.8115051040195</v>
      </c>
      <c r="Y27" s="1">
        <v>3092.67441949354</v>
      </c>
      <c r="Z27" s="1">
        <v>2999.7114077456522</v>
      </c>
      <c r="AA27" s="1">
        <v>2947.7712645825786</v>
      </c>
      <c r="AB27" s="8">
        <v>21</v>
      </c>
      <c r="AC27" s="8">
        <f t="shared" si="0"/>
        <v>1443692.0506211089</v>
      </c>
    </row>
    <row r="28" spans="1:29" x14ac:dyDescent="0.25">
      <c r="A28" s="3">
        <v>2028</v>
      </c>
      <c r="B28" s="5" t="s">
        <v>28</v>
      </c>
      <c r="C28" s="7" t="s">
        <v>46</v>
      </c>
      <c r="D28" s="1">
        <v>3276.1033411235435</v>
      </c>
      <c r="E28" s="1">
        <v>3191.3309077995186</v>
      </c>
      <c r="F28" s="1">
        <v>3163.1762457805435</v>
      </c>
      <c r="G28" s="1">
        <v>3141.7770845620935</v>
      </c>
      <c r="H28" s="1">
        <v>3146.464471719351</v>
      </c>
      <c r="I28" s="1">
        <v>3105.9365234287411</v>
      </c>
      <c r="J28" s="1">
        <v>2706.3203346069245</v>
      </c>
      <c r="K28" s="1">
        <v>2178.0563528456591</v>
      </c>
      <c r="L28" s="1">
        <v>2203.0658640428337</v>
      </c>
      <c r="M28" s="1">
        <v>1804.0412871923227</v>
      </c>
      <c r="N28" s="1">
        <v>1432.1853524086164</v>
      </c>
      <c r="O28" s="1">
        <v>1188.9418149763319</v>
      </c>
      <c r="P28" s="1">
        <v>0</v>
      </c>
      <c r="Q28" s="1">
        <v>0</v>
      </c>
      <c r="R28" s="1">
        <v>1061.9727842118655</v>
      </c>
      <c r="S28" s="1">
        <v>1650.1665530149617</v>
      </c>
      <c r="T28" s="1">
        <v>2213.0373068412214</v>
      </c>
      <c r="U28" s="1">
        <v>3034.1846099859763</v>
      </c>
      <c r="V28" s="1">
        <v>3484.6592022896334</v>
      </c>
      <c r="W28" s="1">
        <v>3526.2692442713451</v>
      </c>
      <c r="X28" s="1">
        <v>3566.1904110529217</v>
      </c>
      <c r="Y28" s="1">
        <v>3611.0619036456706</v>
      </c>
      <c r="Z28" s="1">
        <v>3501.6288584921654</v>
      </c>
      <c r="AA28" s="1">
        <v>3441.3501720826371</v>
      </c>
      <c r="AB28" s="8">
        <v>4</v>
      </c>
      <c r="AC28" s="8">
        <f t="shared" si="0"/>
        <v>238511.68250549951</v>
      </c>
    </row>
    <row r="29" spans="1:29" x14ac:dyDescent="0.25">
      <c r="A29" s="3">
        <v>2028</v>
      </c>
      <c r="B29" s="5" t="s">
        <v>28</v>
      </c>
      <c r="C29" s="7" t="s">
        <v>52</v>
      </c>
      <c r="D29" s="1">
        <v>3250.3310376736322</v>
      </c>
      <c r="E29" s="1">
        <v>3130.2913363276239</v>
      </c>
      <c r="F29" s="1">
        <v>3043.1971475199498</v>
      </c>
      <c r="G29" s="1">
        <v>2997.0930209549069</v>
      </c>
      <c r="H29" s="1">
        <v>2968.5718066811346</v>
      </c>
      <c r="I29" s="1">
        <v>2928.5531309578478</v>
      </c>
      <c r="J29" s="1">
        <v>2318.0040519040663</v>
      </c>
      <c r="K29" s="1">
        <v>1074.7517508259734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507.35182421957421</v>
      </c>
      <c r="S29" s="1">
        <v>939.77800210908174</v>
      </c>
      <c r="T29" s="1">
        <v>1706.299920812578</v>
      </c>
      <c r="U29" s="1">
        <v>2443.1333288367064</v>
      </c>
      <c r="V29" s="1">
        <v>3031.4425543447296</v>
      </c>
      <c r="W29" s="1">
        <v>3169.0733308939357</v>
      </c>
      <c r="X29" s="1">
        <v>3276.611532623378</v>
      </c>
      <c r="Y29" s="1">
        <v>3323.3809365104921</v>
      </c>
      <c r="Z29" s="1">
        <v>3176.5097436596511</v>
      </c>
      <c r="AA29" s="1">
        <v>3080.4485960999054</v>
      </c>
      <c r="AB29" s="8">
        <v>6</v>
      </c>
      <c r="AC29" s="8">
        <f t="shared" si="0"/>
        <v>278188.93831773096</v>
      </c>
    </row>
    <row r="30" spans="1:29" x14ac:dyDescent="0.25">
      <c r="A30" s="3">
        <v>2028</v>
      </c>
      <c r="B30" s="5" t="s">
        <v>29</v>
      </c>
      <c r="C30" s="7" t="s">
        <v>45</v>
      </c>
      <c r="D30" s="1">
        <v>2917.763303531724</v>
      </c>
      <c r="E30" s="1">
        <v>2869.3524750604061</v>
      </c>
      <c r="F30" s="1">
        <v>2842.7649283076448</v>
      </c>
      <c r="G30" s="1">
        <v>2825.7102467143172</v>
      </c>
      <c r="H30" s="1">
        <v>2833.4189055713</v>
      </c>
      <c r="I30" s="1">
        <v>2871.1038518336723</v>
      </c>
      <c r="J30" s="1">
        <v>2950.052795506952</v>
      </c>
      <c r="K30" s="1">
        <v>3069.3458302760719</v>
      </c>
      <c r="L30" s="1">
        <v>3071.6967501378103</v>
      </c>
      <c r="M30" s="1">
        <v>2725.9554671855635</v>
      </c>
      <c r="N30" s="1">
        <v>2499.4148815636509</v>
      </c>
      <c r="O30" s="1">
        <v>2363.6636737259578</v>
      </c>
      <c r="P30" s="1">
        <v>2210.3241345900137</v>
      </c>
      <c r="Q30" s="1">
        <v>2365.4982842468644</v>
      </c>
      <c r="R30" s="1">
        <v>2818.5265673802132</v>
      </c>
      <c r="S30" s="1">
        <v>3015.4428749877979</v>
      </c>
      <c r="T30" s="1">
        <v>3326.9308697314282</v>
      </c>
      <c r="U30" s="1">
        <v>3442.0596160639157</v>
      </c>
      <c r="V30" s="1">
        <v>3226.1434715210089</v>
      </c>
      <c r="W30" s="1">
        <v>3143.8972576156862</v>
      </c>
      <c r="X30" s="1">
        <v>3147.3822372890236</v>
      </c>
      <c r="Y30" s="1">
        <v>3131.3012171394453</v>
      </c>
      <c r="Z30" s="1">
        <v>3038.6611889975338</v>
      </c>
      <c r="AA30" s="1">
        <v>2986.9015027109999</v>
      </c>
      <c r="AB30" s="8">
        <v>21</v>
      </c>
      <c r="AC30" s="8">
        <f t="shared" si="0"/>
        <v>1463559.5589654692</v>
      </c>
    </row>
    <row r="31" spans="1:29" x14ac:dyDescent="0.25">
      <c r="A31" s="3">
        <v>2028</v>
      </c>
      <c r="B31" s="5" t="s">
        <v>29</v>
      </c>
      <c r="C31" s="7" t="s">
        <v>46</v>
      </c>
      <c r="D31" s="1">
        <v>3351.0043939066359</v>
      </c>
      <c r="E31" s="1">
        <v>3264.7259256057469</v>
      </c>
      <c r="F31" s="1">
        <v>3236.0710785136325</v>
      </c>
      <c r="G31" s="1">
        <v>3214.2917478933282</v>
      </c>
      <c r="H31" s="1">
        <v>3219.0624093973529</v>
      </c>
      <c r="I31" s="1">
        <v>3177.8144569111232</v>
      </c>
      <c r="J31" s="1">
        <v>2771.0988380731078</v>
      </c>
      <c r="K31" s="1">
        <v>2233.4499182800537</v>
      </c>
      <c r="L31" s="1">
        <v>2258.9037389908322</v>
      </c>
      <c r="M31" s="1">
        <v>1852.7902424785684</v>
      </c>
      <c r="N31" s="1">
        <v>1474.3280558488386</v>
      </c>
      <c r="O31" s="1">
        <v>1226.7631457614962</v>
      </c>
      <c r="P31" s="1">
        <v>0</v>
      </c>
      <c r="Q31" s="1">
        <v>0</v>
      </c>
      <c r="R31" s="1">
        <v>1097.538431235082</v>
      </c>
      <c r="S31" s="1">
        <v>1696.1818279921736</v>
      </c>
      <c r="T31" s="1">
        <v>2269.0523306692899</v>
      </c>
      <c r="U31" s="1">
        <v>3104.7878261214032</v>
      </c>
      <c r="V31" s="1">
        <v>3563.2653795952883</v>
      </c>
      <c r="W31" s="1">
        <v>3605.6146498397266</v>
      </c>
      <c r="X31" s="1">
        <v>3646.2450409662088</v>
      </c>
      <c r="Y31" s="1">
        <v>3691.9137035192734</v>
      </c>
      <c r="Z31" s="1">
        <v>3580.5365122894609</v>
      </c>
      <c r="AA31" s="1">
        <v>3519.1869375435654</v>
      </c>
      <c r="AB31" s="8">
        <v>5</v>
      </c>
      <c r="AC31" s="8">
        <f t="shared" si="0"/>
        <v>305273.13295716094</v>
      </c>
    </row>
    <row r="32" spans="1:29" x14ac:dyDescent="0.25">
      <c r="A32" s="3">
        <v>2028</v>
      </c>
      <c r="B32" s="5" t="s">
        <v>29</v>
      </c>
      <c r="C32" s="7" t="s">
        <v>52</v>
      </c>
      <c r="D32" s="1">
        <v>3329.8013338659671</v>
      </c>
      <c r="E32" s="1">
        <v>3207.0435426994145</v>
      </c>
      <c r="F32" s="1">
        <v>3117.9772577821013</v>
      </c>
      <c r="G32" s="1">
        <v>3070.8291836255835</v>
      </c>
      <c r="H32" s="1">
        <v>3041.6621561640254</v>
      </c>
      <c r="I32" s="1">
        <v>3000.7373272772816</v>
      </c>
      <c r="J32" s="1">
        <v>2376.3634284504546</v>
      </c>
      <c r="K32" s="1">
        <v>1104.9598458710193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524.71213684436054</v>
      </c>
      <c r="S32" s="1">
        <v>966.92985185932616</v>
      </c>
      <c r="T32" s="1">
        <v>1750.8083234456603</v>
      </c>
      <c r="U32" s="1">
        <v>2504.3260397722092</v>
      </c>
      <c r="V32" s="1">
        <v>3105.9565023314344</v>
      </c>
      <c r="W32" s="1">
        <v>3246.7036879397874</v>
      </c>
      <c r="X32" s="1">
        <v>3356.6769048197416</v>
      </c>
      <c r="Y32" s="1">
        <v>3404.505320343781</v>
      </c>
      <c r="Z32" s="1">
        <v>3254.3084853117057</v>
      </c>
      <c r="AA32" s="1">
        <v>3156.0722004898362</v>
      </c>
      <c r="AB32" s="8">
        <v>4</v>
      </c>
      <c r="AC32" s="8">
        <f t="shared" si="0"/>
        <v>190081.49411557475</v>
      </c>
    </row>
    <row r="33" spans="1:29" x14ac:dyDescent="0.25">
      <c r="A33" s="3">
        <v>2028</v>
      </c>
      <c r="B33" s="5" t="s">
        <v>30</v>
      </c>
      <c r="C33" s="7" t="s">
        <v>45</v>
      </c>
      <c r="D33" s="1">
        <v>2956.9977990339758</v>
      </c>
      <c r="E33" s="1">
        <v>2908.7551654570998</v>
      </c>
      <c r="F33" s="1">
        <v>2882.2599924513033</v>
      </c>
      <c r="G33" s="1">
        <v>2865.2645643444562</v>
      </c>
      <c r="H33" s="1">
        <v>2872.9464408243616</v>
      </c>
      <c r="I33" s="1">
        <v>2910.5004573803271</v>
      </c>
      <c r="J33" s="1">
        <v>2989.1751068581393</v>
      </c>
      <c r="K33" s="1">
        <v>3108.0536789951529</v>
      </c>
      <c r="L33" s="1">
        <v>3110.3964310000197</v>
      </c>
      <c r="M33" s="1">
        <v>2765.856365222251</v>
      </c>
      <c r="N33" s="1">
        <v>2540.1028549528728</v>
      </c>
      <c r="O33" s="1">
        <v>2404.8232907699908</v>
      </c>
      <c r="P33" s="1">
        <v>2252.0165028472193</v>
      </c>
      <c r="Q33" s="1">
        <v>2406.6515272598667</v>
      </c>
      <c r="R33" s="1">
        <v>2858.1058434385686</v>
      </c>
      <c r="S33" s="1">
        <v>3054.3380000283369</v>
      </c>
      <c r="T33" s="1">
        <v>3364.7437846125817</v>
      </c>
      <c r="U33" s="1">
        <v>3479.4725363994662</v>
      </c>
      <c r="V33" s="1">
        <v>3264.3065544603924</v>
      </c>
      <c r="W33" s="1">
        <v>3182.3460905350412</v>
      </c>
      <c r="X33" s="1">
        <v>3185.8189622604914</v>
      </c>
      <c r="Y33" s="1">
        <v>3169.7938127822486</v>
      </c>
      <c r="Z33" s="1">
        <v>3077.4756460966778</v>
      </c>
      <c r="AA33" s="1">
        <v>3025.8957897210589</v>
      </c>
      <c r="AB33" s="8">
        <v>21</v>
      </c>
      <c r="AC33" s="8">
        <f t="shared" si="0"/>
        <v>1483358.0411523704</v>
      </c>
    </row>
    <row r="34" spans="1:29" x14ac:dyDescent="0.25">
      <c r="A34" s="3">
        <v>2028</v>
      </c>
      <c r="B34" s="5" t="s">
        <v>30</v>
      </c>
      <c r="C34" s="7" t="s">
        <v>46</v>
      </c>
      <c r="D34" s="1">
        <v>3427.2361104547294</v>
      </c>
      <c r="E34" s="1">
        <v>3339.4248515293843</v>
      </c>
      <c r="F34" s="1">
        <v>3310.260933265366</v>
      </c>
      <c r="G34" s="1">
        <v>3288.0946792974505</v>
      </c>
      <c r="H34" s="1">
        <v>3292.9500945687805</v>
      </c>
      <c r="I34" s="1">
        <v>3250.9693465648047</v>
      </c>
      <c r="J34" s="1">
        <v>2837.0281719229856</v>
      </c>
      <c r="K34" s="1">
        <v>2289.8275848398521</v>
      </c>
      <c r="L34" s="1">
        <v>2315.7336084989488</v>
      </c>
      <c r="M34" s="1">
        <v>1902.4052532603082</v>
      </c>
      <c r="N34" s="1">
        <v>1517.2194506137275</v>
      </c>
      <c r="O34" s="1">
        <v>1265.2563959997246</v>
      </c>
      <c r="P34" s="1">
        <v>0</v>
      </c>
      <c r="Q34" s="1">
        <v>0</v>
      </c>
      <c r="R34" s="1">
        <v>1133.7359240870837</v>
      </c>
      <c r="S34" s="1">
        <v>1743.0145929347946</v>
      </c>
      <c r="T34" s="1">
        <v>2326.0624962174561</v>
      </c>
      <c r="U34" s="1">
        <v>3176.6453522820316</v>
      </c>
      <c r="V34" s="1">
        <v>3643.268044506382</v>
      </c>
      <c r="W34" s="1">
        <v>3686.3696758631763</v>
      </c>
      <c r="X34" s="1">
        <v>3727.7218911459413</v>
      </c>
      <c r="Y34" s="1">
        <v>3774.201885879228</v>
      </c>
      <c r="Z34" s="1">
        <v>3660.8460096094823</v>
      </c>
      <c r="AA34" s="1">
        <v>3598.4065215302053</v>
      </c>
      <c r="AB34" s="8">
        <v>4</v>
      </c>
      <c r="AC34" s="8">
        <f t="shared" si="0"/>
        <v>250026.71549948739</v>
      </c>
    </row>
    <row r="35" spans="1:29" x14ac:dyDescent="0.25">
      <c r="A35" s="3">
        <v>2028</v>
      </c>
      <c r="B35" s="5" t="s">
        <v>30</v>
      </c>
      <c r="C35" s="7" t="s">
        <v>52</v>
      </c>
      <c r="D35" s="1">
        <v>3411.071096407301</v>
      </c>
      <c r="E35" s="1">
        <v>3285.5336690135596</v>
      </c>
      <c r="F35" s="1">
        <v>3194.4506333073582</v>
      </c>
      <c r="G35" s="1">
        <v>3146.2349731856461</v>
      </c>
      <c r="H35" s="1">
        <v>3116.4075092222488</v>
      </c>
      <c r="I35" s="1">
        <v>3074.5560089129899</v>
      </c>
      <c r="J35" s="1">
        <v>2436.044251364548</v>
      </c>
      <c r="K35" s="1">
        <v>1135.8519505788622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542.46554349135613</v>
      </c>
      <c r="S35" s="1">
        <v>994.69650792437767</v>
      </c>
      <c r="T35" s="1">
        <v>1796.3245412829551</v>
      </c>
      <c r="U35" s="1">
        <v>2566.9043529944579</v>
      </c>
      <c r="V35" s="1">
        <v>3182.1576888004097</v>
      </c>
      <c r="W35" s="1">
        <v>3326.0918491194843</v>
      </c>
      <c r="X35" s="1">
        <v>3438.5552178240609</v>
      </c>
      <c r="Y35" s="1">
        <v>3487.4666244577993</v>
      </c>
      <c r="Z35" s="1">
        <v>3333.8688438735362</v>
      </c>
      <c r="AA35" s="1">
        <v>3233.408169597275</v>
      </c>
      <c r="AB35" s="8">
        <v>6</v>
      </c>
      <c r="AC35" s="8">
        <f t="shared" si="0"/>
        <v>292212.53658814932</v>
      </c>
    </row>
    <row r="36" spans="1:29" x14ac:dyDescent="0.25">
      <c r="A36" s="3">
        <v>2028</v>
      </c>
      <c r="B36" s="5" t="s">
        <v>31</v>
      </c>
      <c r="C36" s="7" t="s">
        <v>45</v>
      </c>
      <c r="D36" s="1">
        <v>2996.0959811939883</v>
      </c>
      <c r="E36" s="1">
        <v>2948.0209581480262</v>
      </c>
      <c r="F36" s="1">
        <v>2921.6178379528851</v>
      </c>
      <c r="G36" s="1">
        <v>2904.6814574667192</v>
      </c>
      <c r="H36" s="1">
        <v>2912.3366446201981</v>
      </c>
      <c r="I36" s="1">
        <v>2949.7601863619543</v>
      </c>
      <c r="J36" s="1">
        <v>3028.1614946311556</v>
      </c>
      <c r="K36" s="1">
        <v>3146.6270441134575</v>
      </c>
      <c r="L36" s="1">
        <v>3148.9616566392324</v>
      </c>
      <c r="M36" s="1">
        <v>2805.6186346185009</v>
      </c>
      <c r="N36" s="1">
        <v>2580.649465147013</v>
      </c>
      <c r="O36" s="1">
        <v>2445.8399059761582</v>
      </c>
      <c r="P36" s="1">
        <v>2293.56401831633</v>
      </c>
      <c r="Q36" s="1">
        <v>2447.661790580451</v>
      </c>
      <c r="R36" s="1">
        <v>2897.5476082753867</v>
      </c>
      <c r="S36" s="1">
        <v>3093.0979908095151</v>
      </c>
      <c r="T36" s="1">
        <v>3402.4253251829082</v>
      </c>
      <c r="U36" s="1">
        <v>3516.7554721347669</v>
      </c>
      <c r="V36" s="1">
        <v>3302.3370464917234</v>
      </c>
      <c r="W36" s="1">
        <v>3220.6613397583819</v>
      </c>
      <c r="X36" s="1">
        <v>3224.122145602877</v>
      </c>
      <c r="Y36" s="1">
        <v>3208.1526726831653</v>
      </c>
      <c r="Z36" s="1">
        <v>3116.1552492030114</v>
      </c>
      <c r="AA36" s="1">
        <v>3064.7545979509646</v>
      </c>
      <c r="AB36" s="8">
        <v>20</v>
      </c>
      <c r="AC36" s="8">
        <f t="shared" si="0"/>
        <v>1431512.1304771756</v>
      </c>
    </row>
    <row r="37" spans="1:29" x14ac:dyDescent="0.25">
      <c r="A37" s="3">
        <v>2028</v>
      </c>
      <c r="B37" s="5" t="s">
        <v>31</v>
      </c>
      <c r="C37" s="7" t="s">
        <v>46</v>
      </c>
      <c r="D37" s="1">
        <v>3504.8221308368184</v>
      </c>
      <c r="E37" s="1">
        <v>3415.4508503087127</v>
      </c>
      <c r="F37" s="1">
        <v>3385.768816906957</v>
      </c>
      <c r="G37" s="1">
        <v>3363.2087656576286</v>
      </c>
      <c r="H37" s="1">
        <v>3368.1504403996273</v>
      </c>
      <c r="I37" s="1">
        <v>3325.4238783099895</v>
      </c>
      <c r="J37" s="1">
        <v>2904.1287813737385</v>
      </c>
      <c r="K37" s="1">
        <v>2347.2068356933146</v>
      </c>
      <c r="L37" s="1">
        <v>2373.5730959672192</v>
      </c>
      <c r="M37" s="1">
        <v>1952.9017055518038</v>
      </c>
      <c r="N37" s="1">
        <v>1560.8728376700906</v>
      </c>
      <c r="O37" s="1">
        <v>1304.4335027578004</v>
      </c>
      <c r="P37" s="1">
        <v>0</v>
      </c>
      <c r="Q37" s="1">
        <v>0</v>
      </c>
      <c r="R37" s="1">
        <v>1170.5764879018066</v>
      </c>
      <c r="S37" s="1">
        <v>1790.6793710602537</v>
      </c>
      <c r="T37" s="1">
        <v>2384.0854827970084</v>
      </c>
      <c r="U37" s="1">
        <v>3249.7794720652023</v>
      </c>
      <c r="V37" s="1">
        <v>3724.6920064933529</v>
      </c>
      <c r="W37" s="1">
        <v>3768.5593651253703</v>
      </c>
      <c r="X37" s="1">
        <v>3810.646228219277</v>
      </c>
      <c r="Y37" s="1">
        <v>3857.9519689533331</v>
      </c>
      <c r="Z37" s="1">
        <v>3742.5822550738685</v>
      </c>
      <c r="AA37" s="1">
        <v>3679.0334906732965</v>
      </c>
      <c r="AB37" s="8">
        <v>4</v>
      </c>
      <c r="AC37" s="8">
        <f t="shared" si="0"/>
        <v>255938.11107918588</v>
      </c>
    </row>
    <row r="38" spans="1:29" x14ac:dyDescent="0.25">
      <c r="A38" s="3">
        <v>2028</v>
      </c>
      <c r="B38" s="5" t="s">
        <v>31</v>
      </c>
      <c r="C38" s="7" t="s">
        <v>52</v>
      </c>
      <c r="D38" s="1">
        <v>3494.1810710768282</v>
      </c>
      <c r="E38" s="1">
        <v>3365.8010674381435</v>
      </c>
      <c r="F38" s="1">
        <v>3272.6556151364221</v>
      </c>
      <c r="G38" s="1">
        <v>3223.3481954260228</v>
      </c>
      <c r="H38" s="1">
        <v>3192.8453405272726</v>
      </c>
      <c r="I38" s="1">
        <v>3150.0461859362258</v>
      </c>
      <c r="J38" s="1">
        <v>2497.0764424962022</v>
      </c>
      <c r="K38" s="1">
        <v>1167.4435531561603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560.62094508957284</v>
      </c>
      <c r="S38" s="1">
        <v>1023.0918915216931</v>
      </c>
      <c r="T38" s="1">
        <v>1842.8713945432473</v>
      </c>
      <c r="U38" s="1">
        <v>2630.899643052278</v>
      </c>
      <c r="V38" s="1">
        <v>3260.0843183264087</v>
      </c>
      <c r="W38" s="1">
        <v>3407.2776168439714</v>
      </c>
      <c r="X38" s="1">
        <v>3522.2875225211696</v>
      </c>
      <c r="Y38" s="1">
        <v>3572.3064427107474</v>
      </c>
      <c r="Z38" s="1">
        <v>3415.230708089754</v>
      </c>
      <c r="AA38" s="1">
        <v>3312.4952769367806</v>
      </c>
      <c r="AB38" s="8">
        <v>6</v>
      </c>
      <c r="AC38" s="8">
        <f t="shared" si="0"/>
        <v>299463.37938497338</v>
      </c>
    </row>
    <row r="39" spans="1:29" x14ac:dyDescent="0.25">
      <c r="A39" s="3">
        <v>2028</v>
      </c>
      <c r="B39" s="5" t="s">
        <v>32</v>
      </c>
      <c r="C39" s="7" t="s">
        <v>45</v>
      </c>
      <c r="D39" s="1">
        <v>3035.0583236084531</v>
      </c>
      <c r="E39" s="1">
        <v>2987.1503287601454</v>
      </c>
      <c r="F39" s="1">
        <v>2960.838941554387</v>
      </c>
      <c r="G39" s="1">
        <v>2943.9614035383474</v>
      </c>
      <c r="H39" s="1">
        <v>2951.589994092762</v>
      </c>
      <c r="I39" s="1">
        <v>2988.8835143320639</v>
      </c>
      <c r="J39" s="1">
        <v>3067.012431068526</v>
      </c>
      <c r="K39" s="1">
        <v>3185.066392870563</v>
      </c>
      <c r="L39" s="1">
        <v>3187.3928941964323</v>
      </c>
      <c r="M39" s="1">
        <v>2845.2427570151008</v>
      </c>
      <c r="N39" s="1">
        <v>2621.0552032875867</v>
      </c>
      <c r="O39" s="1">
        <v>2486.7140161791513</v>
      </c>
      <c r="P39" s="1">
        <v>2334.9671842628372</v>
      </c>
      <c r="Q39" s="1">
        <v>2488.5295709663683</v>
      </c>
      <c r="R39" s="1">
        <v>2936.8523396491796</v>
      </c>
      <c r="S39" s="1">
        <v>3131.7233168315083</v>
      </c>
      <c r="T39" s="1">
        <v>3439.9759478793048</v>
      </c>
      <c r="U39" s="1">
        <v>3553.9088748784102</v>
      </c>
      <c r="V39" s="1">
        <v>3340.2354082787524</v>
      </c>
      <c r="W39" s="1">
        <v>3258.8434693987256</v>
      </c>
      <c r="X39" s="1">
        <v>3262.2922512830432</v>
      </c>
      <c r="Y39" s="1">
        <v>3246.378261483469</v>
      </c>
      <c r="Z39" s="1">
        <v>3154.7004668429736</v>
      </c>
      <c r="AA39" s="1">
        <v>3103.47839809787</v>
      </c>
      <c r="AB39" s="8">
        <v>19</v>
      </c>
      <c r="AC39" s="8">
        <f t="shared" si="0"/>
        <v>1377725.1821167634</v>
      </c>
    </row>
    <row r="40" spans="1:29" x14ac:dyDescent="0.25">
      <c r="A40" s="3">
        <v>2028</v>
      </c>
      <c r="B40" s="5" t="s">
        <v>32</v>
      </c>
      <c r="C40" s="7" t="s">
        <v>46</v>
      </c>
      <c r="D40" s="1">
        <v>3583.7865151024175</v>
      </c>
      <c r="E40" s="1">
        <v>3492.8274982179896</v>
      </c>
      <c r="F40" s="1">
        <v>3462.6181450409877</v>
      </c>
      <c r="G40" s="1">
        <v>3439.6573004567381</v>
      </c>
      <c r="H40" s="1">
        <v>3444.686767122525</v>
      </c>
      <c r="I40" s="1">
        <v>3401.2011410963573</v>
      </c>
      <c r="J40" s="1">
        <v>2972.4214748645413</v>
      </c>
      <c r="K40" s="1">
        <v>2405.6054646080538</v>
      </c>
      <c r="L40" s="1">
        <v>2432.4401378863349</v>
      </c>
      <c r="M40" s="1">
        <v>2004.2952587094246</v>
      </c>
      <c r="N40" s="1">
        <v>1605.3017542846792</v>
      </c>
      <c r="O40" s="1">
        <v>1344.3066151719186</v>
      </c>
      <c r="P40" s="1">
        <v>0</v>
      </c>
      <c r="Q40" s="1">
        <v>0</v>
      </c>
      <c r="R40" s="1">
        <v>1208.0715472346692</v>
      </c>
      <c r="S40" s="1">
        <v>1839.190943599966</v>
      </c>
      <c r="T40" s="1">
        <v>2443.1392838031907</v>
      </c>
      <c r="U40" s="1">
        <v>3324.2128649502151</v>
      </c>
      <c r="V40" s="1">
        <v>3807.5625157823047</v>
      </c>
      <c r="W40" s="1">
        <v>3852.2092053106048</v>
      </c>
      <c r="X40" s="1">
        <v>3895.0437676907127</v>
      </c>
      <c r="Y40" s="1">
        <v>3943.1899243165676</v>
      </c>
      <c r="Z40" s="1">
        <v>3825.7705957503431</v>
      </c>
      <c r="AA40" s="1">
        <v>3761.0928480450457</v>
      </c>
      <c r="AB40" s="8">
        <v>5</v>
      </c>
      <c r="AC40" s="8">
        <f t="shared" si="0"/>
        <v>327443.15784522792</v>
      </c>
    </row>
    <row r="41" spans="1:29" x14ac:dyDescent="0.25">
      <c r="A41" s="3">
        <v>2028</v>
      </c>
      <c r="B41" s="5" t="s">
        <v>32</v>
      </c>
      <c r="C41" s="7" t="s">
        <v>52</v>
      </c>
      <c r="D41" s="1">
        <v>3579.1729262708977</v>
      </c>
      <c r="E41" s="1">
        <v>3447.8859812025112</v>
      </c>
      <c r="F41" s="1">
        <v>3352.631412476037</v>
      </c>
      <c r="G41" s="1">
        <v>3302.2075121838857</v>
      </c>
      <c r="H41" s="1">
        <v>3271.0139732991861</v>
      </c>
      <c r="I41" s="1">
        <v>3227.2457064468008</v>
      </c>
      <c r="J41" s="1">
        <v>2559.4906012234128</v>
      </c>
      <c r="K41" s="1">
        <v>1199.750492513017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579.18744411404657</v>
      </c>
      <c r="S41" s="1">
        <v>1052.1302390904352</v>
      </c>
      <c r="T41" s="1">
        <v>1890.472220169403</v>
      </c>
      <c r="U41" s="1">
        <v>2696.3439949164713</v>
      </c>
      <c r="V41" s="1">
        <v>3339.7754605601945</v>
      </c>
      <c r="W41" s="1">
        <v>3490.3016947804185</v>
      </c>
      <c r="X41" s="1">
        <v>3607.91579932164</v>
      </c>
      <c r="Y41" s="1">
        <v>3659.0673107812513</v>
      </c>
      <c r="Z41" s="1">
        <v>3498.4348699160696</v>
      </c>
      <c r="AA41" s="1">
        <v>3393.3731739815703</v>
      </c>
      <c r="AB41" s="8">
        <v>7</v>
      </c>
      <c r="AC41" s="8">
        <f t="shared" si="0"/>
        <v>358024.80569273076</v>
      </c>
    </row>
    <row r="42" spans="1:29" x14ac:dyDescent="0.25">
      <c r="B42" s="5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8"/>
      <c r="AC42" s="8"/>
    </row>
    <row r="43" spans="1:29" x14ac:dyDescent="0.25">
      <c r="B43" s="5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8"/>
      <c r="AC43" s="8"/>
    </row>
    <row r="44" spans="1:29" x14ac:dyDescent="0.25">
      <c r="B44" s="5"/>
      <c r="C44" s="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8"/>
      <c r="AC44" s="8"/>
    </row>
    <row r="45" spans="1:29" x14ac:dyDescent="0.25">
      <c r="B45" s="5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8"/>
      <c r="AC45" s="8"/>
    </row>
    <row r="46" spans="1:29" x14ac:dyDescent="0.25">
      <c r="B46" s="5"/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8"/>
      <c r="AC46" s="8"/>
    </row>
    <row r="47" spans="1:29" x14ac:dyDescent="0.25">
      <c r="B47" s="5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8"/>
      <c r="AC47" s="8"/>
    </row>
    <row r="48" spans="1:29" x14ac:dyDescent="0.25">
      <c r="B48" s="5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8"/>
      <c r="AC48" s="8"/>
    </row>
    <row r="49" spans="2:29" x14ac:dyDescent="0.25">
      <c r="B49" s="5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8"/>
      <c r="AC49" s="8"/>
    </row>
    <row r="50" spans="2:29" x14ac:dyDescent="0.25">
      <c r="B50" s="5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8"/>
      <c r="AC50" s="8"/>
    </row>
    <row r="51" spans="2:29" x14ac:dyDescent="0.25">
      <c r="B51" s="5"/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8"/>
      <c r="AC51" s="8"/>
    </row>
    <row r="52" spans="2:29" x14ac:dyDescent="0.25">
      <c r="B52" s="5"/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8"/>
      <c r="AC52" s="8"/>
    </row>
    <row r="53" spans="2:29" x14ac:dyDescent="0.25">
      <c r="B53" s="5"/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8"/>
      <c r="AC53" s="8"/>
    </row>
    <row r="54" spans="2:29" x14ac:dyDescent="0.25">
      <c r="B54" s="5"/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8"/>
      <c r="AC54" s="8"/>
    </row>
    <row r="55" spans="2:29" x14ac:dyDescent="0.25">
      <c r="B55" s="5"/>
      <c r="C55" s="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8"/>
      <c r="AC55" s="8"/>
    </row>
    <row r="56" spans="2:29" x14ac:dyDescent="0.25">
      <c r="B56" s="5"/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8"/>
      <c r="AC56" s="8"/>
    </row>
    <row r="57" spans="2:29" x14ac:dyDescent="0.25">
      <c r="B57" s="5"/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8"/>
      <c r="AC57" s="8"/>
    </row>
    <row r="58" spans="2:29" x14ac:dyDescent="0.25">
      <c r="B58" s="5"/>
      <c r="C58" s="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8"/>
      <c r="AC58" s="8"/>
    </row>
    <row r="59" spans="2:29" x14ac:dyDescent="0.25">
      <c r="B59" s="5"/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8"/>
      <c r="AC59" s="8"/>
    </row>
    <row r="60" spans="2:29" x14ac:dyDescent="0.25">
      <c r="B60" s="5"/>
      <c r="C60" s="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8"/>
      <c r="AC60" s="8"/>
    </row>
    <row r="61" spans="2:29" x14ac:dyDescent="0.25">
      <c r="B61" s="5"/>
      <c r="C61" s="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8"/>
      <c r="AC61" s="8"/>
    </row>
    <row r="62" spans="2:29" x14ac:dyDescent="0.25">
      <c r="B62" s="5"/>
      <c r="C62" s="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8"/>
      <c r="AC62" s="8"/>
    </row>
    <row r="63" spans="2:29" x14ac:dyDescent="0.25">
      <c r="B63" s="5"/>
      <c r="C63" s="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8"/>
      <c r="AC63" s="8"/>
    </row>
    <row r="64" spans="2:29" x14ac:dyDescent="0.25">
      <c r="B64" s="5"/>
      <c r="C64" s="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8"/>
      <c r="AC64" s="8"/>
    </row>
    <row r="65" spans="2:29" x14ac:dyDescent="0.25">
      <c r="B65" s="5"/>
      <c r="C65" s="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8"/>
      <c r="AC65" s="8"/>
    </row>
    <row r="66" spans="2:29" x14ac:dyDescent="0.25">
      <c r="B66" s="5"/>
      <c r="C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8"/>
      <c r="AC66" s="8"/>
    </row>
    <row r="67" spans="2:29" x14ac:dyDescent="0.25">
      <c r="B67" s="5"/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8"/>
      <c r="AC67" s="8"/>
    </row>
    <row r="68" spans="2:29" x14ac:dyDescent="0.25">
      <c r="B68" s="5"/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8"/>
      <c r="AC68" s="8"/>
    </row>
    <row r="69" spans="2:29" x14ac:dyDescent="0.25">
      <c r="B69" s="5"/>
      <c r="C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8"/>
      <c r="AC69" s="8"/>
    </row>
    <row r="70" spans="2:29" x14ac:dyDescent="0.25">
      <c r="B70" s="5"/>
      <c r="C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8"/>
      <c r="AC70" s="8"/>
    </row>
    <row r="71" spans="2:29" x14ac:dyDescent="0.25">
      <c r="B71" s="5"/>
      <c r="C71" s="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8"/>
      <c r="AC71" s="8"/>
    </row>
    <row r="72" spans="2:29" x14ac:dyDescent="0.25">
      <c r="B72" s="5"/>
      <c r="C72" s="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8"/>
      <c r="AC72" s="8"/>
    </row>
    <row r="73" spans="2:29" x14ac:dyDescent="0.25">
      <c r="B73" s="5"/>
      <c r="C73" s="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8"/>
      <c r="AC73" s="8"/>
    </row>
    <row r="74" spans="2:29" x14ac:dyDescent="0.25">
      <c r="B74" s="5"/>
      <c r="C74" s="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8"/>
      <c r="AC74" s="8"/>
    </row>
    <row r="75" spans="2:29" x14ac:dyDescent="0.25">
      <c r="B75" s="5"/>
      <c r="C75" s="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8"/>
      <c r="AC75" s="8"/>
    </row>
    <row r="76" spans="2:29" x14ac:dyDescent="0.25">
      <c r="B76" s="5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8"/>
      <c r="AC76" s="8"/>
    </row>
    <row r="77" spans="2:29" x14ac:dyDescent="0.25">
      <c r="B77" s="5"/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8"/>
      <c r="AC77" s="8"/>
    </row>
    <row r="78" spans="2:29" x14ac:dyDescent="0.25">
      <c r="B78" s="5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8"/>
      <c r="AC78" s="8"/>
    </row>
    <row r="79" spans="2:29" x14ac:dyDescent="0.25">
      <c r="B79" s="5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8"/>
      <c r="AC79" s="8"/>
    </row>
    <row r="80" spans="2:29" x14ac:dyDescent="0.25">
      <c r="B80" s="5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8"/>
      <c r="AC80" s="8"/>
    </row>
    <row r="81" spans="2:29" x14ac:dyDescent="0.25">
      <c r="B81" s="5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8"/>
      <c r="AC81" s="8"/>
    </row>
    <row r="82" spans="2:29" x14ac:dyDescent="0.25">
      <c r="B82" s="5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8"/>
      <c r="AC82" s="8"/>
    </row>
    <row r="83" spans="2:29" x14ac:dyDescent="0.25">
      <c r="B83" s="5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8"/>
      <c r="AC83" s="8"/>
    </row>
    <row r="84" spans="2:29" x14ac:dyDescent="0.25">
      <c r="B84" s="5"/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8"/>
      <c r="AC84" s="8"/>
    </row>
    <row r="85" spans="2:29" x14ac:dyDescent="0.25">
      <c r="B85" s="5"/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8"/>
      <c r="AC85" s="8"/>
    </row>
    <row r="86" spans="2:29" x14ac:dyDescent="0.25">
      <c r="B86" s="5"/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8"/>
      <c r="AC86" s="8"/>
    </row>
    <row r="87" spans="2:29" x14ac:dyDescent="0.25">
      <c r="B87" s="5"/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8"/>
      <c r="AC87" s="8"/>
    </row>
    <row r="88" spans="2:29" x14ac:dyDescent="0.25">
      <c r="B88" s="5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8"/>
      <c r="AC88" s="8"/>
    </row>
    <row r="89" spans="2:29" x14ac:dyDescent="0.25">
      <c r="B89" s="5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8"/>
      <c r="AC89" s="8"/>
    </row>
    <row r="90" spans="2:29" x14ac:dyDescent="0.25">
      <c r="B90" s="5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8"/>
      <c r="AC90" s="8"/>
    </row>
    <row r="91" spans="2:29" x14ac:dyDescent="0.25">
      <c r="B91" s="5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8"/>
      <c r="AC91" s="8"/>
    </row>
    <row r="92" spans="2:29" x14ac:dyDescent="0.25">
      <c r="B92" s="5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8"/>
      <c r="AC92" s="8"/>
    </row>
    <row r="93" spans="2:29" x14ac:dyDescent="0.25">
      <c r="B93" s="5"/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8"/>
      <c r="AC93" s="8"/>
    </row>
  </sheetData>
  <mergeCells count="3">
    <mergeCell ref="B1:AB1"/>
    <mergeCell ref="B2:AB2"/>
    <mergeCell ref="B3:AB3"/>
  </mergeCells>
  <printOptions horizontalCentered="1"/>
  <pageMargins left="0" right="0" top="0" bottom="0" header="0" footer="0"/>
  <pageSetup scale="85" orientation="landscape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AC2BEAA0673E4F96E3E812374ED63B" ma:contentTypeVersion="13" ma:contentTypeDescription="Crear nuevo documento." ma:contentTypeScope="" ma:versionID="6319f4532de6641ac6714d5a67f368fe">
  <xsd:schema xmlns:xsd="http://www.w3.org/2001/XMLSchema" xmlns:xs="http://www.w3.org/2001/XMLSchema" xmlns:p="http://schemas.microsoft.com/office/2006/metadata/properties" xmlns:ns3="17d7484c-5d63-455e-a643-8ffc912959b2" xmlns:ns4="f2ea09fb-d89d-450e-9152-1201866d5bdf" targetNamespace="http://schemas.microsoft.com/office/2006/metadata/properties" ma:root="true" ma:fieldsID="cd67d8f73cf7af585497377d416b8844" ns3:_="" ns4:_="">
    <xsd:import namespace="17d7484c-5d63-455e-a643-8ffc912959b2"/>
    <xsd:import namespace="f2ea09fb-d89d-450e-9152-1201866d5bd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7484c-5d63-455e-a643-8ffc912959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a09fb-d89d-450e-9152-1201866d5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BA4F86-A06D-48A5-B02F-2693D503C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d7484c-5d63-455e-a643-8ffc912959b2"/>
    <ds:schemaRef ds:uri="f2ea09fb-d89d-450e-9152-1201866d5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6B836D-6621-493F-A2DB-AA779A11A46E}">
  <ds:schemaRefs>
    <ds:schemaRef ds:uri="http://www.w3.org/XML/1998/namespace"/>
    <ds:schemaRef ds:uri="http://purl.org/dc/dcmitype/"/>
    <ds:schemaRef ds:uri="http://purl.org/dc/terms/"/>
    <ds:schemaRef ds:uri="17d7484c-5d63-455e-a643-8ffc912959b2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2ea09fb-d89d-450e-9152-1201866d5bd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1CAA727-A1DF-4EA8-8DD1-F543E8F9D6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R-Producto 1</vt:lpstr>
      <vt:lpstr>Producto 1</vt:lpstr>
      <vt:lpstr>R-Producto 2</vt:lpstr>
      <vt:lpstr>Producto 2</vt:lpstr>
      <vt:lpstr>R-Producto 3</vt:lpstr>
      <vt:lpstr>Producto 3</vt:lpstr>
      <vt:lpstr>'Producto 1'!Área_de_impresión</vt:lpstr>
      <vt:lpstr>'Producto 2'!Área_de_impresión</vt:lpstr>
      <vt:lpstr>'Producto 3'!Área_de_impresión</vt:lpstr>
      <vt:lpstr>'R-Producto 1'!Área_de_impresión</vt:lpstr>
      <vt:lpstr>'R-Producto 2'!Área_de_impresión</vt:lpstr>
      <vt:lpstr>'R-Producto 3'!Área_de_impresión</vt:lpstr>
    </vt:vector>
  </TitlesOfParts>
  <Company>ECO-ECA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Jackeline Vega</dc:creator>
  <cp:lastModifiedBy>Sol Cielo Energía</cp:lastModifiedBy>
  <cp:lastPrinted>2021-01-08T17:56:22Z</cp:lastPrinted>
  <dcterms:created xsi:type="dcterms:W3CDTF">2010-11-25T21:03:36Z</dcterms:created>
  <dcterms:modified xsi:type="dcterms:W3CDTF">2025-05-15T20:53:31Z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0x010100D6AC2BEAA0673E4F96E3E812374ED63B</vt:lpwstr>
  </property>
</Properties>
</file>