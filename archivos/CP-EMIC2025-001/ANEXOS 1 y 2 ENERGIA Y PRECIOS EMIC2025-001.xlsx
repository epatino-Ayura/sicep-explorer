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W:\A-F COMPRA\Convocatorias - Compra de Energia\CONVOCATORIAS 2025\EMIC2025-001\Definitivos\"/>
    </mc:Choice>
  </mc:AlternateContent>
  <xr:revisionPtr revIDLastSave="0" documentId="14_{084057A3-3FE9-4F25-BDF2-8E88AE97209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1_ANEXO_1_2025" sheetId="1" r:id="rId1"/>
    <sheet name="P1_ANEXO_2 2025" sheetId="5" r:id="rId2"/>
    <sheet name="P2_ANEXO_1_2025" sheetId="7" r:id="rId3"/>
    <sheet name="P2_ANEXO_2 2025" sheetId="6" r:id="rId4"/>
  </sheets>
  <definedNames>
    <definedName name="_xlnm.Print_Area" localSheetId="1">'P1_ANEXO_2 2025'!$A$1:$J$27</definedName>
    <definedName name="_xlnm.Print_Area" localSheetId="3">'P2_ANEXO_2 2025'!$A$1:$J$27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0" i="1" l="1"/>
  <c r="AC10" i="1" s="1"/>
  <c r="AA11" i="1"/>
  <c r="AA12" i="1"/>
  <c r="AA13" i="1"/>
  <c r="AA14" i="1"/>
  <c r="AA15" i="1"/>
  <c r="AA16" i="1"/>
  <c r="AA17" i="1"/>
  <c r="AC17" i="1" s="1"/>
  <c r="AA18" i="1"/>
  <c r="AC18" i="1" s="1"/>
  <c r="AA19" i="1"/>
  <c r="AC19" i="1" s="1"/>
  <c r="AA20" i="1"/>
  <c r="AC20" i="1" s="1"/>
  <c r="AA21" i="1"/>
  <c r="AC21" i="1" s="1"/>
  <c r="AA22" i="1"/>
  <c r="AC22" i="1" s="1"/>
  <c r="AA23" i="1"/>
  <c r="AA24" i="1"/>
  <c r="AA25" i="1"/>
  <c r="AC25" i="1" s="1"/>
  <c r="AA26" i="1"/>
  <c r="AA27" i="1"/>
  <c r="AC27" i="1"/>
  <c r="AC26" i="1"/>
  <c r="AC24" i="1"/>
  <c r="AC23" i="1"/>
  <c r="AC11" i="1"/>
  <c r="AC12" i="1"/>
  <c r="AC13" i="1"/>
  <c r="AC14" i="1"/>
  <c r="AC15" i="1"/>
  <c r="AC16" i="1"/>
  <c r="AC27" i="7"/>
  <c r="AA27" i="7"/>
  <c r="AA26" i="7"/>
  <c r="AC26" i="7" s="1"/>
  <c r="AA25" i="7"/>
  <c r="AC25" i="7" s="1"/>
  <c r="AD25" i="7" s="1"/>
  <c r="AA24" i="7"/>
  <c r="AC24" i="7" s="1"/>
  <c r="AC23" i="7"/>
  <c r="AA23" i="7"/>
  <c r="AA22" i="7"/>
  <c r="AC22" i="7" s="1"/>
  <c r="AD22" i="7" s="1"/>
  <c r="AC21" i="7"/>
  <c r="AA21" i="7"/>
  <c r="AA20" i="7"/>
  <c r="AC20" i="7" s="1"/>
  <c r="AA19" i="7"/>
  <c r="AC19" i="7" s="1"/>
  <c r="AD19" i="7" s="1"/>
  <c r="AA18" i="7"/>
  <c r="AC18" i="7" s="1"/>
  <c r="AA17" i="7"/>
  <c r="AC17" i="7" s="1"/>
  <c r="AA16" i="7"/>
  <c r="AC16" i="7" s="1"/>
  <c r="AD16" i="7" s="1"/>
  <c r="AA15" i="7"/>
  <c r="AC15" i="7" s="1"/>
  <c r="AC14" i="7"/>
  <c r="AA14" i="7"/>
  <c r="AA13" i="7"/>
  <c r="AC13" i="7" s="1"/>
  <c r="AD13" i="7" s="1"/>
  <c r="AA12" i="7"/>
  <c r="AC12" i="7" s="1"/>
  <c r="AA11" i="7"/>
  <c r="AC11" i="7" s="1"/>
  <c r="AA10" i="7"/>
  <c r="AC10" i="7" s="1"/>
  <c r="AD10" i="7" l="1"/>
  <c r="AD28" i="7" s="1"/>
  <c r="AD10" i="1"/>
  <c r="AD22" i="1"/>
  <c r="AD25" i="1"/>
  <c r="AD19" i="1"/>
  <c r="AD13" i="1"/>
  <c r="AD16" i="1"/>
  <c r="C14" i="5" l="1"/>
  <c r="C14" i="6"/>
  <c r="C13" i="5"/>
  <c r="C13" i="6"/>
  <c r="C15" i="5"/>
  <c r="C15" i="6"/>
  <c r="C17" i="5"/>
  <c r="C17" i="6"/>
  <c r="C16" i="5"/>
  <c r="C16" i="6"/>
  <c r="C12" i="5"/>
  <c r="C12" i="6"/>
  <c r="AD28" i="1"/>
  <c r="C18" i="5" l="1"/>
  <c r="C18" i="6"/>
</calcChain>
</file>

<file path=xl/sharedStrings.xml><?xml version="1.0" encoding="utf-8"?>
<sst xmlns="http://schemas.openxmlformats.org/spreadsheetml/2006/main" count="154" uniqueCount="62">
  <si>
    <t>MES</t>
  </si>
  <si>
    <t>DÍA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</si>
  <si>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</si>
  <si>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</si>
  <si>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</si>
  <si>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</si>
  <si>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</si>
  <si>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</si>
  <si>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</si>
  <si>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</si>
  <si>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</si>
  <si>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</si>
  <si>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</si>
  <si>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</si>
  <si>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</si>
  <si>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</si>
  <si>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</si>
  <si>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</si>
  <si>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</si>
  <si>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</si>
  <si>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</si>
  <si>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</si>
  <si>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</si>
  <si>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</si>
  <si>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</si>
  <si>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</si>
  <si>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</t>
  </si>
  <si>
    <t>No. Dias</t>
  </si>
  <si>
    <t>TOTAL DIA</t>
  </si>
  <si>
    <t>TOTAL MES</t>
  </si>
  <si>
    <t>ORDINARIO</t>
  </si>
  <si>
    <t>SABADO</t>
  </si>
  <si>
    <t>DOMINGO</t>
  </si>
  <si>
    <t xml:space="preserve">EMPRESAS MUNICIPALES DE CALI- EMCALI EICE ESP </t>
  </si>
  <si>
    <t xml:space="preserve">CONVOCATORIA PÚBLICA PARA COMPRA DE ENERGÍA </t>
  </si>
  <si>
    <t>AÑO 2025</t>
  </si>
  <si>
    <t>Energía solicitada (MWh)</t>
  </si>
  <si>
    <t>julio</t>
  </si>
  <si>
    <t>agosto</t>
  </si>
  <si>
    <t>septiembre</t>
  </si>
  <si>
    <t>octubre</t>
  </si>
  <si>
    <t>noviembre</t>
  </si>
  <si>
    <t>diciembre</t>
  </si>
  <si>
    <t>Total año</t>
  </si>
  <si>
    <t>NOTAS:</t>
  </si>
  <si>
    <t>1- Las cantidades a ofertar pueden ser parciales o por la totalidad de la energía solicitada.</t>
  </si>
  <si>
    <t>3- La energía y los precios a ofertar deben ofrecerse en la  modalidad monomia.</t>
  </si>
  <si>
    <t>4- Las cantidades ofertadas siguen la curva indicada en los términos de referencia</t>
  </si>
  <si>
    <t>ENERGÍA PLANA A SOLICITAR AÑO 2025 PARA MERCADO REGULADO (MWh)</t>
  </si>
  <si>
    <t>Código de Convocatoria SICEP No. CP-EMIC2025-001</t>
  </si>
  <si>
    <t>2- Precios en pesos constantes del mes de febrero de 2025.</t>
  </si>
  <si>
    <t>6-  El % ofertado puede ser diferente para cada mes, incluyendo 0%.</t>
  </si>
  <si>
    <t>% ofertado por mes</t>
  </si>
  <si>
    <t>5-  Se puede ofertar diferente precio para cada mes.</t>
  </si>
  <si>
    <t>ANEXO No. 1 CANTIDADES HORARIAS Y MENSUALES SOLICITADAS</t>
  </si>
  <si>
    <t>ANEXO No. 2 CANTIDADES Y PRECIOS OFERTADOS</t>
  </si>
  <si>
    <t>$/kWh para cada mes</t>
  </si>
  <si>
    <t>$/kWh</t>
  </si>
  <si>
    <t>TOTAL ENERGIA</t>
  </si>
  <si>
    <t>% ofertado</t>
  </si>
  <si>
    <t>6-  El % ofertado debe ser el mismo para todo el periodo.</t>
  </si>
  <si>
    <t>5-  El precio debe ser el mismo para todo el periodo.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</si>
</sst>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7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3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0" fontId="0" fillId="0" borderId="6" xfId="0" applyBorder="1"/>
    <xf numFmtId="3" fontId="3" fillId="0" borderId="8" xfId="0" applyNumberFormat="1" applyFont="1" applyBorder="1"/>
    <xf numFmtId="0" fontId="0" fillId="0" borderId="7" xfId="0" applyBorder="1"/>
    <xf numFmtId="3" fontId="3" fillId="0" borderId="7" xfId="0" applyNumberFormat="1" applyFont="1" applyBorder="1"/>
    <xf numFmtId="0" fontId="0" fillId="0" borderId="9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1" fontId="0" fillId="0" borderId="7" xfId="2" applyFont="1" applyBorder="1"/>
    <xf numFmtId="0" fontId="0" fillId="0" borderId="0" xfId="0" applyAlignment="1">
      <alignment horizontal="center" vertical="center"/>
    </xf>
    <xf numFmtId="0" fontId="4" fillId="0" borderId="7" xfId="0" applyFont="1" applyBorder="1"/>
    <xf numFmtId="41" fontId="4" fillId="0" borderId="7" xfId="2" applyFont="1" applyBorder="1"/>
    <xf numFmtId="0" fontId="6" fillId="0" borderId="0" xfId="0" applyFont="1" applyAlignment="1">
      <alignment vertical="center"/>
    </xf>
    <xf numFmtId="41" fontId="0" fillId="0" borderId="0" xfId="0" applyNumberFormat="1"/>
    <xf numFmtId="43" fontId="0" fillId="0" borderId="7" xfId="1" applyFont="1" applyBorder="1"/>
    <xf numFmtId="9" fontId="0" fillId="0" borderId="7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9" fontId="0" fillId="0" borderId="0" xfId="0" applyNumberFormat="1"/>
    <xf numFmtId="164" fontId="0" fillId="0" borderId="0" xfId="1" applyNumberFormat="1" applyFont="1"/>
    <xf numFmtId="43" fontId="0" fillId="0" borderId="0" xfId="0" applyNumberFormat="1"/>
    <xf numFmtId="0" fontId="0" fillId="0" borderId="10" xfId="0" applyBorder="1"/>
    <xf numFmtId="3" fontId="3" fillId="0" borderId="10" xfId="0" applyNumberFormat="1" applyFont="1" applyBorder="1"/>
    <xf numFmtId="0" fontId="4" fillId="0" borderId="14" xfId="0" applyFont="1" applyBorder="1"/>
    <xf numFmtId="3" fontId="4" fillId="0" borderId="15" xfId="0" applyNumberFormat="1" applyFont="1" applyBorder="1"/>
    <xf numFmtId="0" fontId="4" fillId="0" borderId="15" xfId="0" applyFont="1" applyBorder="1"/>
    <xf numFmtId="17" fontId="3" fillId="0" borderId="5" xfId="0" applyNumberFormat="1" applyFont="1" applyBorder="1" applyAlignment="1">
      <alignment horizontal="left" vertical="center" wrapText="1"/>
    </xf>
    <xf numFmtId="3" fontId="3" fillId="0" borderId="8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</cellXfs>
  <cellStyles count="3">
    <cellStyle name="Millares" xfId="1" builtinId="3"/>
    <cellStyle name="Millares [0]" xfId="2" builtinId="6"/>
    <cellStyle name="Normal" xfId="0" builtinId="0"/>
  </cellStyles>
  <dxfs count="2">
    <dxf>
      <fill>
        <patternFill>
          <bgColor indexed="13"/>
        </patternFill>
      </fill>
    </dxf>
    <dxf>
      <fill>
        <patternFill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47625</xdr:rowOff>
    </xdr:from>
    <xdr:to>
      <xdr:col>0</xdr:col>
      <xdr:colOff>772798</xdr:colOff>
      <xdr:row>5</xdr:row>
      <xdr:rowOff>21063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76FF5AE-AE68-4762-9843-AD2BF485E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238125"/>
          <a:ext cx="725173" cy="8878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161925</xdr:rowOff>
    </xdr:from>
    <xdr:to>
      <xdr:col>0</xdr:col>
      <xdr:colOff>966495</xdr:colOff>
      <xdr:row>4</xdr:row>
      <xdr:rowOff>211563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161925"/>
          <a:ext cx="880770" cy="9259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47625</xdr:rowOff>
    </xdr:from>
    <xdr:to>
      <xdr:col>0</xdr:col>
      <xdr:colOff>772798</xdr:colOff>
      <xdr:row>5</xdr:row>
      <xdr:rowOff>21063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542E8E-D1AE-432D-88D8-44CB334AB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238125"/>
          <a:ext cx="725173" cy="8878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161925</xdr:rowOff>
    </xdr:from>
    <xdr:to>
      <xdr:col>0</xdr:col>
      <xdr:colOff>966495</xdr:colOff>
      <xdr:row>4</xdr:row>
      <xdr:rowOff>211563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D85893-4613-4624-8CEA-A73C4DCB5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161925"/>
          <a:ext cx="880770" cy="925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32"/>
  <sheetViews>
    <sheetView showGridLines="0" topLeftCell="C6" workbookViewId="0">
      <selection activeCell="H32" sqref="H32"/>
    </sheetView>
  </sheetViews>
  <sheetFormatPr baseColWidth="10" defaultRowHeight="15" x14ac:dyDescent="0.2"/>
  <cols>
    <col min="1" max="1" width="10" customWidth="1"/>
    <col min="2" max="2" width="10.6640625" customWidth="1"/>
    <col min="3" max="26" width="6.5546875" bestFit="1" customWidth="1"/>
    <col min="27" max="27" width="5.5546875" bestFit="1" customWidth="1"/>
    <col min="28" max="28" width="6.5546875" bestFit="1" customWidth="1"/>
    <col min="29" max="29" width="8.44140625" bestFit="1" customWidth="1"/>
    <col min="30" max="30" width="12" bestFit="1" customWidth="1"/>
  </cols>
  <sheetData>
    <row r="2" spans="1:30" ht="18" x14ac:dyDescent="0.2">
      <c r="B2" s="13" t="s">
        <v>33</v>
      </c>
    </row>
    <row r="3" spans="1:30" ht="18" x14ac:dyDescent="0.2">
      <c r="B3" s="13" t="s">
        <v>34</v>
      </c>
    </row>
    <row r="4" spans="1:30" ht="18" x14ac:dyDescent="0.2">
      <c r="B4" s="13" t="s">
        <v>49</v>
      </c>
      <c r="S4" s="27"/>
    </row>
    <row r="5" spans="1:30" ht="18" x14ac:dyDescent="0.2">
      <c r="B5" s="13"/>
    </row>
    <row r="6" spans="1:30" ht="18" x14ac:dyDescent="0.2">
      <c r="B6" s="13" t="s">
        <v>54</v>
      </c>
    </row>
    <row r="7" spans="1:30" ht="18" x14ac:dyDescent="0.2">
      <c r="B7" s="13"/>
    </row>
    <row r="8" spans="1:30" ht="24" thickBot="1" x14ac:dyDescent="0.4">
      <c r="A8" s="1" t="s">
        <v>48</v>
      </c>
      <c r="AD8" s="2"/>
    </row>
    <row r="9" spans="1:30" x14ac:dyDescent="0.2">
      <c r="A9" s="3" t="s">
        <v>0</v>
      </c>
      <c r="B9" s="4" t="s">
        <v>1</v>
      </c>
      <c r="C9" s="5" t="s">
        <v>2</v>
      </c>
      <c r="D9" s="6" t="s">
        <v>3</v>
      </c>
      <c r="E9" s="6" t="s">
        <v>4</v>
      </c>
      <c r="F9" s="6" t="s">
        <v>5</v>
      </c>
      <c r="G9" s="6" t="s">
        <v>6</v>
      </c>
      <c r="H9" s="6" t="s">
        <v>7</v>
      </c>
      <c r="I9" s="6" t="s">
        <v>8</v>
      </c>
      <c r="J9" s="6" t="s">
        <v>9</v>
      </c>
      <c r="K9" s="6" t="s">
        <v>10</v>
      </c>
      <c r="L9" s="6" t="s">
        <v>11</v>
      </c>
      <c r="M9" s="6" t="s">
        <v>12</v>
      </c>
      <c r="N9" s="6" t="s">
        <v>13</v>
      </c>
      <c r="O9" s="6" t="s">
        <v>14</v>
      </c>
      <c r="P9" s="6" t="s">
        <v>15</v>
      </c>
      <c r="Q9" s="6" t="s">
        <v>16</v>
      </c>
      <c r="R9" s="6" t="s">
        <v>17</v>
      </c>
      <c r="S9" s="6" t="s">
        <v>18</v>
      </c>
      <c r="T9" s="6" t="s">
        <v>19</v>
      </c>
      <c r="U9" s="6" t="s">
        <v>20</v>
      </c>
      <c r="V9" s="6" t="s">
        <v>21</v>
      </c>
      <c r="W9" s="6" t="s">
        <v>22</v>
      </c>
      <c r="X9" s="6" t="s">
        <v>23</v>
      </c>
      <c r="Y9" s="6" t="s">
        <v>24</v>
      </c>
      <c r="Z9" s="6" t="s">
        <v>25</v>
      </c>
      <c r="AA9" s="4" t="s">
        <v>26</v>
      </c>
      <c r="AB9" s="6" t="s">
        <v>27</v>
      </c>
      <c r="AC9" s="7" t="s">
        <v>28</v>
      </c>
      <c r="AD9" s="4" t="s">
        <v>29</v>
      </c>
    </row>
    <row r="10" spans="1:30" x14ac:dyDescent="0.2">
      <c r="A10" s="35">
        <v>45839</v>
      </c>
      <c r="B10" s="8" t="s">
        <v>30</v>
      </c>
      <c r="C10" s="24">
        <v>24.454999999999998</v>
      </c>
      <c r="D10" s="24">
        <v>24.454999999999998</v>
      </c>
      <c r="E10" s="24">
        <v>24.454999999999998</v>
      </c>
      <c r="F10" s="24">
        <v>24.454999999999998</v>
      </c>
      <c r="G10" s="24">
        <v>24.454999999999998</v>
      </c>
      <c r="H10" s="24">
        <v>24.454999999999998</v>
      </c>
      <c r="I10" s="24">
        <v>24.454999999999998</v>
      </c>
      <c r="J10" s="24">
        <v>24.454999999999998</v>
      </c>
      <c r="K10" s="24">
        <v>24.454999999999998</v>
      </c>
      <c r="L10" s="24">
        <v>24.454999999999998</v>
      </c>
      <c r="M10" s="24">
        <v>24.454999999999998</v>
      </c>
      <c r="N10" s="24">
        <v>24.454999999999998</v>
      </c>
      <c r="O10" s="24">
        <v>24.454999999999998</v>
      </c>
      <c r="P10" s="24">
        <v>24.454999999999998</v>
      </c>
      <c r="Q10" s="24">
        <v>24.454999999999998</v>
      </c>
      <c r="R10" s="24">
        <v>24.454999999999998</v>
      </c>
      <c r="S10" s="24">
        <v>24.454999999999998</v>
      </c>
      <c r="T10" s="24">
        <v>24.454999999999998</v>
      </c>
      <c r="U10" s="24">
        <v>24.454999999999998</v>
      </c>
      <c r="V10" s="24">
        <v>24.454999999999998</v>
      </c>
      <c r="W10" s="24">
        <v>24.454999999999998</v>
      </c>
      <c r="X10" s="24">
        <v>24.454999999999998</v>
      </c>
      <c r="Y10" s="24">
        <v>24.454999999999998</v>
      </c>
      <c r="Z10" s="24">
        <v>24.454999999999998</v>
      </c>
      <c r="AA10" s="9">
        <f t="shared" ref="AA10:AA27" si="0">SUM(C10:Z10)</f>
        <v>586.91999999999996</v>
      </c>
      <c r="AB10" s="10">
        <v>23</v>
      </c>
      <c r="AC10" s="11">
        <f t="shared" ref="AC10:AC27" si="1">AA10*+AB10</f>
        <v>13499.16</v>
      </c>
      <c r="AD10" s="36">
        <f>+AC10+AC11+AC12</f>
        <v>18194.52</v>
      </c>
    </row>
    <row r="11" spans="1:30" x14ac:dyDescent="0.2">
      <c r="A11" s="35"/>
      <c r="B11" s="8" t="s">
        <v>31</v>
      </c>
      <c r="C11" s="24">
        <v>24.454999999999998</v>
      </c>
      <c r="D11" s="24">
        <v>24.454999999999998</v>
      </c>
      <c r="E11" s="24">
        <v>24.454999999999998</v>
      </c>
      <c r="F11" s="24">
        <v>24.454999999999998</v>
      </c>
      <c r="G11" s="24">
        <v>24.454999999999998</v>
      </c>
      <c r="H11" s="24">
        <v>24.454999999999998</v>
      </c>
      <c r="I11" s="24">
        <v>24.454999999999998</v>
      </c>
      <c r="J11" s="24">
        <v>24.454999999999998</v>
      </c>
      <c r="K11" s="24">
        <v>24.454999999999998</v>
      </c>
      <c r="L11" s="24">
        <v>24.454999999999998</v>
      </c>
      <c r="M11" s="24">
        <v>24.454999999999998</v>
      </c>
      <c r="N11" s="24">
        <v>24.454999999999998</v>
      </c>
      <c r="O11" s="24">
        <v>24.454999999999998</v>
      </c>
      <c r="P11" s="24">
        <v>24.454999999999998</v>
      </c>
      <c r="Q11" s="24">
        <v>24.454999999999998</v>
      </c>
      <c r="R11" s="24">
        <v>24.454999999999998</v>
      </c>
      <c r="S11" s="24">
        <v>24.454999999999998</v>
      </c>
      <c r="T11" s="24">
        <v>24.454999999999998</v>
      </c>
      <c r="U11" s="24">
        <v>24.454999999999998</v>
      </c>
      <c r="V11" s="24">
        <v>24.454999999999998</v>
      </c>
      <c r="W11" s="24">
        <v>24.454999999999998</v>
      </c>
      <c r="X11" s="24">
        <v>24.454999999999998</v>
      </c>
      <c r="Y11" s="24">
        <v>24.454999999999998</v>
      </c>
      <c r="Z11" s="24">
        <v>24.454999999999998</v>
      </c>
      <c r="AA11" s="9">
        <f t="shared" si="0"/>
        <v>586.91999999999996</v>
      </c>
      <c r="AB11" s="10">
        <v>4</v>
      </c>
      <c r="AC11" s="11">
        <f t="shared" si="1"/>
        <v>2347.6799999999998</v>
      </c>
      <c r="AD11" s="36"/>
    </row>
    <row r="12" spans="1:30" x14ac:dyDescent="0.2">
      <c r="A12" s="35"/>
      <c r="B12" s="8" t="s">
        <v>32</v>
      </c>
      <c r="C12" s="24">
        <v>24.454999999999998</v>
      </c>
      <c r="D12" s="24">
        <v>24.454999999999998</v>
      </c>
      <c r="E12" s="24">
        <v>24.454999999999998</v>
      </c>
      <c r="F12" s="24">
        <v>24.454999999999998</v>
      </c>
      <c r="G12" s="24">
        <v>24.454999999999998</v>
      </c>
      <c r="H12" s="24">
        <v>24.454999999999998</v>
      </c>
      <c r="I12" s="24">
        <v>24.454999999999998</v>
      </c>
      <c r="J12" s="24">
        <v>24.454999999999998</v>
      </c>
      <c r="K12" s="24">
        <v>24.454999999999998</v>
      </c>
      <c r="L12" s="24">
        <v>24.454999999999998</v>
      </c>
      <c r="M12" s="24">
        <v>24.454999999999998</v>
      </c>
      <c r="N12" s="24">
        <v>24.454999999999998</v>
      </c>
      <c r="O12" s="24">
        <v>24.454999999999998</v>
      </c>
      <c r="P12" s="24">
        <v>24.454999999999998</v>
      </c>
      <c r="Q12" s="24">
        <v>24.454999999999998</v>
      </c>
      <c r="R12" s="24">
        <v>24.454999999999998</v>
      </c>
      <c r="S12" s="24">
        <v>24.454999999999998</v>
      </c>
      <c r="T12" s="24">
        <v>24.454999999999998</v>
      </c>
      <c r="U12" s="24">
        <v>24.454999999999998</v>
      </c>
      <c r="V12" s="24">
        <v>24.454999999999998</v>
      </c>
      <c r="W12" s="24">
        <v>24.454999999999998</v>
      </c>
      <c r="X12" s="24">
        <v>24.454999999999998</v>
      </c>
      <c r="Y12" s="24">
        <v>24.454999999999998</v>
      </c>
      <c r="Z12" s="24">
        <v>24.454999999999998</v>
      </c>
      <c r="AA12" s="9">
        <f t="shared" si="0"/>
        <v>586.91999999999996</v>
      </c>
      <c r="AB12" s="10">
        <v>4</v>
      </c>
      <c r="AC12" s="11">
        <f t="shared" si="1"/>
        <v>2347.6799999999998</v>
      </c>
      <c r="AD12" s="36"/>
    </row>
    <row r="13" spans="1:30" x14ac:dyDescent="0.2">
      <c r="A13" s="35">
        <v>45870</v>
      </c>
      <c r="B13" s="8" t="s">
        <v>30</v>
      </c>
      <c r="C13" s="24">
        <v>24.454999999999998</v>
      </c>
      <c r="D13" s="24">
        <v>24.454999999999998</v>
      </c>
      <c r="E13" s="24">
        <v>24.454999999999998</v>
      </c>
      <c r="F13" s="24">
        <v>24.454999999999998</v>
      </c>
      <c r="G13" s="24">
        <v>24.454999999999998</v>
      </c>
      <c r="H13" s="24">
        <v>24.454999999999998</v>
      </c>
      <c r="I13" s="24">
        <v>24.454999999999998</v>
      </c>
      <c r="J13" s="24">
        <v>24.454999999999998</v>
      </c>
      <c r="K13" s="24">
        <v>24.454999999999998</v>
      </c>
      <c r="L13" s="24">
        <v>24.454999999999998</v>
      </c>
      <c r="M13" s="24">
        <v>24.454999999999998</v>
      </c>
      <c r="N13" s="24">
        <v>24.454999999999998</v>
      </c>
      <c r="O13" s="24">
        <v>24.454999999999998</v>
      </c>
      <c r="P13" s="24">
        <v>24.454999999999998</v>
      </c>
      <c r="Q13" s="24">
        <v>24.454999999999998</v>
      </c>
      <c r="R13" s="24">
        <v>24.454999999999998</v>
      </c>
      <c r="S13" s="24">
        <v>24.454999999999998</v>
      </c>
      <c r="T13" s="24">
        <v>24.454999999999998</v>
      </c>
      <c r="U13" s="24">
        <v>24.454999999999998</v>
      </c>
      <c r="V13" s="24">
        <v>24.454999999999998</v>
      </c>
      <c r="W13" s="24">
        <v>24.454999999999998</v>
      </c>
      <c r="X13" s="24">
        <v>24.454999999999998</v>
      </c>
      <c r="Y13" s="24">
        <v>24.454999999999998</v>
      </c>
      <c r="Z13" s="24">
        <v>24.454999999999998</v>
      </c>
      <c r="AA13" s="9">
        <f t="shared" si="0"/>
        <v>586.91999999999996</v>
      </c>
      <c r="AB13" s="10">
        <v>19</v>
      </c>
      <c r="AC13" s="11">
        <f t="shared" si="1"/>
        <v>11151.48</v>
      </c>
      <c r="AD13" s="36">
        <f>+AC13+AC14+AC15</f>
        <v>18194.52</v>
      </c>
    </row>
    <row r="14" spans="1:30" x14ac:dyDescent="0.2">
      <c r="A14" s="35"/>
      <c r="B14" s="8" t="s">
        <v>31</v>
      </c>
      <c r="C14" s="24">
        <v>24.454999999999998</v>
      </c>
      <c r="D14" s="24">
        <v>24.454999999999998</v>
      </c>
      <c r="E14" s="24">
        <v>24.454999999999998</v>
      </c>
      <c r="F14" s="24">
        <v>24.454999999999998</v>
      </c>
      <c r="G14" s="24">
        <v>24.454999999999998</v>
      </c>
      <c r="H14" s="24">
        <v>24.454999999999998</v>
      </c>
      <c r="I14" s="24">
        <v>24.454999999999998</v>
      </c>
      <c r="J14" s="24">
        <v>24.454999999999998</v>
      </c>
      <c r="K14" s="24">
        <v>24.454999999999998</v>
      </c>
      <c r="L14" s="24">
        <v>24.454999999999998</v>
      </c>
      <c r="M14" s="24">
        <v>24.454999999999998</v>
      </c>
      <c r="N14" s="24">
        <v>24.454999999999998</v>
      </c>
      <c r="O14" s="24">
        <v>24.454999999999998</v>
      </c>
      <c r="P14" s="24">
        <v>24.454999999999998</v>
      </c>
      <c r="Q14" s="24">
        <v>24.454999999999998</v>
      </c>
      <c r="R14" s="24">
        <v>24.454999999999998</v>
      </c>
      <c r="S14" s="24">
        <v>24.454999999999998</v>
      </c>
      <c r="T14" s="24">
        <v>24.454999999999998</v>
      </c>
      <c r="U14" s="24">
        <v>24.454999999999998</v>
      </c>
      <c r="V14" s="24">
        <v>24.454999999999998</v>
      </c>
      <c r="W14" s="24">
        <v>24.454999999999998</v>
      </c>
      <c r="X14" s="24">
        <v>24.454999999999998</v>
      </c>
      <c r="Y14" s="24">
        <v>24.454999999999998</v>
      </c>
      <c r="Z14" s="24">
        <v>24.454999999999998</v>
      </c>
      <c r="AA14" s="9">
        <f t="shared" si="0"/>
        <v>586.91999999999996</v>
      </c>
      <c r="AB14" s="10">
        <v>5</v>
      </c>
      <c r="AC14" s="11">
        <f t="shared" si="1"/>
        <v>2934.6</v>
      </c>
      <c r="AD14" s="36"/>
    </row>
    <row r="15" spans="1:30" x14ac:dyDescent="0.2">
      <c r="A15" s="35"/>
      <c r="B15" s="8" t="s">
        <v>32</v>
      </c>
      <c r="C15" s="24">
        <v>24.454999999999998</v>
      </c>
      <c r="D15" s="24">
        <v>24.454999999999998</v>
      </c>
      <c r="E15" s="24">
        <v>24.454999999999998</v>
      </c>
      <c r="F15" s="24">
        <v>24.454999999999998</v>
      </c>
      <c r="G15" s="24">
        <v>24.454999999999998</v>
      </c>
      <c r="H15" s="24">
        <v>24.454999999999998</v>
      </c>
      <c r="I15" s="24">
        <v>24.454999999999998</v>
      </c>
      <c r="J15" s="24">
        <v>24.454999999999998</v>
      </c>
      <c r="K15" s="24">
        <v>24.454999999999998</v>
      </c>
      <c r="L15" s="24">
        <v>24.454999999999998</v>
      </c>
      <c r="M15" s="24">
        <v>24.454999999999998</v>
      </c>
      <c r="N15" s="24">
        <v>24.454999999999998</v>
      </c>
      <c r="O15" s="24">
        <v>24.454999999999998</v>
      </c>
      <c r="P15" s="24">
        <v>24.454999999999998</v>
      </c>
      <c r="Q15" s="24">
        <v>24.454999999999998</v>
      </c>
      <c r="R15" s="24">
        <v>24.454999999999998</v>
      </c>
      <c r="S15" s="24">
        <v>24.454999999999998</v>
      </c>
      <c r="T15" s="24">
        <v>24.454999999999998</v>
      </c>
      <c r="U15" s="24">
        <v>24.454999999999998</v>
      </c>
      <c r="V15" s="24">
        <v>24.454999999999998</v>
      </c>
      <c r="W15" s="24">
        <v>24.454999999999998</v>
      </c>
      <c r="X15" s="24">
        <v>24.454999999999998</v>
      </c>
      <c r="Y15" s="24">
        <v>24.454999999999998</v>
      </c>
      <c r="Z15" s="24">
        <v>24.454999999999998</v>
      </c>
      <c r="AA15" s="9">
        <f t="shared" si="0"/>
        <v>586.91999999999996</v>
      </c>
      <c r="AB15" s="10">
        <v>7</v>
      </c>
      <c r="AC15" s="11">
        <f t="shared" si="1"/>
        <v>4108.4399999999996</v>
      </c>
      <c r="AD15" s="36"/>
    </row>
    <row r="16" spans="1:30" x14ac:dyDescent="0.2">
      <c r="A16" s="35">
        <v>45901</v>
      </c>
      <c r="B16" s="8" t="s">
        <v>30</v>
      </c>
      <c r="C16" s="24">
        <v>24.454999999999998</v>
      </c>
      <c r="D16" s="24">
        <v>24.454999999999998</v>
      </c>
      <c r="E16" s="24">
        <v>24.454999999999998</v>
      </c>
      <c r="F16" s="24">
        <v>24.454999999999998</v>
      </c>
      <c r="G16" s="24">
        <v>24.454999999999998</v>
      </c>
      <c r="H16" s="24">
        <v>24.454999999999998</v>
      </c>
      <c r="I16" s="24">
        <v>24.454999999999998</v>
      </c>
      <c r="J16" s="24">
        <v>24.454999999999998</v>
      </c>
      <c r="K16" s="24">
        <v>24.454999999999998</v>
      </c>
      <c r="L16" s="24">
        <v>24.454999999999998</v>
      </c>
      <c r="M16" s="24">
        <v>24.454999999999998</v>
      </c>
      <c r="N16" s="24">
        <v>24.454999999999998</v>
      </c>
      <c r="O16" s="24">
        <v>24.454999999999998</v>
      </c>
      <c r="P16" s="24">
        <v>24.454999999999998</v>
      </c>
      <c r="Q16" s="24">
        <v>24.454999999999998</v>
      </c>
      <c r="R16" s="24">
        <v>24.454999999999998</v>
      </c>
      <c r="S16" s="24">
        <v>24.454999999999998</v>
      </c>
      <c r="T16" s="24">
        <v>24.454999999999998</v>
      </c>
      <c r="U16" s="24">
        <v>24.454999999999998</v>
      </c>
      <c r="V16" s="24">
        <v>24.454999999999998</v>
      </c>
      <c r="W16" s="24">
        <v>24.454999999999998</v>
      </c>
      <c r="X16" s="24">
        <v>24.454999999999998</v>
      </c>
      <c r="Y16" s="24">
        <v>24.454999999999998</v>
      </c>
      <c r="Z16" s="24">
        <v>24.454999999999998</v>
      </c>
      <c r="AA16" s="9">
        <f t="shared" si="0"/>
        <v>586.91999999999996</v>
      </c>
      <c r="AB16" s="10">
        <v>22</v>
      </c>
      <c r="AC16" s="11">
        <f t="shared" si="1"/>
        <v>12912.24</v>
      </c>
      <c r="AD16" s="36">
        <f>+AC16+AC17+AC18</f>
        <v>17607.599999999999</v>
      </c>
    </row>
    <row r="17" spans="1:30" x14ac:dyDescent="0.2">
      <c r="A17" s="35"/>
      <c r="B17" s="8" t="s">
        <v>31</v>
      </c>
      <c r="C17" s="24">
        <v>24.454999999999998</v>
      </c>
      <c r="D17" s="24">
        <v>24.454999999999998</v>
      </c>
      <c r="E17" s="24">
        <v>24.454999999999998</v>
      </c>
      <c r="F17" s="24">
        <v>24.454999999999998</v>
      </c>
      <c r="G17" s="24">
        <v>24.454999999999998</v>
      </c>
      <c r="H17" s="24">
        <v>24.454999999999998</v>
      </c>
      <c r="I17" s="24">
        <v>24.454999999999998</v>
      </c>
      <c r="J17" s="24">
        <v>24.454999999999998</v>
      </c>
      <c r="K17" s="24">
        <v>24.454999999999998</v>
      </c>
      <c r="L17" s="24">
        <v>24.454999999999998</v>
      </c>
      <c r="M17" s="24">
        <v>24.454999999999998</v>
      </c>
      <c r="N17" s="24">
        <v>24.454999999999998</v>
      </c>
      <c r="O17" s="24">
        <v>24.454999999999998</v>
      </c>
      <c r="P17" s="24">
        <v>24.454999999999998</v>
      </c>
      <c r="Q17" s="24">
        <v>24.454999999999998</v>
      </c>
      <c r="R17" s="24">
        <v>24.454999999999998</v>
      </c>
      <c r="S17" s="24">
        <v>24.454999999999998</v>
      </c>
      <c r="T17" s="24">
        <v>24.454999999999998</v>
      </c>
      <c r="U17" s="24">
        <v>24.454999999999998</v>
      </c>
      <c r="V17" s="24">
        <v>24.454999999999998</v>
      </c>
      <c r="W17" s="24">
        <v>24.454999999999998</v>
      </c>
      <c r="X17" s="24">
        <v>24.454999999999998</v>
      </c>
      <c r="Y17" s="24">
        <v>24.454999999999998</v>
      </c>
      <c r="Z17" s="24">
        <v>24.454999999999998</v>
      </c>
      <c r="AA17" s="9">
        <f t="shared" si="0"/>
        <v>586.91999999999996</v>
      </c>
      <c r="AB17" s="10">
        <v>4</v>
      </c>
      <c r="AC17" s="11">
        <f t="shared" si="1"/>
        <v>2347.6799999999998</v>
      </c>
      <c r="AD17" s="36"/>
    </row>
    <row r="18" spans="1:30" x14ac:dyDescent="0.2">
      <c r="A18" s="35"/>
      <c r="B18" s="8" t="s">
        <v>32</v>
      </c>
      <c r="C18" s="24">
        <v>24.454999999999998</v>
      </c>
      <c r="D18" s="24">
        <v>24.454999999999998</v>
      </c>
      <c r="E18" s="24">
        <v>24.454999999999998</v>
      </c>
      <c r="F18" s="24">
        <v>24.454999999999998</v>
      </c>
      <c r="G18" s="24">
        <v>24.454999999999998</v>
      </c>
      <c r="H18" s="24">
        <v>24.454999999999998</v>
      </c>
      <c r="I18" s="24">
        <v>24.454999999999998</v>
      </c>
      <c r="J18" s="24">
        <v>24.454999999999998</v>
      </c>
      <c r="K18" s="24">
        <v>24.454999999999998</v>
      </c>
      <c r="L18" s="24">
        <v>24.454999999999998</v>
      </c>
      <c r="M18" s="24">
        <v>24.454999999999998</v>
      </c>
      <c r="N18" s="24">
        <v>24.454999999999998</v>
      </c>
      <c r="O18" s="24">
        <v>24.454999999999998</v>
      </c>
      <c r="P18" s="24">
        <v>24.454999999999998</v>
      </c>
      <c r="Q18" s="24">
        <v>24.454999999999998</v>
      </c>
      <c r="R18" s="24">
        <v>24.454999999999998</v>
      </c>
      <c r="S18" s="24">
        <v>24.454999999999998</v>
      </c>
      <c r="T18" s="24">
        <v>24.454999999999998</v>
      </c>
      <c r="U18" s="24">
        <v>24.454999999999998</v>
      </c>
      <c r="V18" s="24">
        <v>24.454999999999998</v>
      </c>
      <c r="W18" s="24">
        <v>24.454999999999998</v>
      </c>
      <c r="X18" s="24">
        <v>24.454999999999998</v>
      </c>
      <c r="Y18" s="24">
        <v>24.454999999999998</v>
      </c>
      <c r="Z18" s="24">
        <v>24.454999999999998</v>
      </c>
      <c r="AA18" s="9">
        <f t="shared" si="0"/>
        <v>586.91999999999996</v>
      </c>
      <c r="AB18" s="10">
        <v>4</v>
      </c>
      <c r="AC18" s="11">
        <f t="shared" si="1"/>
        <v>2347.6799999999998</v>
      </c>
      <c r="AD18" s="36"/>
    </row>
    <row r="19" spans="1:30" x14ac:dyDescent="0.2">
      <c r="A19" s="35">
        <v>45931</v>
      </c>
      <c r="B19" s="8" t="s">
        <v>30</v>
      </c>
      <c r="C19" s="24">
        <v>24.454999999999998</v>
      </c>
      <c r="D19" s="24">
        <v>24.454999999999998</v>
      </c>
      <c r="E19" s="24">
        <v>24.454999999999998</v>
      </c>
      <c r="F19" s="24">
        <v>24.454999999999998</v>
      </c>
      <c r="G19" s="24">
        <v>24.454999999999998</v>
      </c>
      <c r="H19" s="24">
        <v>24.454999999999998</v>
      </c>
      <c r="I19" s="24">
        <v>24.454999999999998</v>
      </c>
      <c r="J19" s="24">
        <v>24.454999999999998</v>
      </c>
      <c r="K19" s="24">
        <v>24.454999999999998</v>
      </c>
      <c r="L19" s="24">
        <v>24.454999999999998</v>
      </c>
      <c r="M19" s="24">
        <v>24.454999999999998</v>
      </c>
      <c r="N19" s="24">
        <v>24.454999999999998</v>
      </c>
      <c r="O19" s="24">
        <v>24.454999999999998</v>
      </c>
      <c r="P19" s="24">
        <v>24.454999999999998</v>
      </c>
      <c r="Q19" s="24">
        <v>24.454999999999998</v>
      </c>
      <c r="R19" s="24">
        <v>24.454999999999998</v>
      </c>
      <c r="S19" s="24">
        <v>24.454999999999998</v>
      </c>
      <c r="T19" s="24">
        <v>24.454999999999998</v>
      </c>
      <c r="U19" s="24">
        <v>24.454999999999998</v>
      </c>
      <c r="V19" s="24">
        <v>24.454999999999998</v>
      </c>
      <c r="W19" s="24">
        <v>24.454999999999998</v>
      </c>
      <c r="X19" s="24">
        <v>24.454999999999998</v>
      </c>
      <c r="Y19" s="24">
        <v>24.454999999999998</v>
      </c>
      <c r="Z19" s="24">
        <v>24.454999999999998</v>
      </c>
      <c r="AA19" s="9">
        <f t="shared" si="0"/>
        <v>586.91999999999996</v>
      </c>
      <c r="AB19" s="10">
        <v>22</v>
      </c>
      <c r="AC19" s="11">
        <f t="shared" si="1"/>
        <v>12912.24</v>
      </c>
      <c r="AD19" s="36">
        <f>+AC19+AC20+AC21</f>
        <v>18194.52</v>
      </c>
    </row>
    <row r="20" spans="1:30" x14ac:dyDescent="0.2">
      <c r="A20" s="35"/>
      <c r="B20" s="8" t="s">
        <v>31</v>
      </c>
      <c r="C20" s="24">
        <v>24.454999999999998</v>
      </c>
      <c r="D20" s="24">
        <v>24.454999999999998</v>
      </c>
      <c r="E20" s="24">
        <v>24.454999999999998</v>
      </c>
      <c r="F20" s="24">
        <v>24.454999999999998</v>
      </c>
      <c r="G20" s="24">
        <v>24.454999999999998</v>
      </c>
      <c r="H20" s="24">
        <v>24.454999999999998</v>
      </c>
      <c r="I20" s="24">
        <v>24.454999999999998</v>
      </c>
      <c r="J20" s="24">
        <v>24.454999999999998</v>
      </c>
      <c r="K20" s="24">
        <v>24.454999999999998</v>
      </c>
      <c r="L20" s="24">
        <v>24.454999999999998</v>
      </c>
      <c r="M20" s="24">
        <v>24.454999999999998</v>
      </c>
      <c r="N20" s="24">
        <v>24.454999999999998</v>
      </c>
      <c r="O20" s="24">
        <v>24.454999999999998</v>
      </c>
      <c r="P20" s="24">
        <v>24.454999999999998</v>
      </c>
      <c r="Q20" s="24">
        <v>24.454999999999998</v>
      </c>
      <c r="R20" s="24">
        <v>24.454999999999998</v>
      </c>
      <c r="S20" s="24">
        <v>24.454999999999998</v>
      </c>
      <c r="T20" s="24">
        <v>24.454999999999998</v>
      </c>
      <c r="U20" s="24">
        <v>24.454999999999998</v>
      </c>
      <c r="V20" s="24">
        <v>24.454999999999998</v>
      </c>
      <c r="W20" s="24">
        <v>24.454999999999998</v>
      </c>
      <c r="X20" s="24">
        <v>24.454999999999998</v>
      </c>
      <c r="Y20" s="24">
        <v>24.454999999999998</v>
      </c>
      <c r="Z20" s="24">
        <v>24.454999999999998</v>
      </c>
      <c r="AA20" s="9">
        <f t="shared" si="0"/>
        <v>586.91999999999996</v>
      </c>
      <c r="AB20" s="10">
        <v>4</v>
      </c>
      <c r="AC20" s="11">
        <f t="shared" si="1"/>
        <v>2347.6799999999998</v>
      </c>
      <c r="AD20" s="36"/>
    </row>
    <row r="21" spans="1:30" x14ac:dyDescent="0.2">
      <c r="A21" s="35"/>
      <c r="B21" s="8" t="s">
        <v>32</v>
      </c>
      <c r="C21" s="24">
        <v>24.454999999999998</v>
      </c>
      <c r="D21" s="24">
        <v>24.454999999999998</v>
      </c>
      <c r="E21" s="24">
        <v>24.454999999999998</v>
      </c>
      <c r="F21" s="24">
        <v>24.454999999999998</v>
      </c>
      <c r="G21" s="24">
        <v>24.454999999999998</v>
      </c>
      <c r="H21" s="24">
        <v>24.454999999999998</v>
      </c>
      <c r="I21" s="24">
        <v>24.454999999999998</v>
      </c>
      <c r="J21" s="24">
        <v>24.454999999999998</v>
      </c>
      <c r="K21" s="24">
        <v>24.454999999999998</v>
      </c>
      <c r="L21" s="24">
        <v>24.454999999999998</v>
      </c>
      <c r="M21" s="24">
        <v>24.454999999999998</v>
      </c>
      <c r="N21" s="24">
        <v>24.454999999999998</v>
      </c>
      <c r="O21" s="24">
        <v>24.454999999999998</v>
      </c>
      <c r="P21" s="24">
        <v>24.454999999999998</v>
      </c>
      <c r="Q21" s="24">
        <v>24.454999999999998</v>
      </c>
      <c r="R21" s="24">
        <v>24.454999999999998</v>
      </c>
      <c r="S21" s="24">
        <v>24.454999999999998</v>
      </c>
      <c r="T21" s="24">
        <v>24.454999999999998</v>
      </c>
      <c r="U21" s="24">
        <v>24.454999999999998</v>
      </c>
      <c r="V21" s="24">
        <v>24.454999999999998</v>
      </c>
      <c r="W21" s="24">
        <v>24.454999999999998</v>
      </c>
      <c r="X21" s="24">
        <v>24.454999999999998</v>
      </c>
      <c r="Y21" s="24">
        <v>24.454999999999998</v>
      </c>
      <c r="Z21" s="24">
        <v>24.454999999999998</v>
      </c>
      <c r="AA21" s="9">
        <f t="shared" si="0"/>
        <v>586.91999999999996</v>
      </c>
      <c r="AB21" s="10">
        <v>5</v>
      </c>
      <c r="AC21" s="11">
        <f t="shared" si="1"/>
        <v>2934.6</v>
      </c>
      <c r="AD21" s="36"/>
    </row>
    <row r="22" spans="1:30" x14ac:dyDescent="0.2">
      <c r="A22" s="35">
        <v>45962</v>
      </c>
      <c r="B22" s="8" t="s">
        <v>30</v>
      </c>
      <c r="C22" s="24">
        <v>24.454999999999998</v>
      </c>
      <c r="D22" s="24">
        <v>24.454999999999998</v>
      </c>
      <c r="E22" s="24">
        <v>24.454999999999998</v>
      </c>
      <c r="F22" s="24">
        <v>24.454999999999998</v>
      </c>
      <c r="G22" s="24">
        <v>24.454999999999998</v>
      </c>
      <c r="H22" s="24">
        <v>24.454999999999998</v>
      </c>
      <c r="I22" s="24">
        <v>24.454999999999998</v>
      </c>
      <c r="J22" s="24">
        <v>24.454999999999998</v>
      </c>
      <c r="K22" s="24">
        <v>24.454999999999998</v>
      </c>
      <c r="L22" s="24">
        <v>24.454999999999998</v>
      </c>
      <c r="M22" s="24">
        <v>24.454999999999998</v>
      </c>
      <c r="N22" s="24">
        <v>24.454999999999998</v>
      </c>
      <c r="O22" s="24">
        <v>24.454999999999998</v>
      </c>
      <c r="P22" s="24">
        <v>24.454999999999998</v>
      </c>
      <c r="Q22" s="24">
        <v>24.454999999999998</v>
      </c>
      <c r="R22" s="24">
        <v>24.454999999999998</v>
      </c>
      <c r="S22" s="24">
        <v>24.454999999999998</v>
      </c>
      <c r="T22" s="24">
        <v>24.454999999999998</v>
      </c>
      <c r="U22" s="24">
        <v>24.454999999999998</v>
      </c>
      <c r="V22" s="24">
        <v>24.454999999999998</v>
      </c>
      <c r="W22" s="24">
        <v>24.454999999999998</v>
      </c>
      <c r="X22" s="24">
        <v>24.454999999999998</v>
      </c>
      <c r="Y22" s="24">
        <v>24.454999999999998</v>
      </c>
      <c r="Z22" s="24">
        <v>24.454999999999998</v>
      </c>
      <c r="AA22" s="9">
        <f t="shared" si="0"/>
        <v>586.91999999999996</v>
      </c>
      <c r="AB22" s="10">
        <v>18</v>
      </c>
      <c r="AC22" s="11">
        <f t="shared" si="1"/>
        <v>10564.56</v>
      </c>
      <c r="AD22" s="36">
        <f>+AC22+AC23+AC24</f>
        <v>17607.599999999999</v>
      </c>
    </row>
    <row r="23" spans="1:30" x14ac:dyDescent="0.2">
      <c r="A23" s="35"/>
      <c r="B23" s="8" t="s">
        <v>31</v>
      </c>
      <c r="C23" s="24">
        <v>24.454999999999998</v>
      </c>
      <c r="D23" s="24">
        <v>24.454999999999998</v>
      </c>
      <c r="E23" s="24">
        <v>24.454999999999998</v>
      </c>
      <c r="F23" s="24">
        <v>24.454999999999998</v>
      </c>
      <c r="G23" s="24">
        <v>24.454999999999998</v>
      </c>
      <c r="H23" s="24">
        <v>24.454999999999998</v>
      </c>
      <c r="I23" s="24">
        <v>24.454999999999998</v>
      </c>
      <c r="J23" s="24">
        <v>24.454999999999998</v>
      </c>
      <c r="K23" s="24">
        <v>24.454999999999998</v>
      </c>
      <c r="L23" s="24">
        <v>24.454999999999998</v>
      </c>
      <c r="M23" s="24">
        <v>24.454999999999998</v>
      </c>
      <c r="N23" s="24">
        <v>24.454999999999998</v>
      </c>
      <c r="O23" s="24">
        <v>24.454999999999998</v>
      </c>
      <c r="P23" s="24">
        <v>24.454999999999998</v>
      </c>
      <c r="Q23" s="24">
        <v>24.454999999999998</v>
      </c>
      <c r="R23" s="24">
        <v>24.454999999999998</v>
      </c>
      <c r="S23" s="24">
        <v>24.454999999999998</v>
      </c>
      <c r="T23" s="24">
        <v>24.454999999999998</v>
      </c>
      <c r="U23" s="24">
        <v>24.454999999999998</v>
      </c>
      <c r="V23" s="24">
        <v>24.454999999999998</v>
      </c>
      <c r="W23" s="24">
        <v>24.454999999999998</v>
      </c>
      <c r="X23" s="24">
        <v>24.454999999999998</v>
      </c>
      <c r="Y23" s="24">
        <v>24.454999999999998</v>
      </c>
      <c r="Z23" s="24">
        <v>24.454999999999998</v>
      </c>
      <c r="AA23" s="9">
        <f t="shared" si="0"/>
        <v>586.91999999999996</v>
      </c>
      <c r="AB23" s="10">
        <v>5</v>
      </c>
      <c r="AC23" s="11">
        <f t="shared" si="1"/>
        <v>2934.6</v>
      </c>
      <c r="AD23" s="36"/>
    </row>
    <row r="24" spans="1:30" x14ac:dyDescent="0.2">
      <c r="A24" s="35"/>
      <c r="B24" s="8" t="s">
        <v>32</v>
      </c>
      <c r="C24" s="24">
        <v>24.454999999999998</v>
      </c>
      <c r="D24" s="24">
        <v>24.454999999999998</v>
      </c>
      <c r="E24" s="24">
        <v>24.454999999999998</v>
      </c>
      <c r="F24" s="24">
        <v>24.454999999999998</v>
      </c>
      <c r="G24" s="24">
        <v>24.454999999999998</v>
      </c>
      <c r="H24" s="24">
        <v>24.454999999999998</v>
      </c>
      <c r="I24" s="24">
        <v>24.454999999999998</v>
      </c>
      <c r="J24" s="24">
        <v>24.454999999999998</v>
      </c>
      <c r="K24" s="24">
        <v>24.454999999999998</v>
      </c>
      <c r="L24" s="24">
        <v>24.454999999999998</v>
      </c>
      <c r="M24" s="24">
        <v>24.454999999999998</v>
      </c>
      <c r="N24" s="24">
        <v>24.454999999999998</v>
      </c>
      <c r="O24" s="24">
        <v>24.454999999999998</v>
      </c>
      <c r="P24" s="24">
        <v>24.454999999999998</v>
      </c>
      <c r="Q24" s="24">
        <v>24.454999999999998</v>
      </c>
      <c r="R24" s="24">
        <v>24.454999999999998</v>
      </c>
      <c r="S24" s="24">
        <v>24.454999999999998</v>
      </c>
      <c r="T24" s="24">
        <v>24.454999999999998</v>
      </c>
      <c r="U24" s="24">
        <v>24.454999999999998</v>
      </c>
      <c r="V24" s="24">
        <v>24.454999999999998</v>
      </c>
      <c r="W24" s="24">
        <v>24.454999999999998</v>
      </c>
      <c r="X24" s="24">
        <v>24.454999999999998</v>
      </c>
      <c r="Y24" s="24">
        <v>24.454999999999998</v>
      </c>
      <c r="Z24" s="24">
        <v>24.454999999999998</v>
      </c>
      <c r="AA24" s="9">
        <f t="shared" si="0"/>
        <v>586.91999999999996</v>
      </c>
      <c r="AB24" s="10">
        <v>7</v>
      </c>
      <c r="AC24" s="11">
        <f t="shared" si="1"/>
        <v>4108.4399999999996</v>
      </c>
      <c r="AD24" s="36"/>
    </row>
    <row r="25" spans="1:30" x14ac:dyDescent="0.2">
      <c r="A25" s="35">
        <v>45992</v>
      </c>
      <c r="B25" s="8" t="s">
        <v>30</v>
      </c>
      <c r="C25" s="24">
        <v>24.454999999999998</v>
      </c>
      <c r="D25" s="24">
        <v>24.454999999999998</v>
      </c>
      <c r="E25" s="24">
        <v>24.454999999999998</v>
      </c>
      <c r="F25" s="24">
        <v>24.454999999999998</v>
      </c>
      <c r="G25" s="24">
        <v>24.454999999999998</v>
      </c>
      <c r="H25" s="24">
        <v>24.454999999999998</v>
      </c>
      <c r="I25" s="24">
        <v>24.454999999999998</v>
      </c>
      <c r="J25" s="24">
        <v>24.454999999999998</v>
      </c>
      <c r="K25" s="24">
        <v>24.454999999999998</v>
      </c>
      <c r="L25" s="24">
        <v>24.454999999999998</v>
      </c>
      <c r="M25" s="24">
        <v>24.454999999999998</v>
      </c>
      <c r="N25" s="24">
        <v>24.454999999999998</v>
      </c>
      <c r="O25" s="24">
        <v>24.454999999999998</v>
      </c>
      <c r="P25" s="24">
        <v>24.454999999999998</v>
      </c>
      <c r="Q25" s="24">
        <v>24.454999999999998</v>
      </c>
      <c r="R25" s="24">
        <v>24.454999999999998</v>
      </c>
      <c r="S25" s="24">
        <v>24.454999999999998</v>
      </c>
      <c r="T25" s="24">
        <v>24.454999999999998</v>
      </c>
      <c r="U25" s="24">
        <v>24.454999999999998</v>
      </c>
      <c r="V25" s="24">
        <v>24.454999999999998</v>
      </c>
      <c r="W25" s="24">
        <v>24.454999999999998</v>
      </c>
      <c r="X25" s="24">
        <v>24.454999999999998</v>
      </c>
      <c r="Y25" s="24">
        <v>24.454999999999998</v>
      </c>
      <c r="Z25" s="24">
        <v>24.454999999999998</v>
      </c>
      <c r="AA25" s="9">
        <f t="shared" si="0"/>
        <v>586.91999999999996</v>
      </c>
      <c r="AB25" s="10">
        <v>21</v>
      </c>
      <c r="AC25" s="11">
        <f t="shared" si="1"/>
        <v>12325.32</v>
      </c>
      <c r="AD25" s="36">
        <f>+AC25+AC26+AC27</f>
        <v>18194.52</v>
      </c>
    </row>
    <row r="26" spans="1:30" x14ac:dyDescent="0.2">
      <c r="A26" s="35"/>
      <c r="B26" s="8" t="s">
        <v>31</v>
      </c>
      <c r="C26" s="24">
        <v>24.454999999999998</v>
      </c>
      <c r="D26" s="24">
        <v>24.454999999999998</v>
      </c>
      <c r="E26" s="24">
        <v>24.454999999999998</v>
      </c>
      <c r="F26" s="24">
        <v>24.454999999999998</v>
      </c>
      <c r="G26" s="24">
        <v>24.454999999999998</v>
      </c>
      <c r="H26" s="24">
        <v>24.454999999999998</v>
      </c>
      <c r="I26" s="24">
        <v>24.454999999999998</v>
      </c>
      <c r="J26" s="24">
        <v>24.454999999999998</v>
      </c>
      <c r="K26" s="24">
        <v>24.454999999999998</v>
      </c>
      <c r="L26" s="24">
        <v>24.454999999999998</v>
      </c>
      <c r="M26" s="24">
        <v>24.454999999999998</v>
      </c>
      <c r="N26" s="24">
        <v>24.454999999999998</v>
      </c>
      <c r="O26" s="24">
        <v>24.454999999999998</v>
      </c>
      <c r="P26" s="24">
        <v>24.454999999999998</v>
      </c>
      <c r="Q26" s="24">
        <v>24.454999999999998</v>
      </c>
      <c r="R26" s="24">
        <v>24.454999999999998</v>
      </c>
      <c r="S26" s="24">
        <v>24.454999999999998</v>
      </c>
      <c r="T26" s="24">
        <v>24.454999999999998</v>
      </c>
      <c r="U26" s="24">
        <v>24.454999999999998</v>
      </c>
      <c r="V26" s="24">
        <v>24.454999999999998</v>
      </c>
      <c r="W26" s="24">
        <v>24.454999999999998</v>
      </c>
      <c r="X26" s="24">
        <v>24.454999999999998</v>
      </c>
      <c r="Y26" s="24">
        <v>24.454999999999998</v>
      </c>
      <c r="Z26" s="24">
        <v>24.454999999999998</v>
      </c>
      <c r="AA26" s="9">
        <f t="shared" si="0"/>
        <v>586.91999999999996</v>
      </c>
      <c r="AB26" s="10">
        <v>4</v>
      </c>
      <c r="AC26" s="11">
        <f t="shared" si="1"/>
        <v>2347.6799999999998</v>
      </c>
      <c r="AD26" s="36"/>
    </row>
    <row r="27" spans="1:30" ht="15.75" thickBot="1" x14ac:dyDescent="0.25">
      <c r="A27" s="35"/>
      <c r="B27" s="12" t="s">
        <v>32</v>
      </c>
      <c r="C27" s="24">
        <v>24.454999999999998</v>
      </c>
      <c r="D27" s="24">
        <v>24.454999999999998</v>
      </c>
      <c r="E27" s="24">
        <v>24.454999999999998</v>
      </c>
      <c r="F27" s="24">
        <v>24.454999999999998</v>
      </c>
      <c r="G27" s="24">
        <v>24.454999999999998</v>
      </c>
      <c r="H27" s="24">
        <v>24.454999999999998</v>
      </c>
      <c r="I27" s="24">
        <v>24.454999999999998</v>
      </c>
      <c r="J27" s="24">
        <v>24.454999999999998</v>
      </c>
      <c r="K27" s="24">
        <v>24.454999999999998</v>
      </c>
      <c r="L27" s="24">
        <v>24.454999999999998</v>
      </c>
      <c r="M27" s="24">
        <v>24.454999999999998</v>
      </c>
      <c r="N27" s="24">
        <v>24.454999999999998</v>
      </c>
      <c r="O27" s="24">
        <v>24.454999999999998</v>
      </c>
      <c r="P27" s="24">
        <v>24.454999999999998</v>
      </c>
      <c r="Q27" s="24">
        <v>24.454999999999998</v>
      </c>
      <c r="R27" s="24">
        <v>24.454999999999998</v>
      </c>
      <c r="S27" s="24">
        <v>24.454999999999998</v>
      </c>
      <c r="T27" s="24">
        <v>24.454999999999998</v>
      </c>
      <c r="U27" s="24">
        <v>24.454999999999998</v>
      </c>
      <c r="V27" s="24">
        <v>24.454999999999998</v>
      </c>
      <c r="W27" s="24">
        <v>24.454999999999998</v>
      </c>
      <c r="X27" s="24">
        <v>24.454999999999998</v>
      </c>
      <c r="Y27" s="24">
        <v>24.454999999999998</v>
      </c>
      <c r="Z27" s="24">
        <v>24.454999999999998</v>
      </c>
      <c r="AA27" s="9">
        <f t="shared" si="0"/>
        <v>586.91999999999996</v>
      </c>
      <c r="AB27" s="30">
        <v>6</v>
      </c>
      <c r="AC27" s="31">
        <f t="shared" si="1"/>
        <v>3521.5199999999995</v>
      </c>
      <c r="AD27" s="37"/>
    </row>
    <row r="28" spans="1:30" ht="16.5" thickBot="1" x14ac:dyDescent="0.3">
      <c r="AB28" s="32" t="s">
        <v>58</v>
      </c>
      <c r="AC28" s="34"/>
      <c r="AD28" s="33">
        <f>SUM(AD10:AD27)</f>
        <v>107993.28000000001</v>
      </c>
    </row>
    <row r="29" spans="1:30" x14ac:dyDescent="0.2">
      <c r="K29" s="29"/>
    </row>
    <row r="31" spans="1:30" x14ac:dyDescent="0.2">
      <c r="AD31" s="2"/>
    </row>
    <row r="32" spans="1:30" x14ac:dyDescent="0.2">
      <c r="AD32" s="28"/>
    </row>
  </sheetData>
  <mergeCells count="12">
    <mergeCell ref="A10:A12"/>
    <mergeCell ref="AD10:AD12"/>
    <mergeCell ref="A13:A15"/>
    <mergeCell ref="AD13:AD15"/>
    <mergeCell ref="A16:A18"/>
    <mergeCell ref="AD16:AD18"/>
    <mergeCell ref="A19:A21"/>
    <mergeCell ref="AD19:AD21"/>
    <mergeCell ref="A22:A24"/>
    <mergeCell ref="AD22:AD24"/>
    <mergeCell ref="A25:A27"/>
    <mergeCell ref="AD25:AD27"/>
  </mergeCells>
  <conditionalFormatting sqref="C10:Z27">
    <cfRule type="cellIs" dxfId="1" priority="1" stopIfTrue="1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2:L27"/>
  <sheetViews>
    <sheetView showGridLines="0" workbookViewId="0">
      <selection activeCell="H27" sqref="H27"/>
    </sheetView>
  </sheetViews>
  <sheetFormatPr baseColWidth="10" defaultRowHeight="15" x14ac:dyDescent="0.2"/>
  <cols>
    <col min="2" max="3" width="12.33203125" customWidth="1"/>
    <col min="4" max="4" width="12.44140625" customWidth="1"/>
    <col min="5" max="5" width="12.5546875" customWidth="1"/>
    <col min="6" max="6" width="8.21875" customWidth="1"/>
  </cols>
  <sheetData>
    <row r="2" spans="2:7" ht="18" x14ac:dyDescent="0.2">
      <c r="B2" s="13" t="s">
        <v>33</v>
      </c>
    </row>
    <row r="3" spans="2:7" ht="18" x14ac:dyDescent="0.2">
      <c r="B3" s="13" t="s">
        <v>34</v>
      </c>
    </row>
    <row r="4" spans="2:7" ht="18" x14ac:dyDescent="0.2">
      <c r="B4" s="13" t="s">
        <v>49</v>
      </c>
    </row>
    <row r="5" spans="2:7" ht="18" x14ac:dyDescent="0.2">
      <c r="B5" s="13"/>
    </row>
    <row r="6" spans="2:7" ht="18" x14ac:dyDescent="0.2">
      <c r="B6" s="13" t="s">
        <v>55</v>
      </c>
    </row>
    <row r="10" spans="2:7" ht="15.75" x14ac:dyDescent="0.25">
      <c r="B10" s="14" t="s">
        <v>35</v>
      </c>
      <c r="G10" s="14"/>
    </row>
    <row r="11" spans="2:7" ht="45" x14ac:dyDescent="0.25">
      <c r="B11" s="15" t="s">
        <v>0</v>
      </c>
      <c r="C11" s="15" t="s">
        <v>36</v>
      </c>
      <c r="D11" s="16" t="s">
        <v>52</v>
      </c>
      <c r="E11" s="15" t="s">
        <v>56</v>
      </c>
      <c r="F11" s="17"/>
      <c r="G11" s="14"/>
    </row>
    <row r="12" spans="2:7" ht="15.75" x14ac:dyDescent="0.25">
      <c r="B12" s="10" t="s">
        <v>37</v>
      </c>
      <c r="C12" s="18">
        <f>+P1_ANEXO_1_2025!$AD$10</f>
        <v>18194.52</v>
      </c>
      <c r="D12" s="25"/>
      <c r="E12" s="26"/>
      <c r="F12" s="19"/>
      <c r="G12" s="14"/>
    </row>
    <row r="13" spans="2:7" ht="15.75" x14ac:dyDescent="0.25">
      <c r="B13" s="10" t="s">
        <v>38</v>
      </c>
      <c r="C13" s="18">
        <f>+P1_ANEXO_1_2025!$AD$13</f>
        <v>18194.52</v>
      </c>
      <c r="D13" s="25"/>
      <c r="E13" s="26"/>
      <c r="F13" s="19"/>
      <c r="G13" s="14"/>
    </row>
    <row r="14" spans="2:7" ht="15.75" x14ac:dyDescent="0.25">
      <c r="B14" s="10" t="s">
        <v>39</v>
      </c>
      <c r="C14" s="18">
        <f>+P1_ANEXO_1_2025!$AD$16</f>
        <v>17607.599999999999</v>
      </c>
      <c r="D14" s="25"/>
      <c r="E14" s="26"/>
      <c r="F14" s="19"/>
      <c r="G14" s="14"/>
    </row>
    <row r="15" spans="2:7" ht="15.75" x14ac:dyDescent="0.25">
      <c r="B15" s="10" t="s">
        <v>40</v>
      </c>
      <c r="C15" s="18">
        <f>+P1_ANEXO_1_2025!$AD$19</f>
        <v>18194.52</v>
      </c>
      <c r="D15" s="25"/>
      <c r="E15" s="26"/>
      <c r="F15" s="19"/>
      <c r="G15" s="14"/>
    </row>
    <row r="16" spans="2:7" ht="15.75" x14ac:dyDescent="0.25">
      <c r="B16" s="10" t="s">
        <v>41</v>
      </c>
      <c r="C16" s="18">
        <f>+P1_ANEXO_1_2025!$AD$22</f>
        <v>17607.599999999999</v>
      </c>
      <c r="D16" s="25"/>
      <c r="E16" s="26"/>
      <c r="F16" s="19"/>
      <c r="G16" s="14"/>
    </row>
    <row r="17" spans="2:12" ht="15.75" x14ac:dyDescent="0.25">
      <c r="B17" s="10" t="s">
        <v>42</v>
      </c>
      <c r="C17" s="18">
        <f>+P1_ANEXO_1_2025!$AD$25</f>
        <v>18194.52</v>
      </c>
      <c r="D17" s="25"/>
      <c r="E17" s="26"/>
      <c r="F17" s="19"/>
      <c r="G17" s="14"/>
    </row>
    <row r="18" spans="2:12" ht="15.75" x14ac:dyDescent="0.25">
      <c r="B18" s="20" t="s">
        <v>43</v>
      </c>
      <c r="C18" s="21">
        <f>SUM(C12:C17)</f>
        <v>107993.28000000001</v>
      </c>
      <c r="G18" s="14"/>
    </row>
    <row r="19" spans="2:12" ht="15.75" x14ac:dyDescent="0.25">
      <c r="G19" s="14"/>
    </row>
    <row r="21" spans="2:12" x14ac:dyDescent="0.2">
      <c r="B21" s="22" t="s">
        <v>44</v>
      </c>
      <c r="L21" s="23"/>
    </row>
    <row r="22" spans="2:12" x14ac:dyDescent="0.2">
      <c r="B22" s="22" t="s">
        <v>45</v>
      </c>
    </row>
    <row r="23" spans="2:12" x14ac:dyDescent="0.2">
      <c r="B23" s="22" t="s">
        <v>50</v>
      </c>
    </row>
    <row r="24" spans="2:12" x14ac:dyDescent="0.2">
      <c r="B24" s="22" t="s">
        <v>46</v>
      </c>
    </row>
    <row r="25" spans="2:12" x14ac:dyDescent="0.2">
      <c r="B25" s="22" t="s">
        <v>47</v>
      </c>
    </row>
    <row r="26" spans="2:12" x14ac:dyDescent="0.2">
      <c r="B26" s="22" t="s">
        <v>53</v>
      </c>
    </row>
    <row r="27" spans="2:12" x14ac:dyDescent="0.2">
      <c r="B27" s="22" t="s">
        <v>51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48C2-4AE7-44EA-AC1D-4CF446BE32E5}">
  <dimension ref="A2:AD28"/>
  <sheetViews>
    <sheetView showGridLines="0" workbookViewId="0">
      <selection activeCell="AD28" sqref="A8:AD28"/>
    </sheetView>
  </sheetViews>
  <sheetFormatPr baseColWidth="10" defaultRowHeight="15" x14ac:dyDescent="0.2"/>
  <cols>
    <col min="1" max="1" width="10" customWidth="1"/>
    <col min="2" max="2" width="10.6640625" customWidth="1"/>
    <col min="3" max="26" width="6.5546875" bestFit="1" customWidth="1"/>
    <col min="27" max="27" width="5.5546875" bestFit="1" customWidth="1"/>
    <col min="28" max="28" width="6.5546875" bestFit="1" customWidth="1"/>
    <col min="29" max="29" width="8.44140625" bestFit="1" customWidth="1"/>
    <col min="30" max="30" width="12" bestFit="1" customWidth="1"/>
  </cols>
  <sheetData>
    <row r="2" spans="1:30" ht="18" x14ac:dyDescent="0.2">
      <c r="B2" s="13" t="s">
        <v>33</v>
      </c>
    </row>
    <row r="3" spans="1:30" ht="18" x14ac:dyDescent="0.2">
      <c r="B3" s="13" t="s">
        <v>34</v>
      </c>
    </row>
    <row r="4" spans="1:30" ht="18" x14ac:dyDescent="0.2">
      <c r="B4" s="13" t="s">
        <v>49</v>
      </c>
    </row>
    <row r="5" spans="1:30" ht="18" x14ac:dyDescent="0.2">
      <c r="B5" s="13"/>
      <c r="N5" s="27"/>
    </row>
    <row r="6" spans="1:30" ht="18" x14ac:dyDescent="0.2">
      <c r="B6" s="13" t="s">
        <v>54</v>
      </c>
    </row>
    <row r="7" spans="1:30" ht="18" x14ac:dyDescent="0.2">
      <c r="B7" s="13"/>
    </row>
    <row r="8" spans="1:30" ht="24" thickBot="1" x14ac:dyDescent="0.4">
      <c r="A8" s="1" t="s">
        <v>48</v>
      </c>
      <c r="AD8" s="2"/>
    </row>
    <row r="9" spans="1:30" x14ac:dyDescent="0.2">
      <c r="A9" s="3" t="s">
        <v>0</v>
      </c>
      <c r="B9" s="4" t="s">
        <v>1</v>
      </c>
      <c r="C9" s="5" t="s">
        <v>2</v>
      </c>
      <c r="D9" s="6" t="s">
        <v>3</v>
      </c>
      <c r="E9" s="6" t="s">
        <v>4</v>
      </c>
      <c r="F9" s="6" t="s">
        <v>5</v>
      </c>
      <c r="G9" s="6" t="s">
        <v>6</v>
      </c>
      <c r="H9" s="6" t="s">
        <v>7</v>
      </c>
      <c r="I9" s="6" t="s">
        <v>8</v>
      </c>
      <c r="J9" s="6" t="s">
        <v>9</v>
      </c>
      <c r="K9" s="6" t="s">
        <v>10</v>
      </c>
      <c r="L9" s="6" t="s">
        <v>11</v>
      </c>
      <c r="M9" s="6" t="s">
        <v>12</v>
      </c>
      <c r="N9" s="6" t="s">
        <v>13</v>
      </c>
      <c r="O9" s="6" t="s">
        <v>14</v>
      </c>
      <c r="P9" s="6" t="s">
        <v>15</v>
      </c>
      <c r="Q9" s="6" t="s">
        <v>16</v>
      </c>
      <c r="R9" s="6" t="s">
        <v>17</v>
      </c>
      <c r="S9" s="6" t="s">
        <v>18</v>
      </c>
      <c r="T9" s="6" t="s">
        <v>19</v>
      </c>
      <c r="U9" s="6" t="s">
        <v>20</v>
      </c>
      <c r="V9" s="6" t="s">
        <v>21</v>
      </c>
      <c r="W9" s="6" t="s">
        <v>22</v>
      </c>
      <c r="X9" s="6" t="s">
        <v>23</v>
      </c>
      <c r="Y9" s="6" t="s">
        <v>24</v>
      </c>
      <c r="Z9" s="6" t="s">
        <v>25</v>
      </c>
      <c r="AA9" s="4" t="s">
        <v>26</v>
      </c>
      <c r="AB9" s="6" t="s">
        <v>27</v>
      </c>
      <c r="AC9" s="7" t="s">
        <v>28</v>
      </c>
      <c r="AD9" s="4" t="s">
        <v>29</v>
      </c>
    </row>
    <row r="10" spans="1:30" x14ac:dyDescent="0.2">
      <c r="A10" s="35">
        <v>45839</v>
      </c>
      <c r="B10" s="8" t="s">
        <v>30</v>
      </c>
      <c r="C10" s="24">
        <v>24.454999999999998</v>
      </c>
      <c r="D10" s="24">
        <v>24.454999999999998</v>
      </c>
      <c r="E10" s="24">
        <v>24.454999999999998</v>
      </c>
      <c r="F10" s="24">
        <v>24.454999999999998</v>
      </c>
      <c r="G10" s="24">
        <v>24.454999999999998</v>
      </c>
      <c r="H10" s="24">
        <v>24.454999999999998</v>
      </c>
      <c r="I10" s="24">
        <v>24.454999999999998</v>
      </c>
      <c r="J10" s="24">
        <v>24.454999999999998</v>
      </c>
      <c r="K10" s="24">
        <v>24.454999999999998</v>
      </c>
      <c r="L10" s="24">
        <v>24.454999999999998</v>
      </c>
      <c r="M10" s="24">
        <v>24.454999999999998</v>
      </c>
      <c r="N10" s="24">
        <v>24.454999999999998</v>
      </c>
      <c r="O10" s="24">
        <v>24.454999999999998</v>
      </c>
      <c r="P10" s="24">
        <v>24.454999999999998</v>
      </c>
      <c r="Q10" s="24">
        <v>24.454999999999998</v>
      </c>
      <c r="R10" s="24">
        <v>24.454999999999998</v>
      </c>
      <c r="S10" s="24">
        <v>24.454999999999998</v>
      </c>
      <c r="T10" s="24">
        <v>24.454999999999998</v>
      </c>
      <c r="U10" s="24">
        <v>24.454999999999998</v>
      </c>
      <c r="V10" s="24">
        <v>24.454999999999998</v>
      </c>
      <c r="W10" s="24">
        <v>24.454999999999998</v>
      </c>
      <c r="X10" s="24">
        <v>24.454999999999998</v>
      </c>
      <c r="Y10" s="24">
        <v>24.454999999999998</v>
      </c>
      <c r="Z10" s="24">
        <v>24.454999999999998</v>
      </c>
      <c r="AA10" s="9">
        <f t="shared" ref="AA10:AA27" si="0">SUM(C10:Z10)</f>
        <v>586.91999999999996</v>
      </c>
      <c r="AB10" s="10">
        <v>23</v>
      </c>
      <c r="AC10" s="11">
        <f t="shared" ref="AC10:AC27" si="1">AA10*+AB10</f>
        <v>13499.16</v>
      </c>
      <c r="AD10" s="36">
        <f>+AC10+AC11+AC12</f>
        <v>18194.52</v>
      </c>
    </row>
    <row r="11" spans="1:30" x14ac:dyDescent="0.2">
      <c r="A11" s="35"/>
      <c r="B11" s="8" t="s">
        <v>31</v>
      </c>
      <c r="C11" s="24">
        <v>24.454999999999998</v>
      </c>
      <c r="D11" s="24">
        <v>24.454999999999998</v>
      </c>
      <c r="E11" s="24">
        <v>24.454999999999998</v>
      </c>
      <c r="F11" s="24">
        <v>24.454999999999998</v>
      </c>
      <c r="G11" s="24">
        <v>24.454999999999998</v>
      </c>
      <c r="H11" s="24">
        <v>24.454999999999998</v>
      </c>
      <c r="I11" s="24">
        <v>24.454999999999998</v>
      </c>
      <c r="J11" s="24">
        <v>24.454999999999998</v>
      </c>
      <c r="K11" s="24">
        <v>24.454999999999998</v>
      </c>
      <c r="L11" s="24">
        <v>24.454999999999998</v>
      </c>
      <c r="M11" s="24">
        <v>24.454999999999998</v>
      </c>
      <c r="N11" s="24">
        <v>24.454999999999998</v>
      </c>
      <c r="O11" s="24">
        <v>24.454999999999998</v>
      </c>
      <c r="P11" s="24">
        <v>24.454999999999998</v>
      </c>
      <c r="Q11" s="24">
        <v>24.454999999999998</v>
      </c>
      <c r="R11" s="24">
        <v>24.454999999999998</v>
      </c>
      <c r="S11" s="24">
        <v>24.454999999999998</v>
      </c>
      <c r="T11" s="24">
        <v>24.454999999999998</v>
      </c>
      <c r="U11" s="24">
        <v>24.454999999999998</v>
      </c>
      <c r="V11" s="24">
        <v>24.454999999999998</v>
      </c>
      <c r="W11" s="24">
        <v>24.454999999999998</v>
      </c>
      <c r="X11" s="24">
        <v>24.454999999999998</v>
      </c>
      <c r="Y11" s="24">
        <v>24.454999999999998</v>
      </c>
      <c r="Z11" s="24">
        <v>24.454999999999998</v>
      </c>
      <c r="AA11" s="9">
        <f t="shared" si="0"/>
        <v>586.91999999999996</v>
      </c>
      <c r="AB11" s="10">
        <v>4</v>
      </c>
      <c r="AC11" s="11">
        <f t="shared" si="1"/>
        <v>2347.6799999999998</v>
      </c>
      <c r="AD11" s="36"/>
    </row>
    <row r="12" spans="1:30" x14ac:dyDescent="0.2">
      <c r="A12" s="35"/>
      <c r="B12" s="8" t="s">
        <v>32</v>
      </c>
      <c r="C12" s="24">
        <v>24.454999999999998</v>
      </c>
      <c r="D12" s="24">
        <v>24.454999999999998</v>
      </c>
      <c r="E12" s="24">
        <v>24.454999999999998</v>
      </c>
      <c r="F12" s="24">
        <v>24.454999999999998</v>
      </c>
      <c r="G12" s="24">
        <v>24.454999999999998</v>
      </c>
      <c r="H12" s="24">
        <v>24.454999999999998</v>
      </c>
      <c r="I12" s="24">
        <v>24.454999999999998</v>
      </c>
      <c r="J12" s="24">
        <v>24.454999999999998</v>
      </c>
      <c r="K12" s="24">
        <v>24.454999999999998</v>
      </c>
      <c r="L12" s="24">
        <v>24.454999999999998</v>
      </c>
      <c r="M12" s="24">
        <v>24.454999999999998</v>
      </c>
      <c r="N12" s="24">
        <v>24.454999999999998</v>
      </c>
      <c r="O12" s="24">
        <v>24.454999999999998</v>
      </c>
      <c r="P12" s="24">
        <v>24.454999999999998</v>
      </c>
      <c r="Q12" s="24">
        <v>24.454999999999998</v>
      </c>
      <c r="R12" s="24">
        <v>24.454999999999998</v>
      </c>
      <c r="S12" s="24">
        <v>24.454999999999998</v>
      </c>
      <c r="T12" s="24">
        <v>24.454999999999998</v>
      </c>
      <c r="U12" s="24">
        <v>24.454999999999998</v>
      </c>
      <c r="V12" s="24">
        <v>24.454999999999998</v>
      </c>
      <c r="W12" s="24">
        <v>24.454999999999998</v>
      </c>
      <c r="X12" s="24">
        <v>24.454999999999998</v>
      </c>
      <c r="Y12" s="24">
        <v>24.454999999999998</v>
      </c>
      <c r="Z12" s="24">
        <v>24.454999999999998</v>
      </c>
      <c r="AA12" s="9">
        <f t="shared" si="0"/>
        <v>586.91999999999996</v>
      </c>
      <c r="AB12" s="10">
        <v>4</v>
      </c>
      <c r="AC12" s="11">
        <f t="shared" si="1"/>
        <v>2347.6799999999998</v>
      </c>
      <c r="AD12" s="36"/>
    </row>
    <row r="13" spans="1:30" x14ac:dyDescent="0.2">
      <c r="A13" s="35">
        <v>45870</v>
      </c>
      <c r="B13" s="8" t="s">
        <v>30</v>
      </c>
      <c r="C13" s="24">
        <v>24.454999999999998</v>
      </c>
      <c r="D13" s="24">
        <v>24.454999999999998</v>
      </c>
      <c r="E13" s="24">
        <v>24.454999999999998</v>
      </c>
      <c r="F13" s="24">
        <v>24.454999999999998</v>
      </c>
      <c r="G13" s="24">
        <v>24.454999999999998</v>
      </c>
      <c r="H13" s="24">
        <v>24.454999999999998</v>
      </c>
      <c r="I13" s="24">
        <v>24.454999999999998</v>
      </c>
      <c r="J13" s="24">
        <v>24.454999999999998</v>
      </c>
      <c r="K13" s="24">
        <v>24.454999999999998</v>
      </c>
      <c r="L13" s="24">
        <v>24.454999999999998</v>
      </c>
      <c r="M13" s="24">
        <v>24.454999999999998</v>
      </c>
      <c r="N13" s="24">
        <v>24.454999999999998</v>
      </c>
      <c r="O13" s="24">
        <v>24.454999999999998</v>
      </c>
      <c r="P13" s="24">
        <v>24.454999999999998</v>
      </c>
      <c r="Q13" s="24">
        <v>24.454999999999998</v>
      </c>
      <c r="R13" s="24">
        <v>24.454999999999998</v>
      </c>
      <c r="S13" s="24">
        <v>24.454999999999998</v>
      </c>
      <c r="T13" s="24">
        <v>24.454999999999998</v>
      </c>
      <c r="U13" s="24">
        <v>24.454999999999998</v>
      </c>
      <c r="V13" s="24">
        <v>24.454999999999998</v>
      </c>
      <c r="W13" s="24">
        <v>24.454999999999998</v>
      </c>
      <c r="X13" s="24">
        <v>24.454999999999998</v>
      </c>
      <c r="Y13" s="24">
        <v>24.454999999999998</v>
      </c>
      <c r="Z13" s="24">
        <v>24.454999999999998</v>
      </c>
      <c r="AA13" s="9">
        <f t="shared" si="0"/>
        <v>586.91999999999996</v>
      </c>
      <c r="AB13" s="10">
        <v>19</v>
      </c>
      <c r="AC13" s="11">
        <f t="shared" si="1"/>
        <v>11151.48</v>
      </c>
      <c r="AD13" s="36">
        <f>+AC13+AC14+AC15</f>
        <v>18194.52</v>
      </c>
    </row>
    <row r="14" spans="1:30" x14ac:dyDescent="0.2">
      <c r="A14" s="35"/>
      <c r="B14" s="8" t="s">
        <v>31</v>
      </c>
      <c r="C14" s="24">
        <v>24.454999999999998</v>
      </c>
      <c r="D14" s="24">
        <v>24.454999999999998</v>
      </c>
      <c r="E14" s="24">
        <v>24.454999999999998</v>
      </c>
      <c r="F14" s="24">
        <v>24.454999999999998</v>
      </c>
      <c r="G14" s="24">
        <v>24.454999999999998</v>
      </c>
      <c r="H14" s="24">
        <v>24.454999999999998</v>
      </c>
      <c r="I14" s="24">
        <v>24.454999999999998</v>
      </c>
      <c r="J14" s="24">
        <v>24.454999999999998</v>
      </c>
      <c r="K14" s="24">
        <v>24.454999999999998</v>
      </c>
      <c r="L14" s="24">
        <v>24.454999999999998</v>
      </c>
      <c r="M14" s="24">
        <v>24.454999999999998</v>
      </c>
      <c r="N14" s="24">
        <v>24.454999999999998</v>
      </c>
      <c r="O14" s="24">
        <v>24.454999999999998</v>
      </c>
      <c r="P14" s="24">
        <v>24.454999999999998</v>
      </c>
      <c r="Q14" s="24">
        <v>24.454999999999998</v>
      </c>
      <c r="R14" s="24">
        <v>24.454999999999998</v>
      </c>
      <c r="S14" s="24">
        <v>24.454999999999998</v>
      </c>
      <c r="T14" s="24">
        <v>24.454999999999998</v>
      </c>
      <c r="U14" s="24">
        <v>24.454999999999998</v>
      </c>
      <c r="V14" s="24">
        <v>24.454999999999998</v>
      </c>
      <c r="W14" s="24">
        <v>24.454999999999998</v>
      </c>
      <c r="X14" s="24">
        <v>24.454999999999998</v>
      </c>
      <c r="Y14" s="24">
        <v>24.454999999999998</v>
      </c>
      <c r="Z14" s="24">
        <v>24.454999999999998</v>
      </c>
      <c r="AA14" s="9">
        <f t="shared" si="0"/>
        <v>586.91999999999996</v>
      </c>
      <c r="AB14" s="10">
        <v>5</v>
      </c>
      <c r="AC14" s="11">
        <f t="shared" si="1"/>
        <v>2934.6</v>
      </c>
      <c r="AD14" s="36"/>
    </row>
    <row r="15" spans="1:30" x14ac:dyDescent="0.2">
      <c r="A15" s="35"/>
      <c r="B15" s="8" t="s">
        <v>32</v>
      </c>
      <c r="C15" s="24">
        <v>24.454999999999998</v>
      </c>
      <c r="D15" s="24">
        <v>24.454999999999998</v>
      </c>
      <c r="E15" s="24">
        <v>24.454999999999998</v>
      </c>
      <c r="F15" s="24">
        <v>24.454999999999998</v>
      </c>
      <c r="G15" s="24">
        <v>24.454999999999998</v>
      </c>
      <c r="H15" s="24">
        <v>24.454999999999998</v>
      </c>
      <c r="I15" s="24">
        <v>24.454999999999998</v>
      </c>
      <c r="J15" s="24">
        <v>24.454999999999998</v>
      </c>
      <c r="K15" s="24">
        <v>24.454999999999998</v>
      </c>
      <c r="L15" s="24">
        <v>24.454999999999998</v>
      </c>
      <c r="M15" s="24">
        <v>24.454999999999998</v>
      </c>
      <c r="N15" s="24">
        <v>24.454999999999998</v>
      </c>
      <c r="O15" s="24">
        <v>24.454999999999998</v>
      </c>
      <c r="P15" s="24">
        <v>24.454999999999998</v>
      </c>
      <c r="Q15" s="24">
        <v>24.454999999999998</v>
      </c>
      <c r="R15" s="24">
        <v>24.454999999999998</v>
      </c>
      <c r="S15" s="24">
        <v>24.454999999999998</v>
      </c>
      <c r="T15" s="24">
        <v>24.454999999999998</v>
      </c>
      <c r="U15" s="24">
        <v>24.454999999999998</v>
      </c>
      <c r="V15" s="24">
        <v>24.454999999999998</v>
      </c>
      <c r="W15" s="24">
        <v>24.454999999999998</v>
      </c>
      <c r="X15" s="24">
        <v>24.454999999999998</v>
      </c>
      <c r="Y15" s="24">
        <v>24.454999999999998</v>
      </c>
      <c r="Z15" s="24">
        <v>24.454999999999998</v>
      </c>
      <c r="AA15" s="9">
        <f t="shared" si="0"/>
        <v>586.91999999999996</v>
      </c>
      <c r="AB15" s="10">
        <v>7</v>
      </c>
      <c r="AC15" s="11">
        <f t="shared" si="1"/>
        <v>4108.4399999999996</v>
      </c>
      <c r="AD15" s="36"/>
    </row>
    <row r="16" spans="1:30" x14ac:dyDescent="0.2">
      <c r="A16" s="35">
        <v>45901</v>
      </c>
      <c r="B16" s="8" t="s">
        <v>30</v>
      </c>
      <c r="C16" s="24">
        <v>24.454999999999998</v>
      </c>
      <c r="D16" s="24">
        <v>24.454999999999998</v>
      </c>
      <c r="E16" s="24">
        <v>24.454999999999998</v>
      </c>
      <c r="F16" s="24">
        <v>24.454999999999998</v>
      </c>
      <c r="G16" s="24">
        <v>24.454999999999998</v>
      </c>
      <c r="H16" s="24">
        <v>24.454999999999998</v>
      </c>
      <c r="I16" s="24">
        <v>24.454999999999998</v>
      </c>
      <c r="J16" s="24">
        <v>24.454999999999998</v>
      </c>
      <c r="K16" s="24">
        <v>24.454999999999998</v>
      </c>
      <c r="L16" s="24">
        <v>24.454999999999998</v>
      </c>
      <c r="M16" s="24">
        <v>24.454999999999998</v>
      </c>
      <c r="N16" s="24">
        <v>24.454999999999998</v>
      </c>
      <c r="O16" s="24">
        <v>24.454999999999998</v>
      </c>
      <c r="P16" s="24">
        <v>24.454999999999998</v>
      </c>
      <c r="Q16" s="24">
        <v>24.454999999999998</v>
      </c>
      <c r="R16" s="24">
        <v>24.454999999999998</v>
      </c>
      <c r="S16" s="24">
        <v>24.454999999999998</v>
      </c>
      <c r="T16" s="24">
        <v>24.454999999999998</v>
      </c>
      <c r="U16" s="24">
        <v>24.454999999999998</v>
      </c>
      <c r="V16" s="24">
        <v>24.454999999999998</v>
      </c>
      <c r="W16" s="24">
        <v>24.454999999999998</v>
      </c>
      <c r="X16" s="24">
        <v>24.454999999999998</v>
      </c>
      <c r="Y16" s="24">
        <v>24.454999999999998</v>
      </c>
      <c r="Z16" s="24">
        <v>24.454999999999998</v>
      </c>
      <c r="AA16" s="9">
        <f t="shared" si="0"/>
        <v>586.91999999999996</v>
      </c>
      <c r="AB16" s="10">
        <v>22</v>
      </c>
      <c r="AC16" s="11">
        <f t="shared" si="1"/>
        <v>12912.24</v>
      </c>
      <c r="AD16" s="36">
        <f>+AC16+AC17+AC18</f>
        <v>17607.599999999999</v>
      </c>
    </row>
    <row r="17" spans="1:30" x14ac:dyDescent="0.2">
      <c r="A17" s="35"/>
      <c r="B17" s="8" t="s">
        <v>31</v>
      </c>
      <c r="C17" s="24">
        <v>24.454999999999998</v>
      </c>
      <c r="D17" s="24">
        <v>24.454999999999998</v>
      </c>
      <c r="E17" s="24">
        <v>24.454999999999998</v>
      </c>
      <c r="F17" s="24">
        <v>24.454999999999998</v>
      </c>
      <c r="G17" s="24">
        <v>24.454999999999998</v>
      </c>
      <c r="H17" s="24">
        <v>24.454999999999998</v>
      </c>
      <c r="I17" s="24">
        <v>24.454999999999998</v>
      </c>
      <c r="J17" s="24">
        <v>24.454999999999998</v>
      </c>
      <c r="K17" s="24">
        <v>24.454999999999998</v>
      </c>
      <c r="L17" s="24">
        <v>24.454999999999998</v>
      </c>
      <c r="M17" s="24">
        <v>24.454999999999998</v>
      </c>
      <c r="N17" s="24">
        <v>24.454999999999998</v>
      </c>
      <c r="O17" s="24">
        <v>24.454999999999998</v>
      </c>
      <c r="P17" s="24">
        <v>24.454999999999998</v>
      </c>
      <c r="Q17" s="24">
        <v>24.454999999999998</v>
      </c>
      <c r="R17" s="24">
        <v>24.454999999999998</v>
      </c>
      <c r="S17" s="24">
        <v>24.454999999999998</v>
      </c>
      <c r="T17" s="24">
        <v>24.454999999999998</v>
      </c>
      <c r="U17" s="24">
        <v>24.454999999999998</v>
      </c>
      <c r="V17" s="24">
        <v>24.454999999999998</v>
      </c>
      <c r="W17" s="24">
        <v>24.454999999999998</v>
      </c>
      <c r="X17" s="24">
        <v>24.454999999999998</v>
      </c>
      <c r="Y17" s="24">
        <v>24.454999999999998</v>
      </c>
      <c r="Z17" s="24">
        <v>24.454999999999998</v>
      </c>
      <c r="AA17" s="9">
        <f t="shared" si="0"/>
        <v>586.91999999999996</v>
      </c>
      <c r="AB17" s="10">
        <v>4</v>
      </c>
      <c r="AC17" s="11">
        <f t="shared" si="1"/>
        <v>2347.6799999999998</v>
      </c>
      <c r="AD17" s="36"/>
    </row>
    <row r="18" spans="1:30" x14ac:dyDescent="0.2">
      <c r="A18" s="35"/>
      <c r="B18" s="8" t="s">
        <v>32</v>
      </c>
      <c r="C18" s="24">
        <v>24.454999999999998</v>
      </c>
      <c r="D18" s="24">
        <v>24.454999999999998</v>
      </c>
      <c r="E18" s="24">
        <v>24.454999999999998</v>
      </c>
      <c r="F18" s="24">
        <v>24.454999999999998</v>
      </c>
      <c r="G18" s="24">
        <v>24.454999999999998</v>
      </c>
      <c r="H18" s="24">
        <v>24.454999999999998</v>
      </c>
      <c r="I18" s="24">
        <v>24.454999999999998</v>
      </c>
      <c r="J18" s="24">
        <v>24.454999999999998</v>
      </c>
      <c r="K18" s="24">
        <v>24.454999999999998</v>
      </c>
      <c r="L18" s="24">
        <v>24.454999999999998</v>
      </c>
      <c r="M18" s="24">
        <v>24.454999999999998</v>
      </c>
      <c r="N18" s="24">
        <v>24.454999999999998</v>
      </c>
      <c r="O18" s="24">
        <v>24.454999999999998</v>
      </c>
      <c r="P18" s="24">
        <v>24.454999999999998</v>
      </c>
      <c r="Q18" s="24">
        <v>24.454999999999998</v>
      </c>
      <c r="R18" s="24">
        <v>24.454999999999998</v>
      </c>
      <c r="S18" s="24">
        <v>24.454999999999998</v>
      </c>
      <c r="T18" s="24">
        <v>24.454999999999998</v>
      </c>
      <c r="U18" s="24">
        <v>24.454999999999998</v>
      </c>
      <c r="V18" s="24">
        <v>24.454999999999998</v>
      </c>
      <c r="W18" s="24">
        <v>24.454999999999998</v>
      </c>
      <c r="X18" s="24">
        <v>24.454999999999998</v>
      </c>
      <c r="Y18" s="24">
        <v>24.454999999999998</v>
      </c>
      <c r="Z18" s="24">
        <v>24.454999999999998</v>
      </c>
      <c r="AA18" s="9">
        <f t="shared" si="0"/>
        <v>586.91999999999996</v>
      </c>
      <c r="AB18" s="10">
        <v>4</v>
      </c>
      <c r="AC18" s="11">
        <f t="shared" si="1"/>
        <v>2347.6799999999998</v>
      </c>
      <c r="AD18" s="36"/>
    </row>
    <row r="19" spans="1:30" x14ac:dyDescent="0.2">
      <c r="A19" s="35">
        <v>45931</v>
      </c>
      <c r="B19" s="8" t="s">
        <v>30</v>
      </c>
      <c r="C19" s="24">
        <v>24.454999999999998</v>
      </c>
      <c r="D19" s="24">
        <v>24.454999999999998</v>
      </c>
      <c r="E19" s="24">
        <v>24.454999999999998</v>
      </c>
      <c r="F19" s="24">
        <v>24.454999999999998</v>
      </c>
      <c r="G19" s="24">
        <v>24.454999999999998</v>
      </c>
      <c r="H19" s="24">
        <v>24.454999999999998</v>
      </c>
      <c r="I19" s="24">
        <v>24.454999999999998</v>
      </c>
      <c r="J19" s="24">
        <v>24.454999999999998</v>
      </c>
      <c r="K19" s="24">
        <v>24.454999999999998</v>
      </c>
      <c r="L19" s="24">
        <v>24.454999999999998</v>
      </c>
      <c r="M19" s="24">
        <v>24.454999999999998</v>
      </c>
      <c r="N19" s="24">
        <v>24.454999999999998</v>
      </c>
      <c r="O19" s="24">
        <v>24.454999999999998</v>
      </c>
      <c r="P19" s="24">
        <v>24.454999999999998</v>
      </c>
      <c r="Q19" s="24">
        <v>24.454999999999998</v>
      </c>
      <c r="R19" s="24">
        <v>24.454999999999998</v>
      </c>
      <c r="S19" s="24">
        <v>24.454999999999998</v>
      </c>
      <c r="T19" s="24">
        <v>24.454999999999998</v>
      </c>
      <c r="U19" s="24">
        <v>24.454999999999998</v>
      </c>
      <c r="V19" s="24">
        <v>24.454999999999998</v>
      </c>
      <c r="W19" s="24">
        <v>24.454999999999998</v>
      </c>
      <c r="X19" s="24">
        <v>24.454999999999998</v>
      </c>
      <c r="Y19" s="24">
        <v>24.454999999999998</v>
      </c>
      <c r="Z19" s="24">
        <v>24.454999999999998</v>
      </c>
      <c r="AA19" s="9">
        <f t="shared" si="0"/>
        <v>586.91999999999996</v>
      </c>
      <c r="AB19" s="10">
        <v>22</v>
      </c>
      <c r="AC19" s="11">
        <f t="shared" si="1"/>
        <v>12912.24</v>
      </c>
      <c r="AD19" s="36">
        <f>+AC19+AC20+AC21</f>
        <v>18194.52</v>
      </c>
    </row>
    <row r="20" spans="1:30" x14ac:dyDescent="0.2">
      <c r="A20" s="35"/>
      <c r="B20" s="8" t="s">
        <v>31</v>
      </c>
      <c r="C20" s="24">
        <v>24.454999999999998</v>
      </c>
      <c r="D20" s="24">
        <v>24.454999999999998</v>
      </c>
      <c r="E20" s="24">
        <v>24.454999999999998</v>
      </c>
      <c r="F20" s="24">
        <v>24.454999999999998</v>
      </c>
      <c r="G20" s="24">
        <v>24.454999999999998</v>
      </c>
      <c r="H20" s="24">
        <v>24.454999999999998</v>
      </c>
      <c r="I20" s="24">
        <v>24.454999999999998</v>
      </c>
      <c r="J20" s="24">
        <v>24.454999999999998</v>
      </c>
      <c r="K20" s="24">
        <v>24.454999999999998</v>
      </c>
      <c r="L20" s="24">
        <v>24.454999999999998</v>
      </c>
      <c r="M20" s="24">
        <v>24.454999999999998</v>
      </c>
      <c r="N20" s="24">
        <v>24.454999999999998</v>
      </c>
      <c r="O20" s="24">
        <v>24.454999999999998</v>
      </c>
      <c r="P20" s="24">
        <v>24.454999999999998</v>
      </c>
      <c r="Q20" s="24">
        <v>24.454999999999998</v>
      </c>
      <c r="R20" s="24">
        <v>24.454999999999998</v>
      </c>
      <c r="S20" s="24">
        <v>24.454999999999998</v>
      </c>
      <c r="T20" s="24">
        <v>24.454999999999998</v>
      </c>
      <c r="U20" s="24">
        <v>24.454999999999998</v>
      </c>
      <c r="V20" s="24">
        <v>24.454999999999998</v>
      </c>
      <c r="W20" s="24">
        <v>24.454999999999998</v>
      </c>
      <c r="X20" s="24">
        <v>24.454999999999998</v>
      </c>
      <c r="Y20" s="24">
        <v>24.454999999999998</v>
      </c>
      <c r="Z20" s="24">
        <v>24.454999999999998</v>
      </c>
      <c r="AA20" s="9">
        <f t="shared" si="0"/>
        <v>586.91999999999996</v>
      </c>
      <c r="AB20" s="10">
        <v>4</v>
      </c>
      <c r="AC20" s="11">
        <f t="shared" si="1"/>
        <v>2347.6799999999998</v>
      </c>
      <c r="AD20" s="36"/>
    </row>
    <row r="21" spans="1:30" x14ac:dyDescent="0.2">
      <c r="A21" s="35"/>
      <c r="B21" s="8" t="s">
        <v>32</v>
      </c>
      <c r="C21" s="24">
        <v>24.454999999999998</v>
      </c>
      <c r="D21" s="24">
        <v>24.454999999999998</v>
      </c>
      <c r="E21" s="24">
        <v>24.454999999999998</v>
      </c>
      <c r="F21" s="24">
        <v>24.454999999999998</v>
      </c>
      <c r="G21" s="24">
        <v>24.454999999999998</v>
      </c>
      <c r="H21" s="24">
        <v>24.454999999999998</v>
      </c>
      <c r="I21" s="24">
        <v>24.454999999999998</v>
      </c>
      <c r="J21" s="24">
        <v>24.454999999999998</v>
      </c>
      <c r="K21" s="24">
        <v>24.454999999999998</v>
      </c>
      <c r="L21" s="24">
        <v>24.454999999999998</v>
      </c>
      <c r="M21" s="24">
        <v>24.454999999999998</v>
      </c>
      <c r="N21" s="24">
        <v>24.454999999999998</v>
      </c>
      <c r="O21" s="24">
        <v>24.454999999999998</v>
      </c>
      <c r="P21" s="24">
        <v>24.454999999999998</v>
      </c>
      <c r="Q21" s="24">
        <v>24.454999999999998</v>
      </c>
      <c r="R21" s="24">
        <v>24.454999999999998</v>
      </c>
      <c r="S21" s="24">
        <v>24.454999999999998</v>
      </c>
      <c r="T21" s="24">
        <v>24.454999999999998</v>
      </c>
      <c r="U21" s="24">
        <v>24.454999999999998</v>
      </c>
      <c r="V21" s="24">
        <v>24.454999999999998</v>
      </c>
      <c r="W21" s="24">
        <v>24.454999999999998</v>
      </c>
      <c r="X21" s="24">
        <v>24.454999999999998</v>
      </c>
      <c r="Y21" s="24">
        <v>24.454999999999998</v>
      </c>
      <c r="Z21" s="24">
        <v>24.454999999999998</v>
      </c>
      <c r="AA21" s="9">
        <f t="shared" si="0"/>
        <v>586.91999999999996</v>
      </c>
      <c r="AB21" s="10">
        <v>5</v>
      </c>
      <c r="AC21" s="11">
        <f t="shared" si="1"/>
        <v>2934.6</v>
      </c>
      <c r="AD21" s="36"/>
    </row>
    <row r="22" spans="1:30" x14ac:dyDescent="0.2">
      <c r="A22" s="35">
        <v>45962</v>
      </c>
      <c r="B22" s="8" t="s">
        <v>30</v>
      </c>
      <c r="C22" s="24">
        <v>24.454999999999998</v>
      </c>
      <c r="D22" s="24">
        <v>24.454999999999998</v>
      </c>
      <c r="E22" s="24">
        <v>24.454999999999998</v>
      </c>
      <c r="F22" s="24">
        <v>24.454999999999998</v>
      </c>
      <c r="G22" s="24">
        <v>24.454999999999998</v>
      </c>
      <c r="H22" s="24">
        <v>24.454999999999998</v>
      </c>
      <c r="I22" s="24">
        <v>24.454999999999998</v>
      </c>
      <c r="J22" s="24">
        <v>24.454999999999998</v>
      </c>
      <c r="K22" s="24">
        <v>24.454999999999998</v>
      </c>
      <c r="L22" s="24">
        <v>24.454999999999998</v>
      </c>
      <c r="M22" s="24">
        <v>24.454999999999998</v>
      </c>
      <c r="N22" s="24">
        <v>24.454999999999998</v>
      </c>
      <c r="O22" s="24">
        <v>24.454999999999998</v>
      </c>
      <c r="P22" s="24">
        <v>24.454999999999998</v>
      </c>
      <c r="Q22" s="24">
        <v>24.454999999999998</v>
      </c>
      <c r="R22" s="24">
        <v>24.454999999999998</v>
      </c>
      <c r="S22" s="24">
        <v>24.454999999999998</v>
      </c>
      <c r="T22" s="24">
        <v>24.454999999999998</v>
      </c>
      <c r="U22" s="24">
        <v>24.454999999999998</v>
      </c>
      <c r="V22" s="24">
        <v>24.454999999999998</v>
      </c>
      <c r="W22" s="24">
        <v>24.454999999999998</v>
      </c>
      <c r="X22" s="24">
        <v>24.454999999999998</v>
      </c>
      <c r="Y22" s="24">
        <v>24.454999999999998</v>
      </c>
      <c r="Z22" s="24">
        <v>24.454999999999998</v>
      </c>
      <c r="AA22" s="9">
        <f t="shared" si="0"/>
        <v>586.91999999999996</v>
      </c>
      <c r="AB22" s="10">
        <v>18</v>
      </c>
      <c r="AC22" s="11">
        <f t="shared" si="1"/>
        <v>10564.56</v>
      </c>
      <c r="AD22" s="36">
        <f>+AC22+AC23+AC24</f>
        <v>17607.599999999999</v>
      </c>
    </row>
    <row r="23" spans="1:30" x14ac:dyDescent="0.2">
      <c r="A23" s="35"/>
      <c r="B23" s="8" t="s">
        <v>31</v>
      </c>
      <c r="C23" s="24">
        <v>24.454999999999998</v>
      </c>
      <c r="D23" s="24">
        <v>24.454999999999998</v>
      </c>
      <c r="E23" s="24">
        <v>24.454999999999998</v>
      </c>
      <c r="F23" s="24">
        <v>24.454999999999998</v>
      </c>
      <c r="G23" s="24">
        <v>24.454999999999998</v>
      </c>
      <c r="H23" s="24">
        <v>24.454999999999998</v>
      </c>
      <c r="I23" s="24">
        <v>24.454999999999998</v>
      </c>
      <c r="J23" s="24">
        <v>24.454999999999998</v>
      </c>
      <c r="K23" s="24">
        <v>24.454999999999998</v>
      </c>
      <c r="L23" s="24">
        <v>24.454999999999998</v>
      </c>
      <c r="M23" s="24">
        <v>24.454999999999998</v>
      </c>
      <c r="N23" s="24">
        <v>24.454999999999998</v>
      </c>
      <c r="O23" s="24">
        <v>24.454999999999998</v>
      </c>
      <c r="P23" s="24">
        <v>24.454999999999998</v>
      </c>
      <c r="Q23" s="24">
        <v>24.454999999999998</v>
      </c>
      <c r="R23" s="24">
        <v>24.454999999999998</v>
      </c>
      <c r="S23" s="24">
        <v>24.454999999999998</v>
      </c>
      <c r="T23" s="24">
        <v>24.454999999999998</v>
      </c>
      <c r="U23" s="24">
        <v>24.454999999999998</v>
      </c>
      <c r="V23" s="24">
        <v>24.454999999999998</v>
      </c>
      <c r="W23" s="24">
        <v>24.454999999999998</v>
      </c>
      <c r="X23" s="24">
        <v>24.454999999999998</v>
      </c>
      <c r="Y23" s="24">
        <v>24.454999999999998</v>
      </c>
      <c r="Z23" s="24">
        <v>24.454999999999998</v>
      </c>
      <c r="AA23" s="9">
        <f t="shared" si="0"/>
        <v>586.91999999999996</v>
      </c>
      <c r="AB23" s="10">
        <v>5</v>
      </c>
      <c r="AC23" s="11">
        <f t="shared" si="1"/>
        <v>2934.6</v>
      </c>
      <c r="AD23" s="36"/>
    </row>
    <row r="24" spans="1:30" x14ac:dyDescent="0.2">
      <c r="A24" s="35"/>
      <c r="B24" s="8" t="s">
        <v>32</v>
      </c>
      <c r="C24" s="24">
        <v>24.454999999999998</v>
      </c>
      <c r="D24" s="24">
        <v>24.454999999999998</v>
      </c>
      <c r="E24" s="24">
        <v>24.454999999999998</v>
      </c>
      <c r="F24" s="24">
        <v>24.454999999999998</v>
      </c>
      <c r="G24" s="24">
        <v>24.454999999999998</v>
      </c>
      <c r="H24" s="24">
        <v>24.454999999999998</v>
      </c>
      <c r="I24" s="24">
        <v>24.454999999999998</v>
      </c>
      <c r="J24" s="24">
        <v>24.454999999999998</v>
      </c>
      <c r="K24" s="24">
        <v>24.454999999999998</v>
      </c>
      <c r="L24" s="24">
        <v>24.454999999999998</v>
      </c>
      <c r="M24" s="24">
        <v>24.454999999999998</v>
      </c>
      <c r="N24" s="24">
        <v>24.454999999999998</v>
      </c>
      <c r="O24" s="24">
        <v>24.454999999999998</v>
      </c>
      <c r="P24" s="24">
        <v>24.454999999999998</v>
      </c>
      <c r="Q24" s="24">
        <v>24.454999999999998</v>
      </c>
      <c r="R24" s="24">
        <v>24.454999999999998</v>
      </c>
      <c r="S24" s="24">
        <v>24.454999999999998</v>
      </c>
      <c r="T24" s="24">
        <v>24.454999999999998</v>
      </c>
      <c r="U24" s="24">
        <v>24.454999999999998</v>
      </c>
      <c r="V24" s="24">
        <v>24.454999999999998</v>
      </c>
      <c r="W24" s="24">
        <v>24.454999999999998</v>
      </c>
      <c r="X24" s="24">
        <v>24.454999999999998</v>
      </c>
      <c r="Y24" s="24">
        <v>24.454999999999998</v>
      </c>
      <c r="Z24" s="24">
        <v>24.454999999999998</v>
      </c>
      <c r="AA24" s="9">
        <f t="shared" si="0"/>
        <v>586.91999999999996</v>
      </c>
      <c r="AB24" s="10">
        <v>7</v>
      </c>
      <c r="AC24" s="11">
        <f t="shared" si="1"/>
        <v>4108.4399999999996</v>
      </c>
      <c r="AD24" s="36"/>
    </row>
    <row r="25" spans="1:30" x14ac:dyDescent="0.2">
      <c r="A25" s="35">
        <v>45992</v>
      </c>
      <c r="B25" s="8" t="s">
        <v>30</v>
      </c>
      <c r="C25" s="24">
        <v>24.454999999999998</v>
      </c>
      <c r="D25" s="24">
        <v>24.454999999999998</v>
      </c>
      <c r="E25" s="24">
        <v>24.454999999999998</v>
      </c>
      <c r="F25" s="24">
        <v>24.454999999999998</v>
      </c>
      <c r="G25" s="24">
        <v>24.454999999999998</v>
      </c>
      <c r="H25" s="24">
        <v>24.454999999999998</v>
      </c>
      <c r="I25" s="24">
        <v>24.454999999999998</v>
      </c>
      <c r="J25" s="24">
        <v>24.454999999999998</v>
      </c>
      <c r="K25" s="24">
        <v>24.454999999999998</v>
      </c>
      <c r="L25" s="24">
        <v>24.454999999999998</v>
      </c>
      <c r="M25" s="24">
        <v>24.454999999999998</v>
      </c>
      <c r="N25" s="24">
        <v>24.454999999999998</v>
      </c>
      <c r="O25" s="24">
        <v>24.454999999999998</v>
      </c>
      <c r="P25" s="24">
        <v>24.454999999999998</v>
      </c>
      <c r="Q25" s="24">
        <v>24.454999999999998</v>
      </c>
      <c r="R25" s="24">
        <v>24.454999999999998</v>
      </c>
      <c r="S25" s="24">
        <v>24.454999999999998</v>
      </c>
      <c r="T25" s="24">
        <v>24.454999999999998</v>
      </c>
      <c r="U25" s="24">
        <v>24.454999999999998</v>
      </c>
      <c r="V25" s="24">
        <v>24.454999999999998</v>
      </c>
      <c r="W25" s="24">
        <v>24.454999999999998</v>
      </c>
      <c r="X25" s="24">
        <v>24.454999999999998</v>
      </c>
      <c r="Y25" s="24">
        <v>24.454999999999998</v>
      </c>
      <c r="Z25" s="24">
        <v>24.454999999999998</v>
      </c>
      <c r="AA25" s="9">
        <f t="shared" si="0"/>
        <v>586.91999999999996</v>
      </c>
      <c r="AB25" s="10">
        <v>21</v>
      </c>
      <c r="AC25" s="11">
        <f t="shared" si="1"/>
        <v>12325.32</v>
      </c>
      <c r="AD25" s="36">
        <f>+AC25+AC26+AC27</f>
        <v>18194.52</v>
      </c>
    </row>
    <row r="26" spans="1:30" x14ac:dyDescent="0.2">
      <c r="A26" s="35"/>
      <c r="B26" s="8" t="s">
        <v>31</v>
      </c>
      <c r="C26" s="24">
        <v>24.454999999999998</v>
      </c>
      <c r="D26" s="24">
        <v>24.454999999999998</v>
      </c>
      <c r="E26" s="24">
        <v>24.454999999999998</v>
      </c>
      <c r="F26" s="24">
        <v>24.454999999999998</v>
      </c>
      <c r="G26" s="24">
        <v>24.454999999999998</v>
      </c>
      <c r="H26" s="24">
        <v>24.454999999999998</v>
      </c>
      <c r="I26" s="24">
        <v>24.454999999999998</v>
      </c>
      <c r="J26" s="24">
        <v>24.454999999999998</v>
      </c>
      <c r="K26" s="24">
        <v>24.454999999999998</v>
      </c>
      <c r="L26" s="24">
        <v>24.454999999999998</v>
      </c>
      <c r="M26" s="24">
        <v>24.454999999999998</v>
      </c>
      <c r="N26" s="24">
        <v>24.454999999999998</v>
      </c>
      <c r="O26" s="24">
        <v>24.454999999999998</v>
      </c>
      <c r="P26" s="24">
        <v>24.454999999999998</v>
      </c>
      <c r="Q26" s="24">
        <v>24.454999999999998</v>
      </c>
      <c r="R26" s="24">
        <v>24.454999999999998</v>
      </c>
      <c r="S26" s="24">
        <v>24.454999999999998</v>
      </c>
      <c r="T26" s="24">
        <v>24.454999999999998</v>
      </c>
      <c r="U26" s="24">
        <v>24.454999999999998</v>
      </c>
      <c r="V26" s="24">
        <v>24.454999999999998</v>
      </c>
      <c r="W26" s="24">
        <v>24.454999999999998</v>
      </c>
      <c r="X26" s="24">
        <v>24.454999999999998</v>
      </c>
      <c r="Y26" s="24">
        <v>24.454999999999998</v>
      </c>
      <c r="Z26" s="24">
        <v>24.454999999999998</v>
      </c>
      <c r="AA26" s="9">
        <f t="shared" si="0"/>
        <v>586.91999999999996</v>
      </c>
      <c r="AB26" s="10">
        <v>4</v>
      </c>
      <c r="AC26" s="11">
        <f t="shared" si="1"/>
        <v>2347.6799999999998</v>
      </c>
      <c r="AD26" s="36"/>
    </row>
    <row r="27" spans="1:30" ht="15.75" thickBot="1" x14ac:dyDescent="0.25">
      <c r="A27" s="35"/>
      <c r="B27" s="12" t="s">
        <v>32</v>
      </c>
      <c r="C27" s="24">
        <v>24.454999999999998</v>
      </c>
      <c r="D27" s="24">
        <v>24.454999999999998</v>
      </c>
      <c r="E27" s="24">
        <v>24.454999999999998</v>
      </c>
      <c r="F27" s="24">
        <v>24.454999999999998</v>
      </c>
      <c r="G27" s="24">
        <v>24.454999999999998</v>
      </c>
      <c r="H27" s="24">
        <v>24.454999999999998</v>
      </c>
      <c r="I27" s="24">
        <v>24.454999999999998</v>
      </c>
      <c r="J27" s="24">
        <v>24.454999999999998</v>
      </c>
      <c r="K27" s="24">
        <v>24.454999999999998</v>
      </c>
      <c r="L27" s="24">
        <v>24.454999999999998</v>
      </c>
      <c r="M27" s="24">
        <v>24.454999999999998</v>
      </c>
      <c r="N27" s="24">
        <v>24.454999999999998</v>
      </c>
      <c r="O27" s="24">
        <v>24.454999999999998</v>
      </c>
      <c r="P27" s="24">
        <v>24.454999999999998</v>
      </c>
      <c r="Q27" s="24">
        <v>24.454999999999998</v>
      </c>
      <c r="R27" s="24">
        <v>24.454999999999998</v>
      </c>
      <c r="S27" s="24">
        <v>24.454999999999998</v>
      </c>
      <c r="T27" s="24">
        <v>24.454999999999998</v>
      </c>
      <c r="U27" s="24">
        <v>24.454999999999998</v>
      </c>
      <c r="V27" s="24">
        <v>24.454999999999998</v>
      </c>
      <c r="W27" s="24">
        <v>24.454999999999998</v>
      </c>
      <c r="X27" s="24">
        <v>24.454999999999998</v>
      </c>
      <c r="Y27" s="24">
        <v>24.454999999999998</v>
      </c>
      <c r="Z27" s="24">
        <v>24.454999999999998</v>
      </c>
      <c r="AA27" s="9">
        <f t="shared" si="0"/>
        <v>586.91999999999996</v>
      </c>
      <c r="AB27" s="30">
        <v>6</v>
      </c>
      <c r="AC27" s="31">
        <f t="shared" si="1"/>
        <v>3521.5199999999995</v>
      </c>
      <c r="AD27" s="37"/>
    </row>
    <row r="28" spans="1:30" ht="16.5" thickBot="1" x14ac:dyDescent="0.3">
      <c r="AB28" s="32" t="s">
        <v>58</v>
      </c>
      <c r="AC28" s="34"/>
      <c r="AD28" s="33">
        <f>SUM(AD10:AD27)</f>
        <v>107993.28000000001</v>
      </c>
    </row>
  </sheetData>
  <mergeCells count="12">
    <mergeCell ref="A10:A12"/>
    <mergeCell ref="AD10:AD12"/>
    <mergeCell ref="A13:A15"/>
    <mergeCell ref="AD13:AD15"/>
    <mergeCell ref="A16:A18"/>
    <mergeCell ref="AD16:AD18"/>
    <mergeCell ref="A19:A21"/>
    <mergeCell ref="AD19:AD21"/>
    <mergeCell ref="A22:A24"/>
    <mergeCell ref="AD22:AD24"/>
    <mergeCell ref="A25:A27"/>
    <mergeCell ref="AD25:AD27"/>
  </mergeCells>
  <conditionalFormatting sqref="C10:Z27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F8E93-537C-43B5-8ADA-A90EA8FE4507}">
  <sheetPr>
    <tabColor theme="7" tint="0.59999389629810485"/>
  </sheetPr>
  <dimension ref="B2:L27"/>
  <sheetViews>
    <sheetView showGridLines="0" tabSelected="1" workbookViewId="0">
      <selection activeCell="B6" sqref="B6"/>
    </sheetView>
  </sheetViews>
  <sheetFormatPr baseColWidth="10" defaultRowHeight="15" x14ac:dyDescent="0.2"/>
  <cols>
    <col min="2" max="3" width="12.33203125" customWidth="1"/>
    <col min="4" max="4" width="12.44140625" customWidth="1"/>
    <col min="5" max="5" width="12.5546875" customWidth="1"/>
    <col min="6" max="6" width="8.21875" customWidth="1"/>
    <col min="7" max="7" width="13" customWidth="1"/>
  </cols>
  <sheetData>
    <row r="2" spans="2:7" ht="18" x14ac:dyDescent="0.2">
      <c r="B2" s="13" t="s">
        <v>33</v>
      </c>
    </row>
    <row r="3" spans="2:7" ht="18" x14ac:dyDescent="0.2">
      <c r="B3" s="13" t="s">
        <v>34</v>
      </c>
    </row>
    <row r="4" spans="2:7" ht="18" x14ac:dyDescent="0.2">
      <c r="B4" s="13" t="s">
        <v>49</v>
      </c>
    </row>
    <row r="5" spans="2:7" ht="18" x14ac:dyDescent="0.2">
      <c r="B5" s="13"/>
    </row>
    <row r="6" spans="2:7" ht="18" x14ac:dyDescent="0.2">
      <c r="B6" s="13" t="s">
        <v>55</v>
      </c>
    </row>
    <row r="10" spans="2:7" ht="15.75" x14ac:dyDescent="0.25">
      <c r="B10" s="14" t="s">
        <v>35</v>
      </c>
      <c r="G10" s="14"/>
    </row>
    <row r="11" spans="2:7" ht="45" x14ac:dyDescent="0.25">
      <c r="B11" s="15" t="s">
        <v>0</v>
      </c>
      <c r="C11" s="15" t="s">
        <v>36</v>
      </c>
      <c r="D11" s="16" t="s">
        <v>59</v>
      </c>
      <c r="E11" s="15" t="s">
        <v>57</v>
      </c>
      <c r="F11" s="17"/>
      <c r="G11" s="14"/>
    </row>
    <row r="12" spans="2:7" ht="15.75" x14ac:dyDescent="0.25">
      <c r="B12" s="10" t="s">
        <v>37</v>
      </c>
      <c r="C12" s="18">
        <f>+P1_ANEXO_1_2025!$AD$10</f>
        <v>18194.52</v>
      </c>
      <c r="D12" s="41"/>
      <c r="E12" s="38"/>
      <c r="F12" s="19"/>
      <c r="G12" s="14"/>
    </row>
    <row r="13" spans="2:7" ht="15.75" x14ac:dyDescent="0.25">
      <c r="B13" s="10" t="s">
        <v>38</v>
      </c>
      <c r="C13" s="18">
        <f>+P1_ANEXO_1_2025!$AD$13</f>
        <v>18194.52</v>
      </c>
      <c r="D13" s="42"/>
      <c r="E13" s="39"/>
      <c r="F13" s="19"/>
      <c r="G13" s="14"/>
    </row>
    <row r="14" spans="2:7" ht="15.75" x14ac:dyDescent="0.25">
      <c r="B14" s="10" t="s">
        <v>39</v>
      </c>
      <c r="C14" s="18">
        <f>+P1_ANEXO_1_2025!$AD$16</f>
        <v>17607.599999999999</v>
      </c>
      <c r="D14" s="42"/>
      <c r="E14" s="39"/>
      <c r="F14" s="19"/>
      <c r="G14" s="14"/>
    </row>
    <row r="15" spans="2:7" ht="15.75" x14ac:dyDescent="0.25">
      <c r="B15" s="10" t="s">
        <v>40</v>
      </c>
      <c r="C15" s="18">
        <f>+P1_ANEXO_1_2025!$AD$19</f>
        <v>18194.52</v>
      </c>
      <c r="D15" s="42"/>
      <c r="E15" s="39"/>
      <c r="F15" s="19"/>
      <c r="G15" s="14"/>
    </row>
    <row r="16" spans="2:7" ht="15.75" x14ac:dyDescent="0.25">
      <c r="B16" s="10" t="s">
        <v>41</v>
      </c>
      <c r="C16" s="18">
        <f>+P1_ANEXO_1_2025!$AD$22</f>
        <v>17607.599999999999</v>
      </c>
      <c r="D16" s="42"/>
      <c r="E16" s="39"/>
      <c r="F16" s="19"/>
      <c r="G16" s="14"/>
    </row>
    <row r="17" spans="2:12" ht="15.75" x14ac:dyDescent="0.25">
      <c r="B17" s="10" t="s">
        <v>42</v>
      </c>
      <c r="C17" s="18">
        <f>+P1_ANEXO_1_2025!$AD$25</f>
        <v>18194.52</v>
      </c>
      <c r="D17" s="43"/>
      <c r="E17" s="40"/>
      <c r="F17" s="19"/>
      <c r="G17" s="14"/>
    </row>
    <row r="18" spans="2:12" ht="15.75" x14ac:dyDescent="0.25">
      <c r="B18" s="20" t="s">
        <v>43</v>
      </c>
      <c r="C18" s="21">
        <f>SUM(C12:C17)</f>
        <v>107993.28000000001</v>
      </c>
      <c r="G18" s="14"/>
    </row>
    <row r="19" spans="2:12" ht="15.75" x14ac:dyDescent="0.25">
      <c r="G19" s="14"/>
    </row>
    <row r="21" spans="2:12" x14ac:dyDescent="0.2">
      <c r="B21" s="22" t="s">
        <v>44</v>
      </c>
      <c r="L21" s="23"/>
    </row>
    <row r="22" spans="2:12" x14ac:dyDescent="0.2">
      <c r="B22" s="22" t="s">
        <v>45</v>
      </c>
    </row>
    <row r="23" spans="2:12" x14ac:dyDescent="0.2">
      <c r="B23" s="22" t="s">
        <v>50</v>
      </c>
    </row>
    <row r="24" spans="2:12" x14ac:dyDescent="0.2">
      <c r="B24" s="22" t="s">
        <v>46</v>
      </c>
    </row>
    <row r="25" spans="2:12" x14ac:dyDescent="0.2">
      <c r="B25" s="22" t="s">
        <v>47</v>
      </c>
    </row>
    <row r="26" spans="2:12" x14ac:dyDescent="0.2">
      <c r="B26" s="22" t="s">
        <v>61</v>
      </c>
    </row>
    <row r="27" spans="2:12" x14ac:dyDescent="0.2">
      <c r="B27" s="22" t="s">
        <v>60</v>
      </c>
    </row>
  </sheetData>
  <mergeCells count="2">
    <mergeCell ref="E12:E17"/>
    <mergeCell ref="D12:D1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P1_ANEXO_1_2025</vt:lpstr>
      <vt:lpstr>P1_ANEXO_2 2025</vt:lpstr>
      <vt:lpstr>P2_ANEXO_1_2025</vt:lpstr>
      <vt:lpstr>P2_ANEXO_2 2025</vt:lpstr>
      <vt:lpstr>'P1_ANEXO_2 2025'!Área_de_impresión</vt:lpstr>
      <vt:lpstr>'P2_ANEXO_2 2025'!Área_de_impresión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Vergara Cortes</dc:creator>
  <cp:lastModifiedBy>Diego Alfonso Castillo Reina</cp:lastModifiedBy>
  <dcterms:created xsi:type="dcterms:W3CDTF">2024-08-27T20:16:25Z</dcterms:created>
  <dcterms:modified xsi:type="dcterms:W3CDTF">2025-04-04T18:18:42Z</dcterms:modified>
</cp:coreProperties>
</file>