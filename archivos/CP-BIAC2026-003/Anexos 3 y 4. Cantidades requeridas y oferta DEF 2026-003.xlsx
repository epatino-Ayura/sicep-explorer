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. Requeridas Producto 1" sheetId="1" r:id="rId4"/>
    <sheet state="visible" name="Oferta Producto 1" sheetId="2" r:id="rId5"/>
    <sheet state="visible" name="Cant. Requeridas Producto 2" sheetId="3" r:id="rId6"/>
    <sheet state="visible" name="Oferta Producto 2" sheetId="4" r:id="rId7"/>
    <sheet state="visible" name="Cant. Requeridas Producto 3" sheetId="5" r:id="rId8"/>
    <sheet state="visible" name="Oferta Producto 3" sheetId="6" r:id="rId9"/>
    <sheet state="visible" name="Cant. Requeridas Producto 4" sheetId="7" r:id="rId10"/>
    <sheet state="visible" name="Oferta Producto 4" sheetId="8" r:id="rId11"/>
    <sheet state="visible" name="Cant. Requeridas Producto 5" sheetId="9" r:id="rId12"/>
    <sheet state="visible" name="Oferta Producto 5" sheetId="10" r:id="rId13"/>
    <sheet state="visible" name="Cant. Requeridas Producto 6" sheetId="11" r:id="rId14"/>
    <sheet state="visible" name="Oferta Producto 6" sheetId="12" r:id="rId15"/>
  </sheets>
  <definedNames/>
  <calcPr/>
  <extLst>
    <ext uri="GoogleSheetsCustomDataVersion2">
      <go:sheetsCustomData xmlns:go="http://customooxmlschemas.google.com/" r:id="rId16" roundtripDataChecksum="sVYsXbD7W9l5+ASNILW3921b9E8PwXufx7qT1bRudUo="/>
    </ext>
  </extLst>
</workbook>
</file>

<file path=xl/sharedStrings.xml><?xml version="1.0" encoding="utf-8"?>
<sst xmlns="http://schemas.openxmlformats.org/spreadsheetml/2006/main" count="528" uniqueCount="71">
  <si>
    <t>ANEXO 3 - CANTIDADES DE  ENERGÍA SOLICITADA EN kWh</t>
  </si>
  <si>
    <t>PRODUCTO 1 - PAGUE LO CONTRATADO</t>
  </si>
  <si>
    <t>Periodo: 1 de enero 2027 a 31 diciembre de 2027</t>
  </si>
  <si>
    <t>CONVOCATORIA PÚBLICA N° CP-BIAC2026-003 - BIA ENERGY S.A.S. E.S.P.</t>
  </si>
  <si>
    <t>Mes</t>
  </si>
  <si>
    <t>Tipo de 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</si>
  <si>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</si>
  <si>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</si>
  <si>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</si>
  <si>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</si>
  <si>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</si>
  <si>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</si>
  <si>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</si>
  <si>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</si>
  <si>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</si>
  <si>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</si>
  <si>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</si>
  <si>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</si>
  <si>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</si>
  <si>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</si>
  <si>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</si>
  <si>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</si>
  <si>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</si>
  <si>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</si>
  <si>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</si>
  <si>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</si>
  <si>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</si>
  <si>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</si>
  <si>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</si>
  <si>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</si>
  <si>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</si>
  <si>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</si>
  <si>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</t>
  </si>
  <si>
    <t>TOTAL MES</t>
  </si>
  <si>
    <t>Ordinario</t>
  </si>
  <si>
    <t>Sábado</t>
  </si>
  <si>
    <t>Festivo</t>
  </si>
  <si>
    <t>ANEXO 4. FORMATO DE OFERTA - PRODUCTO 1</t>
  </si>
  <si>
    <t xml:space="preserve">NOMBRE DEL OFERENTE                                        
</t>
  </si>
  <si>
    <t>Precios y cantidades de la energía ofertada</t>
  </si>
  <si>
    <t>En pesos de marzo de 2026</t>
  </si>
  <si>
    <t>OPCIÓN 24 HORAS</t>
  </si>
  <si>
    <t>E. Solicitada
[kWh-mes]</t>
  </si>
  <si>
    <t>% E. Ofertada</t>
  </si>
  <si>
    <t>E. Ofertada
[kWh-mes]</t>
  </si>
  <si>
    <t>$/kWh</t>
  </si>
  <si>
    <t>El oferente debe indicar si acepta adjudicaciones parciales o no</t>
  </si>
  <si>
    <t>• Para el periodo de 2027, se puede presentar oferta con diferente porcentaje cada 
mes, incluyendo el 0%</t>
  </si>
  <si>
    <t>• El precio ofertado podrá ser diferente para cada mes del producto, expresado en 
$/kWh, con hasta dos (2) decimales</t>
  </si>
  <si>
    <t>XXXXX</t>
  </si>
  <si>
    <t>XXXXXXXX S.A.S. E.S.P.</t>
  </si>
  <si>
    <t>PRODUCTO 2 - PAGUE LO CONTRATADO</t>
  </si>
  <si>
    <t>Periodo: 1 de enero 2028 a 31 diciembre de 2028</t>
  </si>
  <si>
    <t>ANEXO 4. FORMATO DE OFERTA - PRODUCTO 2</t>
  </si>
  <si>
    <t>• Para el periodo de 2028, se puede presentar oferta con diferente porcentaje cada 
mes, incluyendo el 0%</t>
  </si>
  <si>
    <t>PRODUCTO 3 - PAGUE LO CONTRATADO</t>
  </si>
  <si>
    <t>Periodo: 1 de enero 2029 a 31 diciembre de 2029</t>
  </si>
  <si>
    <t>ANEXO 4. FORMATO DE OFERTA - PRODUCTO 3</t>
  </si>
  <si>
    <t>• Para el año 2029, se debe presentar oferta con un único porcentaje.</t>
  </si>
  <si>
    <t>• El precio ofertado debe ser único para el año del producto, expresado en $/kWh, con hasta dos (2) decimales.</t>
  </si>
  <si>
    <t>PRODUCTO 4 - PAGUE LO CONTRATADO</t>
  </si>
  <si>
    <t>Periodo: 1 de enero 2030 a 31 diciembre de 2030</t>
  </si>
  <si>
    <t>ANEXO 4. FORMATO DE OFERTA - PRODUCTO 4</t>
  </si>
  <si>
    <t>• Para el año 2030, se debe presentar oferta con un único porcentaje.</t>
  </si>
  <si>
    <t>PRODUCTO 5 - PAGUE LO CONTRATADO</t>
  </si>
  <si>
    <t>Periodo: 1 de enero 2031 a 31 diciembre de 2031</t>
  </si>
  <si>
    <t>ANEXO 4. FORMATO DE OFERTA - PRODUCTO 5</t>
  </si>
  <si>
    <t>• Para el año 2031, se debe presentar oferta con un único porcentaje.</t>
  </si>
  <si>
    <t>PRODUCTO 6 - PAGUE LO CONTRATADO</t>
  </si>
  <si>
    <t>Periodo: 1 de enero 2032 a 31 diciembre de 2032</t>
  </si>
  <si>
    <t>ANEXO 4. FORMATO DE OFERTA - PRODUCTO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</si>
</sst>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</numFmts>
  <fonts count="12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/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Din-regular"/>
    </font>
    <font>
      <b/>
      <sz val="10.0"/>
      <color rgb="FF000000"/>
      <name val="Arial"/>
    </font>
    <font>
      <sz val="11.0"/>
      <color theme="1"/>
      <name val="Din-regula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3" numFmtId="17" xfId="0" applyBorder="1" applyFont="1" applyNumberFormat="1"/>
    <xf borderId="1" fillId="0" fontId="3" numFmtId="4" xfId="0" applyBorder="1" applyFont="1" applyNumberFormat="1"/>
    <xf borderId="1" fillId="0" fontId="3" numFmtId="4" xfId="0" applyAlignment="1" applyBorder="1" applyFont="1" applyNumberFormat="1">
      <alignment readingOrder="0"/>
    </xf>
    <xf borderId="1" fillId="0" fontId="3" numFmtId="164" xfId="0" applyBorder="1" applyFont="1" applyNumberFormat="1"/>
    <xf borderId="2" fillId="0" fontId="3" numFmtId="164" xfId="0" applyAlignment="1" applyBorder="1" applyFont="1" applyNumberFormat="1">
      <alignment vertical="center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5" fillId="0" fontId="8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6" numFmtId="17" xfId="0" applyAlignment="1" applyBorder="1" applyFont="1" applyNumberFormat="1">
      <alignment horizontal="center" vertical="center"/>
    </xf>
    <xf borderId="13" fillId="0" fontId="10" numFmtId="165" xfId="0" applyAlignment="1" applyBorder="1" applyFont="1" applyNumberFormat="1">
      <alignment horizontal="center"/>
    </xf>
    <xf borderId="14" fillId="0" fontId="7" numFmtId="10" xfId="0" applyAlignment="1" applyBorder="1" applyFont="1" applyNumberFormat="1">
      <alignment horizontal="center" vertical="center"/>
    </xf>
    <xf borderId="15" fillId="0" fontId="2" numFmtId="165" xfId="0" applyAlignment="1" applyBorder="1" applyFont="1" applyNumberFormat="1">
      <alignment horizontal="center"/>
    </xf>
    <xf borderId="16" fillId="0" fontId="7" numFmtId="0" xfId="0" applyAlignment="1" applyBorder="1" applyFont="1">
      <alignment horizontal="center" vertical="center"/>
    </xf>
    <xf borderId="17" fillId="0" fontId="7" numFmtId="10" xfId="0" applyAlignment="1" applyBorder="1" applyFont="1" applyNumberFormat="1">
      <alignment horizontal="center" vertical="center"/>
    </xf>
    <xf borderId="18" fillId="0" fontId="2" numFmtId="165" xfId="0" applyAlignment="1" applyBorder="1" applyFont="1" applyNumberFormat="1">
      <alignment horizontal="center"/>
    </xf>
    <xf borderId="19" fillId="0" fontId="7" numFmtId="0" xfId="0" applyAlignment="1" applyBorder="1" applyFont="1">
      <alignment horizontal="center" vertical="center"/>
    </xf>
    <xf borderId="13" fillId="0" fontId="2" numFmtId="165" xfId="0" applyAlignment="1" applyBorder="1" applyFont="1" applyNumberFormat="1">
      <alignment horizontal="center"/>
    </xf>
    <xf borderId="20" fillId="0" fontId="7" numFmtId="10" xfId="0" applyAlignment="1" applyBorder="1" applyFont="1" applyNumberFormat="1">
      <alignment horizontal="center" vertical="center"/>
    </xf>
    <xf borderId="21" fillId="0" fontId="2" numFmtId="165" xfId="0" applyAlignment="1" applyBorder="1" applyFont="1" applyNumberFormat="1">
      <alignment horizontal="center"/>
    </xf>
    <xf borderId="22" fillId="0" fontId="7" numFmtId="0" xfId="0" applyAlignment="1" applyBorder="1" applyFont="1">
      <alignment horizontal="center" vertical="center"/>
    </xf>
    <xf borderId="23" fillId="0" fontId="8" numFmtId="17" xfId="0" applyAlignment="1" applyBorder="1" applyFont="1" applyNumberFormat="1">
      <alignment horizontal="left" vertical="center"/>
    </xf>
    <xf borderId="23" fillId="0" fontId="8" numFmtId="166" xfId="0" applyAlignment="1" applyBorder="1" applyFont="1" applyNumberFormat="1">
      <alignment horizontal="center" vertical="center"/>
    </xf>
    <xf borderId="24" fillId="0" fontId="7" numFmtId="0" xfId="0" applyBorder="1" applyFont="1"/>
    <xf borderId="24" fillId="0" fontId="8" numFmtId="166" xfId="0" applyAlignment="1" applyBorder="1" applyFont="1" applyNumberFormat="1">
      <alignment horizontal="center" vertical="center"/>
    </xf>
    <xf borderId="0" fillId="0" fontId="8" numFmtId="4" xfId="0" applyAlignment="1" applyFont="1" applyNumberFormat="1">
      <alignment horizontal="center"/>
    </xf>
    <xf borderId="0" fillId="0" fontId="3" numFmtId="4" xfId="0" applyFont="1" applyNumberFormat="1"/>
    <xf borderId="0" fillId="0" fontId="3" numFmtId="0" xfId="0" applyAlignment="1" applyFont="1">
      <alignment horizontal="left" shrinkToFit="0" wrapText="1"/>
    </xf>
    <xf borderId="25" fillId="0" fontId="3" numFmtId="0" xfId="0" applyBorder="1" applyFont="1"/>
    <xf borderId="0" fillId="0" fontId="3" numFmtId="0" xfId="0" applyAlignment="1" applyFont="1">
      <alignment shrinkToFit="0" wrapText="1"/>
    </xf>
    <xf borderId="26" fillId="0" fontId="3" numFmtId="0" xfId="0" applyBorder="1" applyFont="1"/>
    <xf borderId="1" fillId="0" fontId="3" numFmtId="164" xfId="0" applyAlignment="1" applyBorder="1" applyFont="1" applyNumberFormat="1">
      <alignment horizontal="right" vertical="bottom"/>
    </xf>
    <xf borderId="9" fillId="0" fontId="6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 shrinkToFit="0" vertical="center" wrapText="1"/>
    </xf>
    <xf borderId="19" fillId="0" fontId="10" numFmtId="165" xfId="0" applyAlignment="1" applyBorder="1" applyFont="1" applyNumberFormat="1">
      <alignment horizontal="center"/>
    </xf>
    <xf borderId="19" fillId="0" fontId="2" numFmtId="165" xfId="0" applyAlignment="1" applyBorder="1" applyFont="1" applyNumberFormat="1">
      <alignment horizontal="center"/>
    </xf>
    <xf borderId="23" fillId="0" fontId="7" numFmtId="0" xfId="0" applyBorder="1" applyFont="1"/>
    <xf borderId="28" fillId="0" fontId="7" numFmtId="10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/>
    </xf>
    <xf borderId="28" fillId="0" fontId="7" numFmtId="0" xfId="0" applyAlignment="1" applyBorder="1" applyFont="1">
      <alignment horizontal="center" vertical="center"/>
    </xf>
    <xf borderId="29" fillId="0" fontId="4" numFmtId="0" xfId="0" applyBorder="1" applyFont="1"/>
    <xf borderId="24" fillId="0" fontId="4" numFmtId="0" xfId="0" applyBorder="1" applyFont="1"/>
    <xf borderId="1" fillId="0" fontId="3" numFmtId="17" xfId="0" applyAlignment="1" applyBorder="1" applyFont="1" applyNumberFormat="1">
      <alignment horizontal="right" vertical="bottom"/>
    </xf>
    <xf borderId="30" fillId="0" fontId="6" numFmtId="17" xfId="0" applyAlignment="1" applyBorder="1" applyFont="1" applyNumberFormat="1">
      <alignment horizontal="center" vertical="center"/>
    </xf>
    <xf borderId="31" fillId="0" fontId="2" numFmtId="165" xfId="0" applyAlignment="1" applyBorder="1" applyFont="1" applyNumberFormat="1">
      <alignment horizontal="center"/>
    </xf>
    <xf borderId="32" fillId="0" fontId="7" numFmtId="10" xfId="0" applyAlignment="1" applyBorder="1" applyFont="1" applyNumberFormat="1">
      <alignment horizontal="center" vertical="center"/>
    </xf>
    <xf borderId="33" fillId="0" fontId="7" numFmtId="0" xfId="0" applyAlignment="1" applyBorder="1" applyFont="1">
      <alignment horizontal="center" vertical="center"/>
    </xf>
    <xf borderId="34" fillId="0" fontId="4" numFmtId="0" xfId="0" applyBorder="1" applyFont="1"/>
    <xf borderId="35" fillId="0" fontId="4" numFmtId="0" xfId="0" applyBorder="1" applyFont="1"/>
    <xf borderId="36" fillId="0" fontId="6" numFmtId="17" xfId="0" applyAlignment="1" applyBorder="1" applyFont="1" applyNumberFormat="1">
      <alignment horizontal="center" vertical="center"/>
    </xf>
    <xf borderId="37" fillId="0" fontId="2" numFmtId="165" xfId="0" applyAlignment="1" applyBorder="1" applyFont="1" applyNumberFormat="1">
      <alignment horizontal="center"/>
    </xf>
    <xf borderId="38" fillId="0" fontId="4" numFmtId="0" xfId="0" applyBorder="1" applyFont="1"/>
    <xf borderId="39" fillId="0" fontId="4" numFmtId="0" xfId="0" applyBorder="1" applyFont="1"/>
    <xf borderId="0" fillId="0" fontId="11" numFmtId="0" xfId="0" applyAlignment="1" applyFont="1">
      <alignment shrinkToFit="0" wrapText="1"/>
    </xf>
    <xf borderId="40" fillId="0" fontId="6" numFmtId="17" xfId="0" applyAlignment="1" applyBorder="1" applyFont="1" applyNumberFormat="1">
      <alignment horizontal="center" vertical="center"/>
    </xf>
    <xf borderId="26" fillId="0" fontId="2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2" t="s">
        <v>1</v>
      </c>
      <c r="AD2" s="1"/>
    </row>
    <row r="3" ht="14.25" customHeight="1">
      <c r="A3" s="1" t="s">
        <v>2</v>
      </c>
      <c r="AD3" s="1"/>
    </row>
    <row r="4" ht="14.25" customHeight="1">
      <c r="A4" s="2" t="s">
        <v>3</v>
      </c>
      <c r="AD4" s="1"/>
    </row>
    <row r="5" ht="14.25" customHeight="1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  <c r="AA5" s="5"/>
      <c r="AB5" s="5"/>
    </row>
    <row r="6" ht="14.25" customHeight="1">
      <c r="A6" s="3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5"/>
      <c r="X6" s="5"/>
      <c r="Y6" s="5"/>
      <c r="Z6" s="5"/>
      <c r="AA6" s="5"/>
      <c r="AB6" s="5"/>
    </row>
    <row r="7" ht="14.25" customHeight="1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4.25" customHeight="1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</row>
    <row r="10" ht="14.25" customHeight="1">
      <c r="A10" s="8">
        <v>46388.0</v>
      </c>
      <c r="B10" s="9" t="s">
        <v>34</v>
      </c>
      <c r="C10" s="10">
        <v>8016.624</v>
      </c>
      <c r="D10" s="10">
        <v>7688.576</v>
      </c>
      <c r="E10" s="10">
        <v>7505.092</v>
      </c>
      <c r="F10" s="10">
        <v>7430.08</v>
      </c>
      <c r="G10" s="10">
        <v>7544.656</v>
      </c>
      <c r="H10" s="10">
        <v>8028.832</v>
      </c>
      <c r="I10" s="10">
        <v>9714.964</v>
      </c>
      <c r="J10" s="10">
        <v>12190.22</v>
      </c>
      <c r="K10" s="10">
        <v>14261.072</v>
      </c>
      <c r="L10" s="10">
        <v>15659.56</v>
      </c>
      <c r="M10" s="10">
        <v>16797.34</v>
      </c>
      <c r="N10" s="10">
        <v>17482.08</v>
      </c>
      <c r="O10" s="10">
        <v>17252.144</v>
      </c>
      <c r="P10" s="10">
        <v>17311.084</v>
      </c>
      <c r="Q10" s="10">
        <v>17769.752</v>
      </c>
      <c r="R10" s="10">
        <v>17777.256</v>
      </c>
      <c r="S10" s="10">
        <v>17276.168</v>
      </c>
      <c r="T10" s="10">
        <v>16122.96</v>
      </c>
      <c r="U10" s="10">
        <v>15273.468</v>
      </c>
      <c r="V10" s="10">
        <v>14308.336</v>
      </c>
      <c r="W10" s="10">
        <v>13032.376</v>
      </c>
      <c r="X10" s="10">
        <v>11581.836</v>
      </c>
      <c r="Y10" s="10">
        <v>10037.104</v>
      </c>
      <c r="Z10" s="10">
        <v>8982.736</v>
      </c>
      <c r="AA10" s="11">
        <f t="shared" ref="AA10:AA45" si="1">SUM(C10:Z10)</f>
        <v>309044.316</v>
      </c>
      <c r="AB10" s="11">
        <v>19.0</v>
      </c>
      <c r="AC10" s="11">
        <f t="shared" ref="AC10:AC45" si="2">AA10*AB10</f>
        <v>5871842.004</v>
      </c>
      <c r="AD10" s="12">
        <f>SUM(AC10:AC12)</f>
        <v>8878036.048</v>
      </c>
    </row>
    <row r="11" ht="14.25" customHeight="1">
      <c r="A11" s="8">
        <v>46388.0</v>
      </c>
      <c r="B11" s="9" t="s">
        <v>35</v>
      </c>
      <c r="C11" s="10">
        <v>8710.996</v>
      </c>
      <c r="D11" s="10">
        <v>8256.248</v>
      </c>
      <c r="E11" s="10">
        <v>8002.68</v>
      </c>
      <c r="F11" s="10">
        <v>7806.12</v>
      </c>
      <c r="G11" s="10">
        <v>7843.78</v>
      </c>
      <c r="H11" s="10">
        <v>7875.784</v>
      </c>
      <c r="I11" s="10">
        <v>9022.16</v>
      </c>
      <c r="J11" s="10">
        <v>11077.416</v>
      </c>
      <c r="K11" s="10">
        <v>13029.856</v>
      </c>
      <c r="L11" s="10">
        <v>14554.708</v>
      </c>
      <c r="M11" s="10">
        <v>15506.26</v>
      </c>
      <c r="N11" s="10">
        <v>15942.948</v>
      </c>
      <c r="O11" s="10">
        <v>15495.676</v>
      </c>
      <c r="P11" s="10">
        <v>15004.556</v>
      </c>
      <c r="Q11" s="10">
        <v>14667.492</v>
      </c>
      <c r="R11" s="10">
        <v>14585.732</v>
      </c>
      <c r="S11" s="10">
        <v>14410.536</v>
      </c>
      <c r="T11" s="10">
        <v>14138.236</v>
      </c>
      <c r="U11" s="10">
        <v>13810.272</v>
      </c>
      <c r="V11" s="10">
        <v>13087.284</v>
      </c>
      <c r="W11" s="10">
        <v>11973.276</v>
      </c>
      <c r="X11" s="10">
        <v>10720.668</v>
      </c>
      <c r="Y11" s="10">
        <v>9382.464</v>
      </c>
      <c r="Z11" s="10">
        <v>8421.896</v>
      </c>
      <c r="AA11" s="11">
        <f t="shared" si="1"/>
        <v>283327.044</v>
      </c>
      <c r="AB11" s="11">
        <v>5.0</v>
      </c>
      <c r="AC11" s="11">
        <f t="shared" si="2"/>
        <v>1416635.22</v>
      </c>
      <c r="AD11" s="13"/>
    </row>
    <row r="12" ht="14.25" customHeight="1">
      <c r="A12" s="8">
        <v>46388.0</v>
      </c>
      <c r="B12" s="9" t="s">
        <v>36</v>
      </c>
      <c r="C12" s="10">
        <v>7799.428</v>
      </c>
      <c r="D12" s="10">
        <v>7412.076</v>
      </c>
      <c r="E12" s="10">
        <v>7054.18</v>
      </c>
      <c r="F12" s="10">
        <v>6872.32</v>
      </c>
      <c r="G12" s="10">
        <v>6719.02</v>
      </c>
      <c r="H12" s="10">
        <v>6587.196</v>
      </c>
      <c r="I12" s="10">
        <v>6800.108</v>
      </c>
      <c r="J12" s="10">
        <v>7601.356</v>
      </c>
      <c r="K12" s="10">
        <v>8655.192</v>
      </c>
      <c r="L12" s="10">
        <v>10120.656</v>
      </c>
      <c r="M12" s="10">
        <v>11304.496</v>
      </c>
      <c r="N12" s="10">
        <v>11974.648</v>
      </c>
      <c r="O12" s="10">
        <v>12205.508</v>
      </c>
      <c r="P12" s="10">
        <v>12261.2</v>
      </c>
      <c r="Q12" s="10">
        <v>12176.5</v>
      </c>
      <c r="R12" s="10">
        <v>12117.532</v>
      </c>
      <c r="S12" s="10">
        <v>11830.868</v>
      </c>
      <c r="T12" s="10">
        <v>11543.812</v>
      </c>
      <c r="U12" s="10">
        <v>11383.12</v>
      </c>
      <c r="V12" s="10">
        <v>10815.952</v>
      </c>
      <c r="W12" s="10">
        <v>9897.832</v>
      </c>
      <c r="X12" s="10">
        <v>8843.492</v>
      </c>
      <c r="Y12" s="10">
        <v>7894.908</v>
      </c>
      <c r="Z12" s="10">
        <v>7208.432</v>
      </c>
      <c r="AA12" s="11">
        <f t="shared" si="1"/>
        <v>227079.832</v>
      </c>
      <c r="AB12" s="11">
        <v>7.0</v>
      </c>
      <c r="AC12" s="11">
        <f t="shared" si="2"/>
        <v>1589558.824</v>
      </c>
      <c r="AD12" s="14"/>
    </row>
    <row r="13" ht="14.25" customHeight="1">
      <c r="A13" s="8">
        <v>46419.0</v>
      </c>
      <c r="B13" s="9" t="s">
        <v>34</v>
      </c>
      <c r="C13" s="10">
        <v>7587.162</v>
      </c>
      <c r="D13" s="10">
        <v>7276.688</v>
      </c>
      <c r="E13" s="10">
        <v>7103.0335</v>
      </c>
      <c r="F13" s="10">
        <v>7032.04</v>
      </c>
      <c r="G13" s="10">
        <v>7140.478</v>
      </c>
      <c r="H13" s="10">
        <v>7598.716</v>
      </c>
      <c r="I13" s="10">
        <v>9194.5195</v>
      </c>
      <c r="J13" s="10">
        <v>11537.1725</v>
      </c>
      <c r="K13" s="10">
        <v>13497.086</v>
      </c>
      <c r="L13" s="10">
        <v>14820.655</v>
      </c>
      <c r="M13" s="10">
        <v>15897.4825</v>
      </c>
      <c r="N13" s="10">
        <v>16545.54</v>
      </c>
      <c r="O13" s="10">
        <v>16327.922</v>
      </c>
      <c r="P13" s="10">
        <v>16383.7045</v>
      </c>
      <c r="Q13" s="10">
        <v>16817.801</v>
      </c>
      <c r="R13" s="10">
        <v>16824.903</v>
      </c>
      <c r="S13" s="10">
        <v>16350.659</v>
      </c>
      <c r="T13" s="10">
        <v>15259.23</v>
      </c>
      <c r="U13" s="10">
        <v>14455.2465</v>
      </c>
      <c r="V13" s="10">
        <v>13541.818</v>
      </c>
      <c r="W13" s="10">
        <v>12334.213</v>
      </c>
      <c r="X13" s="10">
        <v>10961.3805</v>
      </c>
      <c r="Y13" s="10">
        <v>9499.402</v>
      </c>
      <c r="Z13" s="10">
        <v>8501.518</v>
      </c>
      <c r="AA13" s="11">
        <f t="shared" si="1"/>
        <v>292488.3705</v>
      </c>
      <c r="AB13" s="11">
        <v>20.0</v>
      </c>
      <c r="AC13" s="11">
        <f t="shared" si="2"/>
        <v>5849767.41</v>
      </c>
      <c r="AD13" s="12">
        <f>SUM(AC13:AC15)</f>
        <v>7782022.012</v>
      </c>
    </row>
    <row r="14" ht="14.25" customHeight="1">
      <c r="A14" s="8">
        <v>46419.0</v>
      </c>
      <c r="B14" s="9" t="s">
        <v>35</v>
      </c>
      <c r="C14" s="10">
        <v>8244.3355</v>
      </c>
      <c r="D14" s="10">
        <v>7813.949</v>
      </c>
      <c r="E14" s="10">
        <v>7573.965</v>
      </c>
      <c r="F14" s="10">
        <v>7387.935</v>
      </c>
      <c r="G14" s="10">
        <v>7423.5775</v>
      </c>
      <c r="H14" s="10">
        <v>7453.867</v>
      </c>
      <c r="I14" s="10">
        <v>8538.83</v>
      </c>
      <c r="J14" s="10">
        <v>10483.983</v>
      </c>
      <c r="K14" s="10">
        <v>12331.828</v>
      </c>
      <c r="L14" s="10">
        <v>13774.9915</v>
      </c>
      <c r="M14" s="10">
        <v>14675.5675</v>
      </c>
      <c r="N14" s="10">
        <v>15088.8615</v>
      </c>
      <c r="O14" s="10">
        <v>14665.5505</v>
      </c>
      <c r="P14" s="10">
        <v>14200.7405</v>
      </c>
      <c r="Q14" s="10">
        <v>13881.7335</v>
      </c>
      <c r="R14" s="10">
        <v>13804.3535</v>
      </c>
      <c r="S14" s="10">
        <v>13638.543</v>
      </c>
      <c r="T14" s="10">
        <v>13380.8305</v>
      </c>
      <c r="U14" s="10">
        <v>13070.436</v>
      </c>
      <c r="V14" s="10">
        <v>12386.1795</v>
      </c>
      <c r="W14" s="10">
        <v>11331.8505</v>
      </c>
      <c r="X14" s="10">
        <v>10146.3465</v>
      </c>
      <c r="Y14" s="10">
        <v>8879.832</v>
      </c>
      <c r="Z14" s="10">
        <v>7970.723</v>
      </c>
      <c r="AA14" s="11">
        <f t="shared" si="1"/>
        <v>268148.8095</v>
      </c>
      <c r="AB14" s="11">
        <v>4.0</v>
      </c>
      <c r="AC14" s="11">
        <f t="shared" si="2"/>
        <v>1072595.238</v>
      </c>
      <c r="AD14" s="13"/>
    </row>
    <row r="15" ht="14.25" customHeight="1">
      <c r="A15" s="8">
        <v>46419.0</v>
      </c>
      <c r="B15" s="9" t="s">
        <v>36</v>
      </c>
      <c r="C15" s="10">
        <v>7381.6015</v>
      </c>
      <c r="D15" s="10">
        <v>7015.0005</v>
      </c>
      <c r="E15" s="10">
        <v>6676.2775</v>
      </c>
      <c r="F15" s="10">
        <v>6504.16</v>
      </c>
      <c r="G15" s="10">
        <v>6359.0725</v>
      </c>
      <c r="H15" s="10">
        <v>6234.3105</v>
      </c>
      <c r="I15" s="10">
        <v>6435.8165</v>
      </c>
      <c r="J15" s="10">
        <v>7194.1405</v>
      </c>
      <c r="K15" s="10">
        <v>8191.521</v>
      </c>
      <c r="L15" s="10">
        <v>9578.478</v>
      </c>
      <c r="M15" s="10">
        <v>10698.898</v>
      </c>
      <c r="N15" s="10">
        <v>11333.149</v>
      </c>
      <c r="O15" s="10">
        <v>11551.6415</v>
      </c>
      <c r="P15" s="10">
        <v>11604.35</v>
      </c>
      <c r="Q15" s="10">
        <v>11524.1875</v>
      </c>
      <c r="R15" s="10">
        <v>11468.3785</v>
      </c>
      <c r="S15" s="10">
        <v>11197.0715</v>
      </c>
      <c r="T15" s="10">
        <v>10925.3935</v>
      </c>
      <c r="U15" s="10">
        <v>10773.31</v>
      </c>
      <c r="V15" s="10">
        <v>10236.526</v>
      </c>
      <c r="W15" s="10">
        <v>9367.591</v>
      </c>
      <c r="X15" s="10">
        <v>8369.7335</v>
      </c>
      <c r="Y15" s="10">
        <v>7471.9665</v>
      </c>
      <c r="Z15" s="10">
        <v>6822.266</v>
      </c>
      <c r="AA15" s="11">
        <f t="shared" si="1"/>
        <v>214914.841</v>
      </c>
      <c r="AB15" s="11">
        <v>4.0</v>
      </c>
      <c r="AC15" s="11">
        <f t="shared" si="2"/>
        <v>859659.364</v>
      </c>
      <c r="AD15" s="14"/>
    </row>
    <row r="16" ht="14.25" customHeight="1">
      <c r="A16" s="8">
        <v>46447.0</v>
      </c>
      <c r="B16" s="9" t="s">
        <v>34</v>
      </c>
      <c r="C16" s="10">
        <v>8016.624</v>
      </c>
      <c r="D16" s="10">
        <v>7688.576</v>
      </c>
      <c r="E16" s="10">
        <v>7505.092</v>
      </c>
      <c r="F16" s="10">
        <v>7430.08</v>
      </c>
      <c r="G16" s="10">
        <v>7544.656</v>
      </c>
      <c r="H16" s="10">
        <v>8028.832</v>
      </c>
      <c r="I16" s="10">
        <v>9714.964</v>
      </c>
      <c r="J16" s="10">
        <v>12190.22</v>
      </c>
      <c r="K16" s="10">
        <v>14261.072</v>
      </c>
      <c r="L16" s="10">
        <v>15659.56</v>
      </c>
      <c r="M16" s="10">
        <v>16797.34</v>
      </c>
      <c r="N16" s="10">
        <v>17482.08</v>
      </c>
      <c r="O16" s="10">
        <v>17252.144</v>
      </c>
      <c r="P16" s="10">
        <v>17311.084</v>
      </c>
      <c r="Q16" s="10">
        <v>17769.752</v>
      </c>
      <c r="R16" s="10">
        <v>17777.256</v>
      </c>
      <c r="S16" s="10">
        <v>17276.168</v>
      </c>
      <c r="T16" s="10">
        <v>16122.96</v>
      </c>
      <c r="U16" s="10">
        <v>15273.468</v>
      </c>
      <c r="V16" s="10">
        <v>14308.336</v>
      </c>
      <c r="W16" s="10">
        <v>13032.376</v>
      </c>
      <c r="X16" s="10">
        <v>11581.836</v>
      </c>
      <c r="Y16" s="10">
        <v>10037.104</v>
      </c>
      <c r="Z16" s="10">
        <v>8982.736</v>
      </c>
      <c r="AA16" s="11">
        <f t="shared" si="1"/>
        <v>309044.316</v>
      </c>
      <c r="AB16" s="11">
        <v>20.0</v>
      </c>
      <c r="AC16" s="11">
        <f t="shared" si="2"/>
        <v>6180886.32</v>
      </c>
      <c r="AD16" s="12">
        <f>SUM(AC16:AC18)</f>
        <v>8903753.32</v>
      </c>
    </row>
    <row r="17" ht="14.25" customHeight="1">
      <c r="A17" s="8">
        <v>46447.0</v>
      </c>
      <c r="B17" s="9" t="s">
        <v>35</v>
      </c>
      <c r="C17" s="10">
        <v>8710.996</v>
      </c>
      <c r="D17" s="10">
        <v>8256.248</v>
      </c>
      <c r="E17" s="10">
        <v>8002.68</v>
      </c>
      <c r="F17" s="10">
        <v>7806.12</v>
      </c>
      <c r="G17" s="10">
        <v>7843.78</v>
      </c>
      <c r="H17" s="10">
        <v>7875.784</v>
      </c>
      <c r="I17" s="10">
        <v>9022.16</v>
      </c>
      <c r="J17" s="10">
        <v>11077.416</v>
      </c>
      <c r="K17" s="10">
        <v>13029.856</v>
      </c>
      <c r="L17" s="10">
        <v>14554.708</v>
      </c>
      <c r="M17" s="10">
        <v>15506.26</v>
      </c>
      <c r="N17" s="10">
        <v>15942.948</v>
      </c>
      <c r="O17" s="10">
        <v>15495.676</v>
      </c>
      <c r="P17" s="10">
        <v>15004.556</v>
      </c>
      <c r="Q17" s="10">
        <v>14667.492</v>
      </c>
      <c r="R17" s="10">
        <v>14585.732</v>
      </c>
      <c r="S17" s="10">
        <v>14410.536</v>
      </c>
      <c r="T17" s="10">
        <v>14138.236</v>
      </c>
      <c r="U17" s="10">
        <v>13810.272</v>
      </c>
      <c r="V17" s="10">
        <v>13087.284</v>
      </c>
      <c r="W17" s="10">
        <v>11973.276</v>
      </c>
      <c r="X17" s="10">
        <v>10720.668</v>
      </c>
      <c r="Y17" s="10">
        <v>9382.464</v>
      </c>
      <c r="Z17" s="10">
        <v>8421.896</v>
      </c>
      <c r="AA17" s="11">
        <f t="shared" si="1"/>
        <v>283327.044</v>
      </c>
      <c r="AB17" s="11">
        <v>4.0</v>
      </c>
      <c r="AC17" s="11">
        <f t="shared" si="2"/>
        <v>1133308.176</v>
      </c>
      <c r="AD17" s="13"/>
    </row>
    <row r="18" ht="14.25" customHeight="1">
      <c r="A18" s="8">
        <v>46447.0</v>
      </c>
      <c r="B18" s="9" t="s">
        <v>36</v>
      </c>
      <c r="C18" s="10">
        <v>7799.428</v>
      </c>
      <c r="D18" s="10">
        <v>7412.076</v>
      </c>
      <c r="E18" s="10">
        <v>7054.18</v>
      </c>
      <c r="F18" s="10">
        <v>6872.32</v>
      </c>
      <c r="G18" s="10">
        <v>6719.02</v>
      </c>
      <c r="H18" s="10">
        <v>6587.196</v>
      </c>
      <c r="I18" s="10">
        <v>6800.108</v>
      </c>
      <c r="J18" s="10">
        <v>7601.356</v>
      </c>
      <c r="K18" s="10">
        <v>8655.192</v>
      </c>
      <c r="L18" s="10">
        <v>10120.656</v>
      </c>
      <c r="M18" s="10">
        <v>11304.496</v>
      </c>
      <c r="N18" s="10">
        <v>11974.648</v>
      </c>
      <c r="O18" s="10">
        <v>12205.508</v>
      </c>
      <c r="P18" s="10">
        <v>12261.2</v>
      </c>
      <c r="Q18" s="10">
        <v>12176.5</v>
      </c>
      <c r="R18" s="10">
        <v>12117.532</v>
      </c>
      <c r="S18" s="10">
        <v>11830.868</v>
      </c>
      <c r="T18" s="10">
        <v>11543.812</v>
      </c>
      <c r="U18" s="10">
        <v>11383.12</v>
      </c>
      <c r="V18" s="10">
        <v>10815.952</v>
      </c>
      <c r="W18" s="10">
        <v>9897.832</v>
      </c>
      <c r="X18" s="10">
        <v>8843.492</v>
      </c>
      <c r="Y18" s="10">
        <v>7894.908</v>
      </c>
      <c r="Z18" s="10">
        <v>7208.432</v>
      </c>
      <c r="AA18" s="11">
        <f t="shared" si="1"/>
        <v>227079.832</v>
      </c>
      <c r="AB18" s="11">
        <v>7.0</v>
      </c>
      <c r="AC18" s="11">
        <f t="shared" si="2"/>
        <v>1589558.824</v>
      </c>
      <c r="AD18" s="14"/>
    </row>
    <row r="19" ht="14.25" customHeight="1">
      <c r="A19" s="8">
        <v>46478.0</v>
      </c>
      <c r="B19" s="9" t="s">
        <v>34</v>
      </c>
      <c r="C19" s="10">
        <v>8589.24</v>
      </c>
      <c r="D19" s="10">
        <v>8237.76</v>
      </c>
      <c r="E19" s="10">
        <v>8041.17</v>
      </c>
      <c r="F19" s="10">
        <v>7960.8</v>
      </c>
      <c r="G19" s="10">
        <v>8083.56</v>
      </c>
      <c r="H19" s="10">
        <v>8602.32</v>
      </c>
      <c r="I19" s="10">
        <v>10408.89</v>
      </c>
      <c r="J19" s="10">
        <v>13060.95</v>
      </c>
      <c r="K19" s="10">
        <v>15279.72</v>
      </c>
      <c r="L19" s="10">
        <v>16778.1</v>
      </c>
      <c r="M19" s="10">
        <v>17997.15</v>
      </c>
      <c r="N19" s="10">
        <v>18730.8</v>
      </c>
      <c r="O19" s="10">
        <v>18484.44</v>
      </c>
      <c r="P19" s="10">
        <v>18547.59</v>
      </c>
      <c r="Q19" s="10">
        <v>19039.02</v>
      </c>
      <c r="R19" s="10">
        <v>19047.06</v>
      </c>
      <c r="S19" s="10">
        <v>18510.18</v>
      </c>
      <c r="T19" s="10">
        <v>17274.6</v>
      </c>
      <c r="U19" s="10">
        <v>16364.43</v>
      </c>
      <c r="V19" s="10">
        <v>15330.36</v>
      </c>
      <c r="W19" s="10">
        <v>13963.26</v>
      </c>
      <c r="X19" s="10">
        <v>12409.11</v>
      </c>
      <c r="Y19" s="10">
        <v>10754.04</v>
      </c>
      <c r="Z19" s="10">
        <v>9624.36</v>
      </c>
      <c r="AA19" s="11">
        <f t="shared" si="1"/>
        <v>331118.91</v>
      </c>
      <c r="AB19" s="11">
        <v>22.0</v>
      </c>
      <c r="AC19" s="11">
        <f t="shared" si="2"/>
        <v>7284616.02</v>
      </c>
      <c r="AD19" s="12">
        <f>SUM(AC19:AC21)</f>
        <v>9472074.06</v>
      </c>
    </row>
    <row r="20" ht="14.25" customHeight="1">
      <c r="A20" s="8">
        <v>46478.0</v>
      </c>
      <c r="B20" s="9" t="s">
        <v>35</v>
      </c>
      <c r="C20" s="10">
        <v>9333.21</v>
      </c>
      <c r="D20" s="10">
        <v>8845.98</v>
      </c>
      <c r="E20" s="10">
        <v>8574.3</v>
      </c>
      <c r="F20" s="10">
        <v>8363.7</v>
      </c>
      <c r="G20" s="10">
        <v>8404.05</v>
      </c>
      <c r="H20" s="10">
        <v>8438.34</v>
      </c>
      <c r="I20" s="10">
        <v>9666.6</v>
      </c>
      <c r="J20" s="10">
        <v>11868.66</v>
      </c>
      <c r="K20" s="10">
        <v>13960.56</v>
      </c>
      <c r="L20" s="10">
        <v>15594.33</v>
      </c>
      <c r="M20" s="10">
        <v>16613.85</v>
      </c>
      <c r="N20" s="10">
        <v>17081.73</v>
      </c>
      <c r="O20" s="10">
        <v>16602.51</v>
      </c>
      <c r="P20" s="10">
        <v>16076.31</v>
      </c>
      <c r="Q20" s="10">
        <v>15715.17</v>
      </c>
      <c r="R20" s="10">
        <v>15627.57</v>
      </c>
      <c r="S20" s="10">
        <v>15439.86</v>
      </c>
      <c r="T20" s="10">
        <v>15148.11</v>
      </c>
      <c r="U20" s="10">
        <v>14796.72</v>
      </c>
      <c r="V20" s="10">
        <v>14022.09</v>
      </c>
      <c r="W20" s="10">
        <v>12828.51</v>
      </c>
      <c r="X20" s="10">
        <v>11486.43</v>
      </c>
      <c r="Y20" s="10">
        <v>10052.64</v>
      </c>
      <c r="Z20" s="10">
        <v>9023.46</v>
      </c>
      <c r="AA20" s="11">
        <f t="shared" si="1"/>
        <v>303564.69</v>
      </c>
      <c r="AB20" s="11">
        <v>4.0</v>
      </c>
      <c r="AC20" s="11">
        <f t="shared" si="2"/>
        <v>1214258.76</v>
      </c>
      <c r="AD20" s="13"/>
    </row>
    <row r="21" ht="14.25" customHeight="1">
      <c r="A21" s="8">
        <v>46478.0</v>
      </c>
      <c r="B21" s="9" t="s">
        <v>36</v>
      </c>
      <c r="C21" s="10">
        <v>8356.53</v>
      </c>
      <c r="D21" s="10">
        <v>7941.51</v>
      </c>
      <c r="E21" s="10">
        <v>7558.05</v>
      </c>
      <c r="F21" s="10">
        <v>7363.2</v>
      </c>
      <c r="G21" s="10">
        <v>7198.95</v>
      </c>
      <c r="H21" s="10">
        <v>7057.71</v>
      </c>
      <c r="I21" s="10">
        <v>7285.83</v>
      </c>
      <c r="J21" s="10">
        <v>8144.31</v>
      </c>
      <c r="K21" s="10">
        <v>9273.42</v>
      </c>
      <c r="L21" s="10">
        <v>10843.56</v>
      </c>
      <c r="M21" s="10">
        <v>12111.96</v>
      </c>
      <c r="N21" s="10">
        <v>12829.98</v>
      </c>
      <c r="O21" s="10">
        <v>13077.33</v>
      </c>
      <c r="P21" s="10">
        <v>13137.0</v>
      </c>
      <c r="Q21" s="10">
        <v>13046.25</v>
      </c>
      <c r="R21" s="10">
        <v>12983.07</v>
      </c>
      <c r="S21" s="10">
        <v>12675.93</v>
      </c>
      <c r="T21" s="10">
        <v>12368.37</v>
      </c>
      <c r="U21" s="10">
        <v>12196.2</v>
      </c>
      <c r="V21" s="10">
        <v>11588.52</v>
      </c>
      <c r="W21" s="10">
        <v>10604.82</v>
      </c>
      <c r="X21" s="10">
        <v>9475.17</v>
      </c>
      <c r="Y21" s="10">
        <v>8458.83</v>
      </c>
      <c r="Z21" s="10">
        <v>7723.32</v>
      </c>
      <c r="AA21" s="11">
        <f t="shared" si="1"/>
        <v>243299.82</v>
      </c>
      <c r="AB21" s="11">
        <v>4.0</v>
      </c>
      <c r="AC21" s="11">
        <f t="shared" si="2"/>
        <v>973199.28</v>
      </c>
      <c r="AD21" s="14"/>
    </row>
    <row r="22" ht="14.25" customHeight="1">
      <c r="A22" s="8">
        <v>46508.0</v>
      </c>
      <c r="B22" s="9" t="s">
        <v>34</v>
      </c>
      <c r="C22" s="10">
        <v>5153.544</v>
      </c>
      <c r="D22" s="10">
        <v>4942.656</v>
      </c>
      <c r="E22" s="10">
        <v>4824.702</v>
      </c>
      <c r="F22" s="10">
        <v>4776.48</v>
      </c>
      <c r="G22" s="10">
        <v>4850.136</v>
      </c>
      <c r="H22" s="10">
        <v>5161.392</v>
      </c>
      <c r="I22" s="10">
        <v>6245.334</v>
      </c>
      <c r="J22" s="10">
        <v>7836.57</v>
      </c>
      <c r="K22" s="10">
        <v>9167.832</v>
      </c>
      <c r="L22" s="10">
        <v>10066.86</v>
      </c>
      <c r="M22" s="10">
        <v>10798.29</v>
      </c>
      <c r="N22" s="10">
        <v>11238.48</v>
      </c>
      <c r="O22" s="10">
        <v>11090.664</v>
      </c>
      <c r="P22" s="10">
        <v>11128.554</v>
      </c>
      <c r="Q22" s="10">
        <v>11423.412</v>
      </c>
      <c r="R22" s="10">
        <v>11428.236</v>
      </c>
      <c r="S22" s="10">
        <v>11106.108</v>
      </c>
      <c r="T22" s="10">
        <v>10364.76</v>
      </c>
      <c r="U22" s="10">
        <v>9818.658</v>
      </c>
      <c r="V22" s="10">
        <v>9198.216</v>
      </c>
      <c r="W22" s="10">
        <v>8377.956</v>
      </c>
      <c r="X22" s="10">
        <v>7445.466</v>
      </c>
      <c r="Y22" s="10">
        <v>6452.424</v>
      </c>
      <c r="Z22" s="10">
        <v>5774.616</v>
      </c>
      <c r="AA22" s="11">
        <f t="shared" si="1"/>
        <v>198671.346</v>
      </c>
      <c r="AB22" s="11">
        <v>19.0</v>
      </c>
      <c r="AC22" s="11">
        <f t="shared" si="2"/>
        <v>3774755.574</v>
      </c>
      <c r="AD22" s="12">
        <f>SUM(AC22:AC24)</f>
        <v>5671149.966</v>
      </c>
    </row>
    <row r="23" ht="14.25" customHeight="1">
      <c r="A23" s="8">
        <v>46508.0</v>
      </c>
      <c r="B23" s="9" t="s">
        <v>35</v>
      </c>
      <c r="C23" s="10">
        <v>5599.926</v>
      </c>
      <c r="D23" s="10">
        <v>5307.588</v>
      </c>
      <c r="E23" s="10">
        <v>5144.58</v>
      </c>
      <c r="F23" s="10">
        <v>5018.22</v>
      </c>
      <c r="G23" s="10">
        <v>5042.43</v>
      </c>
      <c r="H23" s="10">
        <v>5063.004</v>
      </c>
      <c r="I23" s="10">
        <v>5799.96</v>
      </c>
      <c r="J23" s="10">
        <v>7121.196</v>
      </c>
      <c r="K23" s="10">
        <v>8376.336</v>
      </c>
      <c r="L23" s="10">
        <v>9356.598</v>
      </c>
      <c r="M23" s="10">
        <v>9968.31</v>
      </c>
      <c r="N23" s="10">
        <v>10249.038</v>
      </c>
      <c r="O23" s="10">
        <v>9961.506</v>
      </c>
      <c r="P23" s="10">
        <v>9645.786</v>
      </c>
      <c r="Q23" s="10">
        <v>9429.102</v>
      </c>
      <c r="R23" s="10">
        <v>9376.542</v>
      </c>
      <c r="S23" s="10">
        <v>9263.916</v>
      </c>
      <c r="T23" s="10">
        <v>9088.866</v>
      </c>
      <c r="U23" s="10">
        <v>8878.032</v>
      </c>
      <c r="V23" s="10">
        <v>8413.254</v>
      </c>
      <c r="W23" s="10">
        <v>7697.106</v>
      </c>
      <c r="X23" s="10">
        <v>6891.858</v>
      </c>
      <c r="Y23" s="10">
        <v>6031.584</v>
      </c>
      <c r="Z23" s="10">
        <v>5414.076</v>
      </c>
      <c r="AA23" s="11">
        <f t="shared" si="1"/>
        <v>182138.814</v>
      </c>
      <c r="AB23" s="11">
        <v>4.0</v>
      </c>
      <c r="AC23" s="11">
        <f t="shared" si="2"/>
        <v>728555.256</v>
      </c>
      <c r="AD23" s="13"/>
    </row>
    <row r="24" ht="14.25" customHeight="1">
      <c r="A24" s="8">
        <v>46508.0</v>
      </c>
      <c r="B24" s="9" t="s">
        <v>36</v>
      </c>
      <c r="C24" s="10">
        <v>5013.918</v>
      </c>
      <c r="D24" s="10">
        <v>4764.906</v>
      </c>
      <c r="E24" s="10">
        <v>4534.83</v>
      </c>
      <c r="F24" s="10">
        <v>4417.92</v>
      </c>
      <c r="G24" s="10">
        <v>4319.37</v>
      </c>
      <c r="H24" s="10">
        <v>4234.626</v>
      </c>
      <c r="I24" s="10">
        <v>4371.498</v>
      </c>
      <c r="J24" s="10">
        <v>4886.586</v>
      </c>
      <c r="K24" s="10">
        <v>5564.052</v>
      </c>
      <c r="L24" s="10">
        <v>6506.136</v>
      </c>
      <c r="M24" s="10">
        <v>7267.176</v>
      </c>
      <c r="N24" s="10">
        <v>7697.988</v>
      </c>
      <c r="O24" s="10">
        <v>7846.398</v>
      </c>
      <c r="P24" s="10">
        <v>7882.2</v>
      </c>
      <c r="Q24" s="10">
        <v>7827.75</v>
      </c>
      <c r="R24" s="10">
        <v>7789.842</v>
      </c>
      <c r="S24" s="10">
        <v>7605.558</v>
      </c>
      <c r="T24" s="10">
        <v>7421.022</v>
      </c>
      <c r="U24" s="10">
        <v>7317.72</v>
      </c>
      <c r="V24" s="10">
        <v>6953.112</v>
      </c>
      <c r="W24" s="10">
        <v>6362.892</v>
      </c>
      <c r="X24" s="10">
        <v>5685.102</v>
      </c>
      <c r="Y24" s="10">
        <v>5075.298</v>
      </c>
      <c r="Z24" s="10">
        <v>4633.992</v>
      </c>
      <c r="AA24" s="11">
        <f t="shared" si="1"/>
        <v>145979.892</v>
      </c>
      <c r="AB24" s="11">
        <v>8.0</v>
      </c>
      <c r="AC24" s="11">
        <f t="shared" si="2"/>
        <v>1167839.136</v>
      </c>
      <c r="AD24" s="14"/>
    </row>
    <row r="25" ht="14.25" customHeight="1">
      <c r="A25" s="8">
        <v>46539.0</v>
      </c>
      <c r="B25" s="9" t="s">
        <v>34</v>
      </c>
      <c r="C25" s="10">
        <v>5439.852</v>
      </c>
      <c r="D25" s="10">
        <v>5217.248</v>
      </c>
      <c r="E25" s="10">
        <v>5092.741</v>
      </c>
      <c r="F25" s="10">
        <v>5041.84</v>
      </c>
      <c r="G25" s="10">
        <v>5119.588</v>
      </c>
      <c r="H25" s="10">
        <v>5448.136</v>
      </c>
      <c r="I25" s="10">
        <v>6592.297</v>
      </c>
      <c r="J25" s="10">
        <v>8271.935</v>
      </c>
      <c r="K25" s="10">
        <v>9677.156</v>
      </c>
      <c r="L25" s="10">
        <v>10626.13</v>
      </c>
      <c r="M25" s="10">
        <v>11398.195</v>
      </c>
      <c r="N25" s="10">
        <v>11862.84</v>
      </c>
      <c r="O25" s="10">
        <v>11706.812</v>
      </c>
      <c r="P25" s="10">
        <v>11746.807</v>
      </c>
      <c r="Q25" s="10">
        <v>12058.046</v>
      </c>
      <c r="R25" s="10">
        <v>12063.138</v>
      </c>
      <c r="S25" s="10">
        <v>11723.114</v>
      </c>
      <c r="T25" s="10">
        <v>10940.58</v>
      </c>
      <c r="U25" s="10">
        <v>10364.139</v>
      </c>
      <c r="V25" s="10">
        <v>9709.228</v>
      </c>
      <c r="W25" s="10">
        <v>8843.398</v>
      </c>
      <c r="X25" s="10">
        <v>7859.103</v>
      </c>
      <c r="Y25" s="10">
        <v>6810.892</v>
      </c>
      <c r="Z25" s="10">
        <v>6095.428</v>
      </c>
      <c r="AA25" s="11">
        <f t="shared" si="1"/>
        <v>209708.643</v>
      </c>
      <c r="AB25" s="11">
        <v>21.0</v>
      </c>
      <c r="AC25" s="11">
        <f t="shared" si="2"/>
        <v>4403881.503</v>
      </c>
      <c r="AD25" s="12">
        <f>SUM(AC25:AC27)</f>
        <v>5943361.481</v>
      </c>
    </row>
    <row r="26" ht="14.25" customHeight="1">
      <c r="A26" s="8">
        <v>46539.0</v>
      </c>
      <c r="B26" s="9" t="s">
        <v>35</v>
      </c>
      <c r="C26" s="10">
        <v>5911.033</v>
      </c>
      <c r="D26" s="10">
        <v>5602.454</v>
      </c>
      <c r="E26" s="10">
        <v>5430.39</v>
      </c>
      <c r="F26" s="10">
        <v>5297.01</v>
      </c>
      <c r="G26" s="10">
        <v>5322.565</v>
      </c>
      <c r="H26" s="10">
        <v>5344.282</v>
      </c>
      <c r="I26" s="10">
        <v>6122.18</v>
      </c>
      <c r="J26" s="10">
        <v>7516.818</v>
      </c>
      <c r="K26" s="10">
        <v>8841.688</v>
      </c>
      <c r="L26" s="10">
        <v>9876.409</v>
      </c>
      <c r="M26" s="10">
        <v>10522.105</v>
      </c>
      <c r="N26" s="10">
        <v>10818.429</v>
      </c>
      <c r="O26" s="10">
        <v>10514.923</v>
      </c>
      <c r="P26" s="10">
        <v>10181.663</v>
      </c>
      <c r="Q26" s="10">
        <v>9952.941</v>
      </c>
      <c r="R26" s="10">
        <v>9897.461</v>
      </c>
      <c r="S26" s="10">
        <v>9778.578</v>
      </c>
      <c r="T26" s="10">
        <v>9593.803</v>
      </c>
      <c r="U26" s="10">
        <v>9371.256</v>
      </c>
      <c r="V26" s="10">
        <v>8880.657</v>
      </c>
      <c r="W26" s="10">
        <v>8124.723</v>
      </c>
      <c r="X26" s="10">
        <v>7274.739</v>
      </c>
      <c r="Y26" s="10">
        <v>6366.672</v>
      </c>
      <c r="Z26" s="10">
        <v>5714.858</v>
      </c>
      <c r="AA26" s="11">
        <f t="shared" si="1"/>
        <v>192257.637</v>
      </c>
      <c r="AB26" s="11">
        <v>4.0</v>
      </c>
      <c r="AC26" s="11">
        <f t="shared" si="2"/>
        <v>769030.548</v>
      </c>
      <c r="AD26" s="13"/>
    </row>
    <row r="27" ht="14.25" customHeight="1">
      <c r="A27" s="8">
        <v>46539.0</v>
      </c>
      <c r="B27" s="9" t="s">
        <v>36</v>
      </c>
      <c r="C27" s="10">
        <v>5292.469</v>
      </c>
      <c r="D27" s="10">
        <v>5029.623</v>
      </c>
      <c r="E27" s="10">
        <v>4786.765</v>
      </c>
      <c r="F27" s="10">
        <v>4663.36</v>
      </c>
      <c r="G27" s="10">
        <v>4559.335</v>
      </c>
      <c r="H27" s="10">
        <v>4469.883</v>
      </c>
      <c r="I27" s="10">
        <v>4614.359</v>
      </c>
      <c r="J27" s="10">
        <v>5158.063</v>
      </c>
      <c r="K27" s="10">
        <v>5873.166</v>
      </c>
      <c r="L27" s="10">
        <v>6867.588</v>
      </c>
      <c r="M27" s="10">
        <v>7670.908</v>
      </c>
      <c r="N27" s="10">
        <v>8125.654</v>
      </c>
      <c r="O27" s="10">
        <v>8282.309</v>
      </c>
      <c r="P27" s="10">
        <v>8320.1</v>
      </c>
      <c r="Q27" s="10">
        <v>8262.625</v>
      </c>
      <c r="R27" s="10">
        <v>8222.611</v>
      </c>
      <c r="S27" s="10">
        <v>8028.089</v>
      </c>
      <c r="T27" s="10">
        <v>7833.301</v>
      </c>
      <c r="U27" s="10">
        <v>7724.26</v>
      </c>
      <c r="V27" s="10">
        <v>7339.396</v>
      </c>
      <c r="W27" s="10">
        <v>6716.386</v>
      </c>
      <c r="X27" s="10">
        <v>6000.941</v>
      </c>
      <c r="Y27" s="10">
        <v>5357.259</v>
      </c>
      <c r="Z27" s="10">
        <v>4891.436</v>
      </c>
      <c r="AA27" s="11">
        <f t="shared" si="1"/>
        <v>154089.886</v>
      </c>
      <c r="AB27" s="11">
        <v>5.0</v>
      </c>
      <c r="AC27" s="11">
        <f t="shared" si="2"/>
        <v>770449.43</v>
      </c>
      <c r="AD27" s="14"/>
    </row>
    <row r="28" ht="14.25" customHeight="1">
      <c r="A28" s="8">
        <v>46569.0</v>
      </c>
      <c r="B28" s="9" t="s">
        <v>34</v>
      </c>
      <c r="C28" s="10">
        <v>5153.544</v>
      </c>
      <c r="D28" s="10">
        <v>4942.656</v>
      </c>
      <c r="E28" s="10">
        <v>4824.702</v>
      </c>
      <c r="F28" s="10">
        <v>4776.48</v>
      </c>
      <c r="G28" s="10">
        <v>4850.136</v>
      </c>
      <c r="H28" s="10">
        <v>5161.392</v>
      </c>
      <c r="I28" s="10">
        <v>6245.334</v>
      </c>
      <c r="J28" s="10">
        <v>7836.57</v>
      </c>
      <c r="K28" s="10">
        <v>9167.832</v>
      </c>
      <c r="L28" s="10">
        <v>10066.86</v>
      </c>
      <c r="M28" s="10">
        <v>10798.29</v>
      </c>
      <c r="N28" s="10">
        <v>11238.48</v>
      </c>
      <c r="O28" s="10">
        <v>11090.664</v>
      </c>
      <c r="P28" s="10">
        <v>11128.554</v>
      </c>
      <c r="Q28" s="10">
        <v>11423.412</v>
      </c>
      <c r="R28" s="10">
        <v>11428.236</v>
      </c>
      <c r="S28" s="10">
        <v>11106.108</v>
      </c>
      <c r="T28" s="10">
        <v>10364.76</v>
      </c>
      <c r="U28" s="10">
        <v>9818.658</v>
      </c>
      <c r="V28" s="10">
        <v>9198.216</v>
      </c>
      <c r="W28" s="10">
        <v>8377.956</v>
      </c>
      <c r="X28" s="10">
        <v>7445.466</v>
      </c>
      <c r="Y28" s="10">
        <v>6452.424</v>
      </c>
      <c r="Z28" s="10">
        <v>5774.616</v>
      </c>
      <c r="AA28" s="11">
        <f t="shared" si="1"/>
        <v>198671.346</v>
      </c>
      <c r="AB28" s="11">
        <v>20.0</v>
      </c>
      <c r="AC28" s="11">
        <f t="shared" si="2"/>
        <v>3973426.92</v>
      </c>
      <c r="AD28" s="12">
        <f>SUM(AC28:AC30)</f>
        <v>5760000.342</v>
      </c>
    </row>
    <row r="29" ht="14.25" customHeight="1">
      <c r="A29" s="8">
        <v>46569.0</v>
      </c>
      <c r="B29" s="9" t="s">
        <v>35</v>
      </c>
      <c r="C29" s="10">
        <v>5599.926</v>
      </c>
      <c r="D29" s="10">
        <v>5307.588</v>
      </c>
      <c r="E29" s="10">
        <v>5144.58</v>
      </c>
      <c r="F29" s="10">
        <v>5018.22</v>
      </c>
      <c r="G29" s="10">
        <v>5042.43</v>
      </c>
      <c r="H29" s="10">
        <v>5063.004</v>
      </c>
      <c r="I29" s="10">
        <v>5799.96</v>
      </c>
      <c r="J29" s="10">
        <v>7121.196</v>
      </c>
      <c r="K29" s="10">
        <v>8376.336</v>
      </c>
      <c r="L29" s="10">
        <v>9356.598</v>
      </c>
      <c r="M29" s="10">
        <v>9968.31</v>
      </c>
      <c r="N29" s="10">
        <v>10249.038</v>
      </c>
      <c r="O29" s="10">
        <v>9961.506</v>
      </c>
      <c r="P29" s="10">
        <v>9645.786</v>
      </c>
      <c r="Q29" s="10">
        <v>9429.102</v>
      </c>
      <c r="R29" s="10">
        <v>9376.542</v>
      </c>
      <c r="S29" s="10">
        <v>9263.916</v>
      </c>
      <c r="T29" s="10">
        <v>9088.866</v>
      </c>
      <c r="U29" s="10">
        <v>8878.032</v>
      </c>
      <c r="V29" s="10">
        <v>8413.254</v>
      </c>
      <c r="W29" s="10">
        <v>7697.106</v>
      </c>
      <c r="X29" s="10">
        <v>6891.858</v>
      </c>
      <c r="Y29" s="10">
        <v>6031.584</v>
      </c>
      <c r="Z29" s="10">
        <v>5414.076</v>
      </c>
      <c r="AA29" s="11">
        <f t="shared" si="1"/>
        <v>182138.814</v>
      </c>
      <c r="AB29" s="11">
        <v>5.0</v>
      </c>
      <c r="AC29" s="11">
        <f t="shared" si="2"/>
        <v>910694.07</v>
      </c>
      <c r="AD29" s="13"/>
    </row>
    <row r="30" ht="14.25" customHeight="1">
      <c r="A30" s="8">
        <v>46569.0</v>
      </c>
      <c r="B30" s="9" t="s">
        <v>36</v>
      </c>
      <c r="C30" s="10">
        <v>5013.918</v>
      </c>
      <c r="D30" s="10">
        <v>4764.906</v>
      </c>
      <c r="E30" s="10">
        <v>4534.83</v>
      </c>
      <c r="F30" s="10">
        <v>4417.92</v>
      </c>
      <c r="G30" s="10">
        <v>4319.37</v>
      </c>
      <c r="H30" s="10">
        <v>4234.626</v>
      </c>
      <c r="I30" s="10">
        <v>4371.498</v>
      </c>
      <c r="J30" s="10">
        <v>4886.586</v>
      </c>
      <c r="K30" s="10">
        <v>5564.052</v>
      </c>
      <c r="L30" s="10">
        <v>6506.136</v>
      </c>
      <c r="M30" s="10">
        <v>7267.176</v>
      </c>
      <c r="N30" s="10">
        <v>7697.988</v>
      </c>
      <c r="O30" s="10">
        <v>7846.398</v>
      </c>
      <c r="P30" s="10">
        <v>7882.2</v>
      </c>
      <c r="Q30" s="10">
        <v>7827.75</v>
      </c>
      <c r="R30" s="10">
        <v>7789.842</v>
      </c>
      <c r="S30" s="10">
        <v>7605.558</v>
      </c>
      <c r="T30" s="10">
        <v>7421.022</v>
      </c>
      <c r="U30" s="10">
        <v>7317.72</v>
      </c>
      <c r="V30" s="10">
        <v>6953.112</v>
      </c>
      <c r="W30" s="10">
        <v>6362.892</v>
      </c>
      <c r="X30" s="10">
        <v>5685.102</v>
      </c>
      <c r="Y30" s="10">
        <v>5075.298</v>
      </c>
      <c r="Z30" s="10">
        <v>4633.992</v>
      </c>
      <c r="AA30" s="11">
        <f t="shared" si="1"/>
        <v>145979.892</v>
      </c>
      <c r="AB30" s="11">
        <v>6.0</v>
      </c>
      <c r="AC30" s="11">
        <f t="shared" si="2"/>
        <v>875879.352</v>
      </c>
      <c r="AD30" s="14"/>
    </row>
    <row r="31" ht="14.25" customHeight="1">
      <c r="A31" s="8">
        <v>46600.0</v>
      </c>
      <c r="B31" s="9" t="s">
        <v>34</v>
      </c>
      <c r="C31" s="10">
        <v>5153.544</v>
      </c>
      <c r="D31" s="10">
        <v>4942.656</v>
      </c>
      <c r="E31" s="10">
        <v>4824.702</v>
      </c>
      <c r="F31" s="10">
        <v>4776.48</v>
      </c>
      <c r="G31" s="10">
        <v>4850.136</v>
      </c>
      <c r="H31" s="10">
        <v>5161.392</v>
      </c>
      <c r="I31" s="10">
        <v>6245.334</v>
      </c>
      <c r="J31" s="10">
        <v>7836.57</v>
      </c>
      <c r="K31" s="10">
        <v>9167.832</v>
      </c>
      <c r="L31" s="10">
        <v>10066.86</v>
      </c>
      <c r="M31" s="10">
        <v>10798.29</v>
      </c>
      <c r="N31" s="10">
        <v>11238.48</v>
      </c>
      <c r="O31" s="10">
        <v>11090.664</v>
      </c>
      <c r="P31" s="10">
        <v>11128.554</v>
      </c>
      <c r="Q31" s="10">
        <v>11423.412</v>
      </c>
      <c r="R31" s="10">
        <v>11428.236</v>
      </c>
      <c r="S31" s="10">
        <v>11106.108</v>
      </c>
      <c r="T31" s="10">
        <v>10364.76</v>
      </c>
      <c r="U31" s="10">
        <v>9818.658</v>
      </c>
      <c r="V31" s="10">
        <v>9198.216</v>
      </c>
      <c r="W31" s="10">
        <v>8377.956</v>
      </c>
      <c r="X31" s="10">
        <v>7445.466</v>
      </c>
      <c r="Y31" s="10">
        <v>6452.424</v>
      </c>
      <c r="Z31" s="10">
        <v>5774.616</v>
      </c>
      <c r="AA31" s="11">
        <f t="shared" si="1"/>
        <v>198671.346</v>
      </c>
      <c r="AB31" s="11">
        <v>21.0</v>
      </c>
      <c r="AC31" s="11">
        <f t="shared" si="2"/>
        <v>4172098.266</v>
      </c>
      <c r="AD31" s="12">
        <f>SUM(AC31:AC33)</f>
        <v>5740373.952</v>
      </c>
    </row>
    <row r="32" ht="14.25" customHeight="1">
      <c r="A32" s="8">
        <v>46600.0</v>
      </c>
      <c r="B32" s="9" t="s">
        <v>35</v>
      </c>
      <c r="C32" s="10">
        <v>5599.926</v>
      </c>
      <c r="D32" s="10">
        <v>5307.588</v>
      </c>
      <c r="E32" s="10">
        <v>5144.58</v>
      </c>
      <c r="F32" s="10">
        <v>5018.22</v>
      </c>
      <c r="G32" s="10">
        <v>5042.43</v>
      </c>
      <c r="H32" s="10">
        <v>5063.004</v>
      </c>
      <c r="I32" s="10">
        <v>5799.96</v>
      </c>
      <c r="J32" s="10">
        <v>7121.196</v>
      </c>
      <c r="K32" s="10">
        <v>8376.336</v>
      </c>
      <c r="L32" s="10">
        <v>9356.598</v>
      </c>
      <c r="M32" s="10">
        <v>9968.31</v>
      </c>
      <c r="N32" s="10">
        <v>10249.038</v>
      </c>
      <c r="O32" s="10">
        <v>9961.506</v>
      </c>
      <c r="P32" s="10">
        <v>9645.786</v>
      </c>
      <c r="Q32" s="10">
        <v>9429.102</v>
      </c>
      <c r="R32" s="10">
        <v>9376.542</v>
      </c>
      <c r="S32" s="10">
        <v>9263.916</v>
      </c>
      <c r="T32" s="10">
        <v>9088.866</v>
      </c>
      <c r="U32" s="10">
        <v>8878.032</v>
      </c>
      <c r="V32" s="10">
        <v>8413.254</v>
      </c>
      <c r="W32" s="10">
        <v>7697.106</v>
      </c>
      <c r="X32" s="10">
        <v>6891.858</v>
      </c>
      <c r="Y32" s="10">
        <v>6031.584</v>
      </c>
      <c r="Z32" s="10">
        <v>5414.076</v>
      </c>
      <c r="AA32" s="11">
        <f t="shared" si="1"/>
        <v>182138.814</v>
      </c>
      <c r="AB32" s="11">
        <v>3.0</v>
      </c>
      <c r="AC32" s="11">
        <f t="shared" si="2"/>
        <v>546416.442</v>
      </c>
      <c r="AD32" s="13"/>
    </row>
    <row r="33" ht="14.25" customHeight="1">
      <c r="A33" s="8">
        <v>46600.0</v>
      </c>
      <c r="B33" s="9" t="s">
        <v>36</v>
      </c>
      <c r="C33" s="10">
        <v>5013.918</v>
      </c>
      <c r="D33" s="10">
        <v>4764.906</v>
      </c>
      <c r="E33" s="10">
        <v>4534.83</v>
      </c>
      <c r="F33" s="10">
        <v>4417.92</v>
      </c>
      <c r="G33" s="10">
        <v>4319.37</v>
      </c>
      <c r="H33" s="10">
        <v>4234.626</v>
      </c>
      <c r="I33" s="10">
        <v>4371.498</v>
      </c>
      <c r="J33" s="10">
        <v>4886.586</v>
      </c>
      <c r="K33" s="10">
        <v>5564.052</v>
      </c>
      <c r="L33" s="10">
        <v>6506.136</v>
      </c>
      <c r="M33" s="10">
        <v>7267.176</v>
      </c>
      <c r="N33" s="10">
        <v>7697.988</v>
      </c>
      <c r="O33" s="10">
        <v>7846.398</v>
      </c>
      <c r="P33" s="10">
        <v>7882.2</v>
      </c>
      <c r="Q33" s="10">
        <v>7827.75</v>
      </c>
      <c r="R33" s="10">
        <v>7789.842</v>
      </c>
      <c r="S33" s="10">
        <v>7605.558</v>
      </c>
      <c r="T33" s="10">
        <v>7421.022</v>
      </c>
      <c r="U33" s="10">
        <v>7317.72</v>
      </c>
      <c r="V33" s="10">
        <v>6953.112</v>
      </c>
      <c r="W33" s="10">
        <v>6362.892</v>
      </c>
      <c r="X33" s="10">
        <v>5685.102</v>
      </c>
      <c r="Y33" s="10">
        <v>5075.298</v>
      </c>
      <c r="Z33" s="10">
        <v>4633.992</v>
      </c>
      <c r="AA33" s="11">
        <f t="shared" si="1"/>
        <v>145979.892</v>
      </c>
      <c r="AB33" s="11">
        <v>7.0</v>
      </c>
      <c r="AC33" s="11">
        <f t="shared" si="2"/>
        <v>1021859.244</v>
      </c>
      <c r="AD33" s="14"/>
    </row>
    <row r="34" ht="14.25" customHeight="1">
      <c r="A34" s="8">
        <v>46631.0</v>
      </c>
      <c r="B34" s="9" t="s">
        <v>34</v>
      </c>
      <c r="C34" s="10">
        <v>5439.852</v>
      </c>
      <c r="D34" s="10">
        <v>5217.248</v>
      </c>
      <c r="E34" s="10">
        <v>5092.741</v>
      </c>
      <c r="F34" s="10">
        <v>5041.84</v>
      </c>
      <c r="G34" s="10">
        <v>5119.588</v>
      </c>
      <c r="H34" s="10">
        <v>5448.136</v>
      </c>
      <c r="I34" s="10">
        <v>6592.297</v>
      </c>
      <c r="J34" s="10">
        <v>8271.935</v>
      </c>
      <c r="K34" s="10">
        <v>9677.156</v>
      </c>
      <c r="L34" s="10">
        <v>10626.13</v>
      </c>
      <c r="M34" s="10">
        <v>11398.195</v>
      </c>
      <c r="N34" s="10">
        <v>11862.84</v>
      </c>
      <c r="O34" s="10">
        <v>11706.812</v>
      </c>
      <c r="P34" s="10">
        <v>11746.807</v>
      </c>
      <c r="Q34" s="10">
        <v>12058.046</v>
      </c>
      <c r="R34" s="10">
        <v>12063.138</v>
      </c>
      <c r="S34" s="10">
        <v>11723.114</v>
      </c>
      <c r="T34" s="10">
        <v>10940.58</v>
      </c>
      <c r="U34" s="10">
        <v>10364.139</v>
      </c>
      <c r="V34" s="10">
        <v>9709.228</v>
      </c>
      <c r="W34" s="10">
        <v>8843.398</v>
      </c>
      <c r="X34" s="10">
        <v>7859.103</v>
      </c>
      <c r="Y34" s="10">
        <v>6810.892</v>
      </c>
      <c r="Z34" s="10">
        <v>6095.428</v>
      </c>
      <c r="AA34" s="11">
        <f t="shared" si="1"/>
        <v>209708.643</v>
      </c>
      <c r="AB34" s="11">
        <v>22.0</v>
      </c>
      <c r="AC34" s="11">
        <f t="shared" si="2"/>
        <v>4613590.146</v>
      </c>
      <c r="AD34" s="12">
        <f>SUM(AC34:AC36)</f>
        <v>5998980.238</v>
      </c>
    </row>
    <row r="35" ht="14.25" customHeight="1">
      <c r="A35" s="8">
        <v>46631.0</v>
      </c>
      <c r="B35" s="9" t="s">
        <v>35</v>
      </c>
      <c r="C35" s="10">
        <v>5911.033</v>
      </c>
      <c r="D35" s="10">
        <v>5602.454</v>
      </c>
      <c r="E35" s="10">
        <v>5430.39</v>
      </c>
      <c r="F35" s="10">
        <v>5297.01</v>
      </c>
      <c r="G35" s="10">
        <v>5322.565</v>
      </c>
      <c r="H35" s="10">
        <v>5344.282</v>
      </c>
      <c r="I35" s="10">
        <v>6122.18</v>
      </c>
      <c r="J35" s="10">
        <v>7516.818</v>
      </c>
      <c r="K35" s="10">
        <v>8841.688</v>
      </c>
      <c r="L35" s="10">
        <v>9876.409</v>
      </c>
      <c r="M35" s="10">
        <v>10522.105</v>
      </c>
      <c r="N35" s="10">
        <v>10818.429</v>
      </c>
      <c r="O35" s="10">
        <v>10514.923</v>
      </c>
      <c r="P35" s="10">
        <v>10181.663</v>
      </c>
      <c r="Q35" s="10">
        <v>9952.941</v>
      </c>
      <c r="R35" s="10">
        <v>9897.461</v>
      </c>
      <c r="S35" s="10">
        <v>9778.578</v>
      </c>
      <c r="T35" s="10">
        <v>9593.803</v>
      </c>
      <c r="U35" s="10">
        <v>9371.256</v>
      </c>
      <c r="V35" s="10">
        <v>8880.657</v>
      </c>
      <c r="W35" s="10">
        <v>8124.723</v>
      </c>
      <c r="X35" s="10">
        <v>7274.739</v>
      </c>
      <c r="Y35" s="10">
        <v>6366.672</v>
      </c>
      <c r="Z35" s="10">
        <v>5714.858</v>
      </c>
      <c r="AA35" s="11">
        <f t="shared" si="1"/>
        <v>192257.637</v>
      </c>
      <c r="AB35" s="11">
        <v>4.0</v>
      </c>
      <c r="AC35" s="11">
        <f t="shared" si="2"/>
        <v>769030.548</v>
      </c>
      <c r="AD35" s="13"/>
    </row>
    <row r="36" ht="14.25" customHeight="1">
      <c r="A36" s="8">
        <v>46631.0</v>
      </c>
      <c r="B36" s="9" t="s">
        <v>36</v>
      </c>
      <c r="C36" s="10">
        <v>5292.469</v>
      </c>
      <c r="D36" s="10">
        <v>5029.623</v>
      </c>
      <c r="E36" s="10">
        <v>4786.765</v>
      </c>
      <c r="F36" s="10">
        <v>4663.36</v>
      </c>
      <c r="G36" s="10">
        <v>4559.335</v>
      </c>
      <c r="H36" s="10">
        <v>4469.883</v>
      </c>
      <c r="I36" s="10">
        <v>4614.359</v>
      </c>
      <c r="J36" s="10">
        <v>5158.063</v>
      </c>
      <c r="K36" s="10">
        <v>5873.166</v>
      </c>
      <c r="L36" s="10">
        <v>6867.588</v>
      </c>
      <c r="M36" s="10">
        <v>7670.908</v>
      </c>
      <c r="N36" s="10">
        <v>8125.654</v>
      </c>
      <c r="O36" s="10">
        <v>8282.309</v>
      </c>
      <c r="P36" s="10">
        <v>8320.1</v>
      </c>
      <c r="Q36" s="10">
        <v>8262.625</v>
      </c>
      <c r="R36" s="10">
        <v>8222.611</v>
      </c>
      <c r="S36" s="10">
        <v>8028.089</v>
      </c>
      <c r="T36" s="10">
        <v>7833.301</v>
      </c>
      <c r="U36" s="10">
        <v>7724.26</v>
      </c>
      <c r="V36" s="10">
        <v>7339.396</v>
      </c>
      <c r="W36" s="10">
        <v>6716.386</v>
      </c>
      <c r="X36" s="10">
        <v>6000.941</v>
      </c>
      <c r="Y36" s="10">
        <v>5357.259</v>
      </c>
      <c r="Z36" s="10">
        <v>4891.436</v>
      </c>
      <c r="AA36" s="11">
        <f t="shared" si="1"/>
        <v>154089.886</v>
      </c>
      <c r="AB36" s="11">
        <v>4.0</v>
      </c>
      <c r="AC36" s="11">
        <f t="shared" si="2"/>
        <v>616359.544</v>
      </c>
      <c r="AD36" s="14"/>
    </row>
    <row r="37" ht="14.25" customHeight="1">
      <c r="A37" s="8">
        <v>46661.0</v>
      </c>
      <c r="B37" s="9" t="s">
        <v>34</v>
      </c>
      <c r="C37" s="10">
        <v>4008.312</v>
      </c>
      <c r="D37" s="10">
        <v>3844.288</v>
      </c>
      <c r="E37" s="10">
        <v>3752.546</v>
      </c>
      <c r="F37" s="10">
        <v>3715.04</v>
      </c>
      <c r="G37" s="10">
        <v>3772.328</v>
      </c>
      <c r="H37" s="10">
        <v>4014.416</v>
      </c>
      <c r="I37" s="10">
        <v>4857.482</v>
      </c>
      <c r="J37" s="10">
        <v>6095.11</v>
      </c>
      <c r="K37" s="10">
        <v>7130.536</v>
      </c>
      <c r="L37" s="10">
        <v>7829.78</v>
      </c>
      <c r="M37" s="10">
        <v>8398.67</v>
      </c>
      <c r="N37" s="10">
        <v>8741.04</v>
      </c>
      <c r="O37" s="10">
        <v>8626.072</v>
      </c>
      <c r="P37" s="10">
        <v>8655.542</v>
      </c>
      <c r="Q37" s="10">
        <v>8884.876</v>
      </c>
      <c r="R37" s="10">
        <v>8888.628</v>
      </c>
      <c r="S37" s="10">
        <v>8638.084</v>
      </c>
      <c r="T37" s="10">
        <v>8061.48</v>
      </c>
      <c r="U37" s="10">
        <v>7636.734</v>
      </c>
      <c r="V37" s="10">
        <v>7154.168</v>
      </c>
      <c r="W37" s="10">
        <v>6516.188</v>
      </c>
      <c r="X37" s="10">
        <v>5790.918</v>
      </c>
      <c r="Y37" s="10">
        <v>5018.552</v>
      </c>
      <c r="Z37" s="10">
        <v>4491.368</v>
      </c>
      <c r="AA37" s="11">
        <f t="shared" si="1"/>
        <v>154522.158</v>
      </c>
      <c r="AB37" s="11">
        <v>20.0</v>
      </c>
      <c r="AC37" s="11">
        <f t="shared" si="2"/>
        <v>3090443.16</v>
      </c>
      <c r="AD37" s="12">
        <f>SUM(AC37:AC39)</f>
        <v>4480000.266</v>
      </c>
    </row>
    <row r="38" ht="14.25" customHeight="1">
      <c r="A38" s="8">
        <v>46661.0</v>
      </c>
      <c r="B38" s="9" t="s">
        <v>35</v>
      </c>
      <c r="C38" s="10">
        <v>4355.498</v>
      </c>
      <c r="D38" s="10">
        <v>4128.124</v>
      </c>
      <c r="E38" s="10">
        <v>4001.34</v>
      </c>
      <c r="F38" s="10">
        <v>3903.06</v>
      </c>
      <c r="G38" s="10">
        <v>3921.89</v>
      </c>
      <c r="H38" s="10">
        <v>3937.892</v>
      </c>
      <c r="I38" s="10">
        <v>4511.08</v>
      </c>
      <c r="J38" s="10">
        <v>5538.708</v>
      </c>
      <c r="K38" s="10">
        <v>6514.928</v>
      </c>
      <c r="L38" s="10">
        <v>7277.354</v>
      </c>
      <c r="M38" s="10">
        <v>7753.13</v>
      </c>
      <c r="N38" s="10">
        <v>7971.474</v>
      </c>
      <c r="O38" s="10">
        <v>7747.838</v>
      </c>
      <c r="P38" s="10">
        <v>7502.278</v>
      </c>
      <c r="Q38" s="10">
        <v>7333.746</v>
      </c>
      <c r="R38" s="10">
        <v>7292.866</v>
      </c>
      <c r="S38" s="10">
        <v>7205.268</v>
      </c>
      <c r="T38" s="10">
        <v>7069.118</v>
      </c>
      <c r="U38" s="10">
        <v>6905.136</v>
      </c>
      <c r="V38" s="10">
        <v>6543.642</v>
      </c>
      <c r="W38" s="10">
        <v>5986.638</v>
      </c>
      <c r="X38" s="10">
        <v>5360.334</v>
      </c>
      <c r="Y38" s="10">
        <v>4691.232</v>
      </c>
      <c r="Z38" s="10">
        <v>4210.948</v>
      </c>
      <c r="AA38" s="11">
        <f t="shared" si="1"/>
        <v>141663.522</v>
      </c>
      <c r="AB38" s="11">
        <v>5.0</v>
      </c>
      <c r="AC38" s="11">
        <f t="shared" si="2"/>
        <v>708317.61</v>
      </c>
      <c r="AD38" s="13"/>
    </row>
    <row r="39" ht="14.25" customHeight="1">
      <c r="A39" s="8">
        <v>46661.0</v>
      </c>
      <c r="B39" s="9" t="s">
        <v>36</v>
      </c>
      <c r="C39" s="10">
        <v>3899.714</v>
      </c>
      <c r="D39" s="10">
        <v>3706.038</v>
      </c>
      <c r="E39" s="10">
        <v>3527.09</v>
      </c>
      <c r="F39" s="10">
        <v>3436.16</v>
      </c>
      <c r="G39" s="10">
        <v>3359.51</v>
      </c>
      <c r="H39" s="10">
        <v>3293.598</v>
      </c>
      <c r="I39" s="10">
        <v>3400.054</v>
      </c>
      <c r="J39" s="10">
        <v>3800.678</v>
      </c>
      <c r="K39" s="10">
        <v>4327.596</v>
      </c>
      <c r="L39" s="10">
        <v>5060.328</v>
      </c>
      <c r="M39" s="10">
        <v>5652.248</v>
      </c>
      <c r="N39" s="10">
        <v>5987.324</v>
      </c>
      <c r="O39" s="10">
        <v>6102.754</v>
      </c>
      <c r="P39" s="10">
        <v>6130.6</v>
      </c>
      <c r="Q39" s="10">
        <v>6088.25</v>
      </c>
      <c r="R39" s="10">
        <v>6058.766</v>
      </c>
      <c r="S39" s="10">
        <v>5915.434</v>
      </c>
      <c r="T39" s="10">
        <v>5771.906</v>
      </c>
      <c r="U39" s="10">
        <v>5691.56</v>
      </c>
      <c r="V39" s="10">
        <v>5407.976</v>
      </c>
      <c r="W39" s="10">
        <v>4948.916</v>
      </c>
      <c r="X39" s="10">
        <v>4421.746</v>
      </c>
      <c r="Y39" s="10">
        <v>3947.454</v>
      </c>
      <c r="Z39" s="10">
        <v>3604.216</v>
      </c>
      <c r="AA39" s="11">
        <f t="shared" si="1"/>
        <v>113539.916</v>
      </c>
      <c r="AB39" s="11">
        <v>6.0</v>
      </c>
      <c r="AC39" s="11">
        <f t="shared" si="2"/>
        <v>681239.496</v>
      </c>
      <c r="AD39" s="14"/>
    </row>
    <row r="40" ht="14.25" customHeight="1">
      <c r="A40" s="8">
        <v>46692.0</v>
      </c>
      <c r="B40" s="9" t="s">
        <v>34</v>
      </c>
      <c r="C40" s="10">
        <v>4294.62</v>
      </c>
      <c r="D40" s="10">
        <v>4118.88</v>
      </c>
      <c r="E40" s="10">
        <v>4020.585</v>
      </c>
      <c r="F40" s="10">
        <v>3980.4</v>
      </c>
      <c r="G40" s="10">
        <v>4041.78</v>
      </c>
      <c r="H40" s="10">
        <v>4301.16</v>
      </c>
      <c r="I40" s="10">
        <v>5204.445</v>
      </c>
      <c r="J40" s="10">
        <v>6530.475</v>
      </c>
      <c r="K40" s="10">
        <v>7639.86</v>
      </c>
      <c r="L40" s="10">
        <v>8389.05</v>
      </c>
      <c r="M40" s="10">
        <v>8998.575</v>
      </c>
      <c r="N40" s="10">
        <v>9365.4</v>
      </c>
      <c r="O40" s="10">
        <v>9242.22</v>
      </c>
      <c r="P40" s="10">
        <v>9273.795</v>
      </c>
      <c r="Q40" s="10">
        <v>9519.51</v>
      </c>
      <c r="R40" s="10">
        <v>9523.53</v>
      </c>
      <c r="S40" s="10">
        <v>9255.09</v>
      </c>
      <c r="T40" s="10">
        <v>8637.3</v>
      </c>
      <c r="U40" s="10">
        <v>8182.215</v>
      </c>
      <c r="V40" s="10">
        <v>7665.18</v>
      </c>
      <c r="W40" s="10">
        <v>6981.63</v>
      </c>
      <c r="X40" s="10">
        <v>6204.555</v>
      </c>
      <c r="Y40" s="10">
        <v>5377.02</v>
      </c>
      <c r="Z40" s="10">
        <v>4812.18</v>
      </c>
      <c r="AA40" s="11">
        <f t="shared" si="1"/>
        <v>165559.455</v>
      </c>
      <c r="AB40" s="11">
        <v>20.0</v>
      </c>
      <c r="AC40" s="11">
        <f t="shared" si="2"/>
        <v>3311189.1</v>
      </c>
      <c r="AD40" s="12">
        <f>SUM(AC40:AC42)</f>
        <v>4648217.94</v>
      </c>
    </row>
    <row r="41" ht="14.25" customHeight="1">
      <c r="A41" s="8">
        <v>46692.0</v>
      </c>
      <c r="B41" s="9" t="s">
        <v>35</v>
      </c>
      <c r="C41" s="10">
        <v>4666.605</v>
      </c>
      <c r="D41" s="10">
        <v>4422.99</v>
      </c>
      <c r="E41" s="10">
        <v>4287.15</v>
      </c>
      <c r="F41" s="10">
        <v>4181.85</v>
      </c>
      <c r="G41" s="10">
        <v>4202.025</v>
      </c>
      <c r="H41" s="10">
        <v>4219.17</v>
      </c>
      <c r="I41" s="10">
        <v>4833.3</v>
      </c>
      <c r="J41" s="10">
        <v>5934.33</v>
      </c>
      <c r="K41" s="10">
        <v>6980.28</v>
      </c>
      <c r="L41" s="10">
        <v>7797.165</v>
      </c>
      <c r="M41" s="10">
        <v>8306.925</v>
      </c>
      <c r="N41" s="10">
        <v>8540.865</v>
      </c>
      <c r="O41" s="10">
        <v>8301.255</v>
      </c>
      <c r="P41" s="10">
        <v>8038.155</v>
      </c>
      <c r="Q41" s="10">
        <v>7857.585</v>
      </c>
      <c r="R41" s="10">
        <v>7813.785</v>
      </c>
      <c r="S41" s="10">
        <v>7719.93</v>
      </c>
      <c r="T41" s="10">
        <v>7574.055</v>
      </c>
      <c r="U41" s="10">
        <v>7398.36</v>
      </c>
      <c r="V41" s="10">
        <v>7011.045</v>
      </c>
      <c r="W41" s="10">
        <v>6414.255</v>
      </c>
      <c r="X41" s="10">
        <v>5743.215</v>
      </c>
      <c r="Y41" s="10">
        <v>5026.32</v>
      </c>
      <c r="Z41" s="10">
        <v>4511.73</v>
      </c>
      <c r="AA41" s="11">
        <f t="shared" si="1"/>
        <v>151782.345</v>
      </c>
      <c r="AB41" s="11">
        <v>4.0</v>
      </c>
      <c r="AC41" s="11">
        <f t="shared" si="2"/>
        <v>607129.38</v>
      </c>
      <c r="AD41" s="13"/>
    </row>
    <row r="42" ht="14.25" customHeight="1">
      <c r="A42" s="8">
        <v>46692.0</v>
      </c>
      <c r="B42" s="9" t="s">
        <v>36</v>
      </c>
      <c r="C42" s="10">
        <v>4178.265</v>
      </c>
      <c r="D42" s="10">
        <v>3970.755</v>
      </c>
      <c r="E42" s="10">
        <v>3779.025</v>
      </c>
      <c r="F42" s="10">
        <v>3681.6</v>
      </c>
      <c r="G42" s="10">
        <v>3599.475</v>
      </c>
      <c r="H42" s="10">
        <v>3528.855</v>
      </c>
      <c r="I42" s="10">
        <v>3642.915</v>
      </c>
      <c r="J42" s="10">
        <v>4072.155</v>
      </c>
      <c r="K42" s="10">
        <v>4636.71</v>
      </c>
      <c r="L42" s="10">
        <v>5421.78</v>
      </c>
      <c r="M42" s="10">
        <v>6055.98</v>
      </c>
      <c r="N42" s="10">
        <v>6414.99</v>
      </c>
      <c r="O42" s="10">
        <v>6538.665</v>
      </c>
      <c r="P42" s="10">
        <v>6568.5</v>
      </c>
      <c r="Q42" s="10">
        <v>6523.125</v>
      </c>
      <c r="R42" s="10">
        <v>6491.535</v>
      </c>
      <c r="S42" s="10">
        <v>6337.965</v>
      </c>
      <c r="T42" s="10">
        <v>6184.185</v>
      </c>
      <c r="U42" s="10">
        <v>6098.1</v>
      </c>
      <c r="V42" s="10">
        <v>5794.26</v>
      </c>
      <c r="W42" s="10">
        <v>5302.41</v>
      </c>
      <c r="X42" s="10">
        <v>4737.585</v>
      </c>
      <c r="Y42" s="10">
        <v>4229.415</v>
      </c>
      <c r="Z42" s="10">
        <v>3861.66</v>
      </c>
      <c r="AA42" s="11">
        <f t="shared" si="1"/>
        <v>121649.91</v>
      </c>
      <c r="AB42" s="11">
        <v>6.0</v>
      </c>
      <c r="AC42" s="11">
        <f t="shared" si="2"/>
        <v>729899.46</v>
      </c>
      <c r="AD42" s="14"/>
    </row>
    <row r="43" ht="14.25" customHeight="1">
      <c r="A43" s="8">
        <v>46722.0</v>
      </c>
      <c r="B43" s="9" t="s">
        <v>34</v>
      </c>
      <c r="C43" s="10">
        <v>4008.312</v>
      </c>
      <c r="D43" s="10">
        <v>3844.288</v>
      </c>
      <c r="E43" s="10">
        <v>3752.546</v>
      </c>
      <c r="F43" s="10">
        <v>3715.04</v>
      </c>
      <c r="G43" s="10">
        <v>3772.328</v>
      </c>
      <c r="H43" s="10">
        <v>4014.416</v>
      </c>
      <c r="I43" s="10">
        <v>4857.482</v>
      </c>
      <c r="J43" s="10">
        <v>6095.11</v>
      </c>
      <c r="K43" s="10">
        <v>7130.536</v>
      </c>
      <c r="L43" s="10">
        <v>7829.78</v>
      </c>
      <c r="M43" s="10">
        <v>8398.67</v>
      </c>
      <c r="N43" s="10">
        <v>8741.04</v>
      </c>
      <c r="O43" s="10">
        <v>8626.072</v>
      </c>
      <c r="P43" s="10">
        <v>8655.542</v>
      </c>
      <c r="Q43" s="10">
        <v>8884.876</v>
      </c>
      <c r="R43" s="10">
        <v>8888.628</v>
      </c>
      <c r="S43" s="10">
        <v>8638.084</v>
      </c>
      <c r="T43" s="10">
        <v>8061.48</v>
      </c>
      <c r="U43" s="10">
        <v>7636.734</v>
      </c>
      <c r="V43" s="10">
        <v>7154.168</v>
      </c>
      <c r="W43" s="10">
        <v>6516.188</v>
      </c>
      <c r="X43" s="10">
        <v>5790.918</v>
      </c>
      <c r="Y43" s="10">
        <v>5018.552</v>
      </c>
      <c r="Z43" s="10">
        <v>4491.368</v>
      </c>
      <c r="AA43" s="11">
        <f t="shared" si="1"/>
        <v>154522.158</v>
      </c>
      <c r="AB43" s="11">
        <v>22.0</v>
      </c>
      <c r="AC43" s="11">
        <f t="shared" si="2"/>
        <v>3399487.476</v>
      </c>
      <c r="AD43" s="12">
        <f>SUM(AC43:AC45)</f>
        <v>4505717.538</v>
      </c>
    </row>
    <row r="44" ht="14.25" customHeight="1">
      <c r="A44" s="8">
        <v>46722.0</v>
      </c>
      <c r="B44" s="9" t="s">
        <v>35</v>
      </c>
      <c r="C44" s="10">
        <v>4355.498</v>
      </c>
      <c r="D44" s="10">
        <v>4128.124</v>
      </c>
      <c r="E44" s="10">
        <v>4001.34</v>
      </c>
      <c r="F44" s="10">
        <v>3903.06</v>
      </c>
      <c r="G44" s="10">
        <v>3921.89</v>
      </c>
      <c r="H44" s="10">
        <v>3937.892</v>
      </c>
      <c r="I44" s="10">
        <v>4511.08</v>
      </c>
      <c r="J44" s="10">
        <v>5538.708</v>
      </c>
      <c r="K44" s="10">
        <v>6514.928</v>
      </c>
      <c r="L44" s="10">
        <v>7277.354</v>
      </c>
      <c r="M44" s="10">
        <v>7753.13</v>
      </c>
      <c r="N44" s="10">
        <v>7971.474</v>
      </c>
      <c r="O44" s="10">
        <v>7747.838</v>
      </c>
      <c r="P44" s="10">
        <v>7502.278</v>
      </c>
      <c r="Q44" s="10">
        <v>7333.746</v>
      </c>
      <c r="R44" s="10">
        <v>7292.866</v>
      </c>
      <c r="S44" s="10">
        <v>7205.268</v>
      </c>
      <c r="T44" s="10">
        <v>7069.118</v>
      </c>
      <c r="U44" s="10">
        <v>6905.136</v>
      </c>
      <c r="V44" s="10">
        <v>6543.642</v>
      </c>
      <c r="W44" s="10">
        <v>5986.638</v>
      </c>
      <c r="X44" s="10">
        <v>5360.334</v>
      </c>
      <c r="Y44" s="10">
        <v>4691.232</v>
      </c>
      <c r="Z44" s="10">
        <v>4210.948</v>
      </c>
      <c r="AA44" s="11">
        <f t="shared" si="1"/>
        <v>141663.522</v>
      </c>
      <c r="AB44" s="11">
        <v>3.0</v>
      </c>
      <c r="AC44" s="11">
        <f t="shared" si="2"/>
        <v>424990.566</v>
      </c>
      <c r="AD44" s="13"/>
    </row>
    <row r="45" ht="14.25" customHeight="1">
      <c r="A45" s="8">
        <v>46722.0</v>
      </c>
      <c r="B45" s="9" t="s">
        <v>36</v>
      </c>
      <c r="C45" s="10">
        <v>3899.714</v>
      </c>
      <c r="D45" s="10">
        <v>3706.038</v>
      </c>
      <c r="E45" s="10">
        <v>3527.09</v>
      </c>
      <c r="F45" s="10">
        <v>3436.16</v>
      </c>
      <c r="G45" s="10">
        <v>3359.51</v>
      </c>
      <c r="H45" s="10">
        <v>3293.598</v>
      </c>
      <c r="I45" s="10">
        <v>3400.054</v>
      </c>
      <c r="J45" s="10">
        <v>3800.678</v>
      </c>
      <c r="K45" s="10">
        <v>4327.596</v>
      </c>
      <c r="L45" s="10">
        <v>5060.328</v>
      </c>
      <c r="M45" s="10">
        <v>5652.248</v>
      </c>
      <c r="N45" s="10">
        <v>5987.324</v>
      </c>
      <c r="O45" s="10">
        <v>6102.754</v>
      </c>
      <c r="P45" s="10">
        <v>6130.6</v>
      </c>
      <c r="Q45" s="10">
        <v>6088.25</v>
      </c>
      <c r="R45" s="10">
        <v>6058.766</v>
      </c>
      <c r="S45" s="10">
        <v>5915.434</v>
      </c>
      <c r="T45" s="10">
        <v>5771.906</v>
      </c>
      <c r="U45" s="10">
        <v>5691.56</v>
      </c>
      <c r="V45" s="10">
        <v>5407.976</v>
      </c>
      <c r="W45" s="10">
        <v>4948.916</v>
      </c>
      <c r="X45" s="10">
        <v>4421.746</v>
      </c>
      <c r="Y45" s="10">
        <v>3947.454</v>
      </c>
      <c r="Z45" s="10">
        <v>3604.216</v>
      </c>
      <c r="AA45" s="11">
        <f t="shared" si="1"/>
        <v>113539.916</v>
      </c>
      <c r="AB45" s="11">
        <v>6.0</v>
      </c>
      <c r="AC45" s="11">
        <f t="shared" si="2"/>
        <v>681239.496</v>
      </c>
      <c r="AD45" s="14"/>
    </row>
    <row r="46" ht="14.25" customHeight="1">
      <c r="AB46" s="15" t="s">
        <v>32</v>
      </c>
      <c r="AC46" s="11">
        <f t="shared" ref="AC46:AD46" si="3">SUM(AC10:AC45)</f>
        <v>77783687.16</v>
      </c>
      <c r="AD46" s="11">
        <f t="shared" si="3"/>
        <v>77783687.16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6" t="s">
        <v>3</v>
      </c>
    </row>
    <row r="5" ht="14.25" customHeight="1">
      <c r="A5" s="17"/>
      <c r="B5" s="16" t="s">
        <v>37</v>
      </c>
    </row>
    <row r="6" ht="14.25" customHeight="1">
      <c r="A6" s="17"/>
      <c r="B6" s="18" t="s">
        <v>38</v>
      </c>
    </row>
    <row r="7" ht="14.25" customHeight="1">
      <c r="A7" s="17"/>
      <c r="B7" s="19" t="s">
        <v>39</v>
      </c>
    </row>
    <row r="8" ht="14.25" customHeight="1">
      <c r="A8" s="17"/>
      <c r="B8" s="20" t="s">
        <v>40</v>
      </c>
    </row>
    <row r="9" ht="14.25" customHeight="1">
      <c r="A9" s="17"/>
      <c r="B9" s="19"/>
      <c r="C9" s="19"/>
      <c r="D9" s="19"/>
      <c r="E9" s="19"/>
    </row>
    <row r="10" ht="14.25" customHeight="1">
      <c r="A10" s="17"/>
      <c r="B10" s="21" t="s">
        <v>41</v>
      </c>
      <c r="C10" s="22"/>
      <c r="D10" s="22"/>
      <c r="E10" s="22"/>
      <c r="F10" s="23"/>
    </row>
    <row r="11">
      <c r="A11" s="17"/>
      <c r="B11" s="24" t="s">
        <v>4</v>
      </c>
      <c r="C11" s="25" t="s">
        <v>42</v>
      </c>
      <c r="D11" s="26" t="s">
        <v>43</v>
      </c>
      <c r="E11" s="26" t="s">
        <v>44</v>
      </c>
      <c r="F11" s="27" t="s">
        <v>45</v>
      </c>
    </row>
    <row r="12" ht="14.25" customHeight="1">
      <c r="A12" s="17"/>
      <c r="B12" s="28">
        <v>46418.0</v>
      </c>
      <c r="C12" s="29">
        <f>'Cant. Requeridas Producto 1'!AD10</f>
        <v>8878036.048</v>
      </c>
      <c r="D12" s="30"/>
      <c r="E12" s="31">
        <f>C12*$D$12</f>
        <v>0</v>
      </c>
      <c r="F12" s="32"/>
    </row>
    <row r="13" ht="14.25" customHeight="1">
      <c r="A13" s="17"/>
      <c r="B13" s="28">
        <v>46419.0</v>
      </c>
      <c r="C13" s="29">
        <f>'Cant. Requeridas Producto 1'!AD13</f>
        <v>7782022.012</v>
      </c>
      <c r="D13" s="33"/>
      <c r="E13" s="34">
        <f t="shared" ref="E13:E23" si="1">C13*$D$13</f>
        <v>0</v>
      </c>
      <c r="F13" s="35"/>
    </row>
    <row r="14" ht="14.25" customHeight="1">
      <c r="A14" s="17"/>
      <c r="B14" s="28">
        <v>46447.0</v>
      </c>
      <c r="C14" s="29">
        <f>'Cant. Requeridas Producto 1'!AD16</f>
        <v>8903753.32</v>
      </c>
      <c r="D14" s="33"/>
      <c r="E14" s="34">
        <f t="shared" si="1"/>
        <v>0</v>
      </c>
      <c r="F14" s="35"/>
    </row>
    <row r="15" ht="14.25" customHeight="1">
      <c r="A15" s="17"/>
      <c r="B15" s="28">
        <v>46478.0</v>
      </c>
      <c r="C15" s="29">
        <f>'Cant. Requeridas Producto 1'!AD19</f>
        <v>9472074.06</v>
      </c>
      <c r="D15" s="33"/>
      <c r="E15" s="34">
        <f t="shared" si="1"/>
        <v>0</v>
      </c>
      <c r="F15" s="35"/>
    </row>
    <row r="16" ht="14.25" customHeight="1">
      <c r="A16" s="17"/>
      <c r="B16" s="28">
        <v>46508.0</v>
      </c>
      <c r="C16" s="36">
        <f>'Cant. Requeridas Producto 1'!AD22</f>
        <v>5671149.966</v>
      </c>
      <c r="D16" s="33"/>
      <c r="E16" s="34">
        <f t="shared" si="1"/>
        <v>0</v>
      </c>
      <c r="F16" s="35"/>
    </row>
    <row r="17" ht="14.25" customHeight="1">
      <c r="A17" s="17"/>
      <c r="B17" s="28">
        <v>46539.0</v>
      </c>
      <c r="C17" s="36">
        <f>'Cant. Requeridas Producto 1'!AD25</f>
        <v>5943361.481</v>
      </c>
      <c r="D17" s="33"/>
      <c r="E17" s="34">
        <f t="shared" si="1"/>
        <v>0</v>
      </c>
      <c r="F17" s="35"/>
    </row>
    <row r="18" ht="14.25" customHeight="1">
      <c r="A18" s="17"/>
      <c r="B18" s="28">
        <v>46569.0</v>
      </c>
      <c r="C18" s="36">
        <f>'Cant. Requeridas Producto 1'!AD28</f>
        <v>5760000.342</v>
      </c>
      <c r="D18" s="33"/>
      <c r="E18" s="34">
        <f t="shared" si="1"/>
        <v>0</v>
      </c>
      <c r="F18" s="35"/>
    </row>
    <row r="19" ht="14.25" customHeight="1">
      <c r="A19" s="17"/>
      <c r="B19" s="28">
        <v>46600.0</v>
      </c>
      <c r="C19" s="36">
        <f>'Cant. Requeridas Producto 1'!AD31</f>
        <v>5740373.952</v>
      </c>
      <c r="D19" s="33"/>
      <c r="E19" s="34">
        <f t="shared" si="1"/>
        <v>0</v>
      </c>
      <c r="F19" s="35"/>
    </row>
    <row r="20" ht="14.25" customHeight="1">
      <c r="A20" s="17"/>
      <c r="B20" s="28">
        <v>46631.0</v>
      </c>
      <c r="C20" s="36">
        <f>'Cant. Requeridas Producto 1'!AD34</f>
        <v>5998980.238</v>
      </c>
      <c r="D20" s="33"/>
      <c r="E20" s="34">
        <f t="shared" si="1"/>
        <v>0</v>
      </c>
      <c r="F20" s="35"/>
    </row>
    <row r="21" ht="14.25" customHeight="1">
      <c r="A21" s="17"/>
      <c r="B21" s="28">
        <v>46661.0</v>
      </c>
      <c r="C21" s="36">
        <f>'Cant. Requeridas Producto 1'!AD37</f>
        <v>4480000.266</v>
      </c>
      <c r="D21" s="33"/>
      <c r="E21" s="34">
        <f t="shared" si="1"/>
        <v>0</v>
      </c>
      <c r="F21" s="35"/>
    </row>
    <row r="22" ht="14.25" customHeight="1">
      <c r="A22" s="17"/>
      <c r="B22" s="28">
        <v>46692.0</v>
      </c>
      <c r="C22" s="29">
        <f>'Cant. Requeridas Producto 1'!AD40</f>
        <v>4648217.94</v>
      </c>
      <c r="D22" s="33"/>
      <c r="E22" s="34">
        <f t="shared" si="1"/>
        <v>0</v>
      </c>
      <c r="F22" s="35"/>
    </row>
    <row r="23" ht="14.25" customHeight="1">
      <c r="A23" s="17"/>
      <c r="B23" s="28">
        <v>46722.0</v>
      </c>
      <c r="C23" s="29">
        <f>'Cant. Requeridas Producto 1'!AD43</f>
        <v>4505717.538</v>
      </c>
      <c r="D23" s="37"/>
      <c r="E23" s="38">
        <f t="shared" si="1"/>
        <v>0</v>
      </c>
      <c r="F23" s="39"/>
    </row>
    <row r="24" ht="14.25" customHeight="1">
      <c r="A24" s="17"/>
      <c r="B24" s="40" t="s">
        <v>32</v>
      </c>
      <c r="C24" s="41">
        <f>SUM(C12:C23)</f>
        <v>77783687.16</v>
      </c>
      <c r="D24" s="42"/>
      <c r="E24" s="43">
        <f>SUM(E12:E23)</f>
        <v>0</v>
      </c>
      <c r="F24" s="42"/>
    </row>
    <row r="25" ht="14.25" customHeight="1">
      <c r="A25" s="17"/>
      <c r="B25" s="19"/>
      <c r="C25" s="44"/>
      <c r="D25" s="19"/>
      <c r="E25" s="19"/>
    </row>
    <row r="26" ht="14.25" customHeight="1">
      <c r="C26" s="45"/>
    </row>
    <row r="27" ht="30.0" customHeight="1">
      <c r="B27" s="46" t="s">
        <v>46</v>
      </c>
      <c r="E27" s="47"/>
    </row>
    <row r="28" ht="45.0" customHeight="1">
      <c r="B28" s="46" t="s">
        <v>47</v>
      </c>
      <c r="I28" s="46"/>
    </row>
    <row r="29" ht="44.25" customHeight="1">
      <c r="B29" s="46" t="s">
        <v>48</v>
      </c>
      <c r="I29" s="46"/>
    </row>
    <row r="30" ht="14.25" customHeight="1">
      <c r="B30" s="48"/>
    </row>
    <row r="31" ht="14.25" customHeight="1"/>
    <row r="32" ht="14.25" customHeight="1"/>
    <row r="33" ht="14.25" customHeight="1">
      <c r="B33" s="49"/>
      <c r="C33" s="49"/>
    </row>
    <row r="34" ht="14.25" customHeight="1">
      <c r="B34" s="5" t="s">
        <v>49</v>
      </c>
    </row>
    <row r="35" ht="14.25" customHeight="1">
      <c r="B35" s="5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2">
    <mergeCell ref="B28:E28"/>
    <mergeCell ref="I28:N28"/>
    <mergeCell ref="I29:N29"/>
    <mergeCell ref="B29:E29"/>
    <mergeCell ref="B30:E30"/>
    <mergeCell ref="A4:F4"/>
    <mergeCell ref="B5:E5"/>
    <mergeCell ref="B6:E6"/>
    <mergeCell ref="B7:E7"/>
    <mergeCell ref="B8:E8"/>
    <mergeCell ref="B10:F10"/>
    <mergeCell ref="B27:D2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2" t="s">
        <v>51</v>
      </c>
      <c r="AD2" s="1"/>
    </row>
    <row r="3" ht="14.25" customHeight="1">
      <c r="A3" s="1" t="s">
        <v>52</v>
      </c>
      <c r="AD3" s="1"/>
    </row>
    <row r="4" ht="14.25" customHeight="1">
      <c r="A4" s="2" t="s">
        <v>3</v>
      </c>
      <c r="AD4" s="1"/>
    </row>
    <row r="5" ht="14.25" customHeight="1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  <c r="AA5" s="5"/>
      <c r="AB5" s="5"/>
    </row>
    <row r="6" ht="14.25" customHeight="1">
      <c r="A6" s="3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5"/>
      <c r="X6" s="5"/>
      <c r="Y6" s="5"/>
      <c r="Z6" s="5"/>
      <c r="AA6" s="5"/>
      <c r="AB6" s="5"/>
    </row>
    <row r="7" ht="14.25" customHeight="1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4.25" customHeight="1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</row>
    <row r="10" ht="14.25" customHeight="1">
      <c r="A10" s="8">
        <v>46753.0</v>
      </c>
      <c r="B10" s="9" t="s">
        <v>34</v>
      </c>
      <c r="C10" s="10">
        <v>4294.61388</v>
      </c>
      <c r="D10" s="10">
        <v>4118.878142</v>
      </c>
      <c r="E10" s="10">
        <v>4020.581426</v>
      </c>
      <c r="F10" s="10">
        <v>3980.399842</v>
      </c>
      <c r="G10" s="10">
        <v>4041.778922</v>
      </c>
      <c r="H10" s="10">
        <v>4301.166516</v>
      </c>
      <c r="I10" s="10">
        <v>5204.449716</v>
      </c>
      <c r="J10" s="10">
        <v>6530.470889</v>
      </c>
      <c r="K10" s="10">
        <v>7639.854629</v>
      </c>
      <c r="L10" s="10">
        <v>8389.049933</v>
      </c>
      <c r="M10" s="10">
        <v>8998.572936</v>
      </c>
      <c r="N10" s="10">
        <v>9365.406391</v>
      </c>
      <c r="O10" s="10">
        <v>9242.214451</v>
      </c>
      <c r="P10" s="10">
        <v>9273.794402</v>
      </c>
      <c r="Q10" s="10">
        <v>9519.513845</v>
      </c>
      <c r="R10" s="10">
        <v>9523.532023</v>
      </c>
      <c r="S10" s="10">
        <v>9255.090259</v>
      </c>
      <c r="T10" s="10">
        <v>8637.295051</v>
      </c>
      <c r="U10" s="10">
        <v>8182.21691</v>
      </c>
      <c r="V10" s="10">
        <v>7665.17466</v>
      </c>
      <c r="W10" s="10">
        <v>6981.633214</v>
      </c>
      <c r="X10" s="10">
        <v>6204.548904</v>
      </c>
      <c r="Y10" s="10">
        <v>5377.026461</v>
      </c>
      <c r="Z10" s="10">
        <v>4812.175114</v>
      </c>
      <c r="AA10" s="11">
        <f t="shared" ref="AA10:AA45" si="1">SUM(C10:Z10)</f>
        <v>165559.4385</v>
      </c>
      <c r="AB10" s="50">
        <v>20.0</v>
      </c>
      <c r="AC10" s="11">
        <f t="shared" ref="AC10:AC45" si="2">AA10*AB10</f>
        <v>3311188.77</v>
      </c>
      <c r="AD10" s="12">
        <f>SUM(AC10:AC12)</f>
        <v>4769867.584</v>
      </c>
    </row>
    <row r="11" ht="14.25" customHeight="1">
      <c r="A11" s="8">
        <v>46753.0</v>
      </c>
      <c r="B11" s="9" t="s">
        <v>35</v>
      </c>
      <c r="C11" s="10">
        <v>4666.610928</v>
      </c>
      <c r="D11" s="10">
        <v>4422.990965</v>
      </c>
      <c r="E11" s="10">
        <v>4287.150379</v>
      </c>
      <c r="F11" s="10">
        <v>4181.845697</v>
      </c>
      <c r="G11" s="10">
        <v>4202.022984</v>
      </c>
      <c r="H11" s="10">
        <v>4219.166986</v>
      </c>
      <c r="I11" s="10">
        <v>4833.294691</v>
      </c>
      <c r="J11" s="10">
        <v>5934.327614</v>
      </c>
      <c r="K11" s="10">
        <v>6980.27849</v>
      </c>
      <c r="L11" s="10">
        <v>7797.16567</v>
      </c>
      <c r="M11" s="10">
        <v>8306.924798</v>
      </c>
      <c r="N11" s="10">
        <v>8540.863262</v>
      </c>
      <c r="O11" s="10">
        <v>8301.253296</v>
      </c>
      <c r="P11" s="10">
        <v>8038.161689</v>
      </c>
      <c r="Q11" s="10">
        <v>7857.579014</v>
      </c>
      <c r="R11" s="10">
        <v>7813.787297</v>
      </c>
      <c r="S11" s="10">
        <v>7719.932066</v>
      </c>
      <c r="T11" s="10">
        <v>7574.05661</v>
      </c>
      <c r="U11" s="10">
        <v>7398.36517</v>
      </c>
      <c r="V11" s="10">
        <v>7011.042655</v>
      </c>
      <c r="W11" s="10">
        <v>6414.249902</v>
      </c>
      <c r="X11" s="10">
        <v>5743.21074</v>
      </c>
      <c r="Y11" s="10">
        <v>5026.323283</v>
      </c>
      <c r="Z11" s="10">
        <v>4511.73438</v>
      </c>
      <c r="AA11" s="11">
        <f t="shared" si="1"/>
        <v>151782.3386</v>
      </c>
      <c r="AB11" s="50">
        <v>4.0</v>
      </c>
      <c r="AC11" s="11">
        <f t="shared" si="2"/>
        <v>607129.3543</v>
      </c>
      <c r="AD11" s="13"/>
    </row>
    <row r="12" ht="14.25" customHeight="1">
      <c r="A12" s="8">
        <v>46753.0</v>
      </c>
      <c r="B12" s="9" t="s">
        <v>36</v>
      </c>
      <c r="C12" s="10">
        <v>4178.27028</v>
      </c>
      <c r="D12" s="10">
        <v>3970.747973</v>
      </c>
      <c r="E12" s="10">
        <v>3779.019833</v>
      </c>
      <c r="F12" s="10">
        <v>3681.606746</v>
      </c>
      <c r="G12" s="10">
        <v>3599.472034</v>
      </c>
      <c r="H12" s="10">
        <v>3528.852622</v>
      </c>
      <c r="I12" s="10">
        <v>3642.921355</v>
      </c>
      <c r="J12" s="10">
        <v>4072.1535</v>
      </c>
      <c r="K12" s="10">
        <v>4636.702757</v>
      </c>
      <c r="L12" s="10">
        <v>5421.779926</v>
      </c>
      <c r="M12" s="10">
        <v>6055.983955</v>
      </c>
      <c r="N12" s="10">
        <v>6414.996151</v>
      </c>
      <c r="O12" s="10">
        <v>6538.661882</v>
      </c>
      <c r="P12" s="10">
        <v>6568.502014</v>
      </c>
      <c r="Q12" s="10">
        <v>6523.130002</v>
      </c>
      <c r="R12" s="10">
        <v>6491.54167</v>
      </c>
      <c r="S12" s="10">
        <v>6337.965571</v>
      </c>
      <c r="T12" s="10">
        <v>6184.18645</v>
      </c>
      <c r="U12" s="10">
        <v>6098.099904</v>
      </c>
      <c r="V12" s="10">
        <v>5794.258644</v>
      </c>
      <c r="W12" s="10">
        <v>5302.415009</v>
      </c>
      <c r="X12" s="10">
        <v>4737.579324</v>
      </c>
      <c r="Y12" s="10">
        <v>4229.42244</v>
      </c>
      <c r="Z12" s="10">
        <v>3861.652778</v>
      </c>
      <c r="AA12" s="11">
        <f t="shared" si="1"/>
        <v>121649.9228</v>
      </c>
      <c r="AB12" s="50">
        <v>7.0</v>
      </c>
      <c r="AC12" s="11">
        <f t="shared" si="2"/>
        <v>851549.4597</v>
      </c>
      <c r="AD12" s="14"/>
    </row>
    <row r="13" ht="14.25" customHeight="1">
      <c r="A13" s="8">
        <v>46784.0</v>
      </c>
      <c r="B13" s="9" t="s">
        <v>34</v>
      </c>
      <c r="C13" s="10">
        <v>4294.61388</v>
      </c>
      <c r="D13" s="10">
        <v>4118.878142</v>
      </c>
      <c r="E13" s="10">
        <v>4020.581426</v>
      </c>
      <c r="F13" s="10">
        <v>3980.399842</v>
      </c>
      <c r="G13" s="10">
        <v>4041.778922</v>
      </c>
      <c r="H13" s="10">
        <v>4301.166516</v>
      </c>
      <c r="I13" s="10">
        <v>5204.449716</v>
      </c>
      <c r="J13" s="10">
        <v>6530.470889</v>
      </c>
      <c r="K13" s="10">
        <v>7639.854629</v>
      </c>
      <c r="L13" s="10">
        <v>8389.049933</v>
      </c>
      <c r="M13" s="10">
        <v>8998.572936</v>
      </c>
      <c r="N13" s="10">
        <v>9365.406391</v>
      </c>
      <c r="O13" s="10">
        <v>9242.214451</v>
      </c>
      <c r="P13" s="10">
        <v>9273.794402</v>
      </c>
      <c r="Q13" s="10">
        <v>9519.513845</v>
      </c>
      <c r="R13" s="10">
        <v>9523.532023</v>
      </c>
      <c r="S13" s="10">
        <v>9255.090259</v>
      </c>
      <c r="T13" s="10">
        <v>8637.295051</v>
      </c>
      <c r="U13" s="10">
        <v>8182.21691</v>
      </c>
      <c r="V13" s="10">
        <v>7665.17466</v>
      </c>
      <c r="W13" s="10">
        <v>6981.633214</v>
      </c>
      <c r="X13" s="10">
        <v>6204.548904</v>
      </c>
      <c r="Y13" s="10">
        <v>5377.026461</v>
      </c>
      <c r="Z13" s="10">
        <v>4812.175114</v>
      </c>
      <c r="AA13" s="11">
        <f t="shared" si="1"/>
        <v>165559.4385</v>
      </c>
      <c r="AB13" s="50">
        <v>21.0</v>
      </c>
      <c r="AC13" s="11">
        <f t="shared" si="2"/>
        <v>3476748.209</v>
      </c>
      <c r="AD13" s="12">
        <f>SUM(AC13:AC15)</f>
        <v>4570477.254</v>
      </c>
    </row>
    <row r="14" ht="14.25" customHeight="1">
      <c r="A14" s="8">
        <v>46784.0</v>
      </c>
      <c r="B14" s="9" t="s">
        <v>35</v>
      </c>
      <c r="C14" s="10">
        <v>4666.610928</v>
      </c>
      <c r="D14" s="10">
        <v>4422.990965</v>
      </c>
      <c r="E14" s="10">
        <v>4287.150379</v>
      </c>
      <c r="F14" s="10">
        <v>4181.845697</v>
      </c>
      <c r="G14" s="10">
        <v>4202.022984</v>
      </c>
      <c r="H14" s="10">
        <v>4219.166986</v>
      </c>
      <c r="I14" s="10">
        <v>4833.294691</v>
      </c>
      <c r="J14" s="10">
        <v>5934.327614</v>
      </c>
      <c r="K14" s="10">
        <v>6980.27849</v>
      </c>
      <c r="L14" s="10">
        <v>7797.16567</v>
      </c>
      <c r="M14" s="10">
        <v>8306.924798</v>
      </c>
      <c r="N14" s="10">
        <v>8540.863262</v>
      </c>
      <c r="O14" s="10">
        <v>8301.253296</v>
      </c>
      <c r="P14" s="10">
        <v>8038.161689</v>
      </c>
      <c r="Q14" s="10">
        <v>7857.579014</v>
      </c>
      <c r="R14" s="10">
        <v>7813.787297</v>
      </c>
      <c r="S14" s="10">
        <v>7719.932066</v>
      </c>
      <c r="T14" s="10">
        <v>7574.05661</v>
      </c>
      <c r="U14" s="10">
        <v>7398.36517</v>
      </c>
      <c r="V14" s="10">
        <v>7011.042655</v>
      </c>
      <c r="W14" s="10">
        <v>6414.249902</v>
      </c>
      <c r="X14" s="10">
        <v>5743.21074</v>
      </c>
      <c r="Y14" s="10">
        <v>5026.323283</v>
      </c>
      <c r="Z14" s="10">
        <v>4511.73438</v>
      </c>
      <c r="AA14" s="11">
        <f t="shared" si="1"/>
        <v>151782.3386</v>
      </c>
      <c r="AB14" s="50">
        <v>4.0</v>
      </c>
      <c r="AC14" s="11">
        <f t="shared" si="2"/>
        <v>607129.3543</v>
      </c>
      <c r="AD14" s="13"/>
    </row>
    <row r="15" ht="14.25" customHeight="1">
      <c r="A15" s="8">
        <v>46784.0</v>
      </c>
      <c r="B15" s="9" t="s">
        <v>36</v>
      </c>
      <c r="C15" s="10">
        <v>4178.27028</v>
      </c>
      <c r="D15" s="10">
        <v>3970.747973</v>
      </c>
      <c r="E15" s="10">
        <v>3779.019833</v>
      </c>
      <c r="F15" s="10">
        <v>3681.606746</v>
      </c>
      <c r="G15" s="10">
        <v>3599.472034</v>
      </c>
      <c r="H15" s="10">
        <v>3528.852622</v>
      </c>
      <c r="I15" s="10">
        <v>3642.921355</v>
      </c>
      <c r="J15" s="10">
        <v>4072.1535</v>
      </c>
      <c r="K15" s="10">
        <v>4636.702757</v>
      </c>
      <c r="L15" s="10">
        <v>5421.779926</v>
      </c>
      <c r="M15" s="10">
        <v>6055.983955</v>
      </c>
      <c r="N15" s="10">
        <v>6414.996151</v>
      </c>
      <c r="O15" s="10">
        <v>6538.661882</v>
      </c>
      <c r="P15" s="10">
        <v>6568.502014</v>
      </c>
      <c r="Q15" s="10">
        <v>6523.130002</v>
      </c>
      <c r="R15" s="10">
        <v>6491.54167</v>
      </c>
      <c r="S15" s="10">
        <v>6337.965571</v>
      </c>
      <c r="T15" s="10">
        <v>6184.18645</v>
      </c>
      <c r="U15" s="10">
        <v>6098.099904</v>
      </c>
      <c r="V15" s="10">
        <v>5794.258644</v>
      </c>
      <c r="W15" s="10">
        <v>5302.415009</v>
      </c>
      <c r="X15" s="10">
        <v>4737.579324</v>
      </c>
      <c r="Y15" s="10">
        <v>4229.42244</v>
      </c>
      <c r="Z15" s="10">
        <v>3861.652778</v>
      </c>
      <c r="AA15" s="11">
        <f t="shared" si="1"/>
        <v>121649.9228</v>
      </c>
      <c r="AB15" s="50">
        <v>4.0</v>
      </c>
      <c r="AC15" s="11">
        <f t="shared" si="2"/>
        <v>486599.6913</v>
      </c>
      <c r="AD15" s="14"/>
    </row>
    <row r="16" ht="14.25" customHeight="1">
      <c r="A16" s="8">
        <v>46813.0</v>
      </c>
      <c r="B16" s="9" t="s">
        <v>34</v>
      </c>
      <c r="C16" s="10">
        <v>4473.556125</v>
      </c>
      <c r="D16" s="10">
        <v>4290.498065</v>
      </c>
      <c r="E16" s="10">
        <v>4188.105653</v>
      </c>
      <c r="F16" s="10">
        <v>4146.249835</v>
      </c>
      <c r="G16" s="10">
        <v>4210.186378</v>
      </c>
      <c r="H16" s="10">
        <v>4480.381788</v>
      </c>
      <c r="I16" s="10">
        <v>5421.301788</v>
      </c>
      <c r="J16" s="10">
        <v>6802.573843</v>
      </c>
      <c r="K16" s="10">
        <v>7958.181905</v>
      </c>
      <c r="L16" s="10">
        <v>8738.59368</v>
      </c>
      <c r="M16" s="10">
        <v>9373.513475</v>
      </c>
      <c r="N16" s="10">
        <v>9755.631658</v>
      </c>
      <c r="O16" s="10">
        <v>9627.30672</v>
      </c>
      <c r="P16" s="10">
        <v>9660.202503</v>
      </c>
      <c r="Q16" s="10">
        <v>9916.160255</v>
      </c>
      <c r="R16" s="10">
        <v>9920.345858</v>
      </c>
      <c r="S16" s="10">
        <v>9640.71902</v>
      </c>
      <c r="T16" s="10">
        <v>8997.182345</v>
      </c>
      <c r="U16" s="10">
        <v>8523.142615</v>
      </c>
      <c r="V16" s="10">
        <v>7984.556938</v>
      </c>
      <c r="W16" s="10">
        <v>7272.534598</v>
      </c>
      <c r="X16" s="10">
        <v>6463.071775</v>
      </c>
      <c r="Y16" s="10">
        <v>5601.06923</v>
      </c>
      <c r="Z16" s="10">
        <v>5012.68241</v>
      </c>
      <c r="AA16" s="11">
        <f t="shared" si="1"/>
        <v>172457.7485</v>
      </c>
      <c r="AB16" s="50">
        <v>22.0</v>
      </c>
      <c r="AC16" s="11">
        <f t="shared" si="2"/>
        <v>3794070.466</v>
      </c>
      <c r="AD16" s="12">
        <f>SUM(AC16:AC18)</f>
        <v>5060090.225</v>
      </c>
    </row>
    <row r="17" ht="14.25" customHeight="1">
      <c r="A17" s="8">
        <v>46813.0</v>
      </c>
      <c r="B17" s="9" t="s">
        <v>35</v>
      </c>
      <c r="C17" s="10">
        <v>4861.05305</v>
      </c>
      <c r="D17" s="10">
        <v>4607.282255</v>
      </c>
      <c r="E17" s="10">
        <v>4465.781645</v>
      </c>
      <c r="F17" s="10">
        <v>4356.089268</v>
      </c>
      <c r="G17" s="10">
        <v>4377.107275</v>
      </c>
      <c r="H17" s="10">
        <v>4394.96561</v>
      </c>
      <c r="I17" s="10">
        <v>5034.68197</v>
      </c>
      <c r="J17" s="10">
        <v>6181.591265</v>
      </c>
      <c r="K17" s="10">
        <v>7271.123428</v>
      </c>
      <c r="L17" s="10">
        <v>8122.047573</v>
      </c>
      <c r="M17" s="10">
        <v>8653.046665</v>
      </c>
      <c r="N17" s="10">
        <v>8896.732565</v>
      </c>
      <c r="O17" s="10">
        <v>8647.13885</v>
      </c>
      <c r="P17" s="10">
        <v>8373.085093</v>
      </c>
      <c r="Q17" s="10">
        <v>8184.97814</v>
      </c>
      <c r="R17" s="10">
        <v>8139.361768</v>
      </c>
      <c r="S17" s="10">
        <v>8041.595903</v>
      </c>
      <c r="T17" s="10">
        <v>7889.642303</v>
      </c>
      <c r="U17" s="10">
        <v>7706.630385</v>
      </c>
      <c r="V17" s="10">
        <v>7303.169433</v>
      </c>
      <c r="W17" s="10">
        <v>6681.510315</v>
      </c>
      <c r="X17" s="10">
        <v>5982.511188</v>
      </c>
      <c r="Y17" s="10">
        <v>5235.75342</v>
      </c>
      <c r="Z17" s="10">
        <v>4699.723313</v>
      </c>
      <c r="AA17" s="11">
        <f t="shared" si="1"/>
        <v>158106.6027</v>
      </c>
      <c r="AB17" s="50">
        <v>4.0</v>
      </c>
      <c r="AC17" s="11">
        <f t="shared" si="2"/>
        <v>632426.4107</v>
      </c>
      <c r="AD17" s="13"/>
    </row>
    <row r="18" ht="14.25" customHeight="1">
      <c r="A18" s="8">
        <v>46813.0</v>
      </c>
      <c r="B18" s="9" t="s">
        <v>36</v>
      </c>
      <c r="C18" s="10">
        <v>4352.364875</v>
      </c>
      <c r="D18" s="10">
        <v>4136.195805</v>
      </c>
      <c r="E18" s="10">
        <v>3936.478993</v>
      </c>
      <c r="F18" s="10">
        <v>3835.007028</v>
      </c>
      <c r="G18" s="10">
        <v>3749.450035</v>
      </c>
      <c r="H18" s="10">
        <v>3675.888148</v>
      </c>
      <c r="I18" s="10">
        <v>3794.709745</v>
      </c>
      <c r="J18" s="10">
        <v>4241.826563</v>
      </c>
      <c r="K18" s="10">
        <v>4829.898705</v>
      </c>
      <c r="L18" s="10">
        <v>5647.687423</v>
      </c>
      <c r="M18" s="10">
        <v>6308.31662</v>
      </c>
      <c r="N18" s="10">
        <v>6682.287658</v>
      </c>
      <c r="O18" s="10">
        <v>6811.106128</v>
      </c>
      <c r="P18" s="10">
        <v>6842.189598</v>
      </c>
      <c r="Q18" s="10">
        <v>6794.927085</v>
      </c>
      <c r="R18" s="10">
        <v>6762.022573</v>
      </c>
      <c r="S18" s="10">
        <v>6602.04747</v>
      </c>
      <c r="T18" s="10">
        <v>6441.860885</v>
      </c>
      <c r="U18" s="10">
        <v>6352.1874</v>
      </c>
      <c r="V18" s="10">
        <v>6035.686088</v>
      </c>
      <c r="W18" s="10">
        <v>5523.348968</v>
      </c>
      <c r="X18" s="10">
        <v>4934.978463</v>
      </c>
      <c r="Y18" s="10">
        <v>4405.648375</v>
      </c>
      <c r="Z18" s="10">
        <v>4022.554978</v>
      </c>
      <c r="AA18" s="11">
        <f t="shared" si="1"/>
        <v>126718.6696</v>
      </c>
      <c r="AB18" s="50">
        <v>5.0</v>
      </c>
      <c r="AC18" s="11">
        <f t="shared" si="2"/>
        <v>633593.348</v>
      </c>
      <c r="AD18" s="14"/>
    </row>
    <row r="19" ht="14.25" customHeight="1">
      <c r="A19" s="8">
        <v>46844.0</v>
      </c>
      <c r="B19" s="9" t="s">
        <v>34</v>
      </c>
      <c r="C19" s="10">
        <v>4473.556125</v>
      </c>
      <c r="D19" s="10">
        <v>4290.498065</v>
      </c>
      <c r="E19" s="10">
        <v>4188.105653</v>
      </c>
      <c r="F19" s="10">
        <v>4146.249835</v>
      </c>
      <c r="G19" s="10">
        <v>4210.186378</v>
      </c>
      <c r="H19" s="10">
        <v>4480.381788</v>
      </c>
      <c r="I19" s="10">
        <v>5421.301788</v>
      </c>
      <c r="J19" s="10">
        <v>6802.573843</v>
      </c>
      <c r="K19" s="10">
        <v>7958.181905</v>
      </c>
      <c r="L19" s="10">
        <v>8738.59368</v>
      </c>
      <c r="M19" s="10">
        <v>9373.513475</v>
      </c>
      <c r="N19" s="10">
        <v>9755.631658</v>
      </c>
      <c r="O19" s="10">
        <v>9627.30672</v>
      </c>
      <c r="P19" s="10">
        <v>9660.202503</v>
      </c>
      <c r="Q19" s="10">
        <v>9916.160255</v>
      </c>
      <c r="R19" s="10">
        <v>9920.345858</v>
      </c>
      <c r="S19" s="10">
        <v>9640.71902</v>
      </c>
      <c r="T19" s="10">
        <v>8997.182345</v>
      </c>
      <c r="U19" s="10">
        <v>8523.142615</v>
      </c>
      <c r="V19" s="10">
        <v>7984.556938</v>
      </c>
      <c r="W19" s="10">
        <v>7272.534598</v>
      </c>
      <c r="X19" s="10">
        <v>6463.071775</v>
      </c>
      <c r="Y19" s="10">
        <v>5601.06923</v>
      </c>
      <c r="Z19" s="10">
        <v>5012.68241</v>
      </c>
      <c r="AA19" s="11">
        <f t="shared" si="1"/>
        <v>172457.7485</v>
      </c>
      <c r="AB19" s="50">
        <v>18.0</v>
      </c>
      <c r="AC19" s="11">
        <f t="shared" si="2"/>
        <v>3104239.472</v>
      </c>
      <c r="AD19" s="12">
        <f>SUM(AC19:AC21)</f>
        <v>4781803.173</v>
      </c>
    </row>
    <row r="20" ht="14.25" customHeight="1">
      <c r="A20" s="8">
        <v>46844.0</v>
      </c>
      <c r="B20" s="9" t="s">
        <v>35</v>
      </c>
      <c r="C20" s="10">
        <v>4861.05305</v>
      </c>
      <c r="D20" s="10">
        <v>4607.282255</v>
      </c>
      <c r="E20" s="10">
        <v>4465.781645</v>
      </c>
      <c r="F20" s="10">
        <v>4356.089268</v>
      </c>
      <c r="G20" s="10">
        <v>4377.107275</v>
      </c>
      <c r="H20" s="10">
        <v>4394.96561</v>
      </c>
      <c r="I20" s="10">
        <v>5034.68197</v>
      </c>
      <c r="J20" s="10">
        <v>6181.591265</v>
      </c>
      <c r="K20" s="10">
        <v>7271.123428</v>
      </c>
      <c r="L20" s="10">
        <v>8122.047573</v>
      </c>
      <c r="M20" s="10">
        <v>8653.046665</v>
      </c>
      <c r="N20" s="10">
        <v>8896.732565</v>
      </c>
      <c r="O20" s="10">
        <v>8647.13885</v>
      </c>
      <c r="P20" s="10">
        <v>8373.085093</v>
      </c>
      <c r="Q20" s="10">
        <v>8184.97814</v>
      </c>
      <c r="R20" s="10">
        <v>8139.361768</v>
      </c>
      <c r="S20" s="10">
        <v>8041.595903</v>
      </c>
      <c r="T20" s="10">
        <v>7889.642303</v>
      </c>
      <c r="U20" s="10">
        <v>7706.630385</v>
      </c>
      <c r="V20" s="10">
        <v>7303.169433</v>
      </c>
      <c r="W20" s="10">
        <v>6681.510315</v>
      </c>
      <c r="X20" s="10">
        <v>5982.511188</v>
      </c>
      <c r="Y20" s="10">
        <v>5235.75342</v>
      </c>
      <c r="Z20" s="10">
        <v>4699.723313</v>
      </c>
      <c r="AA20" s="11">
        <f t="shared" si="1"/>
        <v>158106.6027</v>
      </c>
      <c r="AB20" s="50">
        <v>5.0</v>
      </c>
      <c r="AC20" s="11">
        <f t="shared" si="2"/>
        <v>790533.0134</v>
      </c>
      <c r="AD20" s="13"/>
    </row>
    <row r="21" ht="14.25" customHeight="1">
      <c r="A21" s="8">
        <v>46844.0</v>
      </c>
      <c r="B21" s="9" t="s">
        <v>36</v>
      </c>
      <c r="C21" s="10">
        <v>4352.364875</v>
      </c>
      <c r="D21" s="10">
        <v>4136.195805</v>
      </c>
      <c r="E21" s="10">
        <v>3936.478993</v>
      </c>
      <c r="F21" s="10">
        <v>3835.007028</v>
      </c>
      <c r="G21" s="10">
        <v>3749.450035</v>
      </c>
      <c r="H21" s="10">
        <v>3675.888148</v>
      </c>
      <c r="I21" s="10">
        <v>3794.709745</v>
      </c>
      <c r="J21" s="10">
        <v>4241.826563</v>
      </c>
      <c r="K21" s="10">
        <v>4829.898705</v>
      </c>
      <c r="L21" s="10">
        <v>5647.687423</v>
      </c>
      <c r="M21" s="10">
        <v>6308.31662</v>
      </c>
      <c r="N21" s="10">
        <v>6682.287658</v>
      </c>
      <c r="O21" s="10">
        <v>6811.106128</v>
      </c>
      <c r="P21" s="10">
        <v>6842.189598</v>
      </c>
      <c r="Q21" s="10">
        <v>6794.927085</v>
      </c>
      <c r="R21" s="10">
        <v>6762.022573</v>
      </c>
      <c r="S21" s="10">
        <v>6602.04747</v>
      </c>
      <c r="T21" s="10">
        <v>6441.860885</v>
      </c>
      <c r="U21" s="10">
        <v>6352.1874</v>
      </c>
      <c r="V21" s="10">
        <v>6035.686088</v>
      </c>
      <c r="W21" s="10">
        <v>5523.348968</v>
      </c>
      <c r="X21" s="10">
        <v>4934.978463</v>
      </c>
      <c r="Y21" s="10">
        <v>4405.648375</v>
      </c>
      <c r="Z21" s="10">
        <v>4022.554978</v>
      </c>
      <c r="AA21" s="11">
        <f t="shared" si="1"/>
        <v>126718.6696</v>
      </c>
      <c r="AB21" s="50">
        <v>7.0</v>
      </c>
      <c r="AC21" s="11">
        <f t="shared" si="2"/>
        <v>887030.6873</v>
      </c>
      <c r="AD21" s="14"/>
    </row>
    <row r="22" ht="14.25" customHeight="1">
      <c r="A22" s="8">
        <v>46874.0</v>
      </c>
      <c r="B22" s="9" t="s">
        <v>34</v>
      </c>
      <c r="C22" s="10">
        <v>2863.07592</v>
      </c>
      <c r="D22" s="10">
        <v>2745.918762</v>
      </c>
      <c r="E22" s="10">
        <v>2680.387618</v>
      </c>
      <c r="F22" s="10">
        <v>2653.599894</v>
      </c>
      <c r="G22" s="10">
        <v>2694.519282</v>
      </c>
      <c r="H22" s="10">
        <v>2867.444344</v>
      </c>
      <c r="I22" s="10">
        <v>3469.633144</v>
      </c>
      <c r="J22" s="10">
        <v>4353.647259</v>
      </c>
      <c r="K22" s="10">
        <v>5093.236419</v>
      </c>
      <c r="L22" s="10">
        <v>5592.699955</v>
      </c>
      <c r="M22" s="10">
        <v>5999.048624</v>
      </c>
      <c r="N22" s="10">
        <v>6243.604261</v>
      </c>
      <c r="O22" s="10">
        <v>6161.476301</v>
      </c>
      <c r="P22" s="10">
        <v>6182.529602</v>
      </c>
      <c r="Q22" s="10">
        <v>6346.342563</v>
      </c>
      <c r="R22" s="10">
        <v>6349.021349</v>
      </c>
      <c r="S22" s="10">
        <v>6170.060173</v>
      </c>
      <c r="T22" s="10">
        <v>5758.196701</v>
      </c>
      <c r="U22" s="10">
        <v>5454.811274</v>
      </c>
      <c r="V22" s="10">
        <v>5110.11644</v>
      </c>
      <c r="W22" s="10">
        <v>4654.422142</v>
      </c>
      <c r="X22" s="10">
        <v>4136.365936</v>
      </c>
      <c r="Y22" s="10">
        <v>3584.684307</v>
      </c>
      <c r="Z22" s="10">
        <v>3208.116742</v>
      </c>
      <c r="AA22" s="11">
        <f t="shared" si="1"/>
        <v>110372.959</v>
      </c>
      <c r="AB22" s="50">
        <v>21.0</v>
      </c>
      <c r="AC22" s="11">
        <f t="shared" si="2"/>
        <v>2317832.139</v>
      </c>
      <c r="AD22" s="12">
        <f>SUM(AC22:AC24)</f>
        <v>3209184.733</v>
      </c>
    </row>
    <row r="23" ht="14.25" customHeight="1">
      <c r="A23" s="8">
        <v>46874.0</v>
      </c>
      <c r="B23" s="9" t="s">
        <v>35</v>
      </c>
      <c r="C23" s="10">
        <v>3111.073952</v>
      </c>
      <c r="D23" s="10">
        <v>2948.660643</v>
      </c>
      <c r="E23" s="10">
        <v>2858.100253</v>
      </c>
      <c r="F23" s="10">
        <v>2787.897131</v>
      </c>
      <c r="G23" s="10">
        <v>2801.348656</v>
      </c>
      <c r="H23" s="10">
        <v>2812.77799</v>
      </c>
      <c r="I23" s="10">
        <v>3222.196461</v>
      </c>
      <c r="J23" s="10">
        <v>3956.21841</v>
      </c>
      <c r="K23" s="10">
        <v>4653.518994</v>
      </c>
      <c r="L23" s="10">
        <v>5198.110446</v>
      </c>
      <c r="M23" s="10">
        <v>5537.949866</v>
      </c>
      <c r="N23" s="10">
        <v>5693.908842</v>
      </c>
      <c r="O23" s="10">
        <v>5534.168864</v>
      </c>
      <c r="P23" s="10">
        <v>5358.774459</v>
      </c>
      <c r="Q23" s="10">
        <v>5238.38601</v>
      </c>
      <c r="R23" s="10">
        <v>5209.191531</v>
      </c>
      <c r="S23" s="10">
        <v>5146.621378</v>
      </c>
      <c r="T23" s="10">
        <v>5049.371074</v>
      </c>
      <c r="U23" s="10">
        <v>4932.243446</v>
      </c>
      <c r="V23" s="10">
        <v>4674.028437</v>
      </c>
      <c r="W23" s="10">
        <v>4276.166602</v>
      </c>
      <c r="X23" s="10">
        <v>3828.80716</v>
      </c>
      <c r="Y23" s="10">
        <v>3350.882189</v>
      </c>
      <c r="Z23" s="10">
        <v>3007.82292</v>
      </c>
      <c r="AA23" s="11">
        <f t="shared" si="1"/>
        <v>101188.2257</v>
      </c>
      <c r="AB23" s="50">
        <v>4.0</v>
      </c>
      <c r="AC23" s="11">
        <f t="shared" si="2"/>
        <v>404752.9029</v>
      </c>
      <c r="AD23" s="13"/>
    </row>
    <row r="24" ht="14.25" customHeight="1">
      <c r="A24" s="8">
        <v>46874.0</v>
      </c>
      <c r="B24" s="9" t="s">
        <v>36</v>
      </c>
      <c r="C24" s="10">
        <v>2785.51352</v>
      </c>
      <c r="D24" s="10">
        <v>2647.165315</v>
      </c>
      <c r="E24" s="10">
        <v>2519.346555</v>
      </c>
      <c r="F24" s="10">
        <v>2454.404498</v>
      </c>
      <c r="G24" s="10">
        <v>2399.648022</v>
      </c>
      <c r="H24" s="10">
        <v>2352.568414</v>
      </c>
      <c r="I24" s="10">
        <v>2428.614237</v>
      </c>
      <c r="J24" s="10">
        <v>2714.769</v>
      </c>
      <c r="K24" s="10">
        <v>3091.135171</v>
      </c>
      <c r="L24" s="10">
        <v>3614.51995</v>
      </c>
      <c r="M24" s="10">
        <v>4037.322637</v>
      </c>
      <c r="N24" s="10">
        <v>4276.664101</v>
      </c>
      <c r="O24" s="10">
        <v>4359.107922</v>
      </c>
      <c r="P24" s="10">
        <v>4379.001342</v>
      </c>
      <c r="Q24" s="10">
        <v>4348.753334</v>
      </c>
      <c r="R24" s="10">
        <v>4327.694446</v>
      </c>
      <c r="S24" s="10">
        <v>4225.310381</v>
      </c>
      <c r="T24" s="10">
        <v>4122.790966</v>
      </c>
      <c r="U24" s="10">
        <v>4065.399936</v>
      </c>
      <c r="V24" s="10">
        <v>3862.839096</v>
      </c>
      <c r="W24" s="10">
        <v>3534.943339</v>
      </c>
      <c r="X24" s="10">
        <v>3158.386216</v>
      </c>
      <c r="Y24" s="10">
        <v>2819.61496</v>
      </c>
      <c r="Z24" s="10">
        <v>2574.435186</v>
      </c>
      <c r="AA24" s="11">
        <f t="shared" si="1"/>
        <v>81099.94854</v>
      </c>
      <c r="AB24" s="50">
        <v>6.0</v>
      </c>
      <c r="AC24" s="11">
        <f t="shared" si="2"/>
        <v>486599.6913</v>
      </c>
      <c r="AD24" s="14"/>
    </row>
    <row r="25" ht="14.25" customHeight="1">
      <c r="A25" s="8">
        <v>46905.0</v>
      </c>
      <c r="B25" s="9" t="s">
        <v>34</v>
      </c>
      <c r="C25" s="10">
        <v>3042.018165</v>
      </c>
      <c r="D25" s="10">
        <v>2917.538684</v>
      </c>
      <c r="E25" s="10">
        <v>2847.911844</v>
      </c>
      <c r="F25" s="10">
        <v>2819.449888</v>
      </c>
      <c r="G25" s="10">
        <v>2862.926737</v>
      </c>
      <c r="H25" s="10">
        <v>3046.659616</v>
      </c>
      <c r="I25" s="10">
        <v>3686.485216</v>
      </c>
      <c r="J25" s="10">
        <v>4625.750213</v>
      </c>
      <c r="K25" s="10">
        <v>5411.563695</v>
      </c>
      <c r="L25" s="10">
        <v>5942.243702</v>
      </c>
      <c r="M25" s="10">
        <v>6373.989163</v>
      </c>
      <c r="N25" s="10">
        <v>6633.829527</v>
      </c>
      <c r="O25" s="10">
        <v>6546.56857</v>
      </c>
      <c r="P25" s="10">
        <v>6568.937702</v>
      </c>
      <c r="Q25" s="10">
        <v>6742.988973</v>
      </c>
      <c r="R25" s="10">
        <v>6745.835183</v>
      </c>
      <c r="S25" s="10">
        <v>6555.688934</v>
      </c>
      <c r="T25" s="10">
        <v>6118.083995</v>
      </c>
      <c r="U25" s="10">
        <v>5795.736978</v>
      </c>
      <c r="V25" s="10">
        <v>5429.498718</v>
      </c>
      <c r="W25" s="10">
        <v>4945.323526</v>
      </c>
      <c r="X25" s="10">
        <v>4394.888807</v>
      </c>
      <c r="Y25" s="10">
        <v>3808.727076</v>
      </c>
      <c r="Z25" s="10">
        <v>3408.624039</v>
      </c>
      <c r="AA25" s="11">
        <f t="shared" si="1"/>
        <v>117271.269</v>
      </c>
      <c r="AB25" s="50">
        <v>20.0</v>
      </c>
      <c r="AC25" s="11">
        <f t="shared" si="2"/>
        <v>2345425.379</v>
      </c>
      <c r="AD25" s="12">
        <f>SUM(AC25:AC27)</f>
        <v>3292487.51</v>
      </c>
    </row>
    <row r="26" ht="14.25" customHeight="1">
      <c r="A26" s="8">
        <v>46905.0</v>
      </c>
      <c r="B26" s="9" t="s">
        <v>35</v>
      </c>
      <c r="C26" s="10">
        <v>3305.516074</v>
      </c>
      <c r="D26" s="10">
        <v>3132.951933</v>
      </c>
      <c r="E26" s="10">
        <v>3036.731519</v>
      </c>
      <c r="F26" s="10">
        <v>2962.140702</v>
      </c>
      <c r="G26" s="10">
        <v>2976.432947</v>
      </c>
      <c r="H26" s="10">
        <v>2988.576615</v>
      </c>
      <c r="I26" s="10">
        <v>3423.58374</v>
      </c>
      <c r="J26" s="10">
        <v>4203.48206</v>
      </c>
      <c r="K26" s="10">
        <v>4944.363931</v>
      </c>
      <c r="L26" s="10">
        <v>5522.992349</v>
      </c>
      <c r="M26" s="10">
        <v>5884.071732</v>
      </c>
      <c r="N26" s="10">
        <v>6049.778144</v>
      </c>
      <c r="O26" s="10">
        <v>5880.054418</v>
      </c>
      <c r="P26" s="10">
        <v>5693.697863</v>
      </c>
      <c r="Q26" s="10">
        <v>5565.785135</v>
      </c>
      <c r="R26" s="10">
        <v>5534.766002</v>
      </c>
      <c r="S26" s="10">
        <v>5468.285214</v>
      </c>
      <c r="T26" s="10">
        <v>5364.956766</v>
      </c>
      <c r="U26" s="10">
        <v>5240.508662</v>
      </c>
      <c r="V26" s="10">
        <v>4966.155214</v>
      </c>
      <c r="W26" s="10">
        <v>4543.427014</v>
      </c>
      <c r="X26" s="10">
        <v>4068.107608</v>
      </c>
      <c r="Y26" s="10">
        <v>3560.312326</v>
      </c>
      <c r="Z26" s="10">
        <v>3195.811853</v>
      </c>
      <c r="AA26" s="11">
        <f t="shared" si="1"/>
        <v>107512.4898</v>
      </c>
      <c r="AB26" s="50">
        <v>4.0</v>
      </c>
      <c r="AC26" s="11">
        <f t="shared" si="2"/>
        <v>430049.9593</v>
      </c>
      <c r="AD26" s="13"/>
    </row>
    <row r="27" ht="14.25" customHeight="1">
      <c r="A27" s="8">
        <v>46905.0</v>
      </c>
      <c r="B27" s="9" t="s">
        <v>36</v>
      </c>
      <c r="C27" s="10">
        <v>2959.608115</v>
      </c>
      <c r="D27" s="10">
        <v>2812.613147</v>
      </c>
      <c r="E27" s="10">
        <v>2676.805715</v>
      </c>
      <c r="F27" s="10">
        <v>2607.804779</v>
      </c>
      <c r="G27" s="10">
        <v>2549.626024</v>
      </c>
      <c r="H27" s="10">
        <v>2499.60394</v>
      </c>
      <c r="I27" s="10">
        <v>2580.402627</v>
      </c>
      <c r="J27" s="10">
        <v>2884.442063</v>
      </c>
      <c r="K27" s="10">
        <v>3284.331119</v>
      </c>
      <c r="L27" s="10">
        <v>3840.427447</v>
      </c>
      <c r="M27" s="10">
        <v>4289.655302</v>
      </c>
      <c r="N27" s="10">
        <v>4543.955607</v>
      </c>
      <c r="O27" s="10">
        <v>4631.552167</v>
      </c>
      <c r="P27" s="10">
        <v>4652.688926</v>
      </c>
      <c r="Q27" s="10">
        <v>4620.550418</v>
      </c>
      <c r="R27" s="10">
        <v>4598.175349</v>
      </c>
      <c r="S27" s="10">
        <v>4489.39228</v>
      </c>
      <c r="T27" s="10">
        <v>4380.465402</v>
      </c>
      <c r="U27" s="10">
        <v>4319.487432</v>
      </c>
      <c r="V27" s="10">
        <v>4104.26654</v>
      </c>
      <c r="W27" s="10">
        <v>3755.877298</v>
      </c>
      <c r="X27" s="10">
        <v>3355.785355</v>
      </c>
      <c r="Y27" s="10">
        <v>2995.840895</v>
      </c>
      <c r="Z27" s="10">
        <v>2735.337385</v>
      </c>
      <c r="AA27" s="11">
        <f t="shared" si="1"/>
        <v>86168.69533</v>
      </c>
      <c r="AB27" s="50">
        <v>6.0</v>
      </c>
      <c r="AC27" s="11">
        <f t="shared" si="2"/>
        <v>517012.172</v>
      </c>
      <c r="AD27" s="14"/>
    </row>
    <row r="28" ht="14.25" customHeight="1">
      <c r="A28" s="8">
        <v>46935.0</v>
      </c>
      <c r="B28" s="9" t="s">
        <v>34</v>
      </c>
      <c r="C28" s="10">
        <v>3042.018165</v>
      </c>
      <c r="D28" s="10">
        <v>2917.538684</v>
      </c>
      <c r="E28" s="10">
        <v>2847.911844</v>
      </c>
      <c r="F28" s="10">
        <v>2819.449888</v>
      </c>
      <c r="G28" s="10">
        <v>2862.926737</v>
      </c>
      <c r="H28" s="10">
        <v>3046.659616</v>
      </c>
      <c r="I28" s="10">
        <v>3686.485216</v>
      </c>
      <c r="J28" s="10">
        <v>4625.750213</v>
      </c>
      <c r="K28" s="10">
        <v>5411.563695</v>
      </c>
      <c r="L28" s="10">
        <v>5942.243702</v>
      </c>
      <c r="M28" s="10">
        <v>6373.989163</v>
      </c>
      <c r="N28" s="10">
        <v>6633.829527</v>
      </c>
      <c r="O28" s="10">
        <v>6546.56857</v>
      </c>
      <c r="P28" s="10">
        <v>6568.937702</v>
      </c>
      <c r="Q28" s="10">
        <v>6742.988973</v>
      </c>
      <c r="R28" s="10">
        <v>6745.835183</v>
      </c>
      <c r="S28" s="10">
        <v>6555.688934</v>
      </c>
      <c r="T28" s="10">
        <v>6118.083995</v>
      </c>
      <c r="U28" s="10">
        <v>5795.736978</v>
      </c>
      <c r="V28" s="10">
        <v>5429.498718</v>
      </c>
      <c r="W28" s="10">
        <v>4945.323526</v>
      </c>
      <c r="X28" s="10">
        <v>4394.888807</v>
      </c>
      <c r="Y28" s="10">
        <v>3808.727076</v>
      </c>
      <c r="Z28" s="10">
        <v>3408.624039</v>
      </c>
      <c r="AA28" s="11">
        <f t="shared" si="1"/>
        <v>117271.269</v>
      </c>
      <c r="AB28" s="50">
        <v>19.0</v>
      </c>
      <c r="AC28" s="11">
        <f t="shared" si="2"/>
        <v>2228154.11</v>
      </c>
      <c r="AD28" s="12">
        <f>SUM(AC28:AC30)</f>
        <v>3368897.426</v>
      </c>
    </row>
    <row r="29" ht="14.25" customHeight="1">
      <c r="A29" s="8">
        <v>46935.0</v>
      </c>
      <c r="B29" s="9" t="s">
        <v>35</v>
      </c>
      <c r="C29" s="10">
        <v>3305.516074</v>
      </c>
      <c r="D29" s="10">
        <v>3132.951933</v>
      </c>
      <c r="E29" s="10">
        <v>3036.731519</v>
      </c>
      <c r="F29" s="10">
        <v>2962.140702</v>
      </c>
      <c r="G29" s="10">
        <v>2976.432947</v>
      </c>
      <c r="H29" s="10">
        <v>2988.576615</v>
      </c>
      <c r="I29" s="10">
        <v>3423.58374</v>
      </c>
      <c r="J29" s="10">
        <v>4203.48206</v>
      </c>
      <c r="K29" s="10">
        <v>4944.363931</v>
      </c>
      <c r="L29" s="10">
        <v>5522.992349</v>
      </c>
      <c r="M29" s="10">
        <v>5884.071732</v>
      </c>
      <c r="N29" s="10">
        <v>6049.778144</v>
      </c>
      <c r="O29" s="10">
        <v>5880.054418</v>
      </c>
      <c r="P29" s="10">
        <v>5693.697863</v>
      </c>
      <c r="Q29" s="10">
        <v>5565.785135</v>
      </c>
      <c r="R29" s="10">
        <v>5534.766002</v>
      </c>
      <c r="S29" s="10">
        <v>5468.285214</v>
      </c>
      <c r="T29" s="10">
        <v>5364.956766</v>
      </c>
      <c r="U29" s="10">
        <v>5240.508662</v>
      </c>
      <c r="V29" s="10">
        <v>4966.155214</v>
      </c>
      <c r="W29" s="10">
        <v>4543.427014</v>
      </c>
      <c r="X29" s="10">
        <v>4068.107608</v>
      </c>
      <c r="Y29" s="10">
        <v>3560.312326</v>
      </c>
      <c r="Z29" s="10">
        <v>3195.811853</v>
      </c>
      <c r="AA29" s="11">
        <f t="shared" si="1"/>
        <v>107512.4898</v>
      </c>
      <c r="AB29" s="50">
        <v>5.0</v>
      </c>
      <c r="AC29" s="11">
        <f t="shared" si="2"/>
        <v>537562.4491</v>
      </c>
      <c r="AD29" s="13"/>
    </row>
    <row r="30" ht="14.25" customHeight="1">
      <c r="A30" s="8">
        <v>46935.0</v>
      </c>
      <c r="B30" s="9" t="s">
        <v>36</v>
      </c>
      <c r="C30" s="10">
        <v>2959.608115</v>
      </c>
      <c r="D30" s="10">
        <v>2812.613147</v>
      </c>
      <c r="E30" s="10">
        <v>2676.805715</v>
      </c>
      <c r="F30" s="10">
        <v>2607.804779</v>
      </c>
      <c r="G30" s="10">
        <v>2549.626024</v>
      </c>
      <c r="H30" s="10">
        <v>2499.60394</v>
      </c>
      <c r="I30" s="10">
        <v>2580.402627</v>
      </c>
      <c r="J30" s="10">
        <v>2884.442063</v>
      </c>
      <c r="K30" s="10">
        <v>3284.331119</v>
      </c>
      <c r="L30" s="10">
        <v>3840.427447</v>
      </c>
      <c r="M30" s="10">
        <v>4289.655302</v>
      </c>
      <c r="N30" s="10">
        <v>4543.955607</v>
      </c>
      <c r="O30" s="10">
        <v>4631.552167</v>
      </c>
      <c r="P30" s="10">
        <v>4652.688926</v>
      </c>
      <c r="Q30" s="10">
        <v>4620.550418</v>
      </c>
      <c r="R30" s="10">
        <v>4598.175349</v>
      </c>
      <c r="S30" s="10">
        <v>4489.39228</v>
      </c>
      <c r="T30" s="10">
        <v>4380.465402</v>
      </c>
      <c r="U30" s="10">
        <v>4319.487432</v>
      </c>
      <c r="V30" s="10">
        <v>4104.26654</v>
      </c>
      <c r="W30" s="10">
        <v>3755.877298</v>
      </c>
      <c r="X30" s="10">
        <v>3355.785355</v>
      </c>
      <c r="Y30" s="10">
        <v>2995.840895</v>
      </c>
      <c r="Z30" s="10">
        <v>2735.337385</v>
      </c>
      <c r="AA30" s="11">
        <f t="shared" si="1"/>
        <v>86168.69533</v>
      </c>
      <c r="AB30" s="50">
        <v>7.0</v>
      </c>
      <c r="AC30" s="11">
        <f t="shared" si="2"/>
        <v>603180.8673</v>
      </c>
      <c r="AD30" s="14"/>
    </row>
    <row r="31" ht="14.25" customHeight="1">
      <c r="A31" s="8">
        <v>46966.0</v>
      </c>
      <c r="B31" s="9" t="s">
        <v>34</v>
      </c>
      <c r="C31" s="10">
        <v>3042.018165</v>
      </c>
      <c r="D31" s="10">
        <v>2917.538684</v>
      </c>
      <c r="E31" s="10">
        <v>2847.911844</v>
      </c>
      <c r="F31" s="10">
        <v>2819.449888</v>
      </c>
      <c r="G31" s="10">
        <v>2862.926737</v>
      </c>
      <c r="H31" s="10">
        <v>3046.659616</v>
      </c>
      <c r="I31" s="10">
        <v>3686.485216</v>
      </c>
      <c r="J31" s="10">
        <v>4625.750213</v>
      </c>
      <c r="K31" s="10">
        <v>5411.563695</v>
      </c>
      <c r="L31" s="10">
        <v>5942.243702</v>
      </c>
      <c r="M31" s="10">
        <v>6373.989163</v>
      </c>
      <c r="N31" s="10">
        <v>6633.829527</v>
      </c>
      <c r="O31" s="10">
        <v>6546.56857</v>
      </c>
      <c r="P31" s="10">
        <v>6568.937702</v>
      </c>
      <c r="Q31" s="10">
        <v>6742.988973</v>
      </c>
      <c r="R31" s="10">
        <v>6745.835183</v>
      </c>
      <c r="S31" s="10">
        <v>6555.688934</v>
      </c>
      <c r="T31" s="10">
        <v>6118.083995</v>
      </c>
      <c r="U31" s="10">
        <v>5795.736978</v>
      </c>
      <c r="V31" s="10">
        <v>5429.498718</v>
      </c>
      <c r="W31" s="10">
        <v>4945.323526</v>
      </c>
      <c r="X31" s="10">
        <v>4394.888807</v>
      </c>
      <c r="Y31" s="10">
        <v>3808.727076</v>
      </c>
      <c r="Z31" s="10">
        <v>3408.624039</v>
      </c>
      <c r="AA31" s="11">
        <f t="shared" si="1"/>
        <v>117271.269</v>
      </c>
      <c r="AB31" s="50">
        <v>21.0</v>
      </c>
      <c r="AC31" s="11">
        <f t="shared" si="2"/>
        <v>2462696.648</v>
      </c>
      <c r="AD31" s="12">
        <f>SUM(AC31:AC33)</f>
        <v>3409758.779</v>
      </c>
    </row>
    <row r="32" ht="14.25" customHeight="1">
      <c r="A32" s="8">
        <v>46966.0</v>
      </c>
      <c r="B32" s="9" t="s">
        <v>35</v>
      </c>
      <c r="C32" s="10">
        <v>3305.516074</v>
      </c>
      <c r="D32" s="10">
        <v>3132.951933</v>
      </c>
      <c r="E32" s="10">
        <v>3036.731519</v>
      </c>
      <c r="F32" s="10">
        <v>2962.140702</v>
      </c>
      <c r="G32" s="10">
        <v>2976.432947</v>
      </c>
      <c r="H32" s="10">
        <v>2988.576615</v>
      </c>
      <c r="I32" s="10">
        <v>3423.58374</v>
      </c>
      <c r="J32" s="10">
        <v>4203.48206</v>
      </c>
      <c r="K32" s="10">
        <v>4944.363931</v>
      </c>
      <c r="L32" s="10">
        <v>5522.992349</v>
      </c>
      <c r="M32" s="10">
        <v>5884.071732</v>
      </c>
      <c r="N32" s="10">
        <v>6049.778144</v>
      </c>
      <c r="O32" s="10">
        <v>5880.054418</v>
      </c>
      <c r="P32" s="10">
        <v>5693.697863</v>
      </c>
      <c r="Q32" s="10">
        <v>5565.785135</v>
      </c>
      <c r="R32" s="10">
        <v>5534.766002</v>
      </c>
      <c r="S32" s="10">
        <v>5468.285214</v>
      </c>
      <c r="T32" s="10">
        <v>5364.956766</v>
      </c>
      <c r="U32" s="10">
        <v>5240.508662</v>
      </c>
      <c r="V32" s="10">
        <v>4966.155214</v>
      </c>
      <c r="W32" s="10">
        <v>4543.427014</v>
      </c>
      <c r="X32" s="10">
        <v>4068.107608</v>
      </c>
      <c r="Y32" s="10">
        <v>3560.312326</v>
      </c>
      <c r="Z32" s="10">
        <v>3195.811853</v>
      </c>
      <c r="AA32" s="11">
        <f t="shared" si="1"/>
        <v>107512.4898</v>
      </c>
      <c r="AB32" s="50">
        <v>4.0</v>
      </c>
      <c r="AC32" s="11">
        <f t="shared" si="2"/>
        <v>430049.9593</v>
      </c>
      <c r="AD32" s="13"/>
    </row>
    <row r="33" ht="14.25" customHeight="1">
      <c r="A33" s="8">
        <v>46966.0</v>
      </c>
      <c r="B33" s="9" t="s">
        <v>36</v>
      </c>
      <c r="C33" s="10">
        <v>2959.608115</v>
      </c>
      <c r="D33" s="10">
        <v>2812.613147</v>
      </c>
      <c r="E33" s="10">
        <v>2676.805715</v>
      </c>
      <c r="F33" s="10">
        <v>2607.804779</v>
      </c>
      <c r="G33" s="10">
        <v>2549.626024</v>
      </c>
      <c r="H33" s="10">
        <v>2499.60394</v>
      </c>
      <c r="I33" s="10">
        <v>2580.402627</v>
      </c>
      <c r="J33" s="10">
        <v>2884.442063</v>
      </c>
      <c r="K33" s="10">
        <v>3284.331119</v>
      </c>
      <c r="L33" s="10">
        <v>3840.427447</v>
      </c>
      <c r="M33" s="10">
        <v>4289.655302</v>
      </c>
      <c r="N33" s="10">
        <v>4543.955607</v>
      </c>
      <c r="O33" s="10">
        <v>4631.552167</v>
      </c>
      <c r="P33" s="10">
        <v>4652.688926</v>
      </c>
      <c r="Q33" s="10">
        <v>4620.550418</v>
      </c>
      <c r="R33" s="10">
        <v>4598.175349</v>
      </c>
      <c r="S33" s="10">
        <v>4489.39228</v>
      </c>
      <c r="T33" s="10">
        <v>4380.465402</v>
      </c>
      <c r="U33" s="10">
        <v>4319.487432</v>
      </c>
      <c r="V33" s="10">
        <v>4104.26654</v>
      </c>
      <c r="W33" s="10">
        <v>3755.877298</v>
      </c>
      <c r="X33" s="10">
        <v>3355.785355</v>
      </c>
      <c r="Y33" s="10">
        <v>2995.840895</v>
      </c>
      <c r="Z33" s="10">
        <v>2735.337385</v>
      </c>
      <c r="AA33" s="11">
        <f t="shared" si="1"/>
        <v>86168.69533</v>
      </c>
      <c r="AB33" s="50">
        <v>6.0</v>
      </c>
      <c r="AC33" s="11">
        <f t="shared" si="2"/>
        <v>517012.172</v>
      </c>
      <c r="AD33" s="14"/>
    </row>
    <row r="34" ht="14.25" customHeight="1">
      <c r="A34" s="8">
        <v>46997.0</v>
      </c>
      <c r="B34" s="9" t="s">
        <v>34</v>
      </c>
      <c r="C34" s="10">
        <v>3220.96041</v>
      </c>
      <c r="D34" s="10">
        <v>3089.158607</v>
      </c>
      <c r="E34" s="10">
        <v>3015.43607</v>
      </c>
      <c r="F34" s="10">
        <v>2985.299881</v>
      </c>
      <c r="G34" s="10">
        <v>3031.334192</v>
      </c>
      <c r="H34" s="10">
        <v>3225.874887</v>
      </c>
      <c r="I34" s="10">
        <v>3903.337287</v>
      </c>
      <c r="J34" s="10">
        <v>4897.853167</v>
      </c>
      <c r="K34" s="10">
        <v>5729.890972</v>
      </c>
      <c r="L34" s="10">
        <v>6291.78745</v>
      </c>
      <c r="M34" s="10">
        <v>6748.929702</v>
      </c>
      <c r="N34" s="10">
        <v>7024.054793</v>
      </c>
      <c r="O34" s="10">
        <v>6931.660838</v>
      </c>
      <c r="P34" s="10">
        <v>6955.345802</v>
      </c>
      <c r="Q34" s="10">
        <v>7139.635384</v>
      </c>
      <c r="R34" s="10">
        <v>7142.649017</v>
      </c>
      <c r="S34" s="10">
        <v>6941.317694</v>
      </c>
      <c r="T34" s="10">
        <v>6477.971288</v>
      </c>
      <c r="U34" s="10">
        <v>6136.662683</v>
      </c>
      <c r="V34" s="10">
        <v>5748.880995</v>
      </c>
      <c r="W34" s="10">
        <v>5236.22491</v>
      </c>
      <c r="X34" s="10">
        <v>4653.411678</v>
      </c>
      <c r="Y34" s="10">
        <v>4032.769846</v>
      </c>
      <c r="Z34" s="10">
        <v>3609.131335</v>
      </c>
      <c r="AA34" s="11">
        <f t="shared" si="1"/>
        <v>124169.5789</v>
      </c>
      <c r="AB34" s="50">
        <v>21.0</v>
      </c>
      <c r="AC34" s="11">
        <f t="shared" si="2"/>
        <v>2607561.157</v>
      </c>
      <c r="AD34" s="12">
        <f>SUM(AC34:AC36)</f>
        <v>3541694.695</v>
      </c>
    </row>
    <row r="35" ht="14.25" customHeight="1">
      <c r="A35" s="8">
        <v>46997.0</v>
      </c>
      <c r="B35" s="9" t="s">
        <v>35</v>
      </c>
      <c r="C35" s="10">
        <v>3499.958196</v>
      </c>
      <c r="D35" s="10">
        <v>3317.243224</v>
      </c>
      <c r="E35" s="10">
        <v>3215.362784</v>
      </c>
      <c r="F35" s="10">
        <v>3136.384273</v>
      </c>
      <c r="G35" s="10">
        <v>3151.517238</v>
      </c>
      <c r="H35" s="10">
        <v>3164.375239</v>
      </c>
      <c r="I35" s="10">
        <v>3624.971018</v>
      </c>
      <c r="J35" s="10">
        <v>4450.745711</v>
      </c>
      <c r="K35" s="10">
        <v>5235.208868</v>
      </c>
      <c r="L35" s="10">
        <v>5847.874252</v>
      </c>
      <c r="M35" s="10">
        <v>6230.193599</v>
      </c>
      <c r="N35" s="10">
        <v>6405.647447</v>
      </c>
      <c r="O35" s="10">
        <v>6225.939972</v>
      </c>
      <c r="P35" s="10">
        <v>6028.621267</v>
      </c>
      <c r="Q35" s="10">
        <v>5893.184261</v>
      </c>
      <c r="R35" s="10">
        <v>5860.340473</v>
      </c>
      <c r="S35" s="10">
        <v>5789.94905</v>
      </c>
      <c r="T35" s="10">
        <v>5680.542458</v>
      </c>
      <c r="U35" s="10">
        <v>5548.773877</v>
      </c>
      <c r="V35" s="10">
        <v>5258.281991</v>
      </c>
      <c r="W35" s="10">
        <v>4810.687427</v>
      </c>
      <c r="X35" s="10">
        <v>4307.408055</v>
      </c>
      <c r="Y35" s="10">
        <v>3769.742462</v>
      </c>
      <c r="Z35" s="10">
        <v>3383.800785</v>
      </c>
      <c r="AA35" s="11">
        <f t="shared" si="1"/>
        <v>113836.7539</v>
      </c>
      <c r="AB35" s="50">
        <v>5.0</v>
      </c>
      <c r="AC35" s="11">
        <f t="shared" si="2"/>
        <v>569183.7696</v>
      </c>
      <c r="AD35" s="13"/>
    </row>
    <row r="36" ht="14.25" customHeight="1">
      <c r="A36" s="8">
        <v>46997.0</v>
      </c>
      <c r="B36" s="9" t="s">
        <v>36</v>
      </c>
      <c r="C36" s="10">
        <v>3133.70271</v>
      </c>
      <c r="D36" s="10">
        <v>2978.06098</v>
      </c>
      <c r="E36" s="10">
        <v>2834.264875</v>
      </c>
      <c r="F36" s="10">
        <v>2761.20506</v>
      </c>
      <c r="G36" s="10">
        <v>2699.604025</v>
      </c>
      <c r="H36" s="10">
        <v>2646.639466</v>
      </c>
      <c r="I36" s="10">
        <v>2732.191016</v>
      </c>
      <c r="J36" s="10">
        <v>3054.115125</v>
      </c>
      <c r="K36" s="10">
        <v>3477.527068</v>
      </c>
      <c r="L36" s="10">
        <v>4066.334944</v>
      </c>
      <c r="M36" s="10">
        <v>4541.987966</v>
      </c>
      <c r="N36" s="10">
        <v>4811.247113</v>
      </c>
      <c r="O36" s="10">
        <v>4903.996412</v>
      </c>
      <c r="P36" s="10">
        <v>4926.37651</v>
      </c>
      <c r="Q36" s="10">
        <v>4892.347501</v>
      </c>
      <c r="R36" s="10">
        <v>4868.656252</v>
      </c>
      <c r="S36" s="10">
        <v>4753.474178</v>
      </c>
      <c r="T36" s="10">
        <v>4638.139837</v>
      </c>
      <c r="U36" s="10">
        <v>4573.574928</v>
      </c>
      <c r="V36" s="10">
        <v>4345.693983</v>
      </c>
      <c r="W36" s="10">
        <v>3976.811257</v>
      </c>
      <c r="X36" s="10">
        <v>3553.184493</v>
      </c>
      <c r="Y36" s="10">
        <v>3172.06683</v>
      </c>
      <c r="Z36" s="10">
        <v>2896.239584</v>
      </c>
      <c r="AA36" s="11">
        <f t="shared" si="1"/>
        <v>91237.44211</v>
      </c>
      <c r="AB36" s="50">
        <v>4.0</v>
      </c>
      <c r="AC36" s="11">
        <f t="shared" si="2"/>
        <v>364949.7685</v>
      </c>
      <c r="AD36" s="14"/>
    </row>
    <row r="37" ht="14.25" customHeight="1">
      <c r="A37" s="8">
        <v>47027.0</v>
      </c>
      <c r="B37" s="9" t="s">
        <v>34</v>
      </c>
      <c r="C37" s="10">
        <v>3042.018165</v>
      </c>
      <c r="D37" s="10">
        <v>2917.538684</v>
      </c>
      <c r="E37" s="10">
        <v>2847.911844</v>
      </c>
      <c r="F37" s="10">
        <v>2819.449888</v>
      </c>
      <c r="G37" s="10">
        <v>2862.926737</v>
      </c>
      <c r="H37" s="10">
        <v>3046.659616</v>
      </c>
      <c r="I37" s="10">
        <v>3686.485216</v>
      </c>
      <c r="J37" s="10">
        <v>4625.750213</v>
      </c>
      <c r="K37" s="10">
        <v>5411.563695</v>
      </c>
      <c r="L37" s="10">
        <v>5942.243702</v>
      </c>
      <c r="M37" s="10">
        <v>6373.989163</v>
      </c>
      <c r="N37" s="10">
        <v>6633.829527</v>
      </c>
      <c r="O37" s="10">
        <v>6546.56857</v>
      </c>
      <c r="P37" s="10">
        <v>6568.937702</v>
      </c>
      <c r="Q37" s="10">
        <v>6742.988973</v>
      </c>
      <c r="R37" s="10">
        <v>6745.835183</v>
      </c>
      <c r="S37" s="10">
        <v>6555.688934</v>
      </c>
      <c r="T37" s="10">
        <v>6118.083995</v>
      </c>
      <c r="U37" s="10">
        <v>5795.736978</v>
      </c>
      <c r="V37" s="10">
        <v>5429.498718</v>
      </c>
      <c r="W37" s="10">
        <v>4945.323526</v>
      </c>
      <c r="X37" s="10">
        <v>4394.888807</v>
      </c>
      <c r="Y37" s="10">
        <v>3808.727076</v>
      </c>
      <c r="Z37" s="10">
        <v>3408.624039</v>
      </c>
      <c r="AA37" s="11">
        <f t="shared" si="1"/>
        <v>117271.269</v>
      </c>
      <c r="AB37" s="50">
        <v>21.0</v>
      </c>
      <c r="AC37" s="11">
        <f t="shared" si="2"/>
        <v>2462696.648</v>
      </c>
      <c r="AD37" s="12">
        <f>SUM(AC37:AC39)</f>
        <v>3409758.779</v>
      </c>
    </row>
    <row r="38" ht="14.25" customHeight="1">
      <c r="A38" s="8">
        <v>47027.0</v>
      </c>
      <c r="B38" s="9" t="s">
        <v>35</v>
      </c>
      <c r="C38" s="10">
        <v>3305.516074</v>
      </c>
      <c r="D38" s="10">
        <v>3132.951933</v>
      </c>
      <c r="E38" s="10">
        <v>3036.731519</v>
      </c>
      <c r="F38" s="10">
        <v>2962.140702</v>
      </c>
      <c r="G38" s="10">
        <v>2976.432947</v>
      </c>
      <c r="H38" s="10">
        <v>2988.576615</v>
      </c>
      <c r="I38" s="10">
        <v>3423.58374</v>
      </c>
      <c r="J38" s="10">
        <v>4203.48206</v>
      </c>
      <c r="K38" s="10">
        <v>4944.363931</v>
      </c>
      <c r="L38" s="10">
        <v>5522.992349</v>
      </c>
      <c r="M38" s="10">
        <v>5884.071732</v>
      </c>
      <c r="N38" s="10">
        <v>6049.778144</v>
      </c>
      <c r="O38" s="10">
        <v>5880.054418</v>
      </c>
      <c r="P38" s="10">
        <v>5693.697863</v>
      </c>
      <c r="Q38" s="10">
        <v>5565.785135</v>
      </c>
      <c r="R38" s="10">
        <v>5534.766002</v>
      </c>
      <c r="S38" s="10">
        <v>5468.285214</v>
      </c>
      <c r="T38" s="10">
        <v>5364.956766</v>
      </c>
      <c r="U38" s="10">
        <v>5240.508662</v>
      </c>
      <c r="V38" s="10">
        <v>4966.155214</v>
      </c>
      <c r="W38" s="10">
        <v>4543.427014</v>
      </c>
      <c r="X38" s="10">
        <v>4068.107608</v>
      </c>
      <c r="Y38" s="10">
        <v>3560.312326</v>
      </c>
      <c r="Z38" s="10">
        <v>3195.811853</v>
      </c>
      <c r="AA38" s="11">
        <f t="shared" si="1"/>
        <v>107512.4898</v>
      </c>
      <c r="AB38" s="50">
        <v>4.0</v>
      </c>
      <c r="AC38" s="11">
        <f t="shared" si="2"/>
        <v>430049.9593</v>
      </c>
      <c r="AD38" s="13"/>
    </row>
    <row r="39" ht="14.25" customHeight="1">
      <c r="A39" s="8">
        <v>47027.0</v>
      </c>
      <c r="B39" s="9" t="s">
        <v>36</v>
      </c>
      <c r="C39" s="10">
        <v>2959.608115</v>
      </c>
      <c r="D39" s="10">
        <v>2812.613147</v>
      </c>
      <c r="E39" s="10">
        <v>2676.805715</v>
      </c>
      <c r="F39" s="10">
        <v>2607.804779</v>
      </c>
      <c r="G39" s="10">
        <v>2549.626024</v>
      </c>
      <c r="H39" s="10">
        <v>2499.60394</v>
      </c>
      <c r="I39" s="10">
        <v>2580.402627</v>
      </c>
      <c r="J39" s="10">
        <v>2884.442063</v>
      </c>
      <c r="K39" s="10">
        <v>3284.331119</v>
      </c>
      <c r="L39" s="10">
        <v>3840.427447</v>
      </c>
      <c r="M39" s="10">
        <v>4289.655302</v>
      </c>
      <c r="N39" s="10">
        <v>4543.955607</v>
      </c>
      <c r="O39" s="10">
        <v>4631.552167</v>
      </c>
      <c r="P39" s="10">
        <v>4652.688926</v>
      </c>
      <c r="Q39" s="10">
        <v>4620.550418</v>
      </c>
      <c r="R39" s="10">
        <v>4598.175349</v>
      </c>
      <c r="S39" s="10">
        <v>4489.39228</v>
      </c>
      <c r="T39" s="10">
        <v>4380.465402</v>
      </c>
      <c r="U39" s="10">
        <v>4319.487432</v>
      </c>
      <c r="V39" s="10">
        <v>4104.26654</v>
      </c>
      <c r="W39" s="10">
        <v>3755.877298</v>
      </c>
      <c r="X39" s="10">
        <v>3355.785355</v>
      </c>
      <c r="Y39" s="10">
        <v>2995.840895</v>
      </c>
      <c r="Z39" s="10">
        <v>2735.337385</v>
      </c>
      <c r="AA39" s="11">
        <f t="shared" si="1"/>
        <v>86168.69533</v>
      </c>
      <c r="AB39" s="50">
        <v>6.0</v>
      </c>
      <c r="AC39" s="11">
        <f t="shared" si="2"/>
        <v>517012.172</v>
      </c>
      <c r="AD39" s="14"/>
    </row>
    <row r="40" ht="14.25" customHeight="1">
      <c r="A40" s="8">
        <v>47058.0</v>
      </c>
      <c r="B40" s="9" t="s">
        <v>34</v>
      </c>
      <c r="C40" s="10">
        <v>3131.489288</v>
      </c>
      <c r="D40" s="10">
        <v>3003.348646</v>
      </c>
      <c r="E40" s="10">
        <v>2931.673957</v>
      </c>
      <c r="F40" s="10">
        <v>2902.374885</v>
      </c>
      <c r="G40" s="10">
        <v>2947.130464</v>
      </c>
      <c r="H40" s="10">
        <v>3136.267251</v>
      </c>
      <c r="I40" s="10">
        <v>3794.911251</v>
      </c>
      <c r="J40" s="10">
        <v>4761.80169</v>
      </c>
      <c r="K40" s="10">
        <v>5570.727334</v>
      </c>
      <c r="L40" s="10">
        <v>6117.015576</v>
      </c>
      <c r="M40" s="10">
        <v>6561.459433</v>
      </c>
      <c r="N40" s="10">
        <v>6828.94216</v>
      </c>
      <c r="O40" s="10">
        <v>6739.114704</v>
      </c>
      <c r="P40" s="10">
        <v>6762.141752</v>
      </c>
      <c r="Q40" s="10">
        <v>6941.312179</v>
      </c>
      <c r="R40" s="10">
        <v>6944.2421</v>
      </c>
      <c r="S40" s="10">
        <v>6748.503314</v>
      </c>
      <c r="T40" s="10">
        <v>6298.027642</v>
      </c>
      <c r="U40" s="10">
        <v>5966.199831</v>
      </c>
      <c r="V40" s="10">
        <v>5589.189856</v>
      </c>
      <c r="W40" s="10">
        <v>5090.774218</v>
      </c>
      <c r="X40" s="10">
        <v>4524.150243</v>
      </c>
      <c r="Y40" s="10">
        <v>3920.748461</v>
      </c>
      <c r="Z40" s="10">
        <v>3508.877687</v>
      </c>
      <c r="AA40" s="11">
        <f t="shared" si="1"/>
        <v>120720.4239</v>
      </c>
      <c r="AB40" s="50">
        <v>20.0</v>
      </c>
      <c r="AC40" s="11">
        <f t="shared" si="2"/>
        <v>2414408.478</v>
      </c>
      <c r="AD40" s="12">
        <f>SUM(AC40:AC42)</f>
        <v>3389325.378</v>
      </c>
    </row>
    <row r="41" ht="14.25" customHeight="1">
      <c r="A41" s="8">
        <v>47058.0</v>
      </c>
      <c r="B41" s="9" t="s">
        <v>35</v>
      </c>
      <c r="C41" s="10">
        <v>3402.737135</v>
      </c>
      <c r="D41" s="10">
        <v>3225.097579</v>
      </c>
      <c r="E41" s="10">
        <v>3126.047152</v>
      </c>
      <c r="F41" s="10">
        <v>3049.262487</v>
      </c>
      <c r="G41" s="10">
        <v>3063.975093</v>
      </c>
      <c r="H41" s="10">
        <v>3076.475927</v>
      </c>
      <c r="I41" s="10">
        <v>3524.277379</v>
      </c>
      <c r="J41" s="10">
        <v>4327.113886</v>
      </c>
      <c r="K41" s="10">
        <v>5089.786399</v>
      </c>
      <c r="L41" s="10">
        <v>5685.433301</v>
      </c>
      <c r="M41" s="10">
        <v>6057.132666</v>
      </c>
      <c r="N41" s="10">
        <v>6227.712796</v>
      </c>
      <c r="O41" s="10">
        <v>6052.997195</v>
      </c>
      <c r="P41" s="10">
        <v>5861.159565</v>
      </c>
      <c r="Q41" s="10">
        <v>5729.484698</v>
      </c>
      <c r="R41" s="10">
        <v>5697.553237</v>
      </c>
      <c r="S41" s="10">
        <v>5629.117132</v>
      </c>
      <c r="T41" s="10">
        <v>5522.749612</v>
      </c>
      <c r="U41" s="10">
        <v>5394.64127</v>
      </c>
      <c r="V41" s="10">
        <v>5112.218603</v>
      </c>
      <c r="W41" s="10">
        <v>4677.057221</v>
      </c>
      <c r="X41" s="10">
        <v>4187.757831</v>
      </c>
      <c r="Y41" s="10">
        <v>3665.027394</v>
      </c>
      <c r="Z41" s="10">
        <v>3289.806319</v>
      </c>
      <c r="AA41" s="11">
        <f t="shared" si="1"/>
        <v>110674.6219</v>
      </c>
      <c r="AB41" s="50">
        <v>4.0</v>
      </c>
      <c r="AC41" s="11">
        <f t="shared" si="2"/>
        <v>442698.4875</v>
      </c>
      <c r="AD41" s="13"/>
    </row>
    <row r="42" ht="14.25" customHeight="1">
      <c r="A42" s="8">
        <v>47058.0</v>
      </c>
      <c r="B42" s="9" t="s">
        <v>36</v>
      </c>
      <c r="C42" s="10">
        <v>3046.655413</v>
      </c>
      <c r="D42" s="10">
        <v>2895.337064</v>
      </c>
      <c r="E42" s="10">
        <v>2755.535295</v>
      </c>
      <c r="F42" s="10">
        <v>2684.504919</v>
      </c>
      <c r="G42" s="10">
        <v>2624.615025</v>
      </c>
      <c r="H42" s="10">
        <v>2573.121703</v>
      </c>
      <c r="I42" s="10">
        <v>2656.296822</v>
      </c>
      <c r="J42" s="10">
        <v>2969.278594</v>
      </c>
      <c r="K42" s="10">
        <v>3380.929094</v>
      </c>
      <c r="L42" s="10">
        <v>3953.381196</v>
      </c>
      <c r="M42" s="10">
        <v>4415.821634</v>
      </c>
      <c r="N42" s="10">
        <v>4677.60136</v>
      </c>
      <c r="O42" s="10">
        <v>4767.774289</v>
      </c>
      <c r="P42" s="10">
        <v>4789.532718</v>
      </c>
      <c r="Q42" s="10">
        <v>4756.44896</v>
      </c>
      <c r="R42" s="10">
        <v>4733.415801</v>
      </c>
      <c r="S42" s="10">
        <v>4621.433229</v>
      </c>
      <c r="T42" s="10">
        <v>4509.30262</v>
      </c>
      <c r="U42" s="10">
        <v>4446.53118</v>
      </c>
      <c r="V42" s="10">
        <v>4224.980261</v>
      </c>
      <c r="W42" s="10">
        <v>3866.344277</v>
      </c>
      <c r="X42" s="10">
        <v>3454.484924</v>
      </c>
      <c r="Y42" s="10">
        <v>3083.953863</v>
      </c>
      <c r="Z42" s="10">
        <v>2815.788484</v>
      </c>
      <c r="AA42" s="11">
        <f t="shared" si="1"/>
        <v>88703.06873</v>
      </c>
      <c r="AB42" s="50">
        <v>6.0</v>
      </c>
      <c r="AC42" s="11">
        <f t="shared" si="2"/>
        <v>532218.4124</v>
      </c>
      <c r="AD42" s="14"/>
    </row>
    <row r="43" ht="14.25" customHeight="1">
      <c r="A43" s="8">
        <v>47088.0</v>
      </c>
      <c r="B43" s="9" t="s">
        <v>34</v>
      </c>
      <c r="C43" s="10">
        <v>2505.19143</v>
      </c>
      <c r="D43" s="10">
        <v>2402.678916</v>
      </c>
      <c r="E43" s="10">
        <v>2345.339165</v>
      </c>
      <c r="F43" s="10">
        <v>2321.899908</v>
      </c>
      <c r="G43" s="10">
        <v>2357.704371</v>
      </c>
      <c r="H43" s="10">
        <v>2509.013801</v>
      </c>
      <c r="I43" s="10">
        <v>3035.929001</v>
      </c>
      <c r="J43" s="10">
        <v>3809.441352</v>
      </c>
      <c r="K43" s="10">
        <v>4456.581867</v>
      </c>
      <c r="L43" s="10">
        <v>4893.612461</v>
      </c>
      <c r="M43" s="10">
        <v>5249.167546</v>
      </c>
      <c r="N43" s="10">
        <v>5463.153728</v>
      </c>
      <c r="O43" s="10">
        <v>5391.291763</v>
      </c>
      <c r="P43" s="10">
        <v>5409.713401</v>
      </c>
      <c r="Q43" s="10">
        <v>5553.049743</v>
      </c>
      <c r="R43" s="10">
        <v>5555.39368</v>
      </c>
      <c r="S43" s="10">
        <v>5398.802651</v>
      </c>
      <c r="T43" s="10">
        <v>5038.422113</v>
      </c>
      <c r="U43" s="10">
        <v>4772.959864</v>
      </c>
      <c r="V43" s="10">
        <v>4471.351885</v>
      </c>
      <c r="W43" s="10">
        <v>4072.619375</v>
      </c>
      <c r="X43" s="10">
        <v>3619.320194</v>
      </c>
      <c r="Y43" s="10">
        <v>3136.598769</v>
      </c>
      <c r="Z43" s="10">
        <v>2807.10215</v>
      </c>
      <c r="AA43" s="11">
        <f t="shared" si="1"/>
        <v>96576.33913</v>
      </c>
      <c r="AB43" s="50">
        <v>19.0</v>
      </c>
      <c r="AC43" s="11">
        <f t="shared" si="2"/>
        <v>1834950.444</v>
      </c>
      <c r="AD43" s="12">
        <f>SUM(AC43:AC45)</f>
        <v>2774386.116</v>
      </c>
    </row>
    <row r="44" ht="14.25" customHeight="1">
      <c r="A44" s="8">
        <v>47088.0</v>
      </c>
      <c r="B44" s="9" t="s">
        <v>35</v>
      </c>
      <c r="C44" s="10">
        <v>2722.189708</v>
      </c>
      <c r="D44" s="10">
        <v>2580.078063</v>
      </c>
      <c r="E44" s="10">
        <v>2500.837721</v>
      </c>
      <c r="F44" s="10">
        <v>2439.40999</v>
      </c>
      <c r="G44" s="10">
        <v>2451.180074</v>
      </c>
      <c r="H44" s="10">
        <v>2461.180742</v>
      </c>
      <c r="I44" s="10">
        <v>2819.421903</v>
      </c>
      <c r="J44" s="10">
        <v>3461.691108</v>
      </c>
      <c r="K44" s="10">
        <v>4071.829119</v>
      </c>
      <c r="L44" s="10">
        <v>4548.346641</v>
      </c>
      <c r="M44" s="10">
        <v>4845.706132</v>
      </c>
      <c r="N44" s="10">
        <v>4982.170236</v>
      </c>
      <c r="O44" s="10">
        <v>4842.397756</v>
      </c>
      <c r="P44" s="10">
        <v>4688.927652</v>
      </c>
      <c r="Q44" s="10">
        <v>4583.587758</v>
      </c>
      <c r="R44" s="10">
        <v>4558.04259</v>
      </c>
      <c r="S44" s="10">
        <v>4503.293705</v>
      </c>
      <c r="T44" s="10">
        <v>4418.199689</v>
      </c>
      <c r="U44" s="10">
        <v>4315.713016</v>
      </c>
      <c r="V44" s="10">
        <v>4089.774882</v>
      </c>
      <c r="W44" s="10">
        <v>3741.645776</v>
      </c>
      <c r="X44" s="10">
        <v>3350.206265</v>
      </c>
      <c r="Y44" s="10">
        <v>2932.021915</v>
      </c>
      <c r="Z44" s="10">
        <v>2631.845055</v>
      </c>
      <c r="AA44" s="11">
        <f t="shared" si="1"/>
        <v>88539.6975</v>
      </c>
      <c r="AB44" s="50">
        <v>5.0</v>
      </c>
      <c r="AC44" s="11">
        <f t="shared" si="2"/>
        <v>442698.4875</v>
      </c>
      <c r="AD44" s="13"/>
    </row>
    <row r="45" ht="14.25" customHeight="1">
      <c r="A45" s="8">
        <v>47088.0</v>
      </c>
      <c r="B45" s="9" t="s">
        <v>36</v>
      </c>
      <c r="C45" s="10">
        <v>2437.32433</v>
      </c>
      <c r="D45" s="10">
        <v>2316.269651</v>
      </c>
      <c r="E45" s="10">
        <v>2204.428236</v>
      </c>
      <c r="F45" s="10">
        <v>2147.603935</v>
      </c>
      <c r="G45" s="10">
        <v>2099.69202</v>
      </c>
      <c r="H45" s="10">
        <v>2058.497363</v>
      </c>
      <c r="I45" s="10">
        <v>2125.037457</v>
      </c>
      <c r="J45" s="10">
        <v>2375.422875</v>
      </c>
      <c r="K45" s="10">
        <v>2704.743275</v>
      </c>
      <c r="L45" s="10">
        <v>3162.704957</v>
      </c>
      <c r="M45" s="10">
        <v>3532.657307</v>
      </c>
      <c r="N45" s="10">
        <v>3742.081088</v>
      </c>
      <c r="O45" s="10">
        <v>3814.219431</v>
      </c>
      <c r="P45" s="10">
        <v>3831.626175</v>
      </c>
      <c r="Q45" s="10">
        <v>3805.159168</v>
      </c>
      <c r="R45" s="10">
        <v>3786.732641</v>
      </c>
      <c r="S45" s="10">
        <v>3697.146583</v>
      </c>
      <c r="T45" s="10">
        <v>3607.442096</v>
      </c>
      <c r="U45" s="10">
        <v>3557.224944</v>
      </c>
      <c r="V45" s="10">
        <v>3379.984209</v>
      </c>
      <c r="W45" s="10">
        <v>3093.075422</v>
      </c>
      <c r="X45" s="10">
        <v>2763.587939</v>
      </c>
      <c r="Y45" s="10">
        <v>2467.16309</v>
      </c>
      <c r="Z45" s="10">
        <v>2252.630787</v>
      </c>
      <c r="AA45" s="11">
        <f t="shared" si="1"/>
        <v>70962.45498</v>
      </c>
      <c r="AB45" s="50">
        <v>7.0</v>
      </c>
      <c r="AC45" s="11">
        <f t="shared" si="2"/>
        <v>496737.1849</v>
      </c>
      <c r="AD45" s="14"/>
    </row>
    <row r="46" ht="14.25" customHeight="1">
      <c r="AB46" s="15" t="s">
        <v>32</v>
      </c>
      <c r="AC46" s="11">
        <f t="shared" ref="AC46:AD46" si="3">SUM(AC10:AC45)</f>
        <v>45577731.65</v>
      </c>
      <c r="AD46" s="11">
        <f t="shared" si="3"/>
        <v>45577731.65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6" t="s">
        <v>3</v>
      </c>
    </row>
    <row r="5" ht="14.25" customHeight="1">
      <c r="A5" s="17"/>
      <c r="B5" s="16" t="s">
        <v>53</v>
      </c>
    </row>
    <row r="6" ht="14.25" customHeight="1">
      <c r="A6" s="17"/>
      <c r="B6" s="18" t="s">
        <v>38</v>
      </c>
    </row>
    <row r="7" ht="14.25" customHeight="1">
      <c r="A7" s="17"/>
      <c r="B7" s="19" t="s">
        <v>39</v>
      </c>
    </row>
    <row r="8" ht="14.25" customHeight="1">
      <c r="A8" s="17"/>
      <c r="B8" s="20" t="s">
        <v>40</v>
      </c>
    </row>
    <row r="9" ht="14.25" customHeight="1">
      <c r="A9" s="17"/>
      <c r="B9" s="19"/>
      <c r="C9" s="19"/>
      <c r="D9" s="19"/>
      <c r="E9" s="19"/>
    </row>
    <row r="10" ht="14.25" customHeight="1">
      <c r="A10" s="17"/>
      <c r="B10" s="21" t="s">
        <v>41</v>
      </c>
      <c r="C10" s="22"/>
      <c r="D10" s="22"/>
      <c r="E10" s="22"/>
      <c r="F10" s="23"/>
    </row>
    <row r="11">
      <c r="A11" s="17"/>
      <c r="B11" s="24" t="s">
        <v>4</v>
      </c>
      <c r="C11" s="25" t="s">
        <v>42</v>
      </c>
      <c r="D11" s="51" t="s">
        <v>43</v>
      </c>
      <c r="E11" s="51" t="s">
        <v>44</v>
      </c>
      <c r="F11" s="52" t="s">
        <v>45</v>
      </c>
    </row>
    <row r="12" ht="14.25" customHeight="1">
      <c r="A12" s="17"/>
      <c r="B12" s="28">
        <v>46783.0</v>
      </c>
      <c r="C12" s="53">
        <f>'Cant. Requeridas Producto 2'!AD10</f>
        <v>4769867.584</v>
      </c>
      <c r="D12" s="30"/>
      <c r="E12" s="34">
        <f>C12*$D$12</f>
        <v>0</v>
      </c>
      <c r="F12" s="32"/>
    </row>
    <row r="13" ht="14.25" customHeight="1">
      <c r="A13" s="17"/>
      <c r="B13" s="28">
        <v>46784.0</v>
      </c>
      <c r="C13" s="53">
        <f>'Cant. Requeridas Producto 2'!AD13</f>
        <v>4570477.254</v>
      </c>
      <c r="D13" s="33"/>
      <c r="E13" s="34">
        <f t="shared" ref="E13:E23" si="1">C13*$D$13</f>
        <v>0</v>
      </c>
      <c r="F13" s="35"/>
    </row>
    <row r="14" ht="14.25" customHeight="1">
      <c r="A14" s="17"/>
      <c r="B14" s="28">
        <v>46813.0</v>
      </c>
      <c r="C14" s="53">
        <f>'Cant. Requeridas Producto 2'!AD16</f>
        <v>5060090.225</v>
      </c>
      <c r="D14" s="33"/>
      <c r="E14" s="34">
        <f t="shared" si="1"/>
        <v>0</v>
      </c>
      <c r="F14" s="35"/>
    </row>
    <row r="15" ht="14.25" customHeight="1">
      <c r="A15" s="17"/>
      <c r="B15" s="28">
        <v>46844.0</v>
      </c>
      <c r="C15" s="53">
        <f>'Cant. Requeridas Producto 2'!AD19</f>
        <v>4781803.173</v>
      </c>
      <c r="D15" s="33"/>
      <c r="E15" s="34">
        <f t="shared" si="1"/>
        <v>0</v>
      </c>
      <c r="F15" s="35"/>
    </row>
    <row r="16" ht="14.25" customHeight="1">
      <c r="A16" s="17"/>
      <c r="B16" s="28">
        <v>46874.0</v>
      </c>
      <c r="C16" s="54">
        <f>'Cant. Requeridas Producto 2'!AD22</f>
        <v>3209184.733</v>
      </c>
      <c r="D16" s="33"/>
      <c r="E16" s="34">
        <f t="shared" si="1"/>
        <v>0</v>
      </c>
      <c r="F16" s="35"/>
    </row>
    <row r="17" ht="14.25" customHeight="1">
      <c r="A17" s="17"/>
      <c r="B17" s="28">
        <v>46905.0</v>
      </c>
      <c r="C17" s="54">
        <f>'Cant. Requeridas Producto 2'!AD25</f>
        <v>3292487.51</v>
      </c>
      <c r="D17" s="33"/>
      <c r="E17" s="34">
        <f t="shared" si="1"/>
        <v>0</v>
      </c>
      <c r="F17" s="35"/>
    </row>
    <row r="18" ht="14.25" customHeight="1">
      <c r="A18" s="17"/>
      <c r="B18" s="28">
        <v>46935.0</v>
      </c>
      <c r="C18" s="54">
        <f>'Cant. Requeridas Producto 2'!AD28</f>
        <v>3368897.426</v>
      </c>
      <c r="D18" s="33"/>
      <c r="E18" s="34">
        <f t="shared" si="1"/>
        <v>0</v>
      </c>
      <c r="F18" s="35"/>
    </row>
    <row r="19" ht="14.25" customHeight="1">
      <c r="A19" s="17"/>
      <c r="B19" s="28">
        <v>46966.0</v>
      </c>
      <c r="C19" s="54">
        <f>'Cant. Requeridas Producto 2'!AD31</f>
        <v>3409758.779</v>
      </c>
      <c r="D19" s="33"/>
      <c r="E19" s="34">
        <f t="shared" si="1"/>
        <v>0</v>
      </c>
      <c r="F19" s="35"/>
    </row>
    <row r="20" ht="14.25" customHeight="1">
      <c r="A20" s="17"/>
      <c r="B20" s="28">
        <v>46997.0</v>
      </c>
      <c r="C20" s="54">
        <f>'Cant. Requeridas Producto 2'!AD34</f>
        <v>3541694.695</v>
      </c>
      <c r="D20" s="33"/>
      <c r="E20" s="34">
        <f t="shared" si="1"/>
        <v>0</v>
      </c>
      <c r="F20" s="35"/>
    </row>
    <row r="21" ht="14.25" customHeight="1">
      <c r="A21" s="17"/>
      <c r="B21" s="28">
        <v>47027.0</v>
      </c>
      <c r="C21" s="54">
        <f>'Cant. Requeridas Producto 2'!AD37</f>
        <v>3409758.779</v>
      </c>
      <c r="D21" s="33"/>
      <c r="E21" s="34">
        <f t="shared" si="1"/>
        <v>0</v>
      </c>
      <c r="F21" s="35"/>
    </row>
    <row r="22" ht="14.25" customHeight="1">
      <c r="A22" s="17"/>
      <c r="B22" s="28">
        <v>47058.0</v>
      </c>
      <c r="C22" s="53">
        <f>'Cant. Requeridas Producto 2'!AD40</f>
        <v>3389325.378</v>
      </c>
      <c r="D22" s="33"/>
      <c r="E22" s="34">
        <f t="shared" si="1"/>
        <v>0</v>
      </c>
      <c r="F22" s="35"/>
    </row>
    <row r="23" ht="14.25" customHeight="1">
      <c r="A23" s="17"/>
      <c r="B23" s="28">
        <v>47088.0</v>
      </c>
      <c r="C23" s="53">
        <f>'Cant. Requeridas Producto 2'!AD43</f>
        <v>2774386.116</v>
      </c>
      <c r="D23" s="37"/>
      <c r="E23" s="38">
        <f t="shared" si="1"/>
        <v>0</v>
      </c>
      <c r="F23" s="39"/>
    </row>
    <row r="24" ht="14.25" customHeight="1">
      <c r="A24" s="17"/>
      <c r="B24" s="40" t="s">
        <v>32</v>
      </c>
      <c r="C24" s="41">
        <f>SUM(C12:C23)</f>
        <v>45577731.65</v>
      </c>
      <c r="D24" s="55"/>
      <c r="E24" s="41">
        <f>SUM(E12:E23)</f>
        <v>0</v>
      </c>
      <c r="F24" s="55"/>
    </row>
    <row r="25" ht="14.25" customHeight="1">
      <c r="A25" s="17"/>
      <c r="B25" s="19"/>
      <c r="C25" s="44"/>
      <c r="D25" s="19"/>
      <c r="E25" s="19"/>
    </row>
    <row r="26" ht="14.25" customHeight="1">
      <c r="C26" s="45"/>
    </row>
    <row r="27" ht="30.0" customHeight="1">
      <c r="B27" s="46" t="s">
        <v>46</v>
      </c>
      <c r="E27" s="47"/>
    </row>
    <row r="28" ht="38.25" customHeight="1">
      <c r="B28" s="46" t="s">
        <v>54</v>
      </c>
      <c r="I28" s="46"/>
    </row>
    <row r="29" ht="44.25" customHeight="1">
      <c r="B29" s="46" t="s">
        <v>48</v>
      </c>
      <c r="I29" s="46"/>
    </row>
    <row r="30" ht="14.25" customHeight="1">
      <c r="B30" s="48"/>
    </row>
    <row r="31" ht="14.25" customHeight="1"/>
    <row r="32" ht="14.25" customHeight="1"/>
    <row r="33" ht="14.25" customHeight="1">
      <c r="B33" s="49"/>
      <c r="C33" s="49"/>
    </row>
    <row r="34" ht="14.25" customHeight="1">
      <c r="B34" s="5" t="s">
        <v>49</v>
      </c>
    </row>
    <row r="35" ht="14.25" customHeight="1">
      <c r="B35" s="5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2">
    <mergeCell ref="B28:E28"/>
    <mergeCell ref="I28:N28"/>
    <mergeCell ref="I29:N29"/>
    <mergeCell ref="B29:E29"/>
    <mergeCell ref="B30:E30"/>
    <mergeCell ref="A4:F4"/>
    <mergeCell ref="B5:E5"/>
    <mergeCell ref="B6:E6"/>
    <mergeCell ref="B7:E7"/>
    <mergeCell ref="B8:E8"/>
    <mergeCell ref="B10:F10"/>
    <mergeCell ref="B27:D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2" t="s">
        <v>55</v>
      </c>
      <c r="AD2" s="1"/>
    </row>
    <row r="3" ht="14.25" customHeight="1">
      <c r="A3" s="1" t="s">
        <v>56</v>
      </c>
      <c r="AD3" s="1"/>
    </row>
    <row r="4" ht="14.25" customHeight="1">
      <c r="A4" s="2" t="s">
        <v>3</v>
      </c>
      <c r="AD4" s="1"/>
    </row>
    <row r="5" ht="14.25" customHeight="1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  <c r="AA5" s="5"/>
      <c r="AB5" s="5"/>
    </row>
    <row r="6" ht="14.25" customHeight="1">
      <c r="A6" s="3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5"/>
      <c r="X6" s="5"/>
      <c r="Y6" s="5"/>
      <c r="Z6" s="5"/>
      <c r="AA6" s="5"/>
      <c r="AB6" s="5"/>
    </row>
    <row r="7" ht="14.25" customHeight="1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4.25" customHeight="1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</row>
    <row r="10" ht="14.25" customHeight="1">
      <c r="A10" s="8">
        <v>47119.0</v>
      </c>
      <c r="B10" s="9" t="s">
        <v>34</v>
      </c>
      <c r="C10" s="9">
        <v>5314.59</v>
      </c>
      <c r="D10" s="9">
        <v>5097.114</v>
      </c>
      <c r="E10" s="9">
        <v>4975.47</v>
      </c>
      <c r="F10" s="9">
        <v>4925.736</v>
      </c>
      <c r="G10" s="9">
        <v>5001.696</v>
      </c>
      <c r="H10" s="9">
        <v>5322.69</v>
      </c>
      <c r="I10" s="9">
        <v>6440.508</v>
      </c>
      <c r="J10" s="9">
        <v>8081.46</v>
      </c>
      <c r="K10" s="9">
        <v>9454.32</v>
      </c>
      <c r="L10" s="9">
        <v>10381.446</v>
      </c>
      <c r="M10" s="9">
        <v>11135.736</v>
      </c>
      <c r="N10" s="9">
        <v>11589.696</v>
      </c>
      <c r="O10" s="9">
        <v>11437.236</v>
      </c>
      <c r="P10" s="9">
        <v>11476.314</v>
      </c>
      <c r="Q10" s="9">
        <v>11780.406</v>
      </c>
      <c r="R10" s="9">
        <v>11785.374</v>
      </c>
      <c r="S10" s="9">
        <v>11453.166</v>
      </c>
      <c r="T10" s="9">
        <v>10688.652</v>
      </c>
      <c r="U10" s="9">
        <v>10125.486</v>
      </c>
      <c r="V10" s="9">
        <v>9485.658</v>
      </c>
      <c r="W10" s="9">
        <v>8639.766</v>
      </c>
      <c r="X10" s="9">
        <v>7678.134</v>
      </c>
      <c r="Y10" s="9">
        <v>6654.078</v>
      </c>
      <c r="Z10" s="9">
        <v>5955.066</v>
      </c>
      <c r="AA10" s="11">
        <f t="shared" ref="AA10:AA45" si="1">SUM(C10:Z10)</f>
        <v>204879.798</v>
      </c>
      <c r="AB10" s="11">
        <v>21.0</v>
      </c>
      <c r="AC10" s="11">
        <f t="shared" ref="AC10:AC45" si="2">AA10*AB10</f>
        <v>4302475.758</v>
      </c>
      <c r="AD10" s="12">
        <f>SUM(AC10:AC12)</f>
        <v>5957049.258</v>
      </c>
    </row>
    <row r="11" ht="14.25" customHeight="1">
      <c r="A11" s="8">
        <v>47119.0</v>
      </c>
      <c r="B11" s="9" t="s">
        <v>35</v>
      </c>
      <c r="C11" s="9">
        <v>5774.94</v>
      </c>
      <c r="D11" s="9">
        <v>5473.458</v>
      </c>
      <c r="E11" s="9">
        <v>5305.356</v>
      </c>
      <c r="F11" s="9">
        <v>5175.036</v>
      </c>
      <c r="G11" s="9">
        <v>5200.002</v>
      </c>
      <c r="H11" s="9">
        <v>5221.224</v>
      </c>
      <c r="I11" s="9">
        <v>5981.202</v>
      </c>
      <c r="J11" s="9">
        <v>7343.73</v>
      </c>
      <c r="K11" s="9">
        <v>8638.092</v>
      </c>
      <c r="L11" s="9">
        <v>9648.99</v>
      </c>
      <c r="M11" s="9">
        <v>10279.818</v>
      </c>
      <c r="N11" s="9">
        <v>10569.312</v>
      </c>
      <c r="O11" s="9">
        <v>10272.798</v>
      </c>
      <c r="P11" s="9">
        <v>9947.232</v>
      </c>
      <c r="Q11" s="9">
        <v>9723.762</v>
      </c>
      <c r="R11" s="9">
        <v>9669.564</v>
      </c>
      <c r="S11" s="9">
        <v>9553.41</v>
      </c>
      <c r="T11" s="9">
        <v>9372.888</v>
      </c>
      <c r="U11" s="9">
        <v>9155.484</v>
      </c>
      <c r="V11" s="9">
        <v>8676.162</v>
      </c>
      <c r="W11" s="9">
        <v>7937.64</v>
      </c>
      <c r="X11" s="9">
        <v>7107.228</v>
      </c>
      <c r="Y11" s="9">
        <v>6220.08</v>
      </c>
      <c r="Z11" s="9">
        <v>5583.276</v>
      </c>
      <c r="AA11" s="11">
        <f t="shared" si="1"/>
        <v>187830.684</v>
      </c>
      <c r="AB11" s="11">
        <v>4.0</v>
      </c>
      <c r="AC11" s="11">
        <f t="shared" si="2"/>
        <v>751322.736</v>
      </c>
      <c r="AD11" s="13"/>
    </row>
    <row r="12" ht="14.25" customHeight="1">
      <c r="A12" s="8">
        <v>47119.0</v>
      </c>
      <c r="B12" s="9" t="s">
        <v>36</v>
      </c>
      <c r="C12" s="9">
        <v>5170.608</v>
      </c>
      <c r="D12" s="9">
        <v>4913.802</v>
      </c>
      <c r="E12" s="9">
        <v>4676.544</v>
      </c>
      <c r="F12" s="9">
        <v>4555.98</v>
      </c>
      <c r="G12" s="9">
        <v>4454.352</v>
      </c>
      <c r="H12" s="9">
        <v>4366.962</v>
      </c>
      <c r="I12" s="9">
        <v>4508.118</v>
      </c>
      <c r="J12" s="9">
        <v>5039.298</v>
      </c>
      <c r="K12" s="9">
        <v>5737.914</v>
      </c>
      <c r="L12" s="9">
        <v>6709.446</v>
      </c>
      <c r="M12" s="9">
        <v>7494.282</v>
      </c>
      <c r="N12" s="9">
        <v>7938.558</v>
      </c>
      <c r="O12" s="9">
        <v>8091.594</v>
      </c>
      <c r="P12" s="9">
        <v>8128.53</v>
      </c>
      <c r="Q12" s="9">
        <v>8072.37</v>
      </c>
      <c r="R12" s="9">
        <v>8033.274</v>
      </c>
      <c r="S12" s="9">
        <v>7843.23</v>
      </c>
      <c r="T12" s="9">
        <v>7652.934</v>
      </c>
      <c r="U12" s="9">
        <v>7546.392</v>
      </c>
      <c r="V12" s="9">
        <v>7170.39</v>
      </c>
      <c r="W12" s="9">
        <v>6561.738</v>
      </c>
      <c r="X12" s="9">
        <v>5862.762</v>
      </c>
      <c r="Y12" s="9">
        <v>5233.914</v>
      </c>
      <c r="Z12" s="9">
        <v>4778.802</v>
      </c>
      <c r="AA12" s="11">
        <f t="shared" si="1"/>
        <v>150541.794</v>
      </c>
      <c r="AB12" s="11">
        <v>6.0</v>
      </c>
      <c r="AC12" s="11">
        <f t="shared" si="2"/>
        <v>903250.764</v>
      </c>
      <c r="AD12" s="14"/>
    </row>
    <row r="13" ht="14.25" customHeight="1">
      <c r="A13" s="8">
        <v>47150.0</v>
      </c>
      <c r="B13" s="9" t="s">
        <v>34</v>
      </c>
      <c r="C13" s="9">
        <v>5314.59</v>
      </c>
      <c r="D13" s="9">
        <v>5097.114</v>
      </c>
      <c r="E13" s="9">
        <v>4975.47</v>
      </c>
      <c r="F13" s="9">
        <v>4925.736</v>
      </c>
      <c r="G13" s="9">
        <v>5001.696</v>
      </c>
      <c r="H13" s="9">
        <v>5322.69</v>
      </c>
      <c r="I13" s="9">
        <v>6440.508</v>
      </c>
      <c r="J13" s="9">
        <v>8081.46</v>
      </c>
      <c r="K13" s="9">
        <v>9454.32</v>
      </c>
      <c r="L13" s="9">
        <v>10381.446</v>
      </c>
      <c r="M13" s="9">
        <v>11135.736</v>
      </c>
      <c r="N13" s="9">
        <v>11589.696</v>
      </c>
      <c r="O13" s="9">
        <v>11437.236</v>
      </c>
      <c r="P13" s="9">
        <v>11476.314</v>
      </c>
      <c r="Q13" s="9">
        <v>11780.406</v>
      </c>
      <c r="R13" s="9">
        <v>11785.374</v>
      </c>
      <c r="S13" s="9">
        <v>11453.166</v>
      </c>
      <c r="T13" s="9">
        <v>10688.652</v>
      </c>
      <c r="U13" s="9">
        <v>10125.486</v>
      </c>
      <c r="V13" s="9">
        <v>9485.658</v>
      </c>
      <c r="W13" s="9">
        <v>8639.766</v>
      </c>
      <c r="X13" s="9">
        <v>7678.134</v>
      </c>
      <c r="Y13" s="9">
        <v>6654.078</v>
      </c>
      <c r="Z13" s="9">
        <v>5955.066</v>
      </c>
      <c r="AA13" s="11">
        <f t="shared" si="1"/>
        <v>204879.798</v>
      </c>
      <c r="AB13" s="11">
        <v>20.0</v>
      </c>
      <c r="AC13" s="11">
        <f t="shared" si="2"/>
        <v>4097595.96</v>
      </c>
      <c r="AD13" s="12">
        <f>SUM(AC13:AC15)</f>
        <v>5451085.872</v>
      </c>
    </row>
    <row r="14" ht="14.25" customHeight="1">
      <c r="A14" s="8">
        <v>47150.0</v>
      </c>
      <c r="B14" s="9" t="s">
        <v>35</v>
      </c>
      <c r="C14" s="9">
        <v>5774.94</v>
      </c>
      <c r="D14" s="9">
        <v>5473.458</v>
      </c>
      <c r="E14" s="9">
        <v>5305.356</v>
      </c>
      <c r="F14" s="9">
        <v>5175.036</v>
      </c>
      <c r="G14" s="9">
        <v>5200.002</v>
      </c>
      <c r="H14" s="9">
        <v>5221.224</v>
      </c>
      <c r="I14" s="9">
        <v>5981.202</v>
      </c>
      <c r="J14" s="9">
        <v>7343.73</v>
      </c>
      <c r="K14" s="9">
        <v>8638.092</v>
      </c>
      <c r="L14" s="9">
        <v>9648.99</v>
      </c>
      <c r="M14" s="9">
        <v>10279.818</v>
      </c>
      <c r="N14" s="9">
        <v>10569.312</v>
      </c>
      <c r="O14" s="9">
        <v>10272.798</v>
      </c>
      <c r="P14" s="9">
        <v>9947.232</v>
      </c>
      <c r="Q14" s="9">
        <v>9723.762</v>
      </c>
      <c r="R14" s="9">
        <v>9669.564</v>
      </c>
      <c r="S14" s="9">
        <v>9553.41</v>
      </c>
      <c r="T14" s="9">
        <v>9372.888</v>
      </c>
      <c r="U14" s="9">
        <v>9155.484</v>
      </c>
      <c r="V14" s="9">
        <v>8676.162</v>
      </c>
      <c r="W14" s="9">
        <v>7937.64</v>
      </c>
      <c r="X14" s="9">
        <v>7107.228</v>
      </c>
      <c r="Y14" s="9">
        <v>6220.08</v>
      </c>
      <c r="Z14" s="9">
        <v>5583.276</v>
      </c>
      <c r="AA14" s="11">
        <f t="shared" si="1"/>
        <v>187830.684</v>
      </c>
      <c r="AB14" s="11">
        <v>4.0</v>
      </c>
      <c r="AC14" s="11">
        <f t="shared" si="2"/>
        <v>751322.736</v>
      </c>
      <c r="AD14" s="13"/>
    </row>
    <row r="15" ht="14.25" customHeight="1">
      <c r="A15" s="8">
        <v>47150.0</v>
      </c>
      <c r="B15" s="9" t="s">
        <v>36</v>
      </c>
      <c r="C15" s="9">
        <v>5170.608</v>
      </c>
      <c r="D15" s="9">
        <v>4913.802</v>
      </c>
      <c r="E15" s="9">
        <v>4676.544</v>
      </c>
      <c r="F15" s="9">
        <v>4555.98</v>
      </c>
      <c r="G15" s="9">
        <v>4454.352</v>
      </c>
      <c r="H15" s="9">
        <v>4366.962</v>
      </c>
      <c r="I15" s="9">
        <v>4508.118</v>
      </c>
      <c r="J15" s="9">
        <v>5039.298</v>
      </c>
      <c r="K15" s="9">
        <v>5737.914</v>
      </c>
      <c r="L15" s="9">
        <v>6709.446</v>
      </c>
      <c r="M15" s="9">
        <v>7494.282</v>
      </c>
      <c r="N15" s="9">
        <v>7938.558</v>
      </c>
      <c r="O15" s="9">
        <v>8091.594</v>
      </c>
      <c r="P15" s="9">
        <v>8128.53</v>
      </c>
      <c r="Q15" s="9">
        <v>8072.37</v>
      </c>
      <c r="R15" s="9">
        <v>8033.274</v>
      </c>
      <c r="S15" s="9">
        <v>7843.23</v>
      </c>
      <c r="T15" s="9">
        <v>7652.934</v>
      </c>
      <c r="U15" s="9">
        <v>7546.392</v>
      </c>
      <c r="V15" s="9">
        <v>7170.39</v>
      </c>
      <c r="W15" s="9">
        <v>6561.738</v>
      </c>
      <c r="X15" s="9">
        <v>5862.762</v>
      </c>
      <c r="Y15" s="9">
        <v>5233.914</v>
      </c>
      <c r="Z15" s="9">
        <v>4778.802</v>
      </c>
      <c r="AA15" s="11">
        <f t="shared" si="1"/>
        <v>150541.794</v>
      </c>
      <c r="AB15" s="11">
        <v>4.0</v>
      </c>
      <c r="AC15" s="11">
        <f t="shared" si="2"/>
        <v>602167.176</v>
      </c>
      <c r="AD15" s="14"/>
    </row>
    <row r="16" ht="14.25" customHeight="1">
      <c r="A16" s="8">
        <v>47178.0</v>
      </c>
      <c r="B16" s="9" t="s">
        <v>34</v>
      </c>
      <c r="C16" s="9">
        <v>5314.59</v>
      </c>
      <c r="D16" s="9">
        <v>5097.114</v>
      </c>
      <c r="E16" s="9">
        <v>4975.47</v>
      </c>
      <c r="F16" s="9">
        <v>4925.736</v>
      </c>
      <c r="G16" s="9">
        <v>5001.696</v>
      </c>
      <c r="H16" s="9">
        <v>5322.69</v>
      </c>
      <c r="I16" s="9">
        <v>6440.508</v>
      </c>
      <c r="J16" s="9">
        <v>8081.46</v>
      </c>
      <c r="K16" s="9">
        <v>9454.32</v>
      </c>
      <c r="L16" s="9">
        <v>10381.446</v>
      </c>
      <c r="M16" s="9">
        <v>11135.736</v>
      </c>
      <c r="N16" s="9">
        <v>11589.696</v>
      </c>
      <c r="O16" s="9">
        <v>11437.236</v>
      </c>
      <c r="P16" s="9">
        <v>11476.314</v>
      </c>
      <c r="Q16" s="9">
        <v>11780.406</v>
      </c>
      <c r="R16" s="9">
        <v>11785.374</v>
      </c>
      <c r="S16" s="9">
        <v>11453.166</v>
      </c>
      <c r="T16" s="9">
        <v>10688.652</v>
      </c>
      <c r="U16" s="9">
        <v>10125.486</v>
      </c>
      <c r="V16" s="9">
        <v>9485.658</v>
      </c>
      <c r="W16" s="9">
        <v>8639.766</v>
      </c>
      <c r="X16" s="9">
        <v>7678.134</v>
      </c>
      <c r="Y16" s="9">
        <v>6654.078</v>
      </c>
      <c r="Z16" s="9">
        <v>5955.066</v>
      </c>
      <c r="AA16" s="11">
        <f t="shared" si="1"/>
        <v>204879.798</v>
      </c>
      <c r="AB16" s="11">
        <v>19.0</v>
      </c>
      <c r="AC16" s="11">
        <f t="shared" si="2"/>
        <v>3892716.162</v>
      </c>
      <c r="AD16" s="12">
        <f>SUM(AC16:AC18)</f>
        <v>5885662.14</v>
      </c>
    </row>
    <row r="17" ht="14.25" customHeight="1">
      <c r="A17" s="8">
        <v>47178.0</v>
      </c>
      <c r="B17" s="9" t="s">
        <v>35</v>
      </c>
      <c r="C17" s="9">
        <v>5774.94</v>
      </c>
      <c r="D17" s="9">
        <v>5473.458</v>
      </c>
      <c r="E17" s="9">
        <v>5305.356</v>
      </c>
      <c r="F17" s="9">
        <v>5175.036</v>
      </c>
      <c r="G17" s="9">
        <v>5200.002</v>
      </c>
      <c r="H17" s="9">
        <v>5221.224</v>
      </c>
      <c r="I17" s="9">
        <v>5981.202</v>
      </c>
      <c r="J17" s="9">
        <v>7343.73</v>
      </c>
      <c r="K17" s="9">
        <v>8638.092</v>
      </c>
      <c r="L17" s="9">
        <v>9648.99</v>
      </c>
      <c r="M17" s="9">
        <v>10279.818</v>
      </c>
      <c r="N17" s="9">
        <v>10569.312</v>
      </c>
      <c r="O17" s="9">
        <v>10272.798</v>
      </c>
      <c r="P17" s="9">
        <v>9947.232</v>
      </c>
      <c r="Q17" s="9">
        <v>9723.762</v>
      </c>
      <c r="R17" s="9">
        <v>9669.564</v>
      </c>
      <c r="S17" s="9">
        <v>9553.41</v>
      </c>
      <c r="T17" s="9">
        <v>9372.888</v>
      </c>
      <c r="U17" s="9">
        <v>9155.484</v>
      </c>
      <c r="V17" s="9">
        <v>8676.162</v>
      </c>
      <c r="W17" s="9">
        <v>7937.64</v>
      </c>
      <c r="X17" s="9">
        <v>7107.228</v>
      </c>
      <c r="Y17" s="9">
        <v>6220.08</v>
      </c>
      <c r="Z17" s="9">
        <v>5583.276</v>
      </c>
      <c r="AA17" s="11">
        <f t="shared" si="1"/>
        <v>187830.684</v>
      </c>
      <c r="AB17" s="11">
        <v>5.0</v>
      </c>
      <c r="AC17" s="11">
        <f t="shared" si="2"/>
        <v>939153.42</v>
      </c>
      <c r="AD17" s="13"/>
    </row>
    <row r="18" ht="14.25" customHeight="1">
      <c r="A18" s="8">
        <v>47178.0</v>
      </c>
      <c r="B18" s="9" t="s">
        <v>36</v>
      </c>
      <c r="C18" s="9">
        <v>5170.608</v>
      </c>
      <c r="D18" s="9">
        <v>4913.802</v>
      </c>
      <c r="E18" s="9">
        <v>4676.544</v>
      </c>
      <c r="F18" s="9">
        <v>4555.98</v>
      </c>
      <c r="G18" s="9">
        <v>4454.352</v>
      </c>
      <c r="H18" s="9">
        <v>4366.962</v>
      </c>
      <c r="I18" s="9">
        <v>4508.118</v>
      </c>
      <c r="J18" s="9">
        <v>5039.298</v>
      </c>
      <c r="K18" s="9">
        <v>5737.914</v>
      </c>
      <c r="L18" s="9">
        <v>6709.446</v>
      </c>
      <c r="M18" s="9">
        <v>7494.282</v>
      </c>
      <c r="N18" s="9">
        <v>7938.558</v>
      </c>
      <c r="O18" s="9">
        <v>8091.594</v>
      </c>
      <c r="P18" s="9">
        <v>8128.53</v>
      </c>
      <c r="Q18" s="9">
        <v>8072.37</v>
      </c>
      <c r="R18" s="9">
        <v>8033.274</v>
      </c>
      <c r="S18" s="9">
        <v>7843.23</v>
      </c>
      <c r="T18" s="9">
        <v>7652.934</v>
      </c>
      <c r="U18" s="9">
        <v>7546.392</v>
      </c>
      <c r="V18" s="9">
        <v>7170.39</v>
      </c>
      <c r="W18" s="9">
        <v>6561.738</v>
      </c>
      <c r="X18" s="9">
        <v>5862.762</v>
      </c>
      <c r="Y18" s="9">
        <v>5233.914</v>
      </c>
      <c r="Z18" s="9">
        <v>4778.802</v>
      </c>
      <c r="AA18" s="11">
        <f t="shared" si="1"/>
        <v>150541.794</v>
      </c>
      <c r="AB18" s="11">
        <v>7.0</v>
      </c>
      <c r="AC18" s="11">
        <f t="shared" si="2"/>
        <v>1053792.558</v>
      </c>
      <c r="AD18" s="14"/>
    </row>
    <row r="19" ht="14.25" customHeight="1">
      <c r="A19" s="8">
        <v>47209.0</v>
      </c>
      <c r="B19" s="9" t="s">
        <v>34</v>
      </c>
      <c r="C19" s="9">
        <v>5314.59</v>
      </c>
      <c r="D19" s="9">
        <v>5097.114</v>
      </c>
      <c r="E19" s="9">
        <v>4975.47</v>
      </c>
      <c r="F19" s="9">
        <v>4925.736</v>
      </c>
      <c r="G19" s="9">
        <v>5001.696</v>
      </c>
      <c r="H19" s="9">
        <v>5322.69</v>
      </c>
      <c r="I19" s="9">
        <v>6440.508</v>
      </c>
      <c r="J19" s="9">
        <v>8081.46</v>
      </c>
      <c r="K19" s="9">
        <v>9454.32</v>
      </c>
      <c r="L19" s="9">
        <v>10381.446</v>
      </c>
      <c r="M19" s="9">
        <v>11135.736</v>
      </c>
      <c r="N19" s="9">
        <v>11589.696</v>
      </c>
      <c r="O19" s="9">
        <v>11437.236</v>
      </c>
      <c r="P19" s="9">
        <v>11476.314</v>
      </c>
      <c r="Q19" s="9">
        <v>11780.406</v>
      </c>
      <c r="R19" s="9">
        <v>11785.374</v>
      </c>
      <c r="S19" s="9">
        <v>11453.166</v>
      </c>
      <c r="T19" s="9">
        <v>10688.652</v>
      </c>
      <c r="U19" s="9">
        <v>10125.486</v>
      </c>
      <c r="V19" s="9">
        <v>9485.658</v>
      </c>
      <c r="W19" s="9">
        <v>8639.766</v>
      </c>
      <c r="X19" s="9">
        <v>7678.134</v>
      </c>
      <c r="Y19" s="9">
        <v>6654.078</v>
      </c>
      <c r="Z19" s="9">
        <v>5955.066</v>
      </c>
      <c r="AA19" s="11">
        <f t="shared" si="1"/>
        <v>204879.798</v>
      </c>
      <c r="AB19" s="11">
        <v>21.0</v>
      </c>
      <c r="AC19" s="11">
        <f t="shared" si="2"/>
        <v>4302475.758</v>
      </c>
      <c r="AD19" s="12">
        <f>SUM(AC19:AC21)</f>
        <v>5806507.464</v>
      </c>
    </row>
    <row r="20" ht="14.25" customHeight="1">
      <c r="A20" s="8">
        <v>47209.0</v>
      </c>
      <c r="B20" s="9" t="s">
        <v>35</v>
      </c>
      <c r="C20" s="9">
        <v>5774.94</v>
      </c>
      <c r="D20" s="9">
        <v>5473.458</v>
      </c>
      <c r="E20" s="9">
        <v>5305.356</v>
      </c>
      <c r="F20" s="9">
        <v>5175.036</v>
      </c>
      <c r="G20" s="9">
        <v>5200.002</v>
      </c>
      <c r="H20" s="9">
        <v>5221.224</v>
      </c>
      <c r="I20" s="9">
        <v>5981.202</v>
      </c>
      <c r="J20" s="9">
        <v>7343.73</v>
      </c>
      <c r="K20" s="9">
        <v>8638.092</v>
      </c>
      <c r="L20" s="9">
        <v>9648.99</v>
      </c>
      <c r="M20" s="9">
        <v>10279.818</v>
      </c>
      <c r="N20" s="9">
        <v>10569.312</v>
      </c>
      <c r="O20" s="9">
        <v>10272.798</v>
      </c>
      <c r="P20" s="9">
        <v>9947.232</v>
      </c>
      <c r="Q20" s="9">
        <v>9723.762</v>
      </c>
      <c r="R20" s="9">
        <v>9669.564</v>
      </c>
      <c r="S20" s="9">
        <v>9553.41</v>
      </c>
      <c r="T20" s="9">
        <v>9372.888</v>
      </c>
      <c r="U20" s="9">
        <v>9155.484</v>
      </c>
      <c r="V20" s="9">
        <v>8676.162</v>
      </c>
      <c r="W20" s="9">
        <v>7937.64</v>
      </c>
      <c r="X20" s="9">
        <v>7107.228</v>
      </c>
      <c r="Y20" s="9">
        <v>6220.08</v>
      </c>
      <c r="Z20" s="9">
        <v>5583.276</v>
      </c>
      <c r="AA20" s="11">
        <f t="shared" si="1"/>
        <v>187830.684</v>
      </c>
      <c r="AB20" s="11">
        <v>4.0</v>
      </c>
      <c r="AC20" s="11">
        <f t="shared" si="2"/>
        <v>751322.736</v>
      </c>
      <c r="AD20" s="13"/>
    </row>
    <row r="21" ht="14.25" customHeight="1">
      <c r="A21" s="8">
        <v>47209.0</v>
      </c>
      <c r="B21" s="9" t="s">
        <v>36</v>
      </c>
      <c r="C21" s="9">
        <v>5170.608</v>
      </c>
      <c r="D21" s="9">
        <v>4913.802</v>
      </c>
      <c r="E21" s="9">
        <v>4676.544</v>
      </c>
      <c r="F21" s="9">
        <v>4555.98</v>
      </c>
      <c r="G21" s="9">
        <v>4454.352</v>
      </c>
      <c r="H21" s="9">
        <v>4366.962</v>
      </c>
      <c r="I21" s="9">
        <v>4508.118</v>
      </c>
      <c r="J21" s="9">
        <v>5039.298</v>
      </c>
      <c r="K21" s="9">
        <v>5737.914</v>
      </c>
      <c r="L21" s="9">
        <v>6709.446</v>
      </c>
      <c r="M21" s="9">
        <v>7494.282</v>
      </c>
      <c r="N21" s="9">
        <v>7938.558</v>
      </c>
      <c r="O21" s="9">
        <v>8091.594</v>
      </c>
      <c r="P21" s="9">
        <v>8128.53</v>
      </c>
      <c r="Q21" s="9">
        <v>8072.37</v>
      </c>
      <c r="R21" s="9">
        <v>8033.274</v>
      </c>
      <c r="S21" s="9">
        <v>7843.23</v>
      </c>
      <c r="T21" s="9">
        <v>7652.934</v>
      </c>
      <c r="U21" s="9">
        <v>7546.392</v>
      </c>
      <c r="V21" s="9">
        <v>7170.39</v>
      </c>
      <c r="W21" s="9">
        <v>6561.738</v>
      </c>
      <c r="X21" s="9">
        <v>5862.762</v>
      </c>
      <c r="Y21" s="9">
        <v>5233.914</v>
      </c>
      <c r="Z21" s="9">
        <v>4778.802</v>
      </c>
      <c r="AA21" s="11">
        <f t="shared" si="1"/>
        <v>150541.794</v>
      </c>
      <c r="AB21" s="11">
        <v>5.0</v>
      </c>
      <c r="AC21" s="11">
        <f t="shared" si="2"/>
        <v>752708.97</v>
      </c>
      <c r="AD21" s="14"/>
    </row>
    <row r="22" ht="14.25" customHeight="1">
      <c r="A22" s="8">
        <v>47239.0</v>
      </c>
      <c r="B22" s="9" t="s">
        <v>34</v>
      </c>
      <c r="C22" s="9">
        <v>5314.59</v>
      </c>
      <c r="D22" s="9">
        <v>5097.114</v>
      </c>
      <c r="E22" s="9">
        <v>4975.47</v>
      </c>
      <c r="F22" s="9">
        <v>4925.736</v>
      </c>
      <c r="G22" s="9">
        <v>5001.696</v>
      </c>
      <c r="H22" s="9">
        <v>5322.69</v>
      </c>
      <c r="I22" s="9">
        <v>6440.508</v>
      </c>
      <c r="J22" s="9">
        <v>8081.46</v>
      </c>
      <c r="K22" s="9">
        <v>9454.32</v>
      </c>
      <c r="L22" s="9">
        <v>10381.446</v>
      </c>
      <c r="M22" s="9">
        <v>11135.736</v>
      </c>
      <c r="N22" s="9">
        <v>11589.696</v>
      </c>
      <c r="O22" s="9">
        <v>11437.236</v>
      </c>
      <c r="P22" s="9">
        <v>11476.314</v>
      </c>
      <c r="Q22" s="9">
        <v>11780.406</v>
      </c>
      <c r="R22" s="9">
        <v>11785.374</v>
      </c>
      <c r="S22" s="9">
        <v>11453.166</v>
      </c>
      <c r="T22" s="9">
        <v>10688.652</v>
      </c>
      <c r="U22" s="9">
        <v>10125.486</v>
      </c>
      <c r="V22" s="9">
        <v>9485.658</v>
      </c>
      <c r="W22" s="9">
        <v>8639.766</v>
      </c>
      <c r="X22" s="9">
        <v>7678.134</v>
      </c>
      <c r="Y22" s="9">
        <v>6654.078</v>
      </c>
      <c r="Z22" s="9">
        <v>5955.066</v>
      </c>
      <c r="AA22" s="11">
        <f t="shared" si="1"/>
        <v>204879.798</v>
      </c>
      <c r="AB22" s="11">
        <v>21.0</v>
      </c>
      <c r="AC22" s="11">
        <f t="shared" si="2"/>
        <v>4302475.758</v>
      </c>
      <c r="AD22" s="12">
        <f>SUM(AC22:AC24)</f>
        <v>5957049.258</v>
      </c>
    </row>
    <row r="23" ht="14.25" customHeight="1">
      <c r="A23" s="8">
        <v>47239.0</v>
      </c>
      <c r="B23" s="9" t="s">
        <v>35</v>
      </c>
      <c r="C23" s="9">
        <v>5774.94</v>
      </c>
      <c r="D23" s="9">
        <v>5473.458</v>
      </c>
      <c r="E23" s="9">
        <v>5305.356</v>
      </c>
      <c r="F23" s="9">
        <v>5175.036</v>
      </c>
      <c r="G23" s="9">
        <v>5200.002</v>
      </c>
      <c r="H23" s="9">
        <v>5221.224</v>
      </c>
      <c r="I23" s="9">
        <v>5981.202</v>
      </c>
      <c r="J23" s="9">
        <v>7343.73</v>
      </c>
      <c r="K23" s="9">
        <v>8638.092</v>
      </c>
      <c r="L23" s="9">
        <v>9648.99</v>
      </c>
      <c r="M23" s="9">
        <v>10279.818</v>
      </c>
      <c r="N23" s="9">
        <v>10569.312</v>
      </c>
      <c r="O23" s="9">
        <v>10272.798</v>
      </c>
      <c r="P23" s="9">
        <v>9947.232</v>
      </c>
      <c r="Q23" s="9">
        <v>9723.762</v>
      </c>
      <c r="R23" s="9">
        <v>9669.564</v>
      </c>
      <c r="S23" s="9">
        <v>9553.41</v>
      </c>
      <c r="T23" s="9">
        <v>9372.888</v>
      </c>
      <c r="U23" s="9">
        <v>9155.484</v>
      </c>
      <c r="V23" s="9">
        <v>8676.162</v>
      </c>
      <c r="W23" s="9">
        <v>7937.64</v>
      </c>
      <c r="X23" s="9">
        <v>7107.228</v>
      </c>
      <c r="Y23" s="9">
        <v>6220.08</v>
      </c>
      <c r="Z23" s="9">
        <v>5583.276</v>
      </c>
      <c r="AA23" s="11">
        <f t="shared" si="1"/>
        <v>187830.684</v>
      </c>
      <c r="AB23" s="11">
        <v>4.0</v>
      </c>
      <c r="AC23" s="11">
        <f t="shared" si="2"/>
        <v>751322.736</v>
      </c>
      <c r="AD23" s="13"/>
    </row>
    <row r="24" ht="14.25" customHeight="1">
      <c r="A24" s="8">
        <v>47239.0</v>
      </c>
      <c r="B24" s="9" t="s">
        <v>36</v>
      </c>
      <c r="C24" s="9">
        <v>5170.608</v>
      </c>
      <c r="D24" s="9">
        <v>4913.802</v>
      </c>
      <c r="E24" s="9">
        <v>4676.544</v>
      </c>
      <c r="F24" s="9">
        <v>4555.98</v>
      </c>
      <c r="G24" s="9">
        <v>4454.352</v>
      </c>
      <c r="H24" s="9">
        <v>4366.962</v>
      </c>
      <c r="I24" s="9">
        <v>4508.118</v>
      </c>
      <c r="J24" s="9">
        <v>5039.298</v>
      </c>
      <c r="K24" s="9">
        <v>5737.914</v>
      </c>
      <c r="L24" s="9">
        <v>6709.446</v>
      </c>
      <c r="M24" s="9">
        <v>7494.282</v>
      </c>
      <c r="N24" s="9">
        <v>7938.558</v>
      </c>
      <c r="O24" s="9">
        <v>8091.594</v>
      </c>
      <c r="P24" s="9">
        <v>8128.53</v>
      </c>
      <c r="Q24" s="9">
        <v>8072.37</v>
      </c>
      <c r="R24" s="9">
        <v>8033.274</v>
      </c>
      <c r="S24" s="9">
        <v>7843.23</v>
      </c>
      <c r="T24" s="9">
        <v>7652.934</v>
      </c>
      <c r="U24" s="9">
        <v>7546.392</v>
      </c>
      <c r="V24" s="9">
        <v>7170.39</v>
      </c>
      <c r="W24" s="9">
        <v>6561.738</v>
      </c>
      <c r="X24" s="9">
        <v>5862.762</v>
      </c>
      <c r="Y24" s="9">
        <v>5233.914</v>
      </c>
      <c r="Z24" s="9">
        <v>4778.802</v>
      </c>
      <c r="AA24" s="11">
        <f t="shared" si="1"/>
        <v>150541.794</v>
      </c>
      <c r="AB24" s="11">
        <v>6.0</v>
      </c>
      <c r="AC24" s="11">
        <f t="shared" si="2"/>
        <v>903250.764</v>
      </c>
      <c r="AD24" s="14"/>
    </row>
    <row r="25" ht="14.25" customHeight="1">
      <c r="A25" s="8">
        <v>47270.0</v>
      </c>
      <c r="B25" s="9" t="s">
        <v>34</v>
      </c>
      <c r="C25" s="9">
        <v>5314.59</v>
      </c>
      <c r="D25" s="9">
        <v>5097.114</v>
      </c>
      <c r="E25" s="9">
        <v>4975.47</v>
      </c>
      <c r="F25" s="9">
        <v>4925.736</v>
      </c>
      <c r="G25" s="9">
        <v>5001.696</v>
      </c>
      <c r="H25" s="9">
        <v>5322.69</v>
      </c>
      <c r="I25" s="9">
        <v>6440.508</v>
      </c>
      <c r="J25" s="9">
        <v>8081.46</v>
      </c>
      <c r="K25" s="9">
        <v>9454.32</v>
      </c>
      <c r="L25" s="9">
        <v>10381.446</v>
      </c>
      <c r="M25" s="9">
        <v>11135.736</v>
      </c>
      <c r="N25" s="9">
        <v>11589.696</v>
      </c>
      <c r="O25" s="9">
        <v>11437.236</v>
      </c>
      <c r="P25" s="9">
        <v>11476.314</v>
      </c>
      <c r="Q25" s="9">
        <v>11780.406</v>
      </c>
      <c r="R25" s="9">
        <v>11785.374</v>
      </c>
      <c r="S25" s="9">
        <v>11453.166</v>
      </c>
      <c r="T25" s="9">
        <v>10688.652</v>
      </c>
      <c r="U25" s="9">
        <v>10125.486</v>
      </c>
      <c r="V25" s="9">
        <v>9485.658</v>
      </c>
      <c r="W25" s="9">
        <v>8639.766</v>
      </c>
      <c r="X25" s="9">
        <v>7678.134</v>
      </c>
      <c r="Y25" s="9">
        <v>6654.078</v>
      </c>
      <c r="Z25" s="9">
        <v>5955.066</v>
      </c>
      <c r="AA25" s="11">
        <f t="shared" si="1"/>
        <v>204879.798</v>
      </c>
      <c r="AB25" s="11">
        <v>19.0</v>
      </c>
      <c r="AC25" s="11">
        <f t="shared" si="2"/>
        <v>3892716.162</v>
      </c>
      <c r="AD25" s="12">
        <f>SUM(AC25:AC27)</f>
        <v>5735120.346</v>
      </c>
    </row>
    <row r="26" ht="14.25" customHeight="1">
      <c r="A26" s="8">
        <v>47270.0</v>
      </c>
      <c r="B26" s="9" t="s">
        <v>35</v>
      </c>
      <c r="C26" s="9">
        <v>5774.94</v>
      </c>
      <c r="D26" s="9">
        <v>5473.458</v>
      </c>
      <c r="E26" s="9">
        <v>5305.356</v>
      </c>
      <c r="F26" s="9">
        <v>5175.036</v>
      </c>
      <c r="G26" s="9">
        <v>5200.002</v>
      </c>
      <c r="H26" s="9">
        <v>5221.224</v>
      </c>
      <c r="I26" s="9">
        <v>5981.202</v>
      </c>
      <c r="J26" s="9">
        <v>7343.73</v>
      </c>
      <c r="K26" s="9">
        <v>8638.092</v>
      </c>
      <c r="L26" s="9">
        <v>9648.99</v>
      </c>
      <c r="M26" s="9">
        <v>10279.818</v>
      </c>
      <c r="N26" s="9">
        <v>10569.312</v>
      </c>
      <c r="O26" s="9">
        <v>10272.798</v>
      </c>
      <c r="P26" s="9">
        <v>9947.232</v>
      </c>
      <c r="Q26" s="9">
        <v>9723.762</v>
      </c>
      <c r="R26" s="9">
        <v>9669.564</v>
      </c>
      <c r="S26" s="9">
        <v>9553.41</v>
      </c>
      <c r="T26" s="9">
        <v>9372.888</v>
      </c>
      <c r="U26" s="9">
        <v>9155.484</v>
      </c>
      <c r="V26" s="9">
        <v>8676.162</v>
      </c>
      <c r="W26" s="9">
        <v>7937.64</v>
      </c>
      <c r="X26" s="9">
        <v>7107.228</v>
      </c>
      <c r="Y26" s="9">
        <v>6220.08</v>
      </c>
      <c r="Z26" s="9">
        <v>5583.276</v>
      </c>
      <c r="AA26" s="11">
        <f t="shared" si="1"/>
        <v>187830.684</v>
      </c>
      <c r="AB26" s="11">
        <v>5.0</v>
      </c>
      <c r="AC26" s="11">
        <f t="shared" si="2"/>
        <v>939153.42</v>
      </c>
      <c r="AD26" s="13"/>
    </row>
    <row r="27" ht="14.25" customHeight="1">
      <c r="A27" s="8">
        <v>47270.0</v>
      </c>
      <c r="B27" s="9" t="s">
        <v>36</v>
      </c>
      <c r="C27" s="9">
        <v>5170.608</v>
      </c>
      <c r="D27" s="9">
        <v>4913.802</v>
      </c>
      <c r="E27" s="9">
        <v>4676.544</v>
      </c>
      <c r="F27" s="9">
        <v>4555.98</v>
      </c>
      <c r="G27" s="9">
        <v>4454.352</v>
      </c>
      <c r="H27" s="9">
        <v>4366.962</v>
      </c>
      <c r="I27" s="9">
        <v>4508.118</v>
      </c>
      <c r="J27" s="9">
        <v>5039.298</v>
      </c>
      <c r="K27" s="9">
        <v>5737.914</v>
      </c>
      <c r="L27" s="9">
        <v>6709.446</v>
      </c>
      <c r="M27" s="9">
        <v>7494.282</v>
      </c>
      <c r="N27" s="9">
        <v>7938.558</v>
      </c>
      <c r="O27" s="9">
        <v>8091.594</v>
      </c>
      <c r="P27" s="9">
        <v>8128.53</v>
      </c>
      <c r="Q27" s="9">
        <v>8072.37</v>
      </c>
      <c r="R27" s="9">
        <v>8033.274</v>
      </c>
      <c r="S27" s="9">
        <v>7843.23</v>
      </c>
      <c r="T27" s="9">
        <v>7652.934</v>
      </c>
      <c r="U27" s="9">
        <v>7546.392</v>
      </c>
      <c r="V27" s="9">
        <v>7170.39</v>
      </c>
      <c r="W27" s="9">
        <v>6561.738</v>
      </c>
      <c r="X27" s="9">
        <v>5862.762</v>
      </c>
      <c r="Y27" s="9">
        <v>5233.914</v>
      </c>
      <c r="Z27" s="9">
        <v>4778.802</v>
      </c>
      <c r="AA27" s="11">
        <f t="shared" si="1"/>
        <v>150541.794</v>
      </c>
      <c r="AB27" s="11">
        <v>6.0</v>
      </c>
      <c r="AC27" s="11">
        <f t="shared" si="2"/>
        <v>903250.764</v>
      </c>
      <c r="AD27" s="14"/>
    </row>
    <row r="28" ht="14.25" customHeight="1">
      <c r="A28" s="8">
        <v>47300.0</v>
      </c>
      <c r="B28" s="9" t="s">
        <v>34</v>
      </c>
      <c r="C28" s="9">
        <v>5314.59</v>
      </c>
      <c r="D28" s="9">
        <v>5097.114</v>
      </c>
      <c r="E28" s="9">
        <v>4975.47</v>
      </c>
      <c r="F28" s="9">
        <v>4925.736</v>
      </c>
      <c r="G28" s="9">
        <v>5001.696</v>
      </c>
      <c r="H28" s="9">
        <v>5322.69</v>
      </c>
      <c r="I28" s="9">
        <v>6440.508</v>
      </c>
      <c r="J28" s="9">
        <v>8081.46</v>
      </c>
      <c r="K28" s="9">
        <v>9454.32</v>
      </c>
      <c r="L28" s="9">
        <v>10381.446</v>
      </c>
      <c r="M28" s="9">
        <v>11135.736</v>
      </c>
      <c r="N28" s="9">
        <v>11589.696</v>
      </c>
      <c r="O28" s="9">
        <v>11437.236</v>
      </c>
      <c r="P28" s="9">
        <v>11476.314</v>
      </c>
      <c r="Q28" s="9">
        <v>11780.406</v>
      </c>
      <c r="R28" s="9">
        <v>11785.374</v>
      </c>
      <c r="S28" s="9">
        <v>11453.166</v>
      </c>
      <c r="T28" s="9">
        <v>10688.652</v>
      </c>
      <c r="U28" s="9">
        <v>10125.486</v>
      </c>
      <c r="V28" s="9">
        <v>9485.658</v>
      </c>
      <c r="W28" s="9">
        <v>8639.766</v>
      </c>
      <c r="X28" s="9">
        <v>7678.134</v>
      </c>
      <c r="Y28" s="9">
        <v>6654.078</v>
      </c>
      <c r="Z28" s="9">
        <v>5955.066</v>
      </c>
      <c r="AA28" s="11">
        <f t="shared" si="1"/>
        <v>204879.798</v>
      </c>
      <c r="AB28" s="11">
        <v>20.0</v>
      </c>
      <c r="AC28" s="11">
        <f t="shared" si="2"/>
        <v>4097595.96</v>
      </c>
      <c r="AD28" s="12">
        <f>SUM(AC28:AC30)</f>
        <v>5902711.254</v>
      </c>
    </row>
    <row r="29" ht="14.25" customHeight="1">
      <c r="A29" s="8">
        <v>47300.0</v>
      </c>
      <c r="B29" s="9" t="s">
        <v>35</v>
      </c>
      <c r="C29" s="9">
        <v>5774.94</v>
      </c>
      <c r="D29" s="9">
        <v>5473.458</v>
      </c>
      <c r="E29" s="9">
        <v>5305.356</v>
      </c>
      <c r="F29" s="9">
        <v>5175.036</v>
      </c>
      <c r="G29" s="9">
        <v>5200.002</v>
      </c>
      <c r="H29" s="9">
        <v>5221.224</v>
      </c>
      <c r="I29" s="9">
        <v>5981.202</v>
      </c>
      <c r="J29" s="9">
        <v>7343.73</v>
      </c>
      <c r="K29" s="9">
        <v>8638.092</v>
      </c>
      <c r="L29" s="9">
        <v>9648.99</v>
      </c>
      <c r="M29" s="9">
        <v>10279.818</v>
      </c>
      <c r="N29" s="9">
        <v>10569.312</v>
      </c>
      <c r="O29" s="9">
        <v>10272.798</v>
      </c>
      <c r="P29" s="9">
        <v>9947.232</v>
      </c>
      <c r="Q29" s="9">
        <v>9723.762</v>
      </c>
      <c r="R29" s="9">
        <v>9669.564</v>
      </c>
      <c r="S29" s="9">
        <v>9553.41</v>
      </c>
      <c r="T29" s="9">
        <v>9372.888</v>
      </c>
      <c r="U29" s="9">
        <v>9155.484</v>
      </c>
      <c r="V29" s="9">
        <v>8676.162</v>
      </c>
      <c r="W29" s="9">
        <v>7937.64</v>
      </c>
      <c r="X29" s="9">
        <v>7107.228</v>
      </c>
      <c r="Y29" s="9">
        <v>6220.08</v>
      </c>
      <c r="Z29" s="9">
        <v>5583.276</v>
      </c>
      <c r="AA29" s="11">
        <f t="shared" si="1"/>
        <v>187830.684</v>
      </c>
      <c r="AB29" s="11">
        <v>4.0</v>
      </c>
      <c r="AC29" s="11">
        <f t="shared" si="2"/>
        <v>751322.736</v>
      </c>
      <c r="AD29" s="13"/>
    </row>
    <row r="30" ht="14.25" customHeight="1">
      <c r="A30" s="8">
        <v>47300.0</v>
      </c>
      <c r="B30" s="9" t="s">
        <v>36</v>
      </c>
      <c r="C30" s="9">
        <v>5170.608</v>
      </c>
      <c r="D30" s="9">
        <v>4913.802</v>
      </c>
      <c r="E30" s="9">
        <v>4676.544</v>
      </c>
      <c r="F30" s="9">
        <v>4555.98</v>
      </c>
      <c r="G30" s="9">
        <v>4454.352</v>
      </c>
      <c r="H30" s="9">
        <v>4366.962</v>
      </c>
      <c r="I30" s="9">
        <v>4508.118</v>
      </c>
      <c r="J30" s="9">
        <v>5039.298</v>
      </c>
      <c r="K30" s="9">
        <v>5737.914</v>
      </c>
      <c r="L30" s="9">
        <v>6709.446</v>
      </c>
      <c r="M30" s="9">
        <v>7494.282</v>
      </c>
      <c r="N30" s="9">
        <v>7938.558</v>
      </c>
      <c r="O30" s="9">
        <v>8091.594</v>
      </c>
      <c r="P30" s="9">
        <v>8128.53</v>
      </c>
      <c r="Q30" s="9">
        <v>8072.37</v>
      </c>
      <c r="R30" s="9">
        <v>8033.274</v>
      </c>
      <c r="S30" s="9">
        <v>7843.23</v>
      </c>
      <c r="T30" s="9">
        <v>7652.934</v>
      </c>
      <c r="U30" s="9">
        <v>7546.392</v>
      </c>
      <c r="V30" s="9">
        <v>7170.39</v>
      </c>
      <c r="W30" s="9">
        <v>6561.738</v>
      </c>
      <c r="X30" s="9">
        <v>5862.762</v>
      </c>
      <c r="Y30" s="9">
        <v>5233.914</v>
      </c>
      <c r="Z30" s="9">
        <v>4778.802</v>
      </c>
      <c r="AA30" s="11">
        <f t="shared" si="1"/>
        <v>150541.794</v>
      </c>
      <c r="AB30" s="11">
        <v>7.0</v>
      </c>
      <c r="AC30" s="11">
        <f t="shared" si="2"/>
        <v>1053792.558</v>
      </c>
      <c r="AD30" s="14"/>
    </row>
    <row r="31" ht="14.25" customHeight="1">
      <c r="A31" s="8">
        <v>47331.0</v>
      </c>
      <c r="B31" s="9" t="s">
        <v>34</v>
      </c>
      <c r="C31" s="9">
        <v>5314.59</v>
      </c>
      <c r="D31" s="9">
        <v>5097.114</v>
      </c>
      <c r="E31" s="9">
        <v>4975.47</v>
      </c>
      <c r="F31" s="9">
        <v>4925.736</v>
      </c>
      <c r="G31" s="9">
        <v>5001.696</v>
      </c>
      <c r="H31" s="9">
        <v>5322.69</v>
      </c>
      <c r="I31" s="9">
        <v>6440.508</v>
      </c>
      <c r="J31" s="9">
        <v>8081.46</v>
      </c>
      <c r="K31" s="9">
        <v>9454.32</v>
      </c>
      <c r="L31" s="9">
        <v>10381.446</v>
      </c>
      <c r="M31" s="9">
        <v>11135.736</v>
      </c>
      <c r="N31" s="9">
        <v>11589.696</v>
      </c>
      <c r="O31" s="9">
        <v>11437.236</v>
      </c>
      <c r="P31" s="9">
        <v>11476.314</v>
      </c>
      <c r="Q31" s="9">
        <v>11780.406</v>
      </c>
      <c r="R31" s="9">
        <v>11785.374</v>
      </c>
      <c r="S31" s="9">
        <v>11453.166</v>
      </c>
      <c r="T31" s="9">
        <v>10688.652</v>
      </c>
      <c r="U31" s="9">
        <v>10125.486</v>
      </c>
      <c r="V31" s="9">
        <v>9485.658</v>
      </c>
      <c r="W31" s="9">
        <v>8639.766</v>
      </c>
      <c r="X31" s="9">
        <v>7678.134</v>
      </c>
      <c r="Y31" s="9">
        <v>6654.078</v>
      </c>
      <c r="Z31" s="9">
        <v>5955.066</v>
      </c>
      <c r="AA31" s="11">
        <f t="shared" si="1"/>
        <v>204879.798</v>
      </c>
      <c r="AB31" s="11">
        <v>21.0</v>
      </c>
      <c r="AC31" s="11">
        <f t="shared" si="2"/>
        <v>4302475.758</v>
      </c>
      <c r="AD31" s="12">
        <f>SUM(AC31:AC33)</f>
        <v>5957049.258</v>
      </c>
    </row>
    <row r="32" ht="14.25" customHeight="1">
      <c r="A32" s="8">
        <v>47331.0</v>
      </c>
      <c r="B32" s="9" t="s">
        <v>35</v>
      </c>
      <c r="C32" s="9">
        <v>5774.94</v>
      </c>
      <c r="D32" s="9">
        <v>5473.458</v>
      </c>
      <c r="E32" s="9">
        <v>5305.356</v>
      </c>
      <c r="F32" s="9">
        <v>5175.036</v>
      </c>
      <c r="G32" s="9">
        <v>5200.002</v>
      </c>
      <c r="H32" s="9">
        <v>5221.224</v>
      </c>
      <c r="I32" s="9">
        <v>5981.202</v>
      </c>
      <c r="J32" s="9">
        <v>7343.73</v>
      </c>
      <c r="K32" s="9">
        <v>8638.092</v>
      </c>
      <c r="L32" s="9">
        <v>9648.99</v>
      </c>
      <c r="M32" s="9">
        <v>10279.818</v>
      </c>
      <c r="N32" s="9">
        <v>10569.312</v>
      </c>
      <c r="O32" s="9">
        <v>10272.798</v>
      </c>
      <c r="P32" s="9">
        <v>9947.232</v>
      </c>
      <c r="Q32" s="9">
        <v>9723.762</v>
      </c>
      <c r="R32" s="9">
        <v>9669.564</v>
      </c>
      <c r="S32" s="9">
        <v>9553.41</v>
      </c>
      <c r="T32" s="9">
        <v>9372.888</v>
      </c>
      <c r="U32" s="9">
        <v>9155.484</v>
      </c>
      <c r="V32" s="9">
        <v>8676.162</v>
      </c>
      <c r="W32" s="9">
        <v>7937.64</v>
      </c>
      <c r="X32" s="9">
        <v>7107.228</v>
      </c>
      <c r="Y32" s="9">
        <v>6220.08</v>
      </c>
      <c r="Z32" s="9">
        <v>5583.276</v>
      </c>
      <c r="AA32" s="11">
        <f t="shared" si="1"/>
        <v>187830.684</v>
      </c>
      <c r="AB32" s="11">
        <v>4.0</v>
      </c>
      <c r="AC32" s="11">
        <f t="shared" si="2"/>
        <v>751322.736</v>
      </c>
      <c r="AD32" s="13"/>
    </row>
    <row r="33" ht="14.25" customHeight="1">
      <c r="A33" s="8">
        <v>47331.0</v>
      </c>
      <c r="B33" s="9" t="s">
        <v>36</v>
      </c>
      <c r="C33" s="9">
        <v>5170.608</v>
      </c>
      <c r="D33" s="9">
        <v>4913.802</v>
      </c>
      <c r="E33" s="9">
        <v>4676.544</v>
      </c>
      <c r="F33" s="9">
        <v>4555.98</v>
      </c>
      <c r="G33" s="9">
        <v>4454.352</v>
      </c>
      <c r="H33" s="9">
        <v>4366.962</v>
      </c>
      <c r="I33" s="9">
        <v>4508.118</v>
      </c>
      <c r="J33" s="9">
        <v>5039.298</v>
      </c>
      <c r="K33" s="9">
        <v>5737.914</v>
      </c>
      <c r="L33" s="9">
        <v>6709.446</v>
      </c>
      <c r="M33" s="9">
        <v>7494.282</v>
      </c>
      <c r="N33" s="9">
        <v>7938.558</v>
      </c>
      <c r="O33" s="9">
        <v>8091.594</v>
      </c>
      <c r="P33" s="9">
        <v>8128.53</v>
      </c>
      <c r="Q33" s="9">
        <v>8072.37</v>
      </c>
      <c r="R33" s="9">
        <v>8033.274</v>
      </c>
      <c r="S33" s="9">
        <v>7843.23</v>
      </c>
      <c r="T33" s="9">
        <v>7652.934</v>
      </c>
      <c r="U33" s="9">
        <v>7546.392</v>
      </c>
      <c r="V33" s="9">
        <v>7170.39</v>
      </c>
      <c r="W33" s="9">
        <v>6561.738</v>
      </c>
      <c r="X33" s="9">
        <v>5862.762</v>
      </c>
      <c r="Y33" s="9">
        <v>5233.914</v>
      </c>
      <c r="Z33" s="9">
        <v>4778.802</v>
      </c>
      <c r="AA33" s="11">
        <f t="shared" si="1"/>
        <v>150541.794</v>
      </c>
      <c r="AB33" s="11">
        <v>6.0</v>
      </c>
      <c r="AC33" s="11">
        <f t="shared" si="2"/>
        <v>903250.764</v>
      </c>
      <c r="AD33" s="14"/>
    </row>
    <row r="34" ht="14.25" customHeight="1">
      <c r="A34" s="8">
        <v>47362.0</v>
      </c>
      <c r="B34" s="9" t="s">
        <v>34</v>
      </c>
      <c r="C34" s="9">
        <v>5314.59</v>
      </c>
      <c r="D34" s="9">
        <v>5097.114</v>
      </c>
      <c r="E34" s="9">
        <v>4975.47</v>
      </c>
      <c r="F34" s="9">
        <v>4925.736</v>
      </c>
      <c r="G34" s="9">
        <v>5001.696</v>
      </c>
      <c r="H34" s="9">
        <v>5322.69</v>
      </c>
      <c r="I34" s="9">
        <v>6440.508</v>
      </c>
      <c r="J34" s="9">
        <v>8081.46</v>
      </c>
      <c r="K34" s="9">
        <v>9454.32</v>
      </c>
      <c r="L34" s="9">
        <v>10381.446</v>
      </c>
      <c r="M34" s="9">
        <v>11135.736</v>
      </c>
      <c r="N34" s="9">
        <v>11589.696</v>
      </c>
      <c r="O34" s="9">
        <v>11437.236</v>
      </c>
      <c r="P34" s="9">
        <v>11476.314</v>
      </c>
      <c r="Q34" s="9">
        <v>11780.406</v>
      </c>
      <c r="R34" s="9">
        <v>11785.374</v>
      </c>
      <c r="S34" s="9">
        <v>11453.166</v>
      </c>
      <c r="T34" s="9">
        <v>10688.652</v>
      </c>
      <c r="U34" s="9">
        <v>10125.486</v>
      </c>
      <c r="V34" s="9">
        <v>9485.658</v>
      </c>
      <c r="W34" s="9">
        <v>8639.766</v>
      </c>
      <c r="X34" s="9">
        <v>7678.134</v>
      </c>
      <c r="Y34" s="9">
        <v>6654.078</v>
      </c>
      <c r="Z34" s="9">
        <v>5955.066</v>
      </c>
      <c r="AA34" s="11">
        <f t="shared" si="1"/>
        <v>204879.798</v>
      </c>
      <c r="AB34" s="11">
        <v>20.0</v>
      </c>
      <c r="AC34" s="11">
        <f t="shared" si="2"/>
        <v>4097595.96</v>
      </c>
      <c r="AD34" s="12">
        <f>SUM(AC34:AC36)</f>
        <v>5789458.35</v>
      </c>
    </row>
    <row r="35" ht="14.25" customHeight="1">
      <c r="A35" s="8">
        <v>47362.0</v>
      </c>
      <c r="B35" s="9" t="s">
        <v>35</v>
      </c>
      <c r="C35" s="9">
        <v>5774.94</v>
      </c>
      <c r="D35" s="9">
        <v>5473.458</v>
      </c>
      <c r="E35" s="9">
        <v>5305.356</v>
      </c>
      <c r="F35" s="9">
        <v>5175.036</v>
      </c>
      <c r="G35" s="9">
        <v>5200.002</v>
      </c>
      <c r="H35" s="9">
        <v>5221.224</v>
      </c>
      <c r="I35" s="9">
        <v>5981.202</v>
      </c>
      <c r="J35" s="9">
        <v>7343.73</v>
      </c>
      <c r="K35" s="9">
        <v>8638.092</v>
      </c>
      <c r="L35" s="9">
        <v>9648.99</v>
      </c>
      <c r="M35" s="9">
        <v>10279.818</v>
      </c>
      <c r="N35" s="9">
        <v>10569.312</v>
      </c>
      <c r="O35" s="9">
        <v>10272.798</v>
      </c>
      <c r="P35" s="9">
        <v>9947.232</v>
      </c>
      <c r="Q35" s="9">
        <v>9723.762</v>
      </c>
      <c r="R35" s="9">
        <v>9669.564</v>
      </c>
      <c r="S35" s="9">
        <v>9553.41</v>
      </c>
      <c r="T35" s="9">
        <v>9372.888</v>
      </c>
      <c r="U35" s="9">
        <v>9155.484</v>
      </c>
      <c r="V35" s="9">
        <v>8676.162</v>
      </c>
      <c r="W35" s="9">
        <v>7937.64</v>
      </c>
      <c r="X35" s="9">
        <v>7107.228</v>
      </c>
      <c r="Y35" s="9">
        <v>6220.08</v>
      </c>
      <c r="Z35" s="9">
        <v>5583.276</v>
      </c>
      <c r="AA35" s="11">
        <f t="shared" si="1"/>
        <v>187830.684</v>
      </c>
      <c r="AB35" s="11">
        <v>5.0</v>
      </c>
      <c r="AC35" s="11">
        <f t="shared" si="2"/>
        <v>939153.42</v>
      </c>
      <c r="AD35" s="13"/>
    </row>
    <row r="36" ht="14.25" customHeight="1">
      <c r="A36" s="8">
        <v>47362.0</v>
      </c>
      <c r="B36" s="9" t="s">
        <v>36</v>
      </c>
      <c r="C36" s="9">
        <v>5170.608</v>
      </c>
      <c r="D36" s="9">
        <v>4913.802</v>
      </c>
      <c r="E36" s="9">
        <v>4676.544</v>
      </c>
      <c r="F36" s="9">
        <v>4555.98</v>
      </c>
      <c r="G36" s="9">
        <v>4454.352</v>
      </c>
      <c r="H36" s="9">
        <v>4366.962</v>
      </c>
      <c r="I36" s="9">
        <v>4508.118</v>
      </c>
      <c r="J36" s="9">
        <v>5039.298</v>
      </c>
      <c r="K36" s="9">
        <v>5737.914</v>
      </c>
      <c r="L36" s="9">
        <v>6709.446</v>
      </c>
      <c r="M36" s="9">
        <v>7494.282</v>
      </c>
      <c r="N36" s="9">
        <v>7938.558</v>
      </c>
      <c r="O36" s="9">
        <v>8091.594</v>
      </c>
      <c r="P36" s="9">
        <v>8128.53</v>
      </c>
      <c r="Q36" s="9">
        <v>8072.37</v>
      </c>
      <c r="R36" s="9">
        <v>8033.274</v>
      </c>
      <c r="S36" s="9">
        <v>7843.23</v>
      </c>
      <c r="T36" s="9">
        <v>7652.934</v>
      </c>
      <c r="U36" s="9">
        <v>7546.392</v>
      </c>
      <c r="V36" s="9">
        <v>7170.39</v>
      </c>
      <c r="W36" s="9">
        <v>6561.738</v>
      </c>
      <c r="X36" s="9">
        <v>5862.762</v>
      </c>
      <c r="Y36" s="9">
        <v>5233.914</v>
      </c>
      <c r="Z36" s="9">
        <v>4778.802</v>
      </c>
      <c r="AA36" s="11">
        <f t="shared" si="1"/>
        <v>150541.794</v>
      </c>
      <c r="AB36" s="11">
        <v>5.0</v>
      </c>
      <c r="AC36" s="11">
        <f t="shared" si="2"/>
        <v>752708.97</v>
      </c>
      <c r="AD36" s="14"/>
    </row>
    <row r="37" ht="14.25" customHeight="1">
      <c r="A37" s="8">
        <v>47392.0</v>
      </c>
      <c r="B37" s="9" t="s">
        <v>34</v>
      </c>
      <c r="C37" s="9">
        <v>5314.59</v>
      </c>
      <c r="D37" s="9">
        <v>5097.114</v>
      </c>
      <c r="E37" s="9">
        <v>4975.47</v>
      </c>
      <c r="F37" s="9">
        <v>4925.736</v>
      </c>
      <c r="G37" s="9">
        <v>5001.696</v>
      </c>
      <c r="H37" s="9">
        <v>5322.69</v>
      </c>
      <c r="I37" s="9">
        <v>6440.508</v>
      </c>
      <c r="J37" s="9">
        <v>8081.46</v>
      </c>
      <c r="K37" s="9">
        <v>9454.32</v>
      </c>
      <c r="L37" s="9">
        <v>10381.446</v>
      </c>
      <c r="M37" s="9">
        <v>11135.736</v>
      </c>
      <c r="N37" s="9">
        <v>11589.696</v>
      </c>
      <c r="O37" s="9">
        <v>11437.236</v>
      </c>
      <c r="P37" s="9">
        <v>11476.314</v>
      </c>
      <c r="Q37" s="9">
        <v>11780.406</v>
      </c>
      <c r="R37" s="9">
        <v>11785.374</v>
      </c>
      <c r="S37" s="9">
        <v>11453.166</v>
      </c>
      <c r="T37" s="9">
        <v>10688.652</v>
      </c>
      <c r="U37" s="9">
        <v>10125.486</v>
      </c>
      <c r="V37" s="9">
        <v>9485.658</v>
      </c>
      <c r="W37" s="9">
        <v>8639.766</v>
      </c>
      <c r="X37" s="9">
        <v>7678.134</v>
      </c>
      <c r="Y37" s="9">
        <v>6654.078</v>
      </c>
      <c r="Z37" s="9">
        <v>5955.066</v>
      </c>
      <c r="AA37" s="11">
        <f t="shared" si="1"/>
        <v>204879.798</v>
      </c>
      <c r="AB37" s="11">
        <v>22.0</v>
      </c>
      <c r="AC37" s="11">
        <f t="shared" si="2"/>
        <v>4507355.556</v>
      </c>
      <c r="AD37" s="12">
        <f>SUM(AC37:AC39)</f>
        <v>6011387.262</v>
      </c>
    </row>
    <row r="38" ht="14.25" customHeight="1">
      <c r="A38" s="8">
        <v>47392.0</v>
      </c>
      <c r="B38" s="9" t="s">
        <v>35</v>
      </c>
      <c r="C38" s="9">
        <v>5774.94</v>
      </c>
      <c r="D38" s="9">
        <v>5473.458</v>
      </c>
      <c r="E38" s="9">
        <v>5305.356</v>
      </c>
      <c r="F38" s="9">
        <v>5175.036</v>
      </c>
      <c r="G38" s="9">
        <v>5200.002</v>
      </c>
      <c r="H38" s="9">
        <v>5221.224</v>
      </c>
      <c r="I38" s="9">
        <v>5981.202</v>
      </c>
      <c r="J38" s="9">
        <v>7343.73</v>
      </c>
      <c r="K38" s="9">
        <v>8638.092</v>
      </c>
      <c r="L38" s="9">
        <v>9648.99</v>
      </c>
      <c r="M38" s="9">
        <v>10279.818</v>
      </c>
      <c r="N38" s="9">
        <v>10569.312</v>
      </c>
      <c r="O38" s="9">
        <v>10272.798</v>
      </c>
      <c r="P38" s="9">
        <v>9947.232</v>
      </c>
      <c r="Q38" s="9">
        <v>9723.762</v>
      </c>
      <c r="R38" s="9">
        <v>9669.564</v>
      </c>
      <c r="S38" s="9">
        <v>9553.41</v>
      </c>
      <c r="T38" s="9">
        <v>9372.888</v>
      </c>
      <c r="U38" s="9">
        <v>9155.484</v>
      </c>
      <c r="V38" s="9">
        <v>8676.162</v>
      </c>
      <c r="W38" s="9">
        <v>7937.64</v>
      </c>
      <c r="X38" s="9">
        <v>7107.228</v>
      </c>
      <c r="Y38" s="9">
        <v>6220.08</v>
      </c>
      <c r="Z38" s="9">
        <v>5583.276</v>
      </c>
      <c r="AA38" s="11">
        <f t="shared" si="1"/>
        <v>187830.684</v>
      </c>
      <c r="AB38" s="11">
        <v>4.0</v>
      </c>
      <c r="AC38" s="11">
        <f t="shared" si="2"/>
        <v>751322.736</v>
      </c>
      <c r="AD38" s="13"/>
    </row>
    <row r="39" ht="14.25" customHeight="1">
      <c r="A39" s="8">
        <v>47392.0</v>
      </c>
      <c r="B39" s="9" t="s">
        <v>36</v>
      </c>
      <c r="C39" s="9">
        <v>5170.608</v>
      </c>
      <c r="D39" s="9">
        <v>4913.802</v>
      </c>
      <c r="E39" s="9">
        <v>4676.544</v>
      </c>
      <c r="F39" s="9">
        <v>4555.98</v>
      </c>
      <c r="G39" s="9">
        <v>4454.352</v>
      </c>
      <c r="H39" s="9">
        <v>4366.962</v>
      </c>
      <c r="I39" s="9">
        <v>4508.118</v>
      </c>
      <c r="J39" s="9">
        <v>5039.298</v>
      </c>
      <c r="K39" s="9">
        <v>5737.914</v>
      </c>
      <c r="L39" s="9">
        <v>6709.446</v>
      </c>
      <c r="M39" s="9">
        <v>7494.282</v>
      </c>
      <c r="N39" s="9">
        <v>7938.558</v>
      </c>
      <c r="O39" s="9">
        <v>8091.594</v>
      </c>
      <c r="P39" s="9">
        <v>8128.53</v>
      </c>
      <c r="Q39" s="9">
        <v>8072.37</v>
      </c>
      <c r="R39" s="9">
        <v>8033.274</v>
      </c>
      <c r="S39" s="9">
        <v>7843.23</v>
      </c>
      <c r="T39" s="9">
        <v>7652.934</v>
      </c>
      <c r="U39" s="9">
        <v>7546.392</v>
      </c>
      <c r="V39" s="9">
        <v>7170.39</v>
      </c>
      <c r="W39" s="9">
        <v>6561.738</v>
      </c>
      <c r="X39" s="9">
        <v>5862.762</v>
      </c>
      <c r="Y39" s="9">
        <v>5233.914</v>
      </c>
      <c r="Z39" s="9">
        <v>4778.802</v>
      </c>
      <c r="AA39" s="11">
        <f t="shared" si="1"/>
        <v>150541.794</v>
      </c>
      <c r="AB39" s="11">
        <v>5.0</v>
      </c>
      <c r="AC39" s="11">
        <f t="shared" si="2"/>
        <v>752708.97</v>
      </c>
      <c r="AD39" s="14"/>
    </row>
    <row r="40" ht="14.25" customHeight="1">
      <c r="A40" s="8">
        <v>47423.0</v>
      </c>
      <c r="B40" s="9" t="s">
        <v>34</v>
      </c>
      <c r="C40" s="9">
        <v>5314.59</v>
      </c>
      <c r="D40" s="9">
        <v>5097.114</v>
      </c>
      <c r="E40" s="9">
        <v>4975.47</v>
      </c>
      <c r="F40" s="9">
        <v>4925.736</v>
      </c>
      <c r="G40" s="9">
        <v>5001.696</v>
      </c>
      <c r="H40" s="9">
        <v>5322.69</v>
      </c>
      <c r="I40" s="9">
        <v>6440.508</v>
      </c>
      <c r="J40" s="9">
        <v>8081.46</v>
      </c>
      <c r="K40" s="9">
        <v>9454.32</v>
      </c>
      <c r="L40" s="9">
        <v>10381.446</v>
      </c>
      <c r="M40" s="9">
        <v>11135.736</v>
      </c>
      <c r="N40" s="9">
        <v>11589.696</v>
      </c>
      <c r="O40" s="9">
        <v>11437.236</v>
      </c>
      <c r="P40" s="9">
        <v>11476.314</v>
      </c>
      <c r="Q40" s="9">
        <v>11780.406</v>
      </c>
      <c r="R40" s="9">
        <v>11785.374</v>
      </c>
      <c r="S40" s="9">
        <v>11453.166</v>
      </c>
      <c r="T40" s="9">
        <v>10688.652</v>
      </c>
      <c r="U40" s="9">
        <v>10125.486</v>
      </c>
      <c r="V40" s="9">
        <v>9485.658</v>
      </c>
      <c r="W40" s="9">
        <v>8639.766</v>
      </c>
      <c r="X40" s="9">
        <v>7678.134</v>
      </c>
      <c r="Y40" s="9">
        <v>6654.078</v>
      </c>
      <c r="Z40" s="9">
        <v>5955.066</v>
      </c>
      <c r="AA40" s="11">
        <f t="shared" si="1"/>
        <v>204879.798</v>
      </c>
      <c r="AB40" s="11">
        <v>20.0</v>
      </c>
      <c r="AC40" s="11">
        <f t="shared" si="2"/>
        <v>4097595.96</v>
      </c>
      <c r="AD40" s="12">
        <f>SUM(AC40:AC42)</f>
        <v>5752169.46</v>
      </c>
    </row>
    <row r="41" ht="14.25" customHeight="1">
      <c r="A41" s="8">
        <v>47423.0</v>
      </c>
      <c r="B41" s="9" t="s">
        <v>35</v>
      </c>
      <c r="C41" s="9">
        <v>5774.94</v>
      </c>
      <c r="D41" s="9">
        <v>5473.458</v>
      </c>
      <c r="E41" s="9">
        <v>5305.356</v>
      </c>
      <c r="F41" s="9">
        <v>5175.036</v>
      </c>
      <c r="G41" s="9">
        <v>5200.002</v>
      </c>
      <c r="H41" s="9">
        <v>5221.224</v>
      </c>
      <c r="I41" s="9">
        <v>5981.202</v>
      </c>
      <c r="J41" s="9">
        <v>7343.73</v>
      </c>
      <c r="K41" s="9">
        <v>8638.092</v>
      </c>
      <c r="L41" s="9">
        <v>9648.99</v>
      </c>
      <c r="M41" s="9">
        <v>10279.818</v>
      </c>
      <c r="N41" s="9">
        <v>10569.312</v>
      </c>
      <c r="O41" s="9">
        <v>10272.798</v>
      </c>
      <c r="P41" s="9">
        <v>9947.232</v>
      </c>
      <c r="Q41" s="9">
        <v>9723.762</v>
      </c>
      <c r="R41" s="9">
        <v>9669.564</v>
      </c>
      <c r="S41" s="9">
        <v>9553.41</v>
      </c>
      <c r="T41" s="9">
        <v>9372.888</v>
      </c>
      <c r="U41" s="9">
        <v>9155.484</v>
      </c>
      <c r="V41" s="9">
        <v>8676.162</v>
      </c>
      <c r="W41" s="9">
        <v>7937.64</v>
      </c>
      <c r="X41" s="9">
        <v>7107.228</v>
      </c>
      <c r="Y41" s="9">
        <v>6220.08</v>
      </c>
      <c r="Z41" s="9">
        <v>5583.276</v>
      </c>
      <c r="AA41" s="11">
        <f t="shared" si="1"/>
        <v>187830.684</v>
      </c>
      <c r="AB41" s="11">
        <v>4.0</v>
      </c>
      <c r="AC41" s="11">
        <f t="shared" si="2"/>
        <v>751322.736</v>
      </c>
      <c r="AD41" s="13"/>
    </row>
    <row r="42" ht="14.25" customHeight="1">
      <c r="A42" s="8">
        <v>47423.0</v>
      </c>
      <c r="B42" s="9" t="s">
        <v>36</v>
      </c>
      <c r="C42" s="9">
        <v>5170.608</v>
      </c>
      <c r="D42" s="9">
        <v>4913.802</v>
      </c>
      <c r="E42" s="9">
        <v>4676.544</v>
      </c>
      <c r="F42" s="9">
        <v>4555.98</v>
      </c>
      <c r="G42" s="9">
        <v>4454.352</v>
      </c>
      <c r="H42" s="9">
        <v>4366.962</v>
      </c>
      <c r="I42" s="9">
        <v>4508.118</v>
      </c>
      <c r="J42" s="9">
        <v>5039.298</v>
      </c>
      <c r="K42" s="9">
        <v>5737.914</v>
      </c>
      <c r="L42" s="9">
        <v>6709.446</v>
      </c>
      <c r="M42" s="9">
        <v>7494.282</v>
      </c>
      <c r="N42" s="9">
        <v>7938.558</v>
      </c>
      <c r="O42" s="9">
        <v>8091.594</v>
      </c>
      <c r="P42" s="9">
        <v>8128.53</v>
      </c>
      <c r="Q42" s="9">
        <v>8072.37</v>
      </c>
      <c r="R42" s="9">
        <v>8033.274</v>
      </c>
      <c r="S42" s="9">
        <v>7843.23</v>
      </c>
      <c r="T42" s="9">
        <v>7652.934</v>
      </c>
      <c r="U42" s="9">
        <v>7546.392</v>
      </c>
      <c r="V42" s="9">
        <v>7170.39</v>
      </c>
      <c r="W42" s="9">
        <v>6561.738</v>
      </c>
      <c r="X42" s="9">
        <v>5862.762</v>
      </c>
      <c r="Y42" s="9">
        <v>5233.914</v>
      </c>
      <c r="Z42" s="9">
        <v>4778.802</v>
      </c>
      <c r="AA42" s="11">
        <f t="shared" si="1"/>
        <v>150541.794</v>
      </c>
      <c r="AB42" s="11">
        <v>6.0</v>
      </c>
      <c r="AC42" s="11">
        <f t="shared" si="2"/>
        <v>903250.764</v>
      </c>
      <c r="AD42" s="14"/>
    </row>
    <row r="43" ht="14.25" customHeight="1">
      <c r="A43" s="8">
        <v>47453.0</v>
      </c>
      <c r="B43" s="9" t="s">
        <v>34</v>
      </c>
      <c r="C43" s="9">
        <v>5314.59</v>
      </c>
      <c r="D43" s="9">
        <v>5097.114</v>
      </c>
      <c r="E43" s="9">
        <v>4975.47</v>
      </c>
      <c r="F43" s="9">
        <v>4925.736</v>
      </c>
      <c r="G43" s="9">
        <v>5001.696</v>
      </c>
      <c r="H43" s="9">
        <v>5322.69</v>
      </c>
      <c r="I43" s="9">
        <v>6440.508</v>
      </c>
      <c r="J43" s="9">
        <v>8081.46</v>
      </c>
      <c r="K43" s="9">
        <v>9454.32</v>
      </c>
      <c r="L43" s="9">
        <v>10381.446</v>
      </c>
      <c r="M43" s="9">
        <v>11135.736</v>
      </c>
      <c r="N43" s="9">
        <v>11589.696</v>
      </c>
      <c r="O43" s="9">
        <v>11437.236</v>
      </c>
      <c r="P43" s="9">
        <v>11476.314</v>
      </c>
      <c r="Q43" s="9">
        <v>11780.406</v>
      </c>
      <c r="R43" s="9">
        <v>11785.374</v>
      </c>
      <c r="S43" s="9">
        <v>11453.166</v>
      </c>
      <c r="T43" s="9">
        <v>10688.652</v>
      </c>
      <c r="U43" s="9">
        <v>10125.486</v>
      </c>
      <c r="V43" s="9">
        <v>9485.658</v>
      </c>
      <c r="W43" s="9">
        <v>8639.766</v>
      </c>
      <c r="X43" s="9">
        <v>7678.134</v>
      </c>
      <c r="Y43" s="9">
        <v>6654.078</v>
      </c>
      <c r="Z43" s="9">
        <v>5955.066</v>
      </c>
      <c r="AA43" s="11">
        <f t="shared" si="1"/>
        <v>204879.798</v>
      </c>
      <c r="AB43" s="11">
        <v>20.0</v>
      </c>
      <c r="AC43" s="11">
        <f t="shared" si="2"/>
        <v>4097595.96</v>
      </c>
      <c r="AD43" s="12">
        <f>SUM(AC43:AC45)</f>
        <v>5902711.254</v>
      </c>
    </row>
    <row r="44" ht="14.25" customHeight="1">
      <c r="A44" s="8">
        <v>47453.0</v>
      </c>
      <c r="B44" s="9" t="s">
        <v>35</v>
      </c>
      <c r="C44" s="9">
        <v>5774.94</v>
      </c>
      <c r="D44" s="9">
        <v>5473.458</v>
      </c>
      <c r="E44" s="9">
        <v>5305.356</v>
      </c>
      <c r="F44" s="9">
        <v>5175.036</v>
      </c>
      <c r="G44" s="9">
        <v>5200.002</v>
      </c>
      <c r="H44" s="9">
        <v>5221.224</v>
      </c>
      <c r="I44" s="9">
        <v>5981.202</v>
      </c>
      <c r="J44" s="9">
        <v>7343.73</v>
      </c>
      <c r="K44" s="9">
        <v>8638.092</v>
      </c>
      <c r="L44" s="9">
        <v>9648.99</v>
      </c>
      <c r="M44" s="9">
        <v>10279.818</v>
      </c>
      <c r="N44" s="9">
        <v>10569.312</v>
      </c>
      <c r="O44" s="9">
        <v>10272.798</v>
      </c>
      <c r="P44" s="9">
        <v>9947.232</v>
      </c>
      <c r="Q44" s="9">
        <v>9723.762</v>
      </c>
      <c r="R44" s="9">
        <v>9669.564</v>
      </c>
      <c r="S44" s="9">
        <v>9553.41</v>
      </c>
      <c r="T44" s="9">
        <v>9372.888</v>
      </c>
      <c r="U44" s="9">
        <v>9155.484</v>
      </c>
      <c r="V44" s="9">
        <v>8676.162</v>
      </c>
      <c r="W44" s="9">
        <v>7937.64</v>
      </c>
      <c r="X44" s="9">
        <v>7107.228</v>
      </c>
      <c r="Y44" s="9">
        <v>6220.08</v>
      </c>
      <c r="Z44" s="9">
        <v>5583.276</v>
      </c>
      <c r="AA44" s="11">
        <f t="shared" si="1"/>
        <v>187830.684</v>
      </c>
      <c r="AB44" s="11">
        <v>4.0</v>
      </c>
      <c r="AC44" s="11">
        <f t="shared" si="2"/>
        <v>751322.736</v>
      </c>
      <c r="AD44" s="13"/>
    </row>
    <row r="45" ht="14.25" customHeight="1">
      <c r="A45" s="8">
        <v>47453.0</v>
      </c>
      <c r="B45" s="9" t="s">
        <v>36</v>
      </c>
      <c r="C45" s="9">
        <v>5170.608</v>
      </c>
      <c r="D45" s="9">
        <v>4913.802</v>
      </c>
      <c r="E45" s="9">
        <v>4676.544</v>
      </c>
      <c r="F45" s="9">
        <v>4555.98</v>
      </c>
      <c r="G45" s="9">
        <v>4454.352</v>
      </c>
      <c r="H45" s="9">
        <v>4366.962</v>
      </c>
      <c r="I45" s="9">
        <v>4508.118</v>
      </c>
      <c r="J45" s="9">
        <v>5039.298</v>
      </c>
      <c r="K45" s="9">
        <v>5737.914</v>
      </c>
      <c r="L45" s="9">
        <v>6709.446</v>
      </c>
      <c r="M45" s="9">
        <v>7494.282</v>
      </c>
      <c r="N45" s="9">
        <v>7938.558</v>
      </c>
      <c r="O45" s="9">
        <v>8091.594</v>
      </c>
      <c r="P45" s="9">
        <v>8128.53</v>
      </c>
      <c r="Q45" s="9">
        <v>8072.37</v>
      </c>
      <c r="R45" s="9">
        <v>8033.274</v>
      </c>
      <c r="S45" s="9">
        <v>7843.23</v>
      </c>
      <c r="T45" s="9">
        <v>7652.934</v>
      </c>
      <c r="U45" s="9">
        <v>7546.392</v>
      </c>
      <c r="V45" s="9">
        <v>7170.39</v>
      </c>
      <c r="W45" s="9">
        <v>6561.738</v>
      </c>
      <c r="X45" s="9">
        <v>5862.762</v>
      </c>
      <c r="Y45" s="9">
        <v>5233.914</v>
      </c>
      <c r="Z45" s="9">
        <v>4778.802</v>
      </c>
      <c r="AA45" s="11">
        <f t="shared" si="1"/>
        <v>150541.794</v>
      </c>
      <c r="AB45" s="11">
        <v>7.0</v>
      </c>
      <c r="AC45" s="11">
        <f t="shared" si="2"/>
        <v>1053792.558</v>
      </c>
      <c r="AD45" s="14"/>
    </row>
    <row r="46" ht="14.25" customHeight="1">
      <c r="AB46" s="15" t="s">
        <v>32</v>
      </c>
      <c r="AC46" s="11">
        <f t="shared" ref="AC46:AD46" si="3">SUM(AC10:AC45)</f>
        <v>70107961.18</v>
      </c>
      <c r="AD46" s="11">
        <f t="shared" si="3"/>
        <v>70107961.18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6" t="s">
        <v>3</v>
      </c>
    </row>
    <row r="5" ht="14.25" customHeight="1">
      <c r="A5" s="17"/>
      <c r="B5" s="16" t="s">
        <v>57</v>
      </c>
    </row>
    <row r="6" ht="14.25" customHeight="1">
      <c r="A6" s="17"/>
      <c r="B6" s="18" t="s">
        <v>38</v>
      </c>
    </row>
    <row r="7" ht="14.25" customHeight="1">
      <c r="A7" s="17"/>
      <c r="B7" s="19" t="s">
        <v>39</v>
      </c>
    </row>
    <row r="8" ht="14.25" customHeight="1">
      <c r="A8" s="17"/>
      <c r="B8" s="20" t="s">
        <v>40</v>
      </c>
    </row>
    <row r="9" ht="14.25" customHeight="1">
      <c r="A9" s="17"/>
      <c r="B9" s="19"/>
      <c r="C9" s="19"/>
      <c r="D9" s="19"/>
      <c r="E9" s="19"/>
    </row>
    <row r="10" ht="14.25" customHeight="1">
      <c r="A10" s="17"/>
      <c r="B10" s="21" t="s">
        <v>41</v>
      </c>
      <c r="C10" s="22"/>
      <c r="D10" s="22"/>
      <c r="E10" s="22"/>
      <c r="F10" s="23"/>
    </row>
    <row r="11">
      <c r="A11" s="17"/>
      <c r="B11" s="24" t="s">
        <v>4</v>
      </c>
      <c r="C11" s="25" t="s">
        <v>42</v>
      </c>
      <c r="D11" s="51" t="s">
        <v>43</v>
      </c>
      <c r="E11" s="51" t="s">
        <v>44</v>
      </c>
      <c r="F11" s="52" t="s">
        <v>45</v>
      </c>
    </row>
    <row r="12" ht="14.25" customHeight="1">
      <c r="A12" s="17"/>
      <c r="B12" s="28">
        <v>47149.0</v>
      </c>
      <c r="C12" s="53">
        <f>'Cant. Requeridas Producto 3'!AD10</f>
        <v>5957049.258</v>
      </c>
      <c r="D12" s="56"/>
      <c r="E12" s="57"/>
      <c r="F12" s="58"/>
    </row>
    <row r="13" ht="14.25" customHeight="1">
      <c r="A13" s="17"/>
      <c r="B13" s="28">
        <v>47150.0</v>
      </c>
      <c r="C13" s="53">
        <f>'Cant. Requeridas Producto 3'!AD13</f>
        <v>5451085.872</v>
      </c>
      <c r="D13" s="59"/>
      <c r="E13" s="54">
        <f t="shared" ref="E13:E23" si="1">C13*$D$13</f>
        <v>0</v>
      </c>
      <c r="F13" s="59"/>
    </row>
    <row r="14" ht="14.25" customHeight="1">
      <c r="A14" s="17"/>
      <c r="B14" s="28">
        <v>47178.0</v>
      </c>
      <c r="C14" s="53">
        <f>'Cant. Requeridas Producto 3'!AD16</f>
        <v>5885662.14</v>
      </c>
      <c r="D14" s="59"/>
      <c r="E14" s="54">
        <f t="shared" si="1"/>
        <v>0</v>
      </c>
      <c r="F14" s="59"/>
    </row>
    <row r="15" ht="14.25" customHeight="1">
      <c r="A15" s="17"/>
      <c r="B15" s="28">
        <v>47209.0</v>
      </c>
      <c r="C15" s="53">
        <f>'Cant. Requeridas Producto 3'!AD19</f>
        <v>5806507.464</v>
      </c>
      <c r="D15" s="59"/>
      <c r="E15" s="54">
        <f t="shared" si="1"/>
        <v>0</v>
      </c>
      <c r="F15" s="59"/>
    </row>
    <row r="16" ht="14.25" customHeight="1">
      <c r="A16" s="17"/>
      <c r="B16" s="28">
        <v>47239.0</v>
      </c>
      <c r="C16" s="54">
        <f>'Cant. Requeridas Producto 3'!AD22</f>
        <v>5957049.258</v>
      </c>
      <c r="D16" s="59"/>
      <c r="E16" s="54">
        <f t="shared" si="1"/>
        <v>0</v>
      </c>
      <c r="F16" s="59"/>
    </row>
    <row r="17" ht="14.25" customHeight="1">
      <c r="A17" s="17"/>
      <c r="B17" s="28">
        <v>47270.0</v>
      </c>
      <c r="C17" s="54">
        <f>'Cant. Requeridas Producto 3'!AD25</f>
        <v>5735120.346</v>
      </c>
      <c r="D17" s="59"/>
      <c r="E17" s="54">
        <f t="shared" si="1"/>
        <v>0</v>
      </c>
      <c r="F17" s="59"/>
    </row>
    <row r="18" ht="14.25" customHeight="1">
      <c r="A18" s="17"/>
      <c r="B18" s="28">
        <v>47300.0</v>
      </c>
      <c r="C18" s="54">
        <f>'Cant. Requeridas Producto 3'!AD28</f>
        <v>5902711.254</v>
      </c>
      <c r="D18" s="59"/>
      <c r="E18" s="54">
        <f t="shared" si="1"/>
        <v>0</v>
      </c>
      <c r="F18" s="59"/>
    </row>
    <row r="19" ht="14.25" customHeight="1">
      <c r="A19" s="17"/>
      <c r="B19" s="28">
        <v>47331.0</v>
      </c>
      <c r="C19" s="54">
        <f>'Cant. Requeridas Producto 3'!AD31</f>
        <v>5957049.258</v>
      </c>
      <c r="D19" s="59"/>
      <c r="E19" s="54">
        <f t="shared" si="1"/>
        <v>0</v>
      </c>
      <c r="F19" s="59"/>
    </row>
    <row r="20" ht="14.25" customHeight="1">
      <c r="A20" s="17"/>
      <c r="B20" s="28">
        <v>47362.0</v>
      </c>
      <c r="C20" s="54">
        <f>'Cant. Requeridas Producto 3'!AD34</f>
        <v>5789458.35</v>
      </c>
      <c r="D20" s="59"/>
      <c r="E20" s="54">
        <f t="shared" si="1"/>
        <v>0</v>
      </c>
      <c r="F20" s="59"/>
    </row>
    <row r="21" ht="14.25" customHeight="1">
      <c r="A21" s="17"/>
      <c r="B21" s="28">
        <v>47392.0</v>
      </c>
      <c r="C21" s="54">
        <f>'Cant. Requeridas Producto 3'!AD37</f>
        <v>6011387.262</v>
      </c>
      <c r="D21" s="59"/>
      <c r="E21" s="54">
        <f t="shared" si="1"/>
        <v>0</v>
      </c>
      <c r="F21" s="59"/>
    </row>
    <row r="22" ht="14.25" customHeight="1">
      <c r="A22" s="17"/>
      <c r="B22" s="28">
        <v>47423.0</v>
      </c>
      <c r="C22" s="53">
        <f>'Cant. Requeridas Producto 3'!AD40</f>
        <v>5752169.46</v>
      </c>
      <c r="D22" s="59"/>
      <c r="E22" s="54">
        <f t="shared" si="1"/>
        <v>0</v>
      </c>
      <c r="F22" s="59"/>
    </row>
    <row r="23" ht="14.25" customHeight="1">
      <c r="A23" s="17"/>
      <c r="B23" s="28">
        <v>47453.0</v>
      </c>
      <c r="C23" s="53">
        <f>'Cant. Requeridas Producto 3'!AD43</f>
        <v>5902711.254</v>
      </c>
      <c r="D23" s="60"/>
      <c r="E23" s="54">
        <f t="shared" si="1"/>
        <v>0</v>
      </c>
      <c r="F23" s="60"/>
    </row>
    <row r="24" ht="14.25" customHeight="1">
      <c r="A24" s="17"/>
      <c r="B24" s="40" t="s">
        <v>32</v>
      </c>
      <c r="C24" s="41">
        <f>SUM(C12:C23)</f>
        <v>70107961.18</v>
      </c>
      <c r="D24" s="55"/>
      <c r="E24" s="41">
        <f>SUM(E12:E23)</f>
        <v>0</v>
      </c>
      <c r="F24" s="55"/>
    </row>
    <row r="25" ht="14.25" customHeight="1">
      <c r="A25" s="17"/>
      <c r="B25" s="19"/>
      <c r="C25" s="44"/>
      <c r="D25" s="19"/>
      <c r="E25" s="19"/>
    </row>
    <row r="26" ht="14.25" customHeight="1">
      <c r="C26" s="45"/>
    </row>
    <row r="27" ht="30.0" customHeight="1">
      <c r="B27" s="46" t="s">
        <v>46</v>
      </c>
      <c r="E27" s="47"/>
    </row>
    <row r="28" ht="38.25" customHeight="1">
      <c r="B28" s="46" t="s">
        <v>58</v>
      </c>
      <c r="I28" s="46"/>
    </row>
    <row r="29" ht="44.25" customHeight="1">
      <c r="B29" s="46" t="s">
        <v>59</v>
      </c>
      <c r="I29" s="46"/>
    </row>
    <row r="30" ht="14.25" customHeight="1">
      <c r="B30" s="48"/>
    </row>
    <row r="31" ht="14.25" customHeight="1"/>
    <row r="32" ht="14.25" customHeight="1"/>
    <row r="33" ht="14.25" customHeight="1">
      <c r="B33" s="49"/>
      <c r="C33" s="49"/>
    </row>
    <row r="34" ht="14.25" customHeight="1">
      <c r="B34" s="5" t="s">
        <v>49</v>
      </c>
    </row>
    <row r="35" ht="14.25" customHeight="1">
      <c r="B35" s="5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2" t="s">
        <v>60</v>
      </c>
      <c r="AD2" s="1"/>
    </row>
    <row r="3" ht="14.25" customHeight="1">
      <c r="A3" s="1" t="s">
        <v>61</v>
      </c>
      <c r="AD3" s="1"/>
    </row>
    <row r="4" ht="14.25" customHeight="1">
      <c r="A4" s="2" t="s">
        <v>3</v>
      </c>
      <c r="AD4" s="1"/>
    </row>
    <row r="5" ht="14.25" customHeight="1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  <c r="AA5" s="5"/>
      <c r="AB5" s="5"/>
    </row>
    <row r="6" ht="14.25" customHeight="1">
      <c r="A6" s="3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5"/>
      <c r="X6" s="5"/>
      <c r="Y6" s="5"/>
      <c r="Z6" s="5"/>
      <c r="AA6" s="5"/>
      <c r="AB6" s="5"/>
    </row>
    <row r="7" ht="14.25" customHeight="1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4.25" customHeight="1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</row>
    <row r="10" ht="14.25" customHeight="1">
      <c r="A10" s="8">
        <v>47484.0</v>
      </c>
      <c r="B10" s="9" t="s">
        <v>34</v>
      </c>
      <c r="C10" s="9">
        <v>4008.306288</v>
      </c>
      <c r="D10" s="9">
        <v>3844.286266</v>
      </c>
      <c r="E10" s="9">
        <v>3752.542665</v>
      </c>
      <c r="F10" s="9">
        <v>3715.039852</v>
      </c>
      <c r="G10" s="9">
        <v>3772.326994</v>
      </c>
      <c r="H10" s="9">
        <v>4014.422082</v>
      </c>
      <c r="I10" s="9">
        <v>4857.486402</v>
      </c>
      <c r="J10" s="9">
        <v>6095.106163</v>
      </c>
      <c r="K10" s="9">
        <v>7130.530987</v>
      </c>
      <c r="L10" s="9">
        <v>7829.779937</v>
      </c>
      <c r="M10" s="9">
        <v>8398.668074</v>
      </c>
      <c r="N10" s="9">
        <v>8741.045965</v>
      </c>
      <c r="O10" s="9">
        <v>8626.066821</v>
      </c>
      <c r="P10" s="9">
        <v>8655.541442</v>
      </c>
      <c r="Q10" s="9">
        <v>8884.879588</v>
      </c>
      <c r="R10" s="9">
        <v>8888.629888</v>
      </c>
      <c r="S10" s="9">
        <v>8638.084242</v>
      </c>
      <c r="T10" s="9">
        <v>8061.475381</v>
      </c>
      <c r="U10" s="9">
        <v>7636.735783</v>
      </c>
      <c r="V10" s="9">
        <v>7154.163016</v>
      </c>
      <c r="W10" s="9">
        <v>6516.190999</v>
      </c>
      <c r="X10" s="9">
        <v>5790.91231</v>
      </c>
      <c r="Y10" s="9">
        <v>5018.55803</v>
      </c>
      <c r="Z10" s="9">
        <v>4491.363439</v>
      </c>
      <c r="AA10" s="11">
        <f t="shared" ref="AA10:AA45" si="1">SUM(C10:Z10)</f>
        <v>154522.1426</v>
      </c>
      <c r="AB10" s="11">
        <v>21.0</v>
      </c>
      <c r="AC10" s="11">
        <f t="shared" ref="AC10:AC45" si="2">AA10*AB10</f>
        <v>3244964.995</v>
      </c>
      <c r="AD10" s="12">
        <f>SUM(AC10:AC12)</f>
        <v>4492858.627</v>
      </c>
    </row>
    <row r="11" ht="14.25" customHeight="1">
      <c r="A11" s="8">
        <v>47484.0</v>
      </c>
      <c r="B11" s="9" t="s">
        <v>35</v>
      </c>
      <c r="C11" s="9">
        <v>4355.503533</v>
      </c>
      <c r="D11" s="9">
        <v>4128.1249</v>
      </c>
      <c r="E11" s="9">
        <v>4001.340354</v>
      </c>
      <c r="F11" s="9">
        <v>3903.055984</v>
      </c>
      <c r="G11" s="9">
        <v>3921.888118</v>
      </c>
      <c r="H11" s="9">
        <v>3937.889187</v>
      </c>
      <c r="I11" s="9">
        <v>4511.075045</v>
      </c>
      <c r="J11" s="9">
        <v>5538.705773</v>
      </c>
      <c r="K11" s="9">
        <v>6514.926591</v>
      </c>
      <c r="L11" s="9">
        <v>7277.354625</v>
      </c>
      <c r="M11" s="9">
        <v>7753.129812</v>
      </c>
      <c r="N11" s="9">
        <v>7971.472378</v>
      </c>
      <c r="O11" s="9">
        <v>7747.83641</v>
      </c>
      <c r="P11" s="9">
        <v>7502.284243</v>
      </c>
      <c r="Q11" s="9">
        <v>7333.740413</v>
      </c>
      <c r="R11" s="9">
        <v>7292.868144</v>
      </c>
      <c r="S11" s="9">
        <v>7205.269929</v>
      </c>
      <c r="T11" s="9">
        <v>7069.119503</v>
      </c>
      <c r="U11" s="9">
        <v>6905.140825</v>
      </c>
      <c r="V11" s="9">
        <v>6543.639812</v>
      </c>
      <c r="W11" s="9">
        <v>5986.633242</v>
      </c>
      <c r="X11" s="9">
        <v>5360.330024</v>
      </c>
      <c r="Y11" s="9">
        <v>4691.235064</v>
      </c>
      <c r="Z11" s="9">
        <v>4210.952088</v>
      </c>
      <c r="AA11" s="11">
        <f t="shared" si="1"/>
        <v>141663.516</v>
      </c>
      <c r="AB11" s="11">
        <v>4.0</v>
      </c>
      <c r="AC11" s="11">
        <f t="shared" si="2"/>
        <v>566654.064</v>
      </c>
      <c r="AD11" s="13"/>
    </row>
    <row r="12" ht="14.25" customHeight="1">
      <c r="A12" s="8">
        <v>47484.0</v>
      </c>
      <c r="B12" s="9" t="s">
        <v>36</v>
      </c>
      <c r="C12" s="9">
        <v>3899.718928</v>
      </c>
      <c r="D12" s="9">
        <v>3706.031441</v>
      </c>
      <c r="E12" s="9">
        <v>3527.085177</v>
      </c>
      <c r="F12" s="9">
        <v>3436.166297</v>
      </c>
      <c r="G12" s="9">
        <v>3359.507231</v>
      </c>
      <c r="H12" s="9">
        <v>3293.59578</v>
      </c>
      <c r="I12" s="9">
        <v>3400.059932</v>
      </c>
      <c r="J12" s="9">
        <v>3800.6766</v>
      </c>
      <c r="K12" s="9">
        <v>4327.58924</v>
      </c>
      <c r="L12" s="9">
        <v>5060.327931</v>
      </c>
      <c r="M12" s="9">
        <v>5652.251692</v>
      </c>
      <c r="N12" s="9">
        <v>5987.329741</v>
      </c>
      <c r="O12" s="9">
        <v>6102.75109</v>
      </c>
      <c r="P12" s="9">
        <v>6130.601879</v>
      </c>
      <c r="Q12" s="9">
        <v>6088.254668</v>
      </c>
      <c r="R12" s="9">
        <v>6058.772225</v>
      </c>
      <c r="S12" s="9">
        <v>5915.434533</v>
      </c>
      <c r="T12" s="9">
        <v>5771.907353</v>
      </c>
      <c r="U12" s="9">
        <v>5691.55991</v>
      </c>
      <c r="V12" s="9">
        <v>5407.974734</v>
      </c>
      <c r="W12" s="9">
        <v>4948.920675</v>
      </c>
      <c r="X12" s="9">
        <v>4421.740702</v>
      </c>
      <c r="Y12" s="9">
        <v>3947.460944</v>
      </c>
      <c r="Z12" s="9">
        <v>3604.20926</v>
      </c>
      <c r="AA12" s="11">
        <f t="shared" si="1"/>
        <v>113539.928</v>
      </c>
      <c r="AB12" s="11">
        <v>6.0</v>
      </c>
      <c r="AC12" s="11">
        <f t="shared" si="2"/>
        <v>681239.5678</v>
      </c>
      <c r="AD12" s="14"/>
    </row>
    <row r="13" ht="14.25" customHeight="1">
      <c r="A13" s="8">
        <v>47515.0</v>
      </c>
      <c r="B13" s="9" t="s">
        <v>34</v>
      </c>
      <c r="C13" s="9">
        <v>4008.306288</v>
      </c>
      <c r="D13" s="9">
        <v>3844.286266</v>
      </c>
      <c r="E13" s="9">
        <v>3752.542665</v>
      </c>
      <c r="F13" s="9">
        <v>3715.039852</v>
      </c>
      <c r="G13" s="9">
        <v>3772.326994</v>
      </c>
      <c r="H13" s="9">
        <v>4014.422082</v>
      </c>
      <c r="I13" s="9">
        <v>4857.486402</v>
      </c>
      <c r="J13" s="9">
        <v>6095.106163</v>
      </c>
      <c r="K13" s="9">
        <v>7130.530987</v>
      </c>
      <c r="L13" s="9">
        <v>7829.779937</v>
      </c>
      <c r="M13" s="9">
        <v>8398.668074</v>
      </c>
      <c r="N13" s="9">
        <v>8741.045965</v>
      </c>
      <c r="O13" s="9">
        <v>8626.066821</v>
      </c>
      <c r="P13" s="9">
        <v>8655.541442</v>
      </c>
      <c r="Q13" s="9">
        <v>8884.879588</v>
      </c>
      <c r="R13" s="9">
        <v>8888.629888</v>
      </c>
      <c r="S13" s="9">
        <v>8638.084242</v>
      </c>
      <c r="T13" s="9">
        <v>8061.475381</v>
      </c>
      <c r="U13" s="9">
        <v>7636.735783</v>
      </c>
      <c r="V13" s="9">
        <v>7154.163016</v>
      </c>
      <c r="W13" s="9">
        <v>6516.190999</v>
      </c>
      <c r="X13" s="9">
        <v>5790.91231</v>
      </c>
      <c r="Y13" s="9">
        <v>5018.55803</v>
      </c>
      <c r="Z13" s="9">
        <v>4491.363439</v>
      </c>
      <c r="AA13" s="11">
        <f t="shared" si="1"/>
        <v>154522.1426</v>
      </c>
      <c r="AB13" s="11">
        <v>20.0</v>
      </c>
      <c r="AC13" s="11">
        <f t="shared" si="2"/>
        <v>3090442.852</v>
      </c>
      <c r="AD13" s="12">
        <f>SUM(AC13:AC15)</f>
        <v>4111256.628</v>
      </c>
    </row>
    <row r="14" ht="14.25" customHeight="1">
      <c r="A14" s="8">
        <v>47515.0</v>
      </c>
      <c r="B14" s="9" t="s">
        <v>35</v>
      </c>
      <c r="C14" s="9">
        <v>4355.503533</v>
      </c>
      <c r="D14" s="9">
        <v>4128.1249</v>
      </c>
      <c r="E14" s="9">
        <v>4001.340354</v>
      </c>
      <c r="F14" s="9">
        <v>3903.055984</v>
      </c>
      <c r="G14" s="9">
        <v>3921.888118</v>
      </c>
      <c r="H14" s="9">
        <v>3937.889187</v>
      </c>
      <c r="I14" s="9">
        <v>4511.075045</v>
      </c>
      <c r="J14" s="9">
        <v>5538.705773</v>
      </c>
      <c r="K14" s="9">
        <v>6514.926591</v>
      </c>
      <c r="L14" s="9">
        <v>7277.354625</v>
      </c>
      <c r="M14" s="9">
        <v>7753.129812</v>
      </c>
      <c r="N14" s="9">
        <v>7971.472378</v>
      </c>
      <c r="O14" s="9">
        <v>7747.83641</v>
      </c>
      <c r="P14" s="9">
        <v>7502.284243</v>
      </c>
      <c r="Q14" s="9">
        <v>7333.740413</v>
      </c>
      <c r="R14" s="9">
        <v>7292.868144</v>
      </c>
      <c r="S14" s="9">
        <v>7205.269929</v>
      </c>
      <c r="T14" s="9">
        <v>7069.119503</v>
      </c>
      <c r="U14" s="9">
        <v>6905.140825</v>
      </c>
      <c r="V14" s="9">
        <v>6543.639812</v>
      </c>
      <c r="W14" s="9">
        <v>5986.633242</v>
      </c>
      <c r="X14" s="9">
        <v>5360.330024</v>
      </c>
      <c r="Y14" s="9">
        <v>4691.235064</v>
      </c>
      <c r="Z14" s="9">
        <v>4210.952088</v>
      </c>
      <c r="AA14" s="11">
        <f t="shared" si="1"/>
        <v>141663.516</v>
      </c>
      <c r="AB14" s="11">
        <v>4.0</v>
      </c>
      <c r="AC14" s="11">
        <f t="shared" si="2"/>
        <v>566654.064</v>
      </c>
      <c r="AD14" s="13"/>
    </row>
    <row r="15" ht="14.25" customHeight="1">
      <c r="A15" s="8">
        <v>47515.0</v>
      </c>
      <c r="B15" s="9" t="s">
        <v>36</v>
      </c>
      <c r="C15" s="9">
        <v>3899.718928</v>
      </c>
      <c r="D15" s="9">
        <v>3706.031441</v>
      </c>
      <c r="E15" s="9">
        <v>3527.085177</v>
      </c>
      <c r="F15" s="9">
        <v>3436.166297</v>
      </c>
      <c r="G15" s="9">
        <v>3359.507231</v>
      </c>
      <c r="H15" s="9">
        <v>3293.59578</v>
      </c>
      <c r="I15" s="9">
        <v>3400.059932</v>
      </c>
      <c r="J15" s="9">
        <v>3800.6766</v>
      </c>
      <c r="K15" s="9">
        <v>4327.58924</v>
      </c>
      <c r="L15" s="9">
        <v>5060.327931</v>
      </c>
      <c r="M15" s="9">
        <v>5652.251692</v>
      </c>
      <c r="N15" s="9">
        <v>5987.329741</v>
      </c>
      <c r="O15" s="9">
        <v>6102.75109</v>
      </c>
      <c r="P15" s="9">
        <v>6130.601879</v>
      </c>
      <c r="Q15" s="9">
        <v>6088.254668</v>
      </c>
      <c r="R15" s="9">
        <v>6058.772225</v>
      </c>
      <c r="S15" s="9">
        <v>5915.434533</v>
      </c>
      <c r="T15" s="9">
        <v>5771.907353</v>
      </c>
      <c r="U15" s="9">
        <v>5691.55991</v>
      </c>
      <c r="V15" s="9">
        <v>5407.974734</v>
      </c>
      <c r="W15" s="9">
        <v>4948.920675</v>
      </c>
      <c r="X15" s="9">
        <v>4421.740702</v>
      </c>
      <c r="Y15" s="9">
        <v>3947.460944</v>
      </c>
      <c r="Z15" s="9">
        <v>3604.20926</v>
      </c>
      <c r="AA15" s="11">
        <f t="shared" si="1"/>
        <v>113539.928</v>
      </c>
      <c r="AB15" s="11">
        <v>4.0</v>
      </c>
      <c r="AC15" s="11">
        <f t="shared" si="2"/>
        <v>454159.7119</v>
      </c>
      <c r="AD15" s="14"/>
    </row>
    <row r="16" ht="14.25" customHeight="1">
      <c r="A16" s="8">
        <v>47543.0</v>
      </c>
      <c r="B16" s="9" t="s">
        <v>34</v>
      </c>
      <c r="C16" s="9">
        <v>4008.306288</v>
      </c>
      <c r="D16" s="9">
        <v>3844.286266</v>
      </c>
      <c r="E16" s="9">
        <v>3752.542665</v>
      </c>
      <c r="F16" s="9">
        <v>3715.039852</v>
      </c>
      <c r="G16" s="9">
        <v>3772.326994</v>
      </c>
      <c r="H16" s="9">
        <v>4014.422082</v>
      </c>
      <c r="I16" s="9">
        <v>4857.486402</v>
      </c>
      <c r="J16" s="9">
        <v>6095.106163</v>
      </c>
      <c r="K16" s="9">
        <v>7130.530987</v>
      </c>
      <c r="L16" s="9">
        <v>7829.779937</v>
      </c>
      <c r="M16" s="9">
        <v>8398.668074</v>
      </c>
      <c r="N16" s="9">
        <v>8741.045965</v>
      </c>
      <c r="O16" s="9">
        <v>8626.066821</v>
      </c>
      <c r="P16" s="9">
        <v>8655.541442</v>
      </c>
      <c r="Q16" s="9">
        <v>8884.879588</v>
      </c>
      <c r="R16" s="9">
        <v>8888.629888</v>
      </c>
      <c r="S16" s="9">
        <v>8638.084242</v>
      </c>
      <c r="T16" s="9">
        <v>8061.475381</v>
      </c>
      <c r="U16" s="9">
        <v>7636.735783</v>
      </c>
      <c r="V16" s="9">
        <v>7154.163016</v>
      </c>
      <c r="W16" s="9">
        <v>6516.190999</v>
      </c>
      <c r="X16" s="9">
        <v>5790.91231</v>
      </c>
      <c r="Y16" s="9">
        <v>5018.55803</v>
      </c>
      <c r="Z16" s="9">
        <v>4491.363439</v>
      </c>
      <c r="AA16" s="11">
        <f t="shared" si="1"/>
        <v>154522.1426</v>
      </c>
      <c r="AB16" s="11">
        <v>20.0</v>
      </c>
      <c r="AC16" s="11">
        <f t="shared" si="2"/>
        <v>3090442.852</v>
      </c>
      <c r="AD16" s="12">
        <f>SUM(AC16:AC18)</f>
        <v>4480000</v>
      </c>
    </row>
    <row r="17" ht="14.25" customHeight="1">
      <c r="A17" s="8">
        <v>47543.0</v>
      </c>
      <c r="B17" s="9" t="s">
        <v>35</v>
      </c>
      <c r="C17" s="9">
        <v>4355.503533</v>
      </c>
      <c r="D17" s="9">
        <v>4128.1249</v>
      </c>
      <c r="E17" s="9">
        <v>4001.340354</v>
      </c>
      <c r="F17" s="9">
        <v>3903.055984</v>
      </c>
      <c r="G17" s="9">
        <v>3921.888118</v>
      </c>
      <c r="H17" s="9">
        <v>3937.889187</v>
      </c>
      <c r="I17" s="9">
        <v>4511.075045</v>
      </c>
      <c r="J17" s="9">
        <v>5538.705773</v>
      </c>
      <c r="K17" s="9">
        <v>6514.926591</v>
      </c>
      <c r="L17" s="9">
        <v>7277.354625</v>
      </c>
      <c r="M17" s="9">
        <v>7753.129812</v>
      </c>
      <c r="N17" s="9">
        <v>7971.472378</v>
      </c>
      <c r="O17" s="9">
        <v>7747.83641</v>
      </c>
      <c r="P17" s="9">
        <v>7502.284243</v>
      </c>
      <c r="Q17" s="9">
        <v>7333.740413</v>
      </c>
      <c r="R17" s="9">
        <v>7292.868144</v>
      </c>
      <c r="S17" s="9">
        <v>7205.269929</v>
      </c>
      <c r="T17" s="9">
        <v>7069.119503</v>
      </c>
      <c r="U17" s="9">
        <v>6905.140825</v>
      </c>
      <c r="V17" s="9">
        <v>6543.639812</v>
      </c>
      <c r="W17" s="9">
        <v>5986.633242</v>
      </c>
      <c r="X17" s="9">
        <v>5360.330024</v>
      </c>
      <c r="Y17" s="9">
        <v>4691.235064</v>
      </c>
      <c r="Z17" s="9">
        <v>4210.952088</v>
      </c>
      <c r="AA17" s="11">
        <f t="shared" si="1"/>
        <v>141663.516</v>
      </c>
      <c r="AB17" s="11">
        <v>5.0</v>
      </c>
      <c r="AC17" s="11">
        <f t="shared" si="2"/>
        <v>708317.58</v>
      </c>
      <c r="AD17" s="13"/>
    </row>
    <row r="18" ht="14.25" customHeight="1">
      <c r="A18" s="8">
        <v>47543.0</v>
      </c>
      <c r="B18" s="9" t="s">
        <v>36</v>
      </c>
      <c r="C18" s="9">
        <v>3899.718928</v>
      </c>
      <c r="D18" s="9">
        <v>3706.031441</v>
      </c>
      <c r="E18" s="9">
        <v>3527.085177</v>
      </c>
      <c r="F18" s="9">
        <v>3436.166297</v>
      </c>
      <c r="G18" s="9">
        <v>3359.507231</v>
      </c>
      <c r="H18" s="9">
        <v>3293.59578</v>
      </c>
      <c r="I18" s="9">
        <v>3400.059932</v>
      </c>
      <c r="J18" s="9">
        <v>3800.6766</v>
      </c>
      <c r="K18" s="9">
        <v>4327.58924</v>
      </c>
      <c r="L18" s="9">
        <v>5060.327931</v>
      </c>
      <c r="M18" s="9">
        <v>5652.251692</v>
      </c>
      <c r="N18" s="9">
        <v>5987.329741</v>
      </c>
      <c r="O18" s="9">
        <v>6102.75109</v>
      </c>
      <c r="P18" s="9">
        <v>6130.601879</v>
      </c>
      <c r="Q18" s="9">
        <v>6088.254668</v>
      </c>
      <c r="R18" s="9">
        <v>6058.772225</v>
      </c>
      <c r="S18" s="9">
        <v>5915.434533</v>
      </c>
      <c r="T18" s="9">
        <v>5771.907353</v>
      </c>
      <c r="U18" s="9">
        <v>5691.55991</v>
      </c>
      <c r="V18" s="9">
        <v>5407.974734</v>
      </c>
      <c r="W18" s="9">
        <v>4948.920675</v>
      </c>
      <c r="X18" s="9">
        <v>4421.740702</v>
      </c>
      <c r="Y18" s="9">
        <v>3947.460944</v>
      </c>
      <c r="Z18" s="9">
        <v>3604.20926</v>
      </c>
      <c r="AA18" s="11">
        <f t="shared" si="1"/>
        <v>113539.928</v>
      </c>
      <c r="AB18" s="11">
        <v>6.0</v>
      </c>
      <c r="AC18" s="11">
        <f t="shared" si="2"/>
        <v>681239.5678</v>
      </c>
      <c r="AD18" s="14"/>
    </row>
    <row r="19" ht="14.25" customHeight="1">
      <c r="A19" s="8">
        <v>47574.0</v>
      </c>
      <c r="B19" s="9" t="s">
        <v>34</v>
      </c>
      <c r="C19" s="9">
        <v>4008.306288</v>
      </c>
      <c r="D19" s="9">
        <v>3844.286266</v>
      </c>
      <c r="E19" s="9">
        <v>3752.542665</v>
      </c>
      <c r="F19" s="9">
        <v>3715.039852</v>
      </c>
      <c r="G19" s="9">
        <v>3772.326994</v>
      </c>
      <c r="H19" s="9">
        <v>4014.422082</v>
      </c>
      <c r="I19" s="9">
        <v>4857.486402</v>
      </c>
      <c r="J19" s="9">
        <v>6095.106163</v>
      </c>
      <c r="K19" s="9">
        <v>7130.530987</v>
      </c>
      <c r="L19" s="9">
        <v>7829.779937</v>
      </c>
      <c r="M19" s="9">
        <v>8398.668074</v>
      </c>
      <c r="N19" s="9">
        <v>8741.045965</v>
      </c>
      <c r="O19" s="9">
        <v>8626.066821</v>
      </c>
      <c r="P19" s="9">
        <v>8655.541442</v>
      </c>
      <c r="Q19" s="9">
        <v>8884.879588</v>
      </c>
      <c r="R19" s="9">
        <v>8888.629888</v>
      </c>
      <c r="S19" s="9">
        <v>8638.084242</v>
      </c>
      <c r="T19" s="9">
        <v>8061.475381</v>
      </c>
      <c r="U19" s="9">
        <v>7636.735783</v>
      </c>
      <c r="V19" s="9">
        <v>7154.163016</v>
      </c>
      <c r="W19" s="9">
        <v>6516.190999</v>
      </c>
      <c r="X19" s="9">
        <v>5790.91231</v>
      </c>
      <c r="Y19" s="9">
        <v>5018.55803</v>
      </c>
      <c r="Z19" s="9">
        <v>4491.363439</v>
      </c>
      <c r="AA19" s="11">
        <f t="shared" si="1"/>
        <v>154522.1426</v>
      </c>
      <c r="AB19" s="11">
        <v>20.0</v>
      </c>
      <c r="AC19" s="11">
        <f t="shared" si="2"/>
        <v>3090442.852</v>
      </c>
      <c r="AD19" s="12">
        <f>SUM(AC19:AC21)</f>
        <v>4338336.484</v>
      </c>
    </row>
    <row r="20" ht="14.25" customHeight="1">
      <c r="A20" s="8">
        <v>47574.0</v>
      </c>
      <c r="B20" s="9" t="s">
        <v>35</v>
      </c>
      <c r="C20" s="9">
        <v>4355.503533</v>
      </c>
      <c r="D20" s="9">
        <v>4128.1249</v>
      </c>
      <c r="E20" s="9">
        <v>4001.340354</v>
      </c>
      <c r="F20" s="9">
        <v>3903.055984</v>
      </c>
      <c r="G20" s="9">
        <v>3921.888118</v>
      </c>
      <c r="H20" s="9">
        <v>3937.889187</v>
      </c>
      <c r="I20" s="9">
        <v>4511.075045</v>
      </c>
      <c r="J20" s="9">
        <v>5538.705773</v>
      </c>
      <c r="K20" s="9">
        <v>6514.926591</v>
      </c>
      <c r="L20" s="9">
        <v>7277.354625</v>
      </c>
      <c r="M20" s="9">
        <v>7753.129812</v>
      </c>
      <c r="N20" s="9">
        <v>7971.472378</v>
      </c>
      <c r="O20" s="9">
        <v>7747.83641</v>
      </c>
      <c r="P20" s="9">
        <v>7502.284243</v>
      </c>
      <c r="Q20" s="9">
        <v>7333.740413</v>
      </c>
      <c r="R20" s="9">
        <v>7292.868144</v>
      </c>
      <c r="S20" s="9">
        <v>7205.269929</v>
      </c>
      <c r="T20" s="9">
        <v>7069.119503</v>
      </c>
      <c r="U20" s="9">
        <v>6905.140825</v>
      </c>
      <c r="V20" s="9">
        <v>6543.639812</v>
      </c>
      <c r="W20" s="9">
        <v>5986.633242</v>
      </c>
      <c r="X20" s="9">
        <v>5360.330024</v>
      </c>
      <c r="Y20" s="9">
        <v>4691.235064</v>
      </c>
      <c r="Z20" s="9">
        <v>4210.952088</v>
      </c>
      <c r="AA20" s="11">
        <f t="shared" si="1"/>
        <v>141663.516</v>
      </c>
      <c r="AB20" s="11">
        <v>4.0</v>
      </c>
      <c r="AC20" s="11">
        <f t="shared" si="2"/>
        <v>566654.064</v>
      </c>
      <c r="AD20" s="13"/>
    </row>
    <row r="21" ht="14.25" customHeight="1">
      <c r="A21" s="8">
        <v>47574.0</v>
      </c>
      <c r="B21" s="9" t="s">
        <v>36</v>
      </c>
      <c r="C21" s="9">
        <v>3899.718928</v>
      </c>
      <c r="D21" s="9">
        <v>3706.031441</v>
      </c>
      <c r="E21" s="9">
        <v>3527.085177</v>
      </c>
      <c r="F21" s="9">
        <v>3436.166297</v>
      </c>
      <c r="G21" s="9">
        <v>3359.507231</v>
      </c>
      <c r="H21" s="9">
        <v>3293.59578</v>
      </c>
      <c r="I21" s="9">
        <v>3400.059932</v>
      </c>
      <c r="J21" s="9">
        <v>3800.6766</v>
      </c>
      <c r="K21" s="9">
        <v>4327.58924</v>
      </c>
      <c r="L21" s="9">
        <v>5060.327931</v>
      </c>
      <c r="M21" s="9">
        <v>5652.251692</v>
      </c>
      <c r="N21" s="9">
        <v>5987.329741</v>
      </c>
      <c r="O21" s="9">
        <v>6102.75109</v>
      </c>
      <c r="P21" s="9">
        <v>6130.601879</v>
      </c>
      <c r="Q21" s="9">
        <v>6088.254668</v>
      </c>
      <c r="R21" s="9">
        <v>6058.772225</v>
      </c>
      <c r="S21" s="9">
        <v>5915.434533</v>
      </c>
      <c r="T21" s="9">
        <v>5771.907353</v>
      </c>
      <c r="U21" s="9">
        <v>5691.55991</v>
      </c>
      <c r="V21" s="9">
        <v>5407.974734</v>
      </c>
      <c r="W21" s="9">
        <v>4948.920675</v>
      </c>
      <c r="X21" s="9">
        <v>4421.740702</v>
      </c>
      <c r="Y21" s="9">
        <v>3947.460944</v>
      </c>
      <c r="Z21" s="9">
        <v>3604.20926</v>
      </c>
      <c r="AA21" s="11">
        <f t="shared" si="1"/>
        <v>113539.928</v>
      </c>
      <c r="AB21" s="11">
        <v>6.0</v>
      </c>
      <c r="AC21" s="11">
        <f t="shared" si="2"/>
        <v>681239.5678</v>
      </c>
      <c r="AD21" s="14"/>
    </row>
    <row r="22" ht="14.25" customHeight="1">
      <c r="A22" s="8">
        <v>47604.0</v>
      </c>
      <c r="B22" s="9" t="s">
        <v>34</v>
      </c>
      <c r="C22" s="9">
        <v>4008.306288</v>
      </c>
      <c r="D22" s="9">
        <v>3844.286266</v>
      </c>
      <c r="E22" s="9">
        <v>3752.542665</v>
      </c>
      <c r="F22" s="9">
        <v>3715.039852</v>
      </c>
      <c r="G22" s="9">
        <v>3772.326994</v>
      </c>
      <c r="H22" s="9">
        <v>4014.422082</v>
      </c>
      <c r="I22" s="9">
        <v>4857.486402</v>
      </c>
      <c r="J22" s="9">
        <v>6095.106163</v>
      </c>
      <c r="K22" s="9">
        <v>7130.530987</v>
      </c>
      <c r="L22" s="9">
        <v>7829.779937</v>
      </c>
      <c r="M22" s="9">
        <v>8398.668074</v>
      </c>
      <c r="N22" s="9">
        <v>8741.045965</v>
      </c>
      <c r="O22" s="9">
        <v>8626.066821</v>
      </c>
      <c r="P22" s="9">
        <v>8655.541442</v>
      </c>
      <c r="Q22" s="9">
        <v>8884.879588</v>
      </c>
      <c r="R22" s="9">
        <v>8888.629888</v>
      </c>
      <c r="S22" s="9">
        <v>8638.084242</v>
      </c>
      <c r="T22" s="9">
        <v>8061.475381</v>
      </c>
      <c r="U22" s="9">
        <v>7636.735783</v>
      </c>
      <c r="V22" s="9">
        <v>7154.163016</v>
      </c>
      <c r="W22" s="9">
        <v>6516.190999</v>
      </c>
      <c r="X22" s="9">
        <v>5790.91231</v>
      </c>
      <c r="Y22" s="9">
        <v>5018.55803</v>
      </c>
      <c r="Z22" s="9">
        <v>4491.363439</v>
      </c>
      <c r="AA22" s="11">
        <f t="shared" si="1"/>
        <v>154522.1426</v>
      </c>
      <c r="AB22" s="11">
        <v>22.0</v>
      </c>
      <c r="AC22" s="11">
        <f t="shared" si="2"/>
        <v>3399487.138</v>
      </c>
      <c r="AD22" s="12">
        <f>SUM(AC22:AC24)</f>
        <v>4533840.841</v>
      </c>
    </row>
    <row r="23" ht="14.25" customHeight="1">
      <c r="A23" s="8">
        <v>47604.0</v>
      </c>
      <c r="B23" s="9" t="s">
        <v>35</v>
      </c>
      <c r="C23" s="9">
        <v>4355.503533</v>
      </c>
      <c r="D23" s="9">
        <v>4128.1249</v>
      </c>
      <c r="E23" s="9">
        <v>4001.340354</v>
      </c>
      <c r="F23" s="9">
        <v>3903.055984</v>
      </c>
      <c r="G23" s="9">
        <v>3921.888118</v>
      </c>
      <c r="H23" s="9">
        <v>3937.889187</v>
      </c>
      <c r="I23" s="9">
        <v>4511.075045</v>
      </c>
      <c r="J23" s="9">
        <v>5538.705773</v>
      </c>
      <c r="K23" s="9">
        <v>6514.926591</v>
      </c>
      <c r="L23" s="9">
        <v>7277.354625</v>
      </c>
      <c r="M23" s="9">
        <v>7753.129812</v>
      </c>
      <c r="N23" s="9">
        <v>7971.472378</v>
      </c>
      <c r="O23" s="9">
        <v>7747.83641</v>
      </c>
      <c r="P23" s="9">
        <v>7502.284243</v>
      </c>
      <c r="Q23" s="9">
        <v>7333.740413</v>
      </c>
      <c r="R23" s="9">
        <v>7292.868144</v>
      </c>
      <c r="S23" s="9">
        <v>7205.269929</v>
      </c>
      <c r="T23" s="9">
        <v>7069.119503</v>
      </c>
      <c r="U23" s="9">
        <v>6905.140825</v>
      </c>
      <c r="V23" s="9">
        <v>6543.639812</v>
      </c>
      <c r="W23" s="9">
        <v>5986.633242</v>
      </c>
      <c r="X23" s="9">
        <v>5360.330024</v>
      </c>
      <c r="Y23" s="9">
        <v>4691.235064</v>
      </c>
      <c r="Z23" s="9">
        <v>4210.952088</v>
      </c>
      <c r="AA23" s="11">
        <f t="shared" si="1"/>
        <v>141663.516</v>
      </c>
      <c r="AB23" s="11">
        <v>4.0</v>
      </c>
      <c r="AC23" s="11">
        <f t="shared" si="2"/>
        <v>566654.064</v>
      </c>
      <c r="AD23" s="13"/>
    </row>
    <row r="24" ht="14.25" customHeight="1">
      <c r="A24" s="8">
        <v>47604.0</v>
      </c>
      <c r="B24" s="9" t="s">
        <v>36</v>
      </c>
      <c r="C24" s="9">
        <v>3899.718928</v>
      </c>
      <c r="D24" s="9">
        <v>3706.031441</v>
      </c>
      <c r="E24" s="9">
        <v>3527.085177</v>
      </c>
      <c r="F24" s="9">
        <v>3436.166297</v>
      </c>
      <c r="G24" s="9">
        <v>3359.507231</v>
      </c>
      <c r="H24" s="9">
        <v>3293.59578</v>
      </c>
      <c r="I24" s="9">
        <v>3400.059932</v>
      </c>
      <c r="J24" s="9">
        <v>3800.6766</v>
      </c>
      <c r="K24" s="9">
        <v>4327.58924</v>
      </c>
      <c r="L24" s="9">
        <v>5060.327931</v>
      </c>
      <c r="M24" s="9">
        <v>5652.251692</v>
      </c>
      <c r="N24" s="9">
        <v>5987.329741</v>
      </c>
      <c r="O24" s="9">
        <v>6102.75109</v>
      </c>
      <c r="P24" s="9">
        <v>6130.601879</v>
      </c>
      <c r="Q24" s="9">
        <v>6088.254668</v>
      </c>
      <c r="R24" s="9">
        <v>6058.772225</v>
      </c>
      <c r="S24" s="9">
        <v>5915.434533</v>
      </c>
      <c r="T24" s="9">
        <v>5771.907353</v>
      </c>
      <c r="U24" s="9">
        <v>5691.55991</v>
      </c>
      <c r="V24" s="9">
        <v>5407.974734</v>
      </c>
      <c r="W24" s="9">
        <v>4948.920675</v>
      </c>
      <c r="X24" s="9">
        <v>4421.740702</v>
      </c>
      <c r="Y24" s="9">
        <v>3947.460944</v>
      </c>
      <c r="Z24" s="9">
        <v>3604.20926</v>
      </c>
      <c r="AA24" s="11">
        <f t="shared" si="1"/>
        <v>113539.928</v>
      </c>
      <c r="AB24" s="11">
        <v>5.0</v>
      </c>
      <c r="AC24" s="11">
        <f t="shared" si="2"/>
        <v>567699.6398</v>
      </c>
      <c r="AD24" s="14"/>
    </row>
    <row r="25" ht="14.25" customHeight="1">
      <c r="A25" s="8">
        <v>47635.0</v>
      </c>
      <c r="B25" s="9" t="s">
        <v>34</v>
      </c>
      <c r="C25" s="9">
        <v>4008.306288</v>
      </c>
      <c r="D25" s="9">
        <v>3844.286266</v>
      </c>
      <c r="E25" s="9">
        <v>3752.542665</v>
      </c>
      <c r="F25" s="9">
        <v>3715.039852</v>
      </c>
      <c r="G25" s="9">
        <v>3772.326994</v>
      </c>
      <c r="H25" s="9">
        <v>4014.422082</v>
      </c>
      <c r="I25" s="9">
        <v>4857.486402</v>
      </c>
      <c r="J25" s="9">
        <v>6095.106163</v>
      </c>
      <c r="K25" s="9">
        <v>7130.530987</v>
      </c>
      <c r="L25" s="9">
        <v>7829.779937</v>
      </c>
      <c r="M25" s="9">
        <v>8398.668074</v>
      </c>
      <c r="N25" s="9">
        <v>8741.045965</v>
      </c>
      <c r="O25" s="9">
        <v>8626.066821</v>
      </c>
      <c r="P25" s="9">
        <v>8655.541442</v>
      </c>
      <c r="Q25" s="9">
        <v>8884.879588</v>
      </c>
      <c r="R25" s="9">
        <v>8888.629888</v>
      </c>
      <c r="S25" s="9">
        <v>8638.084242</v>
      </c>
      <c r="T25" s="9">
        <v>8061.475381</v>
      </c>
      <c r="U25" s="9">
        <v>7636.735783</v>
      </c>
      <c r="V25" s="9">
        <v>7154.163016</v>
      </c>
      <c r="W25" s="9">
        <v>6516.190999</v>
      </c>
      <c r="X25" s="9">
        <v>5790.91231</v>
      </c>
      <c r="Y25" s="9">
        <v>5018.55803</v>
      </c>
      <c r="Z25" s="9">
        <v>4491.363439</v>
      </c>
      <c r="AA25" s="11">
        <f t="shared" si="1"/>
        <v>154522.1426</v>
      </c>
      <c r="AB25" s="11">
        <v>18.0</v>
      </c>
      <c r="AC25" s="11">
        <f t="shared" si="2"/>
        <v>2781398.567</v>
      </c>
      <c r="AD25" s="12">
        <f>SUM(AC25:AC27)</f>
        <v>4284495.643</v>
      </c>
    </row>
    <row r="26" ht="14.25" customHeight="1">
      <c r="A26" s="8">
        <v>47635.0</v>
      </c>
      <c r="B26" s="9" t="s">
        <v>35</v>
      </c>
      <c r="C26" s="9">
        <v>4355.503533</v>
      </c>
      <c r="D26" s="9">
        <v>4128.1249</v>
      </c>
      <c r="E26" s="9">
        <v>4001.340354</v>
      </c>
      <c r="F26" s="9">
        <v>3903.055984</v>
      </c>
      <c r="G26" s="9">
        <v>3921.888118</v>
      </c>
      <c r="H26" s="9">
        <v>3937.889187</v>
      </c>
      <c r="I26" s="9">
        <v>4511.075045</v>
      </c>
      <c r="J26" s="9">
        <v>5538.705773</v>
      </c>
      <c r="K26" s="9">
        <v>6514.926591</v>
      </c>
      <c r="L26" s="9">
        <v>7277.354625</v>
      </c>
      <c r="M26" s="9">
        <v>7753.129812</v>
      </c>
      <c r="N26" s="9">
        <v>7971.472378</v>
      </c>
      <c r="O26" s="9">
        <v>7747.83641</v>
      </c>
      <c r="P26" s="9">
        <v>7502.284243</v>
      </c>
      <c r="Q26" s="9">
        <v>7333.740413</v>
      </c>
      <c r="R26" s="9">
        <v>7292.868144</v>
      </c>
      <c r="S26" s="9">
        <v>7205.269929</v>
      </c>
      <c r="T26" s="9">
        <v>7069.119503</v>
      </c>
      <c r="U26" s="9">
        <v>6905.140825</v>
      </c>
      <c r="V26" s="9">
        <v>6543.639812</v>
      </c>
      <c r="W26" s="9">
        <v>5986.633242</v>
      </c>
      <c r="X26" s="9">
        <v>5360.330024</v>
      </c>
      <c r="Y26" s="9">
        <v>4691.235064</v>
      </c>
      <c r="Z26" s="9">
        <v>4210.952088</v>
      </c>
      <c r="AA26" s="11">
        <f t="shared" si="1"/>
        <v>141663.516</v>
      </c>
      <c r="AB26" s="11">
        <v>5.0</v>
      </c>
      <c r="AC26" s="11">
        <f t="shared" si="2"/>
        <v>708317.58</v>
      </c>
      <c r="AD26" s="13"/>
    </row>
    <row r="27" ht="14.25" customHeight="1">
      <c r="A27" s="8">
        <v>47635.0</v>
      </c>
      <c r="B27" s="9" t="s">
        <v>36</v>
      </c>
      <c r="C27" s="9">
        <v>3899.718928</v>
      </c>
      <c r="D27" s="9">
        <v>3706.031441</v>
      </c>
      <c r="E27" s="9">
        <v>3527.085177</v>
      </c>
      <c r="F27" s="9">
        <v>3436.166297</v>
      </c>
      <c r="G27" s="9">
        <v>3359.507231</v>
      </c>
      <c r="H27" s="9">
        <v>3293.59578</v>
      </c>
      <c r="I27" s="9">
        <v>3400.059932</v>
      </c>
      <c r="J27" s="9">
        <v>3800.6766</v>
      </c>
      <c r="K27" s="9">
        <v>4327.58924</v>
      </c>
      <c r="L27" s="9">
        <v>5060.327931</v>
      </c>
      <c r="M27" s="9">
        <v>5652.251692</v>
      </c>
      <c r="N27" s="9">
        <v>5987.329741</v>
      </c>
      <c r="O27" s="9">
        <v>6102.75109</v>
      </c>
      <c r="P27" s="9">
        <v>6130.601879</v>
      </c>
      <c r="Q27" s="9">
        <v>6088.254668</v>
      </c>
      <c r="R27" s="9">
        <v>6058.772225</v>
      </c>
      <c r="S27" s="9">
        <v>5915.434533</v>
      </c>
      <c r="T27" s="9">
        <v>5771.907353</v>
      </c>
      <c r="U27" s="9">
        <v>5691.55991</v>
      </c>
      <c r="V27" s="9">
        <v>5407.974734</v>
      </c>
      <c r="W27" s="9">
        <v>4948.920675</v>
      </c>
      <c r="X27" s="9">
        <v>4421.740702</v>
      </c>
      <c r="Y27" s="9">
        <v>3947.460944</v>
      </c>
      <c r="Z27" s="9">
        <v>3604.20926</v>
      </c>
      <c r="AA27" s="11">
        <f t="shared" si="1"/>
        <v>113539.928</v>
      </c>
      <c r="AB27" s="11">
        <v>7.0</v>
      </c>
      <c r="AC27" s="11">
        <f t="shared" si="2"/>
        <v>794779.4957</v>
      </c>
      <c r="AD27" s="14"/>
    </row>
    <row r="28" ht="14.25" customHeight="1">
      <c r="A28" s="8">
        <v>47665.0</v>
      </c>
      <c r="B28" s="9" t="s">
        <v>34</v>
      </c>
      <c r="C28" s="9">
        <v>4008.306288</v>
      </c>
      <c r="D28" s="9">
        <v>3844.286266</v>
      </c>
      <c r="E28" s="9">
        <v>3752.542665</v>
      </c>
      <c r="F28" s="9">
        <v>3715.039852</v>
      </c>
      <c r="G28" s="9">
        <v>3772.326994</v>
      </c>
      <c r="H28" s="9">
        <v>4014.422082</v>
      </c>
      <c r="I28" s="9">
        <v>4857.486402</v>
      </c>
      <c r="J28" s="9">
        <v>6095.106163</v>
      </c>
      <c r="K28" s="9">
        <v>7130.530987</v>
      </c>
      <c r="L28" s="9">
        <v>7829.779937</v>
      </c>
      <c r="M28" s="9">
        <v>8398.668074</v>
      </c>
      <c r="N28" s="9">
        <v>8741.045965</v>
      </c>
      <c r="O28" s="9">
        <v>8626.066821</v>
      </c>
      <c r="P28" s="9">
        <v>8655.541442</v>
      </c>
      <c r="Q28" s="9">
        <v>8884.879588</v>
      </c>
      <c r="R28" s="9">
        <v>8888.629888</v>
      </c>
      <c r="S28" s="9">
        <v>8638.084242</v>
      </c>
      <c r="T28" s="9">
        <v>8061.475381</v>
      </c>
      <c r="U28" s="9">
        <v>7636.735783</v>
      </c>
      <c r="V28" s="9">
        <v>7154.163016</v>
      </c>
      <c r="W28" s="9">
        <v>6516.190999</v>
      </c>
      <c r="X28" s="9">
        <v>5790.91231</v>
      </c>
      <c r="Y28" s="9">
        <v>5018.55803</v>
      </c>
      <c r="Z28" s="9">
        <v>4491.363439</v>
      </c>
      <c r="AA28" s="11">
        <f t="shared" si="1"/>
        <v>154522.1426</v>
      </c>
      <c r="AB28" s="11">
        <v>22.0</v>
      </c>
      <c r="AC28" s="11">
        <f t="shared" si="2"/>
        <v>3399487.138</v>
      </c>
      <c r="AD28" s="12">
        <f>SUM(AC28:AC30)</f>
        <v>4505717.253</v>
      </c>
    </row>
    <row r="29" ht="14.25" customHeight="1">
      <c r="A29" s="8">
        <v>47665.0</v>
      </c>
      <c r="B29" s="9" t="s">
        <v>35</v>
      </c>
      <c r="C29" s="9">
        <v>4355.503533</v>
      </c>
      <c r="D29" s="9">
        <v>4128.1249</v>
      </c>
      <c r="E29" s="9">
        <v>4001.340354</v>
      </c>
      <c r="F29" s="9">
        <v>3903.055984</v>
      </c>
      <c r="G29" s="9">
        <v>3921.888118</v>
      </c>
      <c r="H29" s="9">
        <v>3937.889187</v>
      </c>
      <c r="I29" s="9">
        <v>4511.075045</v>
      </c>
      <c r="J29" s="9">
        <v>5538.705773</v>
      </c>
      <c r="K29" s="9">
        <v>6514.926591</v>
      </c>
      <c r="L29" s="9">
        <v>7277.354625</v>
      </c>
      <c r="M29" s="9">
        <v>7753.129812</v>
      </c>
      <c r="N29" s="9">
        <v>7971.472378</v>
      </c>
      <c r="O29" s="9">
        <v>7747.83641</v>
      </c>
      <c r="P29" s="9">
        <v>7502.284243</v>
      </c>
      <c r="Q29" s="9">
        <v>7333.740413</v>
      </c>
      <c r="R29" s="9">
        <v>7292.868144</v>
      </c>
      <c r="S29" s="9">
        <v>7205.269929</v>
      </c>
      <c r="T29" s="9">
        <v>7069.119503</v>
      </c>
      <c r="U29" s="9">
        <v>6905.140825</v>
      </c>
      <c r="V29" s="9">
        <v>6543.639812</v>
      </c>
      <c r="W29" s="9">
        <v>5986.633242</v>
      </c>
      <c r="X29" s="9">
        <v>5360.330024</v>
      </c>
      <c r="Y29" s="9">
        <v>4691.235064</v>
      </c>
      <c r="Z29" s="9">
        <v>4210.952088</v>
      </c>
      <c r="AA29" s="11">
        <f t="shared" si="1"/>
        <v>141663.516</v>
      </c>
      <c r="AB29" s="11">
        <v>3.0</v>
      </c>
      <c r="AC29" s="11">
        <f t="shared" si="2"/>
        <v>424990.548</v>
      </c>
      <c r="AD29" s="13"/>
    </row>
    <row r="30" ht="14.25" customHeight="1">
      <c r="A30" s="8">
        <v>47665.0</v>
      </c>
      <c r="B30" s="9" t="s">
        <v>36</v>
      </c>
      <c r="C30" s="9">
        <v>3899.718928</v>
      </c>
      <c r="D30" s="9">
        <v>3706.031441</v>
      </c>
      <c r="E30" s="9">
        <v>3527.085177</v>
      </c>
      <c r="F30" s="9">
        <v>3436.166297</v>
      </c>
      <c r="G30" s="9">
        <v>3359.507231</v>
      </c>
      <c r="H30" s="9">
        <v>3293.59578</v>
      </c>
      <c r="I30" s="9">
        <v>3400.059932</v>
      </c>
      <c r="J30" s="9">
        <v>3800.6766</v>
      </c>
      <c r="K30" s="9">
        <v>4327.58924</v>
      </c>
      <c r="L30" s="9">
        <v>5060.327931</v>
      </c>
      <c r="M30" s="9">
        <v>5652.251692</v>
      </c>
      <c r="N30" s="9">
        <v>5987.329741</v>
      </c>
      <c r="O30" s="9">
        <v>6102.75109</v>
      </c>
      <c r="P30" s="9">
        <v>6130.601879</v>
      </c>
      <c r="Q30" s="9">
        <v>6088.254668</v>
      </c>
      <c r="R30" s="9">
        <v>6058.772225</v>
      </c>
      <c r="S30" s="9">
        <v>5915.434533</v>
      </c>
      <c r="T30" s="9">
        <v>5771.907353</v>
      </c>
      <c r="U30" s="9">
        <v>5691.55991</v>
      </c>
      <c r="V30" s="9">
        <v>5407.974734</v>
      </c>
      <c r="W30" s="9">
        <v>4948.920675</v>
      </c>
      <c r="X30" s="9">
        <v>4421.740702</v>
      </c>
      <c r="Y30" s="9">
        <v>3947.460944</v>
      </c>
      <c r="Z30" s="9">
        <v>3604.20926</v>
      </c>
      <c r="AA30" s="11">
        <f t="shared" si="1"/>
        <v>113539.928</v>
      </c>
      <c r="AB30" s="11">
        <v>6.0</v>
      </c>
      <c r="AC30" s="11">
        <f t="shared" si="2"/>
        <v>681239.5678</v>
      </c>
      <c r="AD30" s="14"/>
    </row>
    <row r="31" ht="14.25" customHeight="1">
      <c r="A31" s="8">
        <v>47696.0</v>
      </c>
      <c r="B31" s="9" t="s">
        <v>34</v>
      </c>
      <c r="C31" s="9">
        <v>4008.306288</v>
      </c>
      <c r="D31" s="9">
        <v>3844.286266</v>
      </c>
      <c r="E31" s="9">
        <v>3752.542665</v>
      </c>
      <c r="F31" s="9">
        <v>3715.039852</v>
      </c>
      <c r="G31" s="9">
        <v>3772.326994</v>
      </c>
      <c r="H31" s="9">
        <v>4014.422082</v>
      </c>
      <c r="I31" s="9">
        <v>4857.486402</v>
      </c>
      <c r="J31" s="9">
        <v>6095.106163</v>
      </c>
      <c r="K31" s="9">
        <v>7130.530987</v>
      </c>
      <c r="L31" s="9">
        <v>7829.779937</v>
      </c>
      <c r="M31" s="9">
        <v>8398.668074</v>
      </c>
      <c r="N31" s="9">
        <v>8741.045965</v>
      </c>
      <c r="O31" s="9">
        <v>8626.066821</v>
      </c>
      <c r="P31" s="9">
        <v>8655.541442</v>
      </c>
      <c r="Q31" s="9">
        <v>8884.879588</v>
      </c>
      <c r="R31" s="9">
        <v>8888.629888</v>
      </c>
      <c r="S31" s="9">
        <v>8638.084242</v>
      </c>
      <c r="T31" s="9">
        <v>8061.475381</v>
      </c>
      <c r="U31" s="9">
        <v>7636.735783</v>
      </c>
      <c r="V31" s="9">
        <v>7154.163016</v>
      </c>
      <c r="W31" s="9">
        <v>6516.190999</v>
      </c>
      <c r="X31" s="9">
        <v>5790.91231</v>
      </c>
      <c r="Y31" s="9">
        <v>5018.55803</v>
      </c>
      <c r="Z31" s="9">
        <v>4491.363439</v>
      </c>
      <c r="AA31" s="11">
        <f t="shared" si="1"/>
        <v>154522.1426</v>
      </c>
      <c r="AB31" s="11">
        <v>20.0</v>
      </c>
      <c r="AC31" s="11">
        <f t="shared" si="2"/>
        <v>3090442.852</v>
      </c>
      <c r="AD31" s="12">
        <f>SUM(AC31:AC33)</f>
        <v>4480000</v>
      </c>
    </row>
    <row r="32" ht="14.25" customHeight="1">
      <c r="A32" s="8">
        <v>47696.0</v>
      </c>
      <c r="B32" s="9" t="s">
        <v>35</v>
      </c>
      <c r="C32" s="9">
        <v>4355.503533</v>
      </c>
      <c r="D32" s="9">
        <v>4128.1249</v>
      </c>
      <c r="E32" s="9">
        <v>4001.340354</v>
      </c>
      <c r="F32" s="9">
        <v>3903.055984</v>
      </c>
      <c r="G32" s="9">
        <v>3921.888118</v>
      </c>
      <c r="H32" s="9">
        <v>3937.889187</v>
      </c>
      <c r="I32" s="9">
        <v>4511.075045</v>
      </c>
      <c r="J32" s="9">
        <v>5538.705773</v>
      </c>
      <c r="K32" s="9">
        <v>6514.926591</v>
      </c>
      <c r="L32" s="9">
        <v>7277.354625</v>
      </c>
      <c r="M32" s="9">
        <v>7753.129812</v>
      </c>
      <c r="N32" s="9">
        <v>7971.472378</v>
      </c>
      <c r="O32" s="9">
        <v>7747.83641</v>
      </c>
      <c r="P32" s="9">
        <v>7502.284243</v>
      </c>
      <c r="Q32" s="9">
        <v>7333.740413</v>
      </c>
      <c r="R32" s="9">
        <v>7292.868144</v>
      </c>
      <c r="S32" s="9">
        <v>7205.269929</v>
      </c>
      <c r="T32" s="9">
        <v>7069.119503</v>
      </c>
      <c r="U32" s="9">
        <v>6905.140825</v>
      </c>
      <c r="V32" s="9">
        <v>6543.639812</v>
      </c>
      <c r="W32" s="9">
        <v>5986.633242</v>
      </c>
      <c r="X32" s="9">
        <v>5360.330024</v>
      </c>
      <c r="Y32" s="9">
        <v>4691.235064</v>
      </c>
      <c r="Z32" s="9">
        <v>4210.952088</v>
      </c>
      <c r="AA32" s="11">
        <f t="shared" si="1"/>
        <v>141663.516</v>
      </c>
      <c r="AB32" s="11">
        <v>5.0</v>
      </c>
      <c r="AC32" s="11">
        <f t="shared" si="2"/>
        <v>708317.58</v>
      </c>
      <c r="AD32" s="13"/>
    </row>
    <row r="33" ht="14.25" customHeight="1">
      <c r="A33" s="8">
        <v>47696.0</v>
      </c>
      <c r="B33" s="9" t="s">
        <v>36</v>
      </c>
      <c r="C33" s="9">
        <v>3899.718928</v>
      </c>
      <c r="D33" s="9">
        <v>3706.031441</v>
      </c>
      <c r="E33" s="9">
        <v>3527.085177</v>
      </c>
      <c r="F33" s="9">
        <v>3436.166297</v>
      </c>
      <c r="G33" s="9">
        <v>3359.507231</v>
      </c>
      <c r="H33" s="9">
        <v>3293.59578</v>
      </c>
      <c r="I33" s="9">
        <v>3400.059932</v>
      </c>
      <c r="J33" s="9">
        <v>3800.6766</v>
      </c>
      <c r="K33" s="9">
        <v>4327.58924</v>
      </c>
      <c r="L33" s="9">
        <v>5060.327931</v>
      </c>
      <c r="M33" s="9">
        <v>5652.251692</v>
      </c>
      <c r="N33" s="9">
        <v>5987.329741</v>
      </c>
      <c r="O33" s="9">
        <v>6102.75109</v>
      </c>
      <c r="P33" s="9">
        <v>6130.601879</v>
      </c>
      <c r="Q33" s="9">
        <v>6088.254668</v>
      </c>
      <c r="R33" s="9">
        <v>6058.772225</v>
      </c>
      <c r="S33" s="9">
        <v>5915.434533</v>
      </c>
      <c r="T33" s="9">
        <v>5771.907353</v>
      </c>
      <c r="U33" s="9">
        <v>5691.55991</v>
      </c>
      <c r="V33" s="9">
        <v>5407.974734</v>
      </c>
      <c r="W33" s="9">
        <v>4948.920675</v>
      </c>
      <c r="X33" s="9">
        <v>4421.740702</v>
      </c>
      <c r="Y33" s="9">
        <v>3947.460944</v>
      </c>
      <c r="Z33" s="9">
        <v>3604.20926</v>
      </c>
      <c r="AA33" s="11">
        <f t="shared" si="1"/>
        <v>113539.928</v>
      </c>
      <c r="AB33" s="11">
        <v>6.0</v>
      </c>
      <c r="AC33" s="11">
        <f t="shared" si="2"/>
        <v>681239.5678</v>
      </c>
      <c r="AD33" s="14"/>
    </row>
    <row r="34" ht="14.25" customHeight="1">
      <c r="A34" s="8">
        <v>47727.0</v>
      </c>
      <c r="B34" s="9" t="s">
        <v>34</v>
      </c>
      <c r="C34" s="9">
        <v>4008.306288</v>
      </c>
      <c r="D34" s="9">
        <v>3844.286266</v>
      </c>
      <c r="E34" s="9">
        <v>3752.542665</v>
      </c>
      <c r="F34" s="9">
        <v>3715.039852</v>
      </c>
      <c r="G34" s="9">
        <v>3772.326994</v>
      </c>
      <c r="H34" s="9">
        <v>4014.422082</v>
      </c>
      <c r="I34" s="9">
        <v>4857.486402</v>
      </c>
      <c r="J34" s="9">
        <v>6095.106163</v>
      </c>
      <c r="K34" s="9">
        <v>7130.530987</v>
      </c>
      <c r="L34" s="9">
        <v>7829.779937</v>
      </c>
      <c r="M34" s="9">
        <v>8398.668074</v>
      </c>
      <c r="N34" s="9">
        <v>8741.045965</v>
      </c>
      <c r="O34" s="9">
        <v>8626.066821</v>
      </c>
      <c r="P34" s="9">
        <v>8655.541442</v>
      </c>
      <c r="Q34" s="9">
        <v>8884.879588</v>
      </c>
      <c r="R34" s="9">
        <v>8888.629888</v>
      </c>
      <c r="S34" s="9">
        <v>8638.084242</v>
      </c>
      <c r="T34" s="9">
        <v>8061.475381</v>
      </c>
      <c r="U34" s="9">
        <v>7636.735783</v>
      </c>
      <c r="V34" s="9">
        <v>7154.163016</v>
      </c>
      <c r="W34" s="9">
        <v>6516.190999</v>
      </c>
      <c r="X34" s="9">
        <v>5790.91231</v>
      </c>
      <c r="Y34" s="9">
        <v>5018.55803</v>
      </c>
      <c r="Z34" s="9">
        <v>4491.363439</v>
      </c>
      <c r="AA34" s="11">
        <f t="shared" si="1"/>
        <v>154522.1426</v>
      </c>
      <c r="AB34" s="11">
        <v>21.0</v>
      </c>
      <c r="AC34" s="11">
        <f t="shared" si="2"/>
        <v>3244964.995</v>
      </c>
      <c r="AD34" s="12">
        <f>SUM(AC34:AC36)</f>
        <v>4379318.699</v>
      </c>
    </row>
    <row r="35" ht="14.25" customHeight="1">
      <c r="A35" s="8">
        <v>47727.0</v>
      </c>
      <c r="B35" s="9" t="s">
        <v>35</v>
      </c>
      <c r="C35" s="9">
        <v>4355.503533</v>
      </c>
      <c r="D35" s="9">
        <v>4128.1249</v>
      </c>
      <c r="E35" s="9">
        <v>4001.340354</v>
      </c>
      <c r="F35" s="9">
        <v>3903.055984</v>
      </c>
      <c r="G35" s="9">
        <v>3921.888118</v>
      </c>
      <c r="H35" s="9">
        <v>3937.889187</v>
      </c>
      <c r="I35" s="9">
        <v>4511.075045</v>
      </c>
      <c r="J35" s="9">
        <v>5538.705773</v>
      </c>
      <c r="K35" s="9">
        <v>6514.926591</v>
      </c>
      <c r="L35" s="9">
        <v>7277.354625</v>
      </c>
      <c r="M35" s="9">
        <v>7753.129812</v>
      </c>
      <c r="N35" s="9">
        <v>7971.472378</v>
      </c>
      <c r="O35" s="9">
        <v>7747.83641</v>
      </c>
      <c r="P35" s="9">
        <v>7502.284243</v>
      </c>
      <c r="Q35" s="9">
        <v>7333.740413</v>
      </c>
      <c r="R35" s="9">
        <v>7292.868144</v>
      </c>
      <c r="S35" s="9">
        <v>7205.269929</v>
      </c>
      <c r="T35" s="9">
        <v>7069.119503</v>
      </c>
      <c r="U35" s="9">
        <v>6905.140825</v>
      </c>
      <c r="V35" s="9">
        <v>6543.639812</v>
      </c>
      <c r="W35" s="9">
        <v>5986.633242</v>
      </c>
      <c r="X35" s="9">
        <v>5360.330024</v>
      </c>
      <c r="Y35" s="9">
        <v>4691.235064</v>
      </c>
      <c r="Z35" s="9">
        <v>4210.952088</v>
      </c>
      <c r="AA35" s="11">
        <f t="shared" si="1"/>
        <v>141663.516</v>
      </c>
      <c r="AB35" s="11">
        <v>4.0</v>
      </c>
      <c r="AC35" s="11">
        <f t="shared" si="2"/>
        <v>566654.064</v>
      </c>
      <c r="AD35" s="13"/>
    </row>
    <row r="36" ht="14.25" customHeight="1">
      <c r="A36" s="8">
        <v>47727.0</v>
      </c>
      <c r="B36" s="9" t="s">
        <v>36</v>
      </c>
      <c r="C36" s="9">
        <v>3899.718928</v>
      </c>
      <c r="D36" s="9">
        <v>3706.031441</v>
      </c>
      <c r="E36" s="9">
        <v>3527.085177</v>
      </c>
      <c r="F36" s="9">
        <v>3436.166297</v>
      </c>
      <c r="G36" s="9">
        <v>3359.507231</v>
      </c>
      <c r="H36" s="9">
        <v>3293.59578</v>
      </c>
      <c r="I36" s="9">
        <v>3400.059932</v>
      </c>
      <c r="J36" s="9">
        <v>3800.6766</v>
      </c>
      <c r="K36" s="9">
        <v>4327.58924</v>
      </c>
      <c r="L36" s="9">
        <v>5060.327931</v>
      </c>
      <c r="M36" s="9">
        <v>5652.251692</v>
      </c>
      <c r="N36" s="9">
        <v>5987.329741</v>
      </c>
      <c r="O36" s="9">
        <v>6102.75109</v>
      </c>
      <c r="P36" s="9">
        <v>6130.601879</v>
      </c>
      <c r="Q36" s="9">
        <v>6088.254668</v>
      </c>
      <c r="R36" s="9">
        <v>6058.772225</v>
      </c>
      <c r="S36" s="9">
        <v>5915.434533</v>
      </c>
      <c r="T36" s="9">
        <v>5771.907353</v>
      </c>
      <c r="U36" s="9">
        <v>5691.55991</v>
      </c>
      <c r="V36" s="9">
        <v>5407.974734</v>
      </c>
      <c r="W36" s="9">
        <v>4948.920675</v>
      </c>
      <c r="X36" s="9">
        <v>4421.740702</v>
      </c>
      <c r="Y36" s="9">
        <v>3947.460944</v>
      </c>
      <c r="Z36" s="9">
        <v>3604.20926</v>
      </c>
      <c r="AA36" s="11">
        <f t="shared" si="1"/>
        <v>113539.928</v>
      </c>
      <c r="AB36" s="11">
        <v>5.0</v>
      </c>
      <c r="AC36" s="11">
        <f t="shared" si="2"/>
        <v>567699.6398</v>
      </c>
      <c r="AD36" s="14"/>
    </row>
    <row r="37" ht="14.25" customHeight="1">
      <c r="A37" s="8">
        <v>47757.0</v>
      </c>
      <c r="B37" s="9" t="s">
        <v>34</v>
      </c>
      <c r="C37" s="9">
        <v>4008.306288</v>
      </c>
      <c r="D37" s="9">
        <v>3844.286266</v>
      </c>
      <c r="E37" s="9">
        <v>3752.542665</v>
      </c>
      <c r="F37" s="9">
        <v>3715.039852</v>
      </c>
      <c r="G37" s="9">
        <v>3772.326994</v>
      </c>
      <c r="H37" s="9">
        <v>4014.422082</v>
      </c>
      <c r="I37" s="9">
        <v>4857.486402</v>
      </c>
      <c r="J37" s="9">
        <v>6095.106163</v>
      </c>
      <c r="K37" s="9">
        <v>7130.530987</v>
      </c>
      <c r="L37" s="9">
        <v>7829.779937</v>
      </c>
      <c r="M37" s="9">
        <v>8398.668074</v>
      </c>
      <c r="N37" s="9">
        <v>8741.045965</v>
      </c>
      <c r="O37" s="9">
        <v>8626.066821</v>
      </c>
      <c r="P37" s="9">
        <v>8655.541442</v>
      </c>
      <c r="Q37" s="9">
        <v>8884.879588</v>
      </c>
      <c r="R37" s="9">
        <v>8888.629888</v>
      </c>
      <c r="S37" s="9">
        <v>8638.084242</v>
      </c>
      <c r="T37" s="9">
        <v>8061.475381</v>
      </c>
      <c r="U37" s="9">
        <v>7636.735783</v>
      </c>
      <c r="V37" s="9">
        <v>7154.163016</v>
      </c>
      <c r="W37" s="9">
        <v>6516.190999</v>
      </c>
      <c r="X37" s="9">
        <v>5790.91231</v>
      </c>
      <c r="Y37" s="9">
        <v>5018.55803</v>
      </c>
      <c r="Z37" s="9">
        <v>4491.363439</v>
      </c>
      <c r="AA37" s="11">
        <f t="shared" si="1"/>
        <v>154522.1426</v>
      </c>
      <c r="AB37" s="11">
        <v>22.0</v>
      </c>
      <c r="AC37" s="11">
        <f t="shared" si="2"/>
        <v>3399487.138</v>
      </c>
      <c r="AD37" s="12">
        <f>SUM(AC37:AC39)</f>
        <v>4533840.841</v>
      </c>
    </row>
    <row r="38" ht="14.25" customHeight="1">
      <c r="A38" s="8">
        <v>47757.0</v>
      </c>
      <c r="B38" s="9" t="s">
        <v>35</v>
      </c>
      <c r="C38" s="9">
        <v>4355.503533</v>
      </c>
      <c r="D38" s="9">
        <v>4128.1249</v>
      </c>
      <c r="E38" s="9">
        <v>4001.340354</v>
      </c>
      <c r="F38" s="9">
        <v>3903.055984</v>
      </c>
      <c r="G38" s="9">
        <v>3921.888118</v>
      </c>
      <c r="H38" s="9">
        <v>3937.889187</v>
      </c>
      <c r="I38" s="9">
        <v>4511.075045</v>
      </c>
      <c r="J38" s="9">
        <v>5538.705773</v>
      </c>
      <c r="K38" s="9">
        <v>6514.926591</v>
      </c>
      <c r="L38" s="9">
        <v>7277.354625</v>
      </c>
      <c r="M38" s="9">
        <v>7753.129812</v>
      </c>
      <c r="N38" s="9">
        <v>7971.472378</v>
      </c>
      <c r="O38" s="9">
        <v>7747.83641</v>
      </c>
      <c r="P38" s="9">
        <v>7502.284243</v>
      </c>
      <c r="Q38" s="9">
        <v>7333.740413</v>
      </c>
      <c r="R38" s="9">
        <v>7292.868144</v>
      </c>
      <c r="S38" s="9">
        <v>7205.269929</v>
      </c>
      <c r="T38" s="9">
        <v>7069.119503</v>
      </c>
      <c r="U38" s="9">
        <v>6905.140825</v>
      </c>
      <c r="V38" s="9">
        <v>6543.639812</v>
      </c>
      <c r="W38" s="9">
        <v>5986.633242</v>
      </c>
      <c r="X38" s="9">
        <v>5360.330024</v>
      </c>
      <c r="Y38" s="9">
        <v>4691.235064</v>
      </c>
      <c r="Z38" s="9">
        <v>4210.952088</v>
      </c>
      <c r="AA38" s="11">
        <f t="shared" si="1"/>
        <v>141663.516</v>
      </c>
      <c r="AB38" s="11">
        <v>4.0</v>
      </c>
      <c r="AC38" s="11">
        <f t="shared" si="2"/>
        <v>566654.064</v>
      </c>
      <c r="AD38" s="13"/>
    </row>
    <row r="39" ht="14.25" customHeight="1">
      <c r="A39" s="8">
        <v>47757.0</v>
      </c>
      <c r="B39" s="9" t="s">
        <v>36</v>
      </c>
      <c r="C39" s="9">
        <v>3899.718928</v>
      </c>
      <c r="D39" s="9">
        <v>3706.031441</v>
      </c>
      <c r="E39" s="9">
        <v>3527.085177</v>
      </c>
      <c r="F39" s="9">
        <v>3436.166297</v>
      </c>
      <c r="G39" s="9">
        <v>3359.507231</v>
      </c>
      <c r="H39" s="9">
        <v>3293.59578</v>
      </c>
      <c r="I39" s="9">
        <v>3400.059932</v>
      </c>
      <c r="J39" s="9">
        <v>3800.6766</v>
      </c>
      <c r="K39" s="9">
        <v>4327.58924</v>
      </c>
      <c r="L39" s="9">
        <v>5060.327931</v>
      </c>
      <c r="M39" s="9">
        <v>5652.251692</v>
      </c>
      <c r="N39" s="9">
        <v>5987.329741</v>
      </c>
      <c r="O39" s="9">
        <v>6102.75109</v>
      </c>
      <c r="P39" s="9">
        <v>6130.601879</v>
      </c>
      <c r="Q39" s="9">
        <v>6088.254668</v>
      </c>
      <c r="R39" s="9">
        <v>6058.772225</v>
      </c>
      <c r="S39" s="9">
        <v>5915.434533</v>
      </c>
      <c r="T39" s="9">
        <v>5771.907353</v>
      </c>
      <c r="U39" s="9">
        <v>5691.55991</v>
      </c>
      <c r="V39" s="9">
        <v>5407.974734</v>
      </c>
      <c r="W39" s="9">
        <v>4948.920675</v>
      </c>
      <c r="X39" s="9">
        <v>4421.740702</v>
      </c>
      <c r="Y39" s="9">
        <v>3947.460944</v>
      </c>
      <c r="Z39" s="9">
        <v>3604.20926</v>
      </c>
      <c r="AA39" s="11">
        <f t="shared" si="1"/>
        <v>113539.928</v>
      </c>
      <c r="AB39" s="11">
        <v>5.0</v>
      </c>
      <c r="AC39" s="11">
        <f t="shared" si="2"/>
        <v>567699.6398</v>
      </c>
      <c r="AD39" s="14"/>
    </row>
    <row r="40" ht="14.25" customHeight="1">
      <c r="A40" s="8">
        <v>47788.0</v>
      </c>
      <c r="B40" s="9" t="s">
        <v>34</v>
      </c>
      <c r="C40" s="9">
        <v>4008.306288</v>
      </c>
      <c r="D40" s="9">
        <v>3844.286266</v>
      </c>
      <c r="E40" s="9">
        <v>3752.542665</v>
      </c>
      <c r="F40" s="9">
        <v>3715.039852</v>
      </c>
      <c r="G40" s="9">
        <v>3772.326994</v>
      </c>
      <c r="H40" s="9">
        <v>4014.422082</v>
      </c>
      <c r="I40" s="9">
        <v>4857.486402</v>
      </c>
      <c r="J40" s="9">
        <v>6095.106163</v>
      </c>
      <c r="K40" s="9">
        <v>7130.530987</v>
      </c>
      <c r="L40" s="9">
        <v>7829.779937</v>
      </c>
      <c r="M40" s="9">
        <v>8398.668074</v>
      </c>
      <c r="N40" s="9">
        <v>8741.045965</v>
      </c>
      <c r="O40" s="9">
        <v>8626.066821</v>
      </c>
      <c r="P40" s="9">
        <v>8655.541442</v>
      </c>
      <c r="Q40" s="9">
        <v>8884.879588</v>
      </c>
      <c r="R40" s="9">
        <v>8888.629888</v>
      </c>
      <c r="S40" s="9">
        <v>8638.084242</v>
      </c>
      <c r="T40" s="9">
        <v>8061.475381</v>
      </c>
      <c r="U40" s="9">
        <v>7636.735783</v>
      </c>
      <c r="V40" s="9">
        <v>7154.163016</v>
      </c>
      <c r="W40" s="9">
        <v>6516.190999</v>
      </c>
      <c r="X40" s="9">
        <v>5790.91231</v>
      </c>
      <c r="Y40" s="9">
        <v>5018.55803</v>
      </c>
      <c r="Z40" s="9">
        <v>4491.363439</v>
      </c>
      <c r="AA40" s="11">
        <f t="shared" si="1"/>
        <v>154522.1426</v>
      </c>
      <c r="AB40" s="11">
        <v>19.0</v>
      </c>
      <c r="AC40" s="11">
        <f t="shared" si="2"/>
        <v>2935920.71</v>
      </c>
      <c r="AD40" s="12">
        <f>SUM(AC40:AC42)</f>
        <v>4325477.857</v>
      </c>
    </row>
    <row r="41" ht="14.25" customHeight="1">
      <c r="A41" s="8">
        <v>47788.0</v>
      </c>
      <c r="B41" s="9" t="s">
        <v>35</v>
      </c>
      <c r="C41" s="9">
        <v>4355.503533</v>
      </c>
      <c r="D41" s="9">
        <v>4128.1249</v>
      </c>
      <c r="E41" s="9">
        <v>4001.340354</v>
      </c>
      <c r="F41" s="9">
        <v>3903.055984</v>
      </c>
      <c r="G41" s="9">
        <v>3921.888118</v>
      </c>
      <c r="H41" s="9">
        <v>3937.889187</v>
      </c>
      <c r="I41" s="9">
        <v>4511.075045</v>
      </c>
      <c r="J41" s="9">
        <v>5538.705773</v>
      </c>
      <c r="K41" s="9">
        <v>6514.926591</v>
      </c>
      <c r="L41" s="9">
        <v>7277.354625</v>
      </c>
      <c r="M41" s="9">
        <v>7753.129812</v>
      </c>
      <c r="N41" s="9">
        <v>7971.472378</v>
      </c>
      <c r="O41" s="9">
        <v>7747.83641</v>
      </c>
      <c r="P41" s="9">
        <v>7502.284243</v>
      </c>
      <c r="Q41" s="9">
        <v>7333.740413</v>
      </c>
      <c r="R41" s="9">
        <v>7292.868144</v>
      </c>
      <c r="S41" s="9">
        <v>7205.269929</v>
      </c>
      <c r="T41" s="9">
        <v>7069.119503</v>
      </c>
      <c r="U41" s="9">
        <v>6905.140825</v>
      </c>
      <c r="V41" s="9">
        <v>6543.639812</v>
      </c>
      <c r="W41" s="9">
        <v>5986.633242</v>
      </c>
      <c r="X41" s="9">
        <v>5360.330024</v>
      </c>
      <c r="Y41" s="9">
        <v>4691.235064</v>
      </c>
      <c r="Z41" s="9">
        <v>4210.952088</v>
      </c>
      <c r="AA41" s="11">
        <f t="shared" si="1"/>
        <v>141663.516</v>
      </c>
      <c r="AB41" s="11">
        <v>5.0</v>
      </c>
      <c r="AC41" s="11">
        <f t="shared" si="2"/>
        <v>708317.58</v>
      </c>
      <c r="AD41" s="13"/>
    </row>
    <row r="42" ht="14.25" customHeight="1">
      <c r="A42" s="8">
        <v>47788.0</v>
      </c>
      <c r="B42" s="9" t="s">
        <v>36</v>
      </c>
      <c r="C42" s="9">
        <v>3899.718928</v>
      </c>
      <c r="D42" s="9">
        <v>3706.031441</v>
      </c>
      <c r="E42" s="9">
        <v>3527.085177</v>
      </c>
      <c r="F42" s="9">
        <v>3436.166297</v>
      </c>
      <c r="G42" s="9">
        <v>3359.507231</v>
      </c>
      <c r="H42" s="9">
        <v>3293.59578</v>
      </c>
      <c r="I42" s="9">
        <v>3400.059932</v>
      </c>
      <c r="J42" s="9">
        <v>3800.6766</v>
      </c>
      <c r="K42" s="9">
        <v>4327.58924</v>
      </c>
      <c r="L42" s="9">
        <v>5060.327931</v>
      </c>
      <c r="M42" s="9">
        <v>5652.251692</v>
      </c>
      <c r="N42" s="9">
        <v>5987.329741</v>
      </c>
      <c r="O42" s="9">
        <v>6102.75109</v>
      </c>
      <c r="P42" s="9">
        <v>6130.601879</v>
      </c>
      <c r="Q42" s="9">
        <v>6088.254668</v>
      </c>
      <c r="R42" s="9">
        <v>6058.772225</v>
      </c>
      <c r="S42" s="9">
        <v>5915.434533</v>
      </c>
      <c r="T42" s="9">
        <v>5771.907353</v>
      </c>
      <c r="U42" s="9">
        <v>5691.55991</v>
      </c>
      <c r="V42" s="9">
        <v>5407.974734</v>
      </c>
      <c r="W42" s="9">
        <v>4948.920675</v>
      </c>
      <c r="X42" s="9">
        <v>4421.740702</v>
      </c>
      <c r="Y42" s="9">
        <v>3947.460944</v>
      </c>
      <c r="Z42" s="9">
        <v>3604.20926</v>
      </c>
      <c r="AA42" s="11">
        <f t="shared" si="1"/>
        <v>113539.928</v>
      </c>
      <c r="AB42" s="11">
        <v>6.0</v>
      </c>
      <c r="AC42" s="11">
        <f t="shared" si="2"/>
        <v>681239.5678</v>
      </c>
      <c r="AD42" s="14"/>
    </row>
    <row r="43" ht="14.25" customHeight="1">
      <c r="A43" s="8">
        <v>47818.0</v>
      </c>
      <c r="B43" s="9" t="s">
        <v>34</v>
      </c>
      <c r="C43" s="9">
        <v>4008.306288</v>
      </c>
      <c r="D43" s="9">
        <v>3844.286266</v>
      </c>
      <c r="E43" s="9">
        <v>3752.542665</v>
      </c>
      <c r="F43" s="9">
        <v>3715.039852</v>
      </c>
      <c r="G43" s="9">
        <v>3772.326994</v>
      </c>
      <c r="H43" s="9">
        <v>4014.422082</v>
      </c>
      <c r="I43" s="9">
        <v>4857.486402</v>
      </c>
      <c r="J43" s="9">
        <v>6095.106163</v>
      </c>
      <c r="K43" s="9">
        <v>7130.530987</v>
      </c>
      <c r="L43" s="9">
        <v>7829.779937</v>
      </c>
      <c r="M43" s="9">
        <v>8398.668074</v>
      </c>
      <c r="N43" s="9">
        <v>8741.045965</v>
      </c>
      <c r="O43" s="9">
        <v>8626.066821</v>
      </c>
      <c r="P43" s="9">
        <v>8655.541442</v>
      </c>
      <c r="Q43" s="9">
        <v>8884.879588</v>
      </c>
      <c r="R43" s="9">
        <v>8888.629888</v>
      </c>
      <c r="S43" s="9">
        <v>8638.084242</v>
      </c>
      <c r="T43" s="9">
        <v>8061.475381</v>
      </c>
      <c r="U43" s="9">
        <v>7636.735783</v>
      </c>
      <c r="V43" s="9">
        <v>7154.163016</v>
      </c>
      <c r="W43" s="9">
        <v>6516.190999</v>
      </c>
      <c r="X43" s="9">
        <v>5790.91231</v>
      </c>
      <c r="Y43" s="9">
        <v>5018.55803</v>
      </c>
      <c r="Z43" s="9">
        <v>4491.363439</v>
      </c>
      <c r="AA43" s="11">
        <f t="shared" si="1"/>
        <v>154522.1426</v>
      </c>
      <c r="AB43" s="11">
        <v>21.0</v>
      </c>
      <c r="AC43" s="11">
        <f t="shared" si="2"/>
        <v>3244964.995</v>
      </c>
      <c r="AD43" s="12">
        <f>SUM(AC43:AC45)</f>
        <v>4492858.627</v>
      </c>
    </row>
    <row r="44" ht="14.25" customHeight="1">
      <c r="A44" s="8">
        <v>47818.0</v>
      </c>
      <c r="B44" s="9" t="s">
        <v>35</v>
      </c>
      <c r="C44" s="9">
        <v>4355.503533</v>
      </c>
      <c r="D44" s="9">
        <v>4128.1249</v>
      </c>
      <c r="E44" s="9">
        <v>4001.340354</v>
      </c>
      <c r="F44" s="9">
        <v>3903.055984</v>
      </c>
      <c r="G44" s="9">
        <v>3921.888118</v>
      </c>
      <c r="H44" s="9">
        <v>3937.889187</v>
      </c>
      <c r="I44" s="9">
        <v>4511.075045</v>
      </c>
      <c r="J44" s="9">
        <v>5538.705773</v>
      </c>
      <c r="K44" s="9">
        <v>6514.926591</v>
      </c>
      <c r="L44" s="9">
        <v>7277.354625</v>
      </c>
      <c r="M44" s="9">
        <v>7753.129812</v>
      </c>
      <c r="N44" s="9">
        <v>7971.472378</v>
      </c>
      <c r="O44" s="9">
        <v>7747.83641</v>
      </c>
      <c r="P44" s="9">
        <v>7502.284243</v>
      </c>
      <c r="Q44" s="9">
        <v>7333.740413</v>
      </c>
      <c r="R44" s="9">
        <v>7292.868144</v>
      </c>
      <c r="S44" s="9">
        <v>7205.269929</v>
      </c>
      <c r="T44" s="9">
        <v>7069.119503</v>
      </c>
      <c r="U44" s="9">
        <v>6905.140825</v>
      </c>
      <c r="V44" s="9">
        <v>6543.639812</v>
      </c>
      <c r="W44" s="9">
        <v>5986.633242</v>
      </c>
      <c r="X44" s="9">
        <v>5360.330024</v>
      </c>
      <c r="Y44" s="9">
        <v>4691.235064</v>
      </c>
      <c r="Z44" s="9">
        <v>4210.952088</v>
      </c>
      <c r="AA44" s="11">
        <f t="shared" si="1"/>
        <v>141663.516</v>
      </c>
      <c r="AB44" s="11">
        <v>4.0</v>
      </c>
      <c r="AC44" s="11">
        <f t="shared" si="2"/>
        <v>566654.064</v>
      </c>
      <c r="AD44" s="13"/>
    </row>
    <row r="45" ht="14.25" customHeight="1">
      <c r="A45" s="8">
        <v>47818.0</v>
      </c>
      <c r="B45" s="9" t="s">
        <v>36</v>
      </c>
      <c r="C45" s="9">
        <v>3899.718928</v>
      </c>
      <c r="D45" s="9">
        <v>3706.031441</v>
      </c>
      <c r="E45" s="9">
        <v>3527.085177</v>
      </c>
      <c r="F45" s="9">
        <v>3436.166297</v>
      </c>
      <c r="G45" s="9">
        <v>3359.507231</v>
      </c>
      <c r="H45" s="9">
        <v>3293.59578</v>
      </c>
      <c r="I45" s="9">
        <v>3400.059932</v>
      </c>
      <c r="J45" s="9">
        <v>3800.6766</v>
      </c>
      <c r="K45" s="9">
        <v>4327.58924</v>
      </c>
      <c r="L45" s="9">
        <v>5060.327931</v>
      </c>
      <c r="M45" s="9">
        <v>5652.251692</v>
      </c>
      <c r="N45" s="9">
        <v>5987.329741</v>
      </c>
      <c r="O45" s="9">
        <v>6102.75109</v>
      </c>
      <c r="P45" s="9">
        <v>6130.601879</v>
      </c>
      <c r="Q45" s="9">
        <v>6088.254668</v>
      </c>
      <c r="R45" s="9">
        <v>6058.772225</v>
      </c>
      <c r="S45" s="9">
        <v>5915.434533</v>
      </c>
      <c r="T45" s="9">
        <v>5771.907353</v>
      </c>
      <c r="U45" s="9">
        <v>5691.55991</v>
      </c>
      <c r="V45" s="9">
        <v>5407.974734</v>
      </c>
      <c r="W45" s="9">
        <v>4948.920675</v>
      </c>
      <c r="X45" s="9">
        <v>4421.740702</v>
      </c>
      <c r="Y45" s="9">
        <v>3947.460944</v>
      </c>
      <c r="Z45" s="9">
        <v>3604.20926</v>
      </c>
      <c r="AA45" s="11">
        <f t="shared" si="1"/>
        <v>113539.928</v>
      </c>
      <c r="AB45" s="11">
        <v>6.0</v>
      </c>
      <c r="AC45" s="11">
        <f t="shared" si="2"/>
        <v>681239.5678</v>
      </c>
      <c r="AD45" s="14"/>
    </row>
    <row r="46" ht="14.25" customHeight="1">
      <c r="AB46" s="15" t="s">
        <v>32</v>
      </c>
      <c r="AC46" s="11">
        <f t="shared" ref="AC46:AD46" si="3">SUM(AC10:AC45)</f>
        <v>52958001.5</v>
      </c>
      <c r="AD46" s="11">
        <f t="shared" si="3"/>
        <v>52958001.5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6" t="s">
        <v>3</v>
      </c>
    </row>
    <row r="5" ht="14.25" customHeight="1">
      <c r="A5" s="17"/>
      <c r="B5" s="16" t="s">
        <v>62</v>
      </c>
    </row>
    <row r="6" ht="14.25" customHeight="1">
      <c r="A6" s="17"/>
      <c r="B6" s="18" t="s">
        <v>38</v>
      </c>
    </row>
    <row r="7" ht="14.25" customHeight="1">
      <c r="A7" s="17"/>
      <c r="B7" s="19" t="s">
        <v>39</v>
      </c>
    </row>
    <row r="8" ht="14.25" customHeight="1">
      <c r="A8" s="17"/>
      <c r="B8" s="20" t="s">
        <v>40</v>
      </c>
    </row>
    <row r="9" ht="14.25" customHeight="1">
      <c r="A9" s="17"/>
      <c r="B9" s="19"/>
      <c r="C9" s="19"/>
      <c r="D9" s="19"/>
      <c r="E9" s="19"/>
    </row>
    <row r="10" ht="14.25" customHeight="1">
      <c r="A10" s="17"/>
      <c r="B10" s="21" t="s">
        <v>41</v>
      </c>
      <c r="C10" s="22"/>
      <c r="D10" s="22"/>
      <c r="E10" s="22"/>
      <c r="F10" s="23"/>
    </row>
    <row r="11">
      <c r="A11" s="17"/>
      <c r="B11" s="24" t="s">
        <v>4</v>
      </c>
      <c r="C11" s="25" t="s">
        <v>42</v>
      </c>
      <c r="D11" s="51" t="s">
        <v>43</v>
      </c>
      <c r="E11" s="51" t="s">
        <v>44</v>
      </c>
      <c r="F11" s="52" t="s">
        <v>45</v>
      </c>
    </row>
    <row r="12" ht="14.25" customHeight="1">
      <c r="A12" s="17"/>
      <c r="B12" s="28">
        <v>47514.0</v>
      </c>
      <c r="C12" s="53">
        <f>'Cant. Requeridas Producto 4'!AD10</f>
        <v>4492858.627</v>
      </c>
      <c r="D12" s="56"/>
      <c r="E12" s="57"/>
      <c r="F12" s="58"/>
    </row>
    <row r="13" ht="14.25" customHeight="1">
      <c r="A13" s="17"/>
      <c r="B13" s="28">
        <v>47515.0</v>
      </c>
      <c r="C13" s="53">
        <f>'Cant. Requeridas Producto 4'!AD13</f>
        <v>4111256.628</v>
      </c>
      <c r="D13" s="59"/>
      <c r="E13" s="54">
        <f t="shared" ref="E13:E23" si="1">C13*$D$13</f>
        <v>0</v>
      </c>
      <c r="F13" s="59"/>
    </row>
    <row r="14" ht="14.25" customHeight="1">
      <c r="A14" s="17"/>
      <c r="B14" s="28">
        <v>47543.0</v>
      </c>
      <c r="C14" s="53">
        <f>'Cant. Requeridas Producto 4'!AD16</f>
        <v>4480000</v>
      </c>
      <c r="D14" s="59"/>
      <c r="E14" s="54">
        <f t="shared" si="1"/>
        <v>0</v>
      </c>
      <c r="F14" s="59"/>
    </row>
    <row r="15" ht="14.25" customHeight="1">
      <c r="A15" s="17"/>
      <c r="B15" s="28">
        <v>47574.0</v>
      </c>
      <c r="C15" s="53">
        <f>'Cant. Requeridas Producto 4'!AD19</f>
        <v>4338336.484</v>
      </c>
      <c r="D15" s="59"/>
      <c r="E15" s="54">
        <f t="shared" si="1"/>
        <v>0</v>
      </c>
      <c r="F15" s="59"/>
    </row>
    <row r="16" ht="14.25" customHeight="1">
      <c r="A16" s="17"/>
      <c r="B16" s="28">
        <v>47604.0</v>
      </c>
      <c r="C16" s="54">
        <f>'Cant. Requeridas Producto 4'!AD22</f>
        <v>4533840.841</v>
      </c>
      <c r="D16" s="59"/>
      <c r="E16" s="54">
        <f t="shared" si="1"/>
        <v>0</v>
      </c>
      <c r="F16" s="59"/>
    </row>
    <row r="17" ht="14.25" customHeight="1">
      <c r="A17" s="17"/>
      <c r="B17" s="28">
        <v>47635.0</v>
      </c>
      <c r="C17" s="54">
        <f>'Cant. Requeridas Producto 4'!AD25</f>
        <v>4284495.643</v>
      </c>
      <c r="D17" s="59"/>
      <c r="E17" s="54">
        <f t="shared" si="1"/>
        <v>0</v>
      </c>
      <c r="F17" s="59"/>
    </row>
    <row r="18" ht="14.25" customHeight="1">
      <c r="A18" s="17"/>
      <c r="B18" s="28">
        <v>47665.0</v>
      </c>
      <c r="C18" s="54">
        <f>'Cant. Requeridas Producto 4'!AD28</f>
        <v>4505717.253</v>
      </c>
      <c r="D18" s="59"/>
      <c r="E18" s="54">
        <f t="shared" si="1"/>
        <v>0</v>
      </c>
      <c r="F18" s="59"/>
    </row>
    <row r="19" ht="14.25" customHeight="1">
      <c r="A19" s="17"/>
      <c r="B19" s="28">
        <v>47696.0</v>
      </c>
      <c r="C19" s="54">
        <f>'Cant. Requeridas Producto 4'!AD31</f>
        <v>4480000</v>
      </c>
      <c r="D19" s="59"/>
      <c r="E19" s="54">
        <f t="shared" si="1"/>
        <v>0</v>
      </c>
      <c r="F19" s="59"/>
    </row>
    <row r="20" ht="14.25" customHeight="1">
      <c r="A20" s="17"/>
      <c r="B20" s="28">
        <v>47727.0</v>
      </c>
      <c r="C20" s="54">
        <f>'Cant. Requeridas Producto 4'!AD34</f>
        <v>4379318.699</v>
      </c>
      <c r="D20" s="59"/>
      <c r="E20" s="54">
        <f t="shared" si="1"/>
        <v>0</v>
      </c>
      <c r="F20" s="59"/>
    </row>
    <row r="21" ht="14.25" customHeight="1">
      <c r="A21" s="17"/>
      <c r="B21" s="28">
        <v>47757.0</v>
      </c>
      <c r="C21" s="54">
        <f>'Cant. Requeridas Producto 4'!AD37</f>
        <v>4533840.841</v>
      </c>
      <c r="D21" s="59"/>
      <c r="E21" s="54">
        <f t="shared" si="1"/>
        <v>0</v>
      </c>
      <c r="F21" s="59"/>
    </row>
    <row r="22" ht="14.25" customHeight="1">
      <c r="A22" s="17"/>
      <c r="B22" s="28">
        <v>47788.0</v>
      </c>
      <c r="C22" s="53">
        <f>'Cant. Requeridas Producto 4'!AD40</f>
        <v>4325477.857</v>
      </c>
      <c r="D22" s="59"/>
      <c r="E22" s="54">
        <f t="shared" si="1"/>
        <v>0</v>
      </c>
      <c r="F22" s="59"/>
    </row>
    <row r="23" ht="14.25" customHeight="1">
      <c r="A23" s="17"/>
      <c r="B23" s="28">
        <v>47818.0</v>
      </c>
      <c r="C23" s="53">
        <f>'Cant. Requeridas Producto 4'!AD43</f>
        <v>4492858.627</v>
      </c>
      <c r="D23" s="60"/>
      <c r="E23" s="54">
        <f t="shared" si="1"/>
        <v>0</v>
      </c>
      <c r="F23" s="60"/>
    </row>
    <row r="24" ht="14.25" customHeight="1">
      <c r="A24" s="17"/>
      <c r="B24" s="40" t="s">
        <v>32</v>
      </c>
      <c r="C24" s="41">
        <f>SUM(C12:C23)</f>
        <v>52958001.5</v>
      </c>
      <c r="D24" s="55"/>
      <c r="E24" s="41">
        <f>SUM(E12:E23)</f>
        <v>0</v>
      </c>
      <c r="F24" s="55"/>
    </row>
    <row r="25" ht="14.25" customHeight="1">
      <c r="A25" s="17"/>
      <c r="B25" s="19"/>
      <c r="C25" s="44"/>
      <c r="D25" s="19"/>
      <c r="E25" s="19"/>
    </row>
    <row r="26" ht="14.25" customHeight="1">
      <c r="C26" s="45"/>
    </row>
    <row r="27" ht="30.0" customHeight="1">
      <c r="B27" s="46" t="s">
        <v>46</v>
      </c>
      <c r="E27" s="47"/>
    </row>
    <row r="28" ht="38.25" customHeight="1">
      <c r="B28" s="46" t="s">
        <v>63</v>
      </c>
      <c r="I28" s="46"/>
    </row>
    <row r="29" ht="44.25" customHeight="1">
      <c r="B29" s="46" t="s">
        <v>59</v>
      </c>
      <c r="I29" s="46"/>
    </row>
    <row r="30" ht="14.25" customHeight="1">
      <c r="B30" s="48"/>
    </row>
    <row r="31" ht="14.25" customHeight="1"/>
    <row r="32" ht="14.25" customHeight="1"/>
    <row r="33" ht="14.25" customHeight="1">
      <c r="B33" s="49"/>
      <c r="C33" s="49"/>
    </row>
    <row r="34" ht="14.25" customHeight="1">
      <c r="B34" s="5" t="s">
        <v>49</v>
      </c>
    </row>
    <row r="35" ht="14.25" customHeight="1">
      <c r="B35" s="5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2" t="s">
        <v>64</v>
      </c>
      <c r="AD2" s="1"/>
    </row>
    <row r="3" ht="14.25" customHeight="1">
      <c r="A3" s="1" t="s">
        <v>65</v>
      </c>
      <c r="AD3" s="1"/>
    </row>
    <row r="4" ht="14.25" customHeight="1">
      <c r="A4" s="2" t="s">
        <v>3</v>
      </c>
      <c r="AD4" s="1"/>
    </row>
    <row r="5" ht="14.25" customHeight="1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  <c r="AA5" s="5"/>
      <c r="AB5" s="5"/>
    </row>
    <row r="6" ht="14.25" customHeight="1">
      <c r="A6" s="3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5"/>
      <c r="X6" s="5"/>
      <c r="Y6" s="5"/>
      <c r="Z6" s="5"/>
      <c r="AA6" s="5"/>
      <c r="AB6" s="5"/>
    </row>
    <row r="7" ht="14.25" customHeight="1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4.25" customHeight="1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</row>
    <row r="10" ht="14.25" customHeight="1">
      <c r="A10" s="8">
        <v>47849.0</v>
      </c>
      <c r="B10" s="9" t="s">
        <v>34</v>
      </c>
      <c r="C10" s="9">
        <v>1789.42245</v>
      </c>
      <c r="D10" s="9">
        <v>1716.199226</v>
      </c>
      <c r="E10" s="9">
        <v>1675.242261</v>
      </c>
      <c r="F10" s="9">
        <v>1658.499934</v>
      </c>
      <c r="G10" s="9">
        <v>1684.074551</v>
      </c>
      <c r="H10" s="9">
        <v>1792.152715</v>
      </c>
      <c r="I10" s="9">
        <v>2168.520715</v>
      </c>
      <c r="J10" s="9">
        <v>2721.029537</v>
      </c>
      <c r="K10" s="9">
        <v>3183.272762</v>
      </c>
      <c r="L10" s="9">
        <v>3495.437472</v>
      </c>
      <c r="M10" s="9">
        <v>3749.40539</v>
      </c>
      <c r="N10" s="9">
        <v>3902.252663</v>
      </c>
      <c r="O10" s="9">
        <v>3850.922688</v>
      </c>
      <c r="P10" s="9">
        <v>3864.081001</v>
      </c>
      <c r="Q10" s="9">
        <v>3966.464102</v>
      </c>
      <c r="R10" s="9">
        <v>3968.138343</v>
      </c>
      <c r="S10" s="9">
        <v>3856.287608</v>
      </c>
      <c r="T10" s="9">
        <v>3598.872938</v>
      </c>
      <c r="U10" s="9">
        <v>3409.257046</v>
      </c>
      <c r="V10" s="9">
        <v>3193.822775</v>
      </c>
      <c r="W10" s="9">
        <v>2909.013839</v>
      </c>
      <c r="X10" s="9">
        <v>2585.22871</v>
      </c>
      <c r="Y10" s="9">
        <v>2240.427692</v>
      </c>
      <c r="Z10" s="9">
        <v>2005.072964</v>
      </c>
      <c r="AA10" s="11">
        <f t="shared" ref="AA10:AA45" si="1">SUM(C10:Z10)</f>
        <v>68983.09938</v>
      </c>
      <c r="AB10" s="11">
        <v>21.0</v>
      </c>
      <c r="AC10" s="11">
        <f t="shared" ref="AC10:AC45" si="2">AA10*AB10</f>
        <v>1448645.087</v>
      </c>
      <c r="AD10" s="12">
        <f>SUM(AC10:AC12)</f>
        <v>2005740.458</v>
      </c>
    </row>
    <row r="11" ht="14.25" customHeight="1">
      <c r="A11" s="8">
        <v>47849.0</v>
      </c>
      <c r="B11" s="9" t="s">
        <v>35</v>
      </c>
      <c r="C11" s="9">
        <v>1944.42122</v>
      </c>
      <c r="D11" s="9">
        <v>1842.912902</v>
      </c>
      <c r="E11" s="9">
        <v>1786.312658</v>
      </c>
      <c r="F11" s="9">
        <v>1742.435707</v>
      </c>
      <c r="G11" s="9">
        <v>1750.84291</v>
      </c>
      <c r="H11" s="9">
        <v>1757.986244</v>
      </c>
      <c r="I11" s="9">
        <v>2013.872788</v>
      </c>
      <c r="J11" s="9">
        <v>2472.636506</v>
      </c>
      <c r="K11" s="9">
        <v>2908.449371</v>
      </c>
      <c r="L11" s="9">
        <v>3248.819029</v>
      </c>
      <c r="M11" s="9">
        <v>3461.218666</v>
      </c>
      <c r="N11" s="9">
        <v>3558.693026</v>
      </c>
      <c r="O11" s="9">
        <v>3458.85554</v>
      </c>
      <c r="P11" s="9">
        <v>3349.234037</v>
      </c>
      <c r="Q11" s="9">
        <v>3273.991256</v>
      </c>
      <c r="R11" s="9">
        <v>3255.744707</v>
      </c>
      <c r="S11" s="9">
        <v>3216.638361</v>
      </c>
      <c r="T11" s="9">
        <v>3155.856921</v>
      </c>
      <c r="U11" s="9">
        <v>3082.652154</v>
      </c>
      <c r="V11" s="9">
        <v>2921.267773</v>
      </c>
      <c r="W11" s="9">
        <v>2672.604126</v>
      </c>
      <c r="X11" s="9">
        <v>2393.004475</v>
      </c>
      <c r="Y11" s="9">
        <v>2094.301368</v>
      </c>
      <c r="Z11" s="9">
        <v>1879.889325</v>
      </c>
      <c r="AA11" s="11">
        <f t="shared" si="1"/>
        <v>63242.64107</v>
      </c>
      <c r="AB11" s="11">
        <v>4.0</v>
      </c>
      <c r="AC11" s="11">
        <f t="shared" si="2"/>
        <v>252970.5643</v>
      </c>
      <c r="AD11" s="13"/>
    </row>
    <row r="12" ht="14.25" customHeight="1">
      <c r="A12" s="8">
        <v>47849.0</v>
      </c>
      <c r="B12" s="9" t="s">
        <v>36</v>
      </c>
      <c r="C12" s="9">
        <v>1740.94595</v>
      </c>
      <c r="D12" s="9">
        <v>1654.478322</v>
      </c>
      <c r="E12" s="9">
        <v>1574.591597</v>
      </c>
      <c r="F12" s="9">
        <v>1534.002811</v>
      </c>
      <c r="G12" s="9">
        <v>1499.780014</v>
      </c>
      <c r="H12" s="9">
        <v>1470.355259</v>
      </c>
      <c r="I12" s="9">
        <v>1517.883898</v>
      </c>
      <c r="J12" s="9">
        <v>1696.730625</v>
      </c>
      <c r="K12" s="9">
        <v>1931.959482</v>
      </c>
      <c r="L12" s="9">
        <v>2259.074969</v>
      </c>
      <c r="M12" s="9">
        <v>2523.326648</v>
      </c>
      <c r="N12" s="9">
        <v>2672.915063</v>
      </c>
      <c r="O12" s="9">
        <v>2724.442451</v>
      </c>
      <c r="P12" s="9">
        <v>2736.875839</v>
      </c>
      <c r="Q12" s="9">
        <v>2717.970834</v>
      </c>
      <c r="R12" s="9">
        <v>2704.809029</v>
      </c>
      <c r="S12" s="9">
        <v>2640.818988</v>
      </c>
      <c r="T12" s="9">
        <v>2576.744354</v>
      </c>
      <c r="U12" s="9">
        <v>2540.87496</v>
      </c>
      <c r="V12" s="9">
        <v>2414.274435</v>
      </c>
      <c r="W12" s="9">
        <v>2209.339587</v>
      </c>
      <c r="X12" s="9">
        <v>1973.991385</v>
      </c>
      <c r="Y12" s="9">
        <v>1762.25935</v>
      </c>
      <c r="Z12" s="9">
        <v>1609.021991</v>
      </c>
      <c r="AA12" s="11">
        <f t="shared" si="1"/>
        <v>50687.46784</v>
      </c>
      <c r="AB12" s="11">
        <v>6.0</v>
      </c>
      <c r="AC12" s="11">
        <f t="shared" si="2"/>
        <v>304124.807</v>
      </c>
      <c r="AD12" s="14"/>
    </row>
    <row r="13" ht="14.25" customHeight="1">
      <c r="A13" s="8">
        <v>47880.0</v>
      </c>
      <c r="B13" s="9" t="s">
        <v>34</v>
      </c>
      <c r="C13" s="9">
        <v>1789.42245</v>
      </c>
      <c r="D13" s="9">
        <v>1716.199226</v>
      </c>
      <c r="E13" s="9">
        <v>1675.242261</v>
      </c>
      <c r="F13" s="9">
        <v>1658.499934</v>
      </c>
      <c r="G13" s="9">
        <v>1684.074551</v>
      </c>
      <c r="H13" s="9">
        <v>1792.152715</v>
      </c>
      <c r="I13" s="9">
        <v>2168.520715</v>
      </c>
      <c r="J13" s="9">
        <v>2721.029537</v>
      </c>
      <c r="K13" s="9">
        <v>3183.272762</v>
      </c>
      <c r="L13" s="9">
        <v>3495.437472</v>
      </c>
      <c r="M13" s="9">
        <v>3749.40539</v>
      </c>
      <c r="N13" s="9">
        <v>3902.252663</v>
      </c>
      <c r="O13" s="9">
        <v>3850.922688</v>
      </c>
      <c r="P13" s="9">
        <v>3864.081001</v>
      </c>
      <c r="Q13" s="9">
        <v>3966.464102</v>
      </c>
      <c r="R13" s="9">
        <v>3968.138343</v>
      </c>
      <c r="S13" s="9">
        <v>3856.287608</v>
      </c>
      <c r="T13" s="9">
        <v>3598.872938</v>
      </c>
      <c r="U13" s="9">
        <v>3409.257046</v>
      </c>
      <c r="V13" s="9">
        <v>3193.822775</v>
      </c>
      <c r="W13" s="9">
        <v>2909.013839</v>
      </c>
      <c r="X13" s="9">
        <v>2585.22871</v>
      </c>
      <c r="Y13" s="9">
        <v>2240.427692</v>
      </c>
      <c r="Z13" s="9">
        <v>2005.072964</v>
      </c>
      <c r="AA13" s="11">
        <f t="shared" si="1"/>
        <v>68983.09938</v>
      </c>
      <c r="AB13" s="11">
        <v>20.0</v>
      </c>
      <c r="AC13" s="11">
        <f t="shared" si="2"/>
        <v>1379661.988</v>
      </c>
      <c r="AD13" s="12">
        <f>SUM(AC13:AC15)</f>
        <v>1835382.423</v>
      </c>
    </row>
    <row r="14" ht="14.25" customHeight="1">
      <c r="A14" s="8">
        <v>47880.0</v>
      </c>
      <c r="B14" s="9" t="s">
        <v>35</v>
      </c>
      <c r="C14" s="9">
        <v>1944.42122</v>
      </c>
      <c r="D14" s="9">
        <v>1842.912902</v>
      </c>
      <c r="E14" s="9">
        <v>1786.312658</v>
      </c>
      <c r="F14" s="9">
        <v>1742.435707</v>
      </c>
      <c r="G14" s="9">
        <v>1750.84291</v>
      </c>
      <c r="H14" s="9">
        <v>1757.986244</v>
      </c>
      <c r="I14" s="9">
        <v>2013.872788</v>
      </c>
      <c r="J14" s="9">
        <v>2472.636506</v>
      </c>
      <c r="K14" s="9">
        <v>2908.449371</v>
      </c>
      <c r="L14" s="9">
        <v>3248.819029</v>
      </c>
      <c r="M14" s="9">
        <v>3461.218666</v>
      </c>
      <c r="N14" s="9">
        <v>3558.693026</v>
      </c>
      <c r="O14" s="9">
        <v>3458.85554</v>
      </c>
      <c r="P14" s="9">
        <v>3349.234037</v>
      </c>
      <c r="Q14" s="9">
        <v>3273.991256</v>
      </c>
      <c r="R14" s="9">
        <v>3255.744707</v>
      </c>
      <c r="S14" s="9">
        <v>3216.638361</v>
      </c>
      <c r="T14" s="9">
        <v>3155.856921</v>
      </c>
      <c r="U14" s="9">
        <v>3082.652154</v>
      </c>
      <c r="V14" s="9">
        <v>2921.267773</v>
      </c>
      <c r="W14" s="9">
        <v>2672.604126</v>
      </c>
      <c r="X14" s="9">
        <v>2393.004475</v>
      </c>
      <c r="Y14" s="9">
        <v>2094.301368</v>
      </c>
      <c r="Z14" s="9">
        <v>1879.889325</v>
      </c>
      <c r="AA14" s="11">
        <f t="shared" si="1"/>
        <v>63242.64107</v>
      </c>
      <c r="AB14" s="11">
        <v>4.0</v>
      </c>
      <c r="AC14" s="11">
        <f t="shared" si="2"/>
        <v>252970.5643</v>
      </c>
      <c r="AD14" s="13"/>
    </row>
    <row r="15" ht="14.25" customHeight="1">
      <c r="A15" s="61">
        <v>47880.0</v>
      </c>
      <c r="B15" s="9" t="s">
        <v>36</v>
      </c>
      <c r="C15" s="9">
        <v>1740.94595</v>
      </c>
      <c r="D15" s="9">
        <v>1654.478322</v>
      </c>
      <c r="E15" s="9">
        <v>1574.591597</v>
      </c>
      <c r="F15" s="9">
        <v>1534.002811</v>
      </c>
      <c r="G15" s="9">
        <v>1499.780014</v>
      </c>
      <c r="H15" s="9">
        <v>1470.355259</v>
      </c>
      <c r="I15" s="9">
        <v>1517.883898</v>
      </c>
      <c r="J15" s="9">
        <v>1696.730625</v>
      </c>
      <c r="K15" s="9">
        <v>1931.959482</v>
      </c>
      <c r="L15" s="9">
        <v>2259.074969</v>
      </c>
      <c r="M15" s="9">
        <v>2523.326648</v>
      </c>
      <c r="N15" s="9">
        <v>2672.915063</v>
      </c>
      <c r="O15" s="9">
        <v>2724.442451</v>
      </c>
      <c r="P15" s="9">
        <v>2736.875839</v>
      </c>
      <c r="Q15" s="9">
        <v>2717.970834</v>
      </c>
      <c r="R15" s="9">
        <v>2704.809029</v>
      </c>
      <c r="S15" s="9">
        <v>2640.818988</v>
      </c>
      <c r="T15" s="9">
        <v>2576.744354</v>
      </c>
      <c r="U15" s="9">
        <v>2540.87496</v>
      </c>
      <c r="V15" s="9">
        <v>2414.274435</v>
      </c>
      <c r="W15" s="9">
        <v>2209.339587</v>
      </c>
      <c r="X15" s="9">
        <v>1973.991385</v>
      </c>
      <c r="Y15" s="9">
        <v>1762.25935</v>
      </c>
      <c r="Z15" s="9">
        <v>1609.021991</v>
      </c>
      <c r="AA15" s="11">
        <f t="shared" si="1"/>
        <v>50687.46784</v>
      </c>
      <c r="AB15" s="11">
        <v>4.0</v>
      </c>
      <c r="AC15" s="11">
        <f t="shared" si="2"/>
        <v>202749.8714</v>
      </c>
      <c r="AD15" s="14"/>
    </row>
    <row r="16" ht="14.25" customHeight="1">
      <c r="A16" s="61">
        <v>47908.0</v>
      </c>
      <c r="B16" s="9" t="s">
        <v>34</v>
      </c>
      <c r="C16" s="9">
        <v>1789.42245</v>
      </c>
      <c r="D16" s="9">
        <v>1716.199226</v>
      </c>
      <c r="E16" s="9">
        <v>1675.242261</v>
      </c>
      <c r="F16" s="9">
        <v>1658.499934</v>
      </c>
      <c r="G16" s="9">
        <v>1684.074551</v>
      </c>
      <c r="H16" s="9">
        <v>1792.152715</v>
      </c>
      <c r="I16" s="9">
        <v>2168.520715</v>
      </c>
      <c r="J16" s="9">
        <v>2721.029537</v>
      </c>
      <c r="K16" s="9">
        <v>3183.272762</v>
      </c>
      <c r="L16" s="9">
        <v>3495.437472</v>
      </c>
      <c r="M16" s="9">
        <v>3749.40539</v>
      </c>
      <c r="N16" s="9">
        <v>3902.252663</v>
      </c>
      <c r="O16" s="9">
        <v>3850.922688</v>
      </c>
      <c r="P16" s="9">
        <v>3864.081001</v>
      </c>
      <c r="Q16" s="9">
        <v>3966.464102</v>
      </c>
      <c r="R16" s="9">
        <v>3968.138343</v>
      </c>
      <c r="S16" s="9">
        <v>3856.287608</v>
      </c>
      <c r="T16" s="9">
        <v>3598.872938</v>
      </c>
      <c r="U16" s="9">
        <v>3409.257046</v>
      </c>
      <c r="V16" s="9">
        <v>3193.822775</v>
      </c>
      <c r="W16" s="9">
        <v>2909.013839</v>
      </c>
      <c r="X16" s="9">
        <v>2585.22871</v>
      </c>
      <c r="Y16" s="9">
        <v>2240.427692</v>
      </c>
      <c r="Z16" s="9">
        <v>2005.072964</v>
      </c>
      <c r="AA16" s="11">
        <f t="shared" si="1"/>
        <v>68983.09938</v>
      </c>
      <c r="AB16" s="11">
        <v>20.0</v>
      </c>
      <c r="AC16" s="11">
        <f t="shared" si="2"/>
        <v>1379661.988</v>
      </c>
      <c r="AD16" s="12">
        <f>SUM(AC16:AC18)</f>
        <v>2000000</v>
      </c>
    </row>
    <row r="17" ht="14.25" customHeight="1">
      <c r="A17" s="61">
        <v>47908.0</v>
      </c>
      <c r="B17" s="9" t="s">
        <v>35</v>
      </c>
      <c r="C17" s="9">
        <v>1944.42122</v>
      </c>
      <c r="D17" s="9">
        <v>1842.912902</v>
      </c>
      <c r="E17" s="9">
        <v>1786.312658</v>
      </c>
      <c r="F17" s="9">
        <v>1742.435707</v>
      </c>
      <c r="G17" s="9">
        <v>1750.84291</v>
      </c>
      <c r="H17" s="9">
        <v>1757.986244</v>
      </c>
      <c r="I17" s="9">
        <v>2013.872788</v>
      </c>
      <c r="J17" s="9">
        <v>2472.636506</v>
      </c>
      <c r="K17" s="9">
        <v>2908.449371</v>
      </c>
      <c r="L17" s="9">
        <v>3248.819029</v>
      </c>
      <c r="M17" s="9">
        <v>3461.218666</v>
      </c>
      <c r="N17" s="9">
        <v>3558.693026</v>
      </c>
      <c r="O17" s="9">
        <v>3458.85554</v>
      </c>
      <c r="P17" s="9">
        <v>3349.234037</v>
      </c>
      <c r="Q17" s="9">
        <v>3273.991256</v>
      </c>
      <c r="R17" s="9">
        <v>3255.744707</v>
      </c>
      <c r="S17" s="9">
        <v>3216.638361</v>
      </c>
      <c r="T17" s="9">
        <v>3155.856921</v>
      </c>
      <c r="U17" s="9">
        <v>3082.652154</v>
      </c>
      <c r="V17" s="9">
        <v>2921.267773</v>
      </c>
      <c r="W17" s="9">
        <v>2672.604126</v>
      </c>
      <c r="X17" s="9">
        <v>2393.004475</v>
      </c>
      <c r="Y17" s="9">
        <v>2094.301368</v>
      </c>
      <c r="Z17" s="9">
        <v>1879.889325</v>
      </c>
      <c r="AA17" s="11">
        <f t="shared" si="1"/>
        <v>63242.64107</v>
      </c>
      <c r="AB17" s="11">
        <v>5.0</v>
      </c>
      <c r="AC17" s="11">
        <f t="shared" si="2"/>
        <v>316213.2054</v>
      </c>
      <c r="AD17" s="13"/>
    </row>
    <row r="18" ht="14.25" customHeight="1">
      <c r="A18" s="61">
        <v>47908.0</v>
      </c>
      <c r="B18" s="9" t="s">
        <v>36</v>
      </c>
      <c r="C18" s="9">
        <v>1740.94595</v>
      </c>
      <c r="D18" s="9">
        <v>1654.478322</v>
      </c>
      <c r="E18" s="9">
        <v>1574.591597</v>
      </c>
      <c r="F18" s="9">
        <v>1534.002811</v>
      </c>
      <c r="G18" s="9">
        <v>1499.780014</v>
      </c>
      <c r="H18" s="9">
        <v>1470.355259</v>
      </c>
      <c r="I18" s="9">
        <v>1517.883898</v>
      </c>
      <c r="J18" s="9">
        <v>1696.730625</v>
      </c>
      <c r="K18" s="9">
        <v>1931.959482</v>
      </c>
      <c r="L18" s="9">
        <v>2259.074969</v>
      </c>
      <c r="M18" s="9">
        <v>2523.326648</v>
      </c>
      <c r="N18" s="9">
        <v>2672.915063</v>
      </c>
      <c r="O18" s="9">
        <v>2724.442451</v>
      </c>
      <c r="P18" s="9">
        <v>2736.875839</v>
      </c>
      <c r="Q18" s="9">
        <v>2717.970834</v>
      </c>
      <c r="R18" s="9">
        <v>2704.809029</v>
      </c>
      <c r="S18" s="9">
        <v>2640.818988</v>
      </c>
      <c r="T18" s="9">
        <v>2576.744354</v>
      </c>
      <c r="U18" s="9">
        <v>2540.87496</v>
      </c>
      <c r="V18" s="9">
        <v>2414.274435</v>
      </c>
      <c r="W18" s="9">
        <v>2209.339587</v>
      </c>
      <c r="X18" s="9">
        <v>1973.991385</v>
      </c>
      <c r="Y18" s="9">
        <v>1762.25935</v>
      </c>
      <c r="Z18" s="9">
        <v>1609.021991</v>
      </c>
      <c r="AA18" s="11">
        <f t="shared" si="1"/>
        <v>50687.46784</v>
      </c>
      <c r="AB18" s="11">
        <v>6.0</v>
      </c>
      <c r="AC18" s="11">
        <f t="shared" si="2"/>
        <v>304124.807</v>
      </c>
      <c r="AD18" s="14"/>
    </row>
    <row r="19" ht="14.25" customHeight="1">
      <c r="A19" s="61">
        <v>47939.0</v>
      </c>
      <c r="B19" s="9" t="s">
        <v>34</v>
      </c>
      <c r="C19" s="9">
        <v>1789.42245</v>
      </c>
      <c r="D19" s="9">
        <v>1716.199226</v>
      </c>
      <c r="E19" s="9">
        <v>1675.242261</v>
      </c>
      <c r="F19" s="9">
        <v>1658.499934</v>
      </c>
      <c r="G19" s="9">
        <v>1684.074551</v>
      </c>
      <c r="H19" s="9">
        <v>1792.152715</v>
      </c>
      <c r="I19" s="9">
        <v>2168.520715</v>
      </c>
      <c r="J19" s="9">
        <v>2721.029537</v>
      </c>
      <c r="K19" s="9">
        <v>3183.272762</v>
      </c>
      <c r="L19" s="9">
        <v>3495.437472</v>
      </c>
      <c r="M19" s="9">
        <v>3749.40539</v>
      </c>
      <c r="N19" s="9">
        <v>3902.252663</v>
      </c>
      <c r="O19" s="9">
        <v>3850.922688</v>
      </c>
      <c r="P19" s="9">
        <v>3864.081001</v>
      </c>
      <c r="Q19" s="9">
        <v>3966.464102</v>
      </c>
      <c r="R19" s="9">
        <v>3968.138343</v>
      </c>
      <c r="S19" s="9">
        <v>3856.287608</v>
      </c>
      <c r="T19" s="9">
        <v>3598.872938</v>
      </c>
      <c r="U19" s="9">
        <v>3409.257046</v>
      </c>
      <c r="V19" s="9">
        <v>3193.822775</v>
      </c>
      <c r="W19" s="9">
        <v>2909.013839</v>
      </c>
      <c r="X19" s="9">
        <v>2585.22871</v>
      </c>
      <c r="Y19" s="9">
        <v>2240.427692</v>
      </c>
      <c r="Z19" s="9">
        <v>2005.072964</v>
      </c>
      <c r="AA19" s="11">
        <f t="shared" si="1"/>
        <v>68983.09938</v>
      </c>
      <c r="AB19" s="11">
        <v>20.0</v>
      </c>
      <c r="AC19" s="11">
        <f t="shared" si="2"/>
        <v>1379661.988</v>
      </c>
      <c r="AD19" s="12">
        <f>SUM(AC19:AC21)</f>
        <v>1936757.359</v>
      </c>
    </row>
    <row r="20" ht="14.25" customHeight="1">
      <c r="A20" s="61">
        <v>47939.0</v>
      </c>
      <c r="B20" s="9" t="s">
        <v>35</v>
      </c>
      <c r="C20" s="9">
        <v>1944.42122</v>
      </c>
      <c r="D20" s="9">
        <v>1842.912902</v>
      </c>
      <c r="E20" s="9">
        <v>1786.312658</v>
      </c>
      <c r="F20" s="9">
        <v>1742.435707</v>
      </c>
      <c r="G20" s="9">
        <v>1750.84291</v>
      </c>
      <c r="H20" s="9">
        <v>1757.986244</v>
      </c>
      <c r="I20" s="9">
        <v>2013.872788</v>
      </c>
      <c r="J20" s="9">
        <v>2472.636506</v>
      </c>
      <c r="K20" s="9">
        <v>2908.449371</v>
      </c>
      <c r="L20" s="9">
        <v>3248.819029</v>
      </c>
      <c r="M20" s="9">
        <v>3461.218666</v>
      </c>
      <c r="N20" s="9">
        <v>3558.693026</v>
      </c>
      <c r="O20" s="9">
        <v>3458.85554</v>
      </c>
      <c r="P20" s="9">
        <v>3349.234037</v>
      </c>
      <c r="Q20" s="9">
        <v>3273.991256</v>
      </c>
      <c r="R20" s="9">
        <v>3255.744707</v>
      </c>
      <c r="S20" s="9">
        <v>3216.638361</v>
      </c>
      <c r="T20" s="9">
        <v>3155.856921</v>
      </c>
      <c r="U20" s="9">
        <v>3082.652154</v>
      </c>
      <c r="V20" s="9">
        <v>2921.267773</v>
      </c>
      <c r="W20" s="9">
        <v>2672.604126</v>
      </c>
      <c r="X20" s="9">
        <v>2393.004475</v>
      </c>
      <c r="Y20" s="9">
        <v>2094.301368</v>
      </c>
      <c r="Z20" s="9">
        <v>1879.889325</v>
      </c>
      <c r="AA20" s="11">
        <f t="shared" si="1"/>
        <v>63242.64107</v>
      </c>
      <c r="AB20" s="11">
        <v>4.0</v>
      </c>
      <c r="AC20" s="11">
        <f t="shared" si="2"/>
        <v>252970.5643</v>
      </c>
      <c r="AD20" s="13"/>
    </row>
    <row r="21" ht="14.25" customHeight="1">
      <c r="A21" s="61">
        <v>47939.0</v>
      </c>
      <c r="B21" s="9" t="s">
        <v>36</v>
      </c>
      <c r="C21" s="9">
        <v>1740.94595</v>
      </c>
      <c r="D21" s="9">
        <v>1654.478322</v>
      </c>
      <c r="E21" s="9">
        <v>1574.591597</v>
      </c>
      <c r="F21" s="9">
        <v>1534.002811</v>
      </c>
      <c r="G21" s="9">
        <v>1499.780014</v>
      </c>
      <c r="H21" s="9">
        <v>1470.355259</v>
      </c>
      <c r="I21" s="9">
        <v>1517.883898</v>
      </c>
      <c r="J21" s="9">
        <v>1696.730625</v>
      </c>
      <c r="K21" s="9">
        <v>1931.959482</v>
      </c>
      <c r="L21" s="9">
        <v>2259.074969</v>
      </c>
      <c r="M21" s="9">
        <v>2523.326648</v>
      </c>
      <c r="N21" s="9">
        <v>2672.915063</v>
      </c>
      <c r="O21" s="9">
        <v>2724.442451</v>
      </c>
      <c r="P21" s="9">
        <v>2736.875839</v>
      </c>
      <c r="Q21" s="9">
        <v>2717.970834</v>
      </c>
      <c r="R21" s="9">
        <v>2704.809029</v>
      </c>
      <c r="S21" s="9">
        <v>2640.818988</v>
      </c>
      <c r="T21" s="9">
        <v>2576.744354</v>
      </c>
      <c r="U21" s="9">
        <v>2540.87496</v>
      </c>
      <c r="V21" s="9">
        <v>2414.274435</v>
      </c>
      <c r="W21" s="9">
        <v>2209.339587</v>
      </c>
      <c r="X21" s="9">
        <v>1973.991385</v>
      </c>
      <c r="Y21" s="9">
        <v>1762.25935</v>
      </c>
      <c r="Z21" s="9">
        <v>1609.021991</v>
      </c>
      <c r="AA21" s="11">
        <f t="shared" si="1"/>
        <v>50687.46784</v>
      </c>
      <c r="AB21" s="11">
        <v>6.0</v>
      </c>
      <c r="AC21" s="11">
        <f t="shared" si="2"/>
        <v>304124.807</v>
      </c>
      <c r="AD21" s="14"/>
    </row>
    <row r="22" ht="14.25" customHeight="1">
      <c r="A22" s="61">
        <v>47969.0</v>
      </c>
      <c r="B22" s="9" t="s">
        <v>34</v>
      </c>
      <c r="C22" s="9">
        <v>1789.42245</v>
      </c>
      <c r="D22" s="9">
        <v>1716.199226</v>
      </c>
      <c r="E22" s="9">
        <v>1675.242261</v>
      </c>
      <c r="F22" s="9">
        <v>1658.499934</v>
      </c>
      <c r="G22" s="9">
        <v>1684.074551</v>
      </c>
      <c r="H22" s="9">
        <v>1792.152715</v>
      </c>
      <c r="I22" s="9">
        <v>2168.520715</v>
      </c>
      <c r="J22" s="9">
        <v>2721.029537</v>
      </c>
      <c r="K22" s="9">
        <v>3183.272762</v>
      </c>
      <c r="L22" s="9">
        <v>3495.437472</v>
      </c>
      <c r="M22" s="9">
        <v>3749.40539</v>
      </c>
      <c r="N22" s="9">
        <v>3902.252663</v>
      </c>
      <c r="O22" s="9">
        <v>3850.922688</v>
      </c>
      <c r="P22" s="9">
        <v>3864.081001</v>
      </c>
      <c r="Q22" s="9">
        <v>3966.464102</v>
      </c>
      <c r="R22" s="9">
        <v>3968.138343</v>
      </c>
      <c r="S22" s="9">
        <v>3856.287608</v>
      </c>
      <c r="T22" s="9">
        <v>3598.872938</v>
      </c>
      <c r="U22" s="9">
        <v>3409.257046</v>
      </c>
      <c r="V22" s="9">
        <v>3193.822775</v>
      </c>
      <c r="W22" s="9">
        <v>2909.013839</v>
      </c>
      <c r="X22" s="9">
        <v>2585.22871</v>
      </c>
      <c r="Y22" s="9">
        <v>2240.427692</v>
      </c>
      <c r="Z22" s="9">
        <v>2005.072964</v>
      </c>
      <c r="AA22" s="11">
        <f t="shared" si="1"/>
        <v>68983.09938</v>
      </c>
      <c r="AB22" s="11">
        <v>20.0</v>
      </c>
      <c r="AC22" s="11">
        <f t="shared" si="2"/>
        <v>1379661.988</v>
      </c>
      <c r="AD22" s="12">
        <f>SUM(AC22:AC24)</f>
        <v>2000000</v>
      </c>
    </row>
    <row r="23" ht="14.25" customHeight="1">
      <c r="A23" s="61">
        <v>47969.0</v>
      </c>
      <c r="B23" s="9" t="s">
        <v>35</v>
      </c>
      <c r="C23" s="9">
        <v>1944.42122</v>
      </c>
      <c r="D23" s="9">
        <v>1842.912902</v>
      </c>
      <c r="E23" s="9">
        <v>1786.312658</v>
      </c>
      <c r="F23" s="9">
        <v>1742.435707</v>
      </c>
      <c r="G23" s="9">
        <v>1750.84291</v>
      </c>
      <c r="H23" s="9">
        <v>1757.986244</v>
      </c>
      <c r="I23" s="9">
        <v>2013.872788</v>
      </c>
      <c r="J23" s="9">
        <v>2472.636506</v>
      </c>
      <c r="K23" s="9">
        <v>2908.449371</v>
      </c>
      <c r="L23" s="9">
        <v>3248.819029</v>
      </c>
      <c r="M23" s="9">
        <v>3461.218666</v>
      </c>
      <c r="N23" s="9">
        <v>3558.693026</v>
      </c>
      <c r="O23" s="9">
        <v>3458.85554</v>
      </c>
      <c r="P23" s="9">
        <v>3349.234037</v>
      </c>
      <c r="Q23" s="9">
        <v>3273.991256</v>
      </c>
      <c r="R23" s="9">
        <v>3255.744707</v>
      </c>
      <c r="S23" s="9">
        <v>3216.638361</v>
      </c>
      <c r="T23" s="9">
        <v>3155.856921</v>
      </c>
      <c r="U23" s="9">
        <v>3082.652154</v>
      </c>
      <c r="V23" s="9">
        <v>2921.267773</v>
      </c>
      <c r="W23" s="9">
        <v>2672.604126</v>
      </c>
      <c r="X23" s="9">
        <v>2393.004475</v>
      </c>
      <c r="Y23" s="9">
        <v>2094.301368</v>
      </c>
      <c r="Z23" s="9">
        <v>1879.889325</v>
      </c>
      <c r="AA23" s="11">
        <f t="shared" si="1"/>
        <v>63242.64107</v>
      </c>
      <c r="AB23" s="11">
        <v>5.0</v>
      </c>
      <c r="AC23" s="11">
        <f t="shared" si="2"/>
        <v>316213.2054</v>
      </c>
      <c r="AD23" s="13"/>
    </row>
    <row r="24" ht="14.25" customHeight="1">
      <c r="A24" s="61">
        <v>47969.0</v>
      </c>
      <c r="B24" s="9" t="s">
        <v>36</v>
      </c>
      <c r="C24" s="9">
        <v>1740.94595</v>
      </c>
      <c r="D24" s="9">
        <v>1654.478322</v>
      </c>
      <c r="E24" s="9">
        <v>1574.591597</v>
      </c>
      <c r="F24" s="9">
        <v>1534.002811</v>
      </c>
      <c r="G24" s="9">
        <v>1499.780014</v>
      </c>
      <c r="H24" s="9">
        <v>1470.355259</v>
      </c>
      <c r="I24" s="9">
        <v>1517.883898</v>
      </c>
      <c r="J24" s="9">
        <v>1696.730625</v>
      </c>
      <c r="K24" s="9">
        <v>1931.959482</v>
      </c>
      <c r="L24" s="9">
        <v>2259.074969</v>
      </c>
      <c r="M24" s="9">
        <v>2523.326648</v>
      </c>
      <c r="N24" s="9">
        <v>2672.915063</v>
      </c>
      <c r="O24" s="9">
        <v>2724.442451</v>
      </c>
      <c r="P24" s="9">
        <v>2736.875839</v>
      </c>
      <c r="Q24" s="9">
        <v>2717.970834</v>
      </c>
      <c r="R24" s="9">
        <v>2704.809029</v>
      </c>
      <c r="S24" s="9">
        <v>2640.818988</v>
      </c>
      <c r="T24" s="9">
        <v>2576.744354</v>
      </c>
      <c r="U24" s="9">
        <v>2540.87496</v>
      </c>
      <c r="V24" s="9">
        <v>2414.274435</v>
      </c>
      <c r="W24" s="9">
        <v>2209.339587</v>
      </c>
      <c r="X24" s="9">
        <v>1973.991385</v>
      </c>
      <c r="Y24" s="9">
        <v>1762.25935</v>
      </c>
      <c r="Z24" s="9">
        <v>1609.021991</v>
      </c>
      <c r="AA24" s="11">
        <f t="shared" si="1"/>
        <v>50687.46784</v>
      </c>
      <c r="AB24" s="11">
        <v>6.0</v>
      </c>
      <c r="AC24" s="11">
        <f t="shared" si="2"/>
        <v>304124.807</v>
      </c>
      <c r="AD24" s="14"/>
    </row>
    <row r="25" ht="14.25" customHeight="1">
      <c r="A25" s="61">
        <v>48000.0</v>
      </c>
      <c r="B25" s="9" t="s">
        <v>34</v>
      </c>
      <c r="C25" s="9">
        <v>1789.42245</v>
      </c>
      <c r="D25" s="9">
        <v>1716.199226</v>
      </c>
      <c r="E25" s="9">
        <v>1675.242261</v>
      </c>
      <c r="F25" s="9">
        <v>1658.499934</v>
      </c>
      <c r="G25" s="9">
        <v>1684.074551</v>
      </c>
      <c r="H25" s="9">
        <v>1792.152715</v>
      </c>
      <c r="I25" s="9">
        <v>2168.520715</v>
      </c>
      <c r="J25" s="9">
        <v>2721.029537</v>
      </c>
      <c r="K25" s="9">
        <v>3183.272762</v>
      </c>
      <c r="L25" s="9">
        <v>3495.437472</v>
      </c>
      <c r="M25" s="9">
        <v>3749.40539</v>
      </c>
      <c r="N25" s="9">
        <v>3902.252663</v>
      </c>
      <c r="O25" s="9">
        <v>3850.922688</v>
      </c>
      <c r="P25" s="9">
        <v>3864.081001</v>
      </c>
      <c r="Q25" s="9">
        <v>3966.464102</v>
      </c>
      <c r="R25" s="9">
        <v>3968.138343</v>
      </c>
      <c r="S25" s="9">
        <v>3856.287608</v>
      </c>
      <c r="T25" s="9">
        <v>3598.872938</v>
      </c>
      <c r="U25" s="9">
        <v>3409.257046</v>
      </c>
      <c r="V25" s="9">
        <v>3193.822775</v>
      </c>
      <c r="W25" s="9">
        <v>2909.013839</v>
      </c>
      <c r="X25" s="9">
        <v>2585.22871</v>
      </c>
      <c r="Y25" s="9">
        <v>2240.427692</v>
      </c>
      <c r="Z25" s="9">
        <v>2005.072964</v>
      </c>
      <c r="AA25" s="11">
        <f t="shared" si="1"/>
        <v>68983.09938</v>
      </c>
      <c r="AB25" s="11">
        <v>18.0</v>
      </c>
      <c r="AC25" s="11">
        <f t="shared" si="2"/>
        <v>1241695.789</v>
      </c>
      <c r="AD25" s="12">
        <f>SUM(AC25:AC27)</f>
        <v>1900166.096</v>
      </c>
    </row>
    <row r="26" ht="14.25" customHeight="1">
      <c r="A26" s="61">
        <v>48000.0</v>
      </c>
      <c r="B26" s="9" t="s">
        <v>35</v>
      </c>
      <c r="C26" s="9">
        <v>1944.42122</v>
      </c>
      <c r="D26" s="9">
        <v>1842.912902</v>
      </c>
      <c r="E26" s="9">
        <v>1786.312658</v>
      </c>
      <c r="F26" s="9">
        <v>1742.435707</v>
      </c>
      <c r="G26" s="9">
        <v>1750.84291</v>
      </c>
      <c r="H26" s="9">
        <v>1757.986244</v>
      </c>
      <c r="I26" s="9">
        <v>2013.872788</v>
      </c>
      <c r="J26" s="9">
        <v>2472.636506</v>
      </c>
      <c r="K26" s="9">
        <v>2908.449371</v>
      </c>
      <c r="L26" s="9">
        <v>3248.819029</v>
      </c>
      <c r="M26" s="9">
        <v>3461.218666</v>
      </c>
      <c r="N26" s="9">
        <v>3558.693026</v>
      </c>
      <c r="O26" s="9">
        <v>3458.85554</v>
      </c>
      <c r="P26" s="9">
        <v>3349.234037</v>
      </c>
      <c r="Q26" s="9">
        <v>3273.991256</v>
      </c>
      <c r="R26" s="9">
        <v>3255.744707</v>
      </c>
      <c r="S26" s="9">
        <v>3216.638361</v>
      </c>
      <c r="T26" s="9">
        <v>3155.856921</v>
      </c>
      <c r="U26" s="9">
        <v>3082.652154</v>
      </c>
      <c r="V26" s="9">
        <v>2921.267773</v>
      </c>
      <c r="W26" s="9">
        <v>2672.604126</v>
      </c>
      <c r="X26" s="9">
        <v>2393.004475</v>
      </c>
      <c r="Y26" s="9">
        <v>2094.301368</v>
      </c>
      <c r="Z26" s="9">
        <v>1879.889325</v>
      </c>
      <c r="AA26" s="11">
        <f t="shared" si="1"/>
        <v>63242.64107</v>
      </c>
      <c r="AB26" s="11">
        <v>4.0</v>
      </c>
      <c r="AC26" s="11">
        <f t="shared" si="2"/>
        <v>252970.5643</v>
      </c>
      <c r="AD26" s="13"/>
    </row>
    <row r="27" ht="14.25" customHeight="1">
      <c r="A27" s="61">
        <v>48000.0</v>
      </c>
      <c r="B27" s="9" t="s">
        <v>36</v>
      </c>
      <c r="C27" s="9">
        <v>1740.94595</v>
      </c>
      <c r="D27" s="9">
        <v>1654.478322</v>
      </c>
      <c r="E27" s="9">
        <v>1574.591597</v>
      </c>
      <c r="F27" s="9">
        <v>1534.002811</v>
      </c>
      <c r="G27" s="9">
        <v>1499.780014</v>
      </c>
      <c r="H27" s="9">
        <v>1470.355259</v>
      </c>
      <c r="I27" s="9">
        <v>1517.883898</v>
      </c>
      <c r="J27" s="9">
        <v>1696.730625</v>
      </c>
      <c r="K27" s="9">
        <v>1931.959482</v>
      </c>
      <c r="L27" s="9">
        <v>2259.074969</v>
      </c>
      <c r="M27" s="9">
        <v>2523.326648</v>
      </c>
      <c r="N27" s="9">
        <v>2672.915063</v>
      </c>
      <c r="O27" s="9">
        <v>2724.442451</v>
      </c>
      <c r="P27" s="9">
        <v>2736.875839</v>
      </c>
      <c r="Q27" s="9">
        <v>2717.970834</v>
      </c>
      <c r="R27" s="9">
        <v>2704.809029</v>
      </c>
      <c r="S27" s="9">
        <v>2640.818988</v>
      </c>
      <c r="T27" s="9">
        <v>2576.744354</v>
      </c>
      <c r="U27" s="9">
        <v>2540.87496</v>
      </c>
      <c r="V27" s="9">
        <v>2414.274435</v>
      </c>
      <c r="W27" s="9">
        <v>2209.339587</v>
      </c>
      <c r="X27" s="9">
        <v>1973.991385</v>
      </c>
      <c r="Y27" s="9">
        <v>1762.25935</v>
      </c>
      <c r="Z27" s="9">
        <v>1609.021991</v>
      </c>
      <c r="AA27" s="11">
        <f t="shared" si="1"/>
        <v>50687.46784</v>
      </c>
      <c r="AB27" s="11">
        <v>8.0</v>
      </c>
      <c r="AC27" s="11">
        <f t="shared" si="2"/>
        <v>405499.7427</v>
      </c>
      <c r="AD27" s="14"/>
    </row>
    <row r="28" ht="14.25" customHeight="1">
      <c r="A28" s="61">
        <v>48030.0</v>
      </c>
      <c r="B28" s="9" t="s">
        <v>34</v>
      </c>
      <c r="C28" s="9">
        <v>1789.42245</v>
      </c>
      <c r="D28" s="9">
        <v>1716.199226</v>
      </c>
      <c r="E28" s="9">
        <v>1675.242261</v>
      </c>
      <c r="F28" s="9">
        <v>1658.499934</v>
      </c>
      <c r="G28" s="9">
        <v>1684.074551</v>
      </c>
      <c r="H28" s="9">
        <v>1792.152715</v>
      </c>
      <c r="I28" s="9">
        <v>2168.520715</v>
      </c>
      <c r="J28" s="9">
        <v>2721.029537</v>
      </c>
      <c r="K28" s="9">
        <v>3183.272762</v>
      </c>
      <c r="L28" s="9">
        <v>3495.437472</v>
      </c>
      <c r="M28" s="9">
        <v>3749.40539</v>
      </c>
      <c r="N28" s="9">
        <v>3902.252663</v>
      </c>
      <c r="O28" s="9">
        <v>3850.922688</v>
      </c>
      <c r="P28" s="9">
        <v>3864.081001</v>
      </c>
      <c r="Q28" s="9">
        <v>3966.464102</v>
      </c>
      <c r="R28" s="9">
        <v>3968.138343</v>
      </c>
      <c r="S28" s="9">
        <v>3856.287608</v>
      </c>
      <c r="T28" s="9">
        <v>3598.872938</v>
      </c>
      <c r="U28" s="9">
        <v>3409.257046</v>
      </c>
      <c r="V28" s="9">
        <v>3193.822775</v>
      </c>
      <c r="W28" s="9">
        <v>2909.013839</v>
      </c>
      <c r="X28" s="9">
        <v>2585.22871</v>
      </c>
      <c r="Y28" s="9">
        <v>2240.427692</v>
      </c>
      <c r="Z28" s="9">
        <v>2005.072964</v>
      </c>
      <c r="AA28" s="11">
        <f t="shared" si="1"/>
        <v>68983.09938</v>
      </c>
      <c r="AB28" s="11">
        <v>23.0</v>
      </c>
      <c r="AC28" s="11">
        <f t="shared" si="2"/>
        <v>1586611.286</v>
      </c>
      <c r="AD28" s="12">
        <f>SUM(AC28:AC30)</f>
        <v>2042331.721</v>
      </c>
    </row>
    <row r="29" ht="14.25" customHeight="1">
      <c r="A29" s="61">
        <v>48030.0</v>
      </c>
      <c r="B29" s="9" t="s">
        <v>35</v>
      </c>
      <c r="C29" s="9">
        <v>1944.42122</v>
      </c>
      <c r="D29" s="9">
        <v>1842.912902</v>
      </c>
      <c r="E29" s="9">
        <v>1786.312658</v>
      </c>
      <c r="F29" s="9">
        <v>1742.435707</v>
      </c>
      <c r="G29" s="9">
        <v>1750.84291</v>
      </c>
      <c r="H29" s="9">
        <v>1757.986244</v>
      </c>
      <c r="I29" s="9">
        <v>2013.872788</v>
      </c>
      <c r="J29" s="9">
        <v>2472.636506</v>
      </c>
      <c r="K29" s="9">
        <v>2908.449371</v>
      </c>
      <c r="L29" s="9">
        <v>3248.819029</v>
      </c>
      <c r="M29" s="9">
        <v>3461.218666</v>
      </c>
      <c r="N29" s="9">
        <v>3558.693026</v>
      </c>
      <c r="O29" s="9">
        <v>3458.85554</v>
      </c>
      <c r="P29" s="9">
        <v>3349.234037</v>
      </c>
      <c r="Q29" s="9">
        <v>3273.991256</v>
      </c>
      <c r="R29" s="9">
        <v>3255.744707</v>
      </c>
      <c r="S29" s="9">
        <v>3216.638361</v>
      </c>
      <c r="T29" s="9">
        <v>3155.856921</v>
      </c>
      <c r="U29" s="9">
        <v>3082.652154</v>
      </c>
      <c r="V29" s="9">
        <v>2921.267773</v>
      </c>
      <c r="W29" s="9">
        <v>2672.604126</v>
      </c>
      <c r="X29" s="9">
        <v>2393.004475</v>
      </c>
      <c r="Y29" s="9">
        <v>2094.301368</v>
      </c>
      <c r="Z29" s="9">
        <v>1879.889325</v>
      </c>
      <c r="AA29" s="11">
        <f t="shared" si="1"/>
        <v>63242.64107</v>
      </c>
      <c r="AB29" s="11">
        <v>4.0</v>
      </c>
      <c r="AC29" s="11">
        <f t="shared" si="2"/>
        <v>252970.5643</v>
      </c>
      <c r="AD29" s="13"/>
    </row>
    <row r="30" ht="14.25" customHeight="1">
      <c r="A30" s="61">
        <v>48030.0</v>
      </c>
      <c r="B30" s="9" t="s">
        <v>36</v>
      </c>
      <c r="C30" s="9">
        <v>1740.94595</v>
      </c>
      <c r="D30" s="9">
        <v>1654.478322</v>
      </c>
      <c r="E30" s="9">
        <v>1574.591597</v>
      </c>
      <c r="F30" s="9">
        <v>1534.002811</v>
      </c>
      <c r="G30" s="9">
        <v>1499.780014</v>
      </c>
      <c r="H30" s="9">
        <v>1470.355259</v>
      </c>
      <c r="I30" s="9">
        <v>1517.883898</v>
      </c>
      <c r="J30" s="9">
        <v>1696.730625</v>
      </c>
      <c r="K30" s="9">
        <v>1931.959482</v>
      </c>
      <c r="L30" s="9">
        <v>2259.074969</v>
      </c>
      <c r="M30" s="9">
        <v>2523.326648</v>
      </c>
      <c r="N30" s="9">
        <v>2672.915063</v>
      </c>
      <c r="O30" s="9">
        <v>2724.442451</v>
      </c>
      <c r="P30" s="9">
        <v>2736.875839</v>
      </c>
      <c r="Q30" s="9">
        <v>2717.970834</v>
      </c>
      <c r="R30" s="9">
        <v>2704.809029</v>
      </c>
      <c r="S30" s="9">
        <v>2640.818988</v>
      </c>
      <c r="T30" s="9">
        <v>2576.744354</v>
      </c>
      <c r="U30" s="9">
        <v>2540.87496</v>
      </c>
      <c r="V30" s="9">
        <v>2414.274435</v>
      </c>
      <c r="W30" s="9">
        <v>2209.339587</v>
      </c>
      <c r="X30" s="9">
        <v>1973.991385</v>
      </c>
      <c r="Y30" s="9">
        <v>1762.25935</v>
      </c>
      <c r="Z30" s="9">
        <v>1609.021991</v>
      </c>
      <c r="AA30" s="11">
        <f t="shared" si="1"/>
        <v>50687.46784</v>
      </c>
      <c r="AB30" s="11">
        <v>4.0</v>
      </c>
      <c r="AC30" s="11">
        <f t="shared" si="2"/>
        <v>202749.8714</v>
      </c>
      <c r="AD30" s="14"/>
    </row>
    <row r="31" ht="14.25" customHeight="1">
      <c r="A31" s="61">
        <v>48061.0</v>
      </c>
      <c r="B31" s="9" t="s">
        <v>34</v>
      </c>
      <c r="C31" s="9">
        <v>1789.42245</v>
      </c>
      <c r="D31" s="9">
        <v>1716.199226</v>
      </c>
      <c r="E31" s="9">
        <v>1675.242261</v>
      </c>
      <c r="F31" s="9">
        <v>1658.499934</v>
      </c>
      <c r="G31" s="9">
        <v>1684.074551</v>
      </c>
      <c r="H31" s="9">
        <v>1792.152715</v>
      </c>
      <c r="I31" s="9">
        <v>2168.520715</v>
      </c>
      <c r="J31" s="9">
        <v>2721.029537</v>
      </c>
      <c r="K31" s="9">
        <v>3183.272762</v>
      </c>
      <c r="L31" s="9">
        <v>3495.437472</v>
      </c>
      <c r="M31" s="9">
        <v>3749.40539</v>
      </c>
      <c r="N31" s="9">
        <v>3902.252663</v>
      </c>
      <c r="O31" s="9">
        <v>3850.922688</v>
      </c>
      <c r="P31" s="9">
        <v>3864.081001</v>
      </c>
      <c r="Q31" s="9">
        <v>3966.464102</v>
      </c>
      <c r="R31" s="9">
        <v>3968.138343</v>
      </c>
      <c r="S31" s="9">
        <v>3856.287608</v>
      </c>
      <c r="T31" s="9">
        <v>3598.872938</v>
      </c>
      <c r="U31" s="9">
        <v>3409.257046</v>
      </c>
      <c r="V31" s="9">
        <v>3193.822775</v>
      </c>
      <c r="W31" s="9">
        <v>2909.013839</v>
      </c>
      <c r="X31" s="9">
        <v>2585.22871</v>
      </c>
      <c r="Y31" s="9">
        <v>2240.427692</v>
      </c>
      <c r="Z31" s="9">
        <v>2005.072964</v>
      </c>
      <c r="AA31" s="11">
        <f t="shared" si="1"/>
        <v>68983.09938</v>
      </c>
      <c r="AB31" s="11">
        <v>19.0</v>
      </c>
      <c r="AC31" s="11">
        <f t="shared" si="2"/>
        <v>1310678.888</v>
      </c>
      <c r="AD31" s="12">
        <f>SUM(AC31:AC33)</f>
        <v>1981704.368</v>
      </c>
    </row>
    <row r="32" ht="14.25" customHeight="1">
      <c r="A32" s="61">
        <v>48061.0</v>
      </c>
      <c r="B32" s="9" t="s">
        <v>35</v>
      </c>
      <c r="C32" s="9">
        <v>1944.42122</v>
      </c>
      <c r="D32" s="9">
        <v>1842.912902</v>
      </c>
      <c r="E32" s="9">
        <v>1786.312658</v>
      </c>
      <c r="F32" s="9">
        <v>1742.435707</v>
      </c>
      <c r="G32" s="9">
        <v>1750.84291</v>
      </c>
      <c r="H32" s="9">
        <v>1757.986244</v>
      </c>
      <c r="I32" s="9">
        <v>2013.872788</v>
      </c>
      <c r="J32" s="9">
        <v>2472.636506</v>
      </c>
      <c r="K32" s="9">
        <v>2908.449371</v>
      </c>
      <c r="L32" s="9">
        <v>3248.819029</v>
      </c>
      <c r="M32" s="9">
        <v>3461.218666</v>
      </c>
      <c r="N32" s="9">
        <v>3558.693026</v>
      </c>
      <c r="O32" s="9">
        <v>3458.85554</v>
      </c>
      <c r="P32" s="9">
        <v>3349.234037</v>
      </c>
      <c r="Q32" s="9">
        <v>3273.991256</v>
      </c>
      <c r="R32" s="9">
        <v>3255.744707</v>
      </c>
      <c r="S32" s="9">
        <v>3216.638361</v>
      </c>
      <c r="T32" s="9">
        <v>3155.856921</v>
      </c>
      <c r="U32" s="9">
        <v>3082.652154</v>
      </c>
      <c r="V32" s="9">
        <v>2921.267773</v>
      </c>
      <c r="W32" s="9">
        <v>2672.604126</v>
      </c>
      <c r="X32" s="9">
        <v>2393.004475</v>
      </c>
      <c r="Y32" s="9">
        <v>2094.301368</v>
      </c>
      <c r="Z32" s="9">
        <v>1879.889325</v>
      </c>
      <c r="AA32" s="11">
        <f t="shared" si="1"/>
        <v>63242.64107</v>
      </c>
      <c r="AB32" s="11">
        <v>5.0</v>
      </c>
      <c r="AC32" s="11">
        <f t="shared" si="2"/>
        <v>316213.2054</v>
      </c>
      <c r="AD32" s="13"/>
    </row>
    <row r="33" ht="14.25" customHeight="1">
      <c r="A33" s="61">
        <v>48061.0</v>
      </c>
      <c r="B33" s="9" t="s">
        <v>36</v>
      </c>
      <c r="C33" s="9">
        <v>1740.94595</v>
      </c>
      <c r="D33" s="9">
        <v>1654.478322</v>
      </c>
      <c r="E33" s="9">
        <v>1574.591597</v>
      </c>
      <c r="F33" s="9">
        <v>1534.002811</v>
      </c>
      <c r="G33" s="9">
        <v>1499.780014</v>
      </c>
      <c r="H33" s="9">
        <v>1470.355259</v>
      </c>
      <c r="I33" s="9">
        <v>1517.883898</v>
      </c>
      <c r="J33" s="9">
        <v>1696.730625</v>
      </c>
      <c r="K33" s="9">
        <v>1931.959482</v>
      </c>
      <c r="L33" s="9">
        <v>2259.074969</v>
      </c>
      <c r="M33" s="9">
        <v>2523.326648</v>
      </c>
      <c r="N33" s="9">
        <v>2672.915063</v>
      </c>
      <c r="O33" s="9">
        <v>2724.442451</v>
      </c>
      <c r="P33" s="9">
        <v>2736.875839</v>
      </c>
      <c r="Q33" s="9">
        <v>2717.970834</v>
      </c>
      <c r="R33" s="9">
        <v>2704.809029</v>
      </c>
      <c r="S33" s="9">
        <v>2640.818988</v>
      </c>
      <c r="T33" s="9">
        <v>2576.744354</v>
      </c>
      <c r="U33" s="9">
        <v>2540.87496</v>
      </c>
      <c r="V33" s="9">
        <v>2414.274435</v>
      </c>
      <c r="W33" s="9">
        <v>2209.339587</v>
      </c>
      <c r="X33" s="9">
        <v>1973.991385</v>
      </c>
      <c r="Y33" s="9">
        <v>1762.25935</v>
      </c>
      <c r="Z33" s="9">
        <v>1609.021991</v>
      </c>
      <c r="AA33" s="11">
        <f t="shared" si="1"/>
        <v>50687.46784</v>
      </c>
      <c r="AB33" s="11">
        <v>7.0</v>
      </c>
      <c r="AC33" s="11">
        <f t="shared" si="2"/>
        <v>354812.2749</v>
      </c>
      <c r="AD33" s="14"/>
    </row>
    <row r="34" ht="14.25" customHeight="1">
      <c r="A34" s="61">
        <v>48092.0</v>
      </c>
      <c r="B34" s="9" t="s">
        <v>34</v>
      </c>
      <c r="C34" s="9">
        <v>1789.42245</v>
      </c>
      <c r="D34" s="9">
        <v>1716.199226</v>
      </c>
      <c r="E34" s="9">
        <v>1675.242261</v>
      </c>
      <c r="F34" s="9">
        <v>1658.499934</v>
      </c>
      <c r="G34" s="9">
        <v>1684.074551</v>
      </c>
      <c r="H34" s="9">
        <v>1792.152715</v>
      </c>
      <c r="I34" s="9">
        <v>2168.520715</v>
      </c>
      <c r="J34" s="9">
        <v>2721.029537</v>
      </c>
      <c r="K34" s="9">
        <v>3183.272762</v>
      </c>
      <c r="L34" s="9">
        <v>3495.437472</v>
      </c>
      <c r="M34" s="9">
        <v>3749.40539</v>
      </c>
      <c r="N34" s="9">
        <v>3902.252663</v>
      </c>
      <c r="O34" s="9">
        <v>3850.922688</v>
      </c>
      <c r="P34" s="9">
        <v>3864.081001</v>
      </c>
      <c r="Q34" s="9">
        <v>3966.464102</v>
      </c>
      <c r="R34" s="9">
        <v>3968.138343</v>
      </c>
      <c r="S34" s="9">
        <v>3856.287608</v>
      </c>
      <c r="T34" s="9">
        <v>3598.872938</v>
      </c>
      <c r="U34" s="9">
        <v>3409.257046</v>
      </c>
      <c r="V34" s="9">
        <v>3193.822775</v>
      </c>
      <c r="W34" s="9">
        <v>2909.013839</v>
      </c>
      <c r="X34" s="9">
        <v>2585.22871</v>
      </c>
      <c r="Y34" s="9">
        <v>2240.427692</v>
      </c>
      <c r="Z34" s="9">
        <v>2005.072964</v>
      </c>
      <c r="AA34" s="11">
        <f t="shared" si="1"/>
        <v>68983.09938</v>
      </c>
      <c r="AB34" s="11">
        <v>22.0</v>
      </c>
      <c r="AC34" s="11">
        <f t="shared" si="2"/>
        <v>1517628.186</v>
      </c>
      <c r="AD34" s="12">
        <f>SUM(AC34:AC36)</f>
        <v>1973348.622</v>
      </c>
    </row>
    <row r="35" ht="14.25" customHeight="1">
      <c r="A35" s="61">
        <v>48092.0</v>
      </c>
      <c r="B35" s="9" t="s">
        <v>35</v>
      </c>
      <c r="C35" s="9">
        <v>1944.42122</v>
      </c>
      <c r="D35" s="9">
        <v>1842.912902</v>
      </c>
      <c r="E35" s="9">
        <v>1786.312658</v>
      </c>
      <c r="F35" s="9">
        <v>1742.435707</v>
      </c>
      <c r="G35" s="9">
        <v>1750.84291</v>
      </c>
      <c r="H35" s="9">
        <v>1757.986244</v>
      </c>
      <c r="I35" s="9">
        <v>2013.872788</v>
      </c>
      <c r="J35" s="9">
        <v>2472.636506</v>
      </c>
      <c r="K35" s="9">
        <v>2908.449371</v>
      </c>
      <c r="L35" s="9">
        <v>3248.819029</v>
      </c>
      <c r="M35" s="9">
        <v>3461.218666</v>
      </c>
      <c r="N35" s="9">
        <v>3558.693026</v>
      </c>
      <c r="O35" s="9">
        <v>3458.85554</v>
      </c>
      <c r="P35" s="9">
        <v>3349.234037</v>
      </c>
      <c r="Q35" s="9">
        <v>3273.991256</v>
      </c>
      <c r="R35" s="9">
        <v>3255.744707</v>
      </c>
      <c r="S35" s="9">
        <v>3216.638361</v>
      </c>
      <c r="T35" s="9">
        <v>3155.856921</v>
      </c>
      <c r="U35" s="9">
        <v>3082.652154</v>
      </c>
      <c r="V35" s="9">
        <v>2921.267773</v>
      </c>
      <c r="W35" s="9">
        <v>2672.604126</v>
      </c>
      <c r="X35" s="9">
        <v>2393.004475</v>
      </c>
      <c r="Y35" s="9">
        <v>2094.301368</v>
      </c>
      <c r="Z35" s="9">
        <v>1879.889325</v>
      </c>
      <c r="AA35" s="11">
        <f t="shared" si="1"/>
        <v>63242.64107</v>
      </c>
      <c r="AB35" s="11">
        <v>4.0</v>
      </c>
      <c r="AC35" s="11">
        <f t="shared" si="2"/>
        <v>252970.5643</v>
      </c>
      <c r="AD35" s="13"/>
    </row>
    <row r="36" ht="14.25" customHeight="1">
      <c r="A36" s="61">
        <v>48092.0</v>
      </c>
      <c r="B36" s="9" t="s">
        <v>36</v>
      </c>
      <c r="C36" s="9">
        <v>1740.94595</v>
      </c>
      <c r="D36" s="9">
        <v>1654.478322</v>
      </c>
      <c r="E36" s="9">
        <v>1574.591597</v>
      </c>
      <c r="F36" s="9">
        <v>1534.002811</v>
      </c>
      <c r="G36" s="9">
        <v>1499.780014</v>
      </c>
      <c r="H36" s="9">
        <v>1470.355259</v>
      </c>
      <c r="I36" s="9">
        <v>1517.883898</v>
      </c>
      <c r="J36" s="9">
        <v>1696.730625</v>
      </c>
      <c r="K36" s="9">
        <v>1931.959482</v>
      </c>
      <c r="L36" s="9">
        <v>2259.074969</v>
      </c>
      <c r="M36" s="9">
        <v>2523.326648</v>
      </c>
      <c r="N36" s="9">
        <v>2672.915063</v>
      </c>
      <c r="O36" s="9">
        <v>2724.442451</v>
      </c>
      <c r="P36" s="9">
        <v>2736.875839</v>
      </c>
      <c r="Q36" s="9">
        <v>2717.970834</v>
      </c>
      <c r="R36" s="9">
        <v>2704.809029</v>
      </c>
      <c r="S36" s="9">
        <v>2640.818988</v>
      </c>
      <c r="T36" s="9">
        <v>2576.744354</v>
      </c>
      <c r="U36" s="9">
        <v>2540.87496</v>
      </c>
      <c r="V36" s="9">
        <v>2414.274435</v>
      </c>
      <c r="W36" s="9">
        <v>2209.339587</v>
      </c>
      <c r="X36" s="9">
        <v>1973.991385</v>
      </c>
      <c r="Y36" s="9">
        <v>1762.25935</v>
      </c>
      <c r="Z36" s="9">
        <v>1609.021991</v>
      </c>
      <c r="AA36" s="11">
        <f t="shared" si="1"/>
        <v>50687.46784</v>
      </c>
      <c r="AB36" s="11">
        <v>4.0</v>
      </c>
      <c r="AC36" s="11">
        <f t="shared" si="2"/>
        <v>202749.8714</v>
      </c>
      <c r="AD36" s="14"/>
    </row>
    <row r="37" ht="14.25" customHeight="1">
      <c r="A37" s="61">
        <v>48122.0</v>
      </c>
      <c r="B37" s="9" t="s">
        <v>34</v>
      </c>
      <c r="C37" s="9">
        <v>1789.42245</v>
      </c>
      <c r="D37" s="9">
        <v>1716.199226</v>
      </c>
      <c r="E37" s="9">
        <v>1675.242261</v>
      </c>
      <c r="F37" s="9">
        <v>1658.499934</v>
      </c>
      <c r="G37" s="9">
        <v>1684.074551</v>
      </c>
      <c r="H37" s="9">
        <v>1792.152715</v>
      </c>
      <c r="I37" s="9">
        <v>2168.520715</v>
      </c>
      <c r="J37" s="9">
        <v>2721.029537</v>
      </c>
      <c r="K37" s="9">
        <v>3183.272762</v>
      </c>
      <c r="L37" s="9">
        <v>3495.437472</v>
      </c>
      <c r="M37" s="9">
        <v>3749.40539</v>
      </c>
      <c r="N37" s="9">
        <v>3902.252663</v>
      </c>
      <c r="O37" s="9">
        <v>3850.922688</v>
      </c>
      <c r="P37" s="9">
        <v>3864.081001</v>
      </c>
      <c r="Q37" s="9">
        <v>3966.464102</v>
      </c>
      <c r="R37" s="9">
        <v>3968.138343</v>
      </c>
      <c r="S37" s="9">
        <v>3856.287608</v>
      </c>
      <c r="T37" s="9">
        <v>3598.872938</v>
      </c>
      <c r="U37" s="9">
        <v>3409.257046</v>
      </c>
      <c r="V37" s="9">
        <v>3193.822775</v>
      </c>
      <c r="W37" s="9">
        <v>2909.013839</v>
      </c>
      <c r="X37" s="9">
        <v>2585.22871</v>
      </c>
      <c r="Y37" s="9">
        <v>2240.427692</v>
      </c>
      <c r="Z37" s="9">
        <v>2005.072964</v>
      </c>
      <c r="AA37" s="11">
        <f t="shared" si="1"/>
        <v>68983.09938</v>
      </c>
      <c r="AB37" s="11">
        <v>22.0</v>
      </c>
      <c r="AC37" s="11">
        <f t="shared" si="2"/>
        <v>1517628.186</v>
      </c>
      <c r="AD37" s="12">
        <f>SUM(AC37:AC39)</f>
        <v>2024036.09</v>
      </c>
    </row>
    <row r="38" ht="14.25" customHeight="1">
      <c r="A38" s="61">
        <v>48122.0</v>
      </c>
      <c r="B38" s="9" t="s">
        <v>35</v>
      </c>
      <c r="C38" s="9">
        <v>1944.42122</v>
      </c>
      <c r="D38" s="9">
        <v>1842.912902</v>
      </c>
      <c r="E38" s="9">
        <v>1786.312658</v>
      </c>
      <c r="F38" s="9">
        <v>1742.435707</v>
      </c>
      <c r="G38" s="9">
        <v>1750.84291</v>
      </c>
      <c r="H38" s="9">
        <v>1757.986244</v>
      </c>
      <c r="I38" s="9">
        <v>2013.872788</v>
      </c>
      <c r="J38" s="9">
        <v>2472.636506</v>
      </c>
      <c r="K38" s="9">
        <v>2908.449371</v>
      </c>
      <c r="L38" s="9">
        <v>3248.819029</v>
      </c>
      <c r="M38" s="9">
        <v>3461.218666</v>
      </c>
      <c r="N38" s="9">
        <v>3558.693026</v>
      </c>
      <c r="O38" s="9">
        <v>3458.85554</v>
      </c>
      <c r="P38" s="9">
        <v>3349.234037</v>
      </c>
      <c r="Q38" s="9">
        <v>3273.991256</v>
      </c>
      <c r="R38" s="9">
        <v>3255.744707</v>
      </c>
      <c r="S38" s="9">
        <v>3216.638361</v>
      </c>
      <c r="T38" s="9">
        <v>3155.856921</v>
      </c>
      <c r="U38" s="9">
        <v>3082.652154</v>
      </c>
      <c r="V38" s="9">
        <v>2921.267773</v>
      </c>
      <c r="W38" s="9">
        <v>2672.604126</v>
      </c>
      <c r="X38" s="9">
        <v>2393.004475</v>
      </c>
      <c r="Y38" s="9">
        <v>2094.301368</v>
      </c>
      <c r="Z38" s="9">
        <v>1879.889325</v>
      </c>
      <c r="AA38" s="11">
        <f t="shared" si="1"/>
        <v>63242.64107</v>
      </c>
      <c r="AB38" s="11">
        <v>4.0</v>
      </c>
      <c r="AC38" s="11">
        <f t="shared" si="2"/>
        <v>252970.5643</v>
      </c>
      <c r="AD38" s="13"/>
    </row>
    <row r="39" ht="14.25" customHeight="1">
      <c r="A39" s="61">
        <v>48122.0</v>
      </c>
      <c r="B39" s="9" t="s">
        <v>36</v>
      </c>
      <c r="C39" s="9">
        <v>1740.94595</v>
      </c>
      <c r="D39" s="9">
        <v>1654.478322</v>
      </c>
      <c r="E39" s="9">
        <v>1574.591597</v>
      </c>
      <c r="F39" s="9">
        <v>1534.002811</v>
      </c>
      <c r="G39" s="9">
        <v>1499.780014</v>
      </c>
      <c r="H39" s="9">
        <v>1470.355259</v>
      </c>
      <c r="I39" s="9">
        <v>1517.883898</v>
      </c>
      <c r="J39" s="9">
        <v>1696.730625</v>
      </c>
      <c r="K39" s="9">
        <v>1931.959482</v>
      </c>
      <c r="L39" s="9">
        <v>2259.074969</v>
      </c>
      <c r="M39" s="9">
        <v>2523.326648</v>
      </c>
      <c r="N39" s="9">
        <v>2672.915063</v>
      </c>
      <c r="O39" s="9">
        <v>2724.442451</v>
      </c>
      <c r="P39" s="9">
        <v>2736.875839</v>
      </c>
      <c r="Q39" s="9">
        <v>2717.970834</v>
      </c>
      <c r="R39" s="9">
        <v>2704.809029</v>
      </c>
      <c r="S39" s="9">
        <v>2640.818988</v>
      </c>
      <c r="T39" s="9">
        <v>2576.744354</v>
      </c>
      <c r="U39" s="9">
        <v>2540.87496</v>
      </c>
      <c r="V39" s="9">
        <v>2414.274435</v>
      </c>
      <c r="W39" s="9">
        <v>2209.339587</v>
      </c>
      <c r="X39" s="9">
        <v>1973.991385</v>
      </c>
      <c r="Y39" s="9">
        <v>1762.25935</v>
      </c>
      <c r="Z39" s="9">
        <v>1609.021991</v>
      </c>
      <c r="AA39" s="11">
        <f t="shared" si="1"/>
        <v>50687.46784</v>
      </c>
      <c r="AB39" s="11">
        <v>5.0</v>
      </c>
      <c r="AC39" s="11">
        <f t="shared" si="2"/>
        <v>253437.3392</v>
      </c>
      <c r="AD39" s="14"/>
    </row>
    <row r="40" ht="14.25" customHeight="1">
      <c r="A40" s="61">
        <v>48153.0</v>
      </c>
      <c r="B40" s="9" t="s">
        <v>34</v>
      </c>
      <c r="C40" s="9">
        <v>1789.42245</v>
      </c>
      <c r="D40" s="9">
        <v>1716.199226</v>
      </c>
      <c r="E40" s="9">
        <v>1675.242261</v>
      </c>
      <c r="F40" s="9">
        <v>1658.499934</v>
      </c>
      <c r="G40" s="9">
        <v>1684.074551</v>
      </c>
      <c r="H40" s="9">
        <v>1792.152715</v>
      </c>
      <c r="I40" s="9">
        <v>2168.520715</v>
      </c>
      <c r="J40" s="9">
        <v>2721.029537</v>
      </c>
      <c r="K40" s="9">
        <v>3183.272762</v>
      </c>
      <c r="L40" s="9">
        <v>3495.437472</v>
      </c>
      <c r="M40" s="9">
        <v>3749.40539</v>
      </c>
      <c r="N40" s="9">
        <v>3902.252663</v>
      </c>
      <c r="O40" s="9">
        <v>3850.922688</v>
      </c>
      <c r="P40" s="9">
        <v>3864.081001</v>
      </c>
      <c r="Q40" s="9">
        <v>3966.464102</v>
      </c>
      <c r="R40" s="9">
        <v>3968.138343</v>
      </c>
      <c r="S40" s="9">
        <v>3856.287608</v>
      </c>
      <c r="T40" s="9">
        <v>3598.872938</v>
      </c>
      <c r="U40" s="9">
        <v>3409.257046</v>
      </c>
      <c r="V40" s="9">
        <v>3193.822775</v>
      </c>
      <c r="W40" s="9">
        <v>2909.013839</v>
      </c>
      <c r="X40" s="9">
        <v>2585.22871</v>
      </c>
      <c r="Y40" s="9">
        <v>2240.427692</v>
      </c>
      <c r="Z40" s="9">
        <v>2005.072964</v>
      </c>
      <c r="AA40" s="11">
        <f t="shared" si="1"/>
        <v>68983.09938</v>
      </c>
      <c r="AB40" s="11">
        <v>18.0</v>
      </c>
      <c r="AC40" s="11">
        <f t="shared" si="2"/>
        <v>1241695.789</v>
      </c>
      <c r="AD40" s="12">
        <f>SUM(AC40:AC42)</f>
        <v>1912721.269</v>
      </c>
    </row>
    <row r="41" ht="14.25" customHeight="1">
      <c r="A41" s="61">
        <v>48153.0</v>
      </c>
      <c r="B41" s="9" t="s">
        <v>35</v>
      </c>
      <c r="C41" s="9">
        <v>1944.42122</v>
      </c>
      <c r="D41" s="9">
        <v>1842.912902</v>
      </c>
      <c r="E41" s="9">
        <v>1786.312658</v>
      </c>
      <c r="F41" s="9">
        <v>1742.435707</v>
      </c>
      <c r="G41" s="9">
        <v>1750.84291</v>
      </c>
      <c r="H41" s="9">
        <v>1757.986244</v>
      </c>
      <c r="I41" s="9">
        <v>2013.872788</v>
      </c>
      <c r="J41" s="9">
        <v>2472.636506</v>
      </c>
      <c r="K41" s="9">
        <v>2908.449371</v>
      </c>
      <c r="L41" s="9">
        <v>3248.819029</v>
      </c>
      <c r="M41" s="9">
        <v>3461.218666</v>
      </c>
      <c r="N41" s="9">
        <v>3558.693026</v>
      </c>
      <c r="O41" s="9">
        <v>3458.85554</v>
      </c>
      <c r="P41" s="9">
        <v>3349.234037</v>
      </c>
      <c r="Q41" s="9">
        <v>3273.991256</v>
      </c>
      <c r="R41" s="9">
        <v>3255.744707</v>
      </c>
      <c r="S41" s="9">
        <v>3216.638361</v>
      </c>
      <c r="T41" s="9">
        <v>3155.856921</v>
      </c>
      <c r="U41" s="9">
        <v>3082.652154</v>
      </c>
      <c r="V41" s="9">
        <v>2921.267773</v>
      </c>
      <c r="W41" s="9">
        <v>2672.604126</v>
      </c>
      <c r="X41" s="9">
        <v>2393.004475</v>
      </c>
      <c r="Y41" s="9">
        <v>2094.301368</v>
      </c>
      <c r="Z41" s="9">
        <v>1879.889325</v>
      </c>
      <c r="AA41" s="11">
        <f t="shared" si="1"/>
        <v>63242.64107</v>
      </c>
      <c r="AB41" s="11">
        <v>5.0</v>
      </c>
      <c r="AC41" s="11">
        <f t="shared" si="2"/>
        <v>316213.2054</v>
      </c>
      <c r="AD41" s="13"/>
    </row>
    <row r="42" ht="14.25" customHeight="1">
      <c r="A42" s="61">
        <v>48153.0</v>
      </c>
      <c r="B42" s="9" t="s">
        <v>36</v>
      </c>
      <c r="C42" s="9">
        <v>1740.94595</v>
      </c>
      <c r="D42" s="9">
        <v>1654.478322</v>
      </c>
      <c r="E42" s="9">
        <v>1574.591597</v>
      </c>
      <c r="F42" s="9">
        <v>1534.002811</v>
      </c>
      <c r="G42" s="9">
        <v>1499.780014</v>
      </c>
      <c r="H42" s="9">
        <v>1470.355259</v>
      </c>
      <c r="I42" s="9">
        <v>1517.883898</v>
      </c>
      <c r="J42" s="9">
        <v>1696.730625</v>
      </c>
      <c r="K42" s="9">
        <v>1931.959482</v>
      </c>
      <c r="L42" s="9">
        <v>2259.074969</v>
      </c>
      <c r="M42" s="9">
        <v>2523.326648</v>
      </c>
      <c r="N42" s="9">
        <v>2672.915063</v>
      </c>
      <c r="O42" s="9">
        <v>2724.442451</v>
      </c>
      <c r="P42" s="9">
        <v>2736.875839</v>
      </c>
      <c r="Q42" s="9">
        <v>2717.970834</v>
      </c>
      <c r="R42" s="9">
        <v>2704.809029</v>
      </c>
      <c r="S42" s="9">
        <v>2640.818988</v>
      </c>
      <c r="T42" s="9">
        <v>2576.744354</v>
      </c>
      <c r="U42" s="9">
        <v>2540.87496</v>
      </c>
      <c r="V42" s="9">
        <v>2414.274435</v>
      </c>
      <c r="W42" s="9">
        <v>2209.339587</v>
      </c>
      <c r="X42" s="9">
        <v>1973.991385</v>
      </c>
      <c r="Y42" s="9">
        <v>1762.25935</v>
      </c>
      <c r="Z42" s="9">
        <v>1609.021991</v>
      </c>
      <c r="AA42" s="11">
        <f t="shared" si="1"/>
        <v>50687.46784</v>
      </c>
      <c r="AB42" s="11">
        <v>7.0</v>
      </c>
      <c r="AC42" s="11">
        <f t="shared" si="2"/>
        <v>354812.2749</v>
      </c>
      <c r="AD42" s="14"/>
    </row>
    <row r="43" ht="14.25" customHeight="1">
      <c r="A43" s="61">
        <v>48183.0</v>
      </c>
      <c r="B43" s="9" t="s">
        <v>34</v>
      </c>
      <c r="C43" s="9">
        <v>1789.42245</v>
      </c>
      <c r="D43" s="9">
        <v>1716.199226</v>
      </c>
      <c r="E43" s="9">
        <v>1675.242261</v>
      </c>
      <c r="F43" s="9">
        <v>1658.499934</v>
      </c>
      <c r="G43" s="9">
        <v>1684.074551</v>
      </c>
      <c r="H43" s="9">
        <v>1792.152715</v>
      </c>
      <c r="I43" s="9">
        <v>2168.520715</v>
      </c>
      <c r="J43" s="9">
        <v>2721.029537</v>
      </c>
      <c r="K43" s="9">
        <v>3183.272762</v>
      </c>
      <c r="L43" s="9">
        <v>3495.437472</v>
      </c>
      <c r="M43" s="9">
        <v>3749.40539</v>
      </c>
      <c r="N43" s="9">
        <v>3902.252663</v>
      </c>
      <c r="O43" s="9">
        <v>3850.922688</v>
      </c>
      <c r="P43" s="9">
        <v>3864.081001</v>
      </c>
      <c r="Q43" s="9">
        <v>3966.464102</v>
      </c>
      <c r="R43" s="9">
        <v>3968.138343</v>
      </c>
      <c r="S43" s="9">
        <v>3856.287608</v>
      </c>
      <c r="T43" s="9">
        <v>3598.872938</v>
      </c>
      <c r="U43" s="9">
        <v>3409.257046</v>
      </c>
      <c r="V43" s="9">
        <v>3193.822775</v>
      </c>
      <c r="W43" s="9">
        <v>2909.013839</v>
      </c>
      <c r="X43" s="9">
        <v>2585.22871</v>
      </c>
      <c r="Y43" s="9">
        <v>2240.427692</v>
      </c>
      <c r="Z43" s="9">
        <v>2005.072964</v>
      </c>
      <c r="AA43" s="11">
        <f t="shared" si="1"/>
        <v>68983.09938</v>
      </c>
      <c r="AB43" s="11">
        <v>21.0</v>
      </c>
      <c r="AC43" s="11">
        <f t="shared" si="2"/>
        <v>1448645.087</v>
      </c>
      <c r="AD43" s="12">
        <f>SUM(AC43:AC45)</f>
        <v>2005740.458</v>
      </c>
    </row>
    <row r="44" ht="14.25" customHeight="1">
      <c r="A44" s="61">
        <v>48183.0</v>
      </c>
      <c r="B44" s="9" t="s">
        <v>35</v>
      </c>
      <c r="C44" s="9">
        <v>1944.42122</v>
      </c>
      <c r="D44" s="9">
        <v>1842.912902</v>
      </c>
      <c r="E44" s="9">
        <v>1786.312658</v>
      </c>
      <c r="F44" s="9">
        <v>1742.435707</v>
      </c>
      <c r="G44" s="9">
        <v>1750.84291</v>
      </c>
      <c r="H44" s="9">
        <v>1757.986244</v>
      </c>
      <c r="I44" s="9">
        <v>2013.872788</v>
      </c>
      <c r="J44" s="9">
        <v>2472.636506</v>
      </c>
      <c r="K44" s="9">
        <v>2908.449371</v>
      </c>
      <c r="L44" s="9">
        <v>3248.819029</v>
      </c>
      <c r="M44" s="9">
        <v>3461.218666</v>
      </c>
      <c r="N44" s="9">
        <v>3558.693026</v>
      </c>
      <c r="O44" s="9">
        <v>3458.85554</v>
      </c>
      <c r="P44" s="9">
        <v>3349.234037</v>
      </c>
      <c r="Q44" s="9">
        <v>3273.991256</v>
      </c>
      <c r="R44" s="9">
        <v>3255.744707</v>
      </c>
      <c r="S44" s="9">
        <v>3216.638361</v>
      </c>
      <c r="T44" s="9">
        <v>3155.856921</v>
      </c>
      <c r="U44" s="9">
        <v>3082.652154</v>
      </c>
      <c r="V44" s="9">
        <v>2921.267773</v>
      </c>
      <c r="W44" s="9">
        <v>2672.604126</v>
      </c>
      <c r="X44" s="9">
        <v>2393.004475</v>
      </c>
      <c r="Y44" s="9">
        <v>2094.301368</v>
      </c>
      <c r="Z44" s="9">
        <v>1879.889325</v>
      </c>
      <c r="AA44" s="11">
        <f t="shared" si="1"/>
        <v>63242.64107</v>
      </c>
      <c r="AB44" s="11">
        <v>4.0</v>
      </c>
      <c r="AC44" s="11">
        <f t="shared" si="2"/>
        <v>252970.5643</v>
      </c>
      <c r="AD44" s="13"/>
    </row>
    <row r="45" ht="14.25" customHeight="1">
      <c r="A45" s="61">
        <v>48183.0</v>
      </c>
      <c r="B45" s="9" t="s">
        <v>36</v>
      </c>
      <c r="C45" s="9">
        <v>1740.94595</v>
      </c>
      <c r="D45" s="9">
        <v>1654.478322</v>
      </c>
      <c r="E45" s="9">
        <v>1574.591597</v>
      </c>
      <c r="F45" s="9">
        <v>1534.002811</v>
      </c>
      <c r="G45" s="9">
        <v>1499.780014</v>
      </c>
      <c r="H45" s="9">
        <v>1470.355259</v>
      </c>
      <c r="I45" s="9">
        <v>1517.883898</v>
      </c>
      <c r="J45" s="9">
        <v>1696.730625</v>
      </c>
      <c r="K45" s="9">
        <v>1931.959482</v>
      </c>
      <c r="L45" s="9">
        <v>2259.074969</v>
      </c>
      <c r="M45" s="9">
        <v>2523.326648</v>
      </c>
      <c r="N45" s="9">
        <v>2672.915063</v>
      </c>
      <c r="O45" s="9">
        <v>2724.442451</v>
      </c>
      <c r="P45" s="9">
        <v>2736.875839</v>
      </c>
      <c r="Q45" s="9">
        <v>2717.970834</v>
      </c>
      <c r="R45" s="9">
        <v>2704.809029</v>
      </c>
      <c r="S45" s="9">
        <v>2640.818988</v>
      </c>
      <c r="T45" s="9">
        <v>2576.744354</v>
      </c>
      <c r="U45" s="9">
        <v>2540.87496</v>
      </c>
      <c r="V45" s="9">
        <v>2414.274435</v>
      </c>
      <c r="W45" s="9">
        <v>2209.339587</v>
      </c>
      <c r="X45" s="9">
        <v>1973.991385</v>
      </c>
      <c r="Y45" s="9">
        <v>1762.25935</v>
      </c>
      <c r="Z45" s="9">
        <v>1609.021991</v>
      </c>
      <c r="AA45" s="11">
        <f t="shared" si="1"/>
        <v>50687.46784</v>
      </c>
      <c r="AB45" s="11">
        <v>6.0</v>
      </c>
      <c r="AC45" s="11">
        <f t="shared" si="2"/>
        <v>304124.807</v>
      </c>
      <c r="AD45" s="14"/>
    </row>
    <row r="46" ht="14.25" customHeight="1">
      <c r="AB46" s="15" t="s">
        <v>32</v>
      </c>
      <c r="AC46" s="11">
        <f t="shared" ref="AC46:AD46" si="3">SUM(AC10:AC45)</f>
        <v>23617928.87</v>
      </c>
      <c r="AD46" s="11">
        <f t="shared" si="3"/>
        <v>23617928.87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6" t="s">
        <v>3</v>
      </c>
    </row>
    <row r="5" ht="14.25" customHeight="1">
      <c r="A5" s="17"/>
      <c r="B5" s="16" t="s">
        <v>66</v>
      </c>
    </row>
    <row r="6" ht="14.25" customHeight="1">
      <c r="A6" s="17"/>
      <c r="B6" s="18" t="s">
        <v>38</v>
      </c>
    </row>
    <row r="7" ht="14.25" customHeight="1">
      <c r="A7" s="17"/>
      <c r="B7" s="19" t="s">
        <v>39</v>
      </c>
    </row>
    <row r="8" ht="14.25" customHeight="1">
      <c r="A8" s="17"/>
      <c r="B8" s="20" t="s">
        <v>40</v>
      </c>
    </row>
    <row r="9" ht="14.25" customHeight="1">
      <c r="A9" s="17"/>
      <c r="B9" s="19"/>
      <c r="C9" s="19"/>
      <c r="D9" s="19"/>
      <c r="E9" s="19"/>
    </row>
    <row r="10" ht="14.25" customHeight="1">
      <c r="A10" s="17"/>
      <c r="B10" s="21" t="s">
        <v>41</v>
      </c>
      <c r="C10" s="22"/>
      <c r="D10" s="22"/>
      <c r="E10" s="22"/>
      <c r="F10" s="23"/>
    </row>
    <row r="11">
      <c r="A11" s="17"/>
      <c r="B11" s="24" t="s">
        <v>4</v>
      </c>
      <c r="C11" s="25" t="s">
        <v>42</v>
      </c>
      <c r="D11" s="51" t="s">
        <v>43</v>
      </c>
      <c r="E11" s="26" t="s">
        <v>44</v>
      </c>
      <c r="F11" s="52" t="s">
        <v>45</v>
      </c>
    </row>
    <row r="12" ht="14.25" customHeight="1">
      <c r="A12" s="17"/>
      <c r="B12" s="62">
        <v>47849.0</v>
      </c>
      <c r="C12" s="63">
        <f>'Cant. Requeridas Producto 5'!AD10</f>
        <v>2005740.458</v>
      </c>
      <c r="D12" s="64"/>
      <c r="E12" s="31">
        <f t="shared" ref="E12:E23" si="1">C12*$D$12</f>
        <v>0</v>
      </c>
      <c r="F12" s="65"/>
    </row>
    <row r="13" ht="14.25" customHeight="1">
      <c r="A13" s="17"/>
      <c r="B13" s="28">
        <v>47880.0</v>
      </c>
      <c r="C13" s="36">
        <f>'Cant. Requeridas Producto 5'!AD13</f>
        <v>1835382.423</v>
      </c>
      <c r="D13" s="66"/>
      <c r="E13" s="34">
        <f t="shared" si="1"/>
        <v>0</v>
      </c>
      <c r="F13" s="67"/>
    </row>
    <row r="14" ht="14.25" customHeight="1">
      <c r="A14" s="17"/>
      <c r="B14" s="28">
        <v>47908.0</v>
      </c>
      <c r="C14" s="36">
        <f>'Cant. Requeridas Producto 5'!AD16</f>
        <v>2000000</v>
      </c>
      <c r="D14" s="66"/>
      <c r="E14" s="34">
        <f t="shared" si="1"/>
        <v>0</v>
      </c>
      <c r="F14" s="67"/>
    </row>
    <row r="15" ht="14.25" customHeight="1">
      <c r="A15" s="17"/>
      <c r="B15" s="28">
        <v>47939.0</v>
      </c>
      <c r="C15" s="36">
        <f>'Cant. Requeridas Producto 5'!AD19</f>
        <v>1936757.359</v>
      </c>
      <c r="D15" s="66"/>
      <c r="E15" s="34">
        <f t="shared" si="1"/>
        <v>0</v>
      </c>
      <c r="F15" s="67"/>
    </row>
    <row r="16" ht="14.25" customHeight="1">
      <c r="A16" s="17"/>
      <c r="B16" s="28">
        <v>47969.0</v>
      </c>
      <c r="C16" s="36">
        <f>'Cant. Requeridas Producto 5'!AD22</f>
        <v>2000000</v>
      </c>
      <c r="D16" s="66"/>
      <c r="E16" s="34">
        <f t="shared" si="1"/>
        <v>0</v>
      </c>
      <c r="F16" s="67"/>
    </row>
    <row r="17" ht="14.25" customHeight="1">
      <c r="A17" s="17"/>
      <c r="B17" s="28">
        <v>48000.0</v>
      </c>
      <c r="C17" s="36">
        <f>'Cant. Requeridas Producto 5'!AD25</f>
        <v>1900166.096</v>
      </c>
      <c r="D17" s="66"/>
      <c r="E17" s="34">
        <f t="shared" si="1"/>
        <v>0</v>
      </c>
      <c r="F17" s="67"/>
    </row>
    <row r="18" ht="14.25" customHeight="1">
      <c r="A18" s="17"/>
      <c r="B18" s="28">
        <v>48030.0</v>
      </c>
      <c r="C18" s="36">
        <f>'Cant. Requeridas Producto 5'!AD28</f>
        <v>2042331.721</v>
      </c>
      <c r="D18" s="66"/>
      <c r="E18" s="34">
        <f t="shared" si="1"/>
        <v>0</v>
      </c>
      <c r="F18" s="67"/>
    </row>
    <row r="19" ht="14.25" customHeight="1">
      <c r="A19" s="17"/>
      <c r="B19" s="28">
        <v>48061.0</v>
      </c>
      <c r="C19" s="36">
        <f>'Cant. Requeridas Producto 5'!AD31</f>
        <v>1981704.368</v>
      </c>
      <c r="D19" s="66"/>
      <c r="E19" s="34">
        <f t="shared" si="1"/>
        <v>0</v>
      </c>
      <c r="F19" s="67"/>
    </row>
    <row r="20" ht="14.25" customHeight="1">
      <c r="A20" s="17"/>
      <c r="B20" s="28">
        <v>48092.0</v>
      </c>
      <c r="C20" s="36">
        <f>'Cant. Requeridas Producto 5'!AD34</f>
        <v>1973348.622</v>
      </c>
      <c r="D20" s="66"/>
      <c r="E20" s="34">
        <f t="shared" si="1"/>
        <v>0</v>
      </c>
      <c r="F20" s="67"/>
    </row>
    <row r="21" ht="14.25" customHeight="1">
      <c r="A21" s="17"/>
      <c r="B21" s="28">
        <v>48122.0</v>
      </c>
      <c r="C21" s="36">
        <f>'Cant. Requeridas Producto 5'!AD37</f>
        <v>2024036.09</v>
      </c>
      <c r="D21" s="66"/>
      <c r="E21" s="34">
        <f t="shared" si="1"/>
        <v>0</v>
      </c>
      <c r="F21" s="67"/>
    </row>
    <row r="22" ht="14.25" customHeight="1">
      <c r="A22" s="17"/>
      <c r="B22" s="28">
        <v>48153.0</v>
      </c>
      <c r="C22" s="36">
        <f>'Cant. Requeridas Producto 5'!AD40</f>
        <v>1912721.269</v>
      </c>
      <c r="D22" s="66"/>
      <c r="E22" s="34">
        <f t="shared" si="1"/>
        <v>0</v>
      </c>
      <c r="F22" s="67"/>
    </row>
    <row r="23" ht="14.25" customHeight="1">
      <c r="A23" s="17"/>
      <c r="B23" s="68">
        <v>48183.0</v>
      </c>
      <c r="C23" s="69">
        <f>'Cant. Requeridas Producto 5'!AD43</f>
        <v>2005740.458</v>
      </c>
      <c r="D23" s="70"/>
      <c r="E23" s="38">
        <f t="shared" si="1"/>
        <v>0</v>
      </c>
      <c r="F23" s="71"/>
    </row>
    <row r="24" ht="14.25" customHeight="1">
      <c r="A24" s="17"/>
      <c r="B24" s="40" t="s">
        <v>32</v>
      </c>
      <c r="C24" s="41">
        <f>SUM(C12:C23)</f>
        <v>23617928.87</v>
      </c>
      <c r="D24" s="55"/>
      <c r="E24" s="41">
        <f>SUM(E12:E23)</f>
        <v>0</v>
      </c>
      <c r="F24" s="55"/>
    </row>
    <row r="25" ht="14.25" customHeight="1">
      <c r="A25" s="17"/>
      <c r="B25" s="19"/>
      <c r="C25" s="44"/>
      <c r="D25" s="19"/>
      <c r="E25" s="19"/>
    </row>
    <row r="26" ht="14.25" customHeight="1">
      <c r="C26" s="45"/>
    </row>
    <row r="27" ht="30.0" customHeight="1">
      <c r="B27" s="46" t="s">
        <v>46</v>
      </c>
      <c r="E27" s="47"/>
    </row>
    <row r="28" ht="35.25" customHeight="1">
      <c r="B28" s="46" t="s">
        <v>67</v>
      </c>
      <c r="F28" s="46"/>
      <c r="I28" s="46"/>
    </row>
    <row r="29" ht="30.75" customHeight="1">
      <c r="B29" s="46" t="s">
        <v>59</v>
      </c>
      <c r="F29" s="46"/>
      <c r="I29" s="46"/>
    </row>
    <row r="30" ht="33.75" customHeight="1">
      <c r="B30" s="48"/>
      <c r="F30" s="48"/>
    </row>
    <row r="31" ht="30.75" customHeight="1">
      <c r="F31" s="72"/>
    </row>
    <row r="32" ht="14.25" customHeight="1"/>
    <row r="33" ht="14.25" customHeight="1">
      <c r="B33" s="49"/>
      <c r="C33" s="49"/>
    </row>
    <row r="34" ht="14.25" customHeight="1">
      <c r="B34" s="5" t="s">
        <v>49</v>
      </c>
    </row>
    <row r="35" ht="14.25" customHeight="1">
      <c r="B35" s="5" t="s">
        <v>50</v>
      </c>
    </row>
    <row r="36" ht="14.25" customHeight="1">
      <c r="B36" s="5"/>
    </row>
    <row r="37" ht="14.25" customHeight="1">
      <c r="B37" s="5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2" t="s">
        <v>68</v>
      </c>
      <c r="AD2" s="1"/>
    </row>
    <row r="3" ht="14.25" customHeight="1">
      <c r="A3" s="1" t="s">
        <v>69</v>
      </c>
      <c r="AD3" s="1"/>
    </row>
    <row r="4" ht="14.25" customHeight="1">
      <c r="A4" s="2" t="s">
        <v>3</v>
      </c>
      <c r="AD4" s="1"/>
    </row>
    <row r="5" ht="14.25" customHeight="1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  <c r="AA5" s="5"/>
      <c r="AB5" s="5"/>
    </row>
    <row r="6" ht="14.25" customHeight="1">
      <c r="A6" s="3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5"/>
      <c r="X6" s="5"/>
      <c r="Y6" s="5"/>
      <c r="Z6" s="5"/>
      <c r="AA6" s="5"/>
      <c r="AB6" s="5"/>
    </row>
    <row r="7" ht="14.25" customHeight="1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4.25" customHeight="1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</row>
    <row r="10" ht="14.25" customHeight="1">
      <c r="A10" s="8">
        <v>48214.0</v>
      </c>
      <c r="B10" s="9" t="s">
        <v>34</v>
      </c>
      <c r="C10" s="9">
        <v>1789.42245</v>
      </c>
      <c r="D10" s="9">
        <v>1716.199226</v>
      </c>
      <c r="E10" s="9">
        <v>1675.242261</v>
      </c>
      <c r="F10" s="9">
        <v>1658.499934</v>
      </c>
      <c r="G10" s="9">
        <v>1684.074551</v>
      </c>
      <c r="H10" s="9">
        <v>1792.152715</v>
      </c>
      <c r="I10" s="9">
        <v>2168.520715</v>
      </c>
      <c r="J10" s="9">
        <v>2721.029537</v>
      </c>
      <c r="K10" s="9">
        <v>3183.272762</v>
      </c>
      <c r="L10" s="9">
        <v>3495.437472</v>
      </c>
      <c r="M10" s="9">
        <v>3749.40539</v>
      </c>
      <c r="N10" s="9">
        <v>3902.252663</v>
      </c>
      <c r="O10" s="9">
        <v>3850.922688</v>
      </c>
      <c r="P10" s="9">
        <v>3864.081001</v>
      </c>
      <c r="Q10" s="9">
        <v>3966.464102</v>
      </c>
      <c r="R10" s="9">
        <v>3968.138343</v>
      </c>
      <c r="S10" s="9">
        <v>3856.287608</v>
      </c>
      <c r="T10" s="9">
        <v>3598.872938</v>
      </c>
      <c r="U10" s="9">
        <v>3409.257046</v>
      </c>
      <c r="V10" s="9">
        <v>3193.822775</v>
      </c>
      <c r="W10" s="9">
        <v>2909.013839</v>
      </c>
      <c r="X10" s="9">
        <v>2585.22871</v>
      </c>
      <c r="Y10" s="9">
        <v>2240.427692</v>
      </c>
      <c r="Z10" s="9">
        <v>2005.072964</v>
      </c>
      <c r="AA10" s="11">
        <f t="shared" ref="AA10:AA45" si="1">SUM(C10:Z10)</f>
        <v>68983.09938</v>
      </c>
      <c r="AB10" s="11">
        <v>20.0</v>
      </c>
      <c r="AC10" s="11">
        <f t="shared" ref="AC10:AC45" si="2">AA10*AB10</f>
        <v>1379661.988</v>
      </c>
      <c r="AD10" s="12">
        <f>SUM(AC10:AC12)</f>
        <v>2000000</v>
      </c>
    </row>
    <row r="11" ht="14.25" customHeight="1">
      <c r="A11" s="8">
        <v>48214.0</v>
      </c>
      <c r="B11" s="9" t="s">
        <v>35</v>
      </c>
      <c r="C11" s="9">
        <v>1944.42122</v>
      </c>
      <c r="D11" s="9">
        <v>1842.912902</v>
      </c>
      <c r="E11" s="9">
        <v>1786.312658</v>
      </c>
      <c r="F11" s="9">
        <v>1742.435707</v>
      </c>
      <c r="G11" s="9">
        <v>1750.84291</v>
      </c>
      <c r="H11" s="9">
        <v>1757.986244</v>
      </c>
      <c r="I11" s="9">
        <v>2013.872788</v>
      </c>
      <c r="J11" s="9">
        <v>2472.636506</v>
      </c>
      <c r="K11" s="9">
        <v>2908.449371</v>
      </c>
      <c r="L11" s="9">
        <v>3248.819029</v>
      </c>
      <c r="M11" s="9">
        <v>3461.218666</v>
      </c>
      <c r="N11" s="9">
        <v>3558.693026</v>
      </c>
      <c r="O11" s="9">
        <v>3458.85554</v>
      </c>
      <c r="P11" s="9">
        <v>3349.234037</v>
      </c>
      <c r="Q11" s="9">
        <v>3273.991256</v>
      </c>
      <c r="R11" s="9">
        <v>3255.744707</v>
      </c>
      <c r="S11" s="9">
        <v>3216.638361</v>
      </c>
      <c r="T11" s="9">
        <v>3155.856921</v>
      </c>
      <c r="U11" s="9">
        <v>3082.652154</v>
      </c>
      <c r="V11" s="9">
        <v>2921.267773</v>
      </c>
      <c r="W11" s="9">
        <v>2672.604126</v>
      </c>
      <c r="X11" s="9">
        <v>2393.004475</v>
      </c>
      <c r="Y11" s="9">
        <v>2094.301368</v>
      </c>
      <c r="Z11" s="9">
        <v>1879.889325</v>
      </c>
      <c r="AA11" s="11">
        <f t="shared" si="1"/>
        <v>63242.64107</v>
      </c>
      <c r="AB11" s="11">
        <v>5.0</v>
      </c>
      <c r="AC11" s="11">
        <f t="shared" si="2"/>
        <v>316213.2054</v>
      </c>
      <c r="AD11" s="13"/>
    </row>
    <row r="12" ht="14.25" customHeight="1">
      <c r="A12" s="8">
        <v>48214.0</v>
      </c>
      <c r="B12" s="9" t="s">
        <v>36</v>
      </c>
      <c r="C12" s="9">
        <v>1740.94595</v>
      </c>
      <c r="D12" s="9">
        <v>1654.478322</v>
      </c>
      <c r="E12" s="9">
        <v>1574.591597</v>
      </c>
      <c r="F12" s="9">
        <v>1534.002811</v>
      </c>
      <c r="G12" s="9">
        <v>1499.780014</v>
      </c>
      <c r="H12" s="9">
        <v>1470.355259</v>
      </c>
      <c r="I12" s="9">
        <v>1517.883898</v>
      </c>
      <c r="J12" s="9">
        <v>1696.730625</v>
      </c>
      <c r="K12" s="9">
        <v>1931.959482</v>
      </c>
      <c r="L12" s="9">
        <v>2259.074969</v>
      </c>
      <c r="M12" s="9">
        <v>2523.326648</v>
      </c>
      <c r="N12" s="9">
        <v>2672.915063</v>
      </c>
      <c r="O12" s="9">
        <v>2724.442451</v>
      </c>
      <c r="P12" s="9">
        <v>2736.875839</v>
      </c>
      <c r="Q12" s="9">
        <v>2717.970834</v>
      </c>
      <c r="R12" s="9">
        <v>2704.809029</v>
      </c>
      <c r="S12" s="9">
        <v>2640.818988</v>
      </c>
      <c r="T12" s="9">
        <v>2576.744354</v>
      </c>
      <c r="U12" s="9">
        <v>2540.87496</v>
      </c>
      <c r="V12" s="9">
        <v>2414.274435</v>
      </c>
      <c r="W12" s="9">
        <v>2209.339587</v>
      </c>
      <c r="X12" s="9">
        <v>1973.991385</v>
      </c>
      <c r="Y12" s="9">
        <v>1762.25935</v>
      </c>
      <c r="Z12" s="9">
        <v>1609.021991</v>
      </c>
      <c r="AA12" s="11">
        <f t="shared" si="1"/>
        <v>50687.46784</v>
      </c>
      <c r="AB12" s="11">
        <v>6.0</v>
      </c>
      <c r="AC12" s="11">
        <f t="shared" si="2"/>
        <v>304124.807</v>
      </c>
      <c r="AD12" s="14"/>
    </row>
    <row r="13" ht="14.25" customHeight="1">
      <c r="A13" s="8">
        <v>48245.0</v>
      </c>
      <c r="B13" s="9" t="s">
        <v>34</v>
      </c>
      <c r="C13" s="9">
        <v>1789.42245</v>
      </c>
      <c r="D13" s="9">
        <v>1716.199226</v>
      </c>
      <c r="E13" s="9">
        <v>1675.242261</v>
      </c>
      <c r="F13" s="9">
        <v>1658.499934</v>
      </c>
      <c r="G13" s="9">
        <v>1684.074551</v>
      </c>
      <c r="H13" s="9">
        <v>1792.152715</v>
      </c>
      <c r="I13" s="9">
        <v>2168.520715</v>
      </c>
      <c r="J13" s="9">
        <v>2721.029537</v>
      </c>
      <c r="K13" s="9">
        <v>3183.272762</v>
      </c>
      <c r="L13" s="9">
        <v>3495.437472</v>
      </c>
      <c r="M13" s="9">
        <v>3749.40539</v>
      </c>
      <c r="N13" s="9">
        <v>3902.252663</v>
      </c>
      <c r="O13" s="9">
        <v>3850.922688</v>
      </c>
      <c r="P13" s="9">
        <v>3864.081001</v>
      </c>
      <c r="Q13" s="9">
        <v>3966.464102</v>
      </c>
      <c r="R13" s="9">
        <v>3968.138343</v>
      </c>
      <c r="S13" s="9">
        <v>3856.287608</v>
      </c>
      <c r="T13" s="9">
        <v>3598.872938</v>
      </c>
      <c r="U13" s="9">
        <v>3409.257046</v>
      </c>
      <c r="V13" s="9">
        <v>3193.822775</v>
      </c>
      <c r="W13" s="9">
        <v>2909.013839</v>
      </c>
      <c r="X13" s="9">
        <v>2585.22871</v>
      </c>
      <c r="Y13" s="9">
        <v>2240.427692</v>
      </c>
      <c r="Z13" s="9">
        <v>2005.072964</v>
      </c>
      <c r="AA13" s="11">
        <f t="shared" si="1"/>
        <v>68983.09938</v>
      </c>
      <c r="AB13" s="11">
        <v>20.0</v>
      </c>
      <c r="AC13" s="11">
        <f t="shared" si="2"/>
        <v>1379661.988</v>
      </c>
      <c r="AD13" s="12">
        <f>SUM(AC13:AC15)</f>
        <v>1886069.891</v>
      </c>
    </row>
    <row r="14" ht="14.25" customHeight="1">
      <c r="A14" s="8">
        <v>48245.0</v>
      </c>
      <c r="B14" s="9" t="s">
        <v>35</v>
      </c>
      <c r="C14" s="9">
        <v>1944.42122</v>
      </c>
      <c r="D14" s="9">
        <v>1842.912902</v>
      </c>
      <c r="E14" s="9">
        <v>1786.312658</v>
      </c>
      <c r="F14" s="9">
        <v>1742.435707</v>
      </c>
      <c r="G14" s="9">
        <v>1750.84291</v>
      </c>
      <c r="H14" s="9">
        <v>1757.986244</v>
      </c>
      <c r="I14" s="9">
        <v>2013.872788</v>
      </c>
      <c r="J14" s="9">
        <v>2472.636506</v>
      </c>
      <c r="K14" s="9">
        <v>2908.449371</v>
      </c>
      <c r="L14" s="9">
        <v>3248.819029</v>
      </c>
      <c r="M14" s="9">
        <v>3461.218666</v>
      </c>
      <c r="N14" s="9">
        <v>3558.693026</v>
      </c>
      <c r="O14" s="9">
        <v>3458.85554</v>
      </c>
      <c r="P14" s="9">
        <v>3349.234037</v>
      </c>
      <c r="Q14" s="9">
        <v>3273.991256</v>
      </c>
      <c r="R14" s="9">
        <v>3255.744707</v>
      </c>
      <c r="S14" s="9">
        <v>3216.638361</v>
      </c>
      <c r="T14" s="9">
        <v>3155.856921</v>
      </c>
      <c r="U14" s="9">
        <v>3082.652154</v>
      </c>
      <c r="V14" s="9">
        <v>2921.267773</v>
      </c>
      <c r="W14" s="9">
        <v>2672.604126</v>
      </c>
      <c r="X14" s="9">
        <v>2393.004475</v>
      </c>
      <c r="Y14" s="9">
        <v>2094.301368</v>
      </c>
      <c r="Z14" s="9">
        <v>1879.889325</v>
      </c>
      <c r="AA14" s="11">
        <f t="shared" si="1"/>
        <v>63242.64107</v>
      </c>
      <c r="AB14" s="11">
        <v>4.0</v>
      </c>
      <c r="AC14" s="11">
        <f t="shared" si="2"/>
        <v>252970.5643</v>
      </c>
      <c r="AD14" s="13"/>
    </row>
    <row r="15" ht="14.25" customHeight="1">
      <c r="A15" s="61">
        <v>48245.0</v>
      </c>
      <c r="B15" s="9" t="s">
        <v>36</v>
      </c>
      <c r="C15" s="9">
        <v>1740.94595</v>
      </c>
      <c r="D15" s="9">
        <v>1654.478322</v>
      </c>
      <c r="E15" s="9">
        <v>1574.591597</v>
      </c>
      <c r="F15" s="9">
        <v>1534.002811</v>
      </c>
      <c r="G15" s="9">
        <v>1499.780014</v>
      </c>
      <c r="H15" s="9">
        <v>1470.355259</v>
      </c>
      <c r="I15" s="9">
        <v>1517.883898</v>
      </c>
      <c r="J15" s="9">
        <v>1696.730625</v>
      </c>
      <c r="K15" s="9">
        <v>1931.959482</v>
      </c>
      <c r="L15" s="9">
        <v>2259.074969</v>
      </c>
      <c r="M15" s="9">
        <v>2523.326648</v>
      </c>
      <c r="N15" s="9">
        <v>2672.915063</v>
      </c>
      <c r="O15" s="9">
        <v>2724.442451</v>
      </c>
      <c r="P15" s="9">
        <v>2736.875839</v>
      </c>
      <c r="Q15" s="9">
        <v>2717.970834</v>
      </c>
      <c r="R15" s="9">
        <v>2704.809029</v>
      </c>
      <c r="S15" s="9">
        <v>2640.818988</v>
      </c>
      <c r="T15" s="9">
        <v>2576.744354</v>
      </c>
      <c r="U15" s="9">
        <v>2540.87496</v>
      </c>
      <c r="V15" s="9">
        <v>2414.274435</v>
      </c>
      <c r="W15" s="9">
        <v>2209.339587</v>
      </c>
      <c r="X15" s="9">
        <v>1973.991385</v>
      </c>
      <c r="Y15" s="9">
        <v>1762.25935</v>
      </c>
      <c r="Z15" s="9">
        <v>1609.021991</v>
      </c>
      <c r="AA15" s="11">
        <f t="shared" si="1"/>
        <v>50687.46784</v>
      </c>
      <c r="AB15" s="11">
        <v>5.0</v>
      </c>
      <c r="AC15" s="11">
        <f t="shared" si="2"/>
        <v>253437.3392</v>
      </c>
      <c r="AD15" s="14"/>
    </row>
    <row r="16" ht="14.25" customHeight="1">
      <c r="A16" s="61">
        <v>48274.0</v>
      </c>
      <c r="B16" s="9" t="s">
        <v>34</v>
      </c>
      <c r="C16" s="9">
        <v>1789.42245</v>
      </c>
      <c r="D16" s="9">
        <v>1716.199226</v>
      </c>
      <c r="E16" s="9">
        <v>1675.242261</v>
      </c>
      <c r="F16" s="9">
        <v>1658.499934</v>
      </c>
      <c r="G16" s="9">
        <v>1684.074551</v>
      </c>
      <c r="H16" s="9">
        <v>1792.152715</v>
      </c>
      <c r="I16" s="9">
        <v>2168.520715</v>
      </c>
      <c r="J16" s="9">
        <v>2721.029537</v>
      </c>
      <c r="K16" s="9">
        <v>3183.272762</v>
      </c>
      <c r="L16" s="9">
        <v>3495.437472</v>
      </c>
      <c r="M16" s="9">
        <v>3749.40539</v>
      </c>
      <c r="N16" s="9">
        <v>3902.252663</v>
      </c>
      <c r="O16" s="9">
        <v>3850.922688</v>
      </c>
      <c r="P16" s="9">
        <v>3864.081001</v>
      </c>
      <c r="Q16" s="9">
        <v>3966.464102</v>
      </c>
      <c r="R16" s="9">
        <v>3968.138343</v>
      </c>
      <c r="S16" s="9">
        <v>3856.287608</v>
      </c>
      <c r="T16" s="9">
        <v>3598.872938</v>
      </c>
      <c r="U16" s="9">
        <v>3409.257046</v>
      </c>
      <c r="V16" s="9">
        <v>3193.822775</v>
      </c>
      <c r="W16" s="9">
        <v>2909.013839</v>
      </c>
      <c r="X16" s="9">
        <v>2585.22871</v>
      </c>
      <c r="Y16" s="9">
        <v>2240.427692</v>
      </c>
      <c r="Z16" s="9">
        <v>2005.072964</v>
      </c>
      <c r="AA16" s="11">
        <f t="shared" si="1"/>
        <v>68983.09938</v>
      </c>
      <c r="AB16" s="11">
        <v>20.0</v>
      </c>
      <c r="AC16" s="11">
        <f t="shared" si="2"/>
        <v>1379661.988</v>
      </c>
      <c r="AD16" s="12">
        <f>SUM(AC16:AC18)</f>
        <v>1987444.827</v>
      </c>
    </row>
    <row r="17" ht="14.25" customHeight="1">
      <c r="A17" s="61">
        <v>48274.0</v>
      </c>
      <c r="B17" s="9" t="s">
        <v>35</v>
      </c>
      <c r="C17" s="9">
        <v>1944.42122</v>
      </c>
      <c r="D17" s="9">
        <v>1842.912902</v>
      </c>
      <c r="E17" s="9">
        <v>1786.312658</v>
      </c>
      <c r="F17" s="9">
        <v>1742.435707</v>
      </c>
      <c r="G17" s="9">
        <v>1750.84291</v>
      </c>
      <c r="H17" s="9">
        <v>1757.986244</v>
      </c>
      <c r="I17" s="9">
        <v>2013.872788</v>
      </c>
      <c r="J17" s="9">
        <v>2472.636506</v>
      </c>
      <c r="K17" s="9">
        <v>2908.449371</v>
      </c>
      <c r="L17" s="9">
        <v>3248.819029</v>
      </c>
      <c r="M17" s="9">
        <v>3461.218666</v>
      </c>
      <c r="N17" s="9">
        <v>3558.693026</v>
      </c>
      <c r="O17" s="9">
        <v>3458.85554</v>
      </c>
      <c r="P17" s="9">
        <v>3349.234037</v>
      </c>
      <c r="Q17" s="9">
        <v>3273.991256</v>
      </c>
      <c r="R17" s="9">
        <v>3255.744707</v>
      </c>
      <c r="S17" s="9">
        <v>3216.638361</v>
      </c>
      <c r="T17" s="9">
        <v>3155.856921</v>
      </c>
      <c r="U17" s="9">
        <v>3082.652154</v>
      </c>
      <c r="V17" s="9">
        <v>2921.267773</v>
      </c>
      <c r="W17" s="9">
        <v>2672.604126</v>
      </c>
      <c r="X17" s="9">
        <v>2393.004475</v>
      </c>
      <c r="Y17" s="9">
        <v>2094.301368</v>
      </c>
      <c r="Z17" s="9">
        <v>1879.889325</v>
      </c>
      <c r="AA17" s="11">
        <f t="shared" si="1"/>
        <v>63242.64107</v>
      </c>
      <c r="AB17" s="11">
        <v>4.0</v>
      </c>
      <c r="AC17" s="11">
        <f t="shared" si="2"/>
        <v>252970.5643</v>
      </c>
      <c r="AD17" s="13"/>
    </row>
    <row r="18" ht="14.25" customHeight="1">
      <c r="A18" s="61">
        <v>48274.0</v>
      </c>
      <c r="B18" s="9" t="s">
        <v>36</v>
      </c>
      <c r="C18" s="9">
        <v>1740.94595</v>
      </c>
      <c r="D18" s="9">
        <v>1654.478322</v>
      </c>
      <c r="E18" s="9">
        <v>1574.591597</v>
      </c>
      <c r="F18" s="9">
        <v>1534.002811</v>
      </c>
      <c r="G18" s="9">
        <v>1499.780014</v>
      </c>
      <c r="H18" s="9">
        <v>1470.355259</v>
      </c>
      <c r="I18" s="9">
        <v>1517.883898</v>
      </c>
      <c r="J18" s="9">
        <v>1696.730625</v>
      </c>
      <c r="K18" s="9">
        <v>1931.959482</v>
      </c>
      <c r="L18" s="9">
        <v>2259.074969</v>
      </c>
      <c r="M18" s="9">
        <v>2523.326648</v>
      </c>
      <c r="N18" s="9">
        <v>2672.915063</v>
      </c>
      <c r="O18" s="9">
        <v>2724.442451</v>
      </c>
      <c r="P18" s="9">
        <v>2736.875839</v>
      </c>
      <c r="Q18" s="9">
        <v>2717.970834</v>
      </c>
      <c r="R18" s="9">
        <v>2704.809029</v>
      </c>
      <c r="S18" s="9">
        <v>2640.818988</v>
      </c>
      <c r="T18" s="9">
        <v>2576.744354</v>
      </c>
      <c r="U18" s="9">
        <v>2540.87496</v>
      </c>
      <c r="V18" s="9">
        <v>2414.274435</v>
      </c>
      <c r="W18" s="9">
        <v>2209.339587</v>
      </c>
      <c r="X18" s="9">
        <v>1973.991385</v>
      </c>
      <c r="Y18" s="9">
        <v>1762.25935</v>
      </c>
      <c r="Z18" s="9">
        <v>1609.021991</v>
      </c>
      <c r="AA18" s="11">
        <f t="shared" si="1"/>
        <v>50687.46784</v>
      </c>
      <c r="AB18" s="11">
        <v>7.0</v>
      </c>
      <c r="AC18" s="11">
        <f t="shared" si="2"/>
        <v>354812.2749</v>
      </c>
      <c r="AD18" s="14"/>
    </row>
    <row r="19" ht="14.25" customHeight="1">
      <c r="A19" s="61">
        <v>48305.0</v>
      </c>
      <c r="B19" s="9" t="s">
        <v>34</v>
      </c>
      <c r="C19" s="9">
        <v>1789.42245</v>
      </c>
      <c r="D19" s="9">
        <v>1716.199226</v>
      </c>
      <c r="E19" s="9">
        <v>1675.242261</v>
      </c>
      <c r="F19" s="9">
        <v>1658.499934</v>
      </c>
      <c r="G19" s="9">
        <v>1684.074551</v>
      </c>
      <c r="H19" s="9">
        <v>1792.152715</v>
      </c>
      <c r="I19" s="9">
        <v>2168.520715</v>
      </c>
      <c r="J19" s="9">
        <v>2721.029537</v>
      </c>
      <c r="K19" s="9">
        <v>3183.272762</v>
      </c>
      <c r="L19" s="9">
        <v>3495.437472</v>
      </c>
      <c r="M19" s="9">
        <v>3749.40539</v>
      </c>
      <c r="N19" s="9">
        <v>3902.252663</v>
      </c>
      <c r="O19" s="9">
        <v>3850.922688</v>
      </c>
      <c r="P19" s="9">
        <v>3864.081001</v>
      </c>
      <c r="Q19" s="9">
        <v>3966.464102</v>
      </c>
      <c r="R19" s="9">
        <v>3968.138343</v>
      </c>
      <c r="S19" s="9">
        <v>3856.287608</v>
      </c>
      <c r="T19" s="9">
        <v>3598.872938</v>
      </c>
      <c r="U19" s="9">
        <v>3409.257046</v>
      </c>
      <c r="V19" s="9">
        <v>3193.822775</v>
      </c>
      <c r="W19" s="9">
        <v>2909.013839</v>
      </c>
      <c r="X19" s="9">
        <v>2585.22871</v>
      </c>
      <c r="Y19" s="9">
        <v>2240.427692</v>
      </c>
      <c r="Z19" s="9">
        <v>2005.072964</v>
      </c>
      <c r="AA19" s="11">
        <f t="shared" si="1"/>
        <v>68983.09938</v>
      </c>
      <c r="AB19" s="11">
        <v>22.0</v>
      </c>
      <c r="AC19" s="11">
        <f t="shared" si="2"/>
        <v>1517628.186</v>
      </c>
      <c r="AD19" s="12">
        <f>SUM(AC19:AC21)</f>
        <v>1973348.622</v>
      </c>
    </row>
    <row r="20" ht="14.25" customHeight="1">
      <c r="A20" s="61">
        <v>48305.0</v>
      </c>
      <c r="B20" s="9" t="s">
        <v>35</v>
      </c>
      <c r="C20" s="9">
        <v>1944.42122</v>
      </c>
      <c r="D20" s="9">
        <v>1842.912902</v>
      </c>
      <c r="E20" s="9">
        <v>1786.312658</v>
      </c>
      <c r="F20" s="9">
        <v>1742.435707</v>
      </c>
      <c r="G20" s="9">
        <v>1750.84291</v>
      </c>
      <c r="H20" s="9">
        <v>1757.986244</v>
      </c>
      <c r="I20" s="9">
        <v>2013.872788</v>
      </c>
      <c r="J20" s="9">
        <v>2472.636506</v>
      </c>
      <c r="K20" s="9">
        <v>2908.449371</v>
      </c>
      <c r="L20" s="9">
        <v>3248.819029</v>
      </c>
      <c r="M20" s="9">
        <v>3461.218666</v>
      </c>
      <c r="N20" s="9">
        <v>3558.693026</v>
      </c>
      <c r="O20" s="9">
        <v>3458.85554</v>
      </c>
      <c r="P20" s="9">
        <v>3349.234037</v>
      </c>
      <c r="Q20" s="9">
        <v>3273.991256</v>
      </c>
      <c r="R20" s="9">
        <v>3255.744707</v>
      </c>
      <c r="S20" s="9">
        <v>3216.638361</v>
      </c>
      <c r="T20" s="9">
        <v>3155.856921</v>
      </c>
      <c r="U20" s="9">
        <v>3082.652154</v>
      </c>
      <c r="V20" s="9">
        <v>2921.267773</v>
      </c>
      <c r="W20" s="9">
        <v>2672.604126</v>
      </c>
      <c r="X20" s="9">
        <v>2393.004475</v>
      </c>
      <c r="Y20" s="9">
        <v>2094.301368</v>
      </c>
      <c r="Z20" s="9">
        <v>1879.889325</v>
      </c>
      <c r="AA20" s="11">
        <f t="shared" si="1"/>
        <v>63242.64107</v>
      </c>
      <c r="AB20" s="11">
        <v>4.0</v>
      </c>
      <c r="AC20" s="11">
        <f t="shared" si="2"/>
        <v>252970.5643</v>
      </c>
      <c r="AD20" s="13"/>
    </row>
    <row r="21" ht="14.25" customHeight="1">
      <c r="A21" s="61">
        <v>48305.0</v>
      </c>
      <c r="B21" s="9" t="s">
        <v>36</v>
      </c>
      <c r="C21" s="9">
        <v>1740.94595</v>
      </c>
      <c r="D21" s="9">
        <v>1654.478322</v>
      </c>
      <c r="E21" s="9">
        <v>1574.591597</v>
      </c>
      <c r="F21" s="9">
        <v>1534.002811</v>
      </c>
      <c r="G21" s="9">
        <v>1499.780014</v>
      </c>
      <c r="H21" s="9">
        <v>1470.355259</v>
      </c>
      <c r="I21" s="9">
        <v>1517.883898</v>
      </c>
      <c r="J21" s="9">
        <v>1696.730625</v>
      </c>
      <c r="K21" s="9">
        <v>1931.959482</v>
      </c>
      <c r="L21" s="9">
        <v>2259.074969</v>
      </c>
      <c r="M21" s="9">
        <v>2523.326648</v>
      </c>
      <c r="N21" s="9">
        <v>2672.915063</v>
      </c>
      <c r="O21" s="9">
        <v>2724.442451</v>
      </c>
      <c r="P21" s="9">
        <v>2736.875839</v>
      </c>
      <c r="Q21" s="9">
        <v>2717.970834</v>
      </c>
      <c r="R21" s="9">
        <v>2704.809029</v>
      </c>
      <c r="S21" s="9">
        <v>2640.818988</v>
      </c>
      <c r="T21" s="9">
        <v>2576.744354</v>
      </c>
      <c r="U21" s="9">
        <v>2540.87496</v>
      </c>
      <c r="V21" s="9">
        <v>2414.274435</v>
      </c>
      <c r="W21" s="9">
        <v>2209.339587</v>
      </c>
      <c r="X21" s="9">
        <v>1973.991385</v>
      </c>
      <c r="Y21" s="9">
        <v>1762.25935</v>
      </c>
      <c r="Z21" s="9">
        <v>1609.021991</v>
      </c>
      <c r="AA21" s="11">
        <f t="shared" si="1"/>
        <v>50687.46784</v>
      </c>
      <c r="AB21" s="11">
        <v>4.0</v>
      </c>
      <c r="AC21" s="11">
        <f t="shared" si="2"/>
        <v>202749.8714</v>
      </c>
      <c r="AD21" s="14"/>
    </row>
    <row r="22" ht="14.25" customHeight="1">
      <c r="A22" s="61">
        <v>48335.0</v>
      </c>
      <c r="B22" s="9" t="s">
        <v>34</v>
      </c>
      <c r="C22" s="9">
        <v>1789.42245</v>
      </c>
      <c r="D22" s="9">
        <v>1716.199226</v>
      </c>
      <c r="E22" s="9">
        <v>1675.242261</v>
      </c>
      <c r="F22" s="9">
        <v>1658.499934</v>
      </c>
      <c r="G22" s="9">
        <v>1684.074551</v>
      </c>
      <c r="H22" s="9">
        <v>1792.152715</v>
      </c>
      <c r="I22" s="9">
        <v>2168.520715</v>
      </c>
      <c r="J22" s="9">
        <v>2721.029537</v>
      </c>
      <c r="K22" s="9">
        <v>3183.272762</v>
      </c>
      <c r="L22" s="9">
        <v>3495.437472</v>
      </c>
      <c r="M22" s="9">
        <v>3749.40539</v>
      </c>
      <c r="N22" s="9">
        <v>3902.252663</v>
      </c>
      <c r="O22" s="9">
        <v>3850.922688</v>
      </c>
      <c r="P22" s="9">
        <v>3864.081001</v>
      </c>
      <c r="Q22" s="9">
        <v>3966.464102</v>
      </c>
      <c r="R22" s="9">
        <v>3968.138343</v>
      </c>
      <c r="S22" s="9">
        <v>3856.287608</v>
      </c>
      <c r="T22" s="9">
        <v>3598.872938</v>
      </c>
      <c r="U22" s="9">
        <v>3409.257046</v>
      </c>
      <c r="V22" s="9">
        <v>3193.822775</v>
      </c>
      <c r="W22" s="9">
        <v>2909.013839</v>
      </c>
      <c r="X22" s="9">
        <v>2585.22871</v>
      </c>
      <c r="Y22" s="9">
        <v>2240.427692</v>
      </c>
      <c r="Z22" s="9">
        <v>2005.072964</v>
      </c>
      <c r="AA22" s="11">
        <f t="shared" si="1"/>
        <v>68983.09938</v>
      </c>
      <c r="AB22" s="11">
        <v>19.0</v>
      </c>
      <c r="AC22" s="11">
        <f t="shared" si="2"/>
        <v>1310678.888</v>
      </c>
      <c r="AD22" s="12">
        <f>SUM(AC22:AC24)</f>
        <v>1969149.195</v>
      </c>
    </row>
    <row r="23" ht="14.25" customHeight="1">
      <c r="A23" s="61">
        <v>48335.0</v>
      </c>
      <c r="B23" s="9" t="s">
        <v>35</v>
      </c>
      <c r="C23" s="9">
        <v>1944.42122</v>
      </c>
      <c r="D23" s="9">
        <v>1842.912902</v>
      </c>
      <c r="E23" s="9">
        <v>1786.312658</v>
      </c>
      <c r="F23" s="9">
        <v>1742.435707</v>
      </c>
      <c r="G23" s="9">
        <v>1750.84291</v>
      </c>
      <c r="H23" s="9">
        <v>1757.986244</v>
      </c>
      <c r="I23" s="9">
        <v>2013.872788</v>
      </c>
      <c r="J23" s="9">
        <v>2472.636506</v>
      </c>
      <c r="K23" s="9">
        <v>2908.449371</v>
      </c>
      <c r="L23" s="9">
        <v>3248.819029</v>
      </c>
      <c r="M23" s="9">
        <v>3461.218666</v>
      </c>
      <c r="N23" s="9">
        <v>3558.693026</v>
      </c>
      <c r="O23" s="9">
        <v>3458.85554</v>
      </c>
      <c r="P23" s="9">
        <v>3349.234037</v>
      </c>
      <c r="Q23" s="9">
        <v>3273.991256</v>
      </c>
      <c r="R23" s="9">
        <v>3255.744707</v>
      </c>
      <c r="S23" s="9">
        <v>3216.638361</v>
      </c>
      <c r="T23" s="9">
        <v>3155.856921</v>
      </c>
      <c r="U23" s="9">
        <v>3082.652154</v>
      </c>
      <c r="V23" s="9">
        <v>2921.267773</v>
      </c>
      <c r="W23" s="9">
        <v>2672.604126</v>
      </c>
      <c r="X23" s="9">
        <v>2393.004475</v>
      </c>
      <c r="Y23" s="9">
        <v>2094.301368</v>
      </c>
      <c r="Z23" s="9">
        <v>1879.889325</v>
      </c>
      <c r="AA23" s="11">
        <f t="shared" si="1"/>
        <v>63242.64107</v>
      </c>
      <c r="AB23" s="11">
        <v>4.0</v>
      </c>
      <c r="AC23" s="11">
        <f t="shared" si="2"/>
        <v>252970.5643</v>
      </c>
      <c r="AD23" s="13"/>
    </row>
    <row r="24" ht="14.25" customHeight="1">
      <c r="A24" s="61">
        <v>48335.0</v>
      </c>
      <c r="B24" s="9" t="s">
        <v>36</v>
      </c>
      <c r="C24" s="9">
        <v>1740.94595</v>
      </c>
      <c r="D24" s="9">
        <v>1654.478322</v>
      </c>
      <c r="E24" s="9">
        <v>1574.591597</v>
      </c>
      <c r="F24" s="9">
        <v>1534.002811</v>
      </c>
      <c r="G24" s="9">
        <v>1499.780014</v>
      </c>
      <c r="H24" s="9">
        <v>1470.355259</v>
      </c>
      <c r="I24" s="9">
        <v>1517.883898</v>
      </c>
      <c r="J24" s="9">
        <v>1696.730625</v>
      </c>
      <c r="K24" s="9">
        <v>1931.959482</v>
      </c>
      <c r="L24" s="9">
        <v>2259.074969</v>
      </c>
      <c r="M24" s="9">
        <v>2523.326648</v>
      </c>
      <c r="N24" s="9">
        <v>2672.915063</v>
      </c>
      <c r="O24" s="9">
        <v>2724.442451</v>
      </c>
      <c r="P24" s="9">
        <v>2736.875839</v>
      </c>
      <c r="Q24" s="9">
        <v>2717.970834</v>
      </c>
      <c r="R24" s="9">
        <v>2704.809029</v>
      </c>
      <c r="S24" s="9">
        <v>2640.818988</v>
      </c>
      <c r="T24" s="9">
        <v>2576.744354</v>
      </c>
      <c r="U24" s="9">
        <v>2540.87496</v>
      </c>
      <c r="V24" s="9">
        <v>2414.274435</v>
      </c>
      <c r="W24" s="9">
        <v>2209.339587</v>
      </c>
      <c r="X24" s="9">
        <v>1973.991385</v>
      </c>
      <c r="Y24" s="9">
        <v>1762.25935</v>
      </c>
      <c r="Z24" s="9">
        <v>1609.021991</v>
      </c>
      <c r="AA24" s="11">
        <f t="shared" si="1"/>
        <v>50687.46784</v>
      </c>
      <c r="AB24" s="11">
        <v>8.0</v>
      </c>
      <c r="AC24" s="11">
        <f t="shared" si="2"/>
        <v>405499.7427</v>
      </c>
      <c r="AD24" s="14"/>
    </row>
    <row r="25" ht="14.25" customHeight="1">
      <c r="A25" s="61">
        <v>48366.0</v>
      </c>
      <c r="B25" s="9" t="s">
        <v>34</v>
      </c>
      <c r="C25" s="9">
        <v>1789.42245</v>
      </c>
      <c r="D25" s="9">
        <v>1716.199226</v>
      </c>
      <c r="E25" s="9">
        <v>1675.242261</v>
      </c>
      <c r="F25" s="9">
        <v>1658.499934</v>
      </c>
      <c r="G25" s="9">
        <v>1684.074551</v>
      </c>
      <c r="H25" s="9">
        <v>1792.152715</v>
      </c>
      <c r="I25" s="9">
        <v>2168.520715</v>
      </c>
      <c r="J25" s="9">
        <v>2721.029537</v>
      </c>
      <c r="K25" s="9">
        <v>3183.272762</v>
      </c>
      <c r="L25" s="9">
        <v>3495.437472</v>
      </c>
      <c r="M25" s="9">
        <v>3749.40539</v>
      </c>
      <c r="N25" s="9">
        <v>3902.252663</v>
      </c>
      <c r="O25" s="9">
        <v>3850.922688</v>
      </c>
      <c r="P25" s="9">
        <v>3864.081001</v>
      </c>
      <c r="Q25" s="9">
        <v>3966.464102</v>
      </c>
      <c r="R25" s="9">
        <v>3968.138343</v>
      </c>
      <c r="S25" s="9">
        <v>3856.287608</v>
      </c>
      <c r="T25" s="9">
        <v>3598.872938</v>
      </c>
      <c r="U25" s="9">
        <v>3409.257046</v>
      </c>
      <c r="V25" s="9">
        <v>3193.822775</v>
      </c>
      <c r="W25" s="9">
        <v>2909.013839</v>
      </c>
      <c r="X25" s="9">
        <v>2585.22871</v>
      </c>
      <c r="Y25" s="9">
        <v>2240.427692</v>
      </c>
      <c r="Z25" s="9">
        <v>2005.072964</v>
      </c>
      <c r="AA25" s="11">
        <f t="shared" si="1"/>
        <v>68983.09938</v>
      </c>
      <c r="AB25" s="11">
        <v>21.0</v>
      </c>
      <c r="AC25" s="11">
        <f t="shared" si="2"/>
        <v>1448645.087</v>
      </c>
      <c r="AD25" s="12">
        <f>SUM(AC25:AC27)</f>
        <v>1955052.991</v>
      </c>
    </row>
    <row r="26" ht="14.25" customHeight="1">
      <c r="A26" s="61">
        <v>48366.0</v>
      </c>
      <c r="B26" s="9" t="s">
        <v>35</v>
      </c>
      <c r="C26" s="9">
        <v>1944.42122</v>
      </c>
      <c r="D26" s="9">
        <v>1842.912902</v>
      </c>
      <c r="E26" s="9">
        <v>1786.312658</v>
      </c>
      <c r="F26" s="9">
        <v>1742.435707</v>
      </c>
      <c r="G26" s="9">
        <v>1750.84291</v>
      </c>
      <c r="H26" s="9">
        <v>1757.986244</v>
      </c>
      <c r="I26" s="9">
        <v>2013.872788</v>
      </c>
      <c r="J26" s="9">
        <v>2472.636506</v>
      </c>
      <c r="K26" s="9">
        <v>2908.449371</v>
      </c>
      <c r="L26" s="9">
        <v>3248.819029</v>
      </c>
      <c r="M26" s="9">
        <v>3461.218666</v>
      </c>
      <c r="N26" s="9">
        <v>3558.693026</v>
      </c>
      <c r="O26" s="9">
        <v>3458.85554</v>
      </c>
      <c r="P26" s="9">
        <v>3349.234037</v>
      </c>
      <c r="Q26" s="9">
        <v>3273.991256</v>
      </c>
      <c r="R26" s="9">
        <v>3255.744707</v>
      </c>
      <c r="S26" s="9">
        <v>3216.638361</v>
      </c>
      <c r="T26" s="9">
        <v>3155.856921</v>
      </c>
      <c r="U26" s="9">
        <v>3082.652154</v>
      </c>
      <c r="V26" s="9">
        <v>2921.267773</v>
      </c>
      <c r="W26" s="9">
        <v>2672.604126</v>
      </c>
      <c r="X26" s="9">
        <v>2393.004475</v>
      </c>
      <c r="Y26" s="9">
        <v>2094.301368</v>
      </c>
      <c r="Z26" s="9">
        <v>1879.889325</v>
      </c>
      <c r="AA26" s="11">
        <f t="shared" si="1"/>
        <v>63242.64107</v>
      </c>
      <c r="AB26" s="11">
        <v>4.0</v>
      </c>
      <c r="AC26" s="11">
        <f t="shared" si="2"/>
        <v>252970.5643</v>
      </c>
      <c r="AD26" s="13"/>
    </row>
    <row r="27" ht="14.25" customHeight="1">
      <c r="A27" s="61">
        <v>48366.0</v>
      </c>
      <c r="B27" s="9" t="s">
        <v>36</v>
      </c>
      <c r="C27" s="9">
        <v>1740.94595</v>
      </c>
      <c r="D27" s="9">
        <v>1654.478322</v>
      </c>
      <c r="E27" s="9">
        <v>1574.591597</v>
      </c>
      <c r="F27" s="9">
        <v>1534.002811</v>
      </c>
      <c r="G27" s="9">
        <v>1499.780014</v>
      </c>
      <c r="H27" s="9">
        <v>1470.355259</v>
      </c>
      <c r="I27" s="9">
        <v>1517.883898</v>
      </c>
      <c r="J27" s="9">
        <v>1696.730625</v>
      </c>
      <c r="K27" s="9">
        <v>1931.959482</v>
      </c>
      <c r="L27" s="9">
        <v>2259.074969</v>
      </c>
      <c r="M27" s="9">
        <v>2523.326648</v>
      </c>
      <c r="N27" s="9">
        <v>2672.915063</v>
      </c>
      <c r="O27" s="9">
        <v>2724.442451</v>
      </c>
      <c r="P27" s="9">
        <v>2736.875839</v>
      </c>
      <c r="Q27" s="9">
        <v>2717.970834</v>
      </c>
      <c r="R27" s="9">
        <v>2704.809029</v>
      </c>
      <c r="S27" s="9">
        <v>2640.818988</v>
      </c>
      <c r="T27" s="9">
        <v>2576.744354</v>
      </c>
      <c r="U27" s="9">
        <v>2540.87496</v>
      </c>
      <c r="V27" s="9">
        <v>2414.274435</v>
      </c>
      <c r="W27" s="9">
        <v>2209.339587</v>
      </c>
      <c r="X27" s="9">
        <v>1973.991385</v>
      </c>
      <c r="Y27" s="9">
        <v>1762.25935</v>
      </c>
      <c r="Z27" s="9">
        <v>1609.021991</v>
      </c>
      <c r="AA27" s="11">
        <f t="shared" si="1"/>
        <v>50687.46784</v>
      </c>
      <c r="AB27" s="11">
        <v>5.0</v>
      </c>
      <c r="AC27" s="11">
        <f t="shared" si="2"/>
        <v>253437.3392</v>
      </c>
      <c r="AD27" s="14"/>
    </row>
    <row r="28" ht="14.25" customHeight="1">
      <c r="A28" s="61">
        <v>48396.0</v>
      </c>
      <c r="B28" s="9" t="s">
        <v>34</v>
      </c>
      <c r="C28" s="9">
        <v>1789.42245</v>
      </c>
      <c r="D28" s="9">
        <v>1716.199226</v>
      </c>
      <c r="E28" s="9">
        <v>1675.242261</v>
      </c>
      <c r="F28" s="9">
        <v>1658.499934</v>
      </c>
      <c r="G28" s="9">
        <v>1684.074551</v>
      </c>
      <c r="H28" s="9">
        <v>1792.152715</v>
      </c>
      <c r="I28" s="9">
        <v>2168.520715</v>
      </c>
      <c r="J28" s="9">
        <v>2721.029537</v>
      </c>
      <c r="K28" s="9">
        <v>3183.272762</v>
      </c>
      <c r="L28" s="9">
        <v>3495.437472</v>
      </c>
      <c r="M28" s="9">
        <v>3749.40539</v>
      </c>
      <c r="N28" s="9">
        <v>3902.252663</v>
      </c>
      <c r="O28" s="9">
        <v>3850.922688</v>
      </c>
      <c r="P28" s="9">
        <v>3864.081001</v>
      </c>
      <c r="Q28" s="9">
        <v>3966.464102</v>
      </c>
      <c r="R28" s="9">
        <v>3968.138343</v>
      </c>
      <c r="S28" s="9">
        <v>3856.287608</v>
      </c>
      <c r="T28" s="9">
        <v>3598.872938</v>
      </c>
      <c r="U28" s="9">
        <v>3409.257046</v>
      </c>
      <c r="V28" s="9">
        <v>3193.822775</v>
      </c>
      <c r="W28" s="9">
        <v>2909.013839</v>
      </c>
      <c r="X28" s="9">
        <v>2585.22871</v>
      </c>
      <c r="Y28" s="9">
        <v>2240.427692</v>
      </c>
      <c r="Z28" s="9">
        <v>2005.072964</v>
      </c>
      <c r="AA28" s="11">
        <f t="shared" si="1"/>
        <v>68983.09938</v>
      </c>
      <c r="AB28" s="11">
        <v>20.0</v>
      </c>
      <c r="AC28" s="11">
        <f t="shared" si="2"/>
        <v>1379661.988</v>
      </c>
      <c r="AD28" s="12">
        <f>SUM(AC28:AC30)</f>
        <v>2000000</v>
      </c>
    </row>
    <row r="29" ht="14.25" customHeight="1">
      <c r="A29" s="61">
        <v>48396.0</v>
      </c>
      <c r="B29" s="9" t="s">
        <v>35</v>
      </c>
      <c r="C29" s="9">
        <v>1944.42122</v>
      </c>
      <c r="D29" s="9">
        <v>1842.912902</v>
      </c>
      <c r="E29" s="9">
        <v>1786.312658</v>
      </c>
      <c r="F29" s="9">
        <v>1742.435707</v>
      </c>
      <c r="G29" s="9">
        <v>1750.84291</v>
      </c>
      <c r="H29" s="9">
        <v>1757.986244</v>
      </c>
      <c r="I29" s="9">
        <v>2013.872788</v>
      </c>
      <c r="J29" s="9">
        <v>2472.636506</v>
      </c>
      <c r="K29" s="9">
        <v>2908.449371</v>
      </c>
      <c r="L29" s="9">
        <v>3248.819029</v>
      </c>
      <c r="M29" s="9">
        <v>3461.218666</v>
      </c>
      <c r="N29" s="9">
        <v>3558.693026</v>
      </c>
      <c r="O29" s="9">
        <v>3458.85554</v>
      </c>
      <c r="P29" s="9">
        <v>3349.234037</v>
      </c>
      <c r="Q29" s="9">
        <v>3273.991256</v>
      </c>
      <c r="R29" s="9">
        <v>3255.744707</v>
      </c>
      <c r="S29" s="9">
        <v>3216.638361</v>
      </c>
      <c r="T29" s="9">
        <v>3155.856921</v>
      </c>
      <c r="U29" s="9">
        <v>3082.652154</v>
      </c>
      <c r="V29" s="9">
        <v>2921.267773</v>
      </c>
      <c r="W29" s="9">
        <v>2672.604126</v>
      </c>
      <c r="X29" s="9">
        <v>2393.004475</v>
      </c>
      <c r="Y29" s="9">
        <v>2094.301368</v>
      </c>
      <c r="Z29" s="9">
        <v>1879.889325</v>
      </c>
      <c r="AA29" s="11">
        <f t="shared" si="1"/>
        <v>63242.64107</v>
      </c>
      <c r="AB29" s="11">
        <v>5.0</v>
      </c>
      <c r="AC29" s="11">
        <f t="shared" si="2"/>
        <v>316213.2054</v>
      </c>
      <c r="AD29" s="13"/>
    </row>
    <row r="30" ht="14.25" customHeight="1">
      <c r="A30" s="61">
        <v>48396.0</v>
      </c>
      <c r="B30" s="9" t="s">
        <v>36</v>
      </c>
      <c r="C30" s="9">
        <v>1740.94595</v>
      </c>
      <c r="D30" s="9">
        <v>1654.478322</v>
      </c>
      <c r="E30" s="9">
        <v>1574.591597</v>
      </c>
      <c r="F30" s="9">
        <v>1534.002811</v>
      </c>
      <c r="G30" s="9">
        <v>1499.780014</v>
      </c>
      <c r="H30" s="9">
        <v>1470.355259</v>
      </c>
      <c r="I30" s="9">
        <v>1517.883898</v>
      </c>
      <c r="J30" s="9">
        <v>1696.730625</v>
      </c>
      <c r="K30" s="9">
        <v>1931.959482</v>
      </c>
      <c r="L30" s="9">
        <v>2259.074969</v>
      </c>
      <c r="M30" s="9">
        <v>2523.326648</v>
      </c>
      <c r="N30" s="9">
        <v>2672.915063</v>
      </c>
      <c r="O30" s="9">
        <v>2724.442451</v>
      </c>
      <c r="P30" s="9">
        <v>2736.875839</v>
      </c>
      <c r="Q30" s="9">
        <v>2717.970834</v>
      </c>
      <c r="R30" s="9">
        <v>2704.809029</v>
      </c>
      <c r="S30" s="9">
        <v>2640.818988</v>
      </c>
      <c r="T30" s="9">
        <v>2576.744354</v>
      </c>
      <c r="U30" s="9">
        <v>2540.87496</v>
      </c>
      <c r="V30" s="9">
        <v>2414.274435</v>
      </c>
      <c r="W30" s="9">
        <v>2209.339587</v>
      </c>
      <c r="X30" s="9">
        <v>1973.991385</v>
      </c>
      <c r="Y30" s="9">
        <v>1762.25935</v>
      </c>
      <c r="Z30" s="9">
        <v>1609.021991</v>
      </c>
      <c r="AA30" s="11">
        <f t="shared" si="1"/>
        <v>50687.46784</v>
      </c>
      <c r="AB30" s="11">
        <v>6.0</v>
      </c>
      <c r="AC30" s="11">
        <f t="shared" si="2"/>
        <v>304124.807</v>
      </c>
      <c r="AD30" s="14"/>
    </row>
    <row r="31" ht="14.25" customHeight="1">
      <c r="A31" s="61">
        <v>48427.0</v>
      </c>
      <c r="B31" s="9" t="s">
        <v>34</v>
      </c>
      <c r="C31" s="9">
        <v>1789.42245</v>
      </c>
      <c r="D31" s="9">
        <v>1716.199226</v>
      </c>
      <c r="E31" s="9">
        <v>1675.242261</v>
      </c>
      <c r="F31" s="9">
        <v>1658.499934</v>
      </c>
      <c r="G31" s="9">
        <v>1684.074551</v>
      </c>
      <c r="H31" s="9">
        <v>1792.152715</v>
      </c>
      <c r="I31" s="9">
        <v>2168.520715</v>
      </c>
      <c r="J31" s="9">
        <v>2721.029537</v>
      </c>
      <c r="K31" s="9">
        <v>3183.272762</v>
      </c>
      <c r="L31" s="9">
        <v>3495.437472</v>
      </c>
      <c r="M31" s="9">
        <v>3749.40539</v>
      </c>
      <c r="N31" s="9">
        <v>3902.252663</v>
      </c>
      <c r="O31" s="9">
        <v>3850.922688</v>
      </c>
      <c r="P31" s="9">
        <v>3864.081001</v>
      </c>
      <c r="Q31" s="9">
        <v>3966.464102</v>
      </c>
      <c r="R31" s="9">
        <v>3968.138343</v>
      </c>
      <c r="S31" s="9">
        <v>3856.287608</v>
      </c>
      <c r="T31" s="9">
        <v>3598.872938</v>
      </c>
      <c r="U31" s="9">
        <v>3409.257046</v>
      </c>
      <c r="V31" s="9">
        <v>3193.822775</v>
      </c>
      <c r="W31" s="9">
        <v>2909.013839</v>
      </c>
      <c r="X31" s="9">
        <v>2585.22871</v>
      </c>
      <c r="Y31" s="9">
        <v>2240.427692</v>
      </c>
      <c r="Z31" s="9">
        <v>2005.072964</v>
      </c>
      <c r="AA31" s="11">
        <f t="shared" si="1"/>
        <v>68983.09938</v>
      </c>
      <c r="AB31" s="11">
        <v>21.0</v>
      </c>
      <c r="AC31" s="11">
        <f t="shared" si="2"/>
        <v>1448645.087</v>
      </c>
      <c r="AD31" s="12">
        <f>SUM(AC31:AC33)</f>
        <v>1993185.285</v>
      </c>
    </row>
    <row r="32" ht="14.25" customHeight="1">
      <c r="A32" s="61">
        <v>48427.0</v>
      </c>
      <c r="B32" s="9" t="s">
        <v>35</v>
      </c>
      <c r="C32" s="9">
        <v>1944.42122</v>
      </c>
      <c r="D32" s="9">
        <v>1842.912902</v>
      </c>
      <c r="E32" s="9">
        <v>1786.312658</v>
      </c>
      <c r="F32" s="9">
        <v>1742.435707</v>
      </c>
      <c r="G32" s="9">
        <v>1750.84291</v>
      </c>
      <c r="H32" s="9">
        <v>1757.986244</v>
      </c>
      <c r="I32" s="9">
        <v>2013.872788</v>
      </c>
      <c r="J32" s="9">
        <v>2472.636506</v>
      </c>
      <c r="K32" s="9">
        <v>2908.449371</v>
      </c>
      <c r="L32" s="9">
        <v>3248.819029</v>
      </c>
      <c r="M32" s="9">
        <v>3461.218666</v>
      </c>
      <c r="N32" s="9">
        <v>3558.693026</v>
      </c>
      <c r="O32" s="9">
        <v>3458.85554</v>
      </c>
      <c r="P32" s="9">
        <v>3349.234037</v>
      </c>
      <c r="Q32" s="9">
        <v>3273.991256</v>
      </c>
      <c r="R32" s="9">
        <v>3255.744707</v>
      </c>
      <c r="S32" s="9">
        <v>3216.638361</v>
      </c>
      <c r="T32" s="9">
        <v>3155.856921</v>
      </c>
      <c r="U32" s="9">
        <v>3082.652154</v>
      </c>
      <c r="V32" s="9">
        <v>2921.267773</v>
      </c>
      <c r="W32" s="9">
        <v>2672.604126</v>
      </c>
      <c r="X32" s="9">
        <v>2393.004475</v>
      </c>
      <c r="Y32" s="9">
        <v>2094.301368</v>
      </c>
      <c r="Z32" s="9">
        <v>1879.889325</v>
      </c>
      <c r="AA32" s="11">
        <f t="shared" si="1"/>
        <v>63242.64107</v>
      </c>
      <c r="AB32" s="11">
        <v>3.0</v>
      </c>
      <c r="AC32" s="11">
        <f t="shared" si="2"/>
        <v>189727.9232</v>
      </c>
      <c r="AD32" s="13"/>
    </row>
    <row r="33" ht="14.25" customHeight="1">
      <c r="A33" s="61">
        <v>48427.0</v>
      </c>
      <c r="B33" s="9" t="s">
        <v>36</v>
      </c>
      <c r="C33" s="9">
        <v>1740.94595</v>
      </c>
      <c r="D33" s="9">
        <v>1654.478322</v>
      </c>
      <c r="E33" s="9">
        <v>1574.591597</v>
      </c>
      <c r="F33" s="9">
        <v>1534.002811</v>
      </c>
      <c r="G33" s="9">
        <v>1499.780014</v>
      </c>
      <c r="H33" s="9">
        <v>1470.355259</v>
      </c>
      <c r="I33" s="9">
        <v>1517.883898</v>
      </c>
      <c r="J33" s="9">
        <v>1696.730625</v>
      </c>
      <c r="K33" s="9">
        <v>1931.959482</v>
      </c>
      <c r="L33" s="9">
        <v>2259.074969</v>
      </c>
      <c r="M33" s="9">
        <v>2523.326648</v>
      </c>
      <c r="N33" s="9">
        <v>2672.915063</v>
      </c>
      <c r="O33" s="9">
        <v>2724.442451</v>
      </c>
      <c r="P33" s="9">
        <v>2736.875839</v>
      </c>
      <c r="Q33" s="9">
        <v>2717.970834</v>
      </c>
      <c r="R33" s="9">
        <v>2704.809029</v>
      </c>
      <c r="S33" s="9">
        <v>2640.818988</v>
      </c>
      <c r="T33" s="9">
        <v>2576.744354</v>
      </c>
      <c r="U33" s="9">
        <v>2540.87496</v>
      </c>
      <c r="V33" s="9">
        <v>2414.274435</v>
      </c>
      <c r="W33" s="9">
        <v>2209.339587</v>
      </c>
      <c r="X33" s="9">
        <v>1973.991385</v>
      </c>
      <c r="Y33" s="9">
        <v>1762.25935</v>
      </c>
      <c r="Z33" s="9">
        <v>1609.021991</v>
      </c>
      <c r="AA33" s="11">
        <f t="shared" si="1"/>
        <v>50687.46784</v>
      </c>
      <c r="AB33" s="11">
        <v>7.0</v>
      </c>
      <c r="AC33" s="11">
        <f t="shared" si="2"/>
        <v>354812.2749</v>
      </c>
      <c r="AD33" s="14"/>
    </row>
    <row r="34" ht="14.25" customHeight="1">
      <c r="A34" s="61">
        <v>48458.0</v>
      </c>
      <c r="B34" s="9" t="s">
        <v>34</v>
      </c>
      <c r="C34" s="9">
        <v>1789.42245</v>
      </c>
      <c r="D34" s="9">
        <v>1716.199226</v>
      </c>
      <c r="E34" s="9">
        <v>1675.242261</v>
      </c>
      <c r="F34" s="9">
        <v>1658.499934</v>
      </c>
      <c r="G34" s="9">
        <v>1684.074551</v>
      </c>
      <c r="H34" s="9">
        <v>1792.152715</v>
      </c>
      <c r="I34" s="9">
        <v>2168.520715</v>
      </c>
      <c r="J34" s="9">
        <v>2721.029537</v>
      </c>
      <c r="K34" s="9">
        <v>3183.272762</v>
      </c>
      <c r="L34" s="9">
        <v>3495.437472</v>
      </c>
      <c r="M34" s="9">
        <v>3749.40539</v>
      </c>
      <c r="N34" s="9">
        <v>3902.252663</v>
      </c>
      <c r="O34" s="9">
        <v>3850.922688</v>
      </c>
      <c r="P34" s="9">
        <v>3864.081001</v>
      </c>
      <c r="Q34" s="9">
        <v>3966.464102</v>
      </c>
      <c r="R34" s="9">
        <v>3968.138343</v>
      </c>
      <c r="S34" s="9">
        <v>3856.287608</v>
      </c>
      <c r="T34" s="9">
        <v>3598.872938</v>
      </c>
      <c r="U34" s="9">
        <v>3409.257046</v>
      </c>
      <c r="V34" s="9">
        <v>3193.822775</v>
      </c>
      <c r="W34" s="9">
        <v>2909.013839</v>
      </c>
      <c r="X34" s="9">
        <v>2585.22871</v>
      </c>
      <c r="Y34" s="9">
        <v>2240.427692</v>
      </c>
      <c r="Z34" s="9">
        <v>2005.072964</v>
      </c>
      <c r="AA34" s="11">
        <f t="shared" si="1"/>
        <v>68983.09938</v>
      </c>
      <c r="AB34" s="11">
        <v>22.0</v>
      </c>
      <c r="AC34" s="11">
        <f t="shared" si="2"/>
        <v>1517628.186</v>
      </c>
      <c r="AD34" s="12">
        <f>SUM(AC34:AC36)</f>
        <v>1973348.622</v>
      </c>
    </row>
    <row r="35" ht="14.25" customHeight="1">
      <c r="A35" s="61">
        <v>48458.0</v>
      </c>
      <c r="B35" s="9" t="s">
        <v>35</v>
      </c>
      <c r="C35" s="9">
        <v>1944.42122</v>
      </c>
      <c r="D35" s="9">
        <v>1842.912902</v>
      </c>
      <c r="E35" s="9">
        <v>1786.312658</v>
      </c>
      <c r="F35" s="9">
        <v>1742.435707</v>
      </c>
      <c r="G35" s="9">
        <v>1750.84291</v>
      </c>
      <c r="H35" s="9">
        <v>1757.986244</v>
      </c>
      <c r="I35" s="9">
        <v>2013.872788</v>
      </c>
      <c r="J35" s="9">
        <v>2472.636506</v>
      </c>
      <c r="K35" s="9">
        <v>2908.449371</v>
      </c>
      <c r="L35" s="9">
        <v>3248.819029</v>
      </c>
      <c r="M35" s="9">
        <v>3461.218666</v>
      </c>
      <c r="N35" s="9">
        <v>3558.693026</v>
      </c>
      <c r="O35" s="9">
        <v>3458.85554</v>
      </c>
      <c r="P35" s="9">
        <v>3349.234037</v>
      </c>
      <c r="Q35" s="9">
        <v>3273.991256</v>
      </c>
      <c r="R35" s="9">
        <v>3255.744707</v>
      </c>
      <c r="S35" s="9">
        <v>3216.638361</v>
      </c>
      <c r="T35" s="9">
        <v>3155.856921</v>
      </c>
      <c r="U35" s="9">
        <v>3082.652154</v>
      </c>
      <c r="V35" s="9">
        <v>2921.267773</v>
      </c>
      <c r="W35" s="9">
        <v>2672.604126</v>
      </c>
      <c r="X35" s="9">
        <v>2393.004475</v>
      </c>
      <c r="Y35" s="9">
        <v>2094.301368</v>
      </c>
      <c r="Z35" s="9">
        <v>1879.889325</v>
      </c>
      <c r="AA35" s="11">
        <f t="shared" si="1"/>
        <v>63242.64107</v>
      </c>
      <c r="AB35" s="11">
        <v>4.0</v>
      </c>
      <c r="AC35" s="11">
        <f t="shared" si="2"/>
        <v>252970.5643</v>
      </c>
      <c r="AD35" s="13"/>
    </row>
    <row r="36" ht="14.25" customHeight="1">
      <c r="A36" s="61">
        <v>48458.0</v>
      </c>
      <c r="B36" s="9" t="s">
        <v>36</v>
      </c>
      <c r="C36" s="9">
        <v>1740.94595</v>
      </c>
      <c r="D36" s="9">
        <v>1654.478322</v>
      </c>
      <c r="E36" s="9">
        <v>1574.591597</v>
      </c>
      <c r="F36" s="9">
        <v>1534.002811</v>
      </c>
      <c r="G36" s="9">
        <v>1499.780014</v>
      </c>
      <c r="H36" s="9">
        <v>1470.355259</v>
      </c>
      <c r="I36" s="9">
        <v>1517.883898</v>
      </c>
      <c r="J36" s="9">
        <v>1696.730625</v>
      </c>
      <c r="K36" s="9">
        <v>1931.959482</v>
      </c>
      <c r="L36" s="9">
        <v>2259.074969</v>
      </c>
      <c r="M36" s="9">
        <v>2523.326648</v>
      </c>
      <c r="N36" s="9">
        <v>2672.915063</v>
      </c>
      <c r="O36" s="9">
        <v>2724.442451</v>
      </c>
      <c r="P36" s="9">
        <v>2736.875839</v>
      </c>
      <c r="Q36" s="9">
        <v>2717.970834</v>
      </c>
      <c r="R36" s="9">
        <v>2704.809029</v>
      </c>
      <c r="S36" s="9">
        <v>2640.818988</v>
      </c>
      <c r="T36" s="9">
        <v>2576.744354</v>
      </c>
      <c r="U36" s="9">
        <v>2540.87496</v>
      </c>
      <c r="V36" s="9">
        <v>2414.274435</v>
      </c>
      <c r="W36" s="9">
        <v>2209.339587</v>
      </c>
      <c r="X36" s="9">
        <v>1973.991385</v>
      </c>
      <c r="Y36" s="9">
        <v>1762.25935</v>
      </c>
      <c r="Z36" s="9">
        <v>1609.021991</v>
      </c>
      <c r="AA36" s="11">
        <f t="shared" si="1"/>
        <v>50687.46784</v>
      </c>
      <c r="AB36" s="11">
        <v>4.0</v>
      </c>
      <c r="AC36" s="11">
        <f t="shared" si="2"/>
        <v>202749.8714</v>
      </c>
      <c r="AD36" s="14"/>
    </row>
    <row r="37" ht="14.25" customHeight="1">
      <c r="A37" s="61">
        <v>48488.0</v>
      </c>
      <c r="B37" s="9" t="s">
        <v>34</v>
      </c>
      <c r="C37" s="9">
        <v>1789.42245</v>
      </c>
      <c r="D37" s="9">
        <v>1716.199226</v>
      </c>
      <c r="E37" s="9">
        <v>1675.242261</v>
      </c>
      <c r="F37" s="9">
        <v>1658.499934</v>
      </c>
      <c r="G37" s="9">
        <v>1684.074551</v>
      </c>
      <c r="H37" s="9">
        <v>1792.152715</v>
      </c>
      <c r="I37" s="9">
        <v>2168.520715</v>
      </c>
      <c r="J37" s="9">
        <v>2721.029537</v>
      </c>
      <c r="K37" s="9">
        <v>3183.272762</v>
      </c>
      <c r="L37" s="9">
        <v>3495.437472</v>
      </c>
      <c r="M37" s="9">
        <v>3749.40539</v>
      </c>
      <c r="N37" s="9">
        <v>3902.252663</v>
      </c>
      <c r="O37" s="9">
        <v>3850.922688</v>
      </c>
      <c r="P37" s="9">
        <v>3864.081001</v>
      </c>
      <c r="Q37" s="9">
        <v>3966.464102</v>
      </c>
      <c r="R37" s="9">
        <v>3968.138343</v>
      </c>
      <c r="S37" s="9">
        <v>3856.287608</v>
      </c>
      <c r="T37" s="9">
        <v>3598.872938</v>
      </c>
      <c r="U37" s="9">
        <v>3409.257046</v>
      </c>
      <c r="V37" s="9">
        <v>3193.822775</v>
      </c>
      <c r="W37" s="9">
        <v>2909.013839</v>
      </c>
      <c r="X37" s="9">
        <v>2585.22871</v>
      </c>
      <c r="Y37" s="9">
        <v>2240.427692</v>
      </c>
      <c r="Z37" s="9">
        <v>2005.072964</v>
      </c>
      <c r="AA37" s="11">
        <f t="shared" si="1"/>
        <v>68983.09938</v>
      </c>
      <c r="AB37" s="11">
        <v>20.0</v>
      </c>
      <c r="AC37" s="11">
        <f t="shared" si="2"/>
        <v>1379661.988</v>
      </c>
      <c r="AD37" s="12">
        <f>SUM(AC37:AC39)</f>
        <v>2000000</v>
      </c>
    </row>
    <row r="38" ht="14.25" customHeight="1">
      <c r="A38" s="61">
        <v>48488.0</v>
      </c>
      <c r="B38" s="9" t="s">
        <v>35</v>
      </c>
      <c r="C38" s="9">
        <v>1944.42122</v>
      </c>
      <c r="D38" s="9">
        <v>1842.912902</v>
      </c>
      <c r="E38" s="9">
        <v>1786.312658</v>
      </c>
      <c r="F38" s="9">
        <v>1742.435707</v>
      </c>
      <c r="G38" s="9">
        <v>1750.84291</v>
      </c>
      <c r="H38" s="9">
        <v>1757.986244</v>
      </c>
      <c r="I38" s="9">
        <v>2013.872788</v>
      </c>
      <c r="J38" s="9">
        <v>2472.636506</v>
      </c>
      <c r="K38" s="9">
        <v>2908.449371</v>
      </c>
      <c r="L38" s="9">
        <v>3248.819029</v>
      </c>
      <c r="M38" s="9">
        <v>3461.218666</v>
      </c>
      <c r="N38" s="9">
        <v>3558.693026</v>
      </c>
      <c r="O38" s="9">
        <v>3458.85554</v>
      </c>
      <c r="P38" s="9">
        <v>3349.234037</v>
      </c>
      <c r="Q38" s="9">
        <v>3273.991256</v>
      </c>
      <c r="R38" s="9">
        <v>3255.744707</v>
      </c>
      <c r="S38" s="9">
        <v>3216.638361</v>
      </c>
      <c r="T38" s="9">
        <v>3155.856921</v>
      </c>
      <c r="U38" s="9">
        <v>3082.652154</v>
      </c>
      <c r="V38" s="9">
        <v>2921.267773</v>
      </c>
      <c r="W38" s="9">
        <v>2672.604126</v>
      </c>
      <c r="X38" s="9">
        <v>2393.004475</v>
      </c>
      <c r="Y38" s="9">
        <v>2094.301368</v>
      </c>
      <c r="Z38" s="9">
        <v>1879.889325</v>
      </c>
      <c r="AA38" s="11">
        <f t="shared" si="1"/>
        <v>63242.64107</v>
      </c>
      <c r="AB38" s="11">
        <v>5.0</v>
      </c>
      <c r="AC38" s="11">
        <f t="shared" si="2"/>
        <v>316213.2054</v>
      </c>
      <c r="AD38" s="13"/>
    </row>
    <row r="39" ht="14.25" customHeight="1">
      <c r="A39" s="61">
        <v>48488.0</v>
      </c>
      <c r="B39" s="9" t="s">
        <v>36</v>
      </c>
      <c r="C39" s="9">
        <v>1740.94595</v>
      </c>
      <c r="D39" s="9">
        <v>1654.478322</v>
      </c>
      <c r="E39" s="9">
        <v>1574.591597</v>
      </c>
      <c r="F39" s="9">
        <v>1534.002811</v>
      </c>
      <c r="G39" s="9">
        <v>1499.780014</v>
      </c>
      <c r="H39" s="9">
        <v>1470.355259</v>
      </c>
      <c r="I39" s="9">
        <v>1517.883898</v>
      </c>
      <c r="J39" s="9">
        <v>1696.730625</v>
      </c>
      <c r="K39" s="9">
        <v>1931.959482</v>
      </c>
      <c r="L39" s="9">
        <v>2259.074969</v>
      </c>
      <c r="M39" s="9">
        <v>2523.326648</v>
      </c>
      <c r="N39" s="9">
        <v>2672.915063</v>
      </c>
      <c r="O39" s="9">
        <v>2724.442451</v>
      </c>
      <c r="P39" s="9">
        <v>2736.875839</v>
      </c>
      <c r="Q39" s="9">
        <v>2717.970834</v>
      </c>
      <c r="R39" s="9">
        <v>2704.809029</v>
      </c>
      <c r="S39" s="9">
        <v>2640.818988</v>
      </c>
      <c r="T39" s="9">
        <v>2576.744354</v>
      </c>
      <c r="U39" s="9">
        <v>2540.87496</v>
      </c>
      <c r="V39" s="9">
        <v>2414.274435</v>
      </c>
      <c r="W39" s="9">
        <v>2209.339587</v>
      </c>
      <c r="X39" s="9">
        <v>1973.991385</v>
      </c>
      <c r="Y39" s="9">
        <v>1762.25935</v>
      </c>
      <c r="Z39" s="9">
        <v>1609.021991</v>
      </c>
      <c r="AA39" s="11">
        <f t="shared" si="1"/>
        <v>50687.46784</v>
      </c>
      <c r="AB39" s="11">
        <v>6.0</v>
      </c>
      <c r="AC39" s="11">
        <f t="shared" si="2"/>
        <v>304124.807</v>
      </c>
      <c r="AD39" s="14"/>
    </row>
    <row r="40" ht="14.25" customHeight="1">
      <c r="A40" s="61">
        <v>48519.0</v>
      </c>
      <c r="B40" s="9" t="s">
        <v>34</v>
      </c>
      <c r="C40" s="9">
        <v>1789.42245</v>
      </c>
      <c r="D40" s="9">
        <v>1716.199226</v>
      </c>
      <c r="E40" s="9">
        <v>1675.242261</v>
      </c>
      <c r="F40" s="9">
        <v>1658.499934</v>
      </c>
      <c r="G40" s="9">
        <v>1684.074551</v>
      </c>
      <c r="H40" s="9">
        <v>1792.152715</v>
      </c>
      <c r="I40" s="9">
        <v>2168.520715</v>
      </c>
      <c r="J40" s="9">
        <v>2721.029537</v>
      </c>
      <c r="K40" s="9">
        <v>3183.272762</v>
      </c>
      <c r="L40" s="9">
        <v>3495.437472</v>
      </c>
      <c r="M40" s="9">
        <v>3749.40539</v>
      </c>
      <c r="N40" s="9">
        <v>3902.252663</v>
      </c>
      <c r="O40" s="9">
        <v>3850.922688</v>
      </c>
      <c r="P40" s="9">
        <v>3864.081001</v>
      </c>
      <c r="Q40" s="9">
        <v>3966.464102</v>
      </c>
      <c r="R40" s="9">
        <v>3968.138343</v>
      </c>
      <c r="S40" s="9">
        <v>3856.287608</v>
      </c>
      <c r="T40" s="9">
        <v>3598.872938</v>
      </c>
      <c r="U40" s="9">
        <v>3409.257046</v>
      </c>
      <c r="V40" s="9">
        <v>3193.822775</v>
      </c>
      <c r="W40" s="9">
        <v>2909.013839</v>
      </c>
      <c r="X40" s="9">
        <v>2585.22871</v>
      </c>
      <c r="Y40" s="9">
        <v>2240.427692</v>
      </c>
      <c r="Z40" s="9">
        <v>2005.072964</v>
      </c>
      <c r="AA40" s="11">
        <f t="shared" si="1"/>
        <v>68983.09938</v>
      </c>
      <c r="AB40" s="11">
        <v>20.0</v>
      </c>
      <c r="AC40" s="11">
        <f t="shared" si="2"/>
        <v>1379661.988</v>
      </c>
      <c r="AD40" s="12">
        <f>SUM(AC40:AC42)</f>
        <v>1936757.359</v>
      </c>
    </row>
    <row r="41" ht="14.25" customHeight="1">
      <c r="A41" s="61">
        <v>48519.0</v>
      </c>
      <c r="B41" s="9" t="s">
        <v>35</v>
      </c>
      <c r="C41" s="9">
        <v>1944.42122</v>
      </c>
      <c r="D41" s="9">
        <v>1842.912902</v>
      </c>
      <c r="E41" s="9">
        <v>1786.312658</v>
      </c>
      <c r="F41" s="9">
        <v>1742.435707</v>
      </c>
      <c r="G41" s="9">
        <v>1750.84291</v>
      </c>
      <c r="H41" s="9">
        <v>1757.986244</v>
      </c>
      <c r="I41" s="9">
        <v>2013.872788</v>
      </c>
      <c r="J41" s="9">
        <v>2472.636506</v>
      </c>
      <c r="K41" s="9">
        <v>2908.449371</v>
      </c>
      <c r="L41" s="9">
        <v>3248.819029</v>
      </c>
      <c r="M41" s="9">
        <v>3461.218666</v>
      </c>
      <c r="N41" s="9">
        <v>3558.693026</v>
      </c>
      <c r="O41" s="9">
        <v>3458.85554</v>
      </c>
      <c r="P41" s="9">
        <v>3349.234037</v>
      </c>
      <c r="Q41" s="9">
        <v>3273.991256</v>
      </c>
      <c r="R41" s="9">
        <v>3255.744707</v>
      </c>
      <c r="S41" s="9">
        <v>3216.638361</v>
      </c>
      <c r="T41" s="9">
        <v>3155.856921</v>
      </c>
      <c r="U41" s="9">
        <v>3082.652154</v>
      </c>
      <c r="V41" s="9">
        <v>2921.267773</v>
      </c>
      <c r="W41" s="9">
        <v>2672.604126</v>
      </c>
      <c r="X41" s="9">
        <v>2393.004475</v>
      </c>
      <c r="Y41" s="9">
        <v>2094.301368</v>
      </c>
      <c r="Z41" s="9">
        <v>1879.889325</v>
      </c>
      <c r="AA41" s="11">
        <f t="shared" si="1"/>
        <v>63242.64107</v>
      </c>
      <c r="AB41" s="11">
        <v>4.0</v>
      </c>
      <c r="AC41" s="11">
        <f t="shared" si="2"/>
        <v>252970.5643</v>
      </c>
      <c r="AD41" s="13"/>
    </row>
    <row r="42" ht="14.25" customHeight="1">
      <c r="A42" s="61">
        <v>48519.0</v>
      </c>
      <c r="B42" s="9" t="s">
        <v>36</v>
      </c>
      <c r="C42" s="9">
        <v>1740.94595</v>
      </c>
      <c r="D42" s="9">
        <v>1654.478322</v>
      </c>
      <c r="E42" s="9">
        <v>1574.591597</v>
      </c>
      <c r="F42" s="9">
        <v>1534.002811</v>
      </c>
      <c r="G42" s="9">
        <v>1499.780014</v>
      </c>
      <c r="H42" s="9">
        <v>1470.355259</v>
      </c>
      <c r="I42" s="9">
        <v>1517.883898</v>
      </c>
      <c r="J42" s="9">
        <v>1696.730625</v>
      </c>
      <c r="K42" s="9">
        <v>1931.959482</v>
      </c>
      <c r="L42" s="9">
        <v>2259.074969</v>
      </c>
      <c r="M42" s="9">
        <v>2523.326648</v>
      </c>
      <c r="N42" s="9">
        <v>2672.915063</v>
      </c>
      <c r="O42" s="9">
        <v>2724.442451</v>
      </c>
      <c r="P42" s="9">
        <v>2736.875839</v>
      </c>
      <c r="Q42" s="9">
        <v>2717.970834</v>
      </c>
      <c r="R42" s="9">
        <v>2704.809029</v>
      </c>
      <c r="S42" s="9">
        <v>2640.818988</v>
      </c>
      <c r="T42" s="9">
        <v>2576.744354</v>
      </c>
      <c r="U42" s="9">
        <v>2540.87496</v>
      </c>
      <c r="V42" s="9">
        <v>2414.274435</v>
      </c>
      <c r="W42" s="9">
        <v>2209.339587</v>
      </c>
      <c r="X42" s="9">
        <v>1973.991385</v>
      </c>
      <c r="Y42" s="9">
        <v>1762.25935</v>
      </c>
      <c r="Z42" s="9">
        <v>1609.021991</v>
      </c>
      <c r="AA42" s="11">
        <f t="shared" si="1"/>
        <v>50687.46784</v>
      </c>
      <c r="AB42" s="11">
        <v>6.0</v>
      </c>
      <c r="AC42" s="11">
        <f t="shared" si="2"/>
        <v>304124.807</v>
      </c>
      <c r="AD42" s="14"/>
    </row>
    <row r="43" ht="14.25" customHeight="1">
      <c r="A43" s="61">
        <v>48549.0</v>
      </c>
      <c r="B43" s="9" t="s">
        <v>34</v>
      </c>
      <c r="C43" s="9">
        <v>1789.42245</v>
      </c>
      <c r="D43" s="9">
        <v>1716.199226</v>
      </c>
      <c r="E43" s="9">
        <v>1675.242261</v>
      </c>
      <c r="F43" s="9">
        <v>1658.499934</v>
      </c>
      <c r="G43" s="9">
        <v>1684.074551</v>
      </c>
      <c r="H43" s="9">
        <v>1792.152715</v>
      </c>
      <c r="I43" s="9">
        <v>2168.520715</v>
      </c>
      <c r="J43" s="9">
        <v>2721.029537</v>
      </c>
      <c r="K43" s="9">
        <v>3183.272762</v>
      </c>
      <c r="L43" s="9">
        <v>3495.437472</v>
      </c>
      <c r="M43" s="9">
        <v>3749.40539</v>
      </c>
      <c r="N43" s="9">
        <v>3902.252663</v>
      </c>
      <c r="O43" s="9">
        <v>3850.922688</v>
      </c>
      <c r="P43" s="9">
        <v>3864.081001</v>
      </c>
      <c r="Q43" s="9">
        <v>3966.464102</v>
      </c>
      <c r="R43" s="9">
        <v>3968.138343</v>
      </c>
      <c r="S43" s="9">
        <v>3856.287608</v>
      </c>
      <c r="T43" s="9">
        <v>3598.872938</v>
      </c>
      <c r="U43" s="9">
        <v>3409.257046</v>
      </c>
      <c r="V43" s="9">
        <v>3193.822775</v>
      </c>
      <c r="W43" s="9">
        <v>2909.013839</v>
      </c>
      <c r="X43" s="9">
        <v>2585.22871</v>
      </c>
      <c r="Y43" s="9">
        <v>2240.427692</v>
      </c>
      <c r="Z43" s="9">
        <v>2005.072964</v>
      </c>
      <c r="AA43" s="11">
        <f t="shared" si="1"/>
        <v>68983.09938</v>
      </c>
      <c r="AB43" s="11">
        <v>22.0</v>
      </c>
      <c r="AC43" s="11">
        <f t="shared" si="2"/>
        <v>1517628.186</v>
      </c>
      <c r="AD43" s="12">
        <f>SUM(AC43:AC45)</f>
        <v>2011480.917</v>
      </c>
    </row>
    <row r="44" ht="14.25" customHeight="1">
      <c r="A44" s="61">
        <v>48549.0</v>
      </c>
      <c r="B44" s="9" t="s">
        <v>35</v>
      </c>
      <c r="C44" s="9">
        <v>1944.42122</v>
      </c>
      <c r="D44" s="9">
        <v>1842.912902</v>
      </c>
      <c r="E44" s="9">
        <v>1786.312658</v>
      </c>
      <c r="F44" s="9">
        <v>1742.435707</v>
      </c>
      <c r="G44" s="9">
        <v>1750.84291</v>
      </c>
      <c r="H44" s="9">
        <v>1757.986244</v>
      </c>
      <c r="I44" s="9">
        <v>2013.872788</v>
      </c>
      <c r="J44" s="9">
        <v>2472.636506</v>
      </c>
      <c r="K44" s="9">
        <v>2908.449371</v>
      </c>
      <c r="L44" s="9">
        <v>3248.819029</v>
      </c>
      <c r="M44" s="9">
        <v>3461.218666</v>
      </c>
      <c r="N44" s="9">
        <v>3558.693026</v>
      </c>
      <c r="O44" s="9">
        <v>3458.85554</v>
      </c>
      <c r="P44" s="9">
        <v>3349.234037</v>
      </c>
      <c r="Q44" s="9">
        <v>3273.991256</v>
      </c>
      <c r="R44" s="9">
        <v>3255.744707</v>
      </c>
      <c r="S44" s="9">
        <v>3216.638361</v>
      </c>
      <c r="T44" s="9">
        <v>3155.856921</v>
      </c>
      <c r="U44" s="9">
        <v>3082.652154</v>
      </c>
      <c r="V44" s="9">
        <v>2921.267773</v>
      </c>
      <c r="W44" s="9">
        <v>2672.604126</v>
      </c>
      <c r="X44" s="9">
        <v>2393.004475</v>
      </c>
      <c r="Y44" s="9">
        <v>2094.301368</v>
      </c>
      <c r="Z44" s="9">
        <v>1879.889325</v>
      </c>
      <c r="AA44" s="11">
        <f t="shared" si="1"/>
        <v>63242.64107</v>
      </c>
      <c r="AB44" s="11">
        <v>3.0</v>
      </c>
      <c r="AC44" s="11">
        <f t="shared" si="2"/>
        <v>189727.9232</v>
      </c>
      <c r="AD44" s="13"/>
    </row>
    <row r="45" ht="14.25" customHeight="1">
      <c r="A45" s="61">
        <v>48549.0</v>
      </c>
      <c r="B45" s="9" t="s">
        <v>36</v>
      </c>
      <c r="C45" s="9">
        <v>1740.94595</v>
      </c>
      <c r="D45" s="9">
        <v>1654.478322</v>
      </c>
      <c r="E45" s="9">
        <v>1574.591597</v>
      </c>
      <c r="F45" s="9">
        <v>1534.002811</v>
      </c>
      <c r="G45" s="9">
        <v>1499.780014</v>
      </c>
      <c r="H45" s="9">
        <v>1470.355259</v>
      </c>
      <c r="I45" s="9">
        <v>1517.883898</v>
      </c>
      <c r="J45" s="9">
        <v>1696.730625</v>
      </c>
      <c r="K45" s="9">
        <v>1931.959482</v>
      </c>
      <c r="L45" s="9">
        <v>2259.074969</v>
      </c>
      <c r="M45" s="9">
        <v>2523.326648</v>
      </c>
      <c r="N45" s="9">
        <v>2672.915063</v>
      </c>
      <c r="O45" s="9">
        <v>2724.442451</v>
      </c>
      <c r="P45" s="9">
        <v>2736.875839</v>
      </c>
      <c r="Q45" s="9">
        <v>2717.970834</v>
      </c>
      <c r="R45" s="9">
        <v>2704.809029</v>
      </c>
      <c r="S45" s="9">
        <v>2640.818988</v>
      </c>
      <c r="T45" s="9">
        <v>2576.744354</v>
      </c>
      <c r="U45" s="9">
        <v>2540.87496</v>
      </c>
      <c r="V45" s="9">
        <v>2414.274435</v>
      </c>
      <c r="W45" s="9">
        <v>2209.339587</v>
      </c>
      <c r="X45" s="9">
        <v>1973.991385</v>
      </c>
      <c r="Y45" s="9">
        <v>1762.25935</v>
      </c>
      <c r="Z45" s="9">
        <v>1609.021991</v>
      </c>
      <c r="AA45" s="11">
        <f t="shared" si="1"/>
        <v>50687.46784</v>
      </c>
      <c r="AB45" s="11">
        <v>6.0</v>
      </c>
      <c r="AC45" s="11">
        <f t="shared" si="2"/>
        <v>304124.807</v>
      </c>
      <c r="AD45" s="14"/>
    </row>
    <row r="46" ht="14.25" customHeight="1">
      <c r="AB46" s="15" t="s">
        <v>32</v>
      </c>
      <c r="AC46" s="11">
        <f t="shared" ref="AC46:AD46" si="3">SUM(AC10:AC45)</f>
        <v>23685837.71</v>
      </c>
      <c r="AD46" s="11">
        <f t="shared" si="3"/>
        <v>23685837.71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6" t="s">
        <v>3</v>
      </c>
    </row>
    <row r="5" ht="14.25" customHeight="1">
      <c r="A5" s="17"/>
      <c r="B5" s="18" t="s">
        <v>70</v>
      </c>
    </row>
    <row r="6" ht="14.25" customHeight="1">
      <c r="A6" s="17"/>
      <c r="B6" s="18" t="s">
        <v>38</v>
      </c>
    </row>
    <row r="7" ht="14.25" customHeight="1">
      <c r="A7" s="17"/>
      <c r="B7" s="19" t="s">
        <v>39</v>
      </c>
    </row>
    <row r="8" ht="14.25" customHeight="1">
      <c r="A8" s="17"/>
      <c r="B8" s="20" t="s">
        <v>40</v>
      </c>
    </row>
    <row r="9" ht="14.25" customHeight="1">
      <c r="A9" s="17"/>
      <c r="B9" s="19"/>
      <c r="C9" s="19"/>
      <c r="D9" s="19"/>
      <c r="E9" s="19"/>
    </row>
    <row r="10" ht="14.25" customHeight="1">
      <c r="A10" s="17"/>
      <c r="B10" s="21" t="s">
        <v>41</v>
      </c>
      <c r="C10" s="22"/>
      <c r="D10" s="22"/>
      <c r="E10" s="22"/>
      <c r="F10" s="23"/>
    </row>
    <row r="11">
      <c r="A11" s="17"/>
      <c r="B11" s="24" t="s">
        <v>4</v>
      </c>
      <c r="C11" s="25" t="s">
        <v>42</v>
      </c>
      <c r="D11" s="51" t="s">
        <v>43</v>
      </c>
      <c r="E11" s="26" t="s">
        <v>44</v>
      </c>
      <c r="F11" s="52" t="s">
        <v>45</v>
      </c>
    </row>
    <row r="12" ht="14.25" customHeight="1">
      <c r="A12" s="17"/>
      <c r="B12" s="73">
        <v>48214.0</v>
      </c>
      <c r="C12" s="74">
        <f>'Cant. Requeridas Producto 6'!AD10</f>
        <v>2000000</v>
      </c>
      <c r="D12" s="64"/>
      <c r="E12" s="31">
        <f t="shared" ref="E12:E23" si="1">C12*$D$12</f>
        <v>0</v>
      </c>
      <c r="F12" s="65"/>
    </row>
    <row r="13" ht="14.25" customHeight="1">
      <c r="A13" s="17"/>
      <c r="B13" s="28">
        <v>48245.0</v>
      </c>
      <c r="C13" s="36">
        <f>'Cant. Requeridas Producto 6'!AD13</f>
        <v>1886069.891</v>
      </c>
      <c r="D13" s="66"/>
      <c r="E13" s="34">
        <f t="shared" si="1"/>
        <v>0</v>
      </c>
      <c r="F13" s="67"/>
    </row>
    <row r="14" ht="14.25" customHeight="1">
      <c r="A14" s="17"/>
      <c r="B14" s="28">
        <v>48274.0</v>
      </c>
      <c r="C14" s="36">
        <f>'Cant. Requeridas Producto 6'!AD16</f>
        <v>1987444.827</v>
      </c>
      <c r="D14" s="66"/>
      <c r="E14" s="34">
        <f t="shared" si="1"/>
        <v>0</v>
      </c>
      <c r="F14" s="67"/>
    </row>
    <row r="15" ht="14.25" customHeight="1">
      <c r="A15" s="17"/>
      <c r="B15" s="28">
        <v>48305.0</v>
      </c>
      <c r="C15" s="36">
        <f>'Cant. Requeridas Producto 6'!AD19</f>
        <v>1973348.622</v>
      </c>
      <c r="D15" s="66"/>
      <c r="E15" s="34">
        <f t="shared" si="1"/>
        <v>0</v>
      </c>
      <c r="F15" s="67"/>
    </row>
    <row r="16" ht="14.25" customHeight="1">
      <c r="A16" s="17"/>
      <c r="B16" s="28">
        <v>48335.0</v>
      </c>
      <c r="C16" s="36">
        <f>'Cant. Requeridas Producto 6'!AD22</f>
        <v>1969149.195</v>
      </c>
      <c r="D16" s="66"/>
      <c r="E16" s="34">
        <f t="shared" si="1"/>
        <v>0</v>
      </c>
      <c r="F16" s="67"/>
    </row>
    <row r="17" ht="14.25" customHeight="1">
      <c r="A17" s="17"/>
      <c r="B17" s="28">
        <v>48366.0</v>
      </c>
      <c r="C17" s="36">
        <f>'Cant. Requeridas Producto 6'!AD25</f>
        <v>1955052.991</v>
      </c>
      <c r="D17" s="66"/>
      <c r="E17" s="34">
        <f t="shared" si="1"/>
        <v>0</v>
      </c>
      <c r="F17" s="67"/>
    </row>
    <row r="18" ht="14.25" customHeight="1">
      <c r="A18" s="17"/>
      <c r="B18" s="28">
        <v>48396.0</v>
      </c>
      <c r="C18" s="36">
        <f>'Cant. Requeridas Producto 6'!AD28</f>
        <v>2000000</v>
      </c>
      <c r="D18" s="66"/>
      <c r="E18" s="34">
        <f t="shared" si="1"/>
        <v>0</v>
      </c>
      <c r="F18" s="67"/>
    </row>
    <row r="19" ht="14.25" customHeight="1">
      <c r="A19" s="17"/>
      <c r="B19" s="28">
        <v>48427.0</v>
      </c>
      <c r="C19" s="36">
        <f>'Cant. Requeridas Producto 6'!AD31</f>
        <v>1993185.285</v>
      </c>
      <c r="D19" s="66"/>
      <c r="E19" s="34">
        <f t="shared" si="1"/>
        <v>0</v>
      </c>
      <c r="F19" s="67"/>
    </row>
    <row r="20" ht="14.25" customHeight="1">
      <c r="A20" s="17"/>
      <c r="B20" s="28">
        <v>48458.0</v>
      </c>
      <c r="C20" s="36">
        <f>'Cant. Requeridas Producto 6'!AD34</f>
        <v>1973348.622</v>
      </c>
      <c r="D20" s="66"/>
      <c r="E20" s="34">
        <f t="shared" si="1"/>
        <v>0</v>
      </c>
      <c r="F20" s="67"/>
    </row>
    <row r="21" ht="14.25" customHeight="1">
      <c r="A21" s="17"/>
      <c r="B21" s="28">
        <v>48488.0</v>
      </c>
      <c r="C21" s="36">
        <f>'Cant. Requeridas Producto 6'!AD37</f>
        <v>2000000</v>
      </c>
      <c r="D21" s="66"/>
      <c r="E21" s="34">
        <f t="shared" si="1"/>
        <v>0</v>
      </c>
      <c r="F21" s="67"/>
    </row>
    <row r="22" ht="14.25" customHeight="1">
      <c r="A22" s="17"/>
      <c r="B22" s="28">
        <v>48519.0</v>
      </c>
      <c r="C22" s="36">
        <f>'Cant. Requeridas Producto 6'!AD40</f>
        <v>1936757.359</v>
      </c>
      <c r="D22" s="66"/>
      <c r="E22" s="34">
        <f t="shared" si="1"/>
        <v>0</v>
      </c>
      <c r="F22" s="67"/>
    </row>
    <row r="23" ht="14.25" customHeight="1">
      <c r="A23" s="17"/>
      <c r="B23" s="28">
        <v>48549.0</v>
      </c>
      <c r="C23" s="36">
        <f>'Cant. Requeridas Producto 6'!AD43</f>
        <v>2011480.917</v>
      </c>
      <c r="D23" s="70"/>
      <c r="E23" s="38">
        <f t="shared" si="1"/>
        <v>0</v>
      </c>
      <c r="F23" s="71"/>
    </row>
    <row r="24" ht="14.25" customHeight="1">
      <c r="A24" s="17"/>
      <c r="B24" s="40" t="s">
        <v>32</v>
      </c>
      <c r="C24" s="41">
        <f>SUM(C12:C23)</f>
        <v>23685837.71</v>
      </c>
      <c r="D24" s="55"/>
      <c r="E24" s="43">
        <f>SUM(E12:E23)</f>
        <v>0</v>
      </c>
      <c r="F24" s="55"/>
    </row>
    <row r="25" ht="14.25" customHeight="1">
      <c r="A25" s="17"/>
      <c r="B25" s="19"/>
      <c r="C25" s="44"/>
      <c r="D25" s="19"/>
      <c r="E25" s="19"/>
    </row>
    <row r="26" ht="14.25" customHeight="1">
      <c r="C26" s="45"/>
    </row>
    <row r="27" ht="30.0" customHeight="1">
      <c r="B27" s="46" t="s">
        <v>46</v>
      </c>
      <c r="E27" s="47"/>
    </row>
    <row r="28" ht="44.25" customHeight="1">
      <c r="B28" s="46" t="s">
        <v>67</v>
      </c>
      <c r="F28" s="46"/>
      <c r="I28" s="46"/>
    </row>
    <row r="29" ht="33.75" customHeight="1">
      <c r="B29" s="46" t="s">
        <v>59</v>
      </c>
      <c r="F29" s="48"/>
    </row>
    <row r="30" ht="14.25" customHeight="1"/>
    <row r="31" ht="14.25" customHeight="1"/>
    <row r="32" ht="14.25" customHeight="1"/>
    <row r="33" ht="14.25" customHeight="1">
      <c r="B33" s="49"/>
      <c r="C33" s="49"/>
    </row>
    <row r="34" ht="14.25" customHeight="1">
      <c r="B34" s="5" t="s">
        <v>49</v>
      </c>
    </row>
    <row r="35" ht="14.25" customHeight="1">
      <c r="B35" s="5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2">
    <mergeCell ref="D12:D23"/>
    <mergeCell ref="B27:D27"/>
    <mergeCell ref="B28:E28"/>
    <mergeCell ref="I28:N28"/>
    <mergeCell ref="B29:E29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2022-08-03T18:43:37Z</dcterms:created>
  <dc:creator>Head of trading BIA</dc:creator>
</cp:coreProperties>
</file>