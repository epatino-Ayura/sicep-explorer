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sorcontrapc\Dropbox\EEBP SA ESP 2024-2025\EEBP 2025\CONTRATOS\CTTOS SICEP\PROCESO CP-EBPC2025-003\"/>
    </mc:Choice>
  </mc:AlternateContent>
  <xr:revisionPtr revIDLastSave="0" documentId="13_ncr:1_{D53A414C-2DC6-45B7-977E-EC123BC965BF}" xr6:coauthVersionLast="45" xr6:coauthVersionMax="47" xr10:uidLastSave="{00000000-0000-0000-0000-000000000000}"/>
  <bookViews>
    <workbookView xWindow="-113" yWindow="-113" windowWidth="20260" windowHeight="11057" firstSheet="1" activeTab="1" xr2:uid="{2FA2704F-2826-429A-8666-74E917D319C5}"/>
  </bookViews>
  <sheets>
    <sheet name="Curv hora 2029 - 2033 (100%)" sheetId="1" state="hidden" r:id="rId1"/>
    <sheet name="Curv hora 2029 - 2033" sheetId="2" r:id="rId2"/>
    <sheet name="Cantidad maxima 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2052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2052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2">'Cantidad maxima '!$A$2:$E$83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88" i="2" l="1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E9" i="2"/>
  <c r="AC197" i="2"/>
  <c r="AC196" i="2"/>
  <c r="AC195" i="2"/>
  <c r="AC194" i="2"/>
  <c r="AC193" i="2"/>
  <c r="D192" i="2"/>
  <c r="AC192" i="2" s="1"/>
  <c r="B186" i="2"/>
  <c r="B183" i="2"/>
  <c r="B180" i="2"/>
  <c r="B177" i="2"/>
  <c r="B174" i="2"/>
  <c r="B171" i="2"/>
  <c r="B168" i="2"/>
  <c r="B165" i="2"/>
  <c r="B162" i="2"/>
  <c r="B159" i="2"/>
  <c r="B156" i="2"/>
  <c r="B153" i="2"/>
  <c r="B150" i="2"/>
  <c r="B147" i="2"/>
  <c r="B144" i="2"/>
  <c r="B141" i="2"/>
  <c r="B138" i="2"/>
  <c r="B135" i="2"/>
  <c r="B132" i="2"/>
  <c r="B129" i="2"/>
  <c r="B126" i="2"/>
  <c r="B123" i="2"/>
  <c r="B120" i="2"/>
  <c r="B117" i="2"/>
  <c r="B114" i="2"/>
  <c r="B111" i="2"/>
  <c r="B108" i="2"/>
  <c r="B105" i="2"/>
  <c r="B102" i="2"/>
  <c r="B99" i="2"/>
  <c r="B96" i="2"/>
  <c r="B93" i="2"/>
  <c r="B90" i="2"/>
  <c r="B87" i="2"/>
  <c r="B84" i="2"/>
  <c r="B81" i="2"/>
  <c r="B78" i="2"/>
  <c r="B75" i="2"/>
  <c r="B72" i="2"/>
  <c r="B69" i="2"/>
  <c r="B66" i="2"/>
  <c r="B63" i="2"/>
  <c r="B60" i="2"/>
  <c r="B57" i="2"/>
  <c r="B54" i="2"/>
  <c r="B51" i="2"/>
  <c r="B48" i="2"/>
  <c r="B45" i="2"/>
  <c r="B42" i="2"/>
  <c r="B39" i="2"/>
  <c r="B36" i="2"/>
  <c r="B33" i="2"/>
  <c r="B30" i="2"/>
  <c r="B27" i="2"/>
  <c r="B24" i="2"/>
  <c r="B21" i="2"/>
  <c r="B18" i="2"/>
  <c r="B15" i="2"/>
  <c r="B12" i="2"/>
  <c r="B9" i="2"/>
  <c r="AC197" i="1"/>
  <c r="AC196" i="1"/>
  <c r="AC195" i="1"/>
  <c r="AC194" i="1"/>
  <c r="AC193" i="1"/>
  <c r="D192" i="1"/>
  <c r="AC192" i="1" s="1"/>
  <c r="AC186" i="1"/>
  <c r="B186" i="1"/>
  <c r="AC183" i="1"/>
  <c r="B183" i="1"/>
  <c r="AC180" i="1"/>
  <c r="B180" i="1"/>
  <c r="AC177" i="1"/>
  <c r="B177" i="1"/>
  <c r="AC174" i="1"/>
  <c r="B174" i="1"/>
  <c r="AC171" i="1"/>
  <c r="B171" i="1"/>
  <c r="AC168" i="1"/>
  <c r="B168" i="1"/>
  <c r="AC165" i="1"/>
  <c r="B165" i="1"/>
  <c r="AC162" i="1"/>
  <c r="B162" i="1"/>
  <c r="AC159" i="1"/>
  <c r="B159" i="1"/>
  <c r="AC156" i="1"/>
  <c r="B156" i="1"/>
  <c r="AC153" i="1"/>
  <c r="B153" i="1"/>
  <c r="AC150" i="1"/>
  <c r="B150" i="1"/>
  <c r="AC147" i="1"/>
  <c r="B147" i="1"/>
  <c r="AC144" i="1"/>
  <c r="B144" i="1"/>
  <c r="AC141" i="1"/>
  <c r="B141" i="1"/>
  <c r="AC138" i="1"/>
  <c r="B138" i="1"/>
  <c r="AC135" i="1"/>
  <c r="B135" i="1"/>
  <c r="AC132" i="1"/>
  <c r="B132" i="1"/>
  <c r="AC129" i="1"/>
  <c r="B129" i="1"/>
  <c r="AC126" i="1"/>
  <c r="B126" i="1"/>
  <c r="AC123" i="1"/>
  <c r="B123" i="1"/>
  <c r="AC120" i="1"/>
  <c r="B120" i="1"/>
  <c r="AC117" i="1"/>
  <c r="B117" i="1"/>
  <c r="AC114" i="1"/>
  <c r="B114" i="1"/>
  <c r="AC111" i="1"/>
  <c r="B111" i="1"/>
  <c r="AC108" i="1"/>
  <c r="B108" i="1"/>
  <c r="AC105" i="1"/>
  <c r="B105" i="1"/>
  <c r="AC102" i="1"/>
  <c r="B102" i="1"/>
  <c r="AC99" i="1"/>
  <c r="B99" i="1"/>
  <c r="AC96" i="1"/>
  <c r="B96" i="1"/>
  <c r="AC93" i="1"/>
  <c r="B93" i="1"/>
  <c r="AC90" i="1"/>
  <c r="B90" i="1"/>
  <c r="AC87" i="1"/>
  <c r="B87" i="1"/>
  <c r="AC84" i="1"/>
  <c r="B84" i="1"/>
  <c r="AC81" i="1"/>
  <c r="B81" i="1"/>
  <c r="AC78" i="1"/>
  <c r="B78" i="1"/>
  <c r="AC75" i="1"/>
  <c r="B75" i="1"/>
  <c r="AC72" i="1"/>
  <c r="B72" i="1"/>
  <c r="AC69" i="1"/>
  <c r="B69" i="1"/>
  <c r="AC66" i="1"/>
  <c r="B66" i="1"/>
  <c r="AC63" i="1"/>
  <c r="B63" i="1"/>
  <c r="AC60" i="1"/>
  <c r="B60" i="1"/>
  <c r="AC57" i="1"/>
  <c r="B57" i="1"/>
  <c r="AC54" i="1"/>
  <c r="B54" i="1"/>
  <c r="AC51" i="1"/>
  <c r="B51" i="1"/>
  <c r="AC48" i="1"/>
  <c r="B48" i="1"/>
  <c r="AC45" i="1"/>
  <c r="B45" i="1"/>
  <c r="AC42" i="1"/>
  <c r="B42" i="1"/>
  <c r="AC39" i="1"/>
  <c r="B39" i="1"/>
  <c r="AC36" i="1"/>
  <c r="B36" i="1"/>
  <c r="AC33" i="1"/>
  <c r="B33" i="1"/>
  <c r="AC30" i="1"/>
  <c r="B30" i="1"/>
  <c r="AC27" i="1"/>
  <c r="B27" i="1"/>
  <c r="AC24" i="1"/>
  <c r="B24" i="1"/>
  <c r="AC21" i="1"/>
  <c r="B21" i="1"/>
  <c r="AC18" i="1"/>
  <c r="B18" i="1"/>
  <c r="AC15" i="1"/>
  <c r="B15" i="1"/>
  <c r="AC12" i="1"/>
  <c r="B12" i="1"/>
  <c r="AC9" i="1"/>
  <c r="B9" i="1"/>
  <c r="AC198" i="1" l="1"/>
  <c r="AD44" i="1"/>
  <c r="AC198" i="2"/>
  <c r="AC21" i="2"/>
  <c r="AC15" i="2"/>
  <c r="AC48" i="2"/>
  <c r="AC120" i="2"/>
  <c r="AC168" i="2"/>
  <c r="AC72" i="2"/>
  <c r="AC96" i="2"/>
  <c r="AC144" i="2"/>
  <c r="AC24" i="2"/>
  <c r="AC12" i="2"/>
  <c r="AC27" i="2"/>
  <c r="AC33" i="2"/>
  <c r="AC39" i="2"/>
  <c r="AC45" i="2"/>
  <c r="AC54" i="2"/>
  <c r="AC60" i="2"/>
  <c r="AC66" i="2"/>
  <c r="AC75" i="2"/>
  <c r="AC81" i="2"/>
  <c r="AC87" i="2"/>
  <c r="AC93" i="2"/>
  <c r="AC105" i="2"/>
  <c r="AC111" i="2"/>
  <c r="AC114" i="2"/>
  <c r="AC123" i="2"/>
  <c r="AC129" i="2"/>
  <c r="AC135" i="2"/>
  <c r="AC141" i="2"/>
  <c r="AC150" i="2"/>
  <c r="AC153" i="2"/>
  <c r="AC156" i="2"/>
  <c r="AC159" i="2"/>
  <c r="AC165" i="2"/>
  <c r="AC171" i="2"/>
  <c r="AC174" i="2"/>
  <c r="AC177" i="2"/>
  <c r="AC180" i="2"/>
  <c r="AC183" i="2"/>
  <c r="AC186" i="2"/>
  <c r="AC18" i="2"/>
  <c r="AC30" i="2"/>
  <c r="AC36" i="2"/>
  <c r="AC42" i="2"/>
  <c r="AC51" i="2"/>
  <c r="AC57" i="2"/>
  <c r="AC63" i="2"/>
  <c r="AC69" i="2"/>
  <c r="AC78" i="2"/>
  <c r="AC84" i="2"/>
  <c r="AC90" i="2"/>
  <c r="AC99" i="2"/>
  <c r="AC102" i="2"/>
  <c r="AC108" i="2"/>
  <c r="AC117" i="2"/>
  <c r="AC126" i="2"/>
  <c r="AC132" i="2"/>
  <c r="AC138" i="2"/>
  <c r="AC147" i="2"/>
  <c r="AC162" i="2"/>
  <c r="AC9" i="2"/>
  <c r="AD189" i="1"/>
  <c r="AD116" i="1"/>
  <c r="AC189" i="1"/>
  <c r="AD198" i="1" s="1"/>
  <c r="AD152" i="1"/>
  <c r="AD80" i="1"/>
  <c r="AD189" i="2" l="1"/>
  <c r="AD152" i="2"/>
  <c r="AD80" i="2"/>
  <c r="AC189" i="2"/>
  <c r="AD198" i="2" s="1"/>
  <c r="B71" i="3"/>
  <c r="AD116" i="2"/>
  <c r="AD44" i="2"/>
</calcChain>
</file>

<file path=xl/sharedStrings.xml><?xml version="1.0" encoding="utf-8"?>
<sst xmlns="http://schemas.openxmlformats.org/spreadsheetml/2006/main" count="500" uniqueCount="55">
  <si>
    <t xml:space="preserve"> EMPRESA DE ENERGIA DEL BAJO PUTUMAYO S.A. E.S.P.</t>
  </si>
  <si>
    <t xml:space="preserve">CANTIDAD DE ENERGIA REQUERIDA Y CURVA DE CARGA HORARIA </t>
  </si>
  <si>
    <t>CONVOCATORIA PÚBLICA CP-EBPCXXXXXXX</t>
  </si>
  <si>
    <t>TIPO DE OFERTA: CURVA</t>
  </si>
  <si>
    <t>PRODUCTO XXX</t>
  </si>
  <si>
    <t>CURVA TOTAL PROYECTADA</t>
  </si>
  <si>
    <t>MES/AÑO</t>
  </si>
  <si>
    <t># DIAS</t>
  </si>
  <si>
    <t>TIPO DIA</t>
  </si>
  <si>
    <t>HORA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</si>
  <si>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</si>
  <si>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</si>
  <si>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</si>
  <si>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</si>
  <si>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</si>
  <si>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</si>
  <si>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</si>
  <si>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</si>
  <si>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</si>
  <si>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</si>
  <si>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</si>
  <si>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</si>
  <si>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</si>
  <si>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</si>
  <si>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</si>
  <si>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</si>
  <si>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</si>
  <si>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</si>
  <si>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</si>
  <si>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</si>
  <si>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</si>
  <si>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</si>
  <si>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</si>
  <si>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</si>
  <si>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</si>
  <si>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kWh</t>
  </si>
  <si>
    <t>D. habiles</t>
  </si>
  <si>
    <t>D. Sabados</t>
  </si>
  <si>
    <t>D. dom y fest</t>
  </si>
  <si>
    <t>FNCER CONTRATADA 2029-2033</t>
  </si>
  <si>
    <t>Proyeccion de la curva FNCER(10%) de la demanda comercial</t>
  </si>
  <si>
    <t xml:space="preserve"> FORMATO DE OFERTAS</t>
  </si>
  <si>
    <t xml:space="preserve"> OFERTA DE SUMINISTRO DE ENERGÍA ELECTRICA AÑOS 2029-2033</t>
  </si>
  <si>
    <t>ENERGIA SOLICITADA</t>
  </si>
  <si>
    <t>PAGUE LO CONTRATADO</t>
  </si>
  <si>
    <t>Oferta (%)  De la Curva Demanda</t>
  </si>
  <si>
    <t>Necesidad TOTAL MES kWh</t>
  </si>
  <si>
    <t>Nivel de cobertura esperado
%</t>
  </si>
  <si>
    <t>Energia Ofrecida kwh</t>
  </si>
  <si>
    <t xml:space="preserve">TOTAL </t>
  </si>
  <si>
    <t>NOMBRE Y FIRMA DEL REPRESENTANTE LEGAL</t>
  </si>
  <si>
    <t>AGENTE PROPONENTE</t>
  </si>
  <si>
    <t>PRODUCTO 01</t>
  </si>
  <si>
    <t>CONVOCATORIA PÚBLICA CP-EBPC2025-003</t>
  </si>
  <si>
    <t>Precio de Oferta COP/kWh con dos cifras decimales, precio monomio fijo en pesos constantes de abril de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</si>
</sst>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-&quot;$&quot;* #,##0.00_-;\-&quot;$&quot;* #,##0.00_-;_-&quot;$&quot;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4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106">
    <xf numFmtId="0" fontId="0" fillId="0" borderId="0" xfId="0"/>
    <xf numFmtId="0" fontId="5" fillId="0" borderId="0" xfId="2" applyFont="1"/>
    <xf numFmtId="0" fontId="6" fillId="0" borderId="1" xfId="3" applyFont="1" applyBorder="1"/>
    <xf numFmtId="0" fontId="0" fillId="0" borderId="4" xfId="0" applyBorder="1"/>
    <xf numFmtId="0" fontId="7" fillId="0" borderId="4" xfId="0" applyFont="1" applyBorder="1"/>
    <xf numFmtId="2" fontId="8" fillId="0" borderId="0" xfId="0" applyNumberFormat="1" applyFont="1"/>
    <xf numFmtId="0" fontId="7" fillId="0" borderId="0" xfId="0" applyFont="1"/>
    <xf numFmtId="0" fontId="0" fillId="0" borderId="6" xfId="0" applyBorder="1"/>
    <xf numFmtId="0" fontId="7" fillId="0" borderId="6" xfId="0" applyFont="1" applyBorder="1"/>
    <xf numFmtId="2" fontId="8" fillId="0" borderId="6" xfId="0" applyNumberFormat="1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2" fontId="8" fillId="0" borderId="4" xfId="0" applyNumberFormat="1" applyFont="1" applyBorder="1"/>
    <xf numFmtId="0" fontId="0" fillId="0" borderId="11" xfId="0" applyBorder="1"/>
    <xf numFmtId="0" fontId="7" fillId="0" borderId="12" xfId="0" applyFont="1" applyBorder="1"/>
    <xf numFmtId="2" fontId="8" fillId="0" borderId="11" xfId="0" applyNumberFormat="1" applyFont="1" applyBorder="1"/>
    <xf numFmtId="4" fontId="0" fillId="0" borderId="0" xfId="0" applyNumberFormat="1"/>
    <xf numFmtId="1" fontId="8" fillId="0" borderId="14" xfId="0" applyNumberFormat="1" applyFont="1" applyBorder="1"/>
    <xf numFmtId="165" fontId="9" fillId="0" borderId="1" xfId="1" applyNumberFormat="1" applyFont="1" applyBorder="1" applyAlignment="1">
      <alignment vertical="center"/>
    </xf>
    <xf numFmtId="1" fontId="8" fillId="0" borderId="13" xfId="0" applyNumberFormat="1" applyFont="1" applyBorder="1"/>
    <xf numFmtId="165" fontId="9" fillId="0" borderId="1" xfId="0" applyNumberFormat="1" applyFont="1" applyBorder="1" applyAlignment="1">
      <alignment vertical="center"/>
    </xf>
    <xf numFmtId="0" fontId="8" fillId="0" borderId="0" xfId="0" applyFont="1"/>
    <xf numFmtId="165" fontId="9" fillId="0" borderId="0" xfId="0" applyNumberFormat="1" applyFont="1"/>
    <xf numFmtId="43" fontId="0" fillId="0" borderId="0" xfId="0" applyNumberFormat="1"/>
    <xf numFmtId="2" fontId="8" fillId="0" borderId="13" xfId="0" applyNumberFormat="1" applyFont="1" applyBorder="1"/>
    <xf numFmtId="2" fontId="8" fillId="0" borderId="14" xfId="0" applyNumberFormat="1" applyFont="1" applyBorder="1"/>
    <xf numFmtId="166" fontId="8" fillId="0" borderId="13" xfId="0" applyNumberFormat="1" applyFont="1" applyBorder="1"/>
    <xf numFmtId="166" fontId="8" fillId="0" borderId="14" xfId="0" applyNumberFormat="1" applyFont="1" applyBorder="1"/>
    <xf numFmtId="166" fontId="8" fillId="0" borderId="15" xfId="0" applyNumberFormat="1" applyFont="1" applyBorder="1"/>
    <xf numFmtId="2" fontId="8" fillId="0" borderId="15" xfId="0" applyNumberFormat="1" applyFont="1" applyBorder="1"/>
    <xf numFmtId="1" fontId="8" fillId="0" borderId="15" xfId="0" applyNumberFormat="1" applyFont="1" applyBorder="1"/>
    <xf numFmtId="165" fontId="0" fillId="0" borderId="0" xfId="0" applyNumberFormat="1"/>
    <xf numFmtId="2" fontId="8" fillId="0" borderId="3" xfId="0" applyNumberFormat="1" applyFont="1" applyBorder="1"/>
    <xf numFmtId="2" fontId="8" fillId="0" borderId="7" xfId="0" applyNumberFormat="1" applyFont="1" applyBorder="1"/>
    <xf numFmtId="2" fontId="8" fillId="0" borderId="2" xfId="0" applyNumberFormat="1" applyFont="1" applyBorder="1"/>
    <xf numFmtId="2" fontId="8" fillId="0" borderId="8" xfId="0" applyNumberFormat="1" applyFont="1" applyBorder="1"/>
    <xf numFmtId="2" fontId="8" fillId="0" borderId="5" xfId="0" applyNumberFormat="1" applyFont="1" applyBorder="1"/>
    <xf numFmtId="2" fontId="8" fillId="0" borderId="9" xfId="0" applyNumberFormat="1" applyFont="1" applyBorder="1"/>
    <xf numFmtId="0" fontId="3" fillId="0" borderId="0" xfId="2"/>
    <xf numFmtId="0" fontId="3" fillId="0" borderId="0" xfId="2" applyAlignment="1">
      <alignment horizontal="left"/>
    </xf>
    <xf numFmtId="0" fontId="10" fillId="0" borderId="0" xfId="2" applyFont="1" applyAlignment="1">
      <alignment horizontal="center"/>
    </xf>
    <xf numFmtId="0" fontId="10" fillId="2" borderId="32" xfId="2" applyFont="1" applyFill="1" applyBorder="1" applyAlignment="1">
      <alignment horizontal="center" vertical="center" wrapText="1"/>
    </xf>
    <xf numFmtId="0" fontId="10" fillId="2" borderId="33" xfId="2" applyFont="1" applyFill="1" applyBorder="1" applyAlignment="1">
      <alignment horizontal="center" vertical="center"/>
    </xf>
    <xf numFmtId="0" fontId="10" fillId="2" borderId="33" xfId="2" applyFont="1" applyFill="1" applyBorder="1" applyAlignment="1">
      <alignment horizontal="center" vertical="center" wrapText="1"/>
    </xf>
    <xf numFmtId="0" fontId="10" fillId="2" borderId="33" xfId="2" applyFont="1" applyFill="1" applyBorder="1" applyAlignment="1">
      <alignment horizontal="center" vertical="justify"/>
    </xf>
    <xf numFmtId="3" fontId="10" fillId="0" borderId="0" xfId="2" applyNumberFormat="1" applyFont="1" applyAlignment="1">
      <alignment horizontal="center"/>
    </xf>
    <xf numFmtId="17" fontId="10" fillId="3" borderId="16" xfId="2" applyNumberFormat="1" applyFont="1" applyFill="1" applyBorder="1" applyAlignment="1">
      <alignment horizontal="center" vertical="center"/>
    </xf>
    <xf numFmtId="9" fontId="3" fillId="0" borderId="26" xfId="2" applyNumberFormat="1" applyBorder="1" applyAlignment="1">
      <alignment horizontal="center" vertical="center"/>
    </xf>
    <xf numFmtId="9" fontId="3" fillId="0" borderId="23" xfId="2" applyNumberFormat="1" applyBorder="1" applyAlignment="1">
      <alignment horizontal="center" vertical="center"/>
    </xf>
    <xf numFmtId="17" fontId="10" fillId="3" borderId="35" xfId="2" applyNumberFormat="1" applyFont="1" applyFill="1" applyBorder="1" applyAlignment="1">
      <alignment horizontal="center" vertical="center"/>
    </xf>
    <xf numFmtId="4" fontId="3" fillId="0" borderId="32" xfId="2" applyNumberFormat="1" applyBorder="1" applyAlignment="1">
      <alignment horizontal="center" vertical="center"/>
    </xf>
    <xf numFmtId="9" fontId="3" fillId="0" borderId="36" xfId="2" applyNumberFormat="1" applyBorder="1" applyAlignment="1">
      <alignment horizontal="center" vertical="center"/>
    </xf>
    <xf numFmtId="9" fontId="3" fillId="0" borderId="27" xfId="2" applyNumberFormat="1" applyBorder="1" applyAlignment="1">
      <alignment horizontal="center" vertical="center"/>
    </xf>
    <xf numFmtId="9" fontId="3" fillId="0" borderId="32" xfId="2" applyNumberFormat="1" applyBorder="1" applyAlignment="1">
      <alignment horizontal="center"/>
    </xf>
    <xf numFmtId="0" fontId="10" fillId="0" borderId="38" xfId="2" applyFont="1" applyBorder="1"/>
    <xf numFmtId="43" fontId="3" fillId="0" borderId="38" xfId="2" applyNumberFormat="1" applyBorder="1" applyAlignment="1">
      <alignment horizontal="center" vertical="center"/>
    </xf>
    <xf numFmtId="9" fontId="3" fillId="0" borderId="15" xfId="2" applyNumberFormat="1" applyBorder="1" applyAlignment="1">
      <alignment horizontal="center" vertical="center"/>
    </xf>
    <xf numFmtId="0" fontId="3" fillId="0" borderId="15" xfId="2" applyBorder="1"/>
    <xf numFmtId="0" fontId="12" fillId="0" borderId="17" xfId="2" applyFont="1" applyBorder="1" applyAlignment="1">
      <alignment horizontal="center"/>
    </xf>
    <xf numFmtId="0" fontId="10" fillId="0" borderId="17" xfId="3" applyFont="1" applyBorder="1"/>
    <xf numFmtId="168" fontId="3" fillId="0" borderId="0" xfId="5" applyFont="1"/>
    <xf numFmtId="4" fontId="10" fillId="0" borderId="39" xfId="2" applyNumberFormat="1" applyFont="1" applyBorder="1" applyAlignment="1">
      <alignment horizontal="center"/>
    </xf>
    <xf numFmtId="4" fontId="3" fillId="0" borderId="23" xfId="2" applyNumberFormat="1" applyBorder="1" applyAlignment="1">
      <alignment horizontal="center" vertical="center"/>
    </xf>
    <xf numFmtId="4" fontId="3" fillId="0" borderId="40" xfId="2" applyNumberForma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4" fillId="0" borderId="0" xfId="2" applyFont="1" applyAlignment="1">
      <alignment horizontal="center"/>
    </xf>
    <xf numFmtId="0" fontId="6" fillId="0" borderId="1" xfId="3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2" applyAlignment="1">
      <alignment horizontal="left" vertical="center"/>
    </xf>
    <xf numFmtId="167" fontId="11" fillId="0" borderId="34" xfId="4" applyFont="1" applyBorder="1" applyAlignment="1">
      <alignment horizontal="center" vertical="center"/>
    </xf>
    <xf numFmtId="167" fontId="11" fillId="0" borderId="37" xfId="4" applyFont="1" applyBorder="1" applyAlignment="1">
      <alignment horizontal="center" vertical="center"/>
    </xf>
    <xf numFmtId="0" fontId="12" fillId="0" borderId="17" xfId="2" applyFont="1" applyBorder="1" applyAlignment="1">
      <alignment horizontal="center"/>
    </xf>
    <xf numFmtId="0" fontId="10" fillId="0" borderId="0" xfId="3" applyFont="1" applyAlignment="1">
      <alignment horizontal="left"/>
    </xf>
    <xf numFmtId="0" fontId="10" fillId="2" borderId="23" xfId="2" applyFont="1" applyFill="1" applyBorder="1" applyAlignment="1">
      <alignment horizontal="center" vertical="center"/>
    </xf>
    <xf numFmtId="0" fontId="10" fillId="2" borderId="27" xfId="2" applyFont="1" applyFill="1" applyBorder="1" applyAlignment="1">
      <alignment horizontal="center" vertical="center"/>
    </xf>
    <xf numFmtId="0" fontId="10" fillId="2" borderId="32" xfId="2" applyFont="1" applyFill="1" applyBorder="1" applyAlignment="1">
      <alignment horizontal="center" vertical="center"/>
    </xf>
    <xf numFmtId="0" fontId="10" fillId="2" borderId="16" xfId="2" applyFont="1" applyFill="1" applyBorder="1" applyAlignment="1">
      <alignment horizontal="center" vertical="center" wrapText="1"/>
    </xf>
    <xf numFmtId="0" fontId="10" fillId="2" borderId="28" xfId="2" applyFont="1" applyFill="1" applyBorder="1" applyAlignment="1">
      <alignment horizontal="center" vertical="center" wrapText="1"/>
    </xf>
    <xf numFmtId="0" fontId="10" fillId="2" borderId="24" xfId="2" applyFont="1" applyFill="1" applyBorder="1" applyAlignment="1">
      <alignment horizontal="center"/>
    </xf>
    <xf numFmtId="0" fontId="10" fillId="2" borderId="25" xfId="2" applyFont="1" applyFill="1" applyBorder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10" fillId="2" borderId="29" xfId="2" applyFont="1" applyFill="1" applyBorder="1" applyAlignment="1">
      <alignment horizontal="center" vertical="center" wrapText="1"/>
    </xf>
    <xf numFmtId="0" fontId="10" fillId="2" borderId="30" xfId="2" applyFont="1" applyFill="1" applyBorder="1" applyAlignment="1">
      <alignment horizontal="center" vertical="center" wrapText="1"/>
    </xf>
    <xf numFmtId="0" fontId="10" fillId="2" borderId="31" xfId="2" applyFont="1" applyFill="1" applyBorder="1" applyAlignment="1">
      <alignment horizontal="center" vertical="center" wrapText="1"/>
    </xf>
    <xf numFmtId="0" fontId="10" fillId="0" borderId="16" xfId="2" applyFont="1" applyBorder="1" applyAlignment="1">
      <alignment horizontal="center"/>
    </xf>
    <xf numFmtId="0" fontId="10" fillId="0" borderId="17" xfId="2" applyFont="1" applyBorder="1" applyAlignment="1">
      <alignment horizontal="center"/>
    </xf>
    <xf numFmtId="0" fontId="10" fillId="0" borderId="18" xfId="2" applyFont="1" applyBorder="1" applyAlignment="1">
      <alignment horizontal="center"/>
    </xf>
    <xf numFmtId="0" fontId="10" fillId="0" borderId="19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20" xfId="2" applyFont="1" applyBorder="1" applyAlignment="1">
      <alignment horizontal="center"/>
    </xf>
    <xf numFmtId="0" fontId="10" fillId="0" borderId="21" xfId="2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0" fontId="10" fillId="0" borderId="22" xfId="2" applyFont="1" applyBorder="1" applyAlignment="1">
      <alignment horizontal="center"/>
    </xf>
  </cellXfs>
  <cellStyles count="6">
    <cellStyle name="Millares" xfId="1" builtinId="3"/>
    <cellStyle name="Millares 2 2" xfId="5" xr:uid="{8BDD0638-4369-4B5A-A60E-FEC8FA2815C9}"/>
    <cellStyle name="Moneda 2" xfId="4" xr:uid="{5B60506A-A369-4D88-9686-43E29114582F}"/>
    <cellStyle name="Normal" xfId="0" builtinId="0"/>
    <cellStyle name="Normal 2 2" xfId="2" xr:uid="{176A3C20-CC5D-4AAB-B9E9-79D2877EBEA6}"/>
    <cellStyle name="Normal 3" xfId="3" xr:uid="{6C57B20F-B626-46E1-AFBE-1C77BCA0D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4F1C-3258-4A6A-AF55-33130F6B95F0}">
  <dimension ref="A1:AD199"/>
  <sheetViews>
    <sheetView workbookViewId="0">
      <pane xSplit="4" ySplit="8" topLeftCell="E9" activePane="bottomRight" state="frozen"/>
      <selection pane="topRight" activeCell="E1" sqref="E1"/>
      <selection pane="bottomLeft" activeCell="A3" sqref="A3"/>
      <selection pane="bottomRight" activeCell="F204" sqref="F204"/>
    </sheetView>
  </sheetViews>
  <sheetFormatPr baseColWidth="10" defaultRowHeight="15.05" x14ac:dyDescent="0.3"/>
  <cols>
    <col min="1" max="1" width="7.33203125" customWidth="1"/>
    <col min="2" max="2" width="4.44140625" customWidth="1"/>
    <col min="3" max="3" width="14.6640625" customWidth="1"/>
    <col min="4" max="4" width="4.88671875" customWidth="1"/>
    <col min="5" max="5" width="9" customWidth="1"/>
    <col min="6" max="12" width="9" bestFit="1" customWidth="1"/>
    <col min="13" max="13" width="8.6640625" customWidth="1"/>
    <col min="14" max="14" width="8.88671875" customWidth="1"/>
    <col min="15" max="15" width="9" customWidth="1"/>
    <col min="16" max="16" width="9.109375" customWidth="1"/>
    <col min="17" max="17" width="8.6640625" customWidth="1"/>
    <col min="18" max="18" width="8.88671875" customWidth="1"/>
    <col min="19" max="20" width="9" customWidth="1"/>
    <col min="21" max="21" width="8.6640625" customWidth="1"/>
    <col min="22" max="23" width="9.6640625" customWidth="1"/>
    <col min="24" max="25" width="9.88671875" customWidth="1"/>
    <col min="26" max="26" width="10" customWidth="1"/>
    <col min="27" max="27" width="8.6640625" customWidth="1"/>
    <col min="28" max="28" width="9.33203125" customWidth="1"/>
    <col min="29" max="29" width="14" customWidth="1"/>
    <col min="30" max="30" width="16.33203125" bestFit="1" customWidth="1"/>
    <col min="31" max="31" width="19" customWidth="1"/>
  </cols>
  <sheetData>
    <row r="1" spans="1:30" ht="15.65" x14ac:dyDescent="0.3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1"/>
    </row>
    <row r="2" spans="1:30" ht="15.65" x14ac:dyDescent="0.3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1"/>
    </row>
    <row r="3" spans="1:30" ht="15.65" x14ac:dyDescent="0.3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1"/>
    </row>
    <row r="4" spans="1:30" ht="15.65" x14ac:dyDescent="0.3">
      <c r="A4" s="78" t="s">
        <v>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1"/>
    </row>
    <row r="5" spans="1:30" ht="15.65" x14ac:dyDescent="0.3">
      <c r="A5" s="78" t="s">
        <v>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1"/>
    </row>
    <row r="6" spans="1:30" x14ac:dyDescent="0.3">
      <c r="A6" t="s">
        <v>5</v>
      </c>
    </row>
    <row r="7" spans="1:30" x14ac:dyDescent="0.3">
      <c r="A7" s="79" t="s">
        <v>6</v>
      </c>
      <c r="B7" s="79" t="s">
        <v>7</v>
      </c>
      <c r="C7" s="79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  <c r="V7" s="2" t="s">
        <v>27</v>
      </c>
      <c r="W7" s="2" t="s">
        <v>28</v>
      </c>
      <c r="X7" s="2" t="s">
        <v>29</v>
      </c>
      <c r="Y7" s="2" t="s">
        <v>30</v>
      </c>
      <c r="Z7" s="2" t="s">
        <v>31</v>
      </c>
      <c r="AA7" s="2" t="s">
        <v>32</v>
      </c>
      <c r="AB7" s="2" t="s">
        <v>33</v>
      </c>
      <c r="AC7" s="80" t="s">
        <v>34</v>
      </c>
    </row>
    <row r="8" spans="1:30" x14ac:dyDescent="0.3">
      <c r="A8" s="79"/>
      <c r="B8" s="79"/>
      <c r="C8" s="79"/>
      <c r="D8" s="2" t="s">
        <v>7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35</v>
      </c>
      <c r="J8" s="2" t="s">
        <v>35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35</v>
      </c>
      <c r="AC8" s="80"/>
    </row>
    <row r="9" spans="1:30" x14ac:dyDescent="0.3">
      <c r="A9" s="67">
        <v>47119</v>
      </c>
      <c r="B9" s="69">
        <f>DAY(EOMONTH(A9,0))</f>
        <v>31</v>
      </c>
      <c r="C9" s="3" t="s">
        <v>36</v>
      </c>
      <c r="D9" s="4">
        <v>21</v>
      </c>
      <c r="E9" s="5">
        <v>9352.5300000000007</v>
      </c>
      <c r="F9" s="5">
        <v>8760.6200000000008</v>
      </c>
      <c r="G9" s="5">
        <v>8373.7099999999991</v>
      </c>
      <c r="H9" s="5">
        <v>8115.02</v>
      </c>
      <c r="I9" s="5">
        <v>8039.79</v>
      </c>
      <c r="J9" s="5">
        <v>8197.09</v>
      </c>
      <c r="K9" s="5">
        <v>8244.3799999999992</v>
      </c>
      <c r="L9" s="5">
        <v>7594.04</v>
      </c>
      <c r="M9" s="5">
        <v>9083.98</v>
      </c>
      <c r="N9" s="5">
        <v>10355.06</v>
      </c>
      <c r="O9" s="5">
        <v>11529.11</v>
      </c>
      <c r="P9" s="5">
        <v>12381.98</v>
      </c>
      <c r="Q9" s="5">
        <v>12066.43</v>
      </c>
      <c r="R9" s="5">
        <v>12065.67</v>
      </c>
      <c r="S9" s="5">
        <v>12839.81</v>
      </c>
      <c r="T9" s="5">
        <v>12963.47</v>
      </c>
      <c r="U9" s="5">
        <v>12748.06</v>
      </c>
      <c r="V9" s="5">
        <v>14522.08</v>
      </c>
      <c r="W9" s="5">
        <v>15308.64</v>
      </c>
      <c r="X9" s="5">
        <v>16046.72</v>
      </c>
      <c r="Y9" s="5">
        <v>15310.08</v>
      </c>
      <c r="Z9" s="5">
        <v>14132.56</v>
      </c>
      <c r="AA9" s="5">
        <v>12470.98</v>
      </c>
      <c r="AB9" s="5">
        <v>10872.77</v>
      </c>
      <c r="AC9" s="71">
        <f>SUMPRODUCT((E9:AB11)*D9:D11)</f>
        <v>8197571.1799999978</v>
      </c>
    </row>
    <row r="10" spans="1:30" x14ac:dyDescent="0.3">
      <c r="A10" s="68"/>
      <c r="B10" s="70"/>
      <c r="C10" t="s">
        <v>37</v>
      </c>
      <c r="D10" s="6">
        <v>4</v>
      </c>
      <c r="E10" s="5">
        <v>9240.11</v>
      </c>
      <c r="F10" s="5">
        <v>8669.7900000000009</v>
      </c>
      <c r="G10" s="5">
        <v>8274.66</v>
      </c>
      <c r="H10" s="5">
        <v>8032.67</v>
      </c>
      <c r="I10" s="5">
        <v>7941.15</v>
      </c>
      <c r="J10" s="5">
        <v>8068.15</v>
      </c>
      <c r="K10" s="5">
        <v>8187.95</v>
      </c>
      <c r="L10" s="5">
        <v>7370.42</v>
      </c>
      <c r="M10" s="5">
        <v>8669.8700000000008</v>
      </c>
      <c r="N10" s="5">
        <v>9633.99</v>
      </c>
      <c r="O10" s="5">
        <v>10494.43</v>
      </c>
      <c r="P10" s="5">
        <v>11160.3</v>
      </c>
      <c r="Q10" s="5">
        <v>11147.62</v>
      </c>
      <c r="R10" s="5">
        <v>11125.66</v>
      </c>
      <c r="S10" s="5">
        <v>11276.4</v>
      </c>
      <c r="T10" s="5">
        <v>11419.7</v>
      </c>
      <c r="U10" s="5">
        <v>11409.24</v>
      </c>
      <c r="V10" s="5">
        <v>13318.82</v>
      </c>
      <c r="W10" s="5">
        <v>14245.54</v>
      </c>
      <c r="X10" s="5">
        <v>15147.15</v>
      </c>
      <c r="Y10" s="5">
        <v>14464.91</v>
      </c>
      <c r="Z10" s="5">
        <v>13419.86</v>
      </c>
      <c r="AA10" s="5">
        <v>12101.98</v>
      </c>
      <c r="AB10" s="5">
        <v>10817.36</v>
      </c>
      <c r="AC10" s="71"/>
    </row>
    <row r="11" spans="1:30" x14ac:dyDescent="0.3">
      <c r="A11" s="76"/>
      <c r="B11" s="77"/>
      <c r="C11" s="7" t="s">
        <v>38</v>
      </c>
      <c r="D11" s="8">
        <v>6</v>
      </c>
      <c r="E11" s="9">
        <v>9635.86</v>
      </c>
      <c r="F11" s="9">
        <v>9063.68</v>
      </c>
      <c r="G11" s="9">
        <v>8473.3700000000008</v>
      </c>
      <c r="H11" s="9">
        <v>8285.67</v>
      </c>
      <c r="I11" s="9">
        <v>8064.2</v>
      </c>
      <c r="J11" s="9">
        <v>7940.69</v>
      </c>
      <c r="K11" s="9">
        <v>7786.3</v>
      </c>
      <c r="L11" s="9">
        <v>6774.89</v>
      </c>
      <c r="M11" s="9">
        <v>7956.32</v>
      </c>
      <c r="N11" s="9">
        <v>8860.49</v>
      </c>
      <c r="O11" s="9">
        <v>9729.11</v>
      </c>
      <c r="P11" s="9">
        <v>10468.959999999999</v>
      </c>
      <c r="Q11" s="9">
        <v>10801.75</v>
      </c>
      <c r="R11" s="9">
        <v>10683.43</v>
      </c>
      <c r="S11" s="9">
        <v>10426.49</v>
      </c>
      <c r="T11" s="9">
        <v>10379.18</v>
      </c>
      <c r="U11" s="9">
        <v>10321.76</v>
      </c>
      <c r="V11" s="9">
        <v>12457.9</v>
      </c>
      <c r="W11" s="9">
        <v>13612.64</v>
      </c>
      <c r="X11" s="9">
        <v>14667.19</v>
      </c>
      <c r="Y11" s="9">
        <v>14101.08</v>
      </c>
      <c r="Z11" s="9">
        <v>13120.92</v>
      </c>
      <c r="AA11" s="9">
        <v>11812.34</v>
      </c>
      <c r="AB11" s="9">
        <v>10601.46</v>
      </c>
      <c r="AC11" s="71"/>
    </row>
    <row r="12" spans="1:30" x14ac:dyDescent="0.3">
      <c r="A12" s="67">
        <v>47150</v>
      </c>
      <c r="B12" s="69">
        <f>DAY(EOMONTH(A12,0))</f>
        <v>28</v>
      </c>
      <c r="C12" s="3" t="s">
        <v>36</v>
      </c>
      <c r="D12" s="10">
        <v>20</v>
      </c>
      <c r="E12" s="5">
        <v>9185.42</v>
      </c>
      <c r="F12" s="5">
        <v>8642.4599999999991</v>
      </c>
      <c r="G12" s="5">
        <v>8197.08</v>
      </c>
      <c r="H12" s="5">
        <v>8076.4</v>
      </c>
      <c r="I12" s="5">
        <v>8033.04</v>
      </c>
      <c r="J12" s="5">
        <v>8544.58</v>
      </c>
      <c r="K12" s="5">
        <v>9264.31</v>
      </c>
      <c r="L12" s="5">
        <v>8206.85</v>
      </c>
      <c r="M12" s="5">
        <v>9531.48</v>
      </c>
      <c r="N12" s="5">
        <v>10260.66</v>
      </c>
      <c r="O12" s="5">
        <v>11074.37</v>
      </c>
      <c r="P12" s="5">
        <v>11760.43</v>
      </c>
      <c r="Q12" s="5">
        <v>11276.84</v>
      </c>
      <c r="R12" s="5">
        <v>11663.75</v>
      </c>
      <c r="S12" s="5">
        <v>12561.6</v>
      </c>
      <c r="T12" s="5">
        <v>12775.16</v>
      </c>
      <c r="U12" s="5">
        <v>12743.52</v>
      </c>
      <c r="V12" s="5">
        <v>14674.06</v>
      </c>
      <c r="W12" s="5">
        <v>15328.59</v>
      </c>
      <c r="X12" s="5">
        <v>16220.86</v>
      </c>
      <c r="Y12" s="5">
        <v>15359.12</v>
      </c>
      <c r="Z12" s="5">
        <v>14029.09</v>
      </c>
      <c r="AA12" s="5">
        <v>11719.99</v>
      </c>
      <c r="AB12" s="5">
        <v>10521.57</v>
      </c>
      <c r="AC12" s="71">
        <f>SUMPRODUCT((E12:AB14)*D12:D14)</f>
        <v>7424917.5200000014</v>
      </c>
    </row>
    <row r="13" spans="1:30" x14ac:dyDescent="0.3">
      <c r="A13" s="68"/>
      <c r="B13" s="70"/>
      <c r="C13" t="s">
        <v>37</v>
      </c>
      <c r="D13" s="11">
        <v>4</v>
      </c>
      <c r="E13" s="5">
        <v>8902.74</v>
      </c>
      <c r="F13" s="5">
        <v>8307.91</v>
      </c>
      <c r="G13" s="5">
        <v>7818.63</v>
      </c>
      <c r="H13" s="5">
        <v>7624.6</v>
      </c>
      <c r="I13" s="5">
        <v>7613.81</v>
      </c>
      <c r="J13" s="5">
        <v>7797.03</v>
      </c>
      <c r="K13" s="5">
        <v>8100.34</v>
      </c>
      <c r="L13" s="5">
        <v>7245.92</v>
      </c>
      <c r="M13" s="5">
        <v>8801</v>
      </c>
      <c r="N13" s="5">
        <v>9944.4500000000007</v>
      </c>
      <c r="O13" s="5">
        <v>10815.24</v>
      </c>
      <c r="P13" s="5">
        <v>11533.19</v>
      </c>
      <c r="Q13" s="5">
        <v>11449.22</v>
      </c>
      <c r="R13" s="5">
        <v>11225.06</v>
      </c>
      <c r="S13" s="5">
        <v>11175.03</v>
      </c>
      <c r="T13" s="5">
        <v>11504.49</v>
      </c>
      <c r="U13" s="5">
        <v>11617.81</v>
      </c>
      <c r="V13" s="5">
        <v>13624.67</v>
      </c>
      <c r="W13" s="5">
        <v>14697.59</v>
      </c>
      <c r="X13" s="5">
        <v>15624.81</v>
      </c>
      <c r="Y13" s="5">
        <v>14860.84</v>
      </c>
      <c r="Z13" s="5">
        <v>13682.25</v>
      </c>
      <c r="AA13" s="5">
        <v>12240.63</v>
      </c>
      <c r="AB13" s="5">
        <v>10792.09</v>
      </c>
      <c r="AC13" s="71"/>
    </row>
    <row r="14" spans="1:30" x14ac:dyDescent="0.3">
      <c r="A14" s="76"/>
      <c r="B14" s="77"/>
      <c r="C14" s="7" t="s">
        <v>38</v>
      </c>
      <c r="D14" s="12">
        <v>4</v>
      </c>
      <c r="E14" s="9">
        <v>9396.69</v>
      </c>
      <c r="F14" s="9">
        <v>8737.01</v>
      </c>
      <c r="G14" s="9">
        <v>8266.52</v>
      </c>
      <c r="H14" s="9">
        <v>7995.66</v>
      </c>
      <c r="I14" s="9">
        <v>7807.8</v>
      </c>
      <c r="J14" s="9">
        <v>7823.72</v>
      </c>
      <c r="K14" s="9">
        <v>7911.52</v>
      </c>
      <c r="L14" s="9">
        <v>7020.74</v>
      </c>
      <c r="M14" s="9">
        <v>8283.89</v>
      </c>
      <c r="N14" s="9">
        <v>9211.06</v>
      </c>
      <c r="O14" s="9">
        <v>10037.5</v>
      </c>
      <c r="P14" s="9">
        <v>10773.47</v>
      </c>
      <c r="Q14" s="9">
        <v>11142.74</v>
      </c>
      <c r="R14" s="9">
        <v>11136.04</v>
      </c>
      <c r="S14" s="9">
        <v>11053.72</v>
      </c>
      <c r="T14" s="9">
        <v>10937.22</v>
      </c>
      <c r="U14" s="9">
        <v>10958.59</v>
      </c>
      <c r="V14" s="9">
        <v>13011.77</v>
      </c>
      <c r="W14" s="9">
        <v>14045.43</v>
      </c>
      <c r="X14" s="9">
        <v>15178.82</v>
      </c>
      <c r="Y14" s="9">
        <v>14773.51</v>
      </c>
      <c r="Z14" s="9">
        <v>13863.35</v>
      </c>
      <c r="AA14" s="9">
        <v>12085.07</v>
      </c>
      <c r="AB14" s="9">
        <v>9522.0400000000009</v>
      </c>
      <c r="AC14" s="71"/>
    </row>
    <row r="15" spans="1:30" x14ac:dyDescent="0.3">
      <c r="A15" s="67">
        <v>47178</v>
      </c>
      <c r="B15" s="69">
        <f t="shared" ref="B15" si="0">DAY(EOMONTH(A15,0))</f>
        <v>31</v>
      </c>
      <c r="C15" s="3" t="s">
        <v>36</v>
      </c>
      <c r="D15" s="10">
        <v>19</v>
      </c>
      <c r="E15" s="5">
        <v>8825.5400000000009</v>
      </c>
      <c r="F15" s="5">
        <v>8257.3799999999992</v>
      </c>
      <c r="G15" s="5">
        <v>7932.7</v>
      </c>
      <c r="H15" s="5">
        <v>7769.41</v>
      </c>
      <c r="I15" s="5">
        <v>7796</v>
      </c>
      <c r="J15" s="5">
        <v>8346</v>
      </c>
      <c r="K15" s="5">
        <v>9068.02</v>
      </c>
      <c r="L15" s="5">
        <v>8056.82</v>
      </c>
      <c r="M15" s="5">
        <v>9301.3700000000008</v>
      </c>
      <c r="N15" s="5">
        <v>10178.65</v>
      </c>
      <c r="O15" s="5">
        <v>10898.11</v>
      </c>
      <c r="P15" s="5">
        <v>11515.06</v>
      </c>
      <c r="Q15" s="5">
        <v>10812.56</v>
      </c>
      <c r="R15" s="5">
        <v>11393.9</v>
      </c>
      <c r="S15" s="5">
        <v>12083.34</v>
      </c>
      <c r="T15" s="5">
        <v>12318.44</v>
      </c>
      <c r="U15" s="5">
        <v>12265.65</v>
      </c>
      <c r="V15" s="5">
        <v>14122.08</v>
      </c>
      <c r="W15" s="5">
        <v>14904.51</v>
      </c>
      <c r="X15" s="5">
        <v>15831.55</v>
      </c>
      <c r="Y15" s="5">
        <v>14929.56</v>
      </c>
      <c r="Z15" s="5">
        <v>13563.41</v>
      </c>
      <c r="AA15" s="5">
        <v>11651.8</v>
      </c>
      <c r="AB15" s="5">
        <v>10139.02</v>
      </c>
      <c r="AC15" s="71">
        <f>SUMPRODUCT((E15:AB17)*D15:D17)</f>
        <v>7921661.0199999996</v>
      </c>
    </row>
    <row r="16" spans="1:30" x14ac:dyDescent="0.3">
      <c r="A16" s="68"/>
      <c r="B16" s="70"/>
      <c r="C16" t="s">
        <v>37</v>
      </c>
      <c r="D16" s="11">
        <v>5</v>
      </c>
      <c r="E16" s="5">
        <v>8178.81</v>
      </c>
      <c r="F16" s="5">
        <v>8000.96</v>
      </c>
      <c r="G16" s="5">
        <v>7654.9</v>
      </c>
      <c r="H16" s="5">
        <v>7434.25</v>
      </c>
      <c r="I16" s="5">
        <v>7436.32</v>
      </c>
      <c r="J16" s="5">
        <v>7677.44</v>
      </c>
      <c r="K16" s="5">
        <v>8101.07</v>
      </c>
      <c r="L16" s="5">
        <v>7278.42</v>
      </c>
      <c r="M16" s="5">
        <v>8822.34</v>
      </c>
      <c r="N16" s="5">
        <v>9751.43</v>
      </c>
      <c r="O16" s="5">
        <v>10415.98</v>
      </c>
      <c r="P16" s="5">
        <v>10939.24</v>
      </c>
      <c r="Q16" s="5">
        <v>10795.19</v>
      </c>
      <c r="R16" s="5">
        <v>10607.02</v>
      </c>
      <c r="S16" s="5">
        <v>10782.57</v>
      </c>
      <c r="T16" s="5">
        <v>10874.83</v>
      </c>
      <c r="U16" s="5">
        <v>11035.74</v>
      </c>
      <c r="V16" s="5">
        <v>13145.79</v>
      </c>
      <c r="W16" s="5">
        <v>14338.49</v>
      </c>
      <c r="X16" s="5">
        <v>15038.02</v>
      </c>
      <c r="Y16" s="5">
        <v>14203.16</v>
      </c>
      <c r="Z16" s="5">
        <v>13166.83</v>
      </c>
      <c r="AA16" s="5">
        <v>11769.13</v>
      </c>
      <c r="AB16" s="5">
        <v>10389.5</v>
      </c>
      <c r="AC16" s="71"/>
    </row>
    <row r="17" spans="1:29" x14ac:dyDescent="0.3">
      <c r="A17" s="76"/>
      <c r="B17" s="77"/>
      <c r="C17" s="7" t="s">
        <v>38</v>
      </c>
      <c r="D17" s="12">
        <v>7</v>
      </c>
      <c r="E17" s="9">
        <v>9151.2800000000007</v>
      </c>
      <c r="F17" s="9">
        <v>8546.4500000000007</v>
      </c>
      <c r="G17" s="9">
        <v>8120.57</v>
      </c>
      <c r="H17" s="9">
        <v>7877.19</v>
      </c>
      <c r="I17" s="9">
        <v>7783.37</v>
      </c>
      <c r="J17" s="9">
        <v>7811.86</v>
      </c>
      <c r="K17" s="9">
        <v>7934.96</v>
      </c>
      <c r="L17" s="9">
        <v>7039.54</v>
      </c>
      <c r="M17" s="9">
        <v>8220.98</v>
      </c>
      <c r="N17" s="9">
        <v>9043.7099999999991</v>
      </c>
      <c r="O17" s="9">
        <v>9613.93</v>
      </c>
      <c r="P17" s="9">
        <v>10056.15</v>
      </c>
      <c r="Q17" s="9">
        <v>10373.27</v>
      </c>
      <c r="R17" s="9">
        <v>10335.9</v>
      </c>
      <c r="S17" s="9">
        <v>10441.56</v>
      </c>
      <c r="T17" s="9">
        <v>10502.86</v>
      </c>
      <c r="U17" s="9">
        <v>10506.13</v>
      </c>
      <c r="V17" s="9">
        <v>12699.67</v>
      </c>
      <c r="W17" s="9">
        <v>13946.6</v>
      </c>
      <c r="X17" s="9">
        <v>14609.87</v>
      </c>
      <c r="Y17" s="9">
        <v>14075.16</v>
      </c>
      <c r="Z17" s="9">
        <v>13068.83</v>
      </c>
      <c r="AA17" s="9">
        <v>11593.56</v>
      </c>
      <c r="AB17" s="9">
        <v>10249.049999999999</v>
      </c>
      <c r="AC17" s="71"/>
    </row>
    <row r="18" spans="1:29" x14ac:dyDescent="0.3">
      <c r="A18" s="67">
        <v>47209</v>
      </c>
      <c r="B18" s="69">
        <f t="shared" ref="B18" si="1">DAY(EOMONTH(A18,0))</f>
        <v>30</v>
      </c>
      <c r="C18" s="3" t="s">
        <v>36</v>
      </c>
      <c r="D18" s="10">
        <v>21</v>
      </c>
      <c r="E18" s="5">
        <v>8878.83</v>
      </c>
      <c r="F18" s="5">
        <v>8398.5</v>
      </c>
      <c r="G18" s="5">
        <v>8077.44</v>
      </c>
      <c r="H18" s="5">
        <v>7852.01</v>
      </c>
      <c r="I18" s="5">
        <v>7857.6</v>
      </c>
      <c r="J18" s="5">
        <v>8473.68</v>
      </c>
      <c r="K18" s="5">
        <v>9090.32</v>
      </c>
      <c r="L18" s="5">
        <v>8093.66</v>
      </c>
      <c r="M18" s="5">
        <v>9420.49</v>
      </c>
      <c r="N18" s="5">
        <v>10273.64</v>
      </c>
      <c r="O18" s="5">
        <v>10960.02</v>
      </c>
      <c r="P18" s="5">
        <v>11486.35</v>
      </c>
      <c r="Q18" s="5">
        <v>11196.91</v>
      </c>
      <c r="R18" s="5">
        <v>11421.5</v>
      </c>
      <c r="S18" s="5">
        <v>12364.27</v>
      </c>
      <c r="T18" s="5">
        <v>12674.41</v>
      </c>
      <c r="U18" s="5">
        <v>12704.03</v>
      </c>
      <c r="V18" s="5">
        <v>14658.74</v>
      </c>
      <c r="W18" s="5">
        <v>16040.24</v>
      </c>
      <c r="X18" s="5">
        <v>16307.14</v>
      </c>
      <c r="Y18" s="5">
        <v>15373.6</v>
      </c>
      <c r="Z18" s="5">
        <v>13977.08</v>
      </c>
      <c r="AA18" s="5">
        <v>12022.35</v>
      </c>
      <c r="AB18" s="5">
        <v>10384.65</v>
      </c>
      <c r="AC18" s="71">
        <f>SUMPRODUCT((E18:AB20)*D18:D20)</f>
        <v>8010782.7599999979</v>
      </c>
    </row>
    <row r="19" spans="1:29" x14ac:dyDescent="0.3">
      <c r="A19" s="68"/>
      <c r="B19" s="70"/>
      <c r="C19" t="s">
        <v>37</v>
      </c>
      <c r="D19" s="11">
        <v>4</v>
      </c>
      <c r="E19" s="5">
        <v>9081.0300000000007</v>
      </c>
      <c r="F19" s="5">
        <v>8504.34</v>
      </c>
      <c r="G19" s="5">
        <v>8088.18</v>
      </c>
      <c r="H19" s="5">
        <v>7850.09</v>
      </c>
      <c r="I19" s="5">
        <v>7820.77</v>
      </c>
      <c r="J19" s="5">
        <v>8047.41</v>
      </c>
      <c r="K19" s="5">
        <v>8403.19</v>
      </c>
      <c r="L19" s="5">
        <v>7727.94</v>
      </c>
      <c r="M19" s="5">
        <v>9323.09</v>
      </c>
      <c r="N19" s="5">
        <v>10463.459999999999</v>
      </c>
      <c r="O19" s="5">
        <v>11468.73</v>
      </c>
      <c r="P19" s="5">
        <v>12231.78</v>
      </c>
      <c r="Q19" s="5">
        <v>12260.95</v>
      </c>
      <c r="R19" s="5">
        <v>12246.41</v>
      </c>
      <c r="S19" s="5">
        <v>12136</v>
      </c>
      <c r="T19" s="5">
        <v>11895.67</v>
      </c>
      <c r="U19" s="5">
        <v>11789.02</v>
      </c>
      <c r="V19" s="5">
        <v>13754.67</v>
      </c>
      <c r="W19" s="5">
        <v>15085.73</v>
      </c>
      <c r="X19" s="5">
        <v>15632.7</v>
      </c>
      <c r="Y19" s="5">
        <v>15152.36</v>
      </c>
      <c r="Z19" s="5">
        <v>14092.71</v>
      </c>
      <c r="AA19" s="5">
        <v>12714.61</v>
      </c>
      <c r="AB19" s="5">
        <v>11469.46</v>
      </c>
      <c r="AC19" s="71"/>
    </row>
    <row r="20" spans="1:29" x14ac:dyDescent="0.3">
      <c r="A20" s="76"/>
      <c r="B20" s="77"/>
      <c r="C20" s="7" t="s">
        <v>38</v>
      </c>
      <c r="D20" s="12">
        <v>5</v>
      </c>
      <c r="E20" s="9">
        <v>9982.36</v>
      </c>
      <c r="F20" s="9">
        <v>9254.66</v>
      </c>
      <c r="G20" s="9">
        <v>8710.01</v>
      </c>
      <c r="H20" s="9">
        <v>8356.3700000000008</v>
      </c>
      <c r="I20" s="9">
        <v>8178.66</v>
      </c>
      <c r="J20" s="9">
        <v>8197.41</v>
      </c>
      <c r="K20" s="9">
        <v>8466.09</v>
      </c>
      <c r="L20" s="9">
        <v>7332.66</v>
      </c>
      <c r="M20" s="9">
        <v>8546.98</v>
      </c>
      <c r="N20" s="9">
        <v>9473.49</v>
      </c>
      <c r="O20" s="9">
        <v>10280.799999999999</v>
      </c>
      <c r="P20" s="9">
        <v>11091.68</v>
      </c>
      <c r="Q20" s="9">
        <v>11577.56</v>
      </c>
      <c r="R20" s="9">
        <v>11603.52</v>
      </c>
      <c r="S20" s="9">
        <v>11650.9</v>
      </c>
      <c r="T20" s="9">
        <v>11689.8</v>
      </c>
      <c r="U20" s="9">
        <v>11581.91</v>
      </c>
      <c r="V20" s="9">
        <v>13565.62</v>
      </c>
      <c r="W20" s="9">
        <v>15333.85</v>
      </c>
      <c r="X20" s="9">
        <v>16101.03</v>
      </c>
      <c r="Y20" s="9">
        <v>15763.83</v>
      </c>
      <c r="Z20" s="9">
        <v>14431.3</v>
      </c>
      <c r="AA20" s="9">
        <v>12092.05</v>
      </c>
      <c r="AB20" s="9">
        <v>9554.44</v>
      </c>
      <c r="AC20" s="71"/>
    </row>
    <row r="21" spans="1:29" x14ac:dyDescent="0.3">
      <c r="A21" s="67">
        <v>47239</v>
      </c>
      <c r="B21" s="69">
        <f t="shared" ref="B21" si="2">DAY(EOMONTH(A21,0))</f>
        <v>31</v>
      </c>
      <c r="C21" s="3" t="s">
        <v>36</v>
      </c>
      <c r="D21" s="10">
        <v>21</v>
      </c>
      <c r="E21" s="5">
        <v>8374.9</v>
      </c>
      <c r="F21" s="5">
        <v>7841.24</v>
      </c>
      <c r="G21" s="5">
        <v>7534.72</v>
      </c>
      <c r="H21" s="5">
        <v>7309.91</v>
      </c>
      <c r="I21" s="5">
        <v>7244.49</v>
      </c>
      <c r="J21" s="5">
        <v>7868.41</v>
      </c>
      <c r="K21" s="5">
        <v>8719.25</v>
      </c>
      <c r="L21" s="5">
        <v>7826.07</v>
      </c>
      <c r="M21" s="5">
        <v>9091.5499999999993</v>
      </c>
      <c r="N21" s="5">
        <v>9859.4699999999993</v>
      </c>
      <c r="O21" s="5">
        <v>10691.21</v>
      </c>
      <c r="P21" s="5">
        <v>11275</v>
      </c>
      <c r="Q21" s="5">
        <v>10852.57</v>
      </c>
      <c r="R21" s="5">
        <v>10819.44</v>
      </c>
      <c r="S21" s="5">
        <v>11503.69</v>
      </c>
      <c r="T21" s="5">
        <v>11807.28</v>
      </c>
      <c r="U21" s="5">
        <v>11843.86</v>
      </c>
      <c r="V21" s="5">
        <v>14008.83</v>
      </c>
      <c r="W21" s="5">
        <v>15406.15</v>
      </c>
      <c r="X21" s="5">
        <v>15734.93</v>
      </c>
      <c r="Y21" s="5">
        <v>14789.08</v>
      </c>
      <c r="Z21" s="5">
        <v>13385.33</v>
      </c>
      <c r="AA21" s="5">
        <v>11360.78</v>
      </c>
      <c r="AB21" s="5">
        <v>9782.5</v>
      </c>
      <c r="AC21" s="71">
        <f>SUMPRODUCT((E21:AB23)*D21:D23)</f>
        <v>7805466.7200000007</v>
      </c>
    </row>
    <row r="22" spans="1:29" x14ac:dyDescent="0.3">
      <c r="A22" s="68"/>
      <c r="B22" s="70"/>
      <c r="C22" t="s">
        <v>37</v>
      </c>
      <c r="D22" s="11">
        <v>4</v>
      </c>
      <c r="E22" s="5">
        <v>8584.2800000000007</v>
      </c>
      <c r="F22" s="5">
        <v>8042.96</v>
      </c>
      <c r="G22" s="5">
        <v>7615.64</v>
      </c>
      <c r="H22" s="5">
        <v>7405.23</v>
      </c>
      <c r="I22" s="5">
        <v>7338.26</v>
      </c>
      <c r="J22" s="5">
        <v>7602.14</v>
      </c>
      <c r="K22" s="5">
        <v>8042.18</v>
      </c>
      <c r="L22" s="5">
        <v>7415.92</v>
      </c>
      <c r="M22" s="5">
        <v>8741.39</v>
      </c>
      <c r="N22" s="5">
        <v>9743.57</v>
      </c>
      <c r="O22" s="5">
        <v>10398.14</v>
      </c>
      <c r="P22" s="5">
        <v>10953.44</v>
      </c>
      <c r="Q22" s="5">
        <v>10831.82</v>
      </c>
      <c r="R22" s="5">
        <v>10553.3</v>
      </c>
      <c r="S22" s="5">
        <v>10547.07</v>
      </c>
      <c r="T22" s="5">
        <v>10639.81</v>
      </c>
      <c r="U22" s="5">
        <v>10706.16</v>
      </c>
      <c r="V22" s="5">
        <v>13068.77</v>
      </c>
      <c r="W22" s="5">
        <v>14640.37</v>
      </c>
      <c r="X22" s="5">
        <v>14906.83</v>
      </c>
      <c r="Y22" s="5">
        <v>14051.07</v>
      </c>
      <c r="Z22" s="5">
        <v>12986.91</v>
      </c>
      <c r="AA22" s="5">
        <v>11482.77</v>
      </c>
      <c r="AB22" s="5">
        <v>10147.5</v>
      </c>
      <c r="AC22" s="71"/>
    </row>
    <row r="23" spans="1:29" x14ac:dyDescent="0.3">
      <c r="A23" s="76"/>
      <c r="B23" s="77"/>
      <c r="C23" s="7" t="s">
        <v>38</v>
      </c>
      <c r="D23" s="12">
        <v>6</v>
      </c>
      <c r="E23" s="9">
        <v>8941.9699999999993</v>
      </c>
      <c r="F23" s="9">
        <v>8197.4500000000007</v>
      </c>
      <c r="G23" s="9">
        <v>7785.75</v>
      </c>
      <c r="H23" s="9">
        <v>7526.43</v>
      </c>
      <c r="I23" s="9">
        <v>7378.69</v>
      </c>
      <c r="J23" s="9">
        <v>7461.93</v>
      </c>
      <c r="K23" s="9">
        <v>7734.01</v>
      </c>
      <c r="L23" s="9">
        <v>6833.57</v>
      </c>
      <c r="M23" s="9">
        <v>8113.41</v>
      </c>
      <c r="N23" s="9">
        <v>9125.7000000000007</v>
      </c>
      <c r="O23" s="9">
        <v>9931.73</v>
      </c>
      <c r="P23" s="9">
        <v>10515.65</v>
      </c>
      <c r="Q23" s="9">
        <v>10658.15</v>
      </c>
      <c r="R23" s="9">
        <v>10575.96</v>
      </c>
      <c r="S23" s="9">
        <v>10424.879999999999</v>
      </c>
      <c r="T23" s="9">
        <v>11115.94</v>
      </c>
      <c r="U23" s="9">
        <v>10873.09</v>
      </c>
      <c r="V23" s="9">
        <v>12985.12</v>
      </c>
      <c r="W23" s="9">
        <v>13775.56</v>
      </c>
      <c r="X23" s="9">
        <v>14526.8</v>
      </c>
      <c r="Y23" s="9">
        <v>14623.65</v>
      </c>
      <c r="Z23" s="9">
        <v>13414.7</v>
      </c>
      <c r="AA23" s="9">
        <v>11681.59</v>
      </c>
      <c r="AB23" s="9">
        <v>10155.06</v>
      </c>
      <c r="AC23" s="71"/>
    </row>
    <row r="24" spans="1:29" x14ac:dyDescent="0.3">
      <c r="A24" s="67">
        <v>47270</v>
      </c>
      <c r="B24" s="69">
        <f t="shared" ref="B24" si="3">DAY(EOMONTH(A24,0))</f>
        <v>30</v>
      </c>
      <c r="C24" s="3" t="s">
        <v>36</v>
      </c>
      <c r="D24" s="10">
        <v>19</v>
      </c>
      <c r="E24" s="5">
        <v>7748.15</v>
      </c>
      <c r="F24" s="5">
        <v>7241.93</v>
      </c>
      <c r="G24" s="5">
        <v>7011.54</v>
      </c>
      <c r="H24" s="5">
        <v>6881.51</v>
      </c>
      <c r="I24" s="5">
        <v>6914.73</v>
      </c>
      <c r="J24" s="5">
        <v>7524.55</v>
      </c>
      <c r="K24" s="5">
        <v>8262.7199999999993</v>
      </c>
      <c r="L24" s="5">
        <v>7304.69</v>
      </c>
      <c r="M24" s="5">
        <v>8520.7800000000007</v>
      </c>
      <c r="N24" s="5">
        <v>9363.0300000000007</v>
      </c>
      <c r="O24" s="5">
        <v>9950.11</v>
      </c>
      <c r="P24" s="5">
        <v>10414.549999999999</v>
      </c>
      <c r="Q24" s="5">
        <v>9925.9699999999993</v>
      </c>
      <c r="R24" s="5">
        <v>9988.58</v>
      </c>
      <c r="S24" s="5">
        <v>10644.51</v>
      </c>
      <c r="T24" s="5">
        <v>10849.36</v>
      </c>
      <c r="U24" s="5">
        <v>10977.06</v>
      </c>
      <c r="V24" s="5">
        <v>13158.87</v>
      </c>
      <c r="W24" s="5">
        <v>14386.88</v>
      </c>
      <c r="X24" s="5">
        <v>14741.91</v>
      </c>
      <c r="Y24" s="5">
        <v>13747.62</v>
      </c>
      <c r="Z24" s="5">
        <v>12277.45</v>
      </c>
      <c r="AA24" s="5">
        <v>10416.43</v>
      </c>
      <c r="AB24" s="5">
        <v>8899.7000000000007</v>
      </c>
      <c r="AC24" s="71">
        <f>SUMPRODUCT((E24:AB26)*D24:D26)</f>
        <v>7057111.1700000009</v>
      </c>
    </row>
    <row r="25" spans="1:29" x14ac:dyDescent="0.3">
      <c r="A25" s="68"/>
      <c r="B25" s="70"/>
      <c r="C25" t="s">
        <v>37</v>
      </c>
      <c r="D25" s="11">
        <v>5</v>
      </c>
      <c r="E25" s="5">
        <v>7976.15</v>
      </c>
      <c r="F25" s="5">
        <v>7367.64</v>
      </c>
      <c r="G25" s="5">
        <v>6972.42</v>
      </c>
      <c r="H25" s="5">
        <v>6778.38</v>
      </c>
      <c r="I25" s="5">
        <v>6790.95</v>
      </c>
      <c r="J25" s="5">
        <v>7004.02</v>
      </c>
      <c r="K25" s="5">
        <v>7465.64</v>
      </c>
      <c r="L25" s="5">
        <v>6839.33</v>
      </c>
      <c r="M25" s="5">
        <v>8492.01</v>
      </c>
      <c r="N25" s="5">
        <v>9699.18</v>
      </c>
      <c r="O25" s="5">
        <v>10413.629999999999</v>
      </c>
      <c r="P25" s="5">
        <v>10876.91</v>
      </c>
      <c r="Q25" s="5">
        <v>10659.42</v>
      </c>
      <c r="R25" s="5">
        <v>10569.5</v>
      </c>
      <c r="S25" s="5">
        <v>10604.74</v>
      </c>
      <c r="T25" s="5">
        <v>10457.99</v>
      </c>
      <c r="U25" s="5">
        <v>10441.76</v>
      </c>
      <c r="V25" s="5">
        <v>12678.76</v>
      </c>
      <c r="W25" s="5">
        <v>14178.95</v>
      </c>
      <c r="X25" s="5">
        <v>14529.53</v>
      </c>
      <c r="Y25" s="5">
        <v>13575.82</v>
      </c>
      <c r="Z25" s="5">
        <v>12389.28</v>
      </c>
      <c r="AA25" s="5">
        <v>10911.36</v>
      </c>
      <c r="AB25" s="5">
        <v>9532.81</v>
      </c>
      <c r="AC25" s="71"/>
    </row>
    <row r="26" spans="1:29" x14ac:dyDescent="0.3">
      <c r="A26" s="76"/>
      <c r="B26" s="77"/>
      <c r="C26" s="7" t="s">
        <v>38</v>
      </c>
      <c r="D26" s="12">
        <v>6</v>
      </c>
      <c r="E26" s="9">
        <v>8065.32</v>
      </c>
      <c r="F26" s="9">
        <v>7539.05</v>
      </c>
      <c r="G26" s="9">
        <v>7165.34</v>
      </c>
      <c r="H26" s="9">
        <v>6964.4</v>
      </c>
      <c r="I26" s="9">
        <v>6846.21</v>
      </c>
      <c r="J26" s="9">
        <v>6908.08</v>
      </c>
      <c r="K26" s="9">
        <v>7157.4</v>
      </c>
      <c r="L26" s="9">
        <v>6339.92</v>
      </c>
      <c r="M26" s="9">
        <v>7828.23</v>
      </c>
      <c r="N26" s="9">
        <v>8744.6299999999992</v>
      </c>
      <c r="O26" s="9">
        <v>9544.5</v>
      </c>
      <c r="P26" s="9">
        <v>10102.27</v>
      </c>
      <c r="Q26" s="9">
        <v>10447.23</v>
      </c>
      <c r="R26" s="9">
        <v>10376.34</v>
      </c>
      <c r="S26" s="9">
        <v>10179.41</v>
      </c>
      <c r="T26" s="9">
        <v>9853.1200000000008</v>
      </c>
      <c r="U26" s="9">
        <v>9662.76</v>
      </c>
      <c r="V26" s="9">
        <v>12146.44</v>
      </c>
      <c r="W26" s="9">
        <v>13453.72</v>
      </c>
      <c r="X26" s="9">
        <v>13733.04</v>
      </c>
      <c r="Y26" s="9">
        <v>13169.79</v>
      </c>
      <c r="Z26" s="9">
        <v>12013.5</v>
      </c>
      <c r="AA26" s="9">
        <v>10355.06</v>
      </c>
      <c r="AB26" s="9">
        <v>8934.2900000000009</v>
      </c>
      <c r="AC26" s="71"/>
    </row>
    <row r="27" spans="1:29" x14ac:dyDescent="0.3">
      <c r="A27" s="67">
        <v>47300</v>
      </c>
      <c r="B27" s="69">
        <f t="shared" ref="B27" si="4">DAY(EOMONTH(A27,0))</f>
        <v>31</v>
      </c>
      <c r="C27" s="3" t="s">
        <v>36</v>
      </c>
      <c r="D27" s="10">
        <v>20</v>
      </c>
      <c r="E27" s="5">
        <v>8057.5</v>
      </c>
      <c r="F27" s="5">
        <v>7527.44</v>
      </c>
      <c r="G27" s="5">
        <v>7248.25</v>
      </c>
      <c r="H27" s="5">
        <v>7083.7</v>
      </c>
      <c r="I27" s="5">
        <v>7108.55</v>
      </c>
      <c r="J27" s="5">
        <v>7718.06</v>
      </c>
      <c r="K27" s="5">
        <v>8418.36</v>
      </c>
      <c r="L27" s="5">
        <v>7558.56</v>
      </c>
      <c r="M27" s="5">
        <v>8959.5499999999993</v>
      </c>
      <c r="N27" s="5">
        <v>9839.25</v>
      </c>
      <c r="O27" s="5">
        <v>10565.51</v>
      </c>
      <c r="P27" s="5">
        <v>11271.82</v>
      </c>
      <c r="Q27" s="5">
        <v>10979.64</v>
      </c>
      <c r="R27" s="5">
        <v>10967.89</v>
      </c>
      <c r="S27" s="5">
        <v>11647.61</v>
      </c>
      <c r="T27" s="5">
        <v>12005.64</v>
      </c>
      <c r="U27" s="5">
        <v>12016.98</v>
      </c>
      <c r="V27" s="5">
        <v>14160.59</v>
      </c>
      <c r="W27" s="5">
        <v>15174.74</v>
      </c>
      <c r="X27" s="5">
        <v>15678.1</v>
      </c>
      <c r="Y27" s="5">
        <v>14690</v>
      </c>
      <c r="Z27" s="5">
        <v>13226.72</v>
      </c>
      <c r="AA27" s="5">
        <v>11233.26</v>
      </c>
      <c r="AB27" s="5">
        <v>9573.94</v>
      </c>
      <c r="AC27" s="71">
        <f>SUMPRODUCT((E27:AB29)*D27:D29)</f>
        <v>7607010.6099999994</v>
      </c>
    </row>
    <row r="28" spans="1:29" x14ac:dyDescent="0.3">
      <c r="A28" s="68"/>
      <c r="B28" s="70"/>
      <c r="C28" t="s">
        <v>37</v>
      </c>
      <c r="D28" s="11">
        <v>4</v>
      </c>
      <c r="E28" s="5">
        <v>8237.52</v>
      </c>
      <c r="F28" s="5">
        <v>7650.15</v>
      </c>
      <c r="G28" s="5">
        <v>7291.27</v>
      </c>
      <c r="H28" s="5">
        <v>7129.78</v>
      </c>
      <c r="I28" s="5">
        <v>7064.79</v>
      </c>
      <c r="J28" s="5">
        <v>7298.92</v>
      </c>
      <c r="K28" s="5">
        <v>7672.91</v>
      </c>
      <c r="L28" s="5">
        <v>7139.92</v>
      </c>
      <c r="M28" s="5">
        <v>8634.83</v>
      </c>
      <c r="N28" s="5">
        <v>9636.83</v>
      </c>
      <c r="O28" s="5">
        <v>10292.24</v>
      </c>
      <c r="P28" s="5">
        <v>10837.69</v>
      </c>
      <c r="Q28" s="5">
        <v>10607.06</v>
      </c>
      <c r="R28" s="5">
        <v>10492.88</v>
      </c>
      <c r="S28" s="5">
        <v>10626.81</v>
      </c>
      <c r="T28" s="5">
        <v>10859.47</v>
      </c>
      <c r="U28" s="5">
        <v>10769.62</v>
      </c>
      <c r="V28" s="5">
        <v>12885.87</v>
      </c>
      <c r="W28" s="5">
        <v>14303.46</v>
      </c>
      <c r="X28" s="5">
        <v>14954.53</v>
      </c>
      <c r="Y28" s="5">
        <v>13959.49</v>
      </c>
      <c r="Z28" s="5">
        <v>12627.5</v>
      </c>
      <c r="AA28" s="5">
        <v>11044.35</v>
      </c>
      <c r="AB28" s="5">
        <v>9519.73</v>
      </c>
      <c r="AC28" s="71"/>
    </row>
    <row r="29" spans="1:29" x14ac:dyDescent="0.3">
      <c r="A29" s="76"/>
      <c r="B29" s="77"/>
      <c r="C29" s="7" t="s">
        <v>38</v>
      </c>
      <c r="D29" s="12">
        <v>7</v>
      </c>
      <c r="E29" s="9">
        <v>8233.91</v>
      </c>
      <c r="F29" s="9">
        <v>7651.46</v>
      </c>
      <c r="G29" s="9">
        <v>7264.21</v>
      </c>
      <c r="H29" s="9">
        <v>7036.78</v>
      </c>
      <c r="I29" s="9">
        <v>6928.96</v>
      </c>
      <c r="J29" s="9">
        <v>7049.1</v>
      </c>
      <c r="K29" s="9">
        <v>7264.49</v>
      </c>
      <c r="L29" s="9">
        <v>6476.14</v>
      </c>
      <c r="M29" s="9">
        <v>7759.78</v>
      </c>
      <c r="N29" s="9">
        <v>8724.65</v>
      </c>
      <c r="O29" s="9">
        <v>9317.09</v>
      </c>
      <c r="P29" s="9">
        <v>9826.52</v>
      </c>
      <c r="Q29" s="9">
        <v>10032.209999999999</v>
      </c>
      <c r="R29" s="9">
        <v>10010.92</v>
      </c>
      <c r="S29" s="9">
        <v>10004.99</v>
      </c>
      <c r="T29" s="9">
        <v>9765.42</v>
      </c>
      <c r="U29" s="9">
        <v>9640.77</v>
      </c>
      <c r="V29" s="9">
        <v>11647.94</v>
      </c>
      <c r="W29" s="9">
        <v>13040.49</v>
      </c>
      <c r="X29" s="9">
        <v>13868.73</v>
      </c>
      <c r="Y29" s="9">
        <v>13232.36</v>
      </c>
      <c r="Z29" s="9">
        <v>12131.95</v>
      </c>
      <c r="AA29" s="9">
        <v>10556.14</v>
      </c>
      <c r="AB29" s="9">
        <v>9195.98</v>
      </c>
      <c r="AC29" s="71"/>
    </row>
    <row r="30" spans="1:29" x14ac:dyDescent="0.3">
      <c r="A30" s="67">
        <v>47331</v>
      </c>
      <c r="B30" s="69">
        <f t="shared" ref="B30" si="5">DAY(EOMONTH(A30,0))</f>
        <v>31</v>
      </c>
      <c r="C30" s="3" t="s">
        <v>36</v>
      </c>
      <c r="D30" s="10">
        <v>21</v>
      </c>
      <c r="E30" s="5">
        <v>8454.5300000000007</v>
      </c>
      <c r="F30" s="5">
        <v>7967.28</v>
      </c>
      <c r="G30" s="5">
        <v>7666.07</v>
      </c>
      <c r="H30" s="5">
        <v>7475.15</v>
      </c>
      <c r="I30" s="5">
        <v>7500.35</v>
      </c>
      <c r="J30" s="5">
        <v>7828.88</v>
      </c>
      <c r="K30" s="5">
        <v>8737.2800000000007</v>
      </c>
      <c r="L30" s="5">
        <v>7896.36</v>
      </c>
      <c r="M30" s="5">
        <v>9153.15</v>
      </c>
      <c r="N30" s="5">
        <v>10075.790000000001</v>
      </c>
      <c r="O30" s="5">
        <v>10966.81</v>
      </c>
      <c r="P30" s="5">
        <v>11625.1</v>
      </c>
      <c r="Q30" s="5">
        <v>11474.75</v>
      </c>
      <c r="R30" s="5">
        <v>11765</v>
      </c>
      <c r="S30" s="5">
        <v>12670.83</v>
      </c>
      <c r="T30" s="5">
        <v>13217.27</v>
      </c>
      <c r="U30" s="5">
        <v>13209.54</v>
      </c>
      <c r="V30" s="5">
        <v>14823.46</v>
      </c>
      <c r="W30" s="5">
        <v>15877.15</v>
      </c>
      <c r="X30" s="5">
        <v>16671.310000000001</v>
      </c>
      <c r="Y30" s="5">
        <v>15703.87</v>
      </c>
      <c r="Z30" s="5">
        <v>14185.37</v>
      </c>
      <c r="AA30" s="5">
        <v>12093.85</v>
      </c>
      <c r="AB30" s="5">
        <v>10317.870000000001</v>
      </c>
      <c r="AC30" s="71">
        <f t="shared" ref="AC30" si="6">SUMPRODUCT((E30:AB32)*D30:D32)</f>
        <v>8180374.5199999986</v>
      </c>
    </row>
    <row r="31" spans="1:29" x14ac:dyDescent="0.3">
      <c r="A31" s="68"/>
      <c r="B31" s="70"/>
      <c r="C31" t="s">
        <v>37</v>
      </c>
      <c r="D31" s="11">
        <v>4</v>
      </c>
      <c r="E31" s="5">
        <v>9373.68</v>
      </c>
      <c r="F31" s="5">
        <v>8731.19</v>
      </c>
      <c r="G31" s="5">
        <v>7885.62</v>
      </c>
      <c r="H31" s="5">
        <v>8211.2000000000007</v>
      </c>
      <c r="I31" s="5">
        <v>7932.79</v>
      </c>
      <c r="J31" s="5">
        <v>8072.15</v>
      </c>
      <c r="K31" s="5">
        <v>8399.8799999999992</v>
      </c>
      <c r="L31" s="5">
        <v>8249.76</v>
      </c>
      <c r="M31" s="5">
        <v>9704.81</v>
      </c>
      <c r="N31" s="5">
        <v>10948.35</v>
      </c>
      <c r="O31" s="5">
        <v>11842.89</v>
      </c>
      <c r="P31" s="5">
        <v>12562.42</v>
      </c>
      <c r="Q31" s="5">
        <v>12439.56</v>
      </c>
      <c r="R31" s="5">
        <v>12401.41</v>
      </c>
      <c r="S31" s="5">
        <v>12571.7</v>
      </c>
      <c r="T31" s="5">
        <v>12331.83</v>
      </c>
      <c r="U31" s="5">
        <v>12352.67</v>
      </c>
      <c r="V31" s="5">
        <v>14266.09</v>
      </c>
      <c r="W31" s="5">
        <v>15741.47</v>
      </c>
      <c r="X31" s="5">
        <v>16334.43</v>
      </c>
      <c r="Y31" s="5">
        <v>15350.83</v>
      </c>
      <c r="Z31" s="5">
        <v>14132.79</v>
      </c>
      <c r="AA31" s="5">
        <v>12492.17</v>
      </c>
      <c r="AB31" s="5">
        <v>11112.29</v>
      </c>
      <c r="AC31" s="71"/>
    </row>
    <row r="32" spans="1:29" x14ac:dyDescent="0.3">
      <c r="A32" s="76"/>
      <c r="B32" s="77"/>
      <c r="C32" s="7" t="s">
        <v>38</v>
      </c>
      <c r="D32" s="12">
        <v>6</v>
      </c>
      <c r="E32" s="9">
        <v>9173.84</v>
      </c>
      <c r="F32" s="9">
        <v>8517.31</v>
      </c>
      <c r="G32" s="9">
        <v>8096.92</v>
      </c>
      <c r="H32" s="9">
        <v>7839.45</v>
      </c>
      <c r="I32" s="9">
        <v>7554.06</v>
      </c>
      <c r="J32" s="9">
        <v>7703.72</v>
      </c>
      <c r="K32" s="9">
        <v>8058.52</v>
      </c>
      <c r="L32" s="9">
        <v>7169.39</v>
      </c>
      <c r="M32" s="9">
        <v>8454.07</v>
      </c>
      <c r="N32" s="9">
        <v>9227.34</v>
      </c>
      <c r="O32" s="9">
        <v>9938.7900000000009</v>
      </c>
      <c r="P32" s="9">
        <v>10927.88</v>
      </c>
      <c r="Q32" s="9">
        <v>10821.02</v>
      </c>
      <c r="R32" s="9">
        <v>10559.08</v>
      </c>
      <c r="S32" s="9">
        <v>10589.27</v>
      </c>
      <c r="T32" s="9">
        <v>10309.219999999999</v>
      </c>
      <c r="U32" s="9">
        <v>10396.540000000001</v>
      </c>
      <c r="V32" s="9">
        <v>12711.91</v>
      </c>
      <c r="W32" s="9">
        <v>14344.32</v>
      </c>
      <c r="X32" s="9">
        <v>14741.09</v>
      </c>
      <c r="Y32" s="9">
        <v>14005.52</v>
      </c>
      <c r="Z32" s="9">
        <v>13029.55</v>
      </c>
      <c r="AA32" s="9">
        <v>11310.55</v>
      </c>
      <c r="AB32" s="9">
        <v>9872.17</v>
      </c>
      <c r="AC32" s="71"/>
    </row>
    <row r="33" spans="1:30" x14ac:dyDescent="0.3">
      <c r="A33" s="67">
        <v>47362</v>
      </c>
      <c r="B33" s="69">
        <f t="shared" ref="B33" si="7">DAY(EOMONTH(A33,0))</f>
        <v>30</v>
      </c>
      <c r="C33" s="3" t="s">
        <v>36</v>
      </c>
      <c r="D33" s="10">
        <v>20</v>
      </c>
      <c r="E33" s="5">
        <v>9058.4599999999991</v>
      </c>
      <c r="F33" s="5">
        <v>8449.98</v>
      </c>
      <c r="G33" s="5">
        <v>8192.14</v>
      </c>
      <c r="H33" s="5">
        <v>7959.4</v>
      </c>
      <c r="I33" s="5">
        <v>7836.68</v>
      </c>
      <c r="J33" s="5">
        <v>8236.17</v>
      </c>
      <c r="K33" s="5">
        <v>9226.3700000000008</v>
      </c>
      <c r="L33" s="5">
        <v>8302.2900000000009</v>
      </c>
      <c r="M33" s="5">
        <v>9743.35</v>
      </c>
      <c r="N33" s="5">
        <v>10700.77</v>
      </c>
      <c r="O33" s="5">
        <v>11582.93</v>
      </c>
      <c r="P33" s="5">
        <v>12192.46</v>
      </c>
      <c r="Q33" s="5">
        <v>11666.52</v>
      </c>
      <c r="R33" s="5">
        <v>11835.6</v>
      </c>
      <c r="S33" s="5">
        <v>12615.86</v>
      </c>
      <c r="T33" s="5">
        <v>12918.79</v>
      </c>
      <c r="U33" s="5">
        <v>13021.38</v>
      </c>
      <c r="V33" s="5">
        <v>15083.35</v>
      </c>
      <c r="W33" s="5">
        <v>16445.419999999998</v>
      </c>
      <c r="X33" s="5">
        <v>16845.990000000002</v>
      </c>
      <c r="Y33" s="5">
        <v>15644.52</v>
      </c>
      <c r="Z33" s="5">
        <v>14267.01</v>
      </c>
      <c r="AA33" s="5">
        <v>12317.8</v>
      </c>
      <c r="AB33" s="5">
        <v>10594.04</v>
      </c>
      <c r="AC33" s="71">
        <f t="shared" ref="AC33" si="8">SUMPRODUCT((E33:AB35)*D33:D35)</f>
        <v>8099220.799999998</v>
      </c>
    </row>
    <row r="34" spans="1:30" x14ac:dyDescent="0.3">
      <c r="A34" s="68"/>
      <c r="B34" s="70"/>
      <c r="C34" t="s">
        <v>37</v>
      </c>
      <c r="D34" s="11">
        <v>5</v>
      </c>
      <c r="E34" s="5">
        <v>9336.7199999999993</v>
      </c>
      <c r="F34" s="5">
        <v>8704.4699999999993</v>
      </c>
      <c r="G34" s="5">
        <v>8251.85</v>
      </c>
      <c r="H34" s="5">
        <v>8004.82</v>
      </c>
      <c r="I34" s="5">
        <v>7908.96</v>
      </c>
      <c r="J34" s="5">
        <v>8072.31</v>
      </c>
      <c r="K34" s="5">
        <v>8581.43</v>
      </c>
      <c r="L34" s="5">
        <v>8191.48</v>
      </c>
      <c r="M34" s="5">
        <v>9798.94</v>
      </c>
      <c r="N34" s="5">
        <v>11121.74</v>
      </c>
      <c r="O34" s="5">
        <v>12251.96</v>
      </c>
      <c r="P34" s="5">
        <v>13108.44</v>
      </c>
      <c r="Q34" s="5">
        <v>12391.38</v>
      </c>
      <c r="R34" s="5">
        <v>13113.81</v>
      </c>
      <c r="S34" s="5">
        <v>13440.55</v>
      </c>
      <c r="T34" s="5">
        <v>13476.29</v>
      </c>
      <c r="U34" s="5">
        <v>12846.87</v>
      </c>
      <c r="V34" s="5">
        <v>15026.08</v>
      </c>
      <c r="W34" s="5">
        <v>16632.400000000001</v>
      </c>
      <c r="X34" s="5">
        <v>16782.599999999999</v>
      </c>
      <c r="Y34" s="5">
        <v>15801.89</v>
      </c>
      <c r="Z34" s="5">
        <v>14687.05</v>
      </c>
      <c r="AA34" s="5">
        <v>13076.05</v>
      </c>
      <c r="AB34" s="5">
        <v>11603.47</v>
      </c>
      <c r="AC34" s="71"/>
    </row>
    <row r="35" spans="1:30" x14ac:dyDescent="0.3">
      <c r="A35" s="76"/>
      <c r="B35" s="77"/>
      <c r="C35" s="7" t="s">
        <v>38</v>
      </c>
      <c r="D35" s="12">
        <v>5</v>
      </c>
      <c r="E35" s="9">
        <v>10249.1</v>
      </c>
      <c r="F35" s="9">
        <v>9543.9500000000007</v>
      </c>
      <c r="G35" s="9">
        <v>9016.31</v>
      </c>
      <c r="H35" s="9">
        <v>8689.14</v>
      </c>
      <c r="I35" s="9">
        <v>8409.19</v>
      </c>
      <c r="J35" s="9">
        <v>8326</v>
      </c>
      <c r="K35" s="9">
        <v>7949.24</v>
      </c>
      <c r="L35" s="9">
        <v>6746.02</v>
      </c>
      <c r="M35" s="9">
        <v>8001.57</v>
      </c>
      <c r="N35" s="9">
        <v>9061.06</v>
      </c>
      <c r="O35" s="9">
        <v>9636.3700000000008</v>
      </c>
      <c r="P35" s="9">
        <v>10132.36</v>
      </c>
      <c r="Q35" s="9">
        <v>10372.17</v>
      </c>
      <c r="R35" s="9">
        <v>9853.5499999999993</v>
      </c>
      <c r="S35" s="9">
        <v>8766.91</v>
      </c>
      <c r="T35" s="9">
        <v>8025.26</v>
      </c>
      <c r="U35" s="9">
        <v>8070.25</v>
      </c>
      <c r="V35" s="9">
        <v>11231.29</v>
      </c>
      <c r="W35" s="9">
        <v>12768.29</v>
      </c>
      <c r="X35" s="9">
        <v>14501.2</v>
      </c>
      <c r="Y35" s="9">
        <v>14081.72</v>
      </c>
      <c r="Z35" s="9">
        <v>13260.71</v>
      </c>
      <c r="AA35" s="9">
        <v>11697.96</v>
      </c>
      <c r="AB35" s="9">
        <v>10293.86</v>
      </c>
      <c r="AC35" s="71"/>
    </row>
    <row r="36" spans="1:30" x14ac:dyDescent="0.3">
      <c r="A36" s="67">
        <v>47392</v>
      </c>
      <c r="B36" s="69">
        <f t="shared" ref="B36" si="9">DAY(EOMONTH(A36,0))</f>
        <v>31</v>
      </c>
      <c r="C36" s="3" t="s">
        <v>36</v>
      </c>
      <c r="D36" s="10">
        <v>22</v>
      </c>
      <c r="E36" s="5">
        <v>9299.58</v>
      </c>
      <c r="F36" s="5">
        <v>8765.68</v>
      </c>
      <c r="G36" s="5">
        <v>8421.73</v>
      </c>
      <c r="H36" s="5">
        <v>8167.55</v>
      </c>
      <c r="I36" s="5">
        <v>8062.48</v>
      </c>
      <c r="J36" s="5">
        <v>8421.49</v>
      </c>
      <c r="K36" s="5">
        <v>9156.36</v>
      </c>
      <c r="L36" s="5">
        <v>8472.14</v>
      </c>
      <c r="M36" s="5">
        <v>10000.200000000001</v>
      </c>
      <c r="N36" s="5">
        <v>11121.35</v>
      </c>
      <c r="O36" s="5">
        <v>12159.47</v>
      </c>
      <c r="P36" s="5">
        <v>13058.56</v>
      </c>
      <c r="Q36" s="5">
        <v>12839.19</v>
      </c>
      <c r="R36" s="5">
        <v>13065.43</v>
      </c>
      <c r="S36" s="5">
        <v>13570.92</v>
      </c>
      <c r="T36" s="5">
        <v>13912.8</v>
      </c>
      <c r="U36" s="5">
        <v>13827.03</v>
      </c>
      <c r="V36" s="5">
        <v>15753.65</v>
      </c>
      <c r="W36" s="5">
        <v>17108.14</v>
      </c>
      <c r="X36" s="5">
        <v>17087.2</v>
      </c>
      <c r="Y36" s="5">
        <v>15866.6</v>
      </c>
      <c r="Z36" s="5">
        <v>14376.37</v>
      </c>
      <c r="AA36" s="5">
        <v>12480.79</v>
      </c>
      <c r="AB36" s="5">
        <v>10972.23</v>
      </c>
      <c r="AC36" s="71">
        <f t="shared" ref="AC36" si="10">SUMPRODUCT((E36:AB38)*D36:D38)</f>
        <v>8618355.3600000031</v>
      </c>
    </row>
    <row r="37" spans="1:30" x14ac:dyDescent="0.3">
      <c r="A37" s="68"/>
      <c r="B37" s="70"/>
      <c r="C37" t="s">
        <v>37</v>
      </c>
      <c r="D37" s="11">
        <v>4</v>
      </c>
      <c r="E37" s="5">
        <v>9939.1200000000008</v>
      </c>
      <c r="F37" s="5">
        <v>9295.7199999999993</v>
      </c>
      <c r="G37" s="5">
        <v>8855.4699999999993</v>
      </c>
      <c r="H37" s="5">
        <v>8555.73</v>
      </c>
      <c r="I37" s="5">
        <v>8487.77</v>
      </c>
      <c r="J37" s="5">
        <v>8549.18</v>
      </c>
      <c r="K37" s="5">
        <v>9049.07</v>
      </c>
      <c r="L37" s="5">
        <v>8591.73</v>
      </c>
      <c r="M37" s="5">
        <v>10409.66</v>
      </c>
      <c r="N37" s="5">
        <v>11742.71</v>
      </c>
      <c r="O37" s="5">
        <v>12830.9</v>
      </c>
      <c r="P37" s="5">
        <v>13024.66</v>
      </c>
      <c r="Q37" s="5">
        <v>12368.27</v>
      </c>
      <c r="R37" s="5">
        <v>11550.37</v>
      </c>
      <c r="S37" s="5">
        <v>11693.13</v>
      </c>
      <c r="T37" s="5">
        <v>11598.2</v>
      </c>
      <c r="U37" s="5">
        <v>11131.92</v>
      </c>
      <c r="V37" s="5">
        <v>13387.07</v>
      </c>
      <c r="W37" s="5">
        <v>15118.22</v>
      </c>
      <c r="X37" s="5">
        <v>15240.25</v>
      </c>
      <c r="Y37" s="5">
        <v>14290.62</v>
      </c>
      <c r="Z37" s="5">
        <v>13159.46</v>
      </c>
      <c r="AA37" s="5">
        <v>11737.57</v>
      </c>
      <c r="AB37" s="5">
        <v>10428.57</v>
      </c>
      <c r="AC37" s="71"/>
    </row>
    <row r="38" spans="1:30" x14ac:dyDescent="0.3">
      <c r="A38" s="76"/>
      <c r="B38" s="77"/>
      <c r="C38" s="7" t="s">
        <v>38</v>
      </c>
      <c r="D38" s="12">
        <v>5</v>
      </c>
      <c r="E38" s="9">
        <v>9187.36</v>
      </c>
      <c r="F38" s="9">
        <v>8601.84</v>
      </c>
      <c r="G38" s="9">
        <v>8190.83</v>
      </c>
      <c r="H38" s="9">
        <v>7889.98</v>
      </c>
      <c r="I38" s="9">
        <v>7715.96</v>
      </c>
      <c r="J38" s="9">
        <v>7364.24</v>
      </c>
      <c r="K38" s="9">
        <v>7948.03</v>
      </c>
      <c r="L38" s="9">
        <v>7183.4</v>
      </c>
      <c r="M38" s="9">
        <v>8346.75</v>
      </c>
      <c r="N38" s="9">
        <v>9273.51</v>
      </c>
      <c r="O38" s="9">
        <v>10157.08</v>
      </c>
      <c r="P38" s="9">
        <v>10857.42</v>
      </c>
      <c r="Q38" s="9">
        <v>11124.24</v>
      </c>
      <c r="R38" s="9">
        <v>11174.18</v>
      </c>
      <c r="S38" s="9">
        <v>11069.52</v>
      </c>
      <c r="T38" s="9">
        <v>11023.8</v>
      </c>
      <c r="U38" s="9">
        <v>11006.78</v>
      </c>
      <c r="V38" s="9">
        <v>13158.44</v>
      </c>
      <c r="W38" s="9">
        <v>14981.99</v>
      </c>
      <c r="X38" s="9">
        <v>14426.73</v>
      </c>
      <c r="Y38" s="9">
        <v>13950.27</v>
      </c>
      <c r="Z38" s="9">
        <v>12411.36</v>
      </c>
      <c r="AA38" s="9">
        <v>11493.32</v>
      </c>
      <c r="AB38" s="9">
        <v>10051.209999999999</v>
      </c>
      <c r="AC38" s="71"/>
    </row>
    <row r="39" spans="1:30" x14ac:dyDescent="0.3">
      <c r="A39" s="67">
        <v>47423</v>
      </c>
      <c r="B39" s="69">
        <f>DAY(EOMONTH(A39,0))</f>
        <v>30</v>
      </c>
      <c r="C39" s="3" t="s">
        <v>36</v>
      </c>
      <c r="D39" s="10">
        <v>20</v>
      </c>
      <c r="E39" s="5">
        <v>8781.6</v>
      </c>
      <c r="F39" s="5">
        <v>8213.0400000000009</v>
      </c>
      <c r="G39" s="5">
        <v>8008.78</v>
      </c>
      <c r="H39" s="5">
        <v>7765.47</v>
      </c>
      <c r="I39" s="5">
        <v>7829.83</v>
      </c>
      <c r="J39" s="5">
        <v>8168.78</v>
      </c>
      <c r="K39" s="5">
        <v>9077.2099999999991</v>
      </c>
      <c r="L39" s="5">
        <v>8328.23</v>
      </c>
      <c r="M39" s="5">
        <v>9797.91</v>
      </c>
      <c r="N39" s="5">
        <v>10742.95</v>
      </c>
      <c r="O39" s="5">
        <v>11646.75</v>
      </c>
      <c r="P39" s="5">
        <v>12463.99</v>
      </c>
      <c r="Q39" s="5">
        <v>11967.47</v>
      </c>
      <c r="R39" s="5">
        <v>12338.35</v>
      </c>
      <c r="S39" s="5">
        <v>13238.15</v>
      </c>
      <c r="T39" s="5">
        <v>13220.43</v>
      </c>
      <c r="U39" s="5">
        <v>13214.36</v>
      </c>
      <c r="V39" s="5">
        <v>15198.04</v>
      </c>
      <c r="W39" s="5">
        <v>16588.96</v>
      </c>
      <c r="X39" s="5">
        <v>16437.75</v>
      </c>
      <c r="Y39" s="5">
        <v>15335.45</v>
      </c>
      <c r="Z39" s="5">
        <v>13878.92</v>
      </c>
      <c r="AA39" s="5">
        <v>11928.27</v>
      </c>
      <c r="AB39" s="5">
        <v>10366.84</v>
      </c>
      <c r="AC39" s="71">
        <f>SUMPRODUCT((E39:AB41)*D39:D41)</f>
        <v>8046799.6799999988</v>
      </c>
    </row>
    <row r="40" spans="1:30" x14ac:dyDescent="0.3">
      <c r="A40" s="68"/>
      <c r="B40" s="70"/>
      <c r="C40" t="s">
        <v>37</v>
      </c>
      <c r="D40" s="11">
        <v>4</v>
      </c>
      <c r="E40" s="5">
        <v>9178.67</v>
      </c>
      <c r="F40" s="5">
        <v>8627.5300000000007</v>
      </c>
      <c r="G40" s="5">
        <v>8212.42</v>
      </c>
      <c r="H40" s="5">
        <v>7854.69</v>
      </c>
      <c r="I40" s="5">
        <v>7665.35</v>
      </c>
      <c r="J40" s="5">
        <v>7995</v>
      </c>
      <c r="K40" s="5">
        <v>8356.65</v>
      </c>
      <c r="L40" s="5">
        <v>7737.56</v>
      </c>
      <c r="M40" s="5">
        <v>9313.4699999999993</v>
      </c>
      <c r="N40" s="5">
        <v>10140.51</v>
      </c>
      <c r="O40" s="5">
        <v>10847.52</v>
      </c>
      <c r="P40" s="5">
        <v>11301.83</v>
      </c>
      <c r="Q40" s="5">
        <v>11535.69</v>
      </c>
      <c r="R40" s="5">
        <v>11612.56</v>
      </c>
      <c r="S40" s="5">
        <v>11912.15</v>
      </c>
      <c r="T40" s="5">
        <v>12064.4</v>
      </c>
      <c r="U40" s="5">
        <v>12062.93</v>
      </c>
      <c r="V40" s="5">
        <v>14322.36</v>
      </c>
      <c r="W40" s="5">
        <v>16046.26</v>
      </c>
      <c r="X40" s="5">
        <v>16001.16</v>
      </c>
      <c r="Y40" s="5">
        <v>14889.52</v>
      </c>
      <c r="Z40" s="5">
        <v>13671.2</v>
      </c>
      <c r="AA40" s="5">
        <v>12231.98</v>
      </c>
      <c r="AB40" s="5">
        <v>10483.84</v>
      </c>
      <c r="AC40" s="71"/>
    </row>
    <row r="41" spans="1:30" x14ac:dyDescent="0.3">
      <c r="A41" s="68"/>
      <c r="B41" s="70"/>
      <c r="C41" t="s">
        <v>38</v>
      </c>
      <c r="D41" s="11">
        <v>6</v>
      </c>
      <c r="E41" s="5">
        <v>9405.57</v>
      </c>
      <c r="F41" s="5">
        <v>8816.0300000000007</v>
      </c>
      <c r="G41" s="5">
        <v>8419.2999999999993</v>
      </c>
      <c r="H41" s="5">
        <v>8198.84</v>
      </c>
      <c r="I41" s="5">
        <v>8138.98</v>
      </c>
      <c r="J41" s="5">
        <v>7936.65</v>
      </c>
      <c r="K41" s="5">
        <v>8223.58</v>
      </c>
      <c r="L41" s="5">
        <v>7503.76</v>
      </c>
      <c r="M41" s="5">
        <v>8824.2800000000007</v>
      </c>
      <c r="N41" s="5">
        <v>9684.39</v>
      </c>
      <c r="O41" s="5">
        <v>10100.870000000001</v>
      </c>
      <c r="P41" s="5">
        <v>9750.5400000000009</v>
      </c>
      <c r="Q41" s="5">
        <v>10151.219999999999</v>
      </c>
      <c r="R41" s="5">
        <v>10441</v>
      </c>
      <c r="S41" s="5">
        <v>10727.39</v>
      </c>
      <c r="T41" s="5">
        <v>10139.44</v>
      </c>
      <c r="U41" s="5">
        <v>10737.98</v>
      </c>
      <c r="V41" s="5">
        <v>12922.83</v>
      </c>
      <c r="W41" s="5">
        <v>14798.74</v>
      </c>
      <c r="X41" s="5">
        <v>15273.18</v>
      </c>
      <c r="Y41" s="5">
        <v>14274.55</v>
      </c>
      <c r="Z41" s="5">
        <v>13372.26</v>
      </c>
      <c r="AA41" s="5">
        <v>11763.61</v>
      </c>
      <c r="AB41" s="5">
        <v>10359.69</v>
      </c>
      <c r="AC41" s="71"/>
    </row>
    <row r="42" spans="1:30" x14ac:dyDescent="0.3">
      <c r="A42" s="67">
        <v>47453</v>
      </c>
      <c r="B42" s="69">
        <f>DAY(EOMONTH(A42,0))</f>
        <v>31</v>
      </c>
      <c r="C42" s="3" t="s">
        <v>36</v>
      </c>
      <c r="D42" s="10">
        <v>20</v>
      </c>
      <c r="E42" s="13">
        <v>8851.35</v>
      </c>
      <c r="F42" s="13">
        <v>8235.07</v>
      </c>
      <c r="G42" s="13">
        <v>7906.58</v>
      </c>
      <c r="H42" s="13">
        <v>7700.73</v>
      </c>
      <c r="I42" s="13">
        <v>7711.35</v>
      </c>
      <c r="J42" s="13">
        <v>7982.3</v>
      </c>
      <c r="K42" s="13">
        <v>8411.2199999999993</v>
      </c>
      <c r="L42" s="13">
        <v>7943.03</v>
      </c>
      <c r="M42" s="13">
        <v>9604.19</v>
      </c>
      <c r="N42" s="13">
        <v>10665.52</v>
      </c>
      <c r="O42" s="13">
        <v>11461.11</v>
      </c>
      <c r="P42" s="13">
        <v>12150.66</v>
      </c>
      <c r="Q42" s="13">
        <v>11842.1</v>
      </c>
      <c r="R42" s="13">
        <v>11819.05</v>
      </c>
      <c r="S42" s="13">
        <v>12300.96</v>
      </c>
      <c r="T42" s="13">
        <v>12459.57</v>
      </c>
      <c r="U42" s="13">
        <v>12537.41</v>
      </c>
      <c r="V42" s="13">
        <v>14426.93</v>
      </c>
      <c r="W42" s="13">
        <v>15692.28</v>
      </c>
      <c r="X42" s="13">
        <v>15857.19</v>
      </c>
      <c r="Y42" s="13">
        <v>15023.81</v>
      </c>
      <c r="Z42" s="13">
        <v>13701.97</v>
      </c>
      <c r="AA42" s="13">
        <v>12032.74</v>
      </c>
      <c r="AB42" s="13">
        <v>10498</v>
      </c>
      <c r="AC42" s="74">
        <f>SUMPRODUCT((E42:AB44)*D42:D44)</f>
        <v>8114191.1900000013</v>
      </c>
    </row>
    <row r="43" spans="1:30" x14ac:dyDescent="0.3">
      <c r="A43" s="68"/>
      <c r="B43" s="70"/>
      <c r="C43" t="s">
        <v>37</v>
      </c>
      <c r="D43" s="11">
        <v>4</v>
      </c>
      <c r="E43" s="5">
        <v>8944.36</v>
      </c>
      <c r="F43" s="5">
        <v>8282.25</v>
      </c>
      <c r="G43" s="5">
        <v>7809.92</v>
      </c>
      <c r="H43" s="5">
        <v>7557.91</v>
      </c>
      <c r="I43" s="5">
        <v>7519.94</v>
      </c>
      <c r="J43" s="5">
        <v>7682.14</v>
      </c>
      <c r="K43" s="5">
        <v>8038.29</v>
      </c>
      <c r="L43" s="5">
        <v>7566.64</v>
      </c>
      <c r="M43" s="5">
        <v>9094.43</v>
      </c>
      <c r="N43" s="5">
        <v>10132.290000000001</v>
      </c>
      <c r="O43" s="5">
        <v>10785.91</v>
      </c>
      <c r="P43" s="5">
        <v>11378.76</v>
      </c>
      <c r="Q43" s="5">
        <v>11379.12</v>
      </c>
      <c r="R43" s="5">
        <v>11403.45</v>
      </c>
      <c r="S43" s="5">
        <v>11554.37</v>
      </c>
      <c r="T43" s="5">
        <v>11625.08</v>
      </c>
      <c r="U43" s="5">
        <v>11567.61</v>
      </c>
      <c r="V43" s="5">
        <v>13738.23</v>
      </c>
      <c r="W43" s="5">
        <v>15351.76</v>
      </c>
      <c r="X43" s="5">
        <v>15747.05</v>
      </c>
      <c r="Y43" s="5">
        <v>14973.45</v>
      </c>
      <c r="Z43" s="5">
        <v>13745.99</v>
      </c>
      <c r="AA43" s="5">
        <v>12244.08</v>
      </c>
      <c r="AB43" s="5">
        <v>10767.22</v>
      </c>
      <c r="AC43" s="71"/>
    </row>
    <row r="44" spans="1:30" ht="15.65" thickBot="1" x14ac:dyDescent="0.35">
      <c r="A44" s="72"/>
      <c r="B44" s="73"/>
      <c r="C44" s="14" t="s">
        <v>38</v>
      </c>
      <c r="D44" s="15">
        <v>7</v>
      </c>
      <c r="E44" s="16">
        <v>9463.4</v>
      </c>
      <c r="F44" s="16">
        <v>8802.98</v>
      </c>
      <c r="G44" s="16">
        <v>8351.61</v>
      </c>
      <c r="H44" s="16">
        <v>8093.2</v>
      </c>
      <c r="I44" s="16">
        <v>7969.85</v>
      </c>
      <c r="J44" s="16">
        <v>7943.42</v>
      </c>
      <c r="K44" s="16">
        <v>8044.06</v>
      </c>
      <c r="L44" s="16">
        <v>7189</v>
      </c>
      <c r="M44" s="16">
        <v>8473.36</v>
      </c>
      <c r="N44" s="16">
        <v>9371.16</v>
      </c>
      <c r="O44" s="16">
        <v>9961.41</v>
      </c>
      <c r="P44" s="16">
        <v>10316.450000000001</v>
      </c>
      <c r="Q44" s="16">
        <v>10617.99</v>
      </c>
      <c r="R44" s="16">
        <v>10688.29</v>
      </c>
      <c r="S44" s="16">
        <v>10243.08</v>
      </c>
      <c r="T44" s="16">
        <v>10651.65</v>
      </c>
      <c r="U44" s="16">
        <v>10774.69</v>
      </c>
      <c r="V44" s="16">
        <v>12851.41</v>
      </c>
      <c r="W44" s="16">
        <v>14508.86</v>
      </c>
      <c r="X44" s="16">
        <v>14966.45</v>
      </c>
      <c r="Y44" s="16">
        <v>14318.19</v>
      </c>
      <c r="Z44" s="16">
        <v>13109.09</v>
      </c>
      <c r="AA44" s="16">
        <v>11728.71</v>
      </c>
      <c r="AB44" s="16">
        <v>10465.66</v>
      </c>
      <c r="AC44" s="75"/>
      <c r="AD44" s="17">
        <f>SUM(AC9:AC44)</f>
        <v>95083462.529999986</v>
      </c>
    </row>
    <row r="45" spans="1:30" x14ac:dyDescent="0.3">
      <c r="A45" s="68">
        <v>47484</v>
      </c>
      <c r="B45" s="70">
        <f>DAY(EOMONTH(A45,0))</f>
        <v>31</v>
      </c>
      <c r="C45" t="s">
        <v>36</v>
      </c>
      <c r="D45" s="6">
        <v>21</v>
      </c>
      <c r="E45" s="5">
        <v>9649.68</v>
      </c>
      <c r="F45" s="5">
        <v>9040.02</v>
      </c>
      <c r="G45" s="5">
        <v>8641.5</v>
      </c>
      <c r="H45" s="5">
        <v>8375.0499999999993</v>
      </c>
      <c r="I45" s="5">
        <v>8297.56</v>
      </c>
      <c r="J45" s="5">
        <v>8459.58</v>
      </c>
      <c r="K45" s="5">
        <v>8508.2900000000009</v>
      </c>
      <c r="L45" s="5">
        <v>7804.05</v>
      </c>
      <c r="M45" s="5">
        <v>9338.69</v>
      </c>
      <c r="N45" s="5">
        <v>10647.9</v>
      </c>
      <c r="O45" s="5">
        <v>11857.17</v>
      </c>
      <c r="P45" s="5">
        <v>12735.63</v>
      </c>
      <c r="Q45" s="5">
        <v>12410.61</v>
      </c>
      <c r="R45" s="5">
        <v>12409.83</v>
      </c>
      <c r="S45" s="5">
        <v>13207.19</v>
      </c>
      <c r="T45" s="5">
        <v>13334.56</v>
      </c>
      <c r="U45" s="5">
        <v>13112.69</v>
      </c>
      <c r="V45" s="5">
        <v>14964.23</v>
      </c>
      <c r="W45" s="5">
        <v>15774.39</v>
      </c>
      <c r="X45" s="5">
        <v>16534.61</v>
      </c>
      <c r="Y45" s="5">
        <v>15775.87</v>
      </c>
      <c r="Z45" s="5">
        <v>14563.02</v>
      </c>
      <c r="AA45" s="5">
        <v>12851.6</v>
      </c>
      <c r="AB45" s="5">
        <v>11205.44</v>
      </c>
      <c r="AC45" s="71">
        <f>SUMPRODUCT((E45:AB47)*D45:D47)</f>
        <v>8442981.879999999</v>
      </c>
    </row>
    <row r="46" spans="1:30" x14ac:dyDescent="0.3">
      <c r="A46" s="68"/>
      <c r="B46" s="70"/>
      <c r="C46" t="s">
        <v>37</v>
      </c>
      <c r="D46" s="6">
        <v>4</v>
      </c>
      <c r="E46" s="5">
        <v>9533.89</v>
      </c>
      <c r="F46" s="5">
        <v>8946.4599999999991</v>
      </c>
      <c r="G46" s="5">
        <v>8539.48</v>
      </c>
      <c r="H46" s="5">
        <v>8290.23</v>
      </c>
      <c r="I46" s="5">
        <v>8195.9599999999991</v>
      </c>
      <c r="J46" s="5">
        <v>8326.77</v>
      </c>
      <c r="K46" s="5">
        <v>8450.17</v>
      </c>
      <c r="L46" s="5">
        <v>7573.72</v>
      </c>
      <c r="M46" s="5">
        <v>8912.16</v>
      </c>
      <c r="N46" s="5">
        <v>9905.2000000000007</v>
      </c>
      <c r="O46" s="5">
        <v>10791.45</v>
      </c>
      <c r="P46" s="5">
        <v>11477.3</v>
      </c>
      <c r="Q46" s="5">
        <v>11464.24</v>
      </c>
      <c r="R46" s="5">
        <v>11441.62</v>
      </c>
      <c r="S46" s="5">
        <v>11596.88</v>
      </c>
      <c r="T46" s="5">
        <v>11744.48</v>
      </c>
      <c r="U46" s="5">
        <v>11733.71</v>
      </c>
      <c r="V46" s="5">
        <v>13724.87</v>
      </c>
      <c r="W46" s="5">
        <v>14679.39</v>
      </c>
      <c r="X46" s="5">
        <v>15608.05</v>
      </c>
      <c r="Y46" s="5">
        <v>14905.34</v>
      </c>
      <c r="Z46" s="5">
        <v>13828.94</v>
      </c>
      <c r="AA46" s="5">
        <v>12471.53</v>
      </c>
      <c r="AB46" s="5">
        <v>11148.37</v>
      </c>
      <c r="AC46" s="71"/>
    </row>
    <row r="47" spans="1:30" x14ac:dyDescent="0.3">
      <c r="A47" s="76"/>
      <c r="B47" s="77"/>
      <c r="C47" s="7" t="s">
        <v>38</v>
      </c>
      <c r="D47" s="8">
        <v>6</v>
      </c>
      <c r="E47" s="9">
        <v>9941.51</v>
      </c>
      <c r="F47" s="9">
        <v>9352.17</v>
      </c>
      <c r="G47" s="9">
        <v>8744.15</v>
      </c>
      <c r="H47" s="9">
        <v>8550.82</v>
      </c>
      <c r="I47" s="9">
        <v>8322.7000000000007</v>
      </c>
      <c r="J47" s="9">
        <v>8195.49</v>
      </c>
      <c r="K47" s="9">
        <v>8036.47</v>
      </c>
      <c r="L47" s="9">
        <v>6960.33</v>
      </c>
      <c r="M47" s="9">
        <v>8177.2</v>
      </c>
      <c r="N47" s="9">
        <v>9108.49</v>
      </c>
      <c r="O47" s="9">
        <v>10003.17</v>
      </c>
      <c r="P47" s="9">
        <v>10765.22</v>
      </c>
      <c r="Q47" s="9">
        <v>11107.99</v>
      </c>
      <c r="R47" s="9">
        <v>10986.12</v>
      </c>
      <c r="S47" s="9">
        <v>10721.47</v>
      </c>
      <c r="T47" s="9">
        <v>10672.74</v>
      </c>
      <c r="U47" s="9">
        <v>10613.6</v>
      </c>
      <c r="V47" s="9">
        <v>12838.12</v>
      </c>
      <c r="W47" s="9">
        <v>14027.51</v>
      </c>
      <c r="X47" s="9">
        <v>15113.69</v>
      </c>
      <c r="Y47" s="9">
        <v>14530.6</v>
      </c>
      <c r="Z47" s="9">
        <v>13521.03</v>
      </c>
      <c r="AA47" s="9">
        <v>12173.2</v>
      </c>
      <c r="AB47" s="9">
        <v>10925.99</v>
      </c>
      <c r="AC47" s="71"/>
    </row>
    <row r="48" spans="1:30" x14ac:dyDescent="0.3">
      <c r="A48" s="67">
        <v>47515</v>
      </c>
      <c r="B48" s="69">
        <f>DAY(EOMONTH(A48,0))</f>
        <v>28</v>
      </c>
      <c r="C48" s="3" t="s">
        <v>36</v>
      </c>
      <c r="D48" s="10">
        <v>20</v>
      </c>
      <c r="E48" s="5">
        <v>9477.56</v>
      </c>
      <c r="F48" s="5">
        <v>8918.31</v>
      </c>
      <c r="G48" s="5">
        <v>8459.57</v>
      </c>
      <c r="H48" s="5">
        <v>8335.27</v>
      </c>
      <c r="I48" s="5">
        <v>8290.61</v>
      </c>
      <c r="J48" s="5">
        <v>8817.49</v>
      </c>
      <c r="K48" s="5">
        <v>9558.82</v>
      </c>
      <c r="L48" s="5">
        <v>8435.24</v>
      </c>
      <c r="M48" s="5">
        <v>9799.61</v>
      </c>
      <c r="N48" s="5">
        <v>10550.67</v>
      </c>
      <c r="O48" s="5">
        <v>11388.79</v>
      </c>
      <c r="P48" s="5">
        <v>12095.43</v>
      </c>
      <c r="Q48" s="5">
        <v>11597.33</v>
      </c>
      <c r="R48" s="5">
        <v>11995.85</v>
      </c>
      <c r="S48" s="5">
        <v>12920.64</v>
      </c>
      <c r="T48" s="5">
        <v>13140.6</v>
      </c>
      <c r="U48" s="5">
        <v>13108.01</v>
      </c>
      <c r="V48" s="5">
        <v>15120.77</v>
      </c>
      <c r="W48" s="5">
        <v>15794.93</v>
      </c>
      <c r="X48" s="5">
        <v>16713.97</v>
      </c>
      <c r="Y48" s="5">
        <v>15826.38</v>
      </c>
      <c r="Z48" s="5">
        <v>14456.45</v>
      </c>
      <c r="AA48" s="5">
        <v>12078.08</v>
      </c>
      <c r="AB48" s="5">
        <v>10843.7</v>
      </c>
      <c r="AC48" s="71">
        <f>SUMPRODUCT((E48:AB50)*D48:D50)</f>
        <v>7647198.040000001</v>
      </c>
    </row>
    <row r="49" spans="1:29" x14ac:dyDescent="0.3">
      <c r="A49" s="68"/>
      <c r="B49" s="70"/>
      <c r="C49" t="s">
        <v>37</v>
      </c>
      <c r="D49" s="11">
        <v>4</v>
      </c>
      <c r="E49" s="5">
        <v>9186.4</v>
      </c>
      <c r="F49" s="5">
        <v>8573.7199999999993</v>
      </c>
      <c r="G49" s="5">
        <v>8069.77</v>
      </c>
      <c r="H49" s="5">
        <v>7869.92</v>
      </c>
      <c r="I49" s="5">
        <v>7858.8</v>
      </c>
      <c r="J49" s="5">
        <v>8047.52</v>
      </c>
      <c r="K49" s="5">
        <v>8359.93</v>
      </c>
      <c r="L49" s="5">
        <v>7445.49</v>
      </c>
      <c r="M49" s="5">
        <v>9047.2199999999993</v>
      </c>
      <c r="N49" s="5">
        <v>10224.969999999999</v>
      </c>
      <c r="O49" s="5">
        <v>11121.89</v>
      </c>
      <c r="P49" s="5">
        <v>11861.37</v>
      </c>
      <c r="Q49" s="5">
        <v>11774.89</v>
      </c>
      <c r="R49" s="5">
        <v>11544</v>
      </c>
      <c r="S49" s="5">
        <v>11492.47</v>
      </c>
      <c r="T49" s="5">
        <v>11831.81</v>
      </c>
      <c r="U49" s="5">
        <v>11948.53</v>
      </c>
      <c r="V49" s="5">
        <v>14039.9</v>
      </c>
      <c r="W49" s="5">
        <v>15145</v>
      </c>
      <c r="X49" s="5">
        <v>16100.04</v>
      </c>
      <c r="Y49" s="5">
        <v>15313.15</v>
      </c>
      <c r="Z49" s="5">
        <v>14099.2</v>
      </c>
      <c r="AA49" s="5">
        <v>12614.34</v>
      </c>
      <c r="AB49" s="5">
        <v>11122.34</v>
      </c>
      <c r="AC49" s="71"/>
    </row>
    <row r="50" spans="1:29" x14ac:dyDescent="0.3">
      <c r="A50" s="76"/>
      <c r="B50" s="77"/>
      <c r="C50" s="7" t="s">
        <v>38</v>
      </c>
      <c r="D50" s="12">
        <v>4</v>
      </c>
      <c r="E50" s="9">
        <v>9695.17</v>
      </c>
      <c r="F50" s="9">
        <v>9015.7000000000007</v>
      </c>
      <c r="G50" s="9">
        <v>8531.09</v>
      </c>
      <c r="H50" s="9">
        <v>8252.11</v>
      </c>
      <c r="I50" s="9">
        <v>8058.61</v>
      </c>
      <c r="J50" s="9">
        <v>8075.01</v>
      </c>
      <c r="K50" s="9">
        <v>8165.44</v>
      </c>
      <c r="L50" s="9">
        <v>7213.55</v>
      </c>
      <c r="M50" s="9">
        <v>8514.6</v>
      </c>
      <c r="N50" s="9">
        <v>9469.58</v>
      </c>
      <c r="O50" s="9">
        <v>10320.81</v>
      </c>
      <c r="P50" s="9">
        <v>11078.86</v>
      </c>
      <c r="Q50" s="9">
        <v>11459.21</v>
      </c>
      <c r="R50" s="9">
        <v>11452.31</v>
      </c>
      <c r="S50" s="9">
        <v>11367.52</v>
      </c>
      <c r="T50" s="9">
        <v>11247.53</v>
      </c>
      <c r="U50" s="9">
        <v>11269.54</v>
      </c>
      <c r="V50" s="9">
        <v>13408.61</v>
      </c>
      <c r="W50" s="9">
        <v>14473.28</v>
      </c>
      <c r="X50" s="9">
        <v>15640.67</v>
      </c>
      <c r="Y50" s="9">
        <v>15223.2</v>
      </c>
      <c r="Z50" s="9">
        <v>14285.74</v>
      </c>
      <c r="AA50" s="9">
        <v>12454.11</v>
      </c>
      <c r="AB50" s="9">
        <v>9814.19</v>
      </c>
      <c r="AC50" s="71"/>
    </row>
    <row r="51" spans="1:29" x14ac:dyDescent="0.3">
      <c r="A51" s="67">
        <v>47543</v>
      </c>
      <c r="B51" s="69">
        <f t="shared" ref="B51" si="11">DAY(EOMONTH(A51,0))</f>
        <v>31</v>
      </c>
      <c r="C51" s="3" t="s">
        <v>36</v>
      </c>
      <c r="D51" s="10">
        <v>20</v>
      </c>
      <c r="E51" s="5">
        <v>9106.8799999999992</v>
      </c>
      <c r="F51" s="5">
        <v>8521.68</v>
      </c>
      <c r="G51" s="5">
        <v>8187.26</v>
      </c>
      <c r="H51" s="5">
        <v>8019.07</v>
      </c>
      <c r="I51" s="5">
        <v>8046.46</v>
      </c>
      <c r="J51" s="5">
        <v>8612.9599999999991</v>
      </c>
      <c r="K51" s="5">
        <v>9356.64</v>
      </c>
      <c r="L51" s="5">
        <v>8280.7099999999991</v>
      </c>
      <c r="M51" s="5">
        <v>9562.6</v>
      </c>
      <c r="N51" s="5">
        <v>10466.200000000001</v>
      </c>
      <c r="O51" s="5">
        <v>11207.24</v>
      </c>
      <c r="P51" s="5">
        <v>11842.7</v>
      </c>
      <c r="Q51" s="5">
        <v>11119.13</v>
      </c>
      <c r="R51" s="5">
        <v>11717.91</v>
      </c>
      <c r="S51" s="5">
        <v>12428.03</v>
      </c>
      <c r="T51" s="5">
        <v>12670.18</v>
      </c>
      <c r="U51" s="5">
        <v>12615.81</v>
      </c>
      <c r="V51" s="5">
        <v>14552.23</v>
      </c>
      <c r="W51" s="5">
        <v>15358.13</v>
      </c>
      <c r="X51" s="5">
        <v>16312.98</v>
      </c>
      <c r="Y51" s="5">
        <v>15383.93</v>
      </c>
      <c r="Z51" s="5">
        <v>13976.8</v>
      </c>
      <c r="AA51" s="5">
        <v>12007.84</v>
      </c>
      <c r="AB51" s="5">
        <v>10449.68</v>
      </c>
      <c r="AC51" s="71">
        <f>SUMPRODUCT((E51:AB53)*D51:D53)</f>
        <v>8177703.5599999996</v>
      </c>
    </row>
    <row r="52" spans="1:29" x14ac:dyDescent="0.3">
      <c r="A52" s="68"/>
      <c r="B52" s="70"/>
      <c r="C52" t="s">
        <v>37</v>
      </c>
      <c r="D52" s="11">
        <v>5</v>
      </c>
      <c r="E52" s="5">
        <v>8440.75</v>
      </c>
      <c r="F52" s="5">
        <v>8257.57</v>
      </c>
      <c r="G52" s="5">
        <v>7901.12</v>
      </c>
      <c r="H52" s="5">
        <v>7673.85</v>
      </c>
      <c r="I52" s="5">
        <v>7675.99</v>
      </c>
      <c r="J52" s="5">
        <v>7924.34</v>
      </c>
      <c r="K52" s="5">
        <v>8360.68</v>
      </c>
      <c r="L52" s="5">
        <v>7478.96</v>
      </c>
      <c r="M52" s="5">
        <v>9069.2000000000007</v>
      </c>
      <c r="N52" s="5">
        <v>10026.16</v>
      </c>
      <c r="O52" s="5">
        <v>10710.65</v>
      </c>
      <c r="P52" s="5">
        <v>11249.61</v>
      </c>
      <c r="Q52" s="5">
        <v>11101.23</v>
      </c>
      <c r="R52" s="5">
        <v>10907.42</v>
      </c>
      <c r="S52" s="5">
        <v>11088.24</v>
      </c>
      <c r="T52" s="5">
        <v>11183.26</v>
      </c>
      <c r="U52" s="5">
        <v>11349</v>
      </c>
      <c r="V52" s="5">
        <v>13546.65</v>
      </c>
      <c r="W52" s="5">
        <v>14775.13</v>
      </c>
      <c r="X52" s="5">
        <v>15495.65</v>
      </c>
      <c r="Y52" s="5">
        <v>14635.74</v>
      </c>
      <c r="Z52" s="5">
        <v>13568.32</v>
      </c>
      <c r="AA52" s="5">
        <v>12128.69</v>
      </c>
      <c r="AB52" s="5">
        <v>10707.67</v>
      </c>
      <c r="AC52" s="71"/>
    </row>
    <row r="53" spans="1:29" x14ac:dyDescent="0.3">
      <c r="A53" s="76"/>
      <c r="B53" s="77"/>
      <c r="C53" s="7" t="s">
        <v>38</v>
      </c>
      <c r="D53" s="12">
        <v>6</v>
      </c>
      <c r="E53" s="9">
        <v>9442.4</v>
      </c>
      <c r="F53" s="9">
        <v>8819.42</v>
      </c>
      <c r="G53" s="9">
        <v>8380.76</v>
      </c>
      <c r="H53" s="9">
        <v>8130.08</v>
      </c>
      <c r="I53" s="9">
        <v>8033.45</v>
      </c>
      <c r="J53" s="9">
        <v>8062.79</v>
      </c>
      <c r="K53" s="9">
        <v>8189.59</v>
      </c>
      <c r="L53" s="9">
        <v>7232.92</v>
      </c>
      <c r="M53" s="9">
        <v>8449.7999999999993</v>
      </c>
      <c r="N53" s="9">
        <v>9297.2099999999991</v>
      </c>
      <c r="O53" s="9">
        <v>9884.5400000000009</v>
      </c>
      <c r="P53" s="9">
        <v>10340.02</v>
      </c>
      <c r="Q53" s="9">
        <v>10666.66</v>
      </c>
      <c r="R53" s="9">
        <v>10628.17</v>
      </c>
      <c r="S53" s="9">
        <v>10737</v>
      </c>
      <c r="T53" s="9">
        <v>10800.13</v>
      </c>
      <c r="U53" s="9">
        <v>10803.5</v>
      </c>
      <c r="V53" s="9">
        <v>13087.15</v>
      </c>
      <c r="W53" s="9">
        <v>14371.48</v>
      </c>
      <c r="X53" s="9">
        <v>15054.65</v>
      </c>
      <c r="Y53" s="9">
        <v>14503.9</v>
      </c>
      <c r="Z53" s="9">
        <v>13467.38</v>
      </c>
      <c r="AA53" s="9">
        <v>11947.85</v>
      </c>
      <c r="AB53" s="9">
        <v>10563.01</v>
      </c>
      <c r="AC53" s="71"/>
    </row>
    <row r="54" spans="1:29" x14ac:dyDescent="0.3">
      <c r="A54" s="67">
        <v>47574</v>
      </c>
      <c r="B54" s="69">
        <f t="shared" ref="B54" si="12">DAY(EOMONTH(A54,0))</f>
        <v>30</v>
      </c>
      <c r="C54" s="3" t="s">
        <v>36</v>
      </c>
      <c r="D54" s="10">
        <v>20</v>
      </c>
      <c r="E54" s="5">
        <v>9161.77</v>
      </c>
      <c r="F54" s="5">
        <v>8667.0300000000007</v>
      </c>
      <c r="G54" s="5">
        <v>8336.34</v>
      </c>
      <c r="H54" s="5">
        <v>8104.15</v>
      </c>
      <c r="I54" s="5">
        <v>8109.91</v>
      </c>
      <c r="J54" s="5">
        <v>8744.4699999999993</v>
      </c>
      <c r="K54" s="5">
        <v>9379.61</v>
      </c>
      <c r="L54" s="5">
        <v>8318.66</v>
      </c>
      <c r="M54" s="5">
        <v>9685.2900000000009</v>
      </c>
      <c r="N54" s="5">
        <v>10564.04</v>
      </c>
      <c r="O54" s="5">
        <v>11271.01</v>
      </c>
      <c r="P54" s="5">
        <v>11813.13</v>
      </c>
      <c r="Q54" s="5">
        <v>11515.01</v>
      </c>
      <c r="R54" s="5">
        <v>11746.33</v>
      </c>
      <c r="S54" s="5">
        <v>12717.39</v>
      </c>
      <c r="T54" s="5">
        <v>13036.83</v>
      </c>
      <c r="U54" s="5">
        <v>13067.34</v>
      </c>
      <c r="V54" s="5">
        <v>15104.99</v>
      </c>
      <c r="W54" s="5">
        <v>16527.93</v>
      </c>
      <c r="X54" s="5">
        <v>16802.84</v>
      </c>
      <c r="Y54" s="5">
        <v>15841.29</v>
      </c>
      <c r="Z54" s="5">
        <v>14402.88</v>
      </c>
      <c r="AA54" s="5">
        <v>12389.51</v>
      </c>
      <c r="AB54" s="5">
        <v>10702.68</v>
      </c>
      <c r="AC54" s="71">
        <f>SUMPRODUCT((E54:AB56)*D54:D56)</f>
        <v>8245281.0399999991</v>
      </c>
    </row>
    <row r="55" spans="1:29" x14ac:dyDescent="0.3">
      <c r="A55" s="68"/>
      <c r="B55" s="70"/>
      <c r="C55" t="s">
        <v>37</v>
      </c>
      <c r="D55" s="11">
        <v>4</v>
      </c>
      <c r="E55" s="5">
        <v>9370.0400000000009</v>
      </c>
      <c r="F55" s="5">
        <v>8776.0499999999993</v>
      </c>
      <c r="G55" s="5">
        <v>8347.4</v>
      </c>
      <c r="H55" s="5">
        <v>8102.17</v>
      </c>
      <c r="I55" s="5">
        <v>8071.97</v>
      </c>
      <c r="J55" s="5">
        <v>8305.41</v>
      </c>
      <c r="K55" s="5">
        <v>8671.86</v>
      </c>
      <c r="L55" s="5">
        <v>7941.97</v>
      </c>
      <c r="M55" s="5">
        <v>9584.9699999999993</v>
      </c>
      <c r="N55" s="5">
        <v>10759.55</v>
      </c>
      <c r="O55" s="5">
        <v>11794.98</v>
      </c>
      <c r="P55" s="5">
        <v>12580.92</v>
      </c>
      <c r="Q55" s="5">
        <v>12610.97</v>
      </c>
      <c r="R55" s="5">
        <v>12595.99</v>
      </c>
      <c r="S55" s="5">
        <v>12482.27</v>
      </c>
      <c r="T55" s="5">
        <v>12234.73</v>
      </c>
      <c r="U55" s="5">
        <v>12124.88</v>
      </c>
      <c r="V55" s="5">
        <v>14173.8</v>
      </c>
      <c r="W55" s="5">
        <v>15544.79</v>
      </c>
      <c r="X55" s="5">
        <v>16108.17</v>
      </c>
      <c r="Y55" s="5">
        <v>15613.42</v>
      </c>
      <c r="Z55" s="5">
        <v>14521.98</v>
      </c>
      <c r="AA55" s="5">
        <v>13102.53</v>
      </c>
      <c r="AB55" s="5">
        <v>11820.03</v>
      </c>
      <c r="AC55" s="71"/>
    </row>
    <row r="56" spans="1:29" x14ac:dyDescent="0.3">
      <c r="A56" s="76"/>
      <c r="B56" s="77"/>
      <c r="C56" s="7" t="s">
        <v>38</v>
      </c>
      <c r="D56" s="12">
        <v>6</v>
      </c>
      <c r="E56" s="9">
        <v>10298.41</v>
      </c>
      <c r="F56" s="9">
        <v>9548.8799999999992</v>
      </c>
      <c r="G56" s="9">
        <v>8987.89</v>
      </c>
      <c r="H56" s="9">
        <v>8623.64</v>
      </c>
      <c r="I56" s="9">
        <v>8440.6</v>
      </c>
      <c r="J56" s="9">
        <v>8459.91</v>
      </c>
      <c r="K56" s="9">
        <v>8736.65</v>
      </c>
      <c r="L56" s="9">
        <v>7534.83</v>
      </c>
      <c r="M56" s="9">
        <v>8785.58</v>
      </c>
      <c r="N56" s="9">
        <v>9739.8799999999992</v>
      </c>
      <c r="O56" s="9">
        <v>10571.41</v>
      </c>
      <c r="P56" s="9">
        <v>11406.62</v>
      </c>
      <c r="Q56" s="9">
        <v>11907.08</v>
      </c>
      <c r="R56" s="9">
        <v>11933.81</v>
      </c>
      <c r="S56" s="9">
        <v>11982.62</v>
      </c>
      <c r="T56" s="9">
        <v>12022.68</v>
      </c>
      <c r="U56" s="9">
        <v>11911.56</v>
      </c>
      <c r="V56" s="9">
        <v>13979.07</v>
      </c>
      <c r="W56" s="9">
        <v>15800.35</v>
      </c>
      <c r="X56" s="9">
        <v>16590.55</v>
      </c>
      <c r="Y56" s="9">
        <v>16243.23</v>
      </c>
      <c r="Z56" s="9">
        <v>14870.73</v>
      </c>
      <c r="AA56" s="9">
        <v>12461.3</v>
      </c>
      <c r="AB56" s="9">
        <v>9847.56</v>
      </c>
      <c r="AC56" s="71"/>
    </row>
    <row r="57" spans="1:29" x14ac:dyDescent="0.3">
      <c r="A57" s="67">
        <v>47604</v>
      </c>
      <c r="B57" s="69">
        <f t="shared" ref="B57" si="13">DAY(EOMONTH(A57,0))</f>
        <v>31</v>
      </c>
      <c r="C57" s="3" t="s">
        <v>36</v>
      </c>
      <c r="D57" s="10">
        <v>22</v>
      </c>
      <c r="E57" s="5">
        <v>8642.7199999999993</v>
      </c>
      <c r="F57" s="5">
        <v>8093.05</v>
      </c>
      <c r="G57" s="5">
        <v>7777.34</v>
      </c>
      <c r="H57" s="5">
        <v>7545.78</v>
      </c>
      <c r="I57" s="5">
        <v>7478.4</v>
      </c>
      <c r="J57" s="5">
        <v>8121.04</v>
      </c>
      <c r="K57" s="5">
        <v>8997.4</v>
      </c>
      <c r="L57" s="5">
        <v>8043.04</v>
      </c>
      <c r="M57" s="5">
        <v>9346.49</v>
      </c>
      <c r="N57" s="5">
        <v>10137.44</v>
      </c>
      <c r="O57" s="5">
        <v>10994.14</v>
      </c>
      <c r="P57" s="5">
        <v>11595.44</v>
      </c>
      <c r="Q57" s="5">
        <v>11160.34</v>
      </c>
      <c r="R57" s="5">
        <v>11126.21</v>
      </c>
      <c r="S57" s="5">
        <v>11830.99</v>
      </c>
      <c r="T57" s="5">
        <v>12143.69</v>
      </c>
      <c r="U57" s="5">
        <v>12181.36</v>
      </c>
      <c r="V57" s="5">
        <v>14435.58</v>
      </c>
      <c r="W57" s="5">
        <v>15874.82</v>
      </c>
      <c r="X57" s="5">
        <v>16213.46</v>
      </c>
      <c r="Y57" s="5">
        <v>15239.24</v>
      </c>
      <c r="Z57" s="5">
        <v>13793.38</v>
      </c>
      <c r="AA57" s="5">
        <v>11708.09</v>
      </c>
      <c r="AB57" s="5">
        <v>10082.459999999999</v>
      </c>
      <c r="AC57" s="71">
        <f>SUMPRODUCT((E57:AB59)*D57:D59)</f>
        <v>8050004.9700000007</v>
      </c>
    </row>
    <row r="58" spans="1:29" x14ac:dyDescent="0.3">
      <c r="A58" s="68"/>
      <c r="B58" s="70"/>
      <c r="C58" t="s">
        <v>37</v>
      </c>
      <c r="D58" s="11">
        <v>4</v>
      </c>
      <c r="E58" s="5">
        <v>8858.39</v>
      </c>
      <c r="F58" s="5">
        <v>8300.83</v>
      </c>
      <c r="G58" s="5">
        <v>7860.69</v>
      </c>
      <c r="H58" s="5">
        <v>7643.96</v>
      </c>
      <c r="I58" s="5">
        <v>7574.99</v>
      </c>
      <c r="J58" s="5">
        <v>7846.78</v>
      </c>
      <c r="K58" s="5">
        <v>8300.02</v>
      </c>
      <c r="L58" s="5">
        <v>7620.59</v>
      </c>
      <c r="M58" s="5">
        <v>8985.82</v>
      </c>
      <c r="N58" s="5">
        <v>10018.07</v>
      </c>
      <c r="O58" s="5">
        <v>10692.27</v>
      </c>
      <c r="P58" s="5">
        <v>11264.23</v>
      </c>
      <c r="Q58" s="5">
        <v>11138.96</v>
      </c>
      <c r="R58" s="5">
        <v>10852.09</v>
      </c>
      <c r="S58" s="5">
        <v>10845.67</v>
      </c>
      <c r="T58" s="5">
        <v>10941.19</v>
      </c>
      <c r="U58" s="5">
        <v>11009.53</v>
      </c>
      <c r="V58" s="5">
        <v>13467.32</v>
      </c>
      <c r="W58" s="5">
        <v>15086.07</v>
      </c>
      <c r="X58" s="5">
        <v>15360.52</v>
      </c>
      <c r="Y58" s="5">
        <v>14479.09</v>
      </c>
      <c r="Z58" s="5">
        <v>13383</v>
      </c>
      <c r="AA58" s="5">
        <v>11833.74</v>
      </c>
      <c r="AB58" s="5">
        <v>10458.41</v>
      </c>
      <c r="AC58" s="71"/>
    </row>
    <row r="59" spans="1:29" x14ac:dyDescent="0.3">
      <c r="A59" s="76"/>
      <c r="B59" s="77"/>
      <c r="C59" s="7" t="s">
        <v>38</v>
      </c>
      <c r="D59" s="12">
        <v>5</v>
      </c>
      <c r="E59" s="9">
        <v>9226.81</v>
      </c>
      <c r="F59" s="9">
        <v>8459.9500000000007</v>
      </c>
      <c r="G59" s="9">
        <v>8035.9</v>
      </c>
      <c r="H59" s="9">
        <v>7768.8</v>
      </c>
      <c r="I59" s="9">
        <v>7616.63</v>
      </c>
      <c r="J59" s="9">
        <v>7702.37</v>
      </c>
      <c r="K59" s="9">
        <v>7982.61</v>
      </c>
      <c r="L59" s="9">
        <v>7020.77</v>
      </c>
      <c r="M59" s="9">
        <v>8339</v>
      </c>
      <c r="N59" s="9">
        <v>9381.66</v>
      </c>
      <c r="O59" s="9">
        <v>10211.870000000001</v>
      </c>
      <c r="P59" s="9">
        <v>10813.31</v>
      </c>
      <c r="Q59" s="9">
        <v>10960.08</v>
      </c>
      <c r="R59" s="9">
        <v>10875.43</v>
      </c>
      <c r="S59" s="9">
        <v>10719.82</v>
      </c>
      <c r="T59" s="9">
        <v>11431.61</v>
      </c>
      <c r="U59" s="9">
        <v>11181.47</v>
      </c>
      <c r="V59" s="9">
        <v>13381.16</v>
      </c>
      <c r="W59" s="9">
        <v>14195.31</v>
      </c>
      <c r="X59" s="9">
        <v>14969.09</v>
      </c>
      <c r="Y59" s="9">
        <v>15068.85</v>
      </c>
      <c r="Z59" s="9">
        <v>13823.63</v>
      </c>
      <c r="AA59" s="9">
        <v>12038.52</v>
      </c>
      <c r="AB59" s="9">
        <v>10466.200000000001</v>
      </c>
      <c r="AC59" s="71"/>
    </row>
    <row r="60" spans="1:29" x14ac:dyDescent="0.3">
      <c r="A60" s="67">
        <v>47635</v>
      </c>
      <c r="B60" s="69">
        <f t="shared" ref="B60" si="14">DAY(EOMONTH(A60,0))</f>
        <v>30</v>
      </c>
      <c r="C60" s="3" t="s">
        <v>36</v>
      </c>
      <c r="D60" s="10">
        <v>18</v>
      </c>
      <c r="E60" s="5">
        <v>7997.17</v>
      </c>
      <c r="F60" s="5">
        <v>7475.77</v>
      </c>
      <c r="G60" s="5">
        <v>7238.46</v>
      </c>
      <c r="H60" s="5">
        <v>7104.53</v>
      </c>
      <c r="I60" s="5">
        <v>7138.75</v>
      </c>
      <c r="J60" s="5">
        <v>7766.86</v>
      </c>
      <c r="K60" s="5">
        <v>8527.18</v>
      </c>
      <c r="L60" s="5">
        <v>7506.02</v>
      </c>
      <c r="M60" s="5">
        <v>8758.59</v>
      </c>
      <c r="N60" s="5">
        <v>9626.11</v>
      </c>
      <c r="O60" s="5">
        <v>10230.799999999999</v>
      </c>
      <c r="P60" s="5">
        <v>10709.18</v>
      </c>
      <c r="Q60" s="5">
        <v>10205.94</v>
      </c>
      <c r="R60" s="5">
        <v>10270.43</v>
      </c>
      <c r="S60" s="5">
        <v>10946.03</v>
      </c>
      <c r="T60" s="5">
        <v>11157.03</v>
      </c>
      <c r="U60" s="5">
        <v>11288.56</v>
      </c>
      <c r="V60" s="5">
        <v>13560.12</v>
      </c>
      <c r="W60" s="5">
        <v>14824.97</v>
      </c>
      <c r="X60" s="5">
        <v>15190.65</v>
      </c>
      <c r="Y60" s="5">
        <v>14166.53</v>
      </c>
      <c r="Z60" s="5">
        <v>12652.26</v>
      </c>
      <c r="AA60" s="5">
        <v>10735.41</v>
      </c>
      <c r="AB60" s="5">
        <v>9173.18</v>
      </c>
      <c r="AC60" s="71">
        <f>SUMPRODUCT((E60:AB62)*D60:D62)</f>
        <v>7258413.21</v>
      </c>
    </row>
    <row r="61" spans="1:29" x14ac:dyDescent="0.3">
      <c r="A61" s="68"/>
      <c r="B61" s="70"/>
      <c r="C61" t="s">
        <v>37</v>
      </c>
      <c r="D61" s="11">
        <v>5</v>
      </c>
      <c r="E61" s="5">
        <v>8232.01</v>
      </c>
      <c r="F61" s="5">
        <v>7605.25</v>
      </c>
      <c r="G61" s="5">
        <v>7198.17</v>
      </c>
      <c r="H61" s="5">
        <v>6998.31</v>
      </c>
      <c r="I61" s="5">
        <v>7011.26</v>
      </c>
      <c r="J61" s="5">
        <v>7230.72</v>
      </c>
      <c r="K61" s="5">
        <v>7706.19</v>
      </c>
      <c r="L61" s="5">
        <v>7026.7</v>
      </c>
      <c r="M61" s="5">
        <v>8728.9599999999991</v>
      </c>
      <c r="N61" s="5">
        <v>9972.34</v>
      </c>
      <c r="O61" s="5">
        <v>10708.23</v>
      </c>
      <c r="P61" s="5">
        <v>11185.41</v>
      </c>
      <c r="Q61" s="5">
        <v>10961.39</v>
      </c>
      <c r="R61" s="5">
        <v>10868.77</v>
      </c>
      <c r="S61" s="5">
        <v>10905.07</v>
      </c>
      <c r="T61" s="5">
        <v>10753.92</v>
      </c>
      <c r="U61" s="5">
        <v>10737.2</v>
      </c>
      <c r="V61" s="5">
        <v>13065.61</v>
      </c>
      <c r="W61" s="5">
        <v>14610.8</v>
      </c>
      <c r="X61" s="5">
        <v>14971.9</v>
      </c>
      <c r="Y61" s="5">
        <v>13989.58</v>
      </c>
      <c r="Z61" s="5">
        <v>12767.44</v>
      </c>
      <c r="AA61" s="5">
        <v>11245.19</v>
      </c>
      <c r="AB61" s="5">
        <v>9825.2800000000007</v>
      </c>
      <c r="AC61" s="71"/>
    </row>
    <row r="62" spans="1:29" x14ac:dyDescent="0.3">
      <c r="A62" s="76"/>
      <c r="B62" s="77"/>
      <c r="C62" s="7" t="s">
        <v>38</v>
      </c>
      <c r="D62" s="12">
        <v>7</v>
      </c>
      <c r="E62" s="9">
        <v>8323.86</v>
      </c>
      <c r="F62" s="9">
        <v>7781.8</v>
      </c>
      <c r="G62" s="9">
        <v>7396.88</v>
      </c>
      <c r="H62" s="9">
        <v>7189.91</v>
      </c>
      <c r="I62" s="9">
        <v>7068.17</v>
      </c>
      <c r="J62" s="9">
        <v>7131.9</v>
      </c>
      <c r="K62" s="9">
        <v>7388.7</v>
      </c>
      <c r="L62" s="9">
        <v>6512.31</v>
      </c>
      <c r="M62" s="9">
        <v>8045.27</v>
      </c>
      <c r="N62" s="9">
        <v>8989.16</v>
      </c>
      <c r="O62" s="9">
        <v>9813.02</v>
      </c>
      <c r="P62" s="9">
        <v>10387.530000000001</v>
      </c>
      <c r="Q62" s="9">
        <v>10742.84</v>
      </c>
      <c r="R62" s="9">
        <v>10669.82</v>
      </c>
      <c r="S62" s="9">
        <v>10466.98</v>
      </c>
      <c r="T62" s="9">
        <v>10130.9</v>
      </c>
      <c r="U62" s="9">
        <v>9934.83</v>
      </c>
      <c r="V62" s="9">
        <v>12517.32</v>
      </c>
      <c r="W62" s="9">
        <v>13863.82</v>
      </c>
      <c r="X62" s="9">
        <v>14151.52</v>
      </c>
      <c r="Y62" s="9">
        <v>13571.37</v>
      </c>
      <c r="Z62" s="9">
        <v>12380.39</v>
      </c>
      <c r="AA62" s="9">
        <v>10672.2</v>
      </c>
      <c r="AB62" s="9">
        <v>9208.81</v>
      </c>
      <c r="AC62" s="71"/>
    </row>
    <row r="63" spans="1:29" x14ac:dyDescent="0.3">
      <c r="A63" s="67">
        <v>47665</v>
      </c>
      <c r="B63" s="69">
        <f t="shared" ref="B63" si="15">DAY(EOMONTH(A63,0))</f>
        <v>31</v>
      </c>
      <c r="C63" s="3" t="s">
        <v>36</v>
      </c>
      <c r="D63" s="10">
        <v>22</v>
      </c>
      <c r="E63" s="5">
        <v>8315.7999999999993</v>
      </c>
      <c r="F63" s="5">
        <v>7769.84</v>
      </c>
      <c r="G63" s="5">
        <v>7482.27</v>
      </c>
      <c r="H63" s="5">
        <v>7312.79</v>
      </c>
      <c r="I63" s="5">
        <v>7338.38</v>
      </c>
      <c r="J63" s="5">
        <v>7966.18</v>
      </c>
      <c r="K63" s="5">
        <v>8687.49</v>
      </c>
      <c r="L63" s="5">
        <v>7767.51</v>
      </c>
      <c r="M63" s="5">
        <v>9210.5300000000007</v>
      </c>
      <c r="N63" s="5">
        <v>10116.620000000001</v>
      </c>
      <c r="O63" s="5">
        <v>10864.66</v>
      </c>
      <c r="P63" s="5">
        <v>11592.16</v>
      </c>
      <c r="Q63" s="5">
        <v>11291.22</v>
      </c>
      <c r="R63" s="5">
        <v>11279.12</v>
      </c>
      <c r="S63" s="5">
        <v>11979.23</v>
      </c>
      <c r="T63" s="5">
        <v>12348</v>
      </c>
      <c r="U63" s="5">
        <v>12359.68</v>
      </c>
      <c r="V63" s="5">
        <v>14591.89</v>
      </c>
      <c r="W63" s="5">
        <v>15636.47</v>
      </c>
      <c r="X63" s="5">
        <v>16154.93</v>
      </c>
      <c r="Y63" s="5">
        <v>15137.19</v>
      </c>
      <c r="Z63" s="5">
        <v>13630.01</v>
      </c>
      <c r="AA63" s="5">
        <v>11576.74</v>
      </c>
      <c r="AB63" s="5">
        <v>9867.64</v>
      </c>
      <c r="AC63" s="71">
        <f t="shared" ref="AC63" si="16">SUMPRODUCT((E63:AB65)*D63:D65)</f>
        <v>7873045.7800000003</v>
      </c>
    </row>
    <row r="64" spans="1:29" x14ac:dyDescent="0.3">
      <c r="A64" s="68"/>
      <c r="B64" s="70"/>
      <c r="C64" t="s">
        <v>37</v>
      </c>
      <c r="D64" s="11">
        <v>3</v>
      </c>
      <c r="E64" s="5">
        <v>8501.2199999999993</v>
      </c>
      <c r="F64" s="5">
        <v>7896.23</v>
      </c>
      <c r="G64" s="5">
        <v>7526.59</v>
      </c>
      <c r="H64" s="5">
        <v>7360.25</v>
      </c>
      <c r="I64" s="5">
        <v>7293.31</v>
      </c>
      <c r="J64" s="5">
        <v>7534.47</v>
      </c>
      <c r="K64" s="5">
        <v>7919.67</v>
      </c>
      <c r="L64" s="5">
        <v>7336.31</v>
      </c>
      <c r="M64" s="5">
        <v>8876.06</v>
      </c>
      <c r="N64" s="5">
        <v>9908.1200000000008</v>
      </c>
      <c r="O64" s="5">
        <v>10583.2</v>
      </c>
      <c r="P64" s="5">
        <v>11145.01</v>
      </c>
      <c r="Q64" s="5">
        <v>10907.46</v>
      </c>
      <c r="R64" s="5">
        <v>10789.86</v>
      </c>
      <c r="S64" s="5">
        <v>10927.8</v>
      </c>
      <c r="T64" s="5">
        <v>11167.44</v>
      </c>
      <c r="U64" s="5">
        <v>11074.9</v>
      </c>
      <c r="V64" s="5">
        <v>13278.93</v>
      </c>
      <c r="W64" s="5">
        <v>14739.05</v>
      </c>
      <c r="X64" s="5">
        <v>15409.65</v>
      </c>
      <c r="Y64" s="5">
        <v>14384.76</v>
      </c>
      <c r="Z64" s="5">
        <v>13012.81</v>
      </c>
      <c r="AA64" s="5">
        <v>11382.17</v>
      </c>
      <c r="AB64" s="5">
        <v>9811.81</v>
      </c>
      <c r="AC64" s="71"/>
    </row>
    <row r="65" spans="1:30" x14ac:dyDescent="0.3">
      <c r="A65" s="76"/>
      <c r="B65" s="77"/>
      <c r="C65" s="7" t="s">
        <v>38</v>
      </c>
      <c r="D65" s="12">
        <v>6</v>
      </c>
      <c r="E65" s="9">
        <v>8497.5</v>
      </c>
      <c r="F65" s="9">
        <v>7897.58</v>
      </c>
      <c r="G65" s="9">
        <v>7498.71</v>
      </c>
      <c r="H65" s="9">
        <v>7264.46</v>
      </c>
      <c r="I65" s="9">
        <v>7153.41</v>
      </c>
      <c r="J65" s="9">
        <v>7277.15</v>
      </c>
      <c r="K65" s="9">
        <v>7499</v>
      </c>
      <c r="L65" s="9">
        <v>6652.61</v>
      </c>
      <c r="M65" s="9">
        <v>7974.76</v>
      </c>
      <c r="N65" s="9">
        <v>8968.58</v>
      </c>
      <c r="O65" s="9">
        <v>9578.7900000000009</v>
      </c>
      <c r="P65" s="9">
        <v>10103.5</v>
      </c>
      <c r="Q65" s="9">
        <v>10315.370000000001</v>
      </c>
      <c r="R65" s="9">
        <v>10293.44</v>
      </c>
      <c r="S65" s="9">
        <v>10287.33</v>
      </c>
      <c r="T65" s="9">
        <v>10040.57</v>
      </c>
      <c r="U65" s="9">
        <v>9912.18</v>
      </c>
      <c r="V65" s="9">
        <v>12003.86</v>
      </c>
      <c r="W65" s="9">
        <v>13438.19</v>
      </c>
      <c r="X65" s="9">
        <v>14291.28</v>
      </c>
      <c r="Y65" s="9">
        <v>13635.82</v>
      </c>
      <c r="Z65" s="9">
        <v>12502.39</v>
      </c>
      <c r="AA65" s="9">
        <v>10879.31</v>
      </c>
      <c r="AB65" s="9">
        <v>9478.35</v>
      </c>
      <c r="AC65" s="71"/>
    </row>
    <row r="66" spans="1:30" x14ac:dyDescent="0.3">
      <c r="A66" s="67">
        <v>47696</v>
      </c>
      <c r="B66" s="69">
        <f t="shared" ref="B66" si="17">DAY(EOMONTH(A66,0))</f>
        <v>31</v>
      </c>
      <c r="C66" s="3" t="s">
        <v>36</v>
      </c>
      <c r="D66" s="10">
        <v>20</v>
      </c>
      <c r="E66" s="5">
        <v>8724.74</v>
      </c>
      <c r="F66" s="5">
        <v>8222.8799999999992</v>
      </c>
      <c r="G66" s="5">
        <v>7912.63</v>
      </c>
      <c r="H66" s="5">
        <v>7715.98</v>
      </c>
      <c r="I66" s="5">
        <v>7741.94</v>
      </c>
      <c r="J66" s="5">
        <v>8080.32</v>
      </c>
      <c r="K66" s="5">
        <v>9015.98</v>
      </c>
      <c r="L66" s="5">
        <v>8115.44</v>
      </c>
      <c r="M66" s="5">
        <v>9409.93</v>
      </c>
      <c r="N66" s="5">
        <v>10360.25</v>
      </c>
      <c r="O66" s="5">
        <v>11278</v>
      </c>
      <c r="P66" s="5">
        <v>11956.04</v>
      </c>
      <c r="Q66" s="5">
        <v>11801.18</v>
      </c>
      <c r="R66" s="5">
        <v>12100.14</v>
      </c>
      <c r="S66" s="5">
        <v>13033.14</v>
      </c>
      <c r="T66" s="5">
        <v>13595.98</v>
      </c>
      <c r="U66" s="5">
        <v>13588.02</v>
      </c>
      <c r="V66" s="5">
        <v>15274.65</v>
      </c>
      <c r="W66" s="5">
        <v>16359.95</v>
      </c>
      <c r="X66" s="5">
        <v>17177.939999999999</v>
      </c>
      <c r="Y66" s="5">
        <v>16181.47</v>
      </c>
      <c r="Z66" s="5">
        <v>14617.42</v>
      </c>
      <c r="AA66" s="5">
        <v>12463.15</v>
      </c>
      <c r="AB66" s="5">
        <v>10633.89</v>
      </c>
      <c r="AC66" s="71">
        <f t="shared" ref="AC66" si="18">SUMPRODUCT((E66:AB68)*D66:D68)</f>
        <v>8431536.5699999984</v>
      </c>
    </row>
    <row r="67" spans="1:30" x14ac:dyDescent="0.3">
      <c r="A67" s="68"/>
      <c r="B67" s="70"/>
      <c r="C67" t="s">
        <v>37</v>
      </c>
      <c r="D67" s="11">
        <v>5</v>
      </c>
      <c r="E67" s="5">
        <v>9671.4699999999993</v>
      </c>
      <c r="F67" s="5">
        <v>9009.7000000000007</v>
      </c>
      <c r="G67" s="5">
        <v>8138.77</v>
      </c>
      <c r="H67" s="5">
        <v>8474.11</v>
      </c>
      <c r="I67" s="5">
        <v>8187.35</v>
      </c>
      <c r="J67" s="5">
        <v>8330.89</v>
      </c>
      <c r="K67" s="5">
        <v>8668.4500000000007</v>
      </c>
      <c r="L67" s="5">
        <v>8479.44</v>
      </c>
      <c r="M67" s="5">
        <v>9978.14</v>
      </c>
      <c r="N67" s="5">
        <v>11258.99</v>
      </c>
      <c r="O67" s="5">
        <v>12180.37</v>
      </c>
      <c r="P67" s="5">
        <v>12921.48</v>
      </c>
      <c r="Q67" s="5">
        <v>12794.94</v>
      </c>
      <c r="R67" s="5">
        <v>12755.64</v>
      </c>
      <c r="S67" s="5">
        <v>12931.04</v>
      </c>
      <c r="T67" s="5">
        <v>12683.97</v>
      </c>
      <c r="U67" s="5">
        <v>12705.44</v>
      </c>
      <c r="V67" s="5">
        <v>14700.56</v>
      </c>
      <c r="W67" s="5">
        <v>16220.2</v>
      </c>
      <c r="X67" s="5">
        <v>16830.95</v>
      </c>
      <c r="Y67" s="5">
        <v>15817.84</v>
      </c>
      <c r="Z67" s="5">
        <v>14563.26</v>
      </c>
      <c r="AA67" s="5">
        <v>12873.42</v>
      </c>
      <c r="AB67" s="5">
        <v>11452.15</v>
      </c>
      <c r="AC67" s="71"/>
    </row>
    <row r="68" spans="1:30" x14ac:dyDescent="0.3">
      <c r="A68" s="76"/>
      <c r="B68" s="77"/>
      <c r="C68" s="7" t="s">
        <v>38</v>
      </c>
      <c r="D68" s="12">
        <v>6</v>
      </c>
      <c r="E68" s="9">
        <v>9465.6299999999992</v>
      </c>
      <c r="F68" s="9">
        <v>8789.41</v>
      </c>
      <c r="G68" s="9">
        <v>8356.41</v>
      </c>
      <c r="H68" s="9">
        <v>8091.21</v>
      </c>
      <c r="I68" s="9">
        <v>7797.26</v>
      </c>
      <c r="J68" s="9">
        <v>7951.41</v>
      </c>
      <c r="K68" s="9">
        <v>8316.85</v>
      </c>
      <c r="L68" s="9">
        <v>7366.66</v>
      </c>
      <c r="M68" s="9">
        <v>8689.8799999999992</v>
      </c>
      <c r="N68" s="9">
        <v>9486.35</v>
      </c>
      <c r="O68" s="9">
        <v>10219.14</v>
      </c>
      <c r="P68" s="9">
        <v>11237.91</v>
      </c>
      <c r="Q68" s="9">
        <v>11127.84</v>
      </c>
      <c r="R68" s="9">
        <v>10858.04</v>
      </c>
      <c r="S68" s="9">
        <v>10889.14</v>
      </c>
      <c r="T68" s="9">
        <v>10600.69</v>
      </c>
      <c r="U68" s="9">
        <v>10690.63</v>
      </c>
      <c r="V68" s="9">
        <v>13099.75</v>
      </c>
      <c r="W68" s="9">
        <v>14781.14</v>
      </c>
      <c r="X68" s="9">
        <v>15189.81</v>
      </c>
      <c r="Y68" s="9">
        <v>14432.17</v>
      </c>
      <c r="Z68" s="9">
        <v>13426.92</v>
      </c>
      <c r="AA68" s="9">
        <v>11656.35</v>
      </c>
      <c r="AB68" s="9">
        <v>10174.82</v>
      </c>
      <c r="AC68" s="71"/>
    </row>
    <row r="69" spans="1:30" x14ac:dyDescent="0.3">
      <c r="A69" s="67">
        <v>47727</v>
      </c>
      <c r="B69" s="69">
        <f t="shared" ref="B69" si="19">DAY(EOMONTH(A69,0))</f>
        <v>30</v>
      </c>
      <c r="C69" s="3" t="s">
        <v>36</v>
      </c>
      <c r="D69" s="10">
        <v>21</v>
      </c>
      <c r="E69" s="5">
        <v>9346.7900000000009</v>
      </c>
      <c r="F69" s="5">
        <v>8720.06</v>
      </c>
      <c r="G69" s="5">
        <v>8454.48</v>
      </c>
      <c r="H69" s="5">
        <v>8214.76</v>
      </c>
      <c r="I69" s="5">
        <v>8088.36</v>
      </c>
      <c r="J69" s="5">
        <v>8499.83</v>
      </c>
      <c r="K69" s="5">
        <v>9519.74</v>
      </c>
      <c r="L69" s="5">
        <v>8533.5499999999993</v>
      </c>
      <c r="M69" s="5">
        <v>10017.84</v>
      </c>
      <c r="N69" s="5">
        <v>11003.98</v>
      </c>
      <c r="O69" s="5">
        <v>11912.61</v>
      </c>
      <c r="P69" s="5">
        <v>12540.42</v>
      </c>
      <c r="Q69" s="5">
        <v>11998.7</v>
      </c>
      <c r="R69" s="5">
        <v>12172.86</v>
      </c>
      <c r="S69" s="5">
        <v>12976.52</v>
      </c>
      <c r="T69" s="5">
        <v>13288.54</v>
      </c>
      <c r="U69" s="5">
        <v>13394.21</v>
      </c>
      <c r="V69" s="5">
        <v>15542.34</v>
      </c>
      <c r="W69" s="5">
        <v>16945.27</v>
      </c>
      <c r="X69" s="5">
        <v>17357.86</v>
      </c>
      <c r="Y69" s="5">
        <v>16120.34</v>
      </c>
      <c r="Z69" s="5">
        <v>14701.51</v>
      </c>
      <c r="AA69" s="5">
        <v>12693.82</v>
      </c>
      <c r="AB69" s="5">
        <v>10918.35</v>
      </c>
      <c r="AC69" s="71">
        <f t="shared" ref="AC69" si="20">SUMPRODUCT((E69:AB71)*D69:D71)</f>
        <v>8333999.2899999982</v>
      </c>
    </row>
    <row r="70" spans="1:30" x14ac:dyDescent="0.3">
      <c r="A70" s="68"/>
      <c r="B70" s="70"/>
      <c r="C70" t="s">
        <v>37</v>
      </c>
      <c r="D70" s="11">
        <v>4</v>
      </c>
      <c r="E70" s="5">
        <v>9633.4</v>
      </c>
      <c r="F70" s="5">
        <v>8982.18</v>
      </c>
      <c r="G70" s="5">
        <v>8515.98</v>
      </c>
      <c r="H70" s="5">
        <v>8261.5400000000009</v>
      </c>
      <c r="I70" s="5">
        <v>8162.81</v>
      </c>
      <c r="J70" s="5">
        <v>8331.06</v>
      </c>
      <c r="K70" s="5">
        <v>8855.4500000000007</v>
      </c>
      <c r="L70" s="5">
        <v>8419.41</v>
      </c>
      <c r="M70" s="5">
        <v>10075.1</v>
      </c>
      <c r="N70" s="5">
        <v>11437.58</v>
      </c>
      <c r="O70" s="5">
        <v>12601.71</v>
      </c>
      <c r="P70" s="5">
        <v>13483.88</v>
      </c>
      <c r="Q70" s="5">
        <v>12745.31</v>
      </c>
      <c r="R70" s="5">
        <v>13489.41</v>
      </c>
      <c r="S70" s="5">
        <v>13825.96</v>
      </c>
      <c r="T70" s="5">
        <v>13862.77</v>
      </c>
      <c r="U70" s="5">
        <v>13214.47</v>
      </c>
      <c r="V70" s="5">
        <v>15483.35</v>
      </c>
      <c r="W70" s="5">
        <v>17137.86</v>
      </c>
      <c r="X70" s="5">
        <v>17292.560000000001</v>
      </c>
      <c r="Y70" s="5">
        <v>16282.43</v>
      </c>
      <c r="Z70" s="5">
        <v>15134.15</v>
      </c>
      <c r="AA70" s="5">
        <v>13474.82</v>
      </c>
      <c r="AB70" s="5">
        <v>11958.06</v>
      </c>
      <c r="AC70" s="71"/>
    </row>
    <row r="71" spans="1:30" x14ac:dyDescent="0.3">
      <c r="A71" s="76"/>
      <c r="B71" s="77"/>
      <c r="C71" s="7" t="s">
        <v>38</v>
      </c>
      <c r="D71" s="12">
        <v>5</v>
      </c>
      <c r="E71" s="9">
        <v>10573.15</v>
      </c>
      <c r="F71" s="9">
        <v>9846.85</v>
      </c>
      <c r="G71" s="9">
        <v>9303.3799999999992</v>
      </c>
      <c r="H71" s="9">
        <v>8966.39</v>
      </c>
      <c r="I71" s="9">
        <v>8678.0400000000009</v>
      </c>
      <c r="J71" s="9">
        <v>8592.36</v>
      </c>
      <c r="K71" s="9">
        <v>8204.2900000000009</v>
      </c>
      <c r="L71" s="9">
        <v>6930.59</v>
      </c>
      <c r="M71" s="9">
        <v>8223.81</v>
      </c>
      <c r="N71" s="9">
        <v>9315.08</v>
      </c>
      <c r="O71" s="9">
        <v>9907.65</v>
      </c>
      <c r="P71" s="9">
        <v>10418.52</v>
      </c>
      <c r="Q71" s="9">
        <v>10665.52</v>
      </c>
      <c r="R71" s="9">
        <v>10131.35</v>
      </c>
      <c r="S71" s="9">
        <v>9012.11</v>
      </c>
      <c r="T71" s="9">
        <v>8248.2099999999991</v>
      </c>
      <c r="U71" s="9">
        <v>8294.5499999999993</v>
      </c>
      <c r="V71" s="9">
        <v>11574.72</v>
      </c>
      <c r="W71" s="9">
        <v>13157.83</v>
      </c>
      <c r="X71" s="9">
        <v>14942.72</v>
      </c>
      <c r="Y71" s="9">
        <v>14510.66</v>
      </c>
      <c r="Z71" s="9">
        <v>13665.02</v>
      </c>
      <c r="AA71" s="9">
        <v>12055.39</v>
      </c>
      <c r="AB71" s="9">
        <v>10609.16</v>
      </c>
      <c r="AC71" s="71"/>
    </row>
    <row r="72" spans="1:30" x14ac:dyDescent="0.3">
      <c r="A72" s="67">
        <v>47757</v>
      </c>
      <c r="B72" s="69">
        <f t="shared" ref="B72" si="21">DAY(EOMONTH(A72,0))</f>
        <v>31</v>
      </c>
      <c r="C72" s="3" t="s">
        <v>36</v>
      </c>
      <c r="D72" s="10">
        <v>22</v>
      </c>
      <c r="E72" s="5">
        <v>9595.14</v>
      </c>
      <c r="F72" s="5">
        <v>9045.23</v>
      </c>
      <c r="G72" s="5">
        <v>8690.9599999999991</v>
      </c>
      <c r="H72" s="5">
        <v>8429.15</v>
      </c>
      <c r="I72" s="5">
        <v>8320.93</v>
      </c>
      <c r="J72" s="5">
        <v>8690.7099999999991</v>
      </c>
      <c r="K72" s="5">
        <v>9447.6299999999992</v>
      </c>
      <c r="L72" s="5">
        <v>8708.49</v>
      </c>
      <c r="M72" s="5">
        <v>10282.4</v>
      </c>
      <c r="N72" s="5">
        <v>11437.18</v>
      </c>
      <c r="O72" s="5">
        <v>12506.44</v>
      </c>
      <c r="P72" s="5">
        <v>13432.51</v>
      </c>
      <c r="Q72" s="5">
        <v>13206.55</v>
      </c>
      <c r="R72" s="5">
        <v>13439.58</v>
      </c>
      <c r="S72" s="5">
        <v>13960.24</v>
      </c>
      <c r="T72" s="5">
        <v>14312.37</v>
      </c>
      <c r="U72" s="5">
        <v>14224.03</v>
      </c>
      <c r="V72" s="5">
        <v>16232.75</v>
      </c>
      <c r="W72" s="5">
        <v>17627.87</v>
      </c>
      <c r="X72" s="5">
        <v>17606.3</v>
      </c>
      <c r="Y72" s="5">
        <v>16349.08</v>
      </c>
      <c r="Z72" s="5">
        <v>14814.15</v>
      </c>
      <c r="AA72" s="5">
        <v>12861.7</v>
      </c>
      <c r="AB72" s="5">
        <v>11307.88</v>
      </c>
      <c r="AC72" s="71">
        <f t="shared" ref="AC72" si="22">SUMPRODUCT((E72:AB74)*D72:D74)</f>
        <v>8876389.0300000012</v>
      </c>
    </row>
    <row r="73" spans="1:30" x14ac:dyDescent="0.3">
      <c r="A73" s="68"/>
      <c r="B73" s="70"/>
      <c r="C73" t="s">
        <v>37</v>
      </c>
      <c r="D73" s="11">
        <v>4</v>
      </c>
      <c r="E73" s="5">
        <v>10253.870000000001</v>
      </c>
      <c r="F73" s="5">
        <v>9591.17</v>
      </c>
      <c r="G73" s="5">
        <v>9137.7099999999991</v>
      </c>
      <c r="H73" s="5">
        <v>8828.98</v>
      </c>
      <c r="I73" s="5">
        <v>8758.98</v>
      </c>
      <c r="J73" s="5">
        <v>8822.23</v>
      </c>
      <c r="K73" s="5">
        <v>9337.1200000000008</v>
      </c>
      <c r="L73" s="5">
        <v>8831.67</v>
      </c>
      <c r="M73" s="5">
        <v>10704.14</v>
      </c>
      <c r="N73" s="5">
        <v>12077.18</v>
      </c>
      <c r="O73" s="5">
        <v>13198.02</v>
      </c>
      <c r="P73" s="5">
        <v>13397.59</v>
      </c>
      <c r="Q73" s="5">
        <v>12721.51</v>
      </c>
      <c r="R73" s="5">
        <v>11879.07</v>
      </c>
      <c r="S73" s="5">
        <v>12026.11</v>
      </c>
      <c r="T73" s="5">
        <v>11928.34</v>
      </c>
      <c r="U73" s="5">
        <v>11448.07</v>
      </c>
      <c r="V73" s="5">
        <v>13795.17</v>
      </c>
      <c r="W73" s="5">
        <v>15578.25</v>
      </c>
      <c r="X73" s="5">
        <v>15703.94</v>
      </c>
      <c r="Y73" s="5">
        <v>14725.82</v>
      </c>
      <c r="Z73" s="5">
        <v>13560.73</v>
      </c>
      <c r="AA73" s="5">
        <v>12096.18</v>
      </c>
      <c r="AB73" s="5">
        <v>10747.91</v>
      </c>
      <c r="AC73" s="71"/>
    </row>
    <row r="74" spans="1:30" x14ac:dyDescent="0.3">
      <c r="A74" s="76"/>
      <c r="B74" s="77"/>
      <c r="C74" s="7" t="s">
        <v>38</v>
      </c>
      <c r="D74" s="12">
        <v>5</v>
      </c>
      <c r="E74" s="9">
        <v>9479.56</v>
      </c>
      <c r="F74" s="9">
        <v>8876.4699999999993</v>
      </c>
      <c r="G74" s="9">
        <v>8453.1299999999992</v>
      </c>
      <c r="H74" s="9">
        <v>8143.26</v>
      </c>
      <c r="I74" s="9">
        <v>7964.02</v>
      </c>
      <c r="J74" s="9">
        <v>7601.74</v>
      </c>
      <c r="K74" s="9">
        <v>8203.0499999999993</v>
      </c>
      <c r="L74" s="9">
        <v>7381.09</v>
      </c>
      <c r="M74" s="9">
        <v>8579.34</v>
      </c>
      <c r="N74" s="9">
        <v>9533.9</v>
      </c>
      <c r="O74" s="9">
        <v>10443.98</v>
      </c>
      <c r="P74" s="9">
        <v>11165.33</v>
      </c>
      <c r="Q74" s="9">
        <v>11440.16</v>
      </c>
      <c r="R74" s="9">
        <v>11491.59</v>
      </c>
      <c r="S74" s="9">
        <v>11383.79</v>
      </c>
      <c r="T74" s="9">
        <v>11336.7</v>
      </c>
      <c r="U74" s="9">
        <v>11319.17</v>
      </c>
      <c r="V74" s="9">
        <v>13559.68</v>
      </c>
      <c r="W74" s="9">
        <v>15437.94</v>
      </c>
      <c r="X74" s="9">
        <v>14866.02</v>
      </c>
      <c r="Y74" s="9">
        <v>14375.26</v>
      </c>
      <c r="Z74" s="9">
        <v>12790.19</v>
      </c>
      <c r="AA74" s="9">
        <v>11844.61</v>
      </c>
      <c r="AB74" s="9">
        <v>10359.23</v>
      </c>
      <c r="AC74" s="71"/>
    </row>
    <row r="75" spans="1:30" x14ac:dyDescent="0.3">
      <c r="A75" s="67">
        <v>47788</v>
      </c>
      <c r="B75" s="69">
        <f>DAY(EOMONTH(A75,0))</f>
        <v>30</v>
      </c>
      <c r="C75" s="3" t="s">
        <v>36</v>
      </c>
      <c r="D75" s="10">
        <v>19</v>
      </c>
      <c r="E75" s="5">
        <v>9061.6299999999992</v>
      </c>
      <c r="F75" s="5">
        <v>8476.01</v>
      </c>
      <c r="G75" s="5">
        <v>8265.6200000000008</v>
      </c>
      <c r="H75" s="5">
        <v>8015.01</v>
      </c>
      <c r="I75" s="5">
        <v>8081.3</v>
      </c>
      <c r="J75" s="5">
        <v>8430.42</v>
      </c>
      <c r="K75" s="5">
        <v>9366.1</v>
      </c>
      <c r="L75" s="5">
        <v>8560.27</v>
      </c>
      <c r="M75" s="5">
        <v>10074.040000000001</v>
      </c>
      <c r="N75" s="5">
        <v>11047.43</v>
      </c>
      <c r="O75" s="5">
        <v>11978.34</v>
      </c>
      <c r="P75" s="5">
        <v>12820.1</v>
      </c>
      <c r="Q75" s="5">
        <v>12308.68</v>
      </c>
      <c r="R75" s="5">
        <v>12690.69</v>
      </c>
      <c r="S75" s="5">
        <v>13617.48</v>
      </c>
      <c r="T75" s="5">
        <v>13599.23</v>
      </c>
      <c r="U75" s="5">
        <v>13592.98</v>
      </c>
      <c r="V75" s="5">
        <v>15660.47</v>
      </c>
      <c r="W75" s="5">
        <v>17093.12</v>
      </c>
      <c r="X75" s="5">
        <v>16937.37</v>
      </c>
      <c r="Y75" s="5">
        <v>15802</v>
      </c>
      <c r="Z75" s="5">
        <v>14301.77</v>
      </c>
      <c r="AA75" s="5">
        <v>12292.6</v>
      </c>
      <c r="AB75" s="5">
        <v>10684.33</v>
      </c>
      <c r="AC75" s="71">
        <f>SUMPRODUCT((E75:AB77)*D75:D77)</f>
        <v>8276917.2700000033</v>
      </c>
    </row>
    <row r="76" spans="1:30" x14ac:dyDescent="0.3">
      <c r="A76" s="68"/>
      <c r="B76" s="70"/>
      <c r="C76" t="s">
        <v>37</v>
      </c>
      <c r="D76" s="11">
        <v>5</v>
      </c>
      <c r="E76" s="5">
        <v>9470.61</v>
      </c>
      <c r="F76" s="5">
        <v>8902.93</v>
      </c>
      <c r="G76" s="5">
        <v>8475.3700000000008</v>
      </c>
      <c r="H76" s="5">
        <v>8106.91</v>
      </c>
      <c r="I76" s="5">
        <v>7911.89</v>
      </c>
      <c r="J76" s="5">
        <v>8251.43</v>
      </c>
      <c r="K76" s="5">
        <v>8623.93</v>
      </c>
      <c r="L76" s="5">
        <v>7951.88</v>
      </c>
      <c r="M76" s="5">
        <v>9575.06</v>
      </c>
      <c r="N76" s="5">
        <v>10426.91</v>
      </c>
      <c r="O76" s="5">
        <v>11155.13</v>
      </c>
      <c r="P76" s="5">
        <v>11623.07</v>
      </c>
      <c r="Q76" s="5">
        <v>11863.95</v>
      </c>
      <c r="R76" s="5">
        <v>11943.13</v>
      </c>
      <c r="S76" s="5">
        <v>12251.7</v>
      </c>
      <c r="T76" s="5">
        <v>12408.52</v>
      </c>
      <c r="U76" s="5">
        <v>12407.01</v>
      </c>
      <c r="V76" s="5">
        <v>14758.52</v>
      </c>
      <c r="W76" s="5">
        <v>16534.13</v>
      </c>
      <c r="X76" s="5">
        <v>16487.68</v>
      </c>
      <c r="Y76" s="5">
        <v>15342.69</v>
      </c>
      <c r="Z76" s="5">
        <v>14087.82</v>
      </c>
      <c r="AA76" s="5">
        <v>12605.43</v>
      </c>
      <c r="AB76" s="5">
        <v>10804.84</v>
      </c>
      <c r="AC76" s="71"/>
    </row>
    <row r="77" spans="1:30" x14ac:dyDescent="0.3">
      <c r="A77" s="68"/>
      <c r="B77" s="70"/>
      <c r="C77" t="s">
        <v>38</v>
      </c>
      <c r="D77" s="11">
        <v>6</v>
      </c>
      <c r="E77" s="5">
        <v>9704.31</v>
      </c>
      <c r="F77" s="5">
        <v>9097.09</v>
      </c>
      <c r="G77" s="5">
        <v>8688.4599999999991</v>
      </c>
      <c r="H77" s="5">
        <v>8461.3799999999992</v>
      </c>
      <c r="I77" s="5">
        <v>8399.73</v>
      </c>
      <c r="J77" s="5">
        <v>8191.33</v>
      </c>
      <c r="K77" s="5">
        <v>8486.86</v>
      </c>
      <c r="L77" s="5">
        <v>7711.06</v>
      </c>
      <c r="M77" s="5">
        <v>9071.2000000000007</v>
      </c>
      <c r="N77" s="5">
        <v>9957.11</v>
      </c>
      <c r="O77" s="5">
        <v>10386.09</v>
      </c>
      <c r="P77" s="5">
        <v>10025.25</v>
      </c>
      <c r="Q77" s="5">
        <v>10437.950000000001</v>
      </c>
      <c r="R77" s="5">
        <v>10736.42</v>
      </c>
      <c r="S77" s="5">
        <v>11031.4</v>
      </c>
      <c r="T77" s="5">
        <v>10425.81</v>
      </c>
      <c r="U77" s="5">
        <v>11042.31</v>
      </c>
      <c r="V77" s="5">
        <v>13317</v>
      </c>
      <c r="W77" s="5">
        <v>15249.19</v>
      </c>
      <c r="X77" s="5">
        <v>15737.86</v>
      </c>
      <c r="Y77" s="5">
        <v>14709.27</v>
      </c>
      <c r="Z77" s="5">
        <v>13779.91</v>
      </c>
      <c r="AA77" s="5">
        <v>12123</v>
      </c>
      <c r="AB77" s="5">
        <v>10676.97</v>
      </c>
      <c r="AC77" s="71"/>
    </row>
    <row r="78" spans="1:30" x14ac:dyDescent="0.3">
      <c r="A78" s="67">
        <v>47818</v>
      </c>
      <c r="B78" s="69">
        <f>DAY(EOMONTH(A78,0))</f>
        <v>31</v>
      </c>
      <c r="C78" s="3" t="s">
        <v>36</v>
      </c>
      <c r="D78" s="10">
        <v>21</v>
      </c>
      <c r="E78" s="13">
        <v>9133.4699999999993</v>
      </c>
      <c r="F78" s="13">
        <v>8498.7000000000007</v>
      </c>
      <c r="G78" s="13">
        <v>8160.35</v>
      </c>
      <c r="H78" s="13">
        <v>7948.33</v>
      </c>
      <c r="I78" s="13">
        <v>7959.27</v>
      </c>
      <c r="J78" s="13">
        <v>8238.35</v>
      </c>
      <c r="K78" s="13">
        <v>8680.1299999999992</v>
      </c>
      <c r="L78" s="13">
        <v>8163.51</v>
      </c>
      <c r="M78" s="13">
        <v>9874.5</v>
      </c>
      <c r="N78" s="13">
        <v>10967.67</v>
      </c>
      <c r="O78" s="13">
        <v>11787.13</v>
      </c>
      <c r="P78" s="13">
        <v>12497.37</v>
      </c>
      <c r="Q78" s="13">
        <v>12179.55</v>
      </c>
      <c r="R78" s="13">
        <v>12155.81</v>
      </c>
      <c r="S78" s="13">
        <v>12652.18</v>
      </c>
      <c r="T78" s="13">
        <v>12815.55</v>
      </c>
      <c r="U78" s="13">
        <v>12895.72</v>
      </c>
      <c r="V78" s="13">
        <v>14866.22</v>
      </c>
      <c r="W78" s="13">
        <v>16169.53</v>
      </c>
      <c r="X78" s="13">
        <v>16339.39</v>
      </c>
      <c r="Y78" s="13">
        <v>15481.01</v>
      </c>
      <c r="Z78" s="13">
        <v>14119.52</v>
      </c>
      <c r="AA78" s="13">
        <v>12400.21</v>
      </c>
      <c r="AB78" s="13">
        <v>10819.43</v>
      </c>
      <c r="AC78" s="74">
        <f>SUMPRODUCT((E78:AB80)*D78:D80)</f>
        <v>8375548.6800000016</v>
      </c>
    </row>
    <row r="79" spans="1:30" x14ac:dyDescent="0.3">
      <c r="A79" s="68"/>
      <c r="B79" s="70"/>
      <c r="C79" t="s">
        <v>37</v>
      </c>
      <c r="D79" s="11">
        <v>4</v>
      </c>
      <c r="E79" s="5">
        <v>9229.27</v>
      </c>
      <c r="F79" s="5">
        <v>8547.2900000000009</v>
      </c>
      <c r="G79" s="5">
        <v>8060.8</v>
      </c>
      <c r="H79" s="5">
        <v>7801.22</v>
      </c>
      <c r="I79" s="5">
        <v>7762.12</v>
      </c>
      <c r="J79" s="5">
        <v>7929.18</v>
      </c>
      <c r="K79" s="5">
        <v>8296.02</v>
      </c>
      <c r="L79" s="5">
        <v>7775.83</v>
      </c>
      <c r="M79" s="5">
        <v>9349.4500000000007</v>
      </c>
      <c r="N79" s="5">
        <v>10418.450000000001</v>
      </c>
      <c r="O79" s="5">
        <v>11091.68</v>
      </c>
      <c r="P79" s="5">
        <v>11702.31</v>
      </c>
      <c r="Q79" s="5">
        <v>11702.68</v>
      </c>
      <c r="R79" s="5">
        <v>11727.74</v>
      </c>
      <c r="S79" s="5">
        <v>11883.19</v>
      </c>
      <c r="T79" s="5">
        <v>11956.02</v>
      </c>
      <c r="U79" s="5">
        <v>11896.83</v>
      </c>
      <c r="V79" s="5">
        <v>14156.86</v>
      </c>
      <c r="W79" s="5">
        <v>15818.8</v>
      </c>
      <c r="X79" s="5">
        <v>16225.95</v>
      </c>
      <c r="Y79" s="5">
        <v>15429.14</v>
      </c>
      <c r="Z79" s="5">
        <v>14164.86</v>
      </c>
      <c r="AA79" s="5">
        <v>12617.89</v>
      </c>
      <c r="AB79" s="5">
        <v>11096.72</v>
      </c>
      <c r="AC79" s="71"/>
    </row>
    <row r="80" spans="1:30" ht="15.65" thickBot="1" x14ac:dyDescent="0.35">
      <c r="A80" s="72"/>
      <c r="B80" s="73"/>
      <c r="C80" s="14" t="s">
        <v>38</v>
      </c>
      <c r="D80" s="15">
        <v>6</v>
      </c>
      <c r="E80" s="16">
        <v>9763.8799999999992</v>
      </c>
      <c r="F80" s="16">
        <v>9083.65</v>
      </c>
      <c r="G80" s="16">
        <v>8618.74</v>
      </c>
      <c r="H80" s="16">
        <v>8352.57</v>
      </c>
      <c r="I80" s="16">
        <v>8225.52</v>
      </c>
      <c r="J80" s="16">
        <v>8198.2999999999993</v>
      </c>
      <c r="K80" s="16">
        <v>8301.9599999999991</v>
      </c>
      <c r="L80" s="16">
        <v>7386.86</v>
      </c>
      <c r="M80" s="16">
        <v>8709.75</v>
      </c>
      <c r="N80" s="16">
        <v>9634.48</v>
      </c>
      <c r="O80" s="16">
        <v>10242.44</v>
      </c>
      <c r="P80" s="16">
        <v>10608.13</v>
      </c>
      <c r="Q80" s="16">
        <v>10918.72</v>
      </c>
      <c r="R80" s="16">
        <v>10991.13</v>
      </c>
      <c r="S80" s="16">
        <v>10532.56</v>
      </c>
      <c r="T80" s="16">
        <v>10953.39</v>
      </c>
      <c r="U80" s="16">
        <v>11080.12</v>
      </c>
      <c r="V80" s="16">
        <v>13243.44</v>
      </c>
      <c r="W80" s="16">
        <v>14950.61</v>
      </c>
      <c r="X80" s="16">
        <v>15421.93</v>
      </c>
      <c r="Y80" s="16">
        <v>14754.22</v>
      </c>
      <c r="Z80" s="16">
        <v>13508.85</v>
      </c>
      <c r="AA80" s="16">
        <v>12087.06</v>
      </c>
      <c r="AB80" s="16">
        <v>10786.12</v>
      </c>
      <c r="AC80" s="75"/>
      <c r="AD80" s="17">
        <f>SUM(AC45:AC80)</f>
        <v>97989019.320000023</v>
      </c>
    </row>
    <row r="81" spans="1:29" x14ac:dyDescent="0.3">
      <c r="A81" s="68">
        <v>47849</v>
      </c>
      <c r="B81" s="70">
        <f>DAY(EOMONTH(A81,0))</f>
        <v>31</v>
      </c>
      <c r="C81" t="s">
        <v>36</v>
      </c>
      <c r="D81" s="6">
        <v>21</v>
      </c>
      <c r="E81" s="5">
        <v>9955.75</v>
      </c>
      <c r="F81" s="5">
        <v>9327.7999999999993</v>
      </c>
      <c r="G81" s="5">
        <v>8917.32</v>
      </c>
      <c r="H81" s="5">
        <v>8642.8799999999992</v>
      </c>
      <c r="I81" s="5">
        <v>8563.06</v>
      </c>
      <c r="J81" s="5">
        <v>8729.94</v>
      </c>
      <c r="K81" s="5">
        <v>8780.1200000000008</v>
      </c>
      <c r="L81" s="5">
        <v>8021.02</v>
      </c>
      <c r="M81" s="5">
        <v>9601.69</v>
      </c>
      <c r="N81" s="5">
        <v>10950.18</v>
      </c>
      <c r="O81" s="5">
        <v>12195.73</v>
      </c>
      <c r="P81" s="5">
        <v>13100.54</v>
      </c>
      <c r="Q81" s="5">
        <v>12765.77</v>
      </c>
      <c r="R81" s="5">
        <v>12764.97</v>
      </c>
      <c r="S81" s="5">
        <v>13586.25</v>
      </c>
      <c r="T81" s="5">
        <v>13717.44</v>
      </c>
      <c r="U81" s="5">
        <v>13488.91</v>
      </c>
      <c r="V81" s="5">
        <v>15419.64</v>
      </c>
      <c r="W81" s="5">
        <v>16254.11</v>
      </c>
      <c r="X81" s="5">
        <v>17037.13</v>
      </c>
      <c r="Y81" s="5">
        <v>16255.63</v>
      </c>
      <c r="Z81" s="5">
        <v>15006.4</v>
      </c>
      <c r="AA81" s="5">
        <v>13243.63</v>
      </c>
      <c r="AB81" s="5">
        <v>11548.09</v>
      </c>
      <c r="AC81" s="71">
        <f>SUMPRODUCT((E81:AB83)*D81:D83)</f>
        <v>8695957.2999999989</v>
      </c>
    </row>
    <row r="82" spans="1:29" x14ac:dyDescent="0.3">
      <c r="A82" s="68"/>
      <c r="B82" s="70"/>
      <c r="C82" t="s">
        <v>37</v>
      </c>
      <c r="D82" s="6">
        <v>4</v>
      </c>
      <c r="E82" s="5">
        <v>9836.48</v>
      </c>
      <c r="F82" s="5">
        <v>9231.43</v>
      </c>
      <c r="G82" s="5">
        <v>8812.24</v>
      </c>
      <c r="H82" s="5">
        <v>8555.51</v>
      </c>
      <c r="I82" s="5">
        <v>8458.42</v>
      </c>
      <c r="J82" s="5">
        <v>8593.15</v>
      </c>
      <c r="K82" s="5">
        <v>8720.25</v>
      </c>
      <c r="L82" s="5">
        <v>7783.78</v>
      </c>
      <c r="M82" s="5">
        <v>9162.3700000000008</v>
      </c>
      <c r="N82" s="5">
        <v>10185.200000000001</v>
      </c>
      <c r="O82" s="5">
        <v>11098.04</v>
      </c>
      <c r="P82" s="5">
        <v>11804.46</v>
      </c>
      <c r="Q82" s="5">
        <v>11791.01</v>
      </c>
      <c r="R82" s="5">
        <v>11767.71</v>
      </c>
      <c r="S82" s="5">
        <v>11927.63</v>
      </c>
      <c r="T82" s="5">
        <v>12079.66</v>
      </c>
      <c r="U82" s="5">
        <v>12068.57</v>
      </c>
      <c r="V82" s="5">
        <v>14143.1</v>
      </c>
      <c r="W82" s="5">
        <v>15126.26</v>
      </c>
      <c r="X82" s="5">
        <v>16082.78</v>
      </c>
      <c r="Y82" s="5">
        <v>15358.99</v>
      </c>
      <c r="Z82" s="5">
        <v>14250.29</v>
      </c>
      <c r="AA82" s="5">
        <v>12852.16</v>
      </c>
      <c r="AB82" s="5">
        <v>11489.31</v>
      </c>
      <c r="AC82" s="71"/>
    </row>
    <row r="83" spans="1:29" x14ac:dyDescent="0.3">
      <c r="A83" s="76"/>
      <c r="B83" s="77"/>
      <c r="C83" s="7" t="s">
        <v>38</v>
      </c>
      <c r="D83" s="8">
        <v>6</v>
      </c>
      <c r="E83" s="9">
        <v>10256.33</v>
      </c>
      <c r="F83" s="9">
        <v>9649.31</v>
      </c>
      <c r="G83" s="9">
        <v>9023.0499999999993</v>
      </c>
      <c r="H83" s="9">
        <v>8823.92</v>
      </c>
      <c r="I83" s="9">
        <v>8588.9599999999991</v>
      </c>
      <c r="J83" s="9">
        <v>8457.93</v>
      </c>
      <c r="K83" s="9">
        <v>8294.14</v>
      </c>
      <c r="L83" s="9">
        <v>7151.98</v>
      </c>
      <c r="M83" s="9">
        <v>8405.36</v>
      </c>
      <c r="N83" s="9">
        <v>9364.59</v>
      </c>
      <c r="O83" s="9">
        <v>10286.11</v>
      </c>
      <c r="P83" s="9">
        <v>11071.02</v>
      </c>
      <c r="Q83" s="9">
        <v>11424.07</v>
      </c>
      <c r="R83" s="9">
        <v>11298.55</v>
      </c>
      <c r="S83" s="9">
        <v>11025.96</v>
      </c>
      <c r="T83" s="9">
        <v>10975.77</v>
      </c>
      <c r="U83" s="9">
        <v>10914.85</v>
      </c>
      <c r="V83" s="9">
        <v>13229.75</v>
      </c>
      <c r="W83" s="9">
        <v>14454.82</v>
      </c>
      <c r="X83" s="9">
        <v>15573.59</v>
      </c>
      <c r="Y83" s="9">
        <v>14973</v>
      </c>
      <c r="Z83" s="9">
        <v>13933.15</v>
      </c>
      <c r="AA83" s="9">
        <v>12544.88</v>
      </c>
      <c r="AB83" s="9">
        <v>11260.26</v>
      </c>
      <c r="AC83" s="71"/>
    </row>
    <row r="84" spans="1:29" x14ac:dyDescent="0.3">
      <c r="A84" s="67">
        <v>47880</v>
      </c>
      <c r="B84" s="69">
        <f>DAY(EOMONTH(A84,0))</f>
        <v>28</v>
      </c>
      <c r="C84" s="3" t="s">
        <v>36</v>
      </c>
      <c r="D84" s="10">
        <v>20</v>
      </c>
      <c r="E84" s="5">
        <v>9778.4599999999991</v>
      </c>
      <c r="F84" s="5">
        <v>9202.44</v>
      </c>
      <c r="G84" s="5">
        <v>8729.93</v>
      </c>
      <c r="H84" s="5">
        <v>8601.91</v>
      </c>
      <c r="I84" s="5">
        <v>8555.91</v>
      </c>
      <c r="J84" s="5">
        <v>9098.59</v>
      </c>
      <c r="K84" s="5">
        <v>9862.16</v>
      </c>
      <c r="L84" s="5">
        <v>8671.14</v>
      </c>
      <c r="M84" s="5">
        <v>10076.44</v>
      </c>
      <c r="N84" s="5">
        <v>10850.03</v>
      </c>
      <c r="O84" s="5">
        <v>11713.3</v>
      </c>
      <c r="P84" s="5">
        <v>12441.14</v>
      </c>
      <c r="Q84" s="5">
        <v>11928.09</v>
      </c>
      <c r="R84" s="5">
        <v>12338.57</v>
      </c>
      <c r="S84" s="5">
        <v>13291.1</v>
      </c>
      <c r="T84" s="5">
        <v>13517.66</v>
      </c>
      <c r="U84" s="5">
        <v>13484.09</v>
      </c>
      <c r="V84" s="5">
        <v>15580.88</v>
      </c>
      <c r="W84" s="5">
        <v>16275.26</v>
      </c>
      <c r="X84" s="5">
        <v>17221.88</v>
      </c>
      <c r="Y84" s="5">
        <v>16307.66</v>
      </c>
      <c r="Z84" s="5">
        <v>14896.63</v>
      </c>
      <c r="AA84" s="5">
        <v>12446.91</v>
      </c>
      <c r="AB84" s="5">
        <v>11175.5</v>
      </c>
      <c r="AC84" s="71">
        <f>SUMPRODUCT((E84:AB86)*D84:D86)</f>
        <v>7876330.6400000015</v>
      </c>
    </row>
    <row r="85" spans="1:29" x14ac:dyDescent="0.3">
      <c r="A85" s="68"/>
      <c r="B85" s="70"/>
      <c r="C85" t="s">
        <v>37</v>
      </c>
      <c r="D85" s="11">
        <v>4</v>
      </c>
      <c r="E85" s="5">
        <v>9478.57</v>
      </c>
      <c r="F85" s="5">
        <v>8847.51</v>
      </c>
      <c r="G85" s="5">
        <v>8328.44</v>
      </c>
      <c r="H85" s="5">
        <v>8122.6</v>
      </c>
      <c r="I85" s="5">
        <v>8111.14</v>
      </c>
      <c r="J85" s="5">
        <v>8305.52</v>
      </c>
      <c r="K85" s="5">
        <v>8627.31</v>
      </c>
      <c r="L85" s="5">
        <v>7651.7</v>
      </c>
      <c r="M85" s="5">
        <v>9301.48</v>
      </c>
      <c r="N85" s="5">
        <v>10514.56</v>
      </c>
      <c r="O85" s="5">
        <v>11438.39</v>
      </c>
      <c r="P85" s="5">
        <v>12200.06</v>
      </c>
      <c r="Q85" s="5">
        <v>12110.98</v>
      </c>
      <c r="R85" s="5">
        <v>11873.16</v>
      </c>
      <c r="S85" s="5">
        <v>11820.09</v>
      </c>
      <c r="T85" s="5">
        <v>12169.61</v>
      </c>
      <c r="U85" s="5">
        <v>12289.83</v>
      </c>
      <c r="V85" s="5">
        <v>14467.58</v>
      </c>
      <c r="W85" s="5">
        <v>15605.84</v>
      </c>
      <c r="X85" s="5">
        <v>16589.53</v>
      </c>
      <c r="Y85" s="5">
        <v>15779.03</v>
      </c>
      <c r="Z85" s="5">
        <v>14528.66</v>
      </c>
      <c r="AA85" s="5">
        <v>12999.26</v>
      </c>
      <c r="AB85" s="5">
        <v>11462.5</v>
      </c>
      <c r="AC85" s="71"/>
    </row>
    <row r="86" spans="1:29" x14ac:dyDescent="0.3">
      <c r="A86" s="76"/>
      <c r="B86" s="77"/>
      <c r="C86" s="7" t="s">
        <v>38</v>
      </c>
      <c r="D86" s="12">
        <v>4</v>
      </c>
      <c r="E86" s="9">
        <v>10002.6</v>
      </c>
      <c r="F86" s="9">
        <v>9302.75</v>
      </c>
      <c r="G86" s="9">
        <v>8803.6</v>
      </c>
      <c r="H86" s="9">
        <v>8516.25</v>
      </c>
      <c r="I86" s="9">
        <v>8316.9500000000007</v>
      </c>
      <c r="J86" s="9">
        <v>8333.84</v>
      </c>
      <c r="K86" s="9">
        <v>8426.98</v>
      </c>
      <c r="L86" s="9">
        <v>7412.8</v>
      </c>
      <c r="M86" s="9">
        <v>8752.8799999999992</v>
      </c>
      <c r="N86" s="9">
        <v>9736.51</v>
      </c>
      <c r="O86" s="9">
        <v>10613.28</v>
      </c>
      <c r="P86" s="9">
        <v>11394.07</v>
      </c>
      <c r="Q86" s="9">
        <v>11785.83</v>
      </c>
      <c r="R86" s="9">
        <v>11778.72</v>
      </c>
      <c r="S86" s="9">
        <v>11691.39</v>
      </c>
      <c r="T86" s="9">
        <v>11567.8</v>
      </c>
      <c r="U86" s="9">
        <v>11590.47</v>
      </c>
      <c r="V86" s="9">
        <v>13817.35</v>
      </c>
      <c r="W86" s="9">
        <v>14913.96</v>
      </c>
      <c r="X86" s="9">
        <v>16116.38</v>
      </c>
      <c r="Y86" s="9">
        <v>15686.38</v>
      </c>
      <c r="Z86" s="9">
        <v>14720.8</v>
      </c>
      <c r="AA86" s="9">
        <v>12834.22</v>
      </c>
      <c r="AB86" s="9">
        <v>10115.1</v>
      </c>
      <c r="AC86" s="71"/>
    </row>
    <row r="87" spans="1:29" x14ac:dyDescent="0.3">
      <c r="A87" s="67">
        <v>47908</v>
      </c>
      <c r="B87" s="69">
        <f t="shared" ref="B87" si="23">DAY(EOMONTH(A87,0))</f>
        <v>31</v>
      </c>
      <c r="C87" s="3" t="s">
        <v>36</v>
      </c>
      <c r="D87" s="10">
        <v>20</v>
      </c>
      <c r="E87" s="5">
        <v>9396.66</v>
      </c>
      <c r="F87" s="5">
        <v>8793.91</v>
      </c>
      <c r="G87" s="5">
        <v>8449.4599999999991</v>
      </c>
      <c r="H87" s="5">
        <v>8276.2199999999993</v>
      </c>
      <c r="I87" s="5">
        <v>8304.43</v>
      </c>
      <c r="J87" s="5">
        <v>8887.93</v>
      </c>
      <c r="K87" s="5">
        <v>9653.92</v>
      </c>
      <c r="L87" s="5">
        <v>8511.98</v>
      </c>
      <c r="M87" s="5">
        <v>9832.32</v>
      </c>
      <c r="N87" s="5">
        <v>10763.03</v>
      </c>
      <c r="O87" s="5">
        <v>11526.3</v>
      </c>
      <c r="P87" s="5">
        <v>12180.83</v>
      </c>
      <c r="Q87" s="5">
        <v>11435.55</v>
      </c>
      <c r="R87" s="5">
        <v>12052.29</v>
      </c>
      <c r="S87" s="5">
        <v>12783.71</v>
      </c>
      <c r="T87" s="5">
        <v>13033.13</v>
      </c>
      <c r="U87" s="5">
        <v>12977.13</v>
      </c>
      <c r="V87" s="5">
        <v>14995.28</v>
      </c>
      <c r="W87" s="5">
        <v>15825.36</v>
      </c>
      <c r="X87" s="5">
        <v>16808.86</v>
      </c>
      <c r="Y87" s="5">
        <v>15851.93</v>
      </c>
      <c r="Z87" s="5">
        <v>14402.59</v>
      </c>
      <c r="AA87" s="5">
        <v>12374.56</v>
      </c>
      <c r="AB87" s="5">
        <v>10769.66</v>
      </c>
      <c r="AC87" s="71">
        <f>SUMPRODUCT((E87:AB89)*D87:D89)</f>
        <v>8422721.4100000001</v>
      </c>
    </row>
    <row r="88" spans="1:29" x14ac:dyDescent="0.3">
      <c r="A88" s="68"/>
      <c r="B88" s="70"/>
      <c r="C88" t="s">
        <v>37</v>
      </c>
      <c r="D88" s="11">
        <v>5</v>
      </c>
      <c r="E88" s="5">
        <v>8710.5499999999993</v>
      </c>
      <c r="F88" s="5">
        <v>8521.8700000000008</v>
      </c>
      <c r="G88" s="5">
        <v>8154.73</v>
      </c>
      <c r="H88" s="5">
        <v>7920.64</v>
      </c>
      <c r="I88" s="5">
        <v>7922.85</v>
      </c>
      <c r="J88" s="5">
        <v>8178.65</v>
      </c>
      <c r="K88" s="5">
        <v>8628.08</v>
      </c>
      <c r="L88" s="5">
        <v>7686.17</v>
      </c>
      <c r="M88" s="5">
        <v>9324.1200000000008</v>
      </c>
      <c r="N88" s="5">
        <v>10309.790000000001</v>
      </c>
      <c r="O88" s="5">
        <v>11014.81</v>
      </c>
      <c r="P88" s="5">
        <v>11569.94</v>
      </c>
      <c r="Q88" s="5">
        <v>11417.11</v>
      </c>
      <c r="R88" s="5">
        <v>11217.49</v>
      </c>
      <c r="S88" s="5">
        <v>11403.73</v>
      </c>
      <c r="T88" s="5">
        <v>11501.6</v>
      </c>
      <c r="U88" s="5">
        <v>11672.31</v>
      </c>
      <c r="V88" s="5">
        <v>13959.54</v>
      </c>
      <c r="W88" s="5">
        <v>15224.87</v>
      </c>
      <c r="X88" s="5">
        <v>15967.01</v>
      </c>
      <c r="Y88" s="5">
        <v>15081.3</v>
      </c>
      <c r="Z88" s="5">
        <v>13981.86</v>
      </c>
      <c r="AA88" s="5">
        <v>12499.04</v>
      </c>
      <c r="AB88" s="5">
        <v>11035.39</v>
      </c>
      <c r="AC88" s="71"/>
    </row>
    <row r="89" spans="1:29" x14ac:dyDescent="0.3">
      <c r="A89" s="76"/>
      <c r="B89" s="77"/>
      <c r="C89" s="7" t="s">
        <v>38</v>
      </c>
      <c r="D89" s="12">
        <v>6</v>
      </c>
      <c r="E89" s="9">
        <v>9742.25</v>
      </c>
      <c r="F89" s="9">
        <v>9100.58</v>
      </c>
      <c r="G89" s="9">
        <v>8648.76</v>
      </c>
      <c r="H89" s="9">
        <v>8390.56</v>
      </c>
      <c r="I89" s="9">
        <v>8291.0300000000007</v>
      </c>
      <c r="J89" s="9">
        <v>8321.25</v>
      </c>
      <c r="K89" s="9">
        <v>8451.86</v>
      </c>
      <c r="L89" s="9">
        <v>7432.75</v>
      </c>
      <c r="M89" s="9">
        <v>8686.14</v>
      </c>
      <c r="N89" s="9">
        <v>9558.9699999999993</v>
      </c>
      <c r="O89" s="9">
        <v>10163.92</v>
      </c>
      <c r="P89" s="9">
        <v>10633.06</v>
      </c>
      <c r="Q89" s="9">
        <v>10969.5</v>
      </c>
      <c r="R89" s="9">
        <v>10929.86</v>
      </c>
      <c r="S89" s="9">
        <v>11041.95</v>
      </c>
      <c r="T89" s="9">
        <v>11106.98</v>
      </c>
      <c r="U89" s="9">
        <v>11110.45</v>
      </c>
      <c r="V89" s="9">
        <v>13486.25</v>
      </c>
      <c r="W89" s="9">
        <v>14809.11</v>
      </c>
      <c r="X89" s="9">
        <v>15512.78</v>
      </c>
      <c r="Y89" s="9">
        <v>14945.5</v>
      </c>
      <c r="Z89" s="9">
        <v>13877.89</v>
      </c>
      <c r="AA89" s="9">
        <v>12312.77</v>
      </c>
      <c r="AB89" s="9">
        <v>10886.39</v>
      </c>
      <c r="AC89" s="71"/>
    </row>
    <row r="90" spans="1:29" x14ac:dyDescent="0.3">
      <c r="A90" s="67">
        <v>47939</v>
      </c>
      <c r="B90" s="69">
        <f t="shared" ref="B90" si="24">DAY(EOMONTH(A90,0))</f>
        <v>30</v>
      </c>
      <c r="C90" s="3" t="s">
        <v>36</v>
      </c>
      <c r="D90" s="10">
        <v>20</v>
      </c>
      <c r="E90" s="5">
        <v>9453.2000000000007</v>
      </c>
      <c r="F90" s="5">
        <v>8943.6200000000008</v>
      </c>
      <c r="G90" s="5">
        <v>8603.01</v>
      </c>
      <c r="H90" s="5">
        <v>8363.85</v>
      </c>
      <c r="I90" s="5">
        <v>8369.7800000000007</v>
      </c>
      <c r="J90" s="5">
        <v>9023.3799999999992</v>
      </c>
      <c r="K90" s="5">
        <v>9677.58</v>
      </c>
      <c r="L90" s="5">
        <v>8551.06</v>
      </c>
      <c r="M90" s="5">
        <v>9958.69</v>
      </c>
      <c r="N90" s="5">
        <v>10863.81</v>
      </c>
      <c r="O90" s="5">
        <v>11591.98</v>
      </c>
      <c r="P90" s="5">
        <v>12150.37</v>
      </c>
      <c r="Q90" s="5">
        <v>11843.3</v>
      </c>
      <c r="R90" s="5">
        <v>12081.56</v>
      </c>
      <c r="S90" s="5">
        <v>13081.76</v>
      </c>
      <c r="T90" s="5">
        <v>13410.78</v>
      </c>
      <c r="U90" s="5">
        <v>13442.2</v>
      </c>
      <c r="V90" s="5">
        <v>15564.63</v>
      </c>
      <c r="W90" s="5">
        <v>17030.25</v>
      </c>
      <c r="X90" s="5">
        <v>17313.41</v>
      </c>
      <c r="Y90" s="5">
        <v>16323.02</v>
      </c>
      <c r="Z90" s="5">
        <v>14841.45</v>
      </c>
      <c r="AA90" s="5">
        <v>12767.68</v>
      </c>
      <c r="AB90" s="5">
        <v>11030.25</v>
      </c>
      <c r="AC90" s="71">
        <f>SUMPRODUCT((E90:AB92)*D90:D92)</f>
        <v>8492335.8200000003</v>
      </c>
    </row>
    <row r="91" spans="1:29" x14ac:dyDescent="0.3">
      <c r="A91" s="68"/>
      <c r="B91" s="70"/>
      <c r="C91" t="s">
        <v>37</v>
      </c>
      <c r="D91" s="11">
        <v>4</v>
      </c>
      <c r="E91" s="5">
        <v>9667.7199999999993</v>
      </c>
      <c r="F91" s="5">
        <v>9055.91</v>
      </c>
      <c r="G91" s="5">
        <v>8614.4</v>
      </c>
      <c r="H91" s="5">
        <v>8361.81</v>
      </c>
      <c r="I91" s="5">
        <v>8330.7099999999991</v>
      </c>
      <c r="J91" s="5">
        <v>8571.15</v>
      </c>
      <c r="K91" s="5">
        <v>8948.59</v>
      </c>
      <c r="L91" s="5">
        <v>8163.07</v>
      </c>
      <c r="M91" s="5">
        <v>9855.36</v>
      </c>
      <c r="N91" s="5">
        <v>11065.18</v>
      </c>
      <c r="O91" s="5">
        <v>12131.67</v>
      </c>
      <c r="P91" s="5">
        <v>12941.19</v>
      </c>
      <c r="Q91" s="5">
        <v>12972.14</v>
      </c>
      <c r="R91" s="5">
        <v>12956.71</v>
      </c>
      <c r="S91" s="5">
        <v>12839.58</v>
      </c>
      <c r="T91" s="5">
        <v>12584.62</v>
      </c>
      <c r="U91" s="5">
        <v>12471.47</v>
      </c>
      <c r="V91" s="5">
        <v>14605.5</v>
      </c>
      <c r="W91" s="5">
        <v>16017.62</v>
      </c>
      <c r="X91" s="5">
        <v>16597.900000000001</v>
      </c>
      <c r="Y91" s="5">
        <v>16088.31</v>
      </c>
      <c r="Z91" s="5">
        <v>14964.13</v>
      </c>
      <c r="AA91" s="5">
        <v>13502.09</v>
      </c>
      <c r="AB91" s="5">
        <v>12181.12</v>
      </c>
      <c r="AC91" s="71"/>
    </row>
    <row r="92" spans="1:29" x14ac:dyDescent="0.3">
      <c r="A92" s="76"/>
      <c r="B92" s="77"/>
      <c r="C92" s="7" t="s">
        <v>38</v>
      </c>
      <c r="D92" s="12">
        <v>6</v>
      </c>
      <c r="E92" s="9">
        <v>10623.94</v>
      </c>
      <c r="F92" s="9">
        <v>9851.92</v>
      </c>
      <c r="G92" s="9">
        <v>9274.1</v>
      </c>
      <c r="H92" s="9">
        <v>8898.93</v>
      </c>
      <c r="I92" s="9">
        <v>8710.4</v>
      </c>
      <c r="J92" s="9">
        <v>8730.2800000000007</v>
      </c>
      <c r="K92" s="9">
        <v>9015.33</v>
      </c>
      <c r="L92" s="9">
        <v>7743.72</v>
      </c>
      <c r="M92" s="9">
        <v>9031.99</v>
      </c>
      <c r="N92" s="9">
        <v>10014.92</v>
      </c>
      <c r="O92" s="9">
        <v>10871.4</v>
      </c>
      <c r="P92" s="9">
        <v>11731.66</v>
      </c>
      <c r="Q92" s="9">
        <v>12247.14</v>
      </c>
      <c r="R92" s="9">
        <v>12274.67</v>
      </c>
      <c r="S92" s="9">
        <v>12324.94</v>
      </c>
      <c r="T92" s="9">
        <v>12366.2</v>
      </c>
      <c r="U92" s="9">
        <v>12251.75</v>
      </c>
      <c r="V92" s="9">
        <v>14404.93</v>
      </c>
      <c r="W92" s="9">
        <v>16280.85</v>
      </c>
      <c r="X92" s="9">
        <v>17094.75</v>
      </c>
      <c r="Y92" s="9">
        <v>16737.009999999998</v>
      </c>
      <c r="Z92" s="9">
        <v>15323.34</v>
      </c>
      <c r="AA92" s="9">
        <v>12841.63</v>
      </c>
      <c r="AB92" s="9">
        <v>10149.469999999999</v>
      </c>
      <c r="AC92" s="71"/>
    </row>
    <row r="93" spans="1:29" x14ac:dyDescent="0.3">
      <c r="A93" s="67">
        <v>47969</v>
      </c>
      <c r="B93" s="69">
        <f t="shared" ref="B93" si="25">DAY(EOMONTH(A93,0))</f>
        <v>31</v>
      </c>
      <c r="C93" s="3" t="s">
        <v>36</v>
      </c>
      <c r="D93" s="10">
        <v>20</v>
      </c>
      <c r="E93" s="5">
        <v>8918.58</v>
      </c>
      <c r="F93" s="5">
        <v>8352.42</v>
      </c>
      <c r="G93" s="5">
        <v>8027.24</v>
      </c>
      <c r="H93" s="5">
        <v>7788.73</v>
      </c>
      <c r="I93" s="5">
        <v>7719.33</v>
      </c>
      <c r="J93" s="5">
        <v>8381.25</v>
      </c>
      <c r="K93" s="5">
        <v>9283.9</v>
      </c>
      <c r="L93" s="5">
        <v>8267.18</v>
      </c>
      <c r="M93" s="5">
        <v>9609.73</v>
      </c>
      <c r="N93" s="5">
        <v>10424.41</v>
      </c>
      <c r="O93" s="5">
        <v>11306.81</v>
      </c>
      <c r="P93" s="5">
        <v>11926.15</v>
      </c>
      <c r="Q93" s="5">
        <v>11477.99</v>
      </c>
      <c r="R93" s="5">
        <v>11442.84</v>
      </c>
      <c r="S93" s="5">
        <v>12168.76</v>
      </c>
      <c r="T93" s="5">
        <v>12490.84</v>
      </c>
      <c r="U93" s="5">
        <v>12529.64</v>
      </c>
      <c r="V93" s="5">
        <v>14875.13</v>
      </c>
      <c r="W93" s="5">
        <v>16357.55</v>
      </c>
      <c r="X93" s="5">
        <v>16706.349999999999</v>
      </c>
      <c r="Y93" s="5">
        <v>15702.9</v>
      </c>
      <c r="Z93" s="5">
        <v>14213.67</v>
      </c>
      <c r="AA93" s="5">
        <v>12065.82</v>
      </c>
      <c r="AB93" s="5">
        <v>10391.42</v>
      </c>
      <c r="AC93" s="71">
        <f>SUMPRODUCT((E93:AB95)*D93:D95)</f>
        <v>8270972.0200000005</v>
      </c>
    </row>
    <row r="94" spans="1:29" x14ac:dyDescent="0.3">
      <c r="A94" s="68"/>
      <c r="B94" s="70"/>
      <c r="C94" t="s">
        <v>37</v>
      </c>
      <c r="D94" s="11">
        <v>5</v>
      </c>
      <c r="E94" s="5">
        <v>9140.7199999999993</v>
      </c>
      <c r="F94" s="5">
        <v>8566.43</v>
      </c>
      <c r="G94" s="5">
        <v>8113.09</v>
      </c>
      <c r="H94" s="5">
        <v>7889.86</v>
      </c>
      <c r="I94" s="5">
        <v>7818.82</v>
      </c>
      <c r="J94" s="5">
        <v>8098.76</v>
      </c>
      <c r="K94" s="5">
        <v>8565.6</v>
      </c>
      <c r="L94" s="5">
        <v>7832.05</v>
      </c>
      <c r="M94" s="5">
        <v>9238.24</v>
      </c>
      <c r="N94" s="5">
        <v>10301.459999999999</v>
      </c>
      <c r="O94" s="5">
        <v>10995.88</v>
      </c>
      <c r="P94" s="5">
        <v>11585</v>
      </c>
      <c r="Q94" s="5">
        <v>11455.97</v>
      </c>
      <c r="R94" s="5">
        <v>11160.5</v>
      </c>
      <c r="S94" s="5">
        <v>11153.88</v>
      </c>
      <c r="T94" s="5">
        <v>11252.27</v>
      </c>
      <c r="U94" s="5">
        <v>11322.66</v>
      </c>
      <c r="V94" s="5">
        <v>13877.83</v>
      </c>
      <c r="W94" s="5">
        <v>15545.14</v>
      </c>
      <c r="X94" s="5">
        <v>15827.82</v>
      </c>
      <c r="Y94" s="5">
        <v>14919.95</v>
      </c>
      <c r="Z94" s="5">
        <v>13790.98</v>
      </c>
      <c r="AA94" s="5">
        <v>12195.24</v>
      </c>
      <c r="AB94" s="5">
        <v>10778.65</v>
      </c>
      <c r="AC94" s="71"/>
    </row>
    <row r="95" spans="1:29" x14ac:dyDescent="0.3">
      <c r="A95" s="76"/>
      <c r="B95" s="77"/>
      <c r="C95" s="7" t="s">
        <v>38</v>
      </c>
      <c r="D95" s="12">
        <v>6</v>
      </c>
      <c r="E95" s="9">
        <v>9520.19</v>
      </c>
      <c r="F95" s="9">
        <v>8730.33</v>
      </c>
      <c r="G95" s="9">
        <v>8293.5499999999993</v>
      </c>
      <c r="H95" s="9">
        <v>8018.44</v>
      </c>
      <c r="I95" s="9">
        <v>7861.71</v>
      </c>
      <c r="J95" s="9">
        <v>7950.02</v>
      </c>
      <c r="K95" s="9">
        <v>8238.67</v>
      </c>
      <c r="L95" s="9">
        <v>7214.24</v>
      </c>
      <c r="M95" s="9">
        <v>8572.01</v>
      </c>
      <c r="N95" s="9">
        <v>9645.9500000000007</v>
      </c>
      <c r="O95" s="9">
        <v>10501.07</v>
      </c>
      <c r="P95" s="9">
        <v>11120.55</v>
      </c>
      <c r="Q95" s="9">
        <v>11271.73</v>
      </c>
      <c r="R95" s="9">
        <v>11184.54</v>
      </c>
      <c r="S95" s="9">
        <v>11024.26</v>
      </c>
      <c r="T95" s="9">
        <v>11757.4</v>
      </c>
      <c r="U95" s="9">
        <v>11499.76</v>
      </c>
      <c r="V95" s="9">
        <v>13789.08</v>
      </c>
      <c r="W95" s="9">
        <v>14627.66</v>
      </c>
      <c r="X95" s="9">
        <v>15424.65</v>
      </c>
      <c r="Y95" s="9">
        <v>15527.4</v>
      </c>
      <c r="Z95" s="9">
        <v>14244.83</v>
      </c>
      <c r="AA95" s="9">
        <v>12406.16</v>
      </c>
      <c r="AB95" s="9">
        <v>10786.67</v>
      </c>
      <c r="AC95" s="71"/>
    </row>
    <row r="96" spans="1:29" x14ac:dyDescent="0.3">
      <c r="A96" s="67">
        <v>48000</v>
      </c>
      <c r="B96" s="69">
        <f t="shared" ref="B96" si="26">DAY(EOMONTH(A96,0))</f>
        <v>30</v>
      </c>
      <c r="C96" s="3" t="s">
        <v>36</v>
      </c>
      <c r="D96" s="10">
        <v>18</v>
      </c>
      <c r="E96" s="5">
        <v>8253.66</v>
      </c>
      <c r="F96" s="5">
        <v>7716.62</v>
      </c>
      <c r="G96" s="5">
        <v>7472.19</v>
      </c>
      <c r="H96" s="5">
        <v>7334.24</v>
      </c>
      <c r="I96" s="5">
        <v>7369.49</v>
      </c>
      <c r="J96" s="5">
        <v>8016.44</v>
      </c>
      <c r="K96" s="5">
        <v>8799.57</v>
      </c>
      <c r="L96" s="5">
        <v>7714.04</v>
      </c>
      <c r="M96" s="5">
        <v>9004.19</v>
      </c>
      <c r="N96" s="5">
        <v>9897.74</v>
      </c>
      <c r="O96" s="5">
        <v>10520.57</v>
      </c>
      <c r="P96" s="5">
        <v>11013.3</v>
      </c>
      <c r="Q96" s="5">
        <v>10494.96</v>
      </c>
      <c r="R96" s="5">
        <v>10561.39</v>
      </c>
      <c r="S96" s="5">
        <v>11257.25</v>
      </c>
      <c r="T96" s="5">
        <v>11474.58</v>
      </c>
      <c r="U96" s="5">
        <v>11610.06</v>
      </c>
      <c r="V96" s="5">
        <v>13973.41</v>
      </c>
      <c r="W96" s="5">
        <v>15276.21</v>
      </c>
      <c r="X96" s="5">
        <v>15652.86</v>
      </c>
      <c r="Y96" s="5">
        <v>14598.01</v>
      </c>
      <c r="Z96" s="5">
        <v>13038.31</v>
      </c>
      <c r="AA96" s="5">
        <v>11063.96</v>
      </c>
      <c r="AB96" s="5">
        <v>9454.86</v>
      </c>
      <c r="AC96" s="71">
        <f>SUMPRODUCT((E96:AB98)*D96:D98)</f>
        <v>7465596.1800000016</v>
      </c>
    </row>
    <row r="97" spans="1:29" x14ac:dyDescent="0.3">
      <c r="A97" s="68"/>
      <c r="B97" s="70"/>
      <c r="C97" t="s">
        <v>37</v>
      </c>
      <c r="D97" s="11">
        <v>4</v>
      </c>
      <c r="E97" s="5">
        <v>8495.5499999999993</v>
      </c>
      <c r="F97" s="5">
        <v>7849.98</v>
      </c>
      <c r="G97" s="5">
        <v>7430.69</v>
      </c>
      <c r="H97" s="5">
        <v>7224.84</v>
      </c>
      <c r="I97" s="5">
        <v>7238.18</v>
      </c>
      <c r="J97" s="5">
        <v>7464.22</v>
      </c>
      <c r="K97" s="5">
        <v>7953.95</v>
      </c>
      <c r="L97" s="5">
        <v>7220.35</v>
      </c>
      <c r="M97" s="5">
        <v>8973.67</v>
      </c>
      <c r="N97" s="5">
        <v>10254.35</v>
      </c>
      <c r="O97" s="5">
        <v>11012.32</v>
      </c>
      <c r="P97" s="5">
        <v>11503.82</v>
      </c>
      <c r="Q97" s="5">
        <v>11273.08</v>
      </c>
      <c r="R97" s="5">
        <v>11177.68</v>
      </c>
      <c r="S97" s="5">
        <v>11215.07</v>
      </c>
      <c r="T97" s="5">
        <v>11059.38</v>
      </c>
      <c r="U97" s="5">
        <v>11042.16</v>
      </c>
      <c r="V97" s="5">
        <v>13464.06</v>
      </c>
      <c r="W97" s="5">
        <v>15055.61</v>
      </c>
      <c r="X97" s="5">
        <v>15427.54</v>
      </c>
      <c r="Y97" s="5">
        <v>14415.75</v>
      </c>
      <c r="Z97" s="5">
        <v>13156.95</v>
      </c>
      <c r="AA97" s="5">
        <v>11589.03</v>
      </c>
      <c r="AB97" s="5">
        <v>10126.52</v>
      </c>
      <c r="AC97" s="71"/>
    </row>
    <row r="98" spans="1:29" x14ac:dyDescent="0.3">
      <c r="A98" s="76"/>
      <c r="B98" s="77"/>
      <c r="C98" s="7" t="s">
        <v>38</v>
      </c>
      <c r="D98" s="12">
        <v>8</v>
      </c>
      <c r="E98" s="9">
        <v>8590.15</v>
      </c>
      <c r="F98" s="9">
        <v>8031.83</v>
      </c>
      <c r="G98" s="9">
        <v>7635.36</v>
      </c>
      <c r="H98" s="9">
        <v>7422.18</v>
      </c>
      <c r="I98" s="9">
        <v>7296.79</v>
      </c>
      <c r="J98" s="9">
        <v>7362.43</v>
      </c>
      <c r="K98" s="9">
        <v>7626.94</v>
      </c>
      <c r="L98" s="9">
        <v>6690.52</v>
      </c>
      <c r="M98" s="9">
        <v>8269.4699999999993</v>
      </c>
      <c r="N98" s="9">
        <v>9241.68</v>
      </c>
      <c r="O98" s="9">
        <v>10090.25</v>
      </c>
      <c r="P98" s="9">
        <v>10682</v>
      </c>
      <c r="Q98" s="9">
        <v>11047.97</v>
      </c>
      <c r="R98" s="9">
        <v>10972.76</v>
      </c>
      <c r="S98" s="9">
        <v>10763.83</v>
      </c>
      <c r="T98" s="9">
        <v>10417.67</v>
      </c>
      <c r="U98" s="9">
        <v>10215.719999999999</v>
      </c>
      <c r="V98" s="9">
        <v>12899.33</v>
      </c>
      <c r="W98" s="9">
        <v>14286.22</v>
      </c>
      <c r="X98" s="9">
        <v>14582.55</v>
      </c>
      <c r="Y98" s="9">
        <v>13985</v>
      </c>
      <c r="Z98" s="9">
        <v>12758.29</v>
      </c>
      <c r="AA98" s="9">
        <v>10998.85</v>
      </c>
      <c r="AB98" s="9">
        <v>9491.56</v>
      </c>
      <c r="AC98" s="71"/>
    </row>
    <row r="99" spans="1:29" x14ac:dyDescent="0.3">
      <c r="A99" s="67">
        <v>48030</v>
      </c>
      <c r="B99" s="69">
        <f t="shared" ref="B99" si="27">DAY(EOMONTH(A99,0))</f>
        <v>31</v>
      </c>
      <c r="C99" s="3" t="s">
        <v>36</v>
      </c>
      <c r="D99" s="10">
        <v>23</v>
      </c>
      <c r="E99" s="5">
        <v>8581.85</v>
      </c>
      <c r="F99" s="5">
        <v>8019.51</v>
      </c>
      <c r="G99" s="5">
        <v>7723.32</v>
      </c>
      <c r="H99" s="5">
        <v>7548.75</v>
      </c>
      <c r="I99" s="5">
        <v>7575.11</v>
      </c>
      <c r="J99" s="5">
        <v>8221.74</v>
      </c>
      <c r="K99" s="5">
        <v>8964.69</v>
      </c>
      <c r="L99" s="5">
        <v>7983.38</v>
      </c>
      <c r="M99" s="5">
        <v>9469.69</v>
      </c>
      <c r="N99" s="5">
        <v>10402.959999999999</v>
      </c>
      <c r="O99" s="5">
        <v>11173.44</v>
      </c>
      <c r="P99" s="5">
        <v>11922.77</v>
      </c>
      <c r="Q99" s="5">
        <v>11612.8</v>
      </c>
      <c r="R99" s="5">
        <v>11600.34</v>
      </c>
      <c r="S99" s="5">
        <v>12321.45</v>
      </c>
      <c r="T99" s="5">
        <v>12701.28</v>
      </c>
      <c r="U99" s="5">
        <v>12713.31</v>
      </c>
      <c r="V99" s="5">
        <v>15036.13</v>
      </c>
      <c r="W99" s="5">
        <v>16112.05</v>
      </c>
      <c r="X99" s="5">
        <v>16646.060000000001</v>
      </c>
      <c r="Y99" s="5">
        <v>15597.79</v>
      </c>
      <c r="Z99" s="5">
        <v>14045.4</v>
      </c>
      <c r="AA99" s="5">
        <v>11930.53</v>
      </c>
      <c r="AB99" s="5">
        <v>10170.16</v>
      </c>
      <c r="AC99" s="71">
        <f t="shared" ref="AC99" si="28">SUMPRODUCT((E99:AB101)*D99:D101)</f>
        <v>8152343.0499999989</v>
      </c>
    </row>
    <row r="100" spans="1:29" x14ac:dyDescent="0.3">
      <c r="A100" s="68"/>
      <c r="B100" s="70"/>
      <c r="C100" t="s">
        <v>37</v>
      </c>
      <c r="D100" s="11">
        <v>4</v>
      </c>
      <c r="E100" s="5">
        <v>8772.83</v>
      </c>
      <c r="F100" s="5">
        <v>8149.69</v>
      </c>
      <c r="G100" s="5">
        <v>7768.97</v>
      </c>
      <c r="H100" s="5">
        <v>7597.63</v>
      </c>
      <c r="I100" s="5">
        <v>7528.69</v>
      </c>
      <c r="J100" s="5">
        <v>7777.08</v>
      </c>
      <c r="K100" s="5">
        <v>8173.84</v>
      </c>
      <c r="L100" s="5">
        <v>7539.24</v>
      </c>
      <c r="M100" s="5">
        <v>9125.19</v>
      </c>
      <c r="N100" s="5">
        <v>10188.209999999999</v>
      </c>
      <c r="O100" s="5">
        <v>10883.54</v>
      </c>
      <c r="P100" s="5">
        <v>11462.2</v>
      </c>
      <c r="Q100" s="5">
        <v>11217.53</v>
      </c>
      <c r="R100" s="5">
        <v>11096.4</v>
      </c>
      <c r="S100" s="5">
        <v>11238.48</v>
      </c>
      <c r="T100" s="5">
        <v>11485.31</v>
      </c>
      <c r="U100" s="5">
        <v>11389.99</v>
      </c>
      <c r="V100" s="5">
        <v>13683.78</v>
      </c>
      <c r="W100" s="5">
        <v>15187.71</v>
      </c>
      <c r="X100" s="5">
        <v>15878.43</v>
      </c>
      <c r="Y100" s="5">
        <v>14822.79</v>
      </c>
      <c r="Z100" s="5">
        <v>13409.68</v>
      </c>
      <c r="AA100" s="5">
        <v>11730.12</v>
      </c>
      <c r="AB100" s="5">
        <v>10112.65</v>
      </c>
      <c r="AC100" s="71"/>
    </row>
    <row r="101" spans="1:29" x14ac:dyDescent="0.3">
      <c r="A101" s="76"/>
      <c r="B101" s="77"/>
      <c r="C101" s="7" t="s">
        <v>38</v>
      </c>
      <c r="D101" s="12">
        <v>4</v>
      </c>
      <c r="E101" s="9">
        <v>8769</v>
      </c>
      <c r="F101" s="9">
        <v>8151.08</v>
      </c>
      <c r="G101" s="9">
        <v>7740.25</v>
      </c>
      <c r="H101" s="9">
        <v>7498.97</v>
      </c>
      <c r="I101" s="9">
        <v>7384.59</v>
      </c>
      <c r="J101" s="9">
        <v>7512.04</v>
      </c>
      <c r="K101" s="9">
        <v>7740.55</v>
      </c>
      <c r="L101" s="9">
        <v>6835.03</v>
      </c>
      <c r="M101" s="9">
        <v>8196.85</v>
      </c>
      <c r="N101" s="9">
        <v>9220.48</v>
      </c>
      <c r="O101" s="9">
        <v>9849</v>
      </c>
      <c r="P101" s="9">
        <v>10389.450000000001</v>
      </c>
      <c r="Q101" s="9">
        <v>10607.68</v>
      </c>
      <c r="R101" s="9">
        <v>10585.09</v>
      </c>
      <c r="S101" s="9">
        <v>10578.79</v>
      </c>
      <c r="T101" s="9">
        <v>10324.629999999999</v>
      </c>
      <c r="U101" s="9">
        <v>10192.39</v>
      </c>
      <c r="V101" s="9">
        <v>12370.46</v>
      </c>
      <c r="W101" s="9">
        <v>13847.82</v>
      </c>
      <c r="X101" s="9">
        <v>14726.5</v>
      </c>
      <c r="Y101" s="9">
        <v>14051.38</v>
      </c>
      <c r="Z101" s="9">
        <v>12883.95</v>
      </c>
      <c r="AA101" s="9">
        <v>11212.18</v>
      </c>
      <c r="AB101" s="9">
        <v>9769.19</v>
      </c>
      <c r="AC101" s="71"/>
    </row>
    <row r="102" spans="1:29" x14ac:dyDescent="0.3">
      <c r="A102" s="67">
        <v>48061</v>
      </c>
      <c r="B102" s="69">
        <f t="shared" ref="B102" si="29">DAY(EOMONTH(A102,0))</f>
        <v>31</v>
      </c>
      <c r="C102" s="3" t="s">
        <v>36</v>
      </c>
      <c r="D102" s="10">
        <v>19</v>
      </c>
      <c r="E102" s="5">
        <v>9003.06</v>
      </c>
      <c r="F102" s="5">
        <v>8486.14</v>
      </c>
      <c r="G102" s="5">
        <v>8166.59</v>
      </c>
      <c r="H102" s="5">
        <v>7964.04</v>
      </c>
      <c r="I102" s="5">
        <v>7990.78</v>
      </c>
      <c r="J102" s="5">
        <v>8339.31</v>
      </c>
      <c r="K102" s="5">
        <v>9303.0400000000009</v>
      </c>
      <c r="L102" s="5">
        <v>8341.75</v>
      </c>
      <c r="M102" s="5">
        <v>9675.07</v>
      </c>
      <c r="N102" s="5">
        <v>10653.9</v>
      </c>
      <c r="O102" s="5">
        <v>11599.18</v>
      </c>
      <c r="P102" s="5">
        <v>12297.57</v>
      </c>
      <c r="Q102" s="5">
        <v>12138.06</v>
      </c>
      <c r="R102" s="5">
        <v>12445.99</v>
      </c>
      <c r="S102" s="5">
        <v>13406.98</v>
      </c>
      <c r="T102" s="5">
        <v>13986.7</v>
      </c>
      <c r="U102" s="5">
        <v>13978.5</v>
      </c>
      <c r="V102" s="5">
        <v>15739.38</v>
      </c>
      <c r="W102" s="5">
        <v>16857.23</v>
      </c>
      <c r="X102" s="5">
        <v>17699.759999999998</v>
      </c>
      <c r="Y102" s="5">
        <v>16673.400000000001</v>
      </c>
      <c r="Z102" s="5">
        <v>15062.43</v>
      </c>
      <c r="AA102" s="5">
        <v>12843.53</v>
      </c>
      <c r="AB102" s="5">
        <v>10959.39</v>
      </c>
      <c r="AC102" s="71">
        <f t="shared" ref="AC102" si="30">SUMPRODUCT((E102:AB104)*D102:D104)</f>
        <v>8660823.4400000013</v>
      </c>
    </row>
    <row r="103" spans="1:29" x14ac:dyDescent="0.3">
      <c r="A103" s="68"/>
      <c r="B103" s="70"/>
      <c r="C103" t="s">
        <v>37</v>
      </c>
      <c r="D103" s="11">
        <v>5</v>
      </c>
      <c r="E103" s="5">
        <v>9978.19</v>
      </c>
      <c r="F103" s="5">
        <v>9296.57</v>
      </c>
      <c r="G103" s="5">
        <v>8399.51</v>
      </c>
      <c r="H103" s="5">
        <v>8744.91</v>
      </c>
      <c r="I103" s="5">
        <v>8449.5499999999993</v>
      </c>
      <c r="J103" s="5">
        <v>8597.39</v>
      </c>
      <c r="K103" s="5">
        <v>8945.08</v>
      </c>
      <c r="L103" s="5">
        <v>8716.67</v>
      </c>
      <c r="M103" s="5">
        <v>10260.33</v>
      </c>
      <c r="N103" s="5">
        <v>11579.6</v>
      </c>
      <c r="O103" s="5">
        <v>12528.63</v>
      </c>
      <c r="P103" s="5">
        <v>13291.97</v>
      </c>
      <c r="Q103" s="5">
        <v>13161.63</v>
      </c>
      <c r="R103" s="5">
        <v>13121.15</v>
      </c>
      <c r="S103" s="5">
        <v>13301.82</v>
      </c>
      <c r="T103" s="5">
        <v>13047.33</v>
      </c>
      <c r="U103" s="5">
        <v>13069.45</v>
      </c>
      <c r="V103" s="5">
        <v>15148.06</v>
      </c>
      <c r="W103" s="5">
        <v>16713.29</v>
      </c>
      <c r="X103" s="5">
        <v>17342.36</v>
      </c>
      <c r="Y103" s="5">
        <v>16298.86</v>
      </c>
      <c r="Z103" s="5">
        <v>15006.64</v>
      </c>
      <c r="AA103" s="5">
        <v>13266.11</v>
      </c>
      <c r="AB103" s="5">
        <v>11802.2</v>
      </c>
      <c r="AC103" s="71"/>
    </row>
    <row r="104" spans="1:29" x14ac:dyDescent="0.3">
      <c r="A104" s="76"/>
      <c r="B104" s="77"/>
      <c r="C104" s="7" t="s">
        <v>38</v>
      </c>
      <c r="D104" s="12">
        <v>7</v>
      </c>
      <c r="E104" s="9">
        <v>9766.18</v>
      </c>
      <c r="F104" s="9">
        <v>9069.67</v>
      </c>
      <c r="G104" s="9">
        <v>8623.68</v>
      </c>
      <c r="H104" s="9">
        <v>8350.52</v>
      </c>
      <c r="I104" s="9">
        <v>8047.76</v>
      </c>
      <c r="J104" s="9">
        <v>8206.5300000000007</v>
      </c>
      <c r="K104" s="9">
        <v>8582.93</v>
      </c>
      <c r="L104" s="9">
        <v>7570.5</v>
      </c>
      <c r="M104" s="9">
        <v>8933.42</v>
      </c>
      <c r="N104" s="9">
        <v>9753.7800000000007</v>
      </c>
      <c r="O104" s="9">
        <v>10508.56</v>
      </c>
      <c r="P104" s="9">
        <v>11557.89</v>
      </c>
      <c r="Q104" s="9">
        <v>11444.52</v>
      </c>
      <c r="R104" s="9">
        <v>11166.63</v>
      </c>
      <c r="S104" s="9">
        <v>11198.66</v>
      </c>
      <c r="T104" s="9">
        <v>10901.55</v>
      </c>
      <c r="U104" s="9">
        <v>10994.19</v>
      </c>
      <c r="V104" s="9">
        <v>13499.23</v>
      </c>
      <c r="W104" s="9">
        <v>15231.06</v>
      </c>
      <c r="X104" s="9">
        <v>15651.99</v>
      </c>
      <c r="Y104" s="9">
        <v>14871.62</v>
      </c>
      <c r="Z104" s="9">
        <v>13836.21</v>
      </c>
      <c r="AA104" s="9">
        <v>12012.53</v>
      </c>
      <c r="AB104" s="9">
        <v>10486.55</v>
      </c>
      <c r="AC104" s="71"/>
    </row>
    <row r="105" spans="1:29" x14ac:dyDescent="0.3">
      <c r="A105" s="67">
        <v>48092</v>
      </c>
      <c r="B105" s="69">
        <f t="shared" ref="B105" si="31">DAY(EOMONTH(A105,0))</f>
        <v>30</v>
      </c>
      <c r="C105" s="3" t="s">
        <v>36</v>
      </c>
      <c r="D105" s="10">
        <v>22</v>
      </c>
      <c r="E105" s="5">
        <v>9643.77</v>
      </c>
      <c r="F105" s="5">
        <v>8998.24</v>
      </c>
      <c r="G105" s="5">
        <v>8724.69</v>
      </c>
      <c r="H105" s="5">
        <v>8477.7800000000007</v>
      </c>
      <c r="I105" s="5">
        <v>8347.59</v>
      </c>
      <c r="J105" s="5">
        <v>8771.4</v>
      </c>
      <c r="K105" s="5">
        <v>9821.91</v>
      </c>
      <c r="L105" s="5">
        <v>8772.4</v>
      </c>
      <c r="M105" s="5">
        <v>10301.219999999999</v>
      </c>
      <c r="N105" s="5">
        <v>11316.94</v>
      </c>
      <c r="O105" s="5">
        <v>12252.83</v>
      </c>
      <c r="P105" s="5">
        <v>12899.48</v>
      </c>
      <c r="Q105" s="5">
        <v>12341.51</v>
      </c>
      <c r="R105" s="5">
        <v>12520.89</v>
      </c>
      <c r="S105" s="5">
        <v>13348.66</v>
      </c>
      <c r="T105" s="5">
        <v>13670.04</v>
      </c>
      <c r="U105" s="5">
        <v>13778.88</v>
      </c>
      <c r="V105" s="5">
        <v>16015.1</v>
      </c>
      <c r="W105" s="5">
        <v>17460.11</v>
      </c>
      <c r="X105" s="5">
        <v>17885.080000000002</v>
      </c>
      <c r="Y105" s="5">
        <v>16610.439999999999</v>
      </c>
      <c r="Z105" s="5">
        <v>15149.04</v>
      </c>
      <c r="AA105" s="5">
        <v>13081.12</v>
      </c>
      <c r="AB105" s="5">
        <v>11252.39</v>
      </c>
      <c r="AC105" s="71">
        <f t="shared" ref="AC105" si="32">SUMPRODUCT((E105:AB107)*D105:D107)</f>
        <v>8621965.4200000018</v>
      </c>
    </row>
    <row r="106" spans="1:29" x14ac:dyDescent="0.3">
      <c r="A106" s="68"/>
      <c r="B106" s="70"/>
      <c r="C106" t="s">
        <v>37</v>
      </c>
      <c r="D106" s="11">
        <v>4</v>
      </c>
      <c r="E106" s="5">
        <v>9938.98</v>
      </c>
      <c r="F106" s="5">
        <v>9268.2199999999993</v>
      </c>
      <c r="G106" s="5">
        <v>8788.0400000000009</v>
      </c>
      <c r="H106" s="5">
        <v>8525.9599999999991</v>
      </c>
      <c r="I106" s="5">
        <v>8424.27</v>
      </c>
      <c r="J106" s="5">
        <v>8597.57</v>
      </c>
      <c r="K106" s="5">
        <v>9137.69</v>
      </c>
      <c r="L106" s="5">
        <v>8654.84</v>
      </c>
      <c r="M106" s="5">
        <v>10360.200000000001</v>
      </c>
      <c r="N106" s="5">
        <v>11763.55</v>
      </c>
      <c r="O106" s="5">
        <v>12962.61</v>
      </c>
      <c r="P106" s="5">
        <v>13871.24</v>
      </c>
      <c r="Q106" s="5">
        <v>13110.51</v>
      </c>
      <c r="R106" s="5">
        <v>13876.94</v>
      </c>
      <c r="S106" s="5">
        <v>14223.58</v>
      </c>
      <c r="T106" s="5">
        <v>14261.5</v>
      </c>
      <c r="U106" s="5">
        <v>13593.75</v>
      </c>
      <c r="V106" s="5">
        <v>15954.34</v>
      </c>
      <c r="W106" s="5">
        <v>17658.48</v>
      </c>
      <c r="X106" s="5">
        <v>17817.82</v>
      </c>
      <c r="Y106" s="5">
        <v>16777.39</v>
      </c>
      <c r="Z106" s="5">
        <v>15594.66</v>
      </c>
      <c r="AA106" s="5">
        <v>13885.55</v>
      </c>
      <c r="AB106" s="5">
        <v>12323.29</v>
      </c>
      <c r="AC106" s="71"/>
    </row>
    <row r="107" spans="1:29" x14ac:dyDescent="0.3">
      <c r="A107" s="76"/>
      <c r="B107" s="77"/>
      <c r="C107" s="7" t="s">
        <v>38</v>
      </c>
      <c r="D107" s="12">
        <v>4</v>
      </c>
      <c r="E107" s="9">
        <v>10906.92</v>
      </c>
      <c r="F107" s="9">
        <v>10158.83</v>
      </c>
      <c r="G107" s="9">
        <v>9599.06</v>
      </c>
      <c r="H107" s="9">
        <v>9251.9599999999991</v>
      </c>
      <c r="I107" s="9">
        <v>8954.9599999999991</v>
      </c>
      <c r="J107" s="9">
        <v>8866.7099999999991</v>
      </c>
      <c r="K107" s="9">
        <v>8467</v>
      </c>
      <c r="L107" s="9">
        <v>7121.35</v>
      </c>
      <c r="M107" s="9">
        <v>8453.3700000000008</v>
      </c>
      <c r="N107" s="9">
        <v>9577.3799999999992</v>
      </c>
      <c r="O107" s="9">
        <v>10187.719999999999</v>
      </c>
      <c r="P107" s="9">
        <v>10713.92</v>
      </c>
      <c r="Q107" s="9">
        <v>10968.33</v>
      </c>
      <c r="R107" s="9">
        <v>10418.129999999999</v>
      </c>
      <c r="S107" s="9">
        <v>9265.32</v>
      </c>
      <c r="T107" s="9">
        <v>8478.5</v>
      </c>
      <c r="U107" s="9">
        <v>8526.23</v>
      </c>
      <c r="V107" s="9">
        <v>11928.45</v>
      </c>
      <c r="W107" s="9">
        <v>13559.05</v>
      </c>
      <c r="X107" s="9">
        <v>15397.49</v>
      </c>
      <c r="Y107" s="9">
        <v>14952.47</v>
      </c>
      <c r="Z107" s="9">
        <v>14081.46</v>
      </c>
      <c r="AA107" s="9">
        <v>12423.54</v>
      </c>
      <c r="AB107" s="9">
        <v>10933.92</v>
      </c>
      <c r="AC107" s="71"/>
    </row>
    <row r="108" spans="1:29" x14ac:dyDescent="0.3">
      <c r="A108" s="67">
        <v>48122</v>
      </c>
      <c r="B108" s="69">
        <f t="shared" ref="B108" si="33">DAY(EOMONTH(A108,0))</f>
        <v>31</v>
      </c>
      <c r="C108" s="3" t="s">
        <v>36</v>
      </c>
      <c r="D108" s="10">
        <v>22</v>
      </c>
      <c r="E108" s="5">
        <v>9899.57</v>
      </c>
      <c r="F108" s="5">
        <v>9333.16</v>
      </c>
      <c r="G108" s="5">
        <v>8968.27</v>
      </c>
      <c r="H108" s="5">
        <v>8698.6</v>
      </c>
      <c r="I108" s="5">
        <v>8587.14</v>
      </c>
      <c r="J108" s="5">
        <v>8968.01</v>
      </c>
      <c r="K108" s="5">
        <v>9747.64</v>
      </c>
      <c r="L108" s="5">
        <v>8952.59</v>
      </c>
      <c r="M108" s="5">
        <v>10573.72</v>
      </c>
      <c r="N108" s="5">
        <v>11763.14</v>
      </c>
      <c r="O108" s="5">
        <v>12864.48</v>
      </c>
      <c r="P108" s="5">
        <v>13818.33</v>
      </c>
      <c r="Q108" s="5">
        <v>13585.59</v>
      </c>
      <c r="R108" s="5">
        <v>13825.61</v>
      </c>
      <c r="S108" s="5">
        <v>14361.89</v>
      </c>
      <c r="T108" s="5">
        <v>14724.59</v>
      </c>
      <c r="U108" s="5">
        <v>14633.59</v>
      </c>
      <c r="V108" s="5">
        <v>16726.22</v>
      </c>
      <c r="W108" s="5">
        <v>18163.189999999999</v>
      </c>
      <c r="X108" s="5">
        <v>18140.98</v>
      </c>
      <c r="Y108" s="5">
        <v>16846.04</v>
      </c>
      <c r="Z108" s="5">
        <v>15265.06</v>
      </c>
      <c r="AA108" s="5">
        <v>13254.04</v>
      </c>
      <c r="AB108" s="5">
        <v>11653.6</v>
      </c>
      <c r="AC108" s="71">
        <f t="shared" ref="AC108" si="34">SUMPRODUCT((E108:AB110)*D108:D110)</f>
        <v>9142367.3800000027</v>
      </c>
    </row>
    <row r="109" spans="1:29" x14ac:dyDescent="0.3">
      <c r="A109" s="68"/>
      <c r="B109" s="70"/>
      <c r="C109" t="s">
        <v>37</v>
      </c>
      <c r="D109" s="11">
        <v>4</v>
      </c>
      <c r="E109" s="5">
        <v>10578.06</v>
      </c>
      <c r="F109" s="5">
        <v>9895.48</v>
      </c>
      <c r="G109" s="5">
        <v>9428.42</v>
      </c>
      <c r="H109" s="5">
        <v>9110.43</v>
      </c>
      <c r="I109" s="5">
        <v>9038.33</v>
      </c>
      <c r="J109" s="5">
        <v>9103.4699999999993</v>
      </c>
      <c r="K109" s="5">
        <v>9633.81</v>
      </c>
      <c r="L109" s="5">
        <v>9079.4599999999991</v>
      </c>
      <c r="M109" s="5">
        <v>11008.11</v>
      </c>
      <c r="N109" s="5">
        <v>12422.34</v>
      </c>
      <c r="O109" s="5">
        <v>13576.8</v>
      </c>
      <c r="P109" s="5">
        <v>13782.36</v>
      </c>
      <c r="Q109" s="5">
        <v>13086</v>
      </c>
      <c r="R109" s="5">
        <v>12218.29</v>
      </c>
      <c r="S109" s="5">
        <v>12369.74</v>
      </c>
      <c r="T109" s="5">
        <v>12269.03</v>
      </c>
      <c r="U109" s="5">
        <v>11774.36</v>
      </c>
      <c r="V109" s="5">
        <v>14215.51</v>
      </c>
      <c r="W109" s="5">
        <v>16052.08</v>
      </c>
      <c r="X109" s="5">
        <v>16181.54</v>
      </c>
      <c r="Y109" s="5">
        <v>15174.08</v>
      </c>
      <c r="Z109" s="5">
        <v>13974.04</v>
      </c>
      <c r="AA109" s="5">
        <v>12465.55</v>
      </c>
      <c r="AB109" s="5">
        <v>11076.83</v>
      </c>
      <c r="AC109" s="71"/>
    </row>
    <row r="110" spans="1:29" x14ac:dyDescent="0.3">
      <c r="A110" s="76"/>
      <c r="B110" s="77"/>
      <c r="C110" s="7" t="s">
        <v>38</v>
      </c>
      <c r="D110" s="12">
        <v>5</v>
      </c>
      <c r="E110" s="9">
        <v>9780.52</v>
      </c>
      <c r="F110" s="9">
        <v>9159.34</v>
      </c>
      <c r="G110" s="9">
        <v>8723.2999999999993</v>
      </c>
      <c r="H110" s="9">
        <v>8404.14</v>
      </c>
      <c r="I110" s="9">
        <v>8219.52</v>
      </c>
      <c r="J110" s="9">
        <v>7846.37</v>
      </c>
      <c r="K110" s="9">
        <v>8465.7199999999993</v>
      </c>
      <c r="L110" s="9">
        <v>7585.37</v>
      </c>
      <c r="M110" s="9">
        <v>8819.56</v>
      </c>
      <c r="N110" s="9">
        <v>9802.76</v>
      </c>
      <c r="O110" s="9">
        <v>10740.14</v>
      </c>
      <c r="P110" s="9">
        <v>11483.13</v>
      </c>
      <c r="Q110" s="9">
        <v>11766.21</v>
      </c>
      <c r="R110" s="9">
        <v>11819.18</v>
      </c>
      <c r="S110" s="9">
        <v>11708.15</v>
      </c>
      <c r="T110" s="9">
        <v>11659.65</v>
      </c>
      <c r="U110" s="9">
        <v>11641.59</v>
      </c>
      <c r="V110" s="9">
        <v>13972.96</v>
      </c>
      <c r="W110" s="9">
        <v>15907.56</v>
      </c>
      <c r="X110" s="9">
        <v>15318.49</v>
      </c>
      <c r="Y110" s="9">
        <v>14813</v>
      </c>
      <c r="Z110" s="9">
        <v>13180.38</v>
      </c>
      <c r="AA110" s="9">
        <v>12206.43</v>
      </c>
      <c r="AB110" s="9">
        <v>10676.49</v>
      </c>
      <c r="AC110" s="71"/>
    </row>
    <row r="111" spans="1:29" x14ac:dyDescent="0.3">
      <c r="A111" s="67">
        <v>48153</v>
      </c>
      <c r="B111" s="69">
        <f>DAY(EOMONTH(A111,0))</f>
        <v>30</v>
      </c>
      <c r="C111" s="3" t="s">
        <v>36</v>
      </c>
      <c r="D111" s="10">
        <v>18</v>
      </c>
      <c r="E111" s="5">
        <v>9350.06</v>
      </c>
      <c r="F111" s="5">
        <v>8746.8700000000008</v>
      </c>
      <c r="G111" s="5">
        <v>8530.17</v>
      </c>
      <c r="H111" s="5">
        <v>8272.0400000000009</v>
      </c>
      <c r="I111" s="5">
        <v>8340.32</v>
      </c>
      <c r="J111" s="5">
        <v>8699.91</v>
      </c>
      <c r="K111" s="5">
        <v>9663.66</v>
      </c>
      <c r="L111" s="5">
        <v>8799.92</v>
      </c>
      <c r="M111" s="5">
        <v>10359.11</v>
      </c>
      <c r="N111" s="5">
        <v>11361.7</v>
      </c>
      <c r="O111" s="5">
        <v>12320.53</v>
      </c>
      <c r="P111" s="5">
        <v>13187.55</v>
      </c>
      <c r="Q111" s="5">
        <v>12660.78</v>
      </c>
      <c r="R111" s="5">
        <v>13054.25</v>
      </c>
      <c r="S111" s="5">
        <v>14008.85</v>
      </c>
      <c r="T111" s="5">
        <v>13990.05</v>
      </c>
      <c r="U111" s="5">
        <v>13983.61</v>
      </c>
      <c r="V111" s="5">
        <v>16136.77</v>
      </c>
      <c r="W111" s="5">
        <v>17612.400000000001</v>
      </c>
      <c r="X111" s="5">
        <v>17451.98</v>
      </c>
      <c r="Y111" s="5">
        <v>16282.55</v>
      </c>
      <c r="Z111" s="5">
        <v>14737.31</v>
      </c>
      <c r="AA111" s="5">
        <v>12667.86</v>
      </c>
      <c r="AB111" s="5">
        <v>11011.35</v>
      </c>
      <c r="AC111" s="71">
        <f>SUMPRODUCT((E111:AB113)*D111:D113)</f>
        <v>8498852.4899999984</v>
      </c>
    </row>
    <row r="112" spans="1:29" x14ac:dyDescent="0.3">
      <c r="A112" s="68"/>
      <c r="B112" s="70"/>
      <c r="C112" t="s">
        <v>37</v>
      </c>
      <c r="D112" s="11">
        <v>5</v>
      </c>
      <c r="E112" s="5">
        <v>9771.31</v>
      </c>
      <c r="F112" s="5">
        <v>9186.6</v>
      </c>
      <c r="G112" s="5">
        <v>8746.2099999999991</v>
      </c>
      <c r="H112" s="5">
        <v>8366.69</v>
      </c>
      <c r="I112" s="5">
        <v>8165.82</v>
      </c>
      <c r="J112" s="5">
        <v>8515.5499999999993</v>
      </c>
      <c r="K112" s="5">
        <v>8899.23</v>
      </c>
      <c r="L112" s="5">
        <v>8173.28</v>
      </c>
      <c r="M112" s="5">
        <v>9845.16</v>
      </c>
      <c r="N112" s="5">
        <v>10722.56</v>
      </c>
      <c r="O112" s="5">
        <v>11472.63</v>
      </c>
      <c r="P112" s="5">
        <v>11954.61</v>
      </c>
      <c r="Q112" s="5">
        <v>12202.71</v>
      </c>
      <c r="R112" s="5">
        <v>12284.27</v>
      </c>
      <c r="S112" s="5">
        <v>12602.1</v>
      </c>
      <c r="T112" s="5">
        <v>12763.62</v>
      </c>
      <c r="U112" s="5">
        <v>12762.06</v>
      </c>
      <c r="V112" s="5">
        <v>15207.76</v>
      </c>
      <c r="W112" s="5">
        <v>17036.64</v>
      </c>
      <c r="X112" s="5">
        <v>16988.8</v>
      </c>
      <c r="Y112" s="5">
        <v>15809.46</v>
      </c>
      <c r="Z112" s="5">
        <v>14516.94</v>
      </c>
      <c r="AA112" s="5">
        <v>12990.08</v>
      </c>
      <c r="AB112" s="5">
        <v>11135.47</v>
      </c>
      <c r="AC112" s="71"/>
    </row>
    <row r="113" spans="1:30" x14ac:dyDescent="0.3">
      <c r="A113" s="68"/>
      <c r="B113" s="70"/>
      <c r="C113" t="s">
        <v>38</v>
      </c>
      <c r="D113" s="11">
        <v>7</v>
      </c>
      <c r="E113" s="5">
        <v>10012.02</v>
      </c>
      <c r="F113" s="5">
        <v>9386.58</v>
      </c>
      <c r="G113" s="5">
        <v>8965.69</v>
      </c>
      <c r="H113" s="5">
        <v>8731.7999999999993</v>
      </c>
      <c r="I113" s="5">
        <v>8668.2999999999993</v>
      </c>
      <c r="J113" s="5">
        <v>8453.65</v>
      </c>
      <c r="K113" s="5">
        <v>8758.0400000000009</v>
      </c>
      <c r="L113" s="5">
        <v>7925.24</v>
      </c>
      <c r="M113" s="5">
        <v>9326.18</v>
      </c>
      <c r="N113" s="5">
        <v>10238.67</v>
      </c>
      <c r="O113" s="5">
        <v>10680.52</v>
      </c>
      <c r="P113" s="5">
        <v>10308.85</v>
      </c>
      <c r="Q113" s="5">
        <v>10733.93</v>
      </c>
      <c r="R113" s="5">
        <v>11041.36</v>
      </c>
      <c r="S113" s="5">
        <v>11345.19</v>
      </c>
      <c r="T113" s="5">
        <v>10721.43</v>
      </c>
      <c r="U113" s="5">
        <v>11356.42</v>
      </c>
      <c r="V113" s="5">
        <v>13723</v>
      </c>
      <c r="W113" s="5">
        <v>15713.15</v>
      </c>
      <c r="X113" s="5">
        <v>16216.48</v>
      </c>
      <c r="Y113" s="5">
        <v>15157.03</v>
      </c>
      <c r="Z113" s="5">
        <v>14199.79</v>
      </c>
      <c r="AA113" s="5">
        <v>12493.18</v>
      </c>
      <c r="AB113" s="5">
        <v>11003.77</v>
      </c>
      <c r="AC113" s="71"/>
    </row>
    <row r="114" spans="1:30" x14ac:dyDescent="0.3">
      <c r="A114" s="67">
        <v>48183</v>
      </c>
      <c r="B114" s="69">
        <f>DAY(EOMONTH(A114,0))</f>
        <v>31</v>
      </c>
      <c r="C114" s="3" t="s">
        <v>36</v>
      </c>
      <c r="D114" s="10">
        <v>21</v>
      </c>
      <c r="E114" s="13">
        <v>9424.0499999999993</v>
      </c>
      <c r="F114" s="13">
        <v>8770.24</v>
      </c>
      <c r="G114" s="13">
        <v>8421.74</v>
      </c>
      <c r="H114" s="13">
        <v>8203.36</v>
      </c>
      <c r="I114" s="13">
        <v>8214.6299999999992</v>
      </c>
      <c r="J114" s="13">
        <v>8502.08</v>
      </c>
      <c r="K114" s="13">
        <v>8957.11</v>
      </c>
      <c r="L114" s="13">
        <v>8391.26</v>
      </c>
      <c r="M114" s="13">
        <v>10153.58</v>
      </c>
      <c r="N114" s="13">
        <v>11279.54</v>
      </c>
      <c r="O114" s="13">
        <v>12123.59</v>
      </c>
      <c r="P114" s="13">
        <v>12855.14</v>
      </c>
      <c r="Q114" s="13">
        <v>12527.78</v>
      </c>
      <c r="R114" s="13">
        <v>12503.33</v>
      </c>
      <c r="S114" s="13">
        <v>13014.59</v>
      </c>
      <c r="T114" s="13">
        <v>13182.86</v>
      </c>
      <c r="U114" s="13">
        <v>13265.44</v>
      </c>
      <c r="V114" s="13">
        <v>15318.69</v>
      </c>
      <c r="W114" s="13">
        <v>16661.099999999999</v>
      </c>
      <c r="X114" s="13">
        <v>16836.060000000001</v>
      </c>
      <c r="Y114" s="13">
        <v>15951.93</v>
      </c>
      <c r="Z114" s="13">
        <v>14549.59</v>
      </c>
      <c r="AA114" s="13">
        <v>12778.7</v>
      </c>
      <c r="AB114" s="13">
        <v>11150.5</v>
      </c>
      <c r="AC114" s="74">
        <f>SUMPRODUCT((E114:AB116)*D114:D116)</f>
        <v>8626501.9700000044</v>
      </c>
    </row>
    <row r="115" spans="1:30" x14ac:dyDescent="0.3">
      <c r="A115" s="68"/>
      <c r="B115" s="70"/>
      <c r="C115" t="s">
        <v>37</v>
      </c>
      <c r="D115" s="11">
        <v>4</v>
      </c>
      <c r="E115" s="5">
        <v>9522.73</v>
      </c>
      <c r="F115" s="5">
        <v>8820.2900000000009</v>
      </c>
      <c r="G115" s="5">
        <v>8319.2000000000007</v>
      </c>
      <c r="H115" s="5">
        <v>8051.83</v>
      </c>
      <c r="I115" s="5">
        <v>8011.56</v>
      </c>
      <c r="J115" s="5">
        <v>8183.63</v>
      </c>
      <c r="K115" s="5">
        <v>8561.48</v>
      </c>
      <c r="L115" s="5">
        <v>7991.95</v>
      </c>
      <c r="M115" s="5">
        <v>9612.7800000000007</v>
      </c>
      <c r="N115" s="5">
        <v>10713.85</v>
      </c>
      <c r="O115" s="5">
        <v>11407.27</v>
      </c>
      <c r="P115" s="5">
        <v>12036.22</v>
      </c>
      <c r="Q115" s="5">
        <v>12036.6</v>
      </c>
      <c r="R115" s="5">
        <v>12062.42</v>
      </c>
      <c r="S115" s="5">
        <v>12222.53</v>
      </c>
      <c r="T115" s="5">
        <v>12297.54</v>
      </c>
      <c r="U115" s="5">
        <v>12236.58</v>
      </c>
      <c r="V115" s="5">
        <v>14588.05</v>
      </c>
      <c r="W115" s="5">
        <v>16299.85</v>
      </c>
      <c r="X115" s="5">
        <v>16719.21</v>
      </c>
      <c r="Y115" s="5">
        <v>15898.5</v>
      </c>
      <c r="Z115" s="5">
        <v>14596.29</v>
      </c>
      <c r="AA115" s="5">
        <v>13002.91</v>
      </c>
      <c r="AB115" s="5">
        <v>11436.11</v>
      </c>
      <c r="AC115" s="71"/>
    </row>
    <row r="116" spans="1:30" ht="15.65" thickBot="1" x14ac:dyDescent="0.35">
      <c r="A116" s="72"/>
      <c r="B116" s="73"/>
      <c r="C116" s="14" t="s">
        <v>38</v>
      </c>
      <c r="D116" s="15">
        <v>6</v>
      </c>
      <c r="E116" s="16">
        <v>10073.370000000001</v>
      </c>
      <c r="F116" s="16">
        <v>9372.74</v>
      </c>
      <c r="G116" s="16">
        <v>8893.8799999999992</v>
      </c>
      <c r="H116" s="16">
        <v>8619.7199999999993</v>
      </c>
      <c r="I116" s="16">
        <v>8488.86</v>
      </c>
      <c r="J116" s="16">
        <v>8460.83</v>
      </c>
      <c r="K116" s="16">
        <v>8567.6</v>
      </c>
      <c r="L116" s="16">
        <v>7591.31</v>
      </c>
      <c r="M116" s="16">
        <v>8953.89</v>
      </c>
      <c r="N116" s="16">
        <v>9906.36</v>
      </c>
      <c r="O116" s="16">
        <v>10532.56</v>
      </c>
      <c r="P116" s="16">
        <v>10909.22</v>
      </c>
      <c r="Q116" s="16">
        <v>11229.13</v>
      </c>
      <c r="R116" s="16">
        <v>11303.71</v>
      </c>
      <c r="S116" s="16">
        <v>10831.38</v>
      </c>
      <c r="T116" s="16">
        <v>11264.84</v>
      </c>
      <c r="U116" s="16">
        <v>11395.37</v>
      </c>
      <c r="V116" s="16">
        <v>13647.23</v>
      </c>
      <c r="W116" s="16">
        <v>15405.61</v>
      </c>
      <c r="X116" s="16">
        <v>15891.07</v>
      </c>
      <c r="Y116" s="16">
        <v>15203.33</v>
      </c>
      <c r="Z116" s="16">
        <v>13920.6</v>
      </c>
      <c r="AA116" s="16">
        <v>12456.16</v>
      </c>
      <c r="AB116" s="16">
        <v>11116.19</v>
      </c>
      <c r="AC116" s="75"/>
      <c r="AD116" s="17">
        <f>SUM(AC81:AC116)</f>
        <v>100926767.11999999</v>
      </c>
    </row>
    <row r="117" spans="1:30" x14ac:dyDescent="0.3">
      <c r="A117" s="68">
        <v>48214</v>
      </c>
      <c r="B117" s="70">
        <f>DAY(EOMONTH(A117,0))</f>
        <v>31</v>
      </c>
      <c r="C117" t="s">
        <v>36</v>
      </c>
      <c r="D117" s="6">
        <v>20</v>
      </c>
      <c r="E117" s="5">
        <v>10271</v>
      </c>
      <c r="F117" s="5">
        <v>9624.2099999999991</v>
      </c>
      <c r="G117" s="5">
        <v>9201.42</v>
      </c>
      <c r="H117" s="5">
        <v>8918.74</v>
      </c>
      <c r="I117" s="5">
        <v>8836.5300000000007</v>
      </c>
      <c r="J117" s="5">
        <v>9008.42</v>
      </c>
      <c r="K117" s="5">
        <v>9060.1</v>
      </c>
      <c r="L117" s="5">
        <v>8249.11</v>
      </c>
      <c r="M117" s="5">
        <v>9877.2000000000007</v>
      </c>
      <c r="N117" s="5">
        <v>11266.14</v>
      </c>
      <c r="O117" s="5">
        <v>12549.06</v>
      </c>
      <c r="P117" s="5">
        <v>13481.02</v>
      </c>
      <c r="Q117" s="5">
        <v>13136.2</v>
      </c>
      <c r="R117" s="5">
        <v>13135.38</v>
      </c>
      <c r="S117" s="5">
        <v>13981.3</v>
      </c>
      <c r="T117" s="5">
        <v>14116.42</v>
      </c>
      <c r="U117" s="5">
        <v>13881.04</v>
      </c>
      <c r="V117" s="5">
        <v>15888.72</v>
      </c>
      <c r="W117" s="5">
        <v>16748.22</v>
      </c>
      <c r="X117" s="5">
        <v>17554.73</v>
      </c>
      <c r="Y117" s="5">
        <v>16749.79</v>
      </c>
      <c r="Z117" s="5">
        <v>15463.08</v>
      </c>
      <c r="AA117" s="5">
        <v>13647.43</v>
      </c>
      <c r="AB117" s="5">
        <v>11901.02</v>
      </c>
      <c r="AC117" s="71">
        <f>SUMPRODUCT((E117:AB119)*D117:D119)</f>
        <v>8940757.6399999987</v>
      </c>
    </row>
    <row r="118" spans="1:30" x14ac:dyDescent="0.3">
      <c r="A118" s="68"/>
      <c r="B118" s="70"/>
      <c r="C118" t="s">
        <v>37</v>
      </c>
      <c r="D118" s="6">
        <v>5</v>
      </c>
      <c r="E118" s="5">
        <v>10148.15</v>
      </c>
      <c r="F118" s="5">
        <v>9524.9500000000007</v>
      </c>
      <c r="G118" s="5">
        <v>9093.18</v>
      </c>
      <c r="H118" s="5">
        <v>8828.75</v>
      </c>
      <c r="I118" s="5">
        <v>8728.75</v>
      </c>
      <c r="J118" s="5">
        <v>8867.52</v>
      </c>
      <c r="K118" s="5">
        <v>8998.43</v>
      </c>
      <c r="L118" s="5">
        <v>8004.75</v>
      </c>
      <c r="M118" s="5">
        <v>9424.7000000000007</v>
      </c>
      <c r="N118" s="5">
        <v>10478.219999999999</v>
      </c>
      <c r="O118" s="5">
        <v>11418.44</v>
      </c>
      <c r="P118" s="5">
        <v>12146.05</v>
      </c>
      <c r="Q118" s="5">
        <v>12132.2</v>
      </c>
      <c r="R118" s="5">
        <v>12108.2</v>
      </c>
      <c r="S118" s="5">
        <v>12272.92</v>
      </c>
      <c r="T118" s="5">
        <v>12429.51</v>
      </c>
      <c r="U118" s="5">
        <v>12418.09</v>
      </c>
      <c r="V118" s="5">
        <v>14573.88</v>
      </c>
      <c r="W118" s="5">
        <v>15586.53</v>
      </c>
      <c r="X118" s="5">
        <v>16571.75</v>
      </c>
      <c r="Y118" s="5">
        <v>15826.25</v>
      </c>
      <c r="Z118" s="5">
        <v>14684.29</v>
      </c>
      <c r="AA118" s="5">
        <v>13244.21</v>
      </c>
      <c r="AB118" s="5">
        <v>11840.48</v>
      </c>
      <c r="AC118" s="71"/>
    </row>
    <row r="119" spans="1:30" x14ac:dyDescent="0.3">
      <c r="A119" s="76"/>
      <c r="B119" s="77"/>
      <c r="C119" s="7" t="s">
        <v>38</v>
      </c>
      <c r="D119" s="8">
        <v>6</v>
      </c>
      <c r="E119" s="9">
        <v>10580.6</v>
      </c>
      <c r="F119" s="9">
        <v>9955.3700000000008</v>
      </c>
      <c r="G119" s="9">
        <v>9310.32</v>
      </c>
      <c r="H119" s="9">
        <v>9105.2199999999993</v>
      </c>
      <c r="I119" s="9">
        <v>8863.2099999999991</v>
      </c>
      <c r="J119" s="9">
        <v>8728.25</v>
      </c>
      <c r="K119" s="9">
        <v>8559.5400000000009</v>
      </c>
      <c r="L119" s="9">
        <v>7354</v>
      </c>
      <c r="M119" s="9">
        <v>8644.98</v>
      </c>
      <c r="N119" s="9">
        <v>9632.99</v>
      </c>
      <c r="O119" s="9">
        <v>10582.15</v>
      </c>
      <c r="P119" s="9">
        <v>11390.61</v>
      </c>
      <c r="Q119" s="9">
        <v>11754.25</v>
      </c>
      <c r="R119" s="9">
        <v>11624.97</v>
      </c>
      <c r="S119" s="9">
        <v>11344.2</v>
      </c>
      <c r="T119" s="9">
        <v>11292.5</v>
      </c>
      <c r="U119" s="9">
        <v>11229.75</v>
      </c>
      <c r="V119" s="9">
        <v>13633.13</v>
      </c>
      <c r="W119" s="9">
        <v>14894.95</v>
      </c>
      <c r="X119" s="9">
        <v>16047.28</v>
      </c>
      <c r="Y119" s="9">
        <v>15428.68</v>
      </c>
      <c r="Z119" s="9">
        <v>14357.63</v>
      </c>
      <c r="AA119" s="9">
        <v>12927.71</v>
      </c>
      <c r="AB119" s="9">
        <v>11604.55</v>
      </c>
      <c r="AC119" s="71"/>
    </row>
    <row r="120" spans="1:30" x14ac:dyDescent="0.3">
      <c r="A120" s="67">
        <v>48245</v>
      </c>
      <c r="B120" s="69">
        <f>DAY(EOMONTH(A120,0))</f>
        <v>29</v>
      </c>
      <c r="C120" s="3" t="s">
        <v>36</v>
      </c>
      <c r="D120" s="10">
        <v>20</v>
      </c>
      <c r="E120" s="5">
        <v>10088.39</v>
      </c>
      <c r="F120" s="5">
        <v>9495.09</v>
      </c>
      <c r="G120" s="5">
        <v>9008.41</v>
      </c>
      <c r="H120" s="5">
        <v>8876.5400000000009</v>
      </c>
      <c r="I120" s="5">
        <v>8829.16</v>
      </c>
      <c r="J120" s="5">
        <v>9388.1299999999992</v>
      </c>
      <c r="K120" s="5">
        <v>10174.6</v>
      </c>
      <c r="L120" s="5">
        <v>8918.73</v>
      </c>
      <c r="M120" s="5">
        <v>10366.19</v>
      </c>
      <c r="N120" s="5">
        <v>11162.99</v>
      </c>
      <c r="O120" s="5">
        <v>12052.16</v>
      </c>
      <c r="P120" s="5">
        <v>12801.83</v>
      </c>
      <c r="Q120" s="5">
        <v>12273.39</v>
      </c>
      <c r="R120" s="5">
        <v>12696.19</v>
      </c>
      <c r="S120" s="5">
        <v>13677.29</v>
      </c>
      <c r="T120" s="5">
        <v>13910.65</v>
      </c>
      <c r="U120" s="5">
        <v>13876.07</v>
      </c>
      <c r="V120" s="5">
        <v>16054.79</v>
      </c>
      <c r="W120" s="5">
        <v>16770</v>
      </c>
      <c r="X120" s="5">
        <v>17745.02</v>
      </c>
      <c r="Y120" s="5">
        <v>16803.38</v>
      </c>
      <c r="Z120" s="5">
        <v>15350.02</v>
      </c>
      <c r="AA120" s="5">
        <v>12826.8</v>
      </c>
      <c r="AB120" s="5">
        <v>11517.25</v>
      </c>
      <c r="AC120" s="71">
        <f>SUMPRODUCT((E120:AB122)*D120:D122)</f>
        <v>8387883.080000001</v>
      </c>
    </row>
    <row r="121" spans="1:30" x14ac:dyDescent="0.3">
      <c r="A121" s="68"/>
      <c r="B121" s="70"/>
      <c r="C121" t="s">
        <v>37</v>
      </c>
      <c r="D121" s="11">
        <v>4</v>
      </c>
      <c r="E121" s="5">
        <v>9779.5</v>
      </c>
      <c r="F121" s="5">
        <v>9129.51</v>
      </c>
      <c r="G121" s="5">
        <v>8594.8700000000008</v>
      </c>
      <c r="H121" s="5">
        <v>8382.86</v>
      </c>
      <c r="I121" s="5">
        <v>8371.0499999999993</v>
      </c>
      <c r="J121" s="5">
        <v>8571.26</v>
      </c>
      <c r="K121" s="5">
        <v>8902.7099999999991</v>
      </c>
      <c r="L121" s="5">
        <v>7868.71</v>
      </c>
      <c r="M121" s="5">
        <v>9567.98</v>
      </c>
      <c r="N121" s="5">
        <v>10817.46</v>
      </c>
      <c r="O121" s="5">
        <v>11769</v>
      </c>
      <c r="P121" s="5">
        <v>12553.52</v>
      </c>
      <c r="Q121" s="5">
        <v>12461.77</v>
      </c>
      <c r="R121" s="5">
        <v>12216.81</v>
      </c>
      <c r="S121" s="5">
        <v>12162.15</v>
      </c>
      <c r="T121" s="5">
        <v>12522.16</v>
      </c>
      <c r="U121" s="5">
        <v>12645.98</v>
      </c>
      <c r="V121" s="5">
        <v>14908.09</v>
      </c>
      <c r="W121" s="5">
        <v>16080.5</v>
      </c>
      <c r="X121" s="5">
        <v>17093.7</v>
      </c>
      <c r="Y121" s="5">
        <v>16258.89</v>
      </c>
      <c r="Z121" s="5">
        <v>14971.01</v>
      </c>
      <c r="AA121" s="5">
        <v>13395.72</v>
      </c>
      <c r="AB121" s="5">
        <v>11812.86</v>
      </c>
      <c r="AC121" s="71"/>
    </row>
    <row r="122" spans="1:30" x14ac:dyDescent="0.3">
      <c r="A122" s="76"/>
      <c r="B122" s="77"/>
      <c r="C122" s="7" t="s">
        <v>38</v>
      </c>
      <c r="D122" s="12">
        <v>5</v>
      </c>
      <c r="E122" s="9">
        <v>10319.26</v>
      </c>
      <c r="F122" s="9">
        <v>9598.41</v>
      </c>
      <c r="G122" s="9">
        <v>9084.2900000000009</v>
      </c>
      <c r="H122" s="9">
        <v>8788.31</v>
      </c>
      <c r="I122" s="9">
        <v>8583.0400000000009</v>
      </c>
      <c r="J122" s="9">
        <v>8600.43</v>
      </c>
      <c r="K122" s="9">
        <v>8696.3700000000008</v>
      </c>
      <c r="L122" s="9">
        <v>7622.64</v>
      </c>
      <c r="M122" s="9">
        <v>9002.93</v>
      </c>
      <c r="N122" s="9">
        <v>10016.06</v>
      </c>
      <c r="O122" s="9">
        <v>10919.14</v>
      </c>
      <c r="P122" s="9">
        <v>11723.35</v>
      </c>
      <c r="Q122" s="9">
        <v>12126.86</v>
      </c>
      <c r="R122" s="9">
        <v>12119.54</v>
      </c>
      <c r="S122" s="9">
        <v>12029.59</v>
      </c>
      <c r="T122" s="9">
        <v>11902.29</v>
      </c>
      <c r="U122" s="9">
        <v>11925.64</v>
      </c>
      <c r="V122" s="9">
        <v>14238.36</v>
      </c>
      <c r="W122" s="9">
        <v>15367.87</v>
      </c>
      <c r="X122" s="9">
        <v>16606.36</v>
      </c>
      <c r="Y122" s="9">
        <v>16163.46</v>
      </c>
      <c r="Z122" s="9">
        <v>15168.91</v>
      </c>
      <c r="AA122" s="9">
        <v>13225.73</v>
      </c>
      <c r="AB122" s="9">
        <v>10425.040000000001</v>
      </c>
      <c r="AC122" s="71"/>
    </row>
    <row r="123" spans="1:30" x14ac:dyDescent="0.3">
      <c r="A123" s="67">
        <v>48274</v>
      </c>
      <c r="B123" s="69">
        <f t="shared" ref="B123" si="35">DAY(EOMONTH(A123,0))</f>
        <v>31</v>
      </c>
      <c r="C123" s="3" t="s">
        <v>36</v>
      </c>
      <c r="D123" s="10">
        <v>20</v>
      </c>
      <c r="E123" s="5">
        <v>9695.14</v>
      </c>
      <c r="F123" s="5">
        <v>9074.2999999999993</v>
      </c>
      <c r="G123" s="5">
        <v>8719.52</v>
      </c>
      <c r="H123" s="5">
        <v>8541.08</v>
      </c>
      <c r="I123" s="5">
        <v>8570.14</v>
      </c>
      <c r="J123" s="5">
        <v>9171.15</v>
      </c>
      <c r="K123" s="5">
        <v>9960.1200000000008</v>
      </c>
      <c r="L123" s="5">
        <v>8754.7999999999993</v>
      </c>
      <c r="M123" s="5">
        <v>10114.75</v>
      </c>
      <c r="N123" s="5">
        <v>11073.38</v>
      </c>
      <c r="O123" s="5">
        <v>11859.55</v>
      </c>
      <c r="P123" s="5">
        <v>12533.71</v>
      </c>
      <c r="Q123" s="5">
        <v>11766.08</v>
      </c>
      <c r="R123" s="5">
        <v>12401.32</v>
      </c>
      <c r="S123" s="5">
        <v>13154.68</v>
      </c>
      <c r="T123" s="5">
        <v>13411.58</v>
      </c>
      <c r="U123" s="5">
        <v>13353.9</v>
      </c>
      <c r="V123" s="5">
        <v>15451.62</v>
      </c>
      <c r="W123" s="5">
        <v>16306.61</v>
      </c>
      <c r="X123" s="5">
        <v>17319.61</v>
      </c>
      <c r="Y123" s="5">
        <v>16333.97</v>
      </c>
      <c r="Z123" s="5">
        <v>14841.15</v>
      </c>
      <c r="AA123" s="5">
        <v>12752.28</v>
      </c>
      <c r="AB123" s="5">
        <v>11099.24</v>
      </c>
      <c r="AC123" s="71">
        <f>SUMPRODUCT((E123:AB125)*D123:D125)</f>
        <v>8671892.0800000019</v>
      </c>
    </row>
    <row r="124" spans="1:30" x14ac:dyDescent="0.3">
      <c r="A124" s="68"/>
      <c r="B124" s="70"/>
      <c r="C124" t="s">
        <v>37</v>
      </c>
      <c r="D124" s="11">
        <v>4</v>
      </c>
      <c r="E124" s="5">
        <v>8988.44</v>
      </c>
      <c r="F124" s="5">
        <v>8794.1</v>
      </c>
      <c r="G124" s="5">
        <v>8415.9500000000007</v>
      </c>
      <c r="H124" s="5">
        <v>8174.84</v>
      </c>
      <c r="I124" s="5">
        <v>8177.11</v>
      </c>
      <c r="J124" s="5">
        <v>8440.59</v>
      </c>
      <c r="K124" s="5">
        <v>8903.5</v>
      </c>
      <c r="L124" s="5">
        <v>7904.21</v>
      </c>
      <c r="M124" s="5">
        <v>9591.2999999999993</v>
      </c>
      <c r="N124" s="5">
        <v>10606.54</v>
      </c>
      <c r="O124" s="5">
        <v>11332.71</v>
      </c>
      <c r="P124" s="5">
        <v>11904.5</v>
      </c>
      <c r="Q124" s="5">
        <v>11747.08</v>
      </c>
      <c r="R124" s="5">
        <v>11541.47</v>
      </c>
      <c r="S124" s="5">
        <v>11733.3</v>
      </c>
      <c r="T124" s="5">
        <v>11834.11</v>
      </c>
      <c r="U124" s="5">
        <v>12009.94</v>
      </c>
      <c r="V124" s="5">
        <v>14384.81</v>
      </c>
      <c r="W124" s="5">
        <v>15688.1</v>
      </c>
      <c r="X124" s="5">
        <v>16452.509999999998</v>
      </c>
      <c r="Y124" s="5">
        <v>15540.23</v>
      </c>
      <c r="Z124" s="5">
        <v>14407.8</v>
      </c>
      <c r="AA124" s="5">
        <v>12880.5</v>
      </c>
      <c r="AB124" s="5">
        <v>11372.94</v>
      </c>
      <c r="AC124" s="71"/>
    </row>
    <row r="125" spans="1:30" x14ac:dyDescent="0.3">
      <c r="A125" s="76"/>
      <c r="B125" s="77"/>
      <c r="C125" s="7" t="s">
        <v>38</v>
      </c>
      <c r="D125" s="12">
        <v>7</v>
      </c>
      <c r="E125" s="9">
        <v>10051.09</v>
      </c>
      <c r="F125" s="9">
        <v>9390.17</v>
      </c>
      <c r="G125" s="9">
        <v>8924.7999999999993</v>
      </c>
      <c r="H125" s="9">
        <v>8658.85</v>
      </c>
      <c r="I125" s="9">
        <v>8556.34</v>
      </c>
      <c r="J125" s="9">
        <v>8587.4599999999991</v>
      </c>
      <c r="K125" s="9">
        <v>8721.99</v>
      </c>
      <c r="L125" s="9">
        <v>7643.19</v>
      </c>
      <c r="M125" s="9">
        <v>8934.18</v>
      </c>
      <c r="N125" s="9">
        <v>9833.2000000000007</v>
      </c>
      <c r="O125" s="9">
        <v>10456.299999999999</v>
      </c>
      <c r="P125" s="9">
        <v>10939.51</v>
      </c>
      <c r="Q125" s="9">
        <v>11286.04</v>
      </c>
      <c r="R125" s="9">
        <v>11245.21</v>
      </c>
      <c r="S125" s="9">
        <v>11360.67</v>
      </c>
      <c r="T125" s="9">
        <v>11427.65</v>
      </c>
      <c r="U125" s="9">
        <v>11431.22</v>
      </c>
      <c r="V125" s="9">
        <v>13897.32</v>
      </c>
      <c r="W125" s="9">
        <v>15259.87</v>
      </c>
      <c r="X125" s="9">
        <v>15984.65</v>
      </c>
      <c r="Y125" s="9">
        <v>15400.35</v>
      </c>
      <c r="Z125" s="9">
        <v>14300.71</v>
      </c>
      <c r="AA125" s="9">
        <v>12688.64</v>
      </c>
      <c r="AB125" s="9">
        <v>11219.47</v>
      </c>
      <c r="AC125" s="71"/>
    </row>
    <row r="126" spans="1:30" x14ac:dyDescent="0.3">
      <c r="A126" s="67">
        <v>48305</v>
      </c>
      <c r="B126" s="69">
        <f t="shared" ref="B126" si="36">DAY(EOMONTH(A126,0))</f>
        <v>30</v>
      </c>
      <c r="C126" s="3" t="s">
        <v>36</v>
      </c>
      <c r="D126" s="10">
        <v>22</v>
      </c>
      <c r="E126" s="5">
        <v>9753.3700000000008</v>
      </c>
      <c r="F126" s="5">
        <v>9228.51</v>
      </c>
      <c r="G126" s="5">
        <v>8877.68</v>
      </c>
      <c r="H126" s="5">
        <v>8631.34</v>
      </c>
      <c r="I126" s="5">
        <v>8637.4500000000007</v>
      </c>
      <c r="J126" s="5">
        <v>9310.66</v>
      </c>
      <c r="K126" s="5">
        <v>9984.48</v>
      </c>
      <c r="L126" s="5">
        <v>8795.0499999999993</v>
      </c>
      <c r="M126" s="5">
        <v>10244.91</v>
      </c>
      <c r="N126" s="5">
        <v>11177.18</v>
      </c>
      <c r="O126" s="5">
        <v>11927.2</v>
      </c>
      <c r="P126" s="5">
        <v>12502.34</v>
      </c>
      <c r="Q126" s="5">
        <v>12186.06</v>
      </c>
      <c r="R126" s="5">
        <v>12431.47</v>
      </c>
      <c r="S126" s="5">
        <v>13461.67</v>
      </c>
      <c r="T126" s="5">
        <v>13800.56</v>
      </c>
      <c r="U126" s="5">
        <v>13832.93</v>
      </c>
      <c r="V126" s="5">
        <v>16038.06</v>
      </c>
      <c r="W126" s="5">
        <v>17547.64</v>
      </c>
      <c r="X126" s="5">
        <v>17839.3</v>
      </c>
      <c r="Y126" s="5">
        <v>16819.2</v>
      </c>
      <c r="Z126" s="5">
        <v>15293.18</v>
      </c>
      <c r="AA126" s="5">
        <v>13157.2</v>
      </c>
      <c r="AB126" s="5">
        <v>11367.64</v>
      </c>
      <c r="AC126" s="71">
        <f>SUMPRODUCT((E126:AB128)*D126:D128)</f>
        <v>8759486.9999999981</v>
      </c>
    </row>
    <row r="127" spans="1:30" x14ac:dyDescent="0.3">
      <c r="A127" s="68"/>
      <c r="B127" s="70"/>
      <c r="C127" t="s">
        <v>37</v>
      </c>
      <c r="D127" s="11">
        <v>4</v>
      </c>
      <c r="E127" s="5">
        <v>9974.33</v>
      </c>
      <c r="F127" s="5">
        <v>9344.16</v>
      </c>
      <c r="G127" s="5">
        <v>8889.41</v>
      </c>
      <c r="H127" s="5">
        <v>8629.24</v>
      </c>
      <c r="I127" s="5">
        <v>8597.2099999999991</v>
      </c>
      <c r="J127" s="5">
        <v>8844.86</v>
      </c>
      <c r="K127" s="5">
        <v>9233.6299999999992</v>
      </c>
      <c r="L127" s="5">
        <v>8395.42</v>
      </c>
      <c r="M127" s="5">
        <v>10138.48</v>
      </c>
      <c r="N127" s="5">
        <v>11384.59</v>
      </c>
      <c r="O127" s="5">
        <v>12483.08</v>
      </c>
      <c r="P127" s="5">
        <v>13316.88</v>
      </c>
      <c r="Q127" s="5">
        <v>13348.76</v>
      </c>
      <c r="R127" s="5">
        <v>13332.87</v>
      </c>
      <c r="S127" s="5">
        <v>13212.23</v>
      </c>
      <c r="T127" s="5">
        <v>12949.62</v>
      </c>
      <c r="U127" s="5">
        <v>12833.07</v>
      </c>
      <c r="V127" s="5">
        <v>15050.15</v>
      </c>
      <c r="W127" s="5">
        <v>16504.63</v>
      </c>
      <c r="X127" s="5">
        <v>17102.32</v>
      </c>
      <c r="Y127" s="5">
        <v>16577.45</v>
      </c>
      <c r="Z127" s="5">
        <v>15419.54</v>
      </c>
      <c r="AA127" s="5">
        <v>13913.64</v>
      </c>
      <c r="AB127" s="5">
        <v>12553.04</v>
      </c>
      <c r="AC127" s="71"/>
    </row>
    <row r="128" spans="1:30" x14ac:dyDescent="0.3">
      <c r="A128" s="76"/>
      <c r="B128" s="77"/>
      <c r="C128" s="7" t="s">
        <v>38</v>
      </c>
      <c r="D128" s="12">
        <v>4</v>
      </c>
      <c r="E128" s="9">
        <v>10959.24</v>
      </c>
      <c r="F128" s="9">
        <v>10164.06</v>
      </c>
      <c r="G128" s="9">
        <v>9568.9</v>
      </c>
      <c r="H128" s="9">
        <v>9182.48</v>
      </c>
      <c r="I128" s="9">
        <v>8988.2900000000009</v>
      </c>
      <c r="J128" s="9">
        <v>9008.77</v>
      </c>
      <c r="K128" s="9">
        <v>9302.3700000000008</v>
      </c>
      <c r="L128" s="9">
        <v>7963.49</v>
      </c>
      <c r="M128" s="9">
        <v>9290.41</v>
      </c>
      <c r="N128" s="9">
        <v>10302.83</v>
      </c>
      <c r="O128" s="9">
        <v>11185</v>
      </c>
      <c r="P128" s="9">
        <v>12071.07</v>
      </c>
      <c r="Q128" s="9">
        <v>12602.01</v>
      </c>
      <c r="R128" s="9">
        <v>12630.37</v>
      </c>
      <c r="S128" s="9">
        <v>12682.15</v>
      </c>
      <c r="T128" s="9">
        <v>12724.65</v>
      </c>
      <c r="U128" s="9">
        <v>12606.76</v>
      </c>
      <c r="V128" s="9">
        <v>14843.56</v>
      </c>
      <c r="W128" s="9">
        <v>16775.759999999998</v>
      </c>
      <c r="X128" s="9">
        <v>17614.080000000002</v>
      </c>
      <c r="Y128" s="9">
        <v>17245.61</v>
      </c>
      <c r="Z128" s="9">
        <v>15789.53</v>
      </c>
      <c r="AA128" s="9">
        <v>13233.37</v>
      </c>
      <c r="AB128" s="9">
        <v>10460.44</v>
      </c>
      <c r="AC128" s="71"/>
    </row>
    <row r="129" spans="1:29" x14ac:dyDescent="0.3">
      <c r="A129" s="67">
        <v>48335</v>
      </c>
      <c r="B129" s="69">
        <f t="shared" ref="B129" si="37">DAY(EOMONTH(A129,0))</f>
        <v>31</v>
      </c>
      <c r="C129" s="3" t="s">
        <v>36</v>
      </c>
      <c r="D129" s="10">
        <v>19</v>
      </c>
      <c r="E129" s="5">
        <v>9202.7099999999991</v>
      </c>
      <c r="F129" s="5">
        <v>8619.57</v>
      </c>
      <c r="G129" s="5">
        <v>8284.6299999999992</v>
      </c>
      <c r="H129" s="5">
        <v>8038.97</v>
      </c>
      <c r="I129" s="5">
        <v>7967.49</v>
      </c>
      <c r="J129" s="5">
        <v>8649.26</v>
      </c>
      <c r="K129" s="5">
        <v>9578.99</v>
      </c>
      <c r="L129" s="5">
        <v>8502.65</v>
      </c>
      <c r="M129" s="5">
        <v>9885.48</v>
      </c>
      <c r="N129" s="5">
        <v>10724.6</v>
      </c>
      <c r="O129" s="5">
        <v>11633.47</v>
      </c>
      <c r="P129" s="5">
        <v>12271.39</v>
      </c>
      <c r="Q129" s="5">
        <v>11809.79</v>
      </c>
      <c r="R129" s="5">
        <v>11773.58</v>
      </c>
      <c r="S129" s="5">
        <v>12521.28</v>
      </c>
      <c r="T129" s="5">
        <v>12853.02</v>
      </c>
      <c r="U129" s="5">
        <v>12892.99</v>
      </c>
      <c r="V129" s="5">
        <v>15327.87</v>
      </c>
      <c r="W129" s="5">
        <v>16854.759999999998</v>
      </c>
      <c r="X129" s="5">
        <v>17214.03</v>
      </c>
      <c r="Y129" s="5">
        <v>16180.47</v>
      </c>
      <c r="Z129" s="5">
        <v>14646.57</v>
      </c>
      <c r="AA129" s="5">
        <v>12434.28</v>
      </c>
      <c r="AB129" s="5">
        <v>10709.65</v>
      </c>
      <c r="AC129" s="71">
        <f>SUMPRODUCT((E129:AB131)*D129:D131)</f>
        <v>8506381.1799999978</v>
      </c>
    </row>
    <row r="130" spans="1:29" x14ac:dyDescent="0.3">
      <c r="A130" s="68"/>
      <c r="B130" s="70"/>
      <c r="C130" t="s">
        <v>37</v>
      </c>
      <c r="D130" s="11">
        <v>4</v>
      </c>
      <c r="E130" s="5">
        <v>9431.52</v>
      </c>
      <c r="F130" s="5">
        <v>8840</v>
      </c>
      <c r="G130" s="5">
        <v>8373.06</v>
      </c>
      <c r="H130" s="5">
        <v>8143.13</v>
      </c>
      <c r="I130" s="5">
        <v>8069.96</v>
      </c>
      <c r="J130" s="5">
        <v>8358.2999999999993</v>
      </c>
      <c r="K130" s="5">
        <v>8839.15</v>
      </c>
      <c r="L130" s="5">
        <v>8054.47</v>
      </c>
      <c r="M130" s="5">
        <v>9502.85</v>
      </c>
      <c r="N130" s="5">
        <v>10597.96</v>
      </c>
      <c r="O130" s="5">
        <v>11313.22</v>
      </c>
      <c r="P130" s="5">
        <v>11920.01</v>
      </c>
      <c r="Q130" s="5">
        <v>11787.11</v>
      </c>
      <c r="R130" s="5">
        <v>11482.77</v>
      </c>
      <c r="S130" s="5">
        <v>11475.96</v>
      </c>
      <c r="T130" s="5">
        <v>11577.3</v>
      </c>
      <c r="U130" s="5">
        <v>11649.8</v>
      </c>
      <c r="V130" s="5">
        <v>14300.65</v>
      </c>
      <c r="W130" s="5">
        <v>16017.98</v>
      </c>
      <c r="X130" s="5">
        <v>16309.14</v>
      </c>
      <c r="Y130" s="5">
        <v>15374.03</v>
      </c>
      <c r="Z130" s="5">
        <v>14211.2</v>
      </c>
      <c r="AA130" s="5">
        <v>12567.58</v>
      </c>
      <c r="AB130" s="5">
        <v>11108.5</v>
      </c>
      <c r="AC130" s="71"/>
    </row>
    <row r="131" spans="1:29" x14ac:dyDescent="0.3">
      <c r="A131" s="76"/>
      <c r="B131" s="77"/>
      <c r="C131" s="7" t="s">
        <v>38</v>
      </c>
      <c r="D131" s="12">
        <v>8</v>
      </c>
      <c r="E131" s="9">
        <v>9822.3700000000008</v>
      </c>
      <c r="F131" s="9">
        <v>9008.82</v>
      </c>
      <c r="G131" s="9">
        <v>8558.93</v>
      </c>
      <c r="H131" s="9">
        <v>8275.57</v>
      </c>
      <c r="I131" s="9">
        <v>8114.14</v>
      </c>
      <c r="J131" s="9">
        <v>8205.1</v>
      </c>
      <c r="K131" s="9">
        <v>8502.41</v>
      </c>
      <c r="L131" s="9">
        <v>7418.13</v>
      </c>
      <c r="M131" s="9">
        <v>8816.6299999999992</v>
      </c>
      <c r="N131" s="9">
        <v>9922.7900000000009</v>
      </c>
      <c r="O131" s="9">
        <v>10803.56</v>
      </c>
      <c r="P131" s="9">
        <v>11441.63</v>
      </c>
      <c r="Q131" s="9">
        <v>11597.34</v>
      </c>
      <c r="R131" s="9">
        <v>11507.54</v>
      </c>
      <c r="S131" s="9">
        <v>11342.45</v>
      </c>
      <c r="T131" s="9">
        <v>12097.58</v>
      </c>
      <c r="U131" s="9">
        <v>11832.21</v>
      </c>
      <c r="V131" s="9">
        <v>14209.24</v>
      </c>
      <c r="W131" s="9">
        <v>15072.98</v>
      </c>
      <c r="X131" s="9">
        <v>15893.88</v>
      </c>
      <c r="Y131" s="9">
        <v>15999.71</v>
      </c>
      <c r="Z131" s="9">
        <v>14678.66</v>
      </c>
      <c r="AA131" s="9">
        <v>12784.83</v>
      </c>
      <c r="AB131" s="9">
        <v>11116.76</v>
      </c>
      <c r="AC131" s="71"/>
    </row>
    <row r="132" spans="1:29" x14ac:dyDescent="0.3">
      <c r="A132" s="67">
        <v>48366</v>
      </c>
      <c r="B132" s="69">
        <f t="shared" ref="B132" si="38">DAY(EOMONTH(A132,0))</f>
        <v>30</v>
      </c>
      <c r="C132" s="3" t="s">
        <v>36</v>
      </c>
      <c r="D132" s="10">
        <v>21</v>
      </c>
      <c r="E132" s="5">
        <v>8517.85</v>
      </c>
      <c r="F132" s="5">
        <v>7964.7</v>
      </c>
      <c r="G132" s="5">
        <v>7712.93</v>
      </c>
      <c r="H132" s="5">
        <v>7570.84</v>
      </c>
      <c r="I132" s="5">
        <v>7607.15</v>
      </c>
      <c r="J132" s="5">
        <v>8273.51</v>
      </c>
      <c r="K132" s="5">
        <v>9080.1299999999992</v>
      </c>
      <c r="L132" s="5">
        <v>7932.92</v>
      </c>
      <c r="M132" s="5">
        <v>9261.77</v>
      </c>
      <c r="N132" s="5">
        <v>10182.129999999999</v>
      </c>
      <c r="O132" s="5">
        <v>10823.65</v>
      </c>
      <c r="P132" s="5">
        <v>11331.16</v>
      </c>
      <c r="Q132" s="5">
        <v>10797.27</v>
      </c>
      <c r="R132" s="5">
        <v>10865.69</v>
      </c>
      <c r="S132" s="5">
        <v>11582.43</v>
      </c>
      <c r="T132" s="5">
        <v>11806.28</v>
      </c>
      <c r="U132" s="5">
        <v>11945.82</v>
      </c>
      <c r="V132" s="5">
        <v>14399.1</v>
      </c>
      <c r="W132" s="5">
        <v>15740.98</v>
      </c>
      <c r="X132" s="5">
        <v>16128.93</v>
      </c>
      <c r="Y132" s="5">
        <v>15042.44</v>
      </c>
      <c r="Z132" s="5">
        <v>13435.95</v>
      </c>
      <c r="AA132" s="5">
        <v>11402.37</v>
      </c>
      <c r="AB132" s="5">
        <v>9744.99</v>
      </c>
      <c r="AC132" s="71">
        <f>SUMPRODUCT((E132:AB134)*D132:D134)</f>
        <v>7722189.6299999971</v>
      </c>
    </row>
    <row r="133" spans="1:29" x14ac:dyDescent="0.3">
      <c r="A133" s="68"/>
      <c r="B133" s="70"/>
      <c r="C133" t="s">
        <v>37</v>
      </c>
      <c r="D133" s="11">
        <v>4</v>
      </c>
      <c r="E133" s="5">
        <v>8766.99</v>
      </c>
      <c r="F133" s="5">
        <v>8102.06</v>
      </c>
      <c r="G133" s="5">
        <v>7670.19</v>
      </c>
      <c r="H133" s="5">
        <v>7458.16</v>
      </c>
      <c r="I133" s="5">
        <v>7471.9</v>
      </c>
      <c r="J133" s="5">
        <v>7704.72</v>
      </c>
      <c r="K133" s="5">
        <v>8209.15</v>
      </c>
      <c r="L133" s="5">
        <v>7424.42</v>
      </c>
      <c r="M133" s="5">
        <v>9230.34</v>
      </c>
      <c r="N133" s="5">
        <v>10549.44</v>
      </c>
      <c r="O133" s="5">
        <v>11330.15</v>
      </c>
      <c r="P133" s="5">
        <v>11836.39</v>
      </c>
      <c r="Q133" s="5">
        <v>11598.73</v>
      </c>
      <c r="R133" s="5">
        <v>11500.47</v>
      </c>
      <c r="S133" s="5">
        <v>11538.98</v>
      </c>
      <c r="T133" s="5">
        <v>11378.62</v>
      </c>
      <c r="U133" s="5">
        <v>11360.88</v>
      </c>
      <c r="V133" s="5">
        <v>13874.47</v>
      </c>
      <c r="W133" s="5">
        <v>15513.76</v>
      </c>
      <c r="X133" s="5">
        <v>15896.85</v>
      </c>
      <c r="Y133" s="5">
        <v>14854.71</v>
      </c>
      <c r="Z133" s="5">
        <v>13558.14</v>
      </c>
      <c r="AA133" s="5">
        <v>11943.19</v>
      </c>
      <c r="AB133" s="5">
        <v>10436.799999999999</v>
      </c>
      <c r="AC133" s="71"/>
    </row>
    <row r="134" spans="1:29" x14ac:dyDescent="0.3">
      <c r="A134" s="76"/>
      <c r="B134" s="77"/>
      <c r="C134" s="7" t="s">
        <v>38</v>
      </c>
      <c r="D134" s="12">
        <v>5</v>
      </c>
      <c r="E134" s="9">
        <v>8864.43</v>
      </c>
      <c r="F134" s="9">
        <v>8289.36</v>
      </c>
      <c r="G134" s="9">
        <v>7881</v>
      </c>
      <c r="H134" s="9">
        <v>7661.42</v>
      </c>
      <c r="I134" s="9">
        <v>7532.27</v>
      </c>
      <c r="J134" s="9">
        <v>7599.88</v>
      </c>
      <c r="K134" s="9">
        <v>7872.33</v>
      </c>
      <c r="L134" s="9">
        <v>6878.69</v>
      </c>
      <c r="M134" s="9">
        <v>8505.01</v>
      </c>
      <c r="N134" s="9">
        <v>9506.39</v>
      </c>
      <c r="O134" s="9">
        <v>10380.42</v>
      </c>
      <c r="P134" s="9">
        <v>10989.92</v>
      </c>
      <c r="Q134" s="9">
        <v>11366.87</v>
      </c>
      <c r="R134" s="9">
        <v>11289.4</v>
      </c>
      <c r="S134" s="9">
        <v>11074.2</v>
      </c>
      <c r="T134" s="9">
        <v>10717.66</v>
      </c>
      <c r="U134" s="9">
        <v>10509.65</v>
      </c>
      <c r="V134" s="9">
        <v>13292.8</v>
      </c>
      <c r="W134" s="9">
        <v>14721.29</v>
      </c>
      <c r="X134" s="9">
        <v>15026.51</v>
      </c>
      <c r="Y134" s="9">
        <v>14411.04</v>
      </c>
      <c r="Z134" s="9">
        <v>13147.53</v>
      </c>
      <c r="AA134" s="9">
        <v>11335.3</v>
      </c>
      <c r="AB134" s="9">
        <v>9782.7900000000009</v>
      </c>
      <c r="AC134" s="71"/>
    </row>
    <row r="135" spans="1:29" x14ac:dyDescent="0.3">
      <c r="A135" s="67">
        <v>48396</v>
      </c>
      <c r="B135" s="69">
        <f t="shared" ref="B135" si="39">DAY(EOMONTH(A135,0))</f>
        <v>31</v>
      </c>
      <c r="C135" s="3" t="s">
        <v>36</v>
      </c>
      <c r="D135" s="10">
        <v>20</v>
      </c>
      <c r="E135" s="5">
        <v>8855.8799999999992</v>
      </c>
      <c r="F135" s="5">
        <v>8276.67</v>
      </c>
      <c r="G135" s="5">
        <v>7971.6</v>
      </c>
      <c r="H135" s="5">
        <v>7791.79</v>
      </c>
      <c r="I135" s="5">
        <v>7818.94</v>
      </c>
      <c r="J135" s="5">
        <v>8484.9699999999993</v>
      </c>
      <c r="K135" s="5">
        <v>9250.2099999999991</v>
      </c>
      <c r="L135" s="5">
        <v>8210.34</v>
      </c>
      <c r="M135" s="5">
        <v>9741.24</v>
      </c>
      <c r="N135" s="5">
        <v>10702.51</v>
      </c>
      <c r="O135" s="5">
        <v>11496.1</v>
      </c>
      <c r="P135" s="5">
        <v>12267.91</v>
      </c>
      <c r="Q135" s="5">
        <v>11948.64</v>
      </c>
      <c r="R135" s="5">
        <v>11935.81</v>
      </c>
      <c r="S135" s="5">
        <v>12678.55</v>
      </c>
      <c r="T135" s="5">
        <v>13069.78</v>
      </c>
      <c r="U135" s="5">
        <v>13082.17</v>
      </c>
      <c r="V135" s="5">
        <v>15493.7</v>
      </c>
      <c r="W135" s="5">
        <v>16601.900000000001</v>
      </c>
      <c r="X135" s="5">
        <v>17151.93</v>
      </c>
      <c r="Y135" s="5">
        <v>16072.21</v>
      </c>
      <c r="Z135" s="5">
        <v>14473.25</v>
      </c>
      <c r="AA135" s="5">
        <v>12294.93</v>
      </c>
      <c r="AB135" s="5">
        <v>10481.75</v>
      </c>
      <c r="AC135" s="71">
        <f t="shared" ref="AC135" si="40">SUMPRODUCT((E135:AB137)*D135:D137)</f>
        <v>8328887.7399999993</v>
      </c>
    </row>
    <row r="136" spans="1:29" x14ac:dyDescent="0.3">
      <c r="A136" s="68"/>
      <c r="B136" s="70"/>
      <c r="C136" t="s">
        <v>37</v>
      </c>
      <c r="D136" s="11">
        <v>5</v>
      </c>
      <c r="E136" s="5">
        <v>9052.59</v>
      </c>
      <c r="F136" s="5">
        <v>8410.76</v>
      </c>
      <c r="G136" s="5">
        <v>8018.62</v>
      </c>
      <c r="H136" s="5">
        <v>7842.14</v>
      </c>
      <c r="I136" s="5">
        <v>7771.13</v>
      </c>
      <c r="J136" s="5">
        <v>8026.97</v>
      </c>
      <c r="K136" s="5">
        <v>8435.6299999999992</v>
      </c>
      <c r="L136" s="5">
        <v>7752.88</v>
      </c>
      <c r="M136" s="5">
        <v>9386.4</v>
      </c>
      <c r="N136" s="5">
        <v>10481.32</v>
      </c>
      <c r="O136" s="5">
        <v>11197.51</v>
      </c>
      <c r="P136" s="5">
        <v>11793.53</v>
      </c>
      <c r="Q136" s="5">
        <v>11541.51</v>
      </c>
      <c r="R136" s="5">
        <v>11416.75</v>
      </c>
      <c r="S136" s="5">
        <v>11563.09</v>
      </c>
      <c r="T136" s="5">
        <v>11817.33</v>
      </c>
      <c r="U136" s="5">
        <v>11719.15</v>
      </c>
      <c r="V136" s="5">
        <v>14100.78</v>
      </c>
      <c r="W136" s="5">
        <v>15649.83</v>
      </c>
      <c r="X136" s="5">
        <v>16361.27</v>
      </c>
      <c r="Y136" s="5">
        <v>15273.96</v>
      </c>
      <c r="Z136" s="5">
        <v>13818.46</v>
      </c>
      <c r="AA136" s="5">
        <v>12088.51</v>
      </c>
      <c r="AB136" s="5">
        <v>10422.52</v>
      </c>
      <c r="AC136" s="71"/>
    </row>
    <row r="137" spans="1:29" x14ac:dyDescent="0.3">
      <c r="A137" s="76"/>
      <c r="B137" s="77"/>
      <c r="C137" s="7" t="s">
        <v>38</v>
      </c>
      <c r="D137" s="12">
        <v>6</v>
      </c>
      <c r="E137" s="9">
        <v>9048.65</v>
      </c>
      <c r="F137" s="9">
        <v>8412.19</v>
      </c>
      <c r="G137" s="9">
        <v>7989.03</v>
      </c>
      <c r="H137" s="9">
        <v>7740.52</v>
      </c>
      <c r="I137" s="9">
        <v>7622.71</v>
      </c>
      <c r="J137" s="9">
        <v>7753.98</v>
      </c>
      <c r="K137" s="9">
        <v>7989.34</v>
      </c>
      <c r="L137" s="9">
        <v>7027.54</v>
      </c>
      <c r="M137" s="9">
        <v>8430.2099999999991</v>
      </c>
      <c r="N137" s="9">
        <v>9484.5499999999993</v>
      </c>
      <c r="O137" s="9">
        <v>10131.93</v>
      </c>
      <c r="P137" s="9">
        <v>10688.59</v>
      </c>
      <c r="Q137" s="9">
        <v>10913.37</v>
      </c>
      <c r="R137" s="9">
        <v>10890.1</v>
      </c>
      <c r="S137" s="9">
        <v>10883.61</v>
      </c>
      <c r="T137" s="9">
        <v>10621.83</v>
      </c>
      <c r="U137" s="9">
        <v>10485.620000000001</v>
      </c>
      <c r="V137" s="9">
        <v>12748.06</v>
      </c>
      <c r="W137" s="9">
        <v>14269.74</v>
      </c>
      <c r="X137" s="9">
        <v>15174.78</v>
      </c>
      <c r="Y137" s="9">
        <v>14479.41</v>
      </c>
      <c r="Z137" s="9">
        <v>13276.95</v>
      </c>
      <c r="AA137" s="9">
        <v>11555.03</v>
      </c>
      <c r="AB137" s="9">
        <v>10068.75</v>
      </c>
      <c r="AC137" s="71"/>
    </row>
    <row r="138" spans="1:29" x14ac:dyDescent="0.3">
      <c r="A138" s="67">
        <v>48427</v>
      </c>
      <c r="B138" s="69">
        <f t="shared" ref="B138" si="41">DAY(EOMONTH(A138,0))</f>
        <v>31</v>
      </c>
      <c r="C138" s="3" t="s">
        <v>36</v>
      </c>
      <c r="D138" s="10">
        <v>21</v>
      </c>
      <c r="E138" s="5">
        <v>9289.73</v>
      </c>
      <c r="F138" s="5">
        <v>8757.2999999999993</v>
      </c>
      <c r="G138" s="5">
        <v>8428.17</v>
      </c>
      <c r="H138" s="5">
        <v>8219.5400000000009</v>
      </c>
      <c r="I138" s="5">
        <v>8247.08</v>
      </c>
      <c r="J138" s="5">
        <v>8606.07</v>
      </c>
      <c r="K138" s="5">
        <v>9598.7099999999991</v>
      </c>
      <c r="L138" s="5">
        <v>8579.4599999999991</v>
      </c>
      <c r="M138" s="5">
        <v>9952.7800000000007</v>
      </c>
      <c r="N138" s="5">
        <v>10960.98</v>
      </c>
      <c r="O138" s="5">
        <v>11934.61</v>
      </c>
      <c r="P138" s="5">
        <v>12653.96</v>
      </c>
      <c r="Q138" s="5">
        <v>12489.66</v>
      </c>
      <c r="R138" s="5">
        <v>12806.83</v>
      </c>
      <c r="S138" s="5">
        <v>13796.65</v>
      </c>
      <c r="T138" s="5">
        <v>14393.76</v>
      </c>
      <c r="U138" s="5">
        <v>14385.31</v>
      </c>
      <c r="V138" s="5">
        <v>16218.05</v>
      </c>
      <c r="W138" s="5">
        <v>17369.43</v>
      </c>
      <c r="X138" s="5">
        <v>18237.240000000002</v>
      </c>
      <c r="Y138" s="5">
        <v>17180.09</v>
      </c>
      <c r="Z138" s="5">
        <v>15520.79</v>
      </c>
      <c r="AA138" s="5">
        <v>13235.32</v>
      </c>
      <c r="AB138" s="5">
        <v>11294.66</v>
      </c>
      <c r="AC138" s="71">
        <f t="shared" ref="AC138" si="42">SUMPRODUCT((E138:AB140)*D138:D140)</f>
        <v>8908467.0199999977</v>
      </c>
    </row>
    <row r="139" spans="1:29" x14ac:dyDescent="0.3">
      <c r="A139" s="68"/>
      <c r="B139" s="70"/>
      <c r="C139" t="s">
        <v>37</v>
      </c>
      <c r="D139" s="11">
        <v>3</v>
      </c>
      <c r="E139" s="5">
        <v>10294.11</v>
      </c>
      <c r="F139" s="5">
        <v>9592.0400000000009</v>
      </c>
      <c r="G139" s="5">
        <v>8668.07</v>
      </c>
      <c r="H139" s="5">
        <v>9023.83</v>
      </c>
      <c r="I139" s="5">
        <v>8719.61</v>
      </c>
      <c r="J139" s="5">
        <v>8871.89</v>
      </c>
      <c r="K139" s="5">
        <v>9230.01</v>
      </c>
      <c r="L139" s="5">
        <v>8965.6299999999992</v>
      </c>
      <c r="M139" s="5">
        <v>10555.6</v>
      </c>
      <c r="N139" s="5">
        <v>11914.45</v>
      </c>
      <c r="O139" s="5">
        <v>12891.95</v>
      </c>
      <c r="P139" s="5">
        <v>13678.19</v>
      </c>
      <c r="Q139" s="5">
        <v>13543.94</v>
      </c>
      <c r="R139" s="5">
        <v>13502.24</v>
      </c>
      <c r="S139" s="5">
        <v>13688.33</v>
      </c>
      <c r="T139" s="5">
        <v>13426.21</v>
      </c>
      <c r="U139" s="5">
        <v>13448.99</v>
      </c>
      <c r="V139" s="5">
        <v>15608.99</v>
      </c>
      <c r="W139" s="5">
        <v>17221.18</v>
      </c>
      <c r="X139" s="5">
        <v>17869.12</v>
      </c>
      <c r="Y139" s="5">
        <v>16794.310000000001</v>
      </c>
      <c r="Z139" s="5">
        <v>15463.33</v>
      </c>
      <c r="AA139" s="5">
        <v>13670.58</v>
      </c>
      <c r="AB139" s="5">
        <v>12162.75</v>
      </c>
      <c r="AC139" s="71"/>
    </row>
    <row r="140" spans="1:29" x14ac:dyDescent="0.3">
      <c r="A140" s="76"/>
      <c r="B140" s="77"/>
      <c r="C140" s="7" t="s">
        <v>38</v>
      </c>
      <c r="D140" s="12">
        <v>7</v>
      </c>
      <c r="E140" s="9">
        <v>10075.74</v>
      </c>
      <c r="F140" s="9">
        <v>9358.34</v>
      </c>
      <c r="G140" s="9">
        <v>8898.9699999999993</v>
      </c>
      <c r="H140" s="9">
        <v>8617.61</v>
      </c>
      <c r="I140" s="9">
        <v>8305.77</v>
      </c>
      <c r="J140" s="9">
        <v>8469.2999999999993</v>
      </c>
      <c r="K140" s="9">
        <v>8857</v>
      </c>
      <c r="L140" s="9">
        <v>7785.07</v>
      </c>
      <c r="M140" s="9">
        <v>9188.8799999999992</v>
      </c>
      <c r="N140" s="9">
        <v>10033.85</v>
      </c>
      <c r="O140" s="9">
        <v>10811.28</v>
      </c>
      <c r="P140" s="9">
        <v>11892.09</v>
      </c>
      <c r="Q140" s="9">
        <v>11775.31</v>
      </c>
      <c r="R140" s="9">
        <v>11489.09</v>
      </c>
      <c r="S140" s="9">
        <v>11522.08</v>
      </c>
      <c r="T140" s="9">
        <v>11216.06</v>
      </c>
      <c r="U140" s="9">
        <v>11311.47</v>
      </c>
      <c r="V140" s="9">
        <v>13910.69</v>
      </c>
      <c r="W140" s="9">
        <v>15694.48</v>
      </c>
      <c r="X140" s="9">
        <v>16128.04</v>
      </c>
      <c r="Y140" s="9">
        <v>15324.25</v>
      </c>
      <c r="Z140" s="9">
        <v>14257.78</v>
      </c>
      <c r="AA140" s="9">
        <v>12379.39</v>
      </c>
      <c r="AB140" s="9">
        <v>10807.63</v>
      </c>
      <c r="AC140" s="71"/>
    </row>
    <row r="141" spans="1:29" x14ac:dyDescent="0.3">
      <c r="A141" s="67">
        <v>48458</v>
      </c>
      <c r="B141" s="69">
        <f t="shared" ref="B141" si="43">DAY(EOMONTH(A141,0))</f>
        <v>30</v>
      </c>
      <c r="C141" s="3" t="s">
        <v>36</v>
      </c>
      <c r="D141" s="10">
        <v>22</v>
      </c>
      <c r="E141" s="5">
        <v>9949.66</v>
      </c>
      <c r="F141" s="5">
        <v>9284.76</v>
      </c>
      <c r="G141" s="5">
        <v>9003.01</v>
      </c>
      <c r="H141" s="5">
        <v>8748.69</v>
      </c>
      <c r="I141" s="5">
        <v>8614.6</v>
      </c>
      <c r="J141" s="5">
        <v>9051.1200000000008</v>
      </c>
      <c r="K141" s="5">
        <v>10133.14</v>
      </c>
      <c r="L141" s="5">
        <v>9023.0300000000007</v>
      </c>
      <c r="M141" s="5">
        <v>10597.72</v>
      </c>
      <c r="N141" s="5">
        <v>11643.91</v>
      </c>
      <c r="O141" s="5">
        <v>12607.87</v>
      </c>
      <c r="P141" s="5">
        <v>13273.92</v>
      </c>
      <c r="Q141" s="5">
        <v>12699.21</v>
      </c>
      <c r="R141" s="5">
        <v>12883.98</v>
      </c>
      <c r="S141" s="5">
        <v>13736.58</v>
      </c>
      <c r="T141" s="5">
        <v>14067.6</v>
      </c>
      <c r="U141" s="5">
        <v>14179.71</v>
      </c>
      <c r="V141" s="5">
        <v>16502.04</v>
      </c>
      <c r="W141" s="5">
        <v>17990.400000000001</v>
      </c>
      <c r="X141" s="5">
        <v>18428.12</v>
      </c>
      <c r="Y141" s="5">
        <v>17115.240000000002</v>
      </c>
      <c r="Z141" s="5">
        <v>15610</v>
      </c>
      <c r="AA141" s="5">
        <v>13480.04</v>
      </c>
      <c r="AB141" s="5">
        <v>11596.45</v>
      </c>
      <c r="AC141" s="71">
        <f t="shared" ref="AC141" si="44">SUMPRODUCT((E141:AB143)*D141:D143)</f>
        <v>8881705.8000000026</v>
      </c>
    </row>
    <row r="142" spans="1:29" x14ac:dyDescent="0.3">
      <c r="A142" s="68"/>
      <c r="B142" s="70"/>
      <c r="C142" t="s">
        <v>37</v>
      </c>
      <c r="D142" s="11">
        <v>4</v>
      </c>
      <c r="E142" s="5">
        <v>10253.73</v>
      </c>
      <c r="F142" s="5">
        <v>9562.84</v>
      </c>
      <c r="G142" s="5">
        <v>9068.26</v>
      </c>
      <c r="H142" s="5">
        <v>8798.32</v>
      </c>
      <c r="I142" s="5">
        <v>8693.58</v>
      </c>
      <c r="J142" s="5">
        <v>8872.07</v>
      </c>
      <c r="K142" s="5">
        <v>9428.4</v>
      </c>
      <c r="L142" s="5">
        <v>8901.94</v>
      </c>
      <c r="M142" s="5">
        <v>10658.47</v>
      </c>
      <c r="N142" s="5">
        <v>12103.92</v>
      </c>
      <c r="O142" s="5">
        <v>13338.95</v>
      </c>
      <c r="P142" s="5">
        <v>14274.84</v>
      </c>
      <c r="Q142" s="5">
        <v>13491.28</v>
      </c>
      <c r="R142" s="5">
        <v>14280.71</v>
      </c>
      <c r="S142" s="5">
        <v>14637.75</v>
      </c>
      <c r="T142" s="5">
        <v>14676.8</v>
      </c>
      <c r="U142" s="5">
        <v>13989.02</v>
      </c>
      <c r="V142" s="5">
        <v>16439.46</v>
      </c>
      <c r="W142" s="5">
        <v>18194.72</v>
      </c>
      <c r="X142" s="5">
        <v>18358.84</v>
      </c>
      <c r="Y142" s="5">
        <v>17287.2</v>
      </c>
      <c r="Z142" s="5">
        <v>16068.99</v>
      </c>
      <c r="AA142" s="5">
        <v>14308.6</v>
      </c>
      <c r="AB142" s="5">
        <v>12699.48</v>
      </c>
      <c r="AC142" s="71"/>
    </row>
    <row r="143" spans="1:29" x14ac:dyDescent="0.3">
      <c r="A143" s="76"/>
      <c r="B143" s="77"/>
      <c r="C143" s="7" t="s">
        <v>38</v>
      </c>
      <c r="D143" s="12">
        <v>4</v>
      </c>
      <c r="E143" s="9">
        <v>11250.71</v>
      </c>
      <c r="F143" s="9">
        <v>10480.17</v>
      </c>
      <c r="G143" s="9">
        <v>9903.61</v>
      </c>
      <c r="H143" s="9">
        <v>9546.1</v>
      </c>
      <c r="I143" s="9">
        <v>9240.19</v>
      </c>
      <c r="J143" s="9">
        <v>9149.2900000000009</v>
      </c>
      <c r="K143" s="9">
        <v>8737.59</v>
      </c>
      <c r="L143" s="9">
        <v>7322.45</v>
      </c>
      <c r="M143" s="9">
        <v>8694.43</v>
      </c>
      <c r="N143" s="9">
        <v>9852.16</v>
      </c>
      <c r="O143" s="9">
        <v>10480.81</v>
      </c>
      <c r="P143" s="9">
        <v>11022.8</v>
      </c>
      <c r="Q143" s="9">
        <v>11284.84</v>
      </c>
      <c r="R143" s="9">
        <v>10718.13</v>
      </c>
      <c r="S143" s="9">
        <v>9530.74</v>
      </c>
      <c r="T143" s="9">
        <v>8720.31</v>
      </c>
      <c r="U143" s="9">
        <v>8769.48</v>
      </c>
      <c r="V143" s="9">
        <v>12292.79</v>
      </c>
      <c r="W143" s="9">
        <v>13972.31</v>
      </c>
      <c r="X143" s="9">
        <v>15865.9</v>
      </c>
      <c r="Y143" s="9">
        <v>15407.53</v>
      </c>
      <c r="Z143" s="9">
        <v>14510.39</v>
      </c>
      <c r="AA143" s="9">
        <v>12802.73</v>
      </c>
      <c r="AB143" s="9">
        <v>11268.42</v>
      </c>
      <c r="AC143" s="71"/>
    </row>
    <row r="144" spans="1:29" x14ac:dyDescent="0.3">
      <c r="A144" s="67">
        <v>48488</v>
      </c>
      <c r="B144" s="69">
        <f t="shared" ref="B144" si="45">DAY(EOMONTH(A144,0))</f>
        <v>31</v>
      </c>
      <c r="C144" s="3" t="s">
        <v>36</v>
      </c>
      <c r="D144" s="10">
        <v>20</v>
      </c>
      <c r="E144" s="5">
        <v>10213.129999999999</v>
      </c>
      <c r="F144" s="5">
        <v>9629.73</v>
      </c>
      <c r="G144" s="5">
        <v>9253.9</v>
      </c>
      <c r="H144" s="5">
        <v>8976.14</v>
      </c>
      <c r="I144" s="5">
        <v>8861.33</v>
      </c>
      <c r="J144" s="5">
        <v>9253.6299999999992</v>
      </c>
      <c r="K144" s="5">
        <v>10056.65</v>
      </c>
      <c r="L144" s="5">
        <v>9208.6299999999992</v>
      </c>
      <c r="M144" s="5">
        <v>10878.39</v>
      </c>
      <c r="N144" s="5">
        <v>12103.49</v>
      </c>
      <c r="O144" s="5">
        <v>13237.87</v>
      </c>
      <c r="P144" s="5">
        <v>14220.34</v>
      </c>
      <c r="Q144" s="5">
        <v>13980.62</v>
      </c>
      <c r="R144" s="5">
        <v>14227.84</v>
      </c>
      <c r="S144" s="5">
        <v>14780.21</v>
      </c>
      <c r="T144" s="5">
        <v>15153.79</v>
      </c>
      <c r="U144" s="5">
        <v>15060.06</v>
      </c>
      <c r="V144" s="5">
        <v>17234.490000000002</v>
      </c>
      <c r="W144" s="5">
        <v>18714.57</v>
      </c>
      <c r="X144" s="5">
        <v>18691.7</v>
      </c>
      <c r="Y144" s="5">
        <v>17357.91</v>
      </c>
      <c r="Z144" s="5">
        <v>15729.5</v>
      </c>
      <c r="AA144" s="5">
        <v>13658.15</v>
      </c>
      <c r="AB144" s="5">
        <v>12009.69</v>
      </c>
      <c r="AC144" s="71">
        <f t="shared" ref="AC144" si="46">SUMPRODUCT((E144:AB146)*D144:D146)</f>
        <v>9360595.049999997</v>
      </c>
    </row>
    <row r="145" spans="1:30" x14ac:dyDescent="0.3">
      <c r="A145" s="68"/>
      <c r="B145" s="70"/>
      <c r="C145" t="s">
        <v>37</v>
      </c>
      <c r="D145" s="11">
        <v>5</v>
      </c>
      <c r="E145" s="5">
        <v>10911.98</v>
      </c>
      <c r="F145" s="5">
        <v>10208.92</v>
      </c>
      <c r="G145" s="5">
        <v>9727.85</v>
      </c>
      <c r="H145" s="5">
        <v>9400.32</v>
      </c>
      <c r="I145" s="5">
        <v>9326.06</v>
      </c>
      <c r="J145" s="5">
        <v>9393.15</v>
      </c>
      <c r="K145" s="5">
        <v>9939.4</v>
      </c>
      <c r="L145" s="5">
        <v>9339.2999999999993</v>
      </c>
      <c r="M145" s="5">
        <v>11325.81</v>
      </c>
      <c r="N145" s="5">
        <v>12782.47</v>
      </c>
      <c r="O145" s="5">
        <v>13971.56</v>
      </c>
      <c r="P145" s="5">
        <v>14183.29</v>
      </c>
      <c r="Q145" s="5">
        <v>13466.04</v>
      </c>
      <c r="R145" s="5">
        <v>12572.3</v>
      </c>
      <c r="S145" s="5">
        <v>12728.29</v>
      </c>
      <c r="T145" s="5">
        <v>12624.56</v>
      </c>
      <c r="U145" s="5">
        <v>12115.05</v>
      </c>
      <c r="V145" s="5">
        <v>14648.46</v>
      </c>
      <c r="W145" s="5">
        <v>16540.13</v>
      </c>
      <c r="X145" s="5">
        <v>16673.47</v>
      </c>
      <c r="Y145" s="5">
        <v>15635.79</v>
      </c>
      <c r="Z145" s="5">
        <v>14399.75</v>
      </c>
      <c r="AA145" s="5">
        <v>12846</v>
      </c>
      <c r="AB145" s="5">
        <v>11415.62</v>
      </c>
      <c r="AC145" s="71"/>
    </row>
    <row r="146" spans="1:30" x14ac:dyDescent="0.3">
      <c r="A146" s="76"/>
      <c r="B146" s="77"/>
      <c r="C146" s="7" t="s">
        <v>38</v>
      </c>
      <c r="D146" s="12">
        <v>6</v>
      </c>
      <c r="E146" s="9">
        <v>10090.51</v>
      </c>
      <c r="F146" s="9">
        <v>9450.7000000000007</v>
      </c>
      <c r="G146" s="9">
        <v>9001.58</v>
      </c>
      <c r="H146" s="9">
        <v>8672.84</v>
      </c>
      <c r="I146" s="9">
        <v>8482.68</v>
      </c>
      <c r="J146" s="9">
        <v>8098.34</v>
      </c>
      <c r="K146" s="9">
        <v>8736.27</v>
      </c>
      <c r="L146" s="9">
        <v>7800.39</v>
      </c>
      <c r="M146" s="9">
        <v>9071.61</v>
      </c>
      <c r="N146" s="9">
        <v>10084.299999999999</v>
      </c>
      <c r="O146" s="9">
        <v>11049.8</v>
      </c>
      <c r="P146" s="9">
        <v>11815.08</v>
      </c>
      <c r="Q146" s="9">
        <v>12106.66</v>
      </c>
      <c r="R146" s="9">
        <v>12161.21</v>
      </c>
      <c r="S146" s="9">
        <v>12046.85</v>
      </c>
      <c r="T146" s="9">
        <v>11996.9</v>
      </c>
      <c r="U146" s="9">
        <v>11978.3</v>
      </c>
      <c r="V146" s="9">
        <v>14398.64</v>
      </c>
      <c r="W146" s="9">
        <v>16391.27</v>
      </c>
      <c r="X146" s="9">
        <v>15784.53</v>
      </c>
      <c r="Y146" s="9">
        <v>15263.88</v>
      </c>
      <c r="Z146" s="9">
        <v>13582.28</v>
      </c>
      <c r="AA146" s="9">
        <v>12579.11</v>
      </c>
      <c r="AB146" s="9">
        <v>11003.27</v>
      </c>
      <c r="AC146" s="71"/>
    </row>
    <row r="147" spans="1:30" x14ac:dyDescent="0.3">
      <c r="A147" s="67">
        <v>48519</v>
      </c>
      <c r="B147" s="69">
        <f>DAY(EOMONTH(A147,0))</f>
        <v>30</v>
      </c>
      <c r="C147" s="3" t="s">
        <v>36</v>
      </c>
      <c r="D147" s="10">
        <v>20</v>
      </c>
      <c r="E147" s="5">
        <v>9647.14</v>
      </c>
      <c r="F147" s="5">
        <v>9025.85</v>
      </c>
      <c r="G147" s="5">
        <v>8802.65</v>
      </c>
      <c r="H147" s="5">
        <v>8536.7800000000007</v>
      </c>
      <c r="I147" s="5">
        <v>8607.11</v>
      </c>
      <c r="J147" s="5">
        <v>8977.48</v>
      </c>
      <c r="K147" s="5">
        <v>9970.15</v>
      </c>
      <c r="L147" s="5">
        <v>9051.3799999999992</v>
      </c>
      <c r="M147" s="5">
        <v>10657.34</v>
      </c>
      <c r="N147" s="5">
        <v>11690.01</v>
      </c>
      <c r="O147" s="5">
        <v>12677.6</v>
      </c>
      <c r="P147" s="5">
        <v>13570.64</v>
      </c>
      <c r="Q147" s="5">
        <v>13028.06</v>
      </c>
      <c r="R147" s="5">
        <v>13433.34</v>
      </c>
      <c r="S147" s="5">
        <v>14416.57</v>
      </c>
      <c r="T147" s="5">
        <v>14397.21</v>
      </c>
      <c r="U147" s="5">
        <v>14390.58</v>
      </c>
      <c r="V147" s="5">
        <v>16627.36</v>
      </c>
      <c r="W147" s="5">
        <v>18147.259999999998</v>
      </c>
      <c r="X147" s="5">
        <v>17982.03</v>
      </c>
      <c r="Y147" s="5">
        <v>16777.509999999998</v>
      </c>
      <c r="Z147" s="5">
        <v>15185.92</v>
      </c>
      <c r="AA147" s="5">
        <v>13054.38</v>
      </c>
      <c r="AB147" s="5">
        <v>11348.18</v>
      </c>
      <c r="AC147" s="71">
        <f>SUMPRODUCT((E147:AB149)*D147:D149)</f>
        <v>8793194.0199999996</v>
      </c>
    </row>
    <row r="148" spans="1:30" x14ac:dyDescent="0.3">
      <c r="A148" s="68"/>
      <c r="B148" s="70"/>
      <c r="C148" t="s">
        <v>37</v>
      </c>
      <c r="D148" s="11">
        <v>4</v>
      </c>
      <c r="E148" s="5">
        <v>10081.030000000001</v>
      </c>
      <c r="F148" s="5">
        <v>9478.7800000000007</v>
      </c>
      <c r="G148" s="5">
        <v>9025.17</v>
      </c>
      <c r="H148" s="5">
        <v>8634.27</v>
      </c>
      <c r="I148" s="5">
        <v>8427.3700000000008</v>
      </c>
      <c r="J148" s="5">
        <v>8787.59</v>
      </c>
      <c r="K148" s="5">
        <v>9182.7800000000007</v>
      </c>
      <c r="L148" s="5">
        <v>8405.94</v>
      </c>
      <c r="M148" s="5">
        <v>10127.969999999999</v>
      </c>
      <c r="N148" s="5">
        <v>11031.7</v>
      </c>
      <c r="O148" s="5">
        <v>11804.27</v>
      </c>
      <c r="P148" s="5">
        <v>12300.71</v>
      </c>
      <c r="Q148" s="5">
        <v>12556.25</v>
      </c>
      <c r="R148" s="5">
        <v>12640.26</v>
      </c>
      <c r="S148" s="5">
        <v>12967.62</v>
      </c>
      <c r="T148" s="5">
        <v>13133.99</v>
      </c>
      <c r="U148" s="5">
        <v>13132.38</v>
      </c>
      <c r="V148" s="5">
        <v>15670.48</v>
      </c>
      <c r="W148" s="5">
        <v>17554.23</v>
      </c>
      <c r="X148" s="5">
        <v>17504.95</v>
      </c>
      <c r="Y148" s="5">
        <v>16290.23</v>
      </c>
      <c r="Z148" s="5">
        <v>14958.93</v>
      </c>
      <c r="AA148" s="5">
        <v>13386.27</v>
      </c>
      <c r="AB148" s="5">
        <v>11476.02</v>
      </c>
      <c r="AC148" s="71"/>
    </row>
    <row r="149" spans="1:30" x14ac:dyDescent="0.3">
      <c r="A149" s="68"/>
      <c r="B149" s="70"/>
      <c r="C149" t="s">
        <v>38</v>
      </c>
      <c r="D149" s="11">
        <v>6</v>
      </c>
      <c r="E149" s="5">
        <v>10328.959999999999</v>
      </c>
      <c r="F149" s="5">
        <v>9684.75</v>
      </c>
      <c r="G149" s="5">
        <v>9251.24</v>
      </c>
      <c r="H149" s="5">
        <v>9010.33</v>
      </c>
      <c r="I149" s="5">
        <v>8944.93</v>
      </c>
      <c r="J149" s="5">
        <v>8723.84</v>
      </c>
      <c r="K149" s="5">
        <v>9037.36</v>
      </c>
      <c r="L149" s="5">
        <v>8150.46</v>
      </c>
      <c r="M149" s="5">
        <v>9593.42</v>
      </c>
      <c r="N149" s="5">
        <v>10533.29</v>
      </c>
      <c r="O149" s="5">
        <v>10988.39</v>
      </c>
      <c r="P149" s="5">
        <v>10605.57</v>
      </c>
      <c r="Q149" s="5">
        <v>11043.41</v>
      </c>
      <c r="R149" s="5">
        <v>11360.06</v>
      </c>
      <c r="S149" s="5">
        <v>11673</v>
      </c>
      <c r="T149" s="5">
        <v>11030.53</v>
      </c>
      <c r="U149" s="5">
        <v>11684.57</v>
      </c>
      <c r="V149" s="5">
        <v>14141.18</v>
      </c>
      <c r="W149" s="5">
        <v>16191.03</v>
      </c>
      <c r="X149" s="5">
        <v>16709.46</v>
      </c>
      <c r="Y149" s="5">
        <v>15618.23</v>
      </c>
      <c r="Z149" s="5">
        <v>14632.27</v>
      </c>
      <c r="AA149" s="5">
        <v>12874.46</v>
      </c>
      <c r="AB149" s="5">
        <v>11340.37</v>
      </c>
      <c r="AC149" s="71"/>
    </row>
    <row r="150" spans="1:30" x14ac:dyDescent="0.3">
      <c r="A150" s="67">
        <v>48549</v>
      </c>
      <c r="B150" s="69">
        <f>DAY(EOMONTH(A150,0))</f>
        <v>31</v>
      </c>
      <c r="C150" s="3" t="s">
        <v>36</v>
      </c>
      <c r="D150" s="10">
        <v>22</v>
      </c>
      <c r="E150" s="13">
        <v>9723.35</v>
      </c>
      <c r="F150" s="13">
        <v>9049.92</v>
      </c>
      <c r="G150" s="13">
        <v>8690.9699999999993</v>
      </c>
      <c r="H150" s="13">
        <v>8466.0400000000009</v>
      </c>
      <c r="I150" s="13">
        <v>8477.65</v>
      </c>
      <c r="J150" s="13">
        <v>8773.7199999999993</v>
      </c>
      <c r="K150" s="13">
        <v>9242.4</v>
      </c>
      <c r="L150" s="13">
        <v>8630.4599999999991</v>
      </c>
      <c r="M150" s="13">
        <v>10445.65</v>
      </c>
      <c r="N150" s="13">
        <v>11605.39</v>
      </c>
      <c r="O150" s="13">
        <v>12474.76</v>
      </c>
      <c r="P150" s="13">
        <v>13228.25</v>
      </c>
      <c r="Q150" s="13">
        <v>12891.07</v>
      </c>
      <c r="R150" s="13">
        <v>12865.89</v>
      </c>
      <c r="S150" s="13">
        <v>13392.49</v>
      </c>
      <c r="T150" s="13">
        <v>13565.8</v>
      </c>
      <c r="U150" s="13">
        <v>13650.86</v>
      </c>
      <c r="V150" s="13">
        <v>15784.74</v>
      </c>
      <c r="W150" s="13">
        <v>17167.419999999998</v>
      </c>
      <c r="X150" s="13">
        <v>17347.63</v>
      </c>
      <c r="Y150" s="13">
        <v>16436.97</v>
      </c>
      <c r="Z150" s="13">
        <v>14992.56</v>
      </c>
      <c r="AA150" s="13">
        <v>13168.55</v>
      </c>
      <c r="AB150" s="13">
        <v>11491.5</v>
      </c>
      <c r="AC150" s="74">
        <f>SUMPRODUCT((E150:AB152)*D150:D152)</f>
        <v>8895074.0200000014</v>
      </c>
    </row>
    <row r="151" spans="1:30" x14ac:dyDescent="0.3">
      <c r="A151" s="68"/>
      <c r="B151" s="70"/>
      <c r="C151" t="s">
        <v>37</v>
      </c>
      <c r="D151" s="11">
        <v>3</v>
      </c>
      <c r="E151" s="5">
        <v>9824.99</v>
      </c>
      <c r="F151" s="5">
        <v>9101.48</v>
      </c>
      <c r="G151" s="5">
        <v>8585.35</v>
      </c>
      <c r="H151" s="5">
        <v>8309.9599999999991</v>
      </c>
      <c r="I151" s="5">
        <v>8268.48</v>
      </c>
      <c r="J151" s="5">
        <v>8445.7199999999993</v>
      </c>
      <c r="K151" s="5">
        <v>8834.9</v>
      </c>
      <c r="L151" s="5">
        <v>8219.17</v>
      </c>
      <c r="M151" s="5">
        <v>9888.6200000000008</v>
      </c>
      <c r="N151" s="5">
        <v>11022.72</v>
      </c>
      <c r="O151" s="5">
        <v>11736.95</v>
      </c>
      <c r="P151" s="5">
        <v>12384.77</v>
      </c>
      <c r="Q151" s="5">
        <v>12385.16</v>
      </c>
      <c r="R151" s="5">
        <v>12411.75</v>
      </c>
      <c r="S151" s="5">
        <v>12576.66</v>
      </c>
      <c r="T151" s="5">
        <v>12653.93</v>
      </c>
      <c r="U151" s="5">
        <v>12591.14</v>
      </c>
      <c r="V151" s="5">
        <v>15032.18</v>
      </c>
      <c r="W151" s="5">
        <v>16795.330000000002</v>
      </c>
      <c r="X151" s="5">
        <v>17227.27</v>
      </c>
      <c r="Y151" s="5">
        <v>16381.94</v>
      </c>
      <c r="Z151" s="5">
        <v>15040.67</v>
      </c>
      <c r="AA151" s="5">
        <v>13399.48</v>
      </c>
      <c r="AB151" s="5">
        <v>11785.68</v>
      </c>
      <c r="AC151" s="71"/>
    </row>
    <row r="152" spans="1:30" ht="15.65" thickBot="1" x14ac:dyDescent="0.35">
      <c r="A152" s="72"/>
      <c r="B152" s="73"/>
      <c r="C152" s="14" t="s">
        <v>38</v>
      </c>
      <c r="D152" s="15">
        <v>6</v>
      </c>
      <c r="E152" s="16">
        <v>10392.15</v>
      </c>
      <c r="F152" s="16">
        <v>9670.5</v>
      </c>
      <c r="G152" s="16">
        <v>9177.27</v>
      </c>
      <c r="H152" s="16">
        <v>8894.89</v>
      </c>
      <c r="I152" s="16">
        <v>8760.1</v>
      </c>
      <c r="J152" s="16">
        <v>8731.23</v>
      </c>
      <c r="K152" s="16">
        <v>8841.2099999999991</v>
      </c>
      <c r="L152" s="16">
        <v>7806.51</v>
      </c>
      <c r="M152" s="16">
        <v>9209.9699999999993</v>
      </c>
      <c r="N152" s="16">
        <v>10191.01</v>
      </c>
      <c r="O152" s="16">
        <v>10836</v>
      </c>
      <c r="P152" s="16">
        <v>11223.96</v>
      </c>
      <c r="Q152" s="16">
        <v>11553.46</v>
      </c>
      <c r="R152" s="16">
        <v>11630.28</v>
      </c>
      <c r="S152" s="16">
        <v>11143.78</v>
      </c>
      <c r="T152" s="16">
        <v>11590.24</v>
      </c>
      <c r="U152" s="16">
        <v>11724.69</v>
      </c>
      <c r="V152" s="16">
        <v>14063.13</v>
      </c>
      <c r="W152" s="16">
        <v>15874.26</v>
      </c>
      <c r="X152" s="16">
        <v>16374.29</v>
      </c>
      <c r="Y152" s="16">
        <v>15665.92</v>
      </c>
      <c r="Z152" s="16">
        <v>14344.7</v>
      </c>
      <c r="AA152" s="16">
        <v>12836.33</v>
      </c>
      <c r="AB152" s="16">
        <v>11456.16</v>
      </c>
      <c r="AC152" s="75"/>
      <c r="AD152" s="17">
        <f>SUM(AC117:AC152)</f>
        <v>104156514.25999998</v>
      </c>
    </row>
    <row r="153" spans="1:30" x14ac:dyDescent="0.3">
      <c r="A153" s="68">
        <v>48580</v>
      </c>
      <c r="B153" s="70">
        <f>DAY(EOMONTH(A153,0))</f>
        <v>31</v>
      </c>
      <c r="C153" t="s">
        <v>36</v>
      </c>
      <c r="D153" s="6">
        <v>20</v>
      </c>
      <c r="E153" s="5">
        <v>10595.71</v>
      </c>
      <c r="F153" s="5">
        <v>9929.51</v>
      </c>
      <c r="G153" s="5">
        <v>9494.0400000000009</v>
      </c>
      <c r="H153" s="5">
        <v>9202.8799999999992</v>
      </c>
      <c r="I153" s="5">
        <v>9118.2000000000007</v>
      </c>
      <c r="J153" s="5">
        <v>9295.25</v>
      </c>
      <c r="K153" s="5">
        <v>9348.48</v>
      </c>
      <c r="L153" s="5">
        <v>8478.5</v>
      </c>
      <c r="M153" s="5">
        <v>10155.43</v>
      </c>
      <c r="N153" s="5">
        <v>11586.04</v>
      </c>
      <c r="O153" s="5">
        <v>12907.45</v>
      </c>
      <c r="P153" s="5">
        <v>13867.37</v>
      </c>
      <c r="Q153" s="5">
        <v>13512.2</v>
      </c>
      <c r="R153" s="5">
        <v>13511.36</v>
      </c>
      <c r="S153" s="5">
        <v>14382.66</v>
      </c>
      <c r="T153" s="5">
        <v>14521.83</v>
      </c>
      <c r="U153" s="5">
        <v>14279.39</v>
      </c>
      <c r="V153" s="5">
        <v>16371.87</v>
      </c>
      <c r="W153" s="5">
        <v>17257.150000000001</v>
      </c>
      <c r="X153" s="5">
        <v>18087.86</v>
      </c>
      <c r="Y153" s="5">
        <v>17258.77</v>
      </c>
      <c r="Z153" s="5">
        <v>15933.46</v>
      </c>
      <c r="AA153" s="5">
        <v>14063.34</v>
      </c>
      <c r="AB153" s="5">
        <v>12264.54</v>
      </c>
      <c r="AC153" s="71">
        <f>SUMPRODUCT((E153:AB155)*D153:D155)</f>
        <v>9197561.0200000033</v>
      </c>
    </row>
    <row r="154" spans="1:30" x14ac:dyDescent="0.3">
      <c r="A154" s="68"/>
      <c r="B154" s="70"/>
      <c r="C154" t="s">
        <v>37</v>
      </c>
      <c r="D154" s="6">
        <v>4</v>
      </c>
      <c r="E154" s="5">
        <v>10469.17</v>
      </c>
      <c r="F154" s="5">
        <v>9827.2800000000007</v>
      </c>
      <c r="G154" s="5">
        <v>9382.5499999999993</v>
      </c>
      <c r="H154" s="5">
        <v>9110.19</v>
      </c>
      <c r="I154" s="5">
        <v>9007.19</v>
      </c>
      <c r="J154" s="5">
        <v>9150.1200000000008</v>
      </c>
      <c r="K154" s="5">
        <v>9284.9599999999991</v>
      </c>
      <c r="L154" s="5">
        <v>8226.81</v>
      </c>
      <c r="M154" s="5">
        <v>9689.36</v>
      </c>
      <c r="N154" s="5">
        <v>10774.48</v>
      </c>
      <c r="O154" s="5">
        <v>11742.91</v>
      </c>
      <c r="P154" s="5">
        <v>12492.35</v>
      </c>
      <c r="Q154" s="5">
        <v>12478.08</v>
      </c>
      <c r="R154" s="5">
        <v>12453.36</v>
      </c>
      <c r="S154" s="5">
        <v>12623.02</v>
      </c>
      <c r="T154" s="5">
        <v>12784.31</v>
      </c>
      <c r="U154" s="5">
        <v>12772.55</v>
      </c>
      <c r="V154" s="5">
        <v>15017.58</v>
      </c>
      <c r="W154" s="5">
        <v>16060.61</v>
      </c>
      <c r="X154" s="5">
        <v>17075.39</v>
      </c>
      <c r="Y154" s="5">
        <v>16307.52</v>
      </c>
      <c r="Z154" s="5">
        <v>15131.31</v>
      </c>
      <c r="AA154" s="5">
        <v>13648.02</v>
      </c>
      <c r="AB154" s="5">
        <v>12202.18</v>
      </c>
      <c r="AC154" s="71"/>
    </row>
    <row r="155" spans="1:30" x14ac:dyDescent="0.3">
      <c r="A155" s="76"/>
      <c r="B155" s="77"/>
      <c r="C155" s="7" t="s">
        <v>38</v>
      </c>
      <c r="D155" s="8">
        <v>7</v>
      </c>
      <c r="E155" s="9">
        <v>10914.6</v>
      </c>
      <c r="F155" s="9">
        <v>10270.61</v>
      </c>
      <c r="G155" s="9">
        <v>9606.2099999999991</v>
      </c>
      <c r="H155" s="9">
        <v>9394.9500000000007</v>
      </c>
      <c r="I155" s="9">
        <v>9145.68</v>
      </c>
      <c r="J155" s="9">
        <v>9006.67</v>
      </c>
      <c r="K155" s="9">
        <v>8832.9</v>
      </c>
      <c r="L155" s="9">
        <v>7556.54</v>
      </c>
      <c r="M155" s="9">
        <v>8886.25</v>
      </c>
      <c r="N155" s="9">
        <v>9903.9</v>
      </c>
      <c r="O155" s="9">
        <v>10881.53</v>
      </c>
      <c r="P155" s="9">
        <v>11714.25</v>
      </c>
      <c r="Q155" s="9">
        <v>12088.79</v>
      </c>
      <c r="R155" s="9">
        <v>11955.64</v>
      </c>
      <c r="S155" s="9">
        <v>11666.44</v>
      </c>
      <c r="T155" s="9">
        <v>11613.19</v>
      </c>
      <c r="U155" s="9">
        <v>11548.56</v>
      </c>
      <c r="V155" s="9">
        <v>14048.61</v>
      </c>
      <c r="W155" s="9">
        <v>15348.28</v>
      </c>
      <c r="X155" s="9">
        <v>16535.18</v>
      </c>
      <c r="Y155" s="9">
        <v>15898.03</v>
      </c>
      <c r="Z155" s="9">
        <v>14794.85</v>
      </c>
      <c r="AA155" s="9">
        <v>13322.03</v>
      </c>
      <c r="AB155" s="9">
        <v>11959.17</v>
      </c>
      <c r="AC155" s="71"/>
    </row>
    <row r="156" spans="1:30" x14ac:dyDescent="0.3">
      <c r="A156" s="67">
        <v>48611</v>
      </c>
      <c r="B156" s="69">
        <f>DAY(EOMONTH(A156,0))</f>
        <v>28</v>
      </c>
      <c r="C156" s="3" t="s">
        <v>36</v>
      </c>
      <c r="D156" s="10">
        <v>20</v>
      </c>
      <c r="E156" s="5">
        <v>10407.620000000001</v>
      </c>
      <c r="F156" s="5">
        <v>9796.52</v>
      </c>
      <c r="G156" s="5">
        <v>9295.24</v>
      </c>
      <c r="H156" s="5">
        <v>9159.41</v>
      </c>
      <c r="I156" s="5">
        <v>9110.61</v>
      </c>
      <c r="J156" s="5">
        <v>9686.35</v>
      </c>
      <c r="K156" s="5">
        <v>10496.42</v>
      </c>
      <c r="L156" s="5">
        <v>9168.2099999999991</v>
      </c>
      <c r="M156" s="5">
        <v>10659.09</v>
      </c>
      <c r="N156" s="5">
        <v>11479.8</v>
      </c>
      <c r="O156" s="5">
        <v>12395.64</v>
      </c>
      <c r="P156" s="5">
        <v>13167.8</v>
      </c>
      <c r="Q156" s="5">
        <v>12623.51</v>
      </c>
      <c r="R156" s="5">
        <v>13058.99</v>
      </c>
      <c r="S156" s="5">
        <v>14069.53</v>
      </c>
      <c r="T156" s="5">
        <v>14309.89</v>
      </c>
      <c r="U156" s="5">
        <v>14274.27</v>
      </c>
      <c r="V156" s="5">
        <v>16542.919999999998</v>
      </c>
      <c r="W156" s="5">
        <v>17279.59</v>
      </c>
      <c r="X156" s="5">
        <v>18283.86</v>
      </c>
      <c r="Y156" s="5">
        <v>17313.97</v>
      </c>
      <c r="Z156" s="5">
        <v>15817.01</v>
      </c>
      <c r="AA156" s="5">
        <v>13218.09</v>
      </c>
      <c r="AB156" s="5">
        <v>11869.25</v>
      </c>
      <c r="AC156" s="71">
        <f>SUMPRODUCT((E156:AB158)*D156:D158)</f>
        <v>8356495.6399999978</v>
      </c>
    </row>
    <row r="157" spans="1:30" x14ac:dyDescent="0.3">
      <c r="A157" s="68"/>
      <c r="B157" s="70"/>
      <c r="C157" t="s">
        <v>37</v>
      </c>
      <c r="D157" s="11">
        <v>4</v>
      </c>
      <c r="E157" s="5">
        <v>10089.459999999999</v>
      </c>
      <c r="F157" s="5">
        <v>9419.9699999999993</v>
      </c>
      <c r="G157" s="5">
        <v>8869.2900000000009</v>
      </c>
      <c r="H157" s="5">
        <v>8650.92</v>
      </c>
      <c r="I157" s="5">
        <v>8638.76</v>
      </c>
      <c r="J157" s="5">
        <v>8844.98</v>
      </c>
      <c r="K157" s="5">
        <v>9186.3700000000008</v>
      </c>
      <c r="L157" s="5">
        <v>8086.69</v>
      </c>
      <c r="M157" s="5">
        <v>9836.94</v>
      </c>
      <c r="N157" s="5">
        <v>11123.9</v>
      </c>
      <c r="O157" s="5">
        <v>12103.99</v>
      </c>
      <c r="P157" s="5">
        <v>12912.04</v>
      </c>
      <c r="Q157" s="5">
        <v>12817.54</v>
      </c>
      <c r="R157" s="5">
        <v>12565.23</v>
      </c>
      <c r="S157" s="5">
        <v>12508.93</v>
      </c>
      <c r="T157" s="5">
        <v>12879.74</v>
      </c>
      <c r="U157" s="5">
        <v>13007.28</v>
      </c>
      <c r="V157" s="5">
        <v>15361.82</v>
      </c>
      <c r="W157" s="5">
        <v>16569.400000000001</v>
      </c>
      <c r="X157" s="5">
        <v>17613</v>
      </c>
      <c r="Y157" s="5">
        <v>16753.14</v>
      </c>
      <c r="Z157" s="5">
        <v>15426.63</v>
      </c>
      <c r="AA157" s="5">
        <v>13804.08</v>
      </c>
      <c r="AB157" s="5">
        <v>12173.73</v>
      </c>
      <c r="AC157" s="71"/>
    </row>
    <row r="158" spans="1:30" x14ac:dyDescent="0.3">
      <c r="A158" s="76"/>
      <c r="B158" s="77"/>
      <c r="C158" s="7" t="s">
        <v>38</v>
      </c>
      <c r="D158" s="12">
        <v>4</v>
      </c>
      <c r="E158" s="9">
        <v>10645.42</v>
      </c>
      <c r="F158" s="9">
        <v>9902.94</v>
      </c>
      <c r="G158" s="9">
        <v>9373.4</v>
      </c>
      <c r="H158" s="9">
        <v>9068.5400000000009</v>
      </c>
      <c r="I158" s="9">
        <v>8857.11</v>
      </c>
      <c r="J158" s="9">
        <v>8875.02</v>
      </c>
      <c r="K158" s="9">
        <v>8973.84</v>
      </c>
      <c r="L158" s="9">
        <v>7833.24</v>
      </c>
      <c r="M158" s="9">
        <v>9254.93</v>
      </c>
      <c r="N158" s="9">
        <v>10298.459999999999</v>
      </c>
      <c r="O158" s="9">
        <v>11228.63</v>
      </c>
      <c r="P158" s="9">
        <v>12056.97</v>
      </c>
      <c r="Q158" s="9">
        <v>12472.58</v>
      </c>
      <c r="R158" s="9">
        <v>12465.04</v>
      </c>
      <c r="S158" s="9">
        <v>12372.39</v>
      </c>
      <c r="T158" s="9">
        <v>12241.28</v>
      </c>
      <c r="U158" s="9">
        <v>12265.33</v>
      </c>
      <c r="V158" s="9">
        <v>14672</v>
      </c>
      <c r="W158" s="9">
        <v>15835.39</v>
      </c>
      <c r="X158" s="9">
        <v>17111.04</v>
      </c>
      <c r="Y158" s="9">
        <v>16654.849999999999</v>
      </c>
      <c r="Z158" s="9">
        <v>15630.46</v>
      </c>
      <c r="AA158" s="9">
        <v>13628.99</v>
      </c>
      <c r="AB158" s="9">
        <v>10744.28</v>
      </c>
      <c r="AC158" s="71"/>
    </row>
    <row r="159" spans="1:30" x14ac:dyDescent="0.3">
      <c r="A159" s="67">
        <v>48639</v>
      </c>
      <c r="B159" s="69">
        <f t="shared" ref="B159" si="47">DAY(EOMONTH(A159,0))</f>
        <v>31</v>
      </c>
      <c r="C159" s="3" t="s">
        <v>36</v>
      </c>
      <c r="D159" s="10">
        <v>22</v>
      </c>
      <c r="E159" s="5">
        <v>10002.57</v>
      </c>
      <c r="F159" s="5">
        <v>9363.11</v>
      </c>
      <c r="G159" s="5">
        <v>8997.68</v>
      </c>
      <c r="H159" s="5">
        <v>8813.89</v>
      </c>
      <c r="I159" s="5">
        <v>8843.82</v>
      </c>
      <c r="J159" s="5">
        <v>9462.86</v>
      </c>
      <c r="K159" s="5">
        <v>10275.5</v>
      </c>
      <c r="L159" s="5">
        <v>8999.36</v>
      </c>
      <c r="M159" s="5">
        <v>10400.11</v>
      </c>
      <c r="N159" s="5">
        <v>11387.5</v>
      </c>
      <c r="O159" s="5">
        <v>12197.25</v>
      </c>
      <c r="P159" s="5">
        <v>12891.64</v>
      </c>
      <c r="Q159" s="5">
        <v>12100.98</v>
      </c>
      <c r="R159" s="5">
        <v>12755.28</v>
      </c>
      <c r="S159" s="5">
        <v>13531.24</v>
      </c>
      <c r="T159" s="5">
        <v>13795.84</v>
      </c>
      <c r="U159" s="5">
        <v>13736.43</v>
      </c>
      <c r="V159" s="5">
        <v>15921.65</v>
      </c>
      <c r="W159" s="5">
        <v>16802.29</v>
      </c>
      <c r="X159" s="5">
        <v>17845.68</v>
      </c>
      <c r="Y159" s="5">
        <v>16830.48</v>
      </c>
      <c r="Z159" s="5">
        <v>15292.87</v>
      </c>
      <c r="AA159" s="5">
        <v>13141.33</v>
      </c>
      <c r="AB159" s="5">
        <v>11438.7</v>
      </c>
      <c r="AC159" s="71">
        <f>SUMPRODUCT((E159:AB161)*D159:D161)</f>
        <v>8972772.6299999952</v>
      </c>
    </row>
    <row r="160" spans="1:30" x14ac:dyDescent="0.3">
      <c r="A160" s="68"/>
      <c r="B160" s="70"/>
      <c r="C160" t="s">
        <v>37</v>
      </c>
      <c r="D160" s="11">
        <v>4</v>
      </c>
      <c r="E160" s="5">
        <v>9274.67</v>
      </c>
      <c r="F160" s="5">
        <v>9074.5</v>
      </c>
      <c r="G160" s="5">
        <v>8685.01</v>
      </c>
      <c r="H160" s="5">
        <v>8436.66</v>
      </c>
      <c r="I160" s="5">
        <v>8439</v>
      </c>
      <c r="J160" s="5">
        <v>8710.39</v>
      </c>
      <c r="K160" s="5">
        <v>9187.18</v>
      </c>
      <c r="L160" s="5">
        <v>8123.25</v>
      </c>
      <c r="M160" s="5">
        <v>9860.9599999999991</v>
      </c>
      <c r="N160" s="5">
        <v>10906.65</v>
      </c>
      <c r="O160" s="5">
        <v>11654.61</v>
      </c>
      <c r="P160" s="5">
        <v>12243.55</v>
      </c>
      <c r="Q160" s="5">
        <v>12081.41</v>
      </c>
      <c r="R160" s="5">
        <v>11869.63</v>
      </c>
      <c r="S160" s="5">
        <v>12067.22</v>
      </c>
      <c r="T160" s="5">
        <v>12171.05</v>
      </c>
      <c r="U160" s="5">
        <v>12352.16</v>
      </c>
      <c r="V160" s="5">
        <v>14822.84</v>
      </c>
      <c r="W160" s="5">
        <v>16165.23</v>
      </c>
      <c r="X160" s="5">
        <v>16952.57</v>
      </c>
      <c r="Y160" s="5">
        <v>16012.92</v>
      </c>
      <c r="Z160" s="5">
        <v>14846.52</v>
      </c>
      <c r="AA160" s="5">
        <v>13273.4</v>
      </c>
      <c r="AB160" s="5">
        <v>11720.61</v>
      </c>
      <c r="AC160" s="71"/>
    </row>
    <row r="161" spans="1:29" x14ac:dyDescent="0.3">
      <c r="A161" s="76"/>
      <c r="B161" s="77"/>
      <c r="C161" s="7" t="s">
        <v>38</v>
      </c>
      <c r="D161" s="12">
        <v>5</v>
      </c>
      <c r="E161" s="9">
        <v>10369.200000000001</v>
      </c>
      <c r="F161" s="9">
        <v>9688.4500000000007</v>
      </c>
      <c r="G161" s="9">
        <v>9209.1200000000008</v>
      </c>
      <c r="H161" s="9">
        <v>8935.19</v>
      </c>
      <c r="I161" s="9">
        <v>8829.61</v>
      </c>
      <c r="J161" s="9">
        <v>8861.66</v>
      </c>
      <c r="K161" s="9">
        <v>9000.23</v>
      </c>
      <c r="L161" s="9">
        <v>7854.4</v>
      </c>
      <c r="M161" s="9">
        <v>9184.1200000000008</v>
      </c>
      <c r="N161" s="9">
        <v>10110.11</v>
      </c>
      <c r="O161" s="9">
        <v>10751.91</v>
      </c>
      <c r="P161" s="9">
        <v>11249.61</v>
      </c>
      <c r="Q161" s="9">
        <v>11606.54</v>
      </c>
      <c r="R161" s="9">
        <v>11564.48</v>
      </c>
      <c r="S161" s="9">
        <v>11683.41</v>
      </c>
      <c r="T161" s="9">
        <v>11752.4</v>
      </c>
      <c r="U161" s="9">
        <v>11756.07</v>
      </c>
      <c r="V161" s="9">
        <v>14320.73</v>
      </c>
      <c r="W161" s="9">
        <v>15724.15</v>
      </c>
      <c r="X161" s="9">
        <v>16470.68</v>
      </c>
      <c r="Y161" s="9">
        <v>15868.85</v>
      </c>
      <c r="Z161" s="9">
        <v>14736.22</v>
      </c>
      <c r="AA161" s="9">
        <v>13075.79</v>
      </c>
      <c r="AB161" s="9">
        <v>11562.54</v>
      </c>
      <c r="AC161" s="71"/>
    </row>
    <row r="162" spans="1:29" x14ac:dyDescent="0.3">
      <c r="A162" s="67">
        <v>48670</v>
      </c>
      <c r="B162" s="69">
        <f t="shared" ref="B162" si="48">DAY(EOMONTH(A162,0))</f>
        <v>30</v>
      </c>
      <c r="C162" s="3" t="s">
        <v>36</v>
      </c>
      <c r="D162" s="10">
        <v>19</v>
      </c>
      <c r="E162" s="5">
        <v>10062.549999999999</v>
      </c>
      <c r="F162" s="5">
        <v>9521.94</v>
      </c>
      <c r="G162" s="5">
        <v>9160.59</v>
      </c>
      <c r="H162" s="5">
        <v>8906.86</v>
      </c>
      <c r="I162" s="5">
        <v>8913.15</v>
      </c>
      <c r="J162" s="5">
        <v>9606.56</v>
      </c>
      <c r="K162" s="5">
        <v>10300.59</v>
      </c>
      <c r="L162" s="5">
        <v>9040.82</v>
      </c>
      <c r="M162" s="5">
        <v>10534.17</v>
      </c>
      <c r="N162" s="5">
        <v>11494.41</v>
      </c>
      <c r="O162" s="5">
        <v>12266.93</v>
      </c>
      <c r="P162" s="5">
        <v>12859.33</v>
      </c>
      <c r="Q162" s="5">
        <v>12533.56</v>
      </c>
      <c r="R162" s="5">
        <v>12786.33</v>
      </c>
      <c r="S162" s="5">
        <v>13847.44</v>
      </c>
      <c r="T162" s="5">
        <v>14196.49</v>
      </c>
      <c r="U162" s="5">
        <v>14229.83</v>
      </c>
      <c r="V162" s="5">
        <v>16525.689999999999</v>
      </c>
      <c r="W162" s="5">
        <v>18080.560000000001</v>
      </c>
      <c r="X162" s="5">
        <v>18380.97</v>
      </c>
      <c r="Y162" s="5">
        <v>17330.259999999998</v>
      </c>
      <c r="Z162" s="5">
        <v>15758.46</v>
      </c>
      <c r="AA162" s="5">
        <v>13558.4</v>
      </c>
      <c r="AB162" s="5">
        <v>11715.16</v>
      </c>
      <c r="AC162" s="71">
        <f>SUMPRODUCT((E162:AB164)*D162:D164)</f>
        <v>9009210.370000001</v>
      </c>
    </row>
    <row r="163" spans="1:29" x14ac:dyDescent="0.3">
      <c r="A163" s="68"/>
      <c r="B163" s="70"/>
      <c r="C163" t="s">
        <v>37</v>
      </c>
      <c r="D163" s="11">
        <v>5</v>
      </c>
      <c r="E163" s="5">
        <v>10290.14</v>
      </c>
      <c r="F163" s="5">
        <v>9641.06</v>
      </c>
      <c r="G163" s="5">
        <v>9172.67</v>
      </c>
      <c r="H163" s="5">
        <v>8904.69</v>
      </c>
      <c r="I163" s="5">
        <v>8871.7000000000007</v>
      </c>
      <c r="J163" s="5">
        <v>9126.7800000000007</v>
      </c>
      <c r="K163" s="5">
        <v>9527.2199999999993</v>
      </c>
      <c r="L163" s="5">
        <v>8629.2000000000007</v>
      </c>
      <c r="M163" s="5">
        <v>10424.549999999999</v>
      </c>
      <c r="N163" s="5">
        <v>11708.04</v>
      </c>
      <c r="O163" s="5">
        <v>12839.49</v>
      </c>
      <c r="P163" s="5">
        <v>13698.3</v>
      </c>
      <c r="Q163" s="5">
        <v>13731.14</v>
      </c>
      <c r="R163" s="5">
        <v>13714.77</v>
      </c>
      <c r="S163" s="5">
        <v>13590.51</v>
      </c>
      <c r="T163" s="5">
        <v>13320.03</v>
      </c>
      <c r="U163" s="5">
        <v>13199.98</v>
      </c>
      <c r="V163" s="5">
        <v>15508.14</v>
      </c>
      <c r="W163" s="5">
        <v>17006.259999999998</v>
      </c>
      <c r="X163" s="5">
        <v>17621.88</v>
      </c>
      <c r="Y163" s="5">
        <v>17081.259999999998</v>
      </c>
      <c r="Z163" s="5">
        <v>15888.61</v>
      </c>
      <c r="AA163" s="5">
        <v>14337.54</v>
      </c>
      <c r="AB163" s="5">
        <v>12936.12</v>
      </c>
      <c r="AC163" s="71"/>
    </row>
    <row r="164" spans="1:29" x14ac:dyDescent="0.3">
      <c r="A164" s="76"/>
      <c r="B164" s="77"/>
      <c r="C164" s="7" t="s">
        <v>38</v>
      </c>
      <c r="D164" s="12">
        <v>6</v>
      </c>
      <c r="E164" s="9">
        <v>11304.59</v>
      </c>
      <c r="F164" s="9">
        <v>10485.56</v>
      </c>
      <c r="G164" s="9">
        <v>9872.5400000000009</v>
      </c>
      <c r="H164" s="9">
        <v>9474.5300000000007</v>
      </c>
      <c r="I164" s="9">
        <v>9274.52</v>
      </c>
      <c r="J164" s="9">
        <v>9295.61</v>
      </c>
      <c r="K164" s="9">
        <v>9598.02</v>
      </c>
      <c r="L164" s="9">
        <v>8184.31</v>
      </c>
      <c r="M164" s="9">
        <v>9551.0400000000009</v>
      </c>
      <c r="N164" s="9">
        <v>10593.83</v>
      </c>
      <c r="O164" s="9">
        <v>11502.47</v>
      </c>
      <c r="P164" s="9">
        <v>12415.12</v>
      </c>
      <c r="Q164" s="9">
        <v>12961.99</v>
      </c>
      <c r="R164" s="9">
        <v>12991.2</v>
      </c>
      <c r="S164" s="9">
        <v>13044.53</v>
      </c>
      <c r="T164" s="9">
        <v>13088.31</v>
      </c>
      <c r="U164" s="9">
        <v>12966.88</v>
      </c>
      <c r="V164" s="9">
        <v>15295.35</v>
      </c>
      <c r="W164" s="9">
        <v>17285.52</v>
      </c>
      <c r="X164" s="9">
        <v>18148.990000000002</v>
      </c>
      <c r="Y164" s="9">
        <v>17769.46</v>
      </c>
      <c r="Z164" s="9">
        <v>16269.7</v>
      </c>
      <c r="AA164" s="9">
        <v>13636.86</v>
      </c>
      <c r="AB164" s="9">
        <v>10780.74</v>
      </c>
      <c r="AC164" s="71"/>
    </row>
    <row r="165" spans="1:29" x14ac:dyDescent="0.3">
      <c r="A165" s="67">
        <v>48700</v>
      </c>
      <c r="B165" s="69">
        <f t="shared" ref="B165" si="49">DAY(EOMONTH(A165,0))</f>
        <v>31</v>
      </c>
      <c r="C165" s="3" t="s">
        <v>36</v>
      </c>
      <c r="D165" s="10">
        <v>21</v>
      </c>
      <c r="E165" s="5">
        <v>9495.3700000000008</v>
      </c>
      <c r="F165" s="5">
        <v>8894.73</v>
      </c>
      <c r="G165" s="5">
        <v>8549.75</v>
      </c>
      <c r="H165" s="5">
        <v>8296.7199999999993</v>
      </c>
      <c r="I165" s="5">
        <v>8223.09</v>
      </c>
      <c r="J165" s="5">
        <v>8925.32</v>
      </c>
      <c r="K165" s="5">
        <v>9882.94</v>
      </c>
      <c r="L165" s="5">
        <v>8739.65</v>
      </c>
      <c r="M165" s="5">
        <v>10163.959999999999</v>
      </c>
      <c r="N165" s="5">
        <v>11028.26</v>
      </c>
      <c r="O165" s="5">
        <v>11964.39</v>
      </c>
      <c r="P165" s="5">
        <v>12621.45</v>
      </c>
      <c r="Q165" s="5">
        <v>12146</v>
      </c>
      <c r="R165" s="5">
        <v>12108.7</v>
      </c>
      <c r="S165" s="5">
        <v>12878.84</v>
      </c>
      <c r="T165" s="5">
        <v>13220.53</v>
      </c>
      <c r="U165" s="5">
        <v>13261.7</v>
      </c>
      <c r="V165" s="5">
        <v>15794.19</v>
      </c>
      <c r="W165" s="5">
        <v>17366.89</v>
      </c>
      <c r="X165" s="5">
        <v>17736.939999999999</v>
      </c>
      <c r="Y165" s="5">
        <v>16672.37</v>
      </c>
      <c r="Z165" s="5">
        <v>15092.45</v>
      </c>
      <c r="AA165" s="5">
        <v>12813.79</v>
      </c>
      <c r="AB165" s="5">
        <v>11037.43</v>
      </c>
      <c r="AC165" s="71">
        <f>SUMPRODUCT((E165:AB167)*D165:D167)</f>
        <v>8784773.8800000008</v>
      </c>
    </row>
    <row r="166" spans="1:29" x14ac:dyDescent="0.3">
      <c r="A166" s="68"/>
      <c r="B166" s="70"/>
      <c r="C166" t="s">
        <v>37</v>
      </c>
      <c r="D166" s="11">
        <v>4</v>
      </c>
      <c r="E166" s="5">
        <v>9731.0400000000009</v>
      </c>
      <c r="F166" s="5">
        <v>9121.7800000000007</v>
      </c>
      <c r="G166" s="5">
        <v>8640.83</v>
      </c>
      <c r="H166" s="5">
        <v>8404</v>
      </c>
      <c r="I166" s="5">
        <v>8328.64</v>
      </c>
      <c r="J166" s="5">
        <v>8625.6299999999992</v>
      </c>
      <c r="K166" s="5">
        <v>9120.9</v>
      </c>
      <c r="L166" s="5">
        <v>8278.02</v>
      </c>
      <c r="M166" s="5">
        <v>9769.85</v>
      </c>
      <c r="N166" s="5">
        <v>10897.82</v>
      </c>
      <c r="O166" s="5">
        <v>11634.53</v>
      </c>
      <c r="P166" s="5">
        <v>12259.53</v>
      </c>
      <c r="Q166" s="5">
        <v>12122.64</v>
      </c>
      <c r="R166" s="5">
        <v>11809.17</v>
      </c>
      <c r="S166" s="5">
        <v>11802.16</v>
      </c>
      <c r="T166" s="5">
        <v>11906.54</v>
      </c>
      <c r="U166" s="5">
        <v>11981.21</v>
      </c>
      <c r="V166" s="5">
        <v>14736.16</v>
      </c>
      <c r="W166" s="5">
        <v>16505.009999999998</v>
      </c>
      <c r="X166" s="5">
        <v>16804.900000000001</v>
      </c>
      <c r="Y166" s="5">
        <v>15841.74</v>
      </c>
      <c r="Z166" s="5">
        <v>14644.02</v>
      </c>
      <c r="AA166" s="5">
        <v>12951.09</v>
      </c>
      <c r="AB166" s="5">
        <v>11448.24</v>
      </c>
      <c r="AC166" s="71"/>
    </row>
    <row r="167" spans="1:29" x14ac:dyDescent="0.3">
      <c r="A167" s="76"/>
      <c r="B167" s="77"/>
      <c r="C167" s="7" t="s">
        <v>38</v>
      </c>
      <c r="D167" s="12">
        <v>6</v>
      </c>
      <c r="E167" s="9">
        <v>10133.620000000001</v>
      </c>
      <c r="F167" s="9">
        <v>9295.66</v>
      </c>
      <c r="G167" s="9">
        <v>8832.2800000000007</v>
      </c>
      <c r="H167" s="9">
        <v>8540.41</v>
      </c>
      <c r="I167" s="9">
        <v>8374.14</v>
      </c>
      <c r="J167" s="9">
        <v>8467.83</v>
      </c>
      <c r="K167" s="9">
        <v>8774.06</v>
      </c>
      <c r="L167" s="9">
        <v>7622.59</v>
      </c>
      <c r="M167" s="9">
        <v>9063.0499999999993</v>
      </c>
      <c r="N167" s="9">
        <v>10202.39</v>
      </c>
      <c r="O167" s="9">
        <v>11109.58</v>
      </c>
      <c r="P167" s="9">
        <v>11766.8</v>
      </c>
      <c r="Q167" s="9">
        <v>11927.18</v>
      </c>
      <c r="R167" s="9">
        <v>11834.68</v>
      </c>
      <c r="S167" s="9">
        <v>11664.64</v>
      </c>
      <c r="T167" s="9">
        <v>12442.42</v>
      </c>
      <c r="U167" s="9">
        <v>12169.09</v>
      </c>
      <c r="V167" s="9">
        <v>14642</v>
      </c>
      <c r="W167" s="9">
        <v>15531.66</v>
      </c>
      <c r="X167" s="9">
        <v>16377.18</v>
      </c>
      <c r="Y167" s="9">
        <v>16486.189999999999</v>
      </c>
      <c r="Z167" s="9">
        <v>15125.51</v>
      </c>
      <c r="AA167" s="9">
        <v>13174.86</v>
      </c>
      <c r="AB167" s="9">
        <v>11456.75</v>
      </c>
      <c r="AC167" s="71"/>
    </row>
    <row r="168" spans="1:29" x14ac:dyDescent="0.3">
      <c r="A168" s="67">
        <v>48731</v>
      </c>
      <c r="B168" s="69">
        <f t="shared" ref="B168" si="50">DAY(EOMONTH(A168,0))</f>
        <v>30</v>
      </c>
      <c r="C168" s="3" t="s">
        <v>36</v>
      </c>
      <c r="D168" s="10">
        <v>20</v>
      </c>
      <c r="E168" s="5">
        <v>8789.9599999999991</v>
      </c>
      <c r="F168" s="5">
        <v>8220.2199999999993</v>
      </c>
      <c r="G168" s="5">
        <v>7960.9</v>
      </c>
      <c r="H168" s="5">
        <v>7814.54</v>
      </c>
      <c r="I168" s="5">
        <v>7851.94</v>
      </c>
      <c r="J168" s="5">
        <v>8538.2900000000009</v>
      </c>
      <c r="K168" s="5">
        <v>9369.11</v>
      </c>
      <c r="L168" s="5">
        <v>8152.82</v>
      </c>
      <c r="M168" s="5">
        <v>9521.5400000000009</v>
      </c>
      <c r="N168" s="5">
        <v>10469.51</v>
      </c>
      <c r="O168" s="5">
        <v>11130.28</v>
      </c>
      <c r="P168" s="5">
        <v>11653.01</v>
      </c>
      <c r="Q168" s="5">
        <v>11103.11</v>
      </c>
      <c r="R168" s="5">
        <v>11173.58</v>
      </c>
      <c r="S168" s="5">
        <v>11911.82</v>
      </c>
      <c r="T168" s="5">
        <v>12142.39</v>
      </c>
      <c r="U168" s="5">
        <v>12286.11</v>
      </c>
      <c r="V168" s="5">
        <v>14837.56</v>
      </c>
      <c r="W168" s="5">
        <v>16219.7</v>
      </c>
      <c r="X168" s="5">
        <v>16619.28</v>
      </c>
      <c r="Y168" s="5">
        <v>15500.2</v>
      </c>
      <c r="Z168" s="5">
        <v>13845.51</v>
      </c>
      <c r="AA168" s="5">
        <v>11750.93</v>
      </c>
      <c r="AB168" s="5">
        <v>10043.83</v>
      </c>
      <c r="AC168" s="71">
        <f>SUMPRODUCT((E168:AB170)*D168:D170)</f>
        <v>7942443.7199999988</v>
      </c>
    </row>
    <row r="169" spans="1:29" x14ac:dyDescent="0.3">
      <c r="A169" s="68"/>
      <c r="B169" s="70"/>
      <c r="C169" t="s">
        <v>37</v>
      </c>
      <c r="D169" s="11">
        <v>4</v>
      </c>
      <c r="E169" s="5">
        <v>9046.58</v>
      </c>
      <c r="F169" s="5">
        <v>8361.7000000000007</v>
      </c>
      <c r="G169" s="5">
        <v>7916.87</v>
      </c>
      <c r="H169" s="5">
        <v>7698.48</v>
      </c>
      <c r="I169" s="5">
        <v>7712.63</v>
      </c>
      <c r="J169" s="5">
        <v>7952.44</v>
      </c>
      <c r="K169" s="5">
        <v>8472</v>
      </c>
      <c r="L169" s="5">
        <v>7629.07</v>
      </c>
      <c r="M169" s="5">
        <v>9489.17</v>
      </c>
      <c r="N169" s="5">
        <v>10847.84</v>
      </c>
      <c r="O169" s="5">
        <v>11651.97</v>
      </c>
      <c r="P169" s="5">
        <v>12173.4</v>
      </c>
      <c r="Q169" s="5">
        <v>11928.61</v>
      </c>
      <c r="R169" s="5">
        <v>11827.4</v>
      </c>
      <c r="S169" s="5">
        <v>11867.07</v>
      </c>
      <c r="T169" s="5">
        <v>11701.9</v>
      </c>
      <c r="U169" s="5">
        <v>11683.62</v>
      </c>
      <c r="V169" s="5">
        <v>14297.19</v>
      </c>
      <c r="W169" s="5">
        <v>15985.66</v>
      </c>
      <c r="X169" s="5">
        <v>16380.24</v>
      </c>
      <c r="Y169" s="5">
        <v>15306.84</v>
      </c>
      <c r="Z169" s="5">
        <v>13971.37</v>
      </c>
      <c r="AA169" s="5">
        <v>12307.97</v>
      </c>
      <c r="AB169" s="5">
        <v>10756.39</v>
      </c>
      <c r="AC169" s="71"/>
    </row>
    <row r="170" spans="1:29" x14ac:dyDescent="0.3">
      <c r="A170" s="76"/>
      <c r="B170" s="77"/>
      <c r="C170" s="7" t="s">
        <v>38</v>
      </c>
      <c r="D170" s="12">
        <v>6</v>
      </c>
      <c r="E170" s="9">
        <v>9146.94</v>
      </c>
      <c r="F170" s="9">
        <v>8554.6200000000008</v>
      </c>
      <c r="G170" s="9">
        <v>8134.01</v>
      </c>
      <c r="H170" s="9">
        <v>7907.84</v>
      </c>
      <c r="I170" s="9">
        <v>7774.82</v>
      </c>
      <c r="J170" s="9">
        <v>7844.45</v>
      </c>
      <c r="K170" s="9">
        <v>8125.08</v>
      </c>
      <c r="L170" s="9">
        <v>7066.97</v>
      </c>
      <c r="M170" s="9">
        <v>8742.08</v>
      </c>
      <c r="N170" s="9">
        <v>9773.5</v>
      </c>
      <c r="O170" s="9">
        <v>10673.75</v>
      </c>
      <c r="P170" s="9">
        <v>11301.53</v>
      </c>
      <c r="Q170" s="9">
        <v>11689.79</v>
      </c>
      <c r="R170" s="9">
        <v>11610</v>
      </c>
      <c r="S170" s="9">
        <v>11388.34</v>
      </c>
      <c r="T170" s="9">
        <v>11021.11</v>
      </c>
      <c r="U170" s="9">
        <v>10806.86</v>
      </c>
      <c r="V170" s="9">
        <v>13698.07</v>
      </c>
      <c r="W170" s="9">
        <v>15169.42</v>
      </c>
      <c r="X170" s="9">
        <v>15483.79</v>
      </c>
      <c r="Y170" s="9">
        <v>14849.86</v>
      </c>
      <c r="Z170" s="9">
        <v>13548.44</v>
      </c>
      <c r="AA170" s="9">
        <v>11681.85</v>
      </c>
      <c r="AB170" s="9">
        <v>10082.76</v>
      </c>
      <c r="AC170" s="71"/>
    </row>
    <row r="171" spans="1:29" x14ac:dyDescent="0.3">
      <c r="A171" s="67">
        <v>48761</v>
      </c>
      <c r="B171" s="69">
        <f t="shared" ref="B171" si="51">DAY(EOMONTH(A171,0))</f>
        <v>31</v>
      </c>
      <c r="C171" s="3" t="s">
        <v>36</v>
      </c>
      <c r="D171" s="10">
        <v>19</v>
      </c>
      <c r="E171" s="5">
        <v>9138.1299999999992</v>
      </c>
      <c r="F171" s="5">
        <v>8541.5499999999993</v>
      </c>
      <c r="G171" s="5">
        <v>8227.33</v>
      </c>
      <c r="H171" s="5">
        <v>8042.12</v>
      </c>
      <c r="I171" s="5">
        <v>8070.09</v>
      </c>
      <c r="J171" s="5">
        <v>8756.1</v>
      </c>
      <c r="K171" s="5">
        <v>9544.2900000000009</v>
      </c>
      <c r="L171" s="5">
        <v>8438.57</v>
      </c>
      <c r="M171" s="5">
        <v>10015.39</v>
      </c>
      <c r="N171" s="5">
        <v>11005.5</v>
      </c>
      <c r="O171" s="5">
        <v>11822.9</v>
      </c>
      <c r="P171" s="5">
        <v>12617.86</v>
      </c>
      <c r="Q171" s="5">
        <v>12289.02</v>
      </c>
      <c r="R171" s="5">
        <v>12275.8</v>
      </c>
      <c r="S171" s="5">
        <v>13040.82</v>
      </c>
      <c r="T171" s="5">
        <v>13443.79</v>
      </c>
      <c r="U171" s="5">
        <v>13456.55</v>
      </c>
      <c r="V171" s="5">
        <v>15965</v>
      </c>
      <c r="W171" s="5">
        <v>17106.439999999999</v>
      </c>
      <c r="X171" s="5">
        <v>17672.97</v>
      </c>
      <c r="Y171" s="5">
        <v>16560.86</v>
      </c>
      <c r="Z171" s="5">
        <v>14913.93</v>
      </c>
      <c r="AA171" s="5">
        <v>12670.26</v>
      </c>
      <c r="AB171" s="5">
        <v>10802.69</v>
      </c>
      <c r="AC171" s="71">
        <f t="shared" ref="AC171" si="52">SUMPRODUCT((E171:AB173)*D171:D173)</f>
        <v>8548832.8399999999</v>
      </c>
    </row>
    <row r="172" spans="1:29" x14ac:dyDescent="0.3">
      <c r="A172" s="68"/>
      <c r="B172" s="70"/>
      <c r="C172" t="s">
        <v>37</v>
      </c>
      <c r="D172" s="11">
        <v>5</v>
      </c>
      <c r="E172" s="5">
        <v>9340.75</v>
      </c>
      <c r="F172" s="5">
        <v>8679.66</v>
      </c>
      <c r="G172" s="5">
        <v>8275.76</v>
      </c>
      <c r="H172" s="5">
        <v>8093.98</v>
      </c>
      <c r="I172" s="5">
        <v>8020.84</v>
      </c>
      <c r="J172" s="5">
        <v>8284.36</v>
      </c>
      <c r="K172" s="5">
        <v>8705.2800000000007</v>
      </c>
      <c r="L172" s="5">
        <v>7967.38</v>
      </c>
      <c r="M172" s="5">
        <v>9649.91</v>
      </c>
      <c r="N172" s="5">
        <v>10777.68</v>
      </c>
      <c r="O172" s="5">
        <v>11515.35</v>
      </c>
      <c r="P172" s="5">
        <v>12129.25</v>
      </c>
      <c r="Q172" s="5">
        <v>11869.67</v>
      </c>
      <c r="R172" s="5">
        <v>11741.17</v>
      </c>
      <c r="S172" s="5">
        <v>11891.9</v>
      </c>
      <c r="T172" s="5">
        <v>12153.77</v>
      </c>
      <c r="U172" s="5">
        <v>12052.64</v>
      </c>
      <c r="V172" s="5">
        <v>14530.29</v>
      </c>
      <c r="W172" s="5">
        <v>16125.81</v>
      </c>
      <c r="X172" s="5">
        <v>16858.59</v>
      </c>
      <c r="Y172" s="5">
        <v>15738.67</v>
      </c>
      <c r="Z172" s="5">
        <v>14239.5</v>
      </c>
      <c r="AA172" s="5">
        <v>12457.65</v>
      </c>
      <c r="AB172" s="5">
        <v>10741.68</v>
      </c>
      <c r="AC172" s="71"/>
    </row>
    <row r="173" spans="1:29" x14ac:dyDescent="0.3">
      <c r="A173" s="76"/>
      <c r="B173" s="77"/>
      <c r="C173" s="7" t="s">
        <v>38</v>
      </c>
      <c r="D173" s="12">
        <v>7</v>
      </c>
      <c r="E173" s="9">
        <v>9336.69</v>
      </c>
      <c r="F173" s="9">
        <v>8681.1299999999992</v>
      </c>
      <c r="G173" s="9">
        <v>8245.2800000000007</v>
      </c>
      <c r="H173" s="9">
        <v>7989.31</v>
      </c>
      <c r="I173" s="9">
        <v>7867.97</v>
      </c>
      <c r="J173" s="9">
        <v>8003.18</v>
      </c>
      <c r="K173" s="9">
        <v>8245.6</v>
      </c>
      <c r="L173" s="9">
        <v>7220.28</v>
      </c>
      <c r="M173" s="9">
        <v>8665.0300000000007</v>
      </c>
      <c r="N173" s="9">
        <v>9751</v>
      </c>
      <c r="O173" s="9">
        <v>10417.799999999999</v>
      </c>
      <c r="P173" s="9">
        <v>10991.16</v>
      </c>
      <c r="Q173" s="9">
        <v>11222.69</v>
      </c>
      <c r="R173" s="9">
        <v>11198.72</v>
      </c>
      <c r="S173" s="9">
        <v>11192.04</v>
      </c>
      <c r="T173" s="9">
        <v>10922.4</v>
      </c>
      <c r="U173" s="9">
        <v>10782.11</v>
      </c>
      <c r="V173" s="9">
        <v>13136.99</v>
      </c>
      <c r="W173" s="9">
        <v>14704.32</v>
      </c>
      <c r="X173" s="9">
        <v>15636.51</v>
      </c>
      <c r="Y173" s="9">
        <v>14920.28</v>
      </c>
      <c r="Z173" s="9">
        <v>13681.74</v>
      </c>
      <c r="AA173" s="9">
        <v>11908.17</v>
      </c>
      <c r="AB173" s="9">
        <v>10377.299999999999</v>
      </c>
      <c r="AC173" s="71"/>
    </row>
    <row r="174" spans="1:29" x14ac:dyDescent="0.3">
      <c r="A174" s="67">
        <v>48792</v>
      </c>
      <c r="B174" s="69">
        <f t="shared" ref="B174" si="53">DAY(EOMONTH(A174,0))</f>
        <v>31</v>
      </c>
      <c r="C174" s="3" t="s">
        <v>36</v>
      </c>
      <c r="D174" s="10">
        <v>22</v>
      </c>
      <c r="E174" s="5">
        <v>9585</v>
      </c>
      <c r="F174" s="5">
        <v>9036.6</v>
      </c>
      <c r="G174" s="5">
        <v>8697.59</v>
      </c>
      <c r="H174" s="5">
        <v>8482.7000000000007</v>
      </c>
      <c r="I174" s="5">
        <v>8511.07</v>
      </c>
      <c r="J174" s="5">
        <v>8880.83</v>
      </c>
      <c r="K174" s="5">
        <v>9903.25</v>
      </c>
      <c r="L174" s="5">
        <v>8818.76</v>
      </c>
      <c r="M174" s="5">
        <v>10233.280000000001</v>
      </c>
      <c r="N174" s="5">
        <v>11271.73</v>
      </c>
      <c r="O174" s="5">
        <v>12274.57</v>
      </c>
      <c r="P174" s="5">
        <v>13015.5</v>
      </c>
      <c r="Q174" s="5">
        <v>12846.27</v>
      </c>
      <c r="R174" s="5">
        <v>13172.95</v>
      </c>
      <c r="S174" s="5">
        <v>14192.47</v>
      </c>
      <c r="T174" s="5">
        <v>14807.49</v>
      </c>
      <c r="U174" s="5">
        <v>14798.79</v>
      </c>
      <c r="V174" s="5">
        <v>16711.080000000002</v>
      </c>
      <c r="W174" s="5">
        <v>17897</v>
      </c>
      <c r="X174" s="5">
        <v>18790.84</v>
      </c>
      <c r="Y174" s="5">
        <v>17701.98</v>
      </c>
      <c r="Z174" s="5">
        <v>15992.9</v>
      </c>
      <c r="AA174" s="5">
        <v>13638.87</v>
      </c>
      <c r="AB174" s="5">
        <v>11639.99</v>
      </c>
      <c r="AC174" s="71">
        <f t="shared" ref="AC174" si="54">SUMPRODUCT((E174:AB176)*D174:D176)</f>
        <v>9231504.4199999981</v>
      </c>
    </row>
    <row r="175" spans="1:29" x14ac:dyDescent="0.3">
      <c r="A175" s="68"/>
      <c r="B175" s="70"/>
      <c r="C175" t="s">
        <v>37</v>
      </c>
      <c r="D175" s="11">
        <v>4</v>
      </c>
      <c r="E175" s="5">
        <v>10619.51</v>
      </c>
      <c r="F175" s="5">
        <v>9896.3799999999992</v>
      </c>
      <c r="G175" s="5">
        <v>8944.69</v>
      </c>
      <c r="H175" s="5">
        <v>9311.1200000000008</v>
      </c>
      <c r="I175" s="5">
        <v>8997.7800000000007</v>
      </c>
      <c r="J175" s="5">
        <v>9154.6200000000008</v>
      </c>
      <c r="K175" s="5">
        <v>9523.49</v>
      </c>
      <c r="L175" s="5">
        <v>9216.52</v>
      </c>
      <c r="M175" s="5">
        <v>10854.19</v>
      </c>
      <c r="N175" s="5">
        <v>12253.8</v>
      </c>
      <c r="O175" s="5">
        <v>13260.63</v>
      </c>
      <c r="P175" s="5">
        <v>14070.45</v>
      </c>
      <c r="Q175" s="5">
        <v>13932.18</v>
      </c>
      <c r="R175" s="5">
        <v>13889.22</v>
      </c>
      <c r="S175" s="5">
        <v>14080.9</v>
      </c>
      <c r="T175" s="5">
        <v>13810.91</v>
      </c>
      <c r="U175" s="5">
        <v>13834.38</v>
      </c>
      <c r="V175" s="5">
        <v>16083.75</v>
      </c>
      <c r="W175" s="5">
        <v>17744.3</v>
      </c>
      <c r="X175" s="5">
        <v>18411.68</v>
      </c>
      <c r="Y175" s="5">
        <v>17304.63</v>
      </c>
      <c r="Z175" s="5">
        <v>15933.72</v>
      </c>
      <c r="AA175" s="5">
        <v>14087.18</v>
      </c>
      <c r="AB175" s="5">
        <v>12534.12</v>
      </c>
      <c r="AC175" s="71"/>
    </row>
    <row r="176" spans="1:29" x14ac:dyDescent="0.3">
      <c r="A176" s="76"/>
      <c r="B176" s="77"/>
      <c r="C176" s="7" t="s">
        <v>38</v>
      </c>
      <c r="D176" s="12">
        <v>5</v>
      </c>
      <c r="E176" s="9">
        <v>10394.59</v>
      </c>
      <c r="F176" s="9">
        <v>9655.67</v>
      </c>
      <c r="G176" s="9">
        <v>9182.52</v>
      </c>
      <c r="H176" s="9">
        <v>8892.7199999999993</v>
      </c>
      <c r="I176" s="9">
        <v>8571.52</v>
      </c>
      <c r="J176" s="9">
        <v>8739.9599999999991</v>
      </c>
      <c r="K176" s="9">
        <v>9139.2900000000009</v>
      </c>
      <c r="L176" s="9">
        <v>8000.54</v>
      </c>
      <c r="M176" s="9">
        <v>9446.4599999999991</v>
      </c>
      <c r="N176" s="9">
        <v>10316.780000000001</v>
      </c>
      <c r="O176" s="9">
        <v>11117.54</v>
      </c>
      <c r="P176" s="9">
        <v>12230.77</v>
      </c>
      <c r="Q176" s="9">
        <v>12110.49</v>
      </c>
      <c r="R176" s="9">
        <v>11815.68</v>
      </c>
      <c r="S176" s="9">
        <v>11849.66</v>
      </c>
      <c r="T176" s="9">
        <v>11534.46</v>
      </c>
      <c r="U176" s="9">
        <v>11632.73</v>
      </c>
      <c r="V176" s="9">
        <v>14334.5</v>
      </c>
      <c r="W176" s="9">
        <v>16171.8</v>
      </c>
      <c r="X176" s="9">
        <v>16618.37</v>
      </c>
      <c r="Y176" s="9">
        <v>15790.46</v>
      </c>
      <c r="Z176" s="9">
        <v>14692</v>
      </c>
      <c r="AA176" s="9">
        <v>12757.26</v>
      </c>
      <c r="AB176" s="9">
        <v>11138.35</v>
      </c>
      <c r="AC176" s="71"/>
    </row>
    <row r="177" spans="1:30" x14ac:dyDescent="0.3">
      <c r="A177" s="67">
        <v>48823</v>
      </c>
      <c r="B177" s="69">
        <f t="shared" ref="B177" si="55">DAY(EOMONTH(A177,0))</f>
        <v>30</v>
      </c>
      <c r="C177" s="3" t="s">
        <v>36</v>
      </c>
      <c r="D177" s="10">
        <v>22</v>
      </c>
      <c r="E177" s="5">
        <v>10264.73</v>
      </c>
      <c r="F177" s="5">
        <v>9579.8799999999992</v>
      </c>
      <c r="G177" s="5">
        <v>9289.68</v>
      </c>
      <c r="H177" s="5">
        <v>9027.73</v>
      </c>
      <c r="I177" s="5">
        <v>8889.6200000000008</v>
      </c>
      <c r="J177" s="5">
        <v>9339.23</v>
      </c>
      <c r="K177" s="5">
        <v>10453.709999999999</v>
      </c>
      <c r="L177" s="5">
        <v>9275.64</v>
      </c>
      <c r="M177" s="5">
        <v>10897.57</v>
      </c>
      <c r="N177" s="5">
        <v>11975.14</v>
      </c>
      <c r="O177" s="5">
        <v>12968.02</v>
      </c>
      <c r="P177" s="5">
        <v>13654.05</v>
      </c>
      <c r="Q177" s="5">
        <v>13062.1</v>
      </c>
      <c r="R177" s="5">
        <v>13252.42</v>
      </c>
      <c r="S177" s="5">
        <v>14130.59</v>
      </c>
      <c r="T177" s="5">
        <v>14471.55</v>
      </c>
      <c r="U177" s="5">
        <v>14587.02</v>
      </c>
      <c r="V177" s="5">
        <v>17003.59</v>
      </c>
      <c r="W177" s="5">
        <v>18536.599999999999</v>
      </c>
      <c r="X177" s="5">
        <v>18987.45</v>
      </c>
      <c r="Y177" s="5">
        <v>17635.18</v>
      </c>
      <c r="Z177" s="5">
        <v>16084.79</v>
      </c>
      <c r="AA177" s="5">
        <v>13890.93</v>
      </c>
      <c r="AB177" s="5">
        <v>11950.83</v>
      </c>
      <c r="AC177" s="71">
        <f t="shared" ref="AC177" si="56">SUMPRODUCT((E177:AB179)*D177:D179)</f>
        <v>9147575.7400000021</v>
      </c>
    </row>
    <row r="178" spans="1:30" x14ac:dyDescent="0.3">
      <c r="A178" s="68"/>
      <c r="B178" s="70"/>
      <c r="C178" t="s">
        <v>37</v>
      </c>
      <c r="D178" s="11">
        <v>4</v>
      </c>
      <c r="E178" s="5">
        <v>10577.92</v>
      </c>
      <c r="F178" s="5">
        <v>9866.2999999999993</v>
      </c>
      <c r="G178" s="5">
        <v>9356.89</v>
      </c>
      <c r="H178" s="5">
        <v>9078.85</v>
      </c>
      <c r="I178" s="5">
        <v>8970.9599999999991</v>
      </c>
      <c r="J178" s="5">
        <v>9154.81</v>
      </c>
      <c r="K178" s="5">
        <v>9727.83</v>
      </c>
      <c r="L178" s="5">
        <v>9150.92</v>
      </c>
      <c r="M178" s="5">
        <v>10960.14</v>
      </c>
      <c r="N178" s="5">
        <v>12448.95</v>
      </c>
      <c r="O178" s="5">
        <v>13721.04</v>
      </c>
      <c r="P178" s="5">
        <v>14685</v>
      </c>
      <c r="Q178" s="5">
        <v>13877.94</v>
      </c>
      <c r="R178" s="5">
        <v>14691.05</v>
      </c>
      <c r="S178" s="5">
        <v>15058.8</v>
      </c>
      <c r="T178" s="5">
        <v>15099.02</v>
      </c>
      <c r="U178" s="5">
        <v>14390.61</v>
      </c>
      <c r="V178" s="5">
        <v>16939.13</v>
      </c>
      <c r="W178" s="5">
        <v>18747.05</v>
      </c>
      <c r="X178" s="5">
        <v>18916.09</v>
      </c>
      <c r="Y178" s="5">
        <v>17812.3</v>
      </c>
      <c r="Z178" s="5">
        <v>16557.55</v>
      </c>
      <c r="AA178" s="5">
        <v>14744.34</v>
      </c>
      <c r="AB178" s="5">
        <v>13086.95</v>
      </c>
      <c r="AC178" s="71"/>
    </row>
    <row r="179" spans="1:30" x14ac:dyDescent="0.3">
      <c r="A179" s="76"/>
      <c r="B179" s="77"/>
      <c r="C179" s="7" t="s">
        <v>38</v>
      </c>
      <c r="D179" s="12">
        <v>4</v>
      </c>
      <c r="E179" s="9">
        <v>11604.81</v>
      </c>
      <c r="F179" s="9">
        <v>10811.15</v>
      </c>
      <c r="G179" s="9">
        <v>10217.299999999999</v>
      </c>
      <c r="H179" s="9">
        <v>9849.06</v>
      </c>
      <c r="I179" s="9">
        <v>9533.9699999999993</v>
      </c>
      <c r="J179" s="9">
        <v>9440.35</v>
      </c>
      <c r="K179" s="9">
        <v>9016.2999999999993</v>
      </c>
      <c r="L179" s="9">
        <v>7524.04</v>
      </c>
      <c r="M179" s="9">
        <v>8937.18</v>
      </c>
      <c r="N179" s="9">
        <v>10129.64</v>
      </c>
      <c r="O179" s="9">
        <v>10777.15</v>
      </c>
      <c r="P179" s="9">
        <v>11335.4</v>
      </c>
      <c r="Q179" s="9">
        <v>11605.3</v>
      </c>
      <c r="R179" s="9">
        <v>11021.59</v>
      </c>
      <c r="S179" s="9">
        <v>9798.58</v>
      </c>
      <c r="T179" s="9">
        <v>8963.84</v>
      </c>
      <c r="U179" s="9">
        <v>9014.48</v>
      </c>
      <c r="V179" s="9">
        <v>12668.06</v>
      </c>
      <c r="W179" s="9">
        <v>14397.97</v>
      </c>
      <c r="X179" s="9">
        <v>16348.36</v>
      </c>
      <c r="Y179" s="9">
        <v>15876.24</v>
      </c>
      <c r="Z179" s="9">
        <v>14952.19</v>
      </c>
      <c r="AA179" s="9">
        <v>13193.3</v>
      </c>
      <c r="AB179" s="9">
        <v>11612.96</v>
      </c>
      <c r="AC179" s="71"/>
    </row>
    <row r="180" spans="1:30" x14ac:dyDescent="0.3">
      <c r="A180" s="67">
        <v>48853</v>
      </c>
      <c r="B180" s="69">
        <f t="shared" ref="B180" si="57">DAY(EOMONTH(A180,0))</f>
        <v>31</v>
      </c>
      <c r="C180" s="3" t="s">
        <v>36</v>
      </c>
      <c r="D180" s="10">
        <v>20</v>
      </c>
      <c r="E180" s="5">
        <v>10536.1</v>
      </c>
      <c r="F180" s="5">
        <v>9935.2000000000007</v>
      </c>
      <c r="G180" s="5">
        <v>9548.09</v>
      </c>
      <c r="H180" s="5">
        <v>9262</v>
      </c>
      <c r="I180" s="5">
        <v>9143.75</v>
      </c>
      <c r="J180" s="5">
        <v>9547.82</v>
      </c>
      <c r="K180" s="5">
        <v>10374.93</v>
      </c>
      <c r="L180" s="5">
        <v>9466.81</v>
      </c>
      <c r="M180" s="5">
        <v>11186.66</v>
      </c>
      <c r="N180" s="5">
        <v>12448.51</v>
      </c>
      <c r="O180" s="5">
        <v>13616.92</v>
      </c>
      <c r="P180" s="5">
        <v>14628.87</v>
      </c>
      <c r="Q180" s="5">
        <v>14381.96</v>
      </c>
      <c r="R180" s="5">
        <v>14636.59</v>
      </c>
      <c r="S180" s="5">
        <v>15205.53</v>
      </c>
      <c r="T180" s="5">
        <v>15590.32</v>
      </c>
      <c r="U180" s="5">
        <v>15493.78</v>
      </c>
      <c r="V180" s="5">
        <v>17758.009999999998</v>
      </c>
      <c r="W180" s="5">
        <v>19282.490000000002</v>
      </c>
      <c r="X180" s="5">
        <v>19258.939999999999</v>
      </c>
      <c r="Y180" s="5">
        <v>17885.13</v>
      </c>
      <c r="Z180" s="5">
        <v>16207.87</v>
      </c>
      <c r="AA180" s="5">
        <v>14074.38</v>
      </c>
      <c r="AB180" s="5">
        <v>12376.47</v>
      </c>
      <c r="AC180" s="71">
        <f t="shared" ref="AC180" si="58">SUMPRODUCT((E180:AB182)*D180:D182)</f>
        <v>9640812.0699999928</v>
      </c>
    </row>
    <row r="181" spans="1:30" x14ac:dyDescent="0.3">
      <c r="A181" s="68"/>
      <c r="B181" s="70"/>
      <c r="C181" t="s">
        <v>37</v>
      </c>
      <c r="D181" s="11">
        <v>5</v>
      </c>
      <c r="E181" s="5">
        <v>11255.92</v>
      </c>
      <c r="F181" s="5">
        <v>10531.77</v>
      </c>
      <c r="G181" s="5">
        <v>10036.26</v>
      </c>
      <c r="H181" s="5">
        <v>9698.91</v>
      </c>
      <c r="I181" s="5">
        <v>9622.42</v>
      </c>
      <c r="J181" s="5">
        <v>9691.52</v>
      </c>
      <c r="K181" s="5">
        <v>10254.16</v>
      </c>
      <c r="L181" s="5">
        <v>9601.4</v>
      </c>
      <c r="M181" s="5">
        <v>11647.5</v>
      </c>
      <c r="N181" s="5">
        <v>13147.86</v>
      </c>
      <c r="O181" s="5">
        <v>14372.62</v>
      </c>
      <c r="P181" s="5">
        <v>14590.71</v>
      </c>
      <c r="Q181" s="5">
        <v>13851.94</v>
      </c>
      <c r="R181" s="5">
        <v>12931.39</v>
      </c>
      <c r="S181" s="5">
        <v>13092.06</v>
      </c>
      <c r="T181" s="5">
        <v>12985.21</v>
      </c>
      <c r="U181" s="5">
        <v>12460.42</v>
      </c>
      <c r="V181" s="5">
        <v>15094.4</v>
      </c>
      <c r="W181" s="5">
        <v>17042.82</v>
      </c>
      <c r="X181" s="5">
        <v>17180.16</v>
      </c>
      <c r="Y181" s="5">
        <v>16111.35</v>
      </c>
      <c r="Z181" s="5">
        <v>14838.23</v>
      </c>
      <c r="AA181" s="5">
        <v>13237.87</v>
      </c>
      <c r="AB181" s="5">
        <v>11764.57</v>
      </c>
      <c r="AC181" s="71"/>
    </row>
    <row r="182" spans="1:30" x14ac:dyDescent="0.3">
      <c r="A182" s="76"/>
      <c r="B182" s="77"/>
      <c r="C182" s="7" t="s">
        <v>38</v>
      </c>
      <c r="D182" s="12">
        <v>6</v>
      </c>
      <c r="E182" s="9">
        <v>10409.799999999999</v>
      </c>
      <c r="F182" s="9">
        <v>9750.7999999999993</v>
      </c>
      <c r="G182" s="9">
        <v>9288.2000000000007</v>
      </c>
      <c r="H182" s="9">
        <v>8949.6</v>
      </c>
      <c r="I182" s="9">
        <v>8753.74</v>
      </c>
      <c r="J182" s="9">
        <v>8357.8700000000008</v>
      </c>
      <c r="K182" s="9">
        <v>9014.94</v>
      </c>
      <c r="L182" s="9">
        <v>8016.32</v>
      </c>
      <c r="M182" s="9">
        <v>9325.68</v>
      </c>
      <c r="N182" s="9">
        <v>10368.75</v>
      </c>
      <c r="O182" s="9">
        <v>11363.21</v>
      </c>
      <c r="P182" s="9">
        <v>12151.45</v>
      </c>
      <c r="Q182" s="9">
        <v>12451.78</v>
      </c>
      <c r="R182" s="9">
        <v>12507.96</v>
      </c>
      <c r="S182" s="9">
        <v>12390.17</v>
      </c>
      <c r="T182" s="9">
        <v>12338.72</v>
      </c>
      <c r="U182" s="9">
        <v>12319.57</v>
      </c>
      <c r="V182" s="9">
        <v>14837.09</v>
      </c>
      <c r="W182" s="9">
        <v>16889.490000000002</v>
      </c>
      <c r="X182" s="9">
        <v>16264.55</v>
      </c>
      <c r="Y182" s="9">
        <v>15728.28</v>
      </c>
      <c r="Z182" s="9">
        <v>13996.23</v>
      </c>
      <c r="AA182" s="9">
        <v>12962.97</v>
      </c>
      <c r="AB182" s="9">
        <v>11339.85</v>
      </c>
      <c r="AC182" s="71"/>
    </row>
    <row r="183" spans="1:30" x14ac:dyDescent="0.3">
      <c r="A183" s="67">
        <v>48884</v>
      </c>
      <c r="B183" s="69">
        <f>DAY(EOMONTH(A183,0))</f>
        <v>30</v>
      </c>
      <c r="C183" s="3" t="s">
        <v>36</v>
      </c>
      <c r="D183" s="10">
        <v>20</v>
      </c>
      <c r="E183" s="5">
        <v>9953.1299999999992</v>
      </c>
      <c r="F183" s="5">
        <v>9313.2000000000007</v>
      </c>
      <c r="G183" s="5">
        <v>9083.31</v>
      </c>
      <c r="H183" s="5">
        <v>8809.4599999999991</v>
      </c>
      <c r="I183" s="5">
        <v>8881.9</v>
      </c>
      <c r="J183" s="5">
        <v>9263.3799999999992</v>
      </c>
      <c r="K183" s="5">
        <v>10285.83</v>
      </c>
      <c r="L183" s="5">
        <v>9304.84</v>
      </c>
      <c r="M183" s="5">
        <v>10958.98</v>
      </c>
      <c r="N183" s="5">
        <v>12022.63</v>
      </c>
      <c r="O183" s="5">
        <v>13039.85</v>
      </c>
      <c r="P183" s="5">
        <v>13959.68</v>
      </c>
      <c r="Q183" s="5">
        <v>13400.82</v>
      </c>
      <c r="R183" s="5">
        <v>13818.26</v>
      </c>
      <c r="S183" s="5">
        <v>14830.98</v>
      </c>
      <c r="T183" s="5">
        <v>14811.04</v>
      </c>
      <c r="U183" s="5">
        <v>14804.21</v>
      </c>
      <c r="V183" s="5">
        <v>17132.669999999998</v>
      </c>
      <c r="W183" s="5">
        <v>18698.16</v>
      </c>
      <c r="X183" s="5">
        <v>18527.98</v>
      </c>
      <c r="Y183" s="5">
        <v>17287.32</v>
      </c>
      <c r="Z183" s="5">
        <v>15647.98</v>
      </c>
      <c r="AA183" s="5">
        <v>13452.5</v>
      </c>
      <c r="AB183" s="5">
        <v>11695.11</v>
      </c>
      <c r="AC183" s="71">
        <f>SUMPRODUCT((E183:AB185)*D183:D185)</f>
        <v>9056408.320000004</v>
      </c>
    </row>
    <row r="184" spans="1:30" x14ac:dyDescent="0.3">
      <c r="A184" s="68"/>
      <c r="B184" s="70"/>
      <c r="C184" t="s">
        <v>37</v>
      </c>
      <c r="D184" s="11">
        <v>4</v>
      </c>
      <c r="E184" s="5">
        <v>10400.040000000001</v>
      </c>
      <c r="F184" s="5">
        <v>9779.7199999999993</v>
      </c>
      <c r="G184" s="5">
        <v>9312.5</v>
      </c>
      <c r="H184" s="5">
        <v>8909.8799999999992</v>
      </c>
      <c r="I184" s="5">
        <v>8696.77</v>
      </c>
      <c r="J184" s="5">
        <v>9067.7999999999993</v>
      </c>
      <c r="K184" s="5">
        <v>9474.84</v>
      </c>
      <c r="L184" s="5">
        <v>8640.0400000000009</v>
      </c>
      <c r="M184" s="5">
        <v>10413.73</v>
      </c>
      <c r="N184" s="5">
        <v>11344.57</v>
      </c>
      <c r="O184" s="5">
        <v>12140.32</v>
      </c>
      <c r="P184" s="5">
        <v>12651.65</v>
      </c>
      <c r="Q184" s="5">
        <v>12914.85</v>
      </c>
      <c r="R184" s="5">
        <v>13001.38</v>
      </c>
      <c r="S184" s="5">
        <v>13338.57</v>
      </c>
      <c r="T184" s="5">
        <v>13509.93</v>
      </c>
      <c r="U184" s="5">
        <v>13508.27</v>
      </c>
      <c r="V184" s="5">
        <v>16147.08</v>
      </c>
      <c r="W184" s="5">
        <v>18087.34</v>
      </c>
      <c r="X184" s="5">
        <v>18036.580000000002</v>
      </c>
      <c r="Y184" s="5">
        <v>16785.419999999998</v>
      </c>
      <c r="Z184" s="5">
        <v>15414.18</v>
      </c>
      <c r="AA184" s="5">
        <v>13794.34</v>
      </c>
      <c r="AB184" s="5">
        <v>11826.79</v>
      </c>
      <c r="AC184" s="71"/>
    </row>
    <row r="185" spans="1:30" x14ac:dyDescent="0.3">
      <c r="A185" s="68"/>
      <c r="B185" s="70"/>
      <c r="C185" t="s">
        <v>38</v>
      </c>
      <c r="D185" s="11">
        <v>6</v>
      </c>
      <c r="E185" s="5">
        <v>10655.41</v>
      </c>
      <c r="F185" s="5">
        <v>9991.8700000000008</v>
      </c>
      <c r="G185" s="5">
        <v>9545.35</v>
      </c>
      <c r="H185" s="5">
        <v>9297.2199999999993</v>
      </c>
      <c r="I185" s="5">
        <v>9229.86</v>
      </c>
      <c r="J185" s="5">
        <v>9002.1299999999992</v>
      </c>
      <c r="K185" s="5">
        <v>9325.06</v>
      </c>
      <c r="L185" s="5">
        <v>8376.89</v>
      </c>
      <c r="M185" s="5">
        <v>9863.14</v>
      </c>
      <c r="N185" s="5">
        <v>10831.21</v>
      </c>
      <c r="O185" s="5">
        <v>11299.96</v>
      </c>
      <c r="P185" s="5">
        <v>10905.65</v>
      </c>
      <c r="Q185" s="5">
        <v>11356.63</v>
      </c>
      <c r="R185" s="5">
        <v>11682.78</v>
      </c>
      <c r="S185" s="5">
        <v>12005.11</v>
      </c>
      <c r="T185" s="5">
        <v>11343.36</v>
      </c>
      <c r="U185" s="5">
        <v>12017.02</v>
      </c>
      <c r="V185" s="5">
        <v>14571.9</v>
      </c>
      <c r="W185" s="5">
        <v>16683.25</v>
      </c>
      <c r="X185" s="5">
        <v>17217.23</v>
      </c>
      <c r="Y185" s="5">
        <v>16093.26</v>
      </c>
      <c r="Z185" s="5">
        <v>15077.72</v>
      </c>
      <c r="AA185" s="5">
        <v>13267.18</v>
      </c>
      <c r="AB185" s="5">
        <v>11687.07</v>
      </c>
      <c r="AC185" s="71"/>
    </row>
    <row r="186" spans="1:30" x14ac:dyDescent="0.3">
      <c r="A186" s="67">
        <v>48914</v>
      </c>
      <c r="B186" s="69">
        <f>DAY(EOMONTH(A186,0))</f>
        <v>31</v>
      </c>
      <c r="C186" s="3" t="s">
        <v>36</v>
      </c>
      <c r="D186" s="10">
        <v>21</v>
      </c>
      <c r="E186" s="13">
        <v>10031.629999999999</v>
      </c>
      <c r="F186" s="13">
        <v>9338</v>
      </c>
      <c r="G186" s="13">
        <v>8968.2800000000007</v>
      </c>
      <c r="H186" s="13">
        <v>8736.6</v>
      </c>
      <c r="I186" s="13">
        <v>8748.56</v>
      </c>
      <c r="J186" s="13">
        <v>9053.51</v>
      </c>
      <c r="K186" s="13">
        <v>9536.25</v>
      </c>
      <c r="L186" s="13">
        <v>8871.2900000000009</v>
      </c>
      <c r="M186" s="13">
        <v>10740.94</v>
      </c>
      <c r="N186" s="13">
        <v>11935.47</v>
      </c>
      <c r="O186" s="13">
        <v>12830.92</v>
      </c>
      <c r="P186" s="13">
        <v>13607.01</v>
      </c>
      <c r="Q186" s="13">
        <v>13259.72</v>
      </c>
      <c r="R186" s="13">
        <v>13233.78</v>
      </c>
      <c r="S186" s="13">
        <v>13776.18</v>
      </c>
      <c r="T186" s="13">
        <v>13954.69</v>
      </c>
      <c r="U186" s="13">
        <v>14042.3</v>
      </c>
      <c r="V186" s="13">
        <v>16264.77</v>
      </c>
      <c r="W186" s="13">
        <v>17688.93</v>
      </c>
      <c r="X186" s="13">
        <v>17874.55</v>
      </c>
      <c r="Y186" s="13">
        <v>16936.57</v>
      </c>
      <c r="Z186" s="13">
        <v>15448.82</v>
      </c>
      <c r="AA186" s="13">
        <v>13570.09</v>
      </c>
      <c r="AB186" s="13">
        <v>11842.73</v>
      </c>
      <c r="AC186" s="74">
        <f>SUMPRODUCT((E186:AB188)*D186:D188)</f>
        <v>9163645.7400000039</v>
      </c>
    </row>
    <row r="187" spans="1:30" x14ac:dyDescent="0.3">
      <c r="A187" s="68"/>
      <c r="B187" s="70"/>
      <c r="C187" t="s">
        <v>37</v>
      </c>
      <c r="D187" s="11">
        <v>5</v>
      </c>
      <c r="E187" s="5">
        <v>10136.32</v>
      </c>
      <c r="F187" s="5">
        <v>9391.1</v>
      </c>
      <c r="G187" s="5">
        <v>8859.49</v>
      </c>
      <c r="H187" s="5">
        <v>8575.84</v>
      </c>
      <c r="I187" s="5">
        <v>8533.11</v>
      </c>
      <c r="J187" s="5">
        <v>8715.67</v>
      </c>
      <c r="K187" s="5">
        <v>9116.52</v>
      </c>
      <c r="L187" s="5">
        <v>8447.66</v>
      </c>
      <c r="M187" s="5">
        <v>10167.200000000001</v>
      </c>
      <c r="N187" s="5">
        <v>11335.32</v>
      </c>
      <c r="O187" s="5">
        <v>12070.98</v>
      </c>
      <c r="P187" s="5">
        <v>12738.23</v>
      </c>
      <c r="Q187" s="5">
        <v>12738.63</v>
      </c>
      <c r="R187" s="5">
        <v>12766.02</v>
      </c>
      <c r="S187" s="5">
        <v>12935.88</v>
      </c>
      <c r="T187" s="5">
        <v>13015.46</v>
      </c>
      <c r="U187" s="5">
        <v>12950.79</v>
      </c>
      <c r="V187" s="5">
        <v>15489.63</v>
      </c>
      <c r="W187" s="5">
        <v>17305.68</v>
      </c>
      <c r="X187" s="5">
        <v>17750.57</v>
      </c>
      <c r="Y187" s="5">
        <v>16879.88</v>
      </c>
      <c r="Z187" s="5">
        <v>15498.38</v>
      </c>
      <c r="AA187" s="5">
        <v>13807.95</v>
      </c>
      <c r="AB187" s="5">
        <v>12145.74</v>
      </c>
      <c r="AC187" s="71"/>
    </row>
    <row r="188" spans="1:30" ht="15.65" thickBot="1" x14ac:dyDescent="0.35">
      <c r="A188" s="72"/>
      <c r="B188" s="73"/>
      <c r="C188" s="14" t="s">
        <v>38</v>
      </c>
      <c r="D188" s="15">
        <v>5</v>
      </c>
      <c r="E188" s="16">
        <v>10720.49</v>
      </c>
      <c r="F188" s="16">
        <v>9977.19</v>
      </c>
      <c r="G188" s="16">
        <v>9469.17</v>
      </c>
      <c r="H188" s="16">
        <v>9178.31</v>
      </c>
      <c r="I188" s="16">
        <v>9039.48</v>
      </c>
      <c r="J188" s="16">
        <v>9009.74</v>
      </c>
      <c r="K188" s="16">
        <v>9123.02</v>
      </c>
      <c r="L188" s="16">
        <v>8022.62</v>
      </c>
      <c r="M188" s="16">
        <v>9468.19</v>
      </c>
      <c r="N188" s="16">
        <v>10478.66</v>
      </c>
      <c r="O188" s="16">
        <v>11143</v>
      </c>
      <c r="P188" s="16">
        <v>11542.6</v>
      </c>
      <c r="Q188" s="16">
        <v>11881.98</v>
      </c>
      <c r="R188" s="16">
        <v>11961.11</v>
      </c>
      <c r="S188" s="16">
        <v>11460.01</v>
      </c>
      <c r="T188" s="16">
        <v>11919.86</v>
      </c>
      <c r="U188" s="16">
        <v>12058.35</v>
      </c>
      <c r="V188" s="16">
        <v>14491.51</v>
      </c>
      <c r="W188" s="16">
        <v>16356.97</v>
      </c>
      <c r="X188" s="16">
        <v>16872.009999999998</v>
      </c>
      <c r="Y188" s="16">
        <v>16142.38</v>
      </c>
      <c r="Z188" s="16">
        <v>14781.53</v>
      </c>
      <c r="AA188" s="16">
        <v>13227.91</v>
      </c>
      <c r="AB188" s="16">
        <v>11806.33</v>
      </c>
      <c r="AC188" s="75"/>
    </row>
    <row r="189" spans="1:30" x14ac:dyDescent="0.3">
      <c r="AC189" s="17">
        <f>SUM(AC9:AC188)</f>
        <v>505207799.62</v>
      </c>
      <c r="AD189" s="17">
        <f>SUM(AC153:AC188)</f>
        <v>107052036.39</v>
      </c>
    </row>
    <row r="191" spans="1:30" ht="15.65" x14ac:dyDescent="0.3"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3"/>
      <c r="AD191" s="24"/>
    </row>
    <row r="192" spans="1:30" ht="16.3" thickBot="1" x14ac:dyDescent="0.35">
      <c r="A192" s="22" t="s">
        <v>39</v>
      </c>
      <c r="D192" s="6">
        <f>SUM(D193:D197)</f>
        <v>1826</v>
      </c>
      <c r="E192" s="22">
        <v>552.57999999999993</v>
      </c>
      <c r="F192" s="22">
        <v>552.57999999999993</v>
      </c>
      <c r="G192" s="22">
        <v>552.57999999999993</v>
      </c>
      <c r="H192" s="22">
        <v>552.57999999999993</v>
      </c>
      <c r="I192" s="22">
        <v>552.57999999999993</v>
      </c>
      <c r="J192" s="22">
        <v>552.57999999999993</v>
      </c>
      <c r="K192" s="22">
        <v>552.57999999999993</v>
      </c>
      <c r="L192" s="22">
        <v>732.40000000000009</v>
      </c>
      <c r="M192" s="22">
        <v>732.40000000000009</v>
      </c>
      <c r="N192" s="22">
        <v>732.40000000000009</v>
      </c>
      <c r="O192" s="22">
        <v>732.40000000000009</v>
      </c>
      <c r="P192" s="22">
        <v>732.40000000000009</v>
      </c>
      <c r="Q192" s="22">
        <v>732.40000000000009</v>
      </c>
      <c r="R192" s="22">
        <v>732.40000000000009</v>
      </c>
      <c r="S192" s="22">
        <v>732.40000000000009</v>
      </c>
      <c r="T192" s="22">
        <v>732.40000000000009</v>
      </c>
      <c r="U192" s="22">
        <v>732.40000000000009</v>
      </c>
      <c r="V192" s="22">
        <v>216.21</v>
      </c>
      <c r="W192" s="22">
        <v>216.21</v>
      </c>
      <c r="X192" s="22">
        <v>216.21</v>
      </c>
      <c r="Y192" s="22">
        <v>216.21</v>
      </c>
      <c r="Z192" s="22">
        <v>216.21</v>
      </c>
      <c r="AA192" s="22">
        <v>216.21</v>
      </c>
      <c r="AB192" s="22">
        <v>216.21</v>
      </c>
      <c r="AC192" s="19">
        <f t="shared" ref="AC192:AC197" si="59">SUMPRODUCT((E192:AB192)*D192)</f>
        <v>23200297.780000005</v>
      </c>
      <c r="AD192" s="24"/>
    </row>
    <row r="193" spans="1:30" ht="16.3" thickBot="1" x14ac:dyDescent="0.35">
      <c r="A193">
        <v>2029</v>
      </c>
      <c r="C193" s="66" t="s">
        <v>40</v>
      </c>
      <c r="D193" s="6">
        <v>365</v>
      </c>
      <c r="E193" s="25"/>
      <c r="F193" s="26"/>
      <c r="G193" s="26"/>
      <c r="H193" s="26"/>
      <c r="I193" s="26"/>
      <c r="J193" s="26"/>
      <c r="K193" s="26"/>
      <c r="L193" s="27">
        <v>1623.9</v>
      </c>
      <c r="M193" s="28">
        <v>1623.9</v>
      </c>
      <c r="N193" s="28">
        <v>1623.9</v>
      </c>
      <c r="O193" s="28">
        <v>1623.9</v>
      </c>
      <c r="P193" s="28">
        <v>1623.9</v>
      </c>
      <c r="Q193" s="28">
        <v>1623.9</v>
      </c>
      <c r="R193" s="28">
        <v>1623.9</v>
      </c>
      <c r="S193" s="28">
        <v>1623.9</v>
      </c>
      <c r="T193" s="28">
        <v>1623.9</v>
      </c>
      <c r="U193" s="29">
        <v>1623.9</v>
      </c>
      <c r="V193" s="26"/>
      <c r="W193" s="26"/>
      <c r="X193" s="26"/>
      <c r="Y193" s="26"/>
      <c r="Z193" s="26"/>
      <c r="AA193" s="26"/>
      <c r="AB193" s="30"/>
      <c r="AC193" s="19">
        <f t="shared" si="59"/>
        <v>5927235</v>
      </c>
      <c r="AD193" s="24"/>
    </row>
    <row r="194" spans="1:30" ht="16.3" thickBot="1" x14ac:dyDescent="0.35">
      <c r="A194">
        <v>2030</v>
      </c>
      <c r="C194" s="66"/>
      <c r="D194">
        <v>365</v>
      </c>
      <c r="E194" s="25"/>
      <c r="F194" s="26"/>
      <c r="G194" s="26"/>
      <c r="H194" s="26"/>
      <c r="I194" s="26"/>
      <c r="J194" s="26"/>
      <c r="K194" s="30"/>
      <c r="L194" s="27">
        <v>1712.4</v>
      </c>
      <c r="M194" s="28">
        <v>1712.4</v>
      </c>
      <c r="N194" s="28">
        <v>1712.4</v>
      </c>
      <c r="O194" s="28">
        <v>1712.4</v>
      </c>
      <c r="P194" s="28">
        <v>1712.4</v>
      </c>
      <c r="Q194" s="28">
        <v>1712.4</v>
      </c>
      <c r="R194" s="28">
        <v>1712.4</v>
      </c>
      <c r="S194" s="28">
        <v>1712.4</v>
      </c>
      <c r="T194" s="28">
        <v>1712.4</v>
      </c>
      <c r="U194" s="28">
        <v>1712.4</v>
      </c>
      <c r="V194" s="25"/>
      <c r="W194" s="26"/>
      <c r="X194" s="26"/>
      <c r="Y194" s="26"/>
      <c r="Z194" s="26"/>
      <c r="AA194" s="26"/>
      <c r="AB194" s="30"/>
      <c r="AC194" s="21">
        <f t="shared" si="59"/>
        <v>6250260</v>
      </c>
      <c r="AD194" s="24"/>
    </row>
    <row r="195" spans="1:30" ht="16.3" thickBot="1" x14ac:dyDescent="0.35">
      <c r="A195">
        <v>2031</v>
      </c>
      <c r="C195" s="66"/>
      <c r="D195">
        <v>365</v>
      </c>
      <c r="E195" s="25"/>
      <c r="F195" s="26"/>
      <c r="G195" s="26"/>
      <c r="H195" s="26"/>
      <c r="I195" s="26"/>
      <c r="J195" s="26"/>
      <c r="K195" s="30"/>
      <c r="L195" s="27">
        <v>1802.9</v>
      </c>
      <c r="M195" s="28">
        <v>1802.9</v>
      </c>
      <c r="N195" s="28">
        <v>1802.9</v>
      </c>
      <c r="O195" s="28">
        <v>1802.9</v>
      </c>
      <c r="P195" s="28">
        <v>1802.9</v>
      </c>
      <c r="Q195" s="28">
        <v>1802.9</v>
      </c>
      <c r="R195" s="28">
        <v>1802.9</v>
      </c>
      <c r="S195" s="28">
        <v>1802.9</v>
      </c>
      <c r="T195" s="28">
        <v>1802.9</v>
      </c>
      <c r="U195" s="28">
        <v>1802.9</v>
      </c>
      <c r="V195" s="25"/>
      <c r="W195" s="26"/>
      <c r="X195" s="26"/>
      <c r="Y195" s="26"/>
      <c r="Z195" s="26"/>
      <c r="AA195" s="26"/>
      <c r="AB195" s="30"/>
      <c r="AC195" s="21">
        <f t="shared" si="59"/>
        <v>6580585</v>
      </c>
      <c r="AD195" s="24"/>
    </row>
    <row r="196" spans="1:30" ht="16.3" thickBot="1" x14ac:dyDescent="0.35">
      <c r="A196">
        <v>2032</v>
      </c>
      <c r="C196" s="66"/>
      <c r="D196">
        <v>366</v>
      </c>
      <c r="E196" s="25"/>
      <c r="F196" s="26"/>
      <c r="G196" s="26"/>
      <c r="H196" s="26"/>
      <c r="I196" s="26"/>
      <c r="J196" s="26"/>
      <c r="K196" s="30"/>
      <c r="L196" s="27">
        <v>1891.5</v>
      </c>
      <c r="M196" s="28">
        <v>1891.5</v>
      </c>
      <c r="N196" s="28">
        <v>1891.5</v>
      </c>
      <c r="O196" s="28">
        <v>1891.5</v>
      </c>
      <c r="P196" s="28">
        <v>1891.5</v>
      </c>
      <c r="Q196" s="28">
        <v>1891.5</v>
      </c>
      <c r="R196" s="28">
        <v>1891.5</v>
      </c>
      <c r="S196" s="28">
        <v>1891.5</v>
      </c>
      <c r="T196" s="28">
        <v>1891.5</v>
      </c>
      <c r="U196" s="28">
        <v>1891.5</v>
      </c>
      <c r="V196" s="25"/>
      <c r="W196" s="26"/>
      <c r="X196" s="26"/>
      <c r="Y196" s="26"/>
      <c r="Z196" s="26"/>
      <c r="AA196" s="26"/>
      <c r="AB196" s="30"/>
      <c r="AC196" s="21">
        <f t="shared" si="59"/>
        <v>6922890</v>
      </c>
      <c r="AD196" s="24"/>
    </row>
    <row r="197" spans="1:30" ht="16.3" thickBot="1" x14ac:dyDescent="0.35">
      <c r="A197">
        <v>2033</v>
      </c>
      <c r="C197" s="66"/>
      <c r="D197">
        <v>365</v>
      </c>
      <c r="E197" s="20"/>
      <c r="F197" s="18"/>
      <c r="G197" s="18"/>
      <c r="H197" s="18"/>
      <c r="I197" s="18"/>
      <c r="J197" s="18"/>
      <c r="K197" s="31"/>
      <c r="L197" s="27">
        <v>1988.3</v>
      </c>
      <c r="M197" s="28">
        <v>1988.3</v>
      </c>
      <c r="N197" s="28">
        <v>1988.3</v>
      </c>
      <c r="O197" s="28">
        <v>1988.3</v>
      </c>
      <c r="P197" s="28">
        <v>1988.3</v>
      </c>
      <c r="Q197" s="28">
        <v>1988.3</v>
      </c>
      <c r="R197" s="28">
        <v>1988.3</v>
      </c>
      <c r="S197" s="28">
        <v>1988.3</v>
      </c>
      <c r="T197" s="28">
        <v>1988.3</v>
      </c>
      <c r="U197" s="28">
        <v>1988.3</v>
      </c>
      <c r="V197" s="20"/>
      <c r="W197" s="18"/>
      <c r="X197" s="18"/>
      <c r="Y197" s="18"/>
      <c r="Z197" s="18"/>
      <c r="AA197" s="18"/>
      <c r="AB197" s="31"/>
      <c r="AC197" s="21">
        <f t="shared" si="59"/>
        <v>7257295</v>
      </c>
      <c r="AD197" s="24"/>
    </row>
    <row r="198" spans="1:30" ht="15.65" x14ac:dyDescent="0.3">
      <c r="AC198" s="23">
        <f>SUM(AC192:AC197)</f>
        <v>56138562.780000001</v>
      </c>
      <c r="AD198" s="24">
        <f>AC198+AC189</f>
        <v>561346362.39999998</v>
      </c>
    </row>
    <row r="199" spans="1:30" x14ac:dyDescent="0.3">
      <c r="AC199" s="32"/>
      <c r="AD199" s="24"/>
    </row>
  </sheetData>
  <mergeCells count="190">
    <mergeCell ref="A1:AC1"/>
    <mergeCell ref="A2:AC2"/>
    <mergeCell ref="A3:AC3"/>
    <mergeCell ref="A4:AC4"/>
    <mergeCell ref="A5:AC5"/>
    <mergeCell ref="A7:A8"/>
    <mergeCell ref="B7:B8"/>
    <mergeCell ref="C7:C8"/>
    <mergeCell ref="AC7:AC8"/>
    <mergeCell ref="A15:A17"/>
    <mergeCell ref="B15:B17"/>
    <mergeCell ref="AC15:AC17"/>
    <mergeCell ref="A18:A20"/>
    <mergeCell ref="B18:B20"/>
    <mergeCell ref="AC18:AC20"/>
    <mergeCell ref="A9:A11"/>
    <mergeCell ref="B9:B11"/>
    <mergeCell ref="AC9:AC11"/>
    <mergeCell ref="A12:A14"/>
    <mergeCell ref="B12:B14"/>
    <mergeCell ref="AC12:AC14"/>
    <mergeCell ref="A27:A29"/>
    <mergeCell ref="B27:B29"/>
    <mergeCell ref="AC27:AC29"/>
    <mergeCell ref="A30:A32"/>
    <mergeCell ref="B30:B32"/>
    <mergeCell ref="AC30:AC32"/>
    <mergeCell ref="A21:A23"/>
    <mergeCell ref="B21:B23"/>
    <mergeCell ref="AC21:AC23"/>
    <mergeCell ref="A24:A26"/>
    <mergeCell ref="B24:B26"/>
    <mergeCell ref="AC24:AC26"/>
    <mergeCell ref="A39:A41"/>
    <mergeCell ref="B39:B41"/>
    <mergeCell ref="AC39:AC41"/>
    <mergeCell ref="A42:A44"/>
    <mergeCell ref="B42:B44"/>
    <mergeCell ref="AC42:AC44"/>
    <mergeCell ref="A33:A35"/>
    <mergeCell ref="B33:B35"/>
    <mergeCell ref="AC33:AC35"/>
    <mergeCell ref="A36:A38"/>
    <mergeCell ref="B36:B38"/>
    <mergeCell ref="AC36:AC38"/>
    <mergeCell ref="A51:A53"/>
    <mergeCell ref="B51:B53"/>
    <mergeCell ref="AC51:AC53"/>
    <mergeCell ref="A54:A56"/>
    <mergeCell ref="B54:B56"/>
    <mergeCell ref="AC54:AC56"/>
    <mergeCell ref="A45:A47"/>
    <mergeCell ref="B45:B47"/>
    <mergeCell ref="AC45:AC47"/>
    <mergeCell ref="A48:A50"/>
    <mergeCell ref="B48:B50"/>
    <mergeCell ref="AC48:AC50"/>
    <mergeCell ref="A63:A65"/>
    <mergeCell ref="B63:B65"/>
    <mergeCell ref="AC63:AC65"/>
    <mergeCell ref="A66:A68"/>
    <mergeCell ref="B66:B68"/>
    <mergeCell ref="AC66:AC68"/>
    <mergeCell ref="A57:A59"/>
    <mergeCell ref="B57:B59"/>
    <mergeCell ref="AC57:AC59"/>
    <mergeCell ref="A60:A62"/>
    <mergeCell ref="B60:B62"/>
    <mergeCell ref="AC60:AC62"/>
    <mergeCell ref="A75:A77"/>
    <mergeCell ref="B75:B77"/>
    <mergeCell ref="AC75:AC77"/>
    <mergeCell ref="A78:A80"/>
    <mergeCell ref="B78:B80"/>
    <mergeCell ref="AC78:AC80"/>
    <mergeCell ref="A69:A71"/>
    <mergeCell ref="B69:B71"/>
    <mergeCell ref="AC69:AC71"/>
    <mergeCell ref="A72:A74"/>
    <mergeCell ref="B72:B74"/>
    <mergeCell ref="AC72:AC74"/>
    <mergeCell ref="A87:A89"/>
    <mergeCell ref="B87:B89"/>
    <mergeCell ref="AC87:AC89"/>
    <mergeCell ref="A90:A92"/>
    <mergeCell ref="B90:B92"/>
    <mergeCell ref="AC90:AC92"/>
    <mergeCell ref="A81:A83"/>
    <mergeCell ref="B81:B83"/>
    <mergeCell ref="AC81:AC83"/>
    <mergeCell ref="A84:A86"/>
    <mergeCell ref="B84:B86"/>
    <mergeCell ref="AC84:AC86"/>
    <mergeCell ref="A99:A101"/>
    <mergeCell ref="B99:B101"/>
    <mergeCell ref="AC99:AC101"/>
    <mergeCell ref="A102:A104"/>
    <mergeCell ref="B102:B104"/>
    <mergeCell ref="AC102:AC104"/>
    <mergeCell ref="A93:A95"/>
    <mergeCell ref="B93:B95"/>
    <mergeCell ref="AC93:AC95"/>
    <mergeCell ref="A96:A98"/>
    <mergeCell ref="B96:B98"/>
    <mergeCell ref="AC96:AC98"/>
    <mergeCell ref="A111:A113"/>
    <mergeCell ref="B111:B113"/>
    <mergeCell ref="AC111:AC113"/>
    <mergeCell ref="A114:A116"/>
    <mergeCell ref="B114:B116"/>
    <mergeCell ref="AC114:AC116"/>
    <mergeCell ref="A105:A107"/>
    <mergeCell ref="B105:B107"/>
    <mergeCell ref="AC105:AC107"/>
    <mergeCell ref="A108:A110"/>
    <mergeCell ref="B108:B110"/>
    <mergeCell ref="AC108:AC110"/>
    <mergeCell ref="A123:A125"/>
    <mergeCell ref="B123:B125"/>
    <mergeCell ref="AC123:AC125"/>
    <mergeCell ref="A126:A128"/>
    <mergeCell ref="B126:B128"/>
    <mergeCell ref="AC126:AC128"/>
    <mergeCell ref="A117:A119"/>
    <mergeCell ref="B117:B119"/>
    <mergeCell ref="AC117:AC119"/>
    <mergeCell ref="A120:A122"/>
    <mergeCell ref="B120:B122"/>
    <mergeCell ref="AC120:AC122"/>
    <mergeCell ref="A135:A137"/>
    <mergeCell ref="B135:B137"/>
    <mergeCell ref="AC135:AC137"/>
    <mergeCell ref="A138:A140"/>
    <mergeCell ref="B138:B140"/>
    <mergeCell ref="AC138:AC140"/>
    <mergeCell ref="A129:A131"/>
    <mergeCell ref="B129:B131"/>
    <mergeCell ref="AC129:AC131"/>
    <mergeCell ref="A132:A134"/>
    <mergeCell ref="B132:B134"/>
    <mergeCell ref="AC132:AC134"/>
    <mergeCell ref="A147:A149"/>
    <mergeCell ref="B147:B149"/>
    <mergeCell ref="AC147:AC149"/>
    <mergeCell ref="A150:A152"/>
    <mergeCell ref="B150:B152"/>
    <mergeCell ref="AC150:AC152"/>
    <mergeCell ref="A141:A143"/>
    <mergeCell ref="B141:B143"/>
    <mergeCell ref="AC141:AC143"/>
    <mergeCell ref="A144:A146"/>
    <mergeCell ref="B144:B146"/>
    <mergeCell ref="AC144:AC146"/>
    <mergeCell ref="A159:A161"/>
    <mergeCell ref="B159:B161"/>
    <mergeCell ref="AC159:AC161"/>
    <mergeCell ref="A162:A164"/>
    <mergeCell ref="B162:B164"/>
    <mergeCell ref="AC162:AC164"/>
    <mergeCell ref="A153:A155"/>
    <mergeCell ref="B153:B155"/>
    <mergeCell ref="AC153:AC155"/>
    <mergeCell ref="A156:A158"/>
    <mergeCell ref="B156:B158"/>
    <mergeCell ref="AC156:AC158"/>
    <mergeCell ref="A171:A173"/>
    <mergeCell ref="B171:B173"/>
    <mergeCell ref="AC171:AC173"/>
    <mergeCell ref="A174:A176"/>
    <mergeCell ref="B174:B176"/>
    <mergeCell ref="AC174:AC176"/>
    <mergeCell ref="A165:A167"/>
    <mergeCell ref="B165:B167"/>
    <mergeCell ref="AC165:AC167"/>
    <mergeCell ref="A168:A170"/>
    <mergeCell ref="B168:B170"/>
    <mergeCell ref="AC168:AC170"/>
    <mergeCell ref="C193:C197"/>
    <mergeCell ref="A183:A185"/>
    <mergeCell ref="B183:B185"/>
    <mergeCell ref="AC183:AC185"/>
    <mergeCell ref="A186:A188"/>
    <mergeCell ref="B186:B188"/>
    <mergeCell ref="AC186:AC188"/>
    <mergeCell ref="A177:A179"/>
    <mergeCell ref="B177:B179"/>
    <mergeCell ref="AC177:AC179"/>
    <mergeCell ref="A180:A182"/>
    <mergeCell ref="B180:B182"/>
    <mergeCell ref="AC180:AC1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D884-C318-448C-A465-14963F5C0CD9}">
  <dimension ref="A1:AD199"/>
  <sheetViews>
    <sheetView tabSelected="1" workbookViewId="0">
      <pane xSplit="4" ySplit="8" topLeftCell="E133" activePane="bottomRight" state="frozen"/>
      <selection pane="topRight" activeCell="E1" sqref="E1"/>
      <selection pane="bottomLeft" activeCell="A3" sqref="A3"/>
      <selection pane="bottomRight" activeCell="A3" sqref="A3:AC3"/>
    </sheetView>
  </sheetViews>
  <sheetFormatPr baseColWidth="10" defaultRowHeight="15.05" x14ac:dyDescent="0.3"/>
  <cols>
    <col min="1" max="1" width="7.33203125" customWidth="1"/>
    <col min="2" max="2" width="6.5546875" customWidth="1"/>
    <col min="3" max="3" width="14.6640625" customWidth="1"/>
    <col min="4" max="4" width="4.88671875" customWidth="1"/>
    <col min="5" max="5" width="9" customWidth="1"/>
    <col min="6" max="12" width="9" bestFit="1" customWidth="1"/>
    <col min="13" max="13" width="8.6640625" customWidth="1"/>
    <col min="14" max="14" width="8.88671875" customWidth="1"/>
    <col min="15" max="15" width="9" customWidth="1"/>
    <col min="16" max="16" width="9.109375" customWidth="1"/>
    <col min="17" max="17" width="8.6640625" customWidth="1"/>
    <col min="18" max="18" width="8.88671875" customWidth="1"/>
    <col min="19" max="20" width="9" customWidth="1"/>
    <col min="21" max="21" width="8.6640625" customWidth="1"/>
    <col min="22" max="23" width="9.6640625" customWidth="1"/>
    <col min="24" max="25" width="9.88671875" customWidth="1"/>
    <col min="26" max="26" width="10" customWidth="1"/>
    <col min="27" max="27" width="8.6640625" customWidth="1"/>
    <col min="28" max="28" width="9.33203125" customWidth="1"/>
    <col min="29" max="29" width="14" customWidth="1"/>
    <col min="30" max="30" width="16.33203125" bestFit="1" customWidth="1"/>
    <col min="31" max="31" width="19" customWidth="1"/>
  </cols>
  <sheetData>
    <row r="1" spans="1:30" ht="15.65" x14ac:dyDescent="0.3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1"/>
    </row>
    <row r="2" spans="1:30" ht="15.65" x14ac:dyDescent="0.3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1"/>
    </row>
    <row r="3" spans="1:30" ht="15.65" x14ac:dyDescent="0.3">
      <c r="A3" s="78" t="s">
        <v>53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1"/>
    </row>
    <row r="4" spans="1:30" ht="15.65" x14ac:dyDescent="0.3">
      <c r="A4" s="78" t="s">
        <v>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1"/>
    </row>
    <row r="5" spans="1:30" ht="15.65" x14ac:dyDescent="0.3">
      <c r="A5" s="78" t="s">
        <v>52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1"/>
    </row>
    <row r="6" spans="1:30" x14ac:dyDescent="0.3">
      <c r="A6" s="65" t="s">
        <v>5</v>
      </c>
    </row>
    <row r="7" spans="1:30" x14ac:dyDescent="0.3">
      <c r="A7" s="79" t="s">
        <v>6</v>
      </c>
      <c r="B7" s="79" t="s">
        <v>7</v>
      </c>
      <c r="C7" s="79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  <c r="V7" s="2" t="s">
        <v>27</v>
      </c>
      <c r="W7" s="2" t="s">
        <v>28</v>
      </c>
      <c r="X7" s="2" t="s">
        <v>29</v>
      </c>
      <c r="Y7" s="2" t="s">
        <v>30</v>
      </c>
      <c r="Z7" s="2" t="s">
        <v>31</v>
      </c>
      <c r="AA7" s="2" t="s">
        <v>32</v>
      </c>
      <c r="AB7" s="2" t="s">
        <v>33</v>
      </c>
      <c r="AC7" s="80" t="s">
        <v>34</v>
      </c>
    </row>
    <row r="8" spans="1:30" x14ac:dyDescent="0.3">
      <c r="A8" s="79"/>
      <c r="B8" s="79"/>
      <c r="C8" s="79"/>
      <c r="D8" s="2" t="s">
        <v>7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35</v>
      </c>
      <c r="J8" s="2" t="s">
        <v>35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35</v>
      </c>
      <c r="AC8" s="80"/>
    </row>
    <row r="9" spans="1:30" x14ac:dyDescent="0.3">
      <c r="A9" s="67">
        <v>47119</v>
      </c>
      <c r="B9" s="69">
        <f>DAY(EOMONTH(A9,0))</f>
        <v>31</v>
      </c>
      <c r="C9" s="3" t="s">
        <v>36</v>
      </c>
      <c r="D9" s="4">
        <v>21</v>
      </c>
      <c r="E9" s="33">
        <f>+'Curv hora 2029 - 2033 (100%)'!E9*0.5</f>
        <v>4676.2650000000003</v>
      </c>
      <c r="F9" s="13">
        <f>+'Curv hora 2029 - 2033 (100%)'!F9*0.5</f>
        <v>4380.3100000000004</v>
      </c>
      <c r="G9" s="13">
        <f>+'Curv hora 2029 - 2033 (100%)'!G9*0.5</f>
        <v>4186.8549999999996</v>
      </c>
      <c r="H9" s="13">
        <f>+'Curv hora 2029 - 2033 (100%)'!H9*0.5</f>
        <v>4057.51</v>
      </c>
      <c r="I9" s="13">
        <f>+'Curv hora 2029 - 2033 (100%)'!I9*0.5</f>
        <v>4019.895</v>
      </c>
      <c r="J9" s="13">
        <f>+'Curv hora 2029 - 2033 (100%)'!J9*0.5</f>
        <v>4098.5450000000001</v>
      </c>
      <c r="K9" s="13">
        <f>+'Curv hora 2029 - 2033 (100%)'!K9*0.5</f>
        <v>4122.1899999999996</v>
      </c>
      <c r="L9" s="13">
        <f>+'Curv hora 2029 - 2033 (100%)'!L9*0.5</f>
        <v>3797.02</v>
      </c>
      <c r="M9" s="13">
        <f>+'Curv hora 2029 - 2033 (100%)'!M9*0.5</f>
        <v>4541.99</v>
      </c>
      <c r="N9" s="13">
        <f>+'Curv hora 2029 - 2033 (100%)'!N9*0.5</f>
        <v>5177.53</v>
      </c>
      <c r="O9" s="13">
        <f>+'Curv hora 2029 - 2033 (100%)'!O9*0.5</f>
        <v>5764.5550000000003</v>
      </c>
      <c r="P9" s="13">
        <f>+'Curv hora 2029 - 2033 (100%)'!P9*0.5</f>
        <v>6190.99</v>
      </c>
      <c r="Q9" s="13">
        <f>+'Curv hora 2029 - 2033 (100%)'!Q9*0.5</f>
        <v>6033.2150000000001</v>
      </c>
      <c r="R9" s="13">
        <f>+'Curv hora 2029 - 2033 (100%)'!R9*0.5</f>
        <v>6032.835</v>
      </c>
      <c r="S9" s="13">
        <f>+'Curv hora 2029 - 2033 (100%)'!S9*0.5</f>
        <v>6419.9049999999997</v>
      </c>
      <c r="T9" s="13">
        <f>+'Curv hora 2029 - 2033 (100%)'!T9*0.5</f>
        <v>6481.7349999999997</v>
      </c>
      <c r="U9" s="13">
        <f>+'Curv hora 2029 - 2033 (100%)'!U9*0.5</f>
        <v>6374.03</v>
      </c>
      <c r="V9" s="13">
        <f>+'Curv hora 2029 - 2033 (100%)'!V9*0.5</f>
        <v>7261.04</v>
      </c>
      <c r="W9" s="13">
        <f>+'Curv hora 2029 - 2033 (100%)'!W9*0.5</f>
        <v>7654.32</v>
      </c>
      <c r="X9" s="13">
        <f>+'Curv hora 2029 - 2033 (100%)'!X9*0.5</f>
        <v>8023.36</v>
      </c>
      <c r="Y9" s="13">
        <f>+'Curv hora 2029 - 2033 (100%)'!Y9*0.5</f>
        <v>7655.04</v>
      </c>
      <c r="Z9" s="13">
        <f>+'Curv hora 2029 - 2033 (100%)'!Z9*0.5</f>
        <v>7066.28</v>
      </c>
      <c r="AA9" s="13">
        <f>+'Curv hora 2029 - 2033 (100%)'!AA9*0.5</f>
        <v>6235.49</v>
      </c>
      <c r="AB9" s="34">
        <f>+'Curv hora 2029 - 2033 (100%)'!AB9*0.5</f>
        <v>5436.3850000000002</v>
      </c>
      <c r="AC9" s="71">
        <f>SUMPRODUCT((E9:AB11)*D9:D11)</f>
        <v>4098785.5899999989</v>
      </c>
    </row>
    <row r="10" spans="1:30" x14ac:dyDescent="0.3">
      <c r="A10" s="68"/>
      <c r="B10" s="70"/>
      <c r="C10" t="s">
        <v>37</v>
      </c>
      <c r="D10" s="6">
        <v>4</v>
      </c>
      <c r="E10" s="35">
        <f>+'Curv hora 2029 - 2033 (100%)'!E10*0.5</f>
        <v>4620.0550000000003</v>
      </c>
      <c r="F10" s="5">
        <f>+'Curv hora 2029 - 2033 (100%)'!F10*0.5</f>
        <v>4334.8950000000004</v>
      </c>
      <c r="G10" s="5">
        <f>+'Curv hora 2029 - 2033 (100%)'!G10*0.5</f>
        <v>4137.33</v>
      </c>
      <c r="H10" s="5">
        <f>+'Curv hora 2029 - 2033 (100%)'!H10*0.5</f>
        <v>4016.335</v>
      </c>
      <c r="I10" s="5">
        <f>+'Curv hora 2029 - 2033 (100%)'!I10*0.5</f>
        <v>3970.5749999999998</v>
      </c>
      <c r="J10" s="5">
        <f>+'Curv hora 2029 - 2033 (100%)'!J10*0.5</f>
        <v>4034.0749999999998</v>
      </c>
      <c r="K10" s="5">
        <f>+'Curv hora 2029 - 2033 (100%)'!K10*0.5</f>
        <v>4093.9749999999999</v>
      </c>
      <c r="L10" s="5">
        <f>+'Curv hora 2029 - 2033 (100%)'!L10*0.5</f>
        <v>3685.21</v>
      </c>
      <c r="M10" s="5">
        <f>+'Curv hora 2029 - 2033 (100%)'!M10*0.5</f>
        <v>4334.9350000000004</v>
      </c>
      <c r="N10" s="5">
        <f>+'Curv hora 2029 - 2033 (100%)'!N10*0.5</f>
        <v>4816.9949999999999</v>
      </c>
      <c r="O10" s="5">
        <f>+'Curv hora 2029 - 2033 (100%)'!O10*0.5</f>
        <v>5247.2150000000001</v>
      </c>
      <c r="P10" s="5">
        <f>+'Curv hora 2029 - 2033 (100%)'!P10*0.5</f>
        <v>5580.15</v>
      </c>
      <c r="Q10" s="5">
        <f>+'Curv hora 2029 - 2033 (100%)'!Q10*0.5</f>
        <v>5573.81</v>
      </c>
      <c r="R10" s="5">
        <f>+'Curv hora 2029 - 2033 (100%)'!R10*0.5</f>
        <v>5562.83</v>
      </c>
      <c r="S10" s="5">
        <f>+'Curv hora 2029 - 2033 (100%)'!S10*0.5</f>
        <v>5638.2</v>
      </c>
      <c r="T10" s="5">
        <f>+'Curv hora 2029 - 2033 (100%)'!T10*0.5</f>
        <v>5709.85</v>
      </c>
      <c r="U10" s="5">
        <f>+'Curv hora 2029 - 2033 (100%)'!U10*0.5</f>
        <v>5704.62</v>
      </c>
      <c r="V10" s="5">
        <f>+'Curv hora 2029 - 2033 (100%)'!V10*0.5</f>
        <v>6659.41</v>
      </c>
      <c r="W10" s="5">
        <f>+'Curv hora 2029 - 2033 (100%)'!W10*0.5</f>
        <v>7122.77</v>
      </c>
      <c r="X10" s="5">
        <f>+'Curv hora 2029 - 2033 (100%)'!X10*0.5</f>
        <v>7573.5749999999998</v>
      </c>
      <c r="Y10" s="5">
        <f>+'Curv hora 2029 - 2033 (100%)'!Y10*0.5</f>
        <v>7232.4549999999999</v>
      </c>
      <c r="Z10" s="5">
        <f>+'Curv hora 2029 - 2033 (100%)'!Z10*0.5</f>
        <v>6709.93</v>
      </c>
      <c r="AA10" s="5">
        <f>+'Curv hora 2029 - 2033 (100%)'!AA10*0.5</f>
        <v>6050.99</v>
      </c>
      <c r="AB10" s="36">
        <f>+'Curv hora 2029 - 2033 (100%)'!AB10*0.5</f>
        <v>5408.68</v>
      </c>
      <c r="AC10" s="71"/>
    </row>
    <row r="11" spans="1:30" x14ac:dyDescent="0.3">
      <c r="A11" s="76"/>
      <c r="B11" s="77"/>
      <c r="C11" s="7" t="s">
        <v>38</v>
      </c>
      <c r="D11" s="8">
        <v>6</v>
      </c>
      <c r="E11" s="37">
        <f>+'Curv hora 2029 - 2033 (100%)'!E11*0.5</f>
        <v>4817.93</v>
      </c>
      <c r="F11" s="9">
        <f>+'Curv hora 2029 - 2033 (100%)'!F11*0.5</f>
        <v>4531.84</v>
      </c>
      <c r="G11" s="9">
        <f>+'Curv hora 2029 - 2033 (100%)'!G11*0.5</f>
        <v>4236.6850000000004</v>
      </c>
      <c r="H11" s="9">
        <f>+'Curv hora 2029 - 2033 (100%)'!H11*0.5</f>
        <v>4142.835</v>
      </c>
      <c r="I11" s="9">
        <f>+'Curv hora 2029 - 2033 (100%)'!I11*0.5</f>
        <v>4032.1</v>
      </c>
      <c r="J11" s="9">
        <f>+'Curv hora 2029 - 2033 (100%)'!J11*0.5</f>
        <v>3970.3449999999998</v>
      </c>
      <c r="K11" s="9">
        <f>+'Curv hora 2029 - 2033 (100%)'!K11*0.5</f>
        <v>3893.15</v>
      </c>
      <c r="L11" s="9">
        <f>+'Curv hora 2029 - 2033 (100%)'!L11*0.5</f>
        <v>3387.4450000000002</v>
      </c>
      <c r="M11" s="9">
        <f>+'Curv hora 2029 - 2033 (100%)'!M11*0.5</f>
        <v>3978.16</v>
      </c>
      <c r="N11" s="9">
        <f>+'Curv hora 2029 - 2033 (100%)'!N11*0.5</f>
        <v>4430.2449999999999</v>
      </c>
      <c r="O11" s="9">
        <f>+'Curv hora 2029 - 2033 (100%)'!O11*0.5</f>
        <v>4864.5550000000003</v>
      </c>
      <c r="P11" s="9">
        <f>+'Curv hora 2029 - 2033 (100%)'!P11*0.5</f>
        <v>5234.4799999999996</v>
      </c>
      <c r="Q11" s="9">
        <f>+'Curv hora 2029 - 2033 (100%)'!Q11*0.5</f>
        <v>5400.875</v>
      </c>
      <c r="R11" s="9">
        <f>+'Curv hora 2029 - 2033 (100%)'!R11*0.5</f>
        <v>5341.7150000000001</v>
      </c>
      <c r="S11" s="9">
        <f>+'Curv hora 2029 - 2033 (100%)'!S11*0.5</f>
        <v>5213.2449999999999</v>
      </c>
      <c r="T11" s="9">
        <f>+'Curv hora 2029 - 2033 (100%)'!T11*0.5</f>
        <v>5189.59</v>
      </c>
      <c r="U11" s="9">
        <f>+'Curv hora 2029 - 2033 (100%)'!U11*0.5</f>
        <v>5160.88</v>
      </c>
      <c r="V11" s="9">
        <f>+'Curv hora 2029 - 2033 (100%)'!V11*0.5</f>
        <v>6228.95</v>
      </c>
      <c r="W11" s="9">
        <f>+'Curv hora 2029 - 2033 (100%)'!W11*0.5</f>
        <v>6806.32</v>
      </c>
      <c r="X11" s="9">
        <f>+'Curv hora 2029 - 2033 (100%)'!X11*0.5</f>
        <v>7333.5950000000003</v>
      </c>
      <c r="Y11" s="9">
        <f>+'Curv hora 2029 - 2033 (100%)'!Y11*0.5</f>
        <v>7050.54</v>
      </c>
      <c r="Z11" s="9">
        <f>+'Curv hora 2029 - 2033 (100%)'!Z11*0.5</f>
        <v>6560.46</v>
      </c>
      <c r="AA11" s="9">
        <f>+'Curv hora 2029 - 2033 (100%)'!AA11*0.5</f>
        <v>5906.17</v>
      </c>
      <c r="AB11" s="38">
        <f>+'Curv hora 2029 - 2033 (100%)'!AB11*0.5</f>
        <v>5300.73</v>
      </c>
      <c r="AC11" s="71"/>
    </row>
    <row r="12" spans="1:30" x14ac:dyDescent="0.3">
      <c r="A12" s="67">
        <v>47150</v>
      </c>
      <c r="B12" s="69">
        <f>DAY(EOMONTH(A12,0))</f>
        <v>28</v>
      </c>
      <c r="C12" s="3" t="s">
        <v>36</v>
      </c>
      <c r="D12" s="10">
        <v>20</v>
      </c>
      <c r="E12" s="33">
        <f>+'Curv hora 2029 - 2033 (100%)'!E12*0.5</f>
        <v>4592.71</v>
      </c>
      <c r="F12" s="13">
        <f>+'Curv hora 2029 - 2033 (100%)'!F12*0.5</f>
        <v>4321.2299999999996</v>
      </c>
      <c r="G12" s="13">
        <f>+'Curv hora 2029 - 2033 (100%)'!G12*0.5</f>
        <v>4098.54</v>
      </c>
      <c r="H12" s="13">
        <f>+'Curv hora 2029 - 2033 (100%)'!H12*0.5</f>
        <v>4038.2</v>
      </c>
      <c r="I12" s="13">
        <f>+'Curv hora 2029 - 2033 (100%)'!I12*0.5</f>
        <v>4016.52</v>
      </c>
      <c r="J12" s="13">
        <f>+'Curv hora 2029 - 2033 (100%)'!J12*0.5</f>
        <v>4272.29</v>
      </c>
      <c r="K12" s="13">
        <f>+'Curv hora 2029 - 2033 (100%)'!K12*0.5</f>
        <v>4632.1549999999997</v>
      </c>
      <c r="L12" s="13">
        <f>+'Curv hora 2029 - 2033 (100%)'!L12*0.5</f>
        <v>4103.4250000000002</v>
      </c>
      <c r="M12" s="13">
        <f>+'Curv hora 2029 - 2033 (100%)'!M12*0.5</f>
        <v>4765.74</v>
      </c>
      <c r="N12" s="13">
        <f>+'Curv hora 2029 - 2033 (100%)'!N12*0.5</f>
        <v>5130.33</v>
      </c>
      <c r="O12" s="13">
        <f>+'Curv hora 2029 - 2033 (100%)'!O12*0.5</f>
        <v>5537.1850000000004</v>
      </c>
      <c r="P12" s="13">
        <f>+'Curv hora 2029 - 2033 (100%)'!P12*0.5</f>
        <v>5880.2150000000001</v>
      </c>
      <c r="Q12" s="13">
        <f>+'Curv hora 2029 - 2033 (100%)'!Q12*0.5</f>
        <v>5638.42</v>
      </c>
      <c r="R12" s="13">
        <f>+'Curv hora 2029 - 2033 (100%)'!R12*0.5</f>
        <v>5831.875</v>
      </c>
      <c r="S12" s="13">
        <f>+'Curv hora 2029 - 2033 (100%)'!S12*0.5</f>
        <v>6280.8</v>
      </c>
      <c r="T12" s="13">
        <f>+'Curv hora 2029 - 2033 (100%)'!T12*0.5</f>
        <v>6387.58</v>
      </c>
      <c r="U12" s="13">
        <f>+'Curv hora 2029 - 2033 (100%)'!U12*0.5</f>
        <v>6371.76</v>
      </c>
      <c r="V12" s="13">
        <f>+'Curv hora 2029 - 2033 (100%)'!V12*0.5</f>
        <v>7337.03</v>
      </c>
      <c r="W12" s="13">
        <f>+'Curv hora 2029 - 2033 (100%)'!W12*0.5</f>
        <v>7664.2950000000001</v>
      </c>
      <c r="X12" s="13">
        <f>+'Curv hora 2029 - 2033 (100%)'!X12*0.5</f>
        <v>8110.43</v>
      </c>
      <c r="Y12" s="13">
        <f>+'Curv hora 2029 - 2033 (100%)'!Y12*0.5</f>
        <v>7679.56</v>
      </c>
      <c r="Z12" s="13">
        <f>+'Curv hora 2029 - 2033 (100%)'!Z12*0.5</f>
        <v>7014.5450000000001</v>
      </c>
      <c r="AA12" s="13">
        <f>+'Curv hora 2029 - 2033 (100%)'!AA12*0.5</f>
        <v>5859.9949999999999</v>
      </c>
      <c r="AB12" s="34">
        <f>+'Curv hora 2029 - 2033 (100%)'!AB12*0.5</f>
        <v>5260.7849999999999</v>
      </c>
      <c r="AC12" s="71">
        <f>SUMPRODUCT((E12:AB14)*D12:D14)</f>
        <v>3712458.7600000007</v>
      </c>
    </row>
    <row r="13" spans="1:30" x14ac:dyDescent="0.3">
      <c r="A13" s="68"/>
      <c r="B13" s="70"/>
      <c r="C13" t="s">
        <v>37</v>
      </c>
      <c r="D13" s="11">
        <v>4</v>
      </c>
      <c r="E13" s="35">
        <f>+'Curv hora 2029 - 2033 (100%)'!E13*0.5</f>
        <v>4451.37</v>
      </c>
      <c r="F13" s="5">
        <f>+'Curv hora 2029 - 2033 (100%)'!F13*0.5</f>
        <v>4153.9549999999999</v>
      </c>
      <c r="G13" s="5">
        <f>+'Curv hora 2029 - 2033 (100%)'!G13*0.5</f>
        <v>3909.3150000000001</v>
      </c>
      <c r="H13" s="5">
        <f>+'Curv hora 2029 - 2033 (100%)'!H13*0.5</f>
        <v>3812.3</v>
      </c>
      <c r="I13" s="5">
        <f>+'Curv hora 2029 - 2033 (100%)'!I13*0.5</f>
        <v>3806.9050000000002</v>
      </c>
      <c r="J13" s="5">
        <f>+'Curv hora 2029 - 2033 (100%)'!J13*0.5</f>
        <v>3898.5149999999999</v>
      </c>
      <c r="K13" s="5">
        <f>+'Curv hora 2029 - 2033 (100%)'!K13*0.5</f>
        <v>4050.17</v>
      </c>
      <c r="L13" s="5">
        <f>+'Curv hora 2029 - 2033 (100%)'!L13*0.5</f>
        <v>3622.96</v>
      </c>
      <c r="M13" s="5">
        <f>+'Curv hora 2029 - 2033 (100%)'!M13*0.5</f>
        <v>4400.5</v>
      </c>
      <c r="N13" s="5">
        <f>+'Curv hora 2029 - 2033 (100%)'!N13*0.5</f>
        <v>4972.2250000000004</v>
      </c>
      <c r="O13" s="5">
        <f>+'Curv hora 2029 - 2033 (100%)'!O13*0.5</f>
        <v>5407.62</v>
      </c>
      <c r="P13" s="5">
        <f>+'Curv hora 2029 - 2033 (100%)'!P13*0.5</f>
        <v>5766.5950000000003</v>
      </c>
      <c r="Q13" s="5">
        <f>+'Curv hora 2029 - 2033 (100%)'!Q13*0.5</f>
        <v>5724.61</v>
      </c>
      <c r="R13" s="5">
        <f>+'Curv hora 2029 - 2033 (100%)'!R13*0.5</f>
        <v>5612.53</v>
      </c>
      <c r="S13" s="5">
        <f>+'Curv hora 2029 - 2033 (100%)'!S13*0.5</f>
        <v>5587.5150000000003</v>
      </c>
      <c r="T13" s="5">
        <f>+'Curv hora 2029 - 2033 (100%)'!T13*0.5</f>
        <v>5752.2449999999999</v>
      </c>
      <c r="U13" s="5">
        <f>+'Curv hora 2029 - 2033 (100%)'!U13*0.5</f>
        <v>5808.9049999999997</v>
      </c>
      <c r="V13" s="5">
        <f>+'Curv hora 2029 - 2033 (100%)'!V13*0.5</f>
        <v>6812.335</v>
      </c>
      <c r="W13" s="5">
        <f>+'Curv hora 2029 - 2033 (100%)'!W13*0.5</f>
        <v>7348.7950000000001</v>
      </c>
      <c r="X13" s="5">
        <f>+'Curv hora 2029 - 2033 (100%)'!X13*0.5</f>
        <v>7812.4049999999997</v>
      </c>
      <c r="Y13" s="5">
        <f>+'Curv hora 2029 - 2033 (100%)'!Y13*0.5</f>
        <v>7430.42</v>
      </c>
      <c r="Z13" s="5">
        <f>+'Curv hora 2029 - 2033 (100%)'!Z13*0.5</f>
        <v>6841.125</v>
      </c>
      <c r="AA13" s="5">
        <f>+'Curv hora 2029 - 2033 (100%)'!AA13*0.5</f>
        <v>6120.3149999999996</v>
      </c>
      <c r="AB13" s="36">
        <f>+'Curv hora 2029 - 2033 (100%)'!AB13*0.5</f>
        <v>5396.0450000000001</v>
      </c>
      <c r="AC13" s="71"/>
    </row>
    <row r="14" spans="1:30" x14ac:dyDescent="0.3">
      <c r="A14" s="76"/>
      <c r="B14" s="77"/>
      <c r="C14" s="7" t="s">
        <v>38</v>
      </c>
      <c r="D14" s="12">
        <v>4</v>
      </c>
      <c r="E14" s="37">
        <f>+'Curv hora 2029 - 2033 (100%)'!E14*0.5</f>
        <v>4698.3450000000003</v>
      </c>
      <c r="F14" s="9">
        <f>+'Curv hora 2029 - 2033 (100%)'!F14*0.5</f>
        <v>4368.5050000000001</v>
      </c>
      <c r="G14" s="9">
        <f>+'Curv hora 2029 - 2033 (100%)'!G14*0.5</f>
        <v>4133.26</v>
      </c>
      <c r="H14" s="9">
        <f>+'Curv hora 2029 - 2033 (100%)'!H14*0.5</f>
        <v>3997.83</v>
      </c>
      <c r="I14" s="9">
        <f>+'Curv hora 2029 - 2033 (100%)'!I14*0.5</f>
        <v>3903.9</v>
      </c>
      <c r="J14" s="9">
        <f>+'Curv hora 2029 - 2033 (100%)'!J14*0.5</f>
        <v>3911.86</v>
      </c>
      <c r="K14" s="9">
        <f>+'Curv hora 2029 - 2033 (100%)'!K14*0.5</f>
        <v>3955.76</v>
      </c>
      <c r="L14" s="9">
        <f>+'Curv hora 2029 - 2033 (100%)'!L14*0.5</f>
        <v>3510.37</v>
      </c>
      <c r="M14" s="9">
        <f>+'Curv hora 2029 - 2033 (100%)'!M14*0.5</f>
        <v>4141.9449999999997</v>
      </c>
      <c r="N14" s="9">
        <f>+'Curv hora 2029 - 2033 (100%)'!N14*0.5</f>
        <v>4605.53</v>
      </c>
      <c r="O14" s="9">
        <f>+'Curv hora 2029 - 2033 (100%)'!O14*0.5</f>
        <v>5018.75</v>
      </c>
      <c r="P14" s="9">
        <f>+'Curv hora 2029 - 2033 (100%)'!P14*0.5</f>
        <v>5386.7349999999997</v>
      </c>
      <c r="Q14" s="9">
        <f>+'Curv hora 2029 - 2033 (100%)'!Q14*0.5</f>
        <v>5571.37</v>
      </c>
      <c r="R14" s="9">
        <f>+'Curv hora 2029 - 2033 (100%)'!R14*0.5</f>
        <v>5568.02</v>
      </c>
      <c r="S14" s="9">
        <f>+'Curv hora 2029 - 2033 (100%)'!S14*0.5</f>
        <v>5526.86</v>
      </c>
      <c r="T14" s="9">
        <f>+'Curv hora 2029 - 2033 (100%)'!T14*0.5</f>
        <v>5468.61</v>
      </c>
      <c r="U14" s="9">
        <f>+'Curv hora 2029 - 2033 (100%)'!U14*0.5</f>
        <v>5479.2950000000001</v>
      </c>
      <c r="V14" s="9">
        <f>+'Curv hora 2029 - 2033 (100%)'!V14*0.5</f>
        <v>6505.8850000000002</v>
      </c>
      <c r="W14" s="9">
        <f>+'Curv hora 2029 - 2033 (100%)'!W14*0.5</f>
        <v>7022.7150000000001</v>
      </c>
      <c r="X14" s="9">
        <f>+'Curv hora 2029 - 2033 (100%)'!X14*0.5</f>
        <v>7589.41</v>
      </c>
      <c r="Y14" s="9">
        <f>+'Curv hora 2029 - 2033 (100%)'!Y14*0.5</f>
        <v>7386.7550000000001</v>
      </c>
      <c r="Z14" s="9">
        <f>+'Curv hora 2029 - 2033 (100%)'!Z14*0.5</f>
        <v>6931.6750000000002</v>
      </c>
      <c r="AA14" s="9">
        <f>+'Curv hora 2029 - 2033 (100%)'!AA14*0.5</f>
        <v>6042.5349999999999</v>
      </c>
      <c r="AB14" s="38">
        <f>+'Curv hora 2029 - 2033 (100%)'!AB14*0.5</f>
        <v>4761.0200000000004</v>
      </c>
      <c r="AC14" s="71"/>
    </row>
    <row r="15" spans="1:30" x14ac:dyDescent="0.3">
      <c r="A15" s="67">
        <v>47178</v>
      </c>
      <c r="B15" s="69">
        <f t="shared" ref="B15" si="0">DAY(EOMONTH(A15,0))</f>
        <v>31</v>
      </c>
      <c r="C15" s="3" t="s">
        <v>36</v>
      </c>
      <c r="D15" s="10">
        <v>19</v>
      </c>
      <c r="E15" s="33">
        <f>+'Curv hora 2029 - 2033 (100%)'!E15*0.5</f>
        <v>4412.7700000000004</v>
      </c>
      <c r="F15" s="13">
        <f>+'Curv hora 2029 - 2033 (100%)'!F15*0.5</f>
        <v>4128.6899999999996</v>
      </c>
      <c r="G15" s="13">
        <f>+'Curv hora 2029 - 2033 (100%)'!G15*0.5</f>
        <v>3966.35</v>
      </c>
      <c r="H15" s="13">
        <f>+'Curv hora 2029 - 2033 (100%)'!H15*0.5</f>
        <v>3884.7049999999999</v>
      </c>
      <c r="I15" s="13">
        <f>+'Curv hora 2029 - 2033 (100%)'!I15*0.5</f>
        <v>3898</v>
      </c>
      <c r="J15" s="13">
        <f>+'Curv hora 2029 - 2033 (100%)'!J15*0.5</f>
        <v>4173</v>
      </c>
      <c r="K15" s="13">
        <f>+'Curv hora 2029 - 2033 (100%)'!K15*0.5</f>
        <v>4534.01</v>
      </c>
      <c r="L15" s="13">
        <f>+'Curv hora 2029 - 2033 (100%)'!L15*0.5</f>
        <v>4028.41</v>
      </c>
      <c r="M15" s="13">
        <f>+'Curv hora 2029 - 2033 (100%)'!M15*0.5</f>
        <v>4650.6850000000004</v>
      </c>
      <c r="N15" s="13">
        <f>+'Curv hora 2029 - 2033 (100%)'!N15*0.5</f>
        <v>5089.3249999999998</v>
      </c>
      <c r="O15" s="13">
        <f>+'Curv hora 2029 - 2033 (100%)'!O15*0.5</f>
        <v>5449.0550000000003</v>
      </c>
      <c r="P15" s="13">
        <f>+'Curv hora 2029 - 2033 (100%)'!P15*0.5</f>
        <v>5757.53</v>
      </c>
      <c r="Q15" s="13">
        <f>+'Curv hora 2029 - 2033 (100%)'!Q15*0.5</f>
        <v>5406.28</v>
      </c>
      <c r="R15" s="13">
        <f>+'Curv hora 2029 - 2033 (100%)'!R15*0.5</f>
        <v>5696.95</v>
      </c>
      <c r="S15" s="13">
        <f>+'Curv hora 2029 - 2033 (100%)'!S15*0.5</f>
        <v>6041.67</v>
      </c>
      <c r="T15" s="13">
        <f>+'Curv hora 2029 - 2033 (100%)'!T15*0.5</f>
        <v>6159.22</v>
      </c>
      <c r="U15" s="13">
        <f>+'Curv hora 2029 - 2033 (100%)'!U15*0.5</f>
        <v>6132.8249999999998</v>
      </c>
      <c r="V15" s="13">
        <f>+'Curv hora 2029 - 2033 (100%)'!V15*0.5</f>
        <v>7061.04</v>
      </c>
      <c r="W15" s="13">
        <f>+'Curv hora 2029 - 2033 (100%)'!W15*0.5</f>
        <v>7452.2550000000001</v>
      </c>
      <c r="X15" s="13">
        <f>+'Curv hora 2029 - 2033 (100%)'!X15*0.5</f>
        <v>7915.7749999999996</v>
      </c>
      <c r="Y15" s="13">
        <f>+'Curv hora 2029 - 2033 (100%)'!Y15*0.5</f>
        <v>7464.78</v>
      </c>
      <c r="Z15" s="13">
        <f>+'Curv hora 2029 - 2033 (100%)'!Z15*0.5</f>
        <v>6781.7049999999999</v>
      </c>
      <c r="AA15" s="13">
        <f>+'Curv hora 2029 - 2033 (100%)'!AA15*0.5</f>
        <v>5825.9</v>
      </c>
      <c r="AB15" s="34">
        <f>+'Curv hora 2029 - 2033 (100%)'!AB15*0.5</f>
        <v>5069.51</v>
      </c>
      <c r="AC15" s="71">
        <f>SUMPRODUCT((E15:AB17)*D15:D17)</f>
        <v>3960830.51</v>
      </c>
    </row>
    <row r="16" spans="1:30" x14ac:dyDescent="0.3">
      <c r="A16" s="68"/>
      <c r="B16" s="70"/>
      <c r="C16" t="s">
        <v>37</v>
      </c>
      <c r="D16" s="11">
        <v>5</v>
      </c>
      <c r="E16" s="35">
        <f>+'Curv hora 2029 - 2033 (100%)'!E16*0.5</f>
        <v>4089.4050000000002</v>
      </c>
      <c r="F16" s="5">
        <f>+'Curv hora 2029 - 2033 (100%)'!F16*0.5</f>
        <v>4000.48</v>
      </c>
      <c r="G16" s="5">
        <f>+'Curv hora 2029 - 2033 (100%)'!G16*0.5</f>
        <v>3827.45</v>
      </c>
      <c r="H16" s="5">
        <f>+'Curv hora 2029 - 2033 (100%)'!H16*0.5</f>
        <v>3717.125</v>
      </c>
      <c r="I16" s="5">
        <f>+'Curv hora 2029 - 2033 (100%)'!I16*0.5</f>
        <v>3718.16</v>
      </c>
      <c r="J16" s="5">
        <f>+'Curv hora 2029 - 2033 (100%)'!J16*0.5</f>
        <v>3838.72</v>
      </c>
      <c r="K16" s="5">
        <f>+'Curv hora 2029 - 2033 (100%)'!K16*0.5</f>
        <v>4050.5349999999999</v>
      </c>
      <c r="L16" s="5">
        <f>+'Curv hora 2029 - 2033 (100%)'!L16*0.5</f>
        <v>3639.21</v>
      </c>
      <c r="M16" s="5">
        <f>+'Curv hora 2029 - 2033 (100%)'!M16*0.5</f>
        <v>4411.17</v>
      </c>
      <c r="N16" s="5">
        <f>+'Curv hora 2029 - 2033 (100%)'!N16*0.5</f>
        <v>4875.7150000000001</v>
      </c>
      <c r="O16" s="5">
        <f>+'Curv hora 2029 - 2033 (100%)'!O16*0.5</f>
        <v>5207.99</v>
      </c>
      <c r="P16" s="5">
        <f>+'Curv hora 2029 - 2033 (100%)'!P16*0.5</f>
        <v>5469.62</v>
      </c>
      <c r="Q16" s="5">
        <f>+'Curv hora 2029 - 2033 (100%)'!Q16*0.5</f>
        <v>5397.5950000000003</v>
      </c>
      <c r="R16" s="5">
        <f>+'Curv hora 2029 - 2033 (100%)'!R16*0.5</f>
        <v>5303.51</v>
      </c>
      <c r="S16" s="5">
        <f>+'Curv hora 2029 - 2033 (100%)'!S16*0.5</f>
        <v>5391.2849999999999</v>
      </c>
      <c r="T16" s="5">
        <f>+'Curv hora 2029 - 2033 (100%)'!T16*0.5</f>
        <v>5437.415</v>
      </c>
      <c r="U16" s="5">
        <f>+'Curv hora 2029 - 2033 (100%)'!U16*0.5</f>
        <v>5517.87</v>
      </c>
      <c r="V16" s="5">
        <f>+'Curv hora 2029 - 2033 (100%)'!V16*0.5</f>
        <v>6572.8950000000004</v>
      </c>
      <c r="W16" s="5">
        <f>+'Curv hora 2029 - 2033 (100%)'!W16*0.5</f>
        <v>7169.2449999999999</v>
      </c>
      <c r="X16" s="5">
        <f>+'Curv hora 2029 - 2033 (100%)'!X16*0.5</f>
        <v>7519.01</v>
      </c>
      <c r="Y16" s="5">
        <f>+'Curv hora 2029 - 2033 (100%)'!Y16*0.5</f>
        <v>7101.58</v>
      </c>
      <c r="Z16" s="5">
        <f>+'Curv hora 2029 - 2033 (100%)'!Z16*0.5</f>
        <v>6583.415</v>
      </c>
      <c r="AA16" s="5">
        <f>+'Curv hora 2029 - 2033 (100%)'!AA16*0.5</f>
        <v>5884.5649999999996</v>
      </c>
      <c r="AB16" s="36">
        <f>+'Curv hora 2029 - 2033 (100%)'!AB16*0.5</f>
        <v>5194.75</v>
      </c>
      <c r="AC16" s="71"/>
    </row>
    <row r="17" spans="1:29" x14ac:dyDescent="0.3">
      <c r="A17" s="76"/>
      <c r="B17" s="77"/>
      <c r="C17" s="7" t="s">
        <v>38</v>
      </c>
      <c r="D17" s="12">
        <v>7</v>
      </c>
      <c r="E17" s="37">
        <f>+'Curv hora 2029 - 2033 (100%)'!E17*0.5</f>
        <v>4575.6400000000003</v>
      </c>
      <c r="F17" s="9">
        <f>+'Curv hora 2029 - 2033 (100%)'!F17*0.5</f>
        <v>4273.2250000000004</v>
      </c>
      <c r="G17" s="9">
        <f>+'Curv hora 2029 - 2033 (100%)'!G17*0.5</f>
        <v>4060.2849999999999</v>
      </c>
      <c r="H17" s="9">
        <f>+'Curv hora 2029 - 2033 (100%)'!H17*0.5</f>
        <v>3938.5949999999998</v>
      </c>
      <c r="I17" s="9">
        <f>+'Curv hora 2029 - 2033 (100%)'!I17*0.5</f>
        <v>3891.6849999999999</v>
      </c>
      <c r="J17" s="9">
        <f>+'Curv hora 2029 - 2033 (100%)'!J17*0.5</f>
        <v>3905.93</v>
      </c>
      <c r="K17" s="9">
        <f>+'Curv hora 2029 - 2033 (100%)'!K17*0.5</f>
        <v>3967.48</v>
      </c>
      <c r="L17" s="9">
        <f>+'Curv hora 2029 - 2033 (100%)'!L17*0.5</f>
        <v>3519.77</v>
      </c>
      <c r="M17" s="9">
        <f>+'Curv hora 2029 - 2033 (100%)'!M17*0.5</f>
        <v>4110.49</v>
      </c>
      <c r="N17" s="9">
        <f>+'Curv hora 2029 - 2033 (100%)'!N17*0.5</f>
        <v>4521.8549999999996</v>
      </c>
      <c r="O17" s="9">
        <f>+'Curv hora 2029 - 2033 (100%)'!O17*0.5</f>
        <v>4806.9650000000001</v>
      </c>
      <c r="P17" s="9">
        <f>+'Curv hora 2029 - 2033 (100%)'!P17*0.5</f>
        <v>5028.0749999999998</v>
      </c>
      <c r="Q17" s="9">
        <f>+'Curv hora 2029 - 2033 (100%)'!Q17*0.5</f>
        <v>5186.6350000000002</v>
      </c>
      <c r="R17" s="9">
        <f>+'Curv hora 2029 - 2033 (100%)'!R17*0.5</f>
        <v>5167.95</v>
      </c>
      <c r="S17" s="9">
        <f>+'Curv hora 2029 - 2033 (100%)'!S17*0.5</f>
        <v>5220.78</v>
      </c>
      <c r="T17" s="9">
        <f>+'Curv hora 2029 - 2033 (100%)'!T17*0.5</f>
        <v>5251.43</v>
      </c>
      <c r="U17" s="9">
        <f>+'Curv hora 2029 - 2033 (100%)'!U17*0.5</f>
        <v>5253.0649999999996</v>
      </c>
      <c r="V17" s="9">
        <f>+'Curv hora 2029 - 2033 (100%)'!V17*0.5</f>
        <v>6349.835</v>
      </c>
      <c r="W17" s="9">
        <f>+'Curv hora 2029 - 2033 (100%)'!W17*0.5</f>
        <v>6973.3</v>
      </c>
      <c r="X17" s="9">
        <f>+'Curv hora 2029 - 2033 (100%)'!X17*0.5</f>
        <v>7304.9350000000004</v>
      </c>
      <c r="Y17" s="9">
        <f>+'Curv hora 2029 - 2033 (100%)'!Y17*0.5</f>
        <v>7037.58</v>
      </c>
      <c r="Z17" s="9">
        <f>+'Curv hora 2029 - 2033 (100%)'!Z17*0.5</f>
        <v>6534.415</v>
      </c>
      <c r="AA17" s="9">
        <f>+'Curv hora 2029 - 2033 (100%)'!AA17*0.5</f>
        <v>5796.78</v>
      </c>
      <c r="AB17" s="38">
        <f>+'Curv hora 2029 - 2033 (100%)'!AB17*0.5</f>
        <v>5124.5249999999996</v>
      </c>
      <c r="AC17" s="71"/>
    </row>
    <row r="18" spans="1:29" x14ac:dyDescent="0.3">
      <c r="A18" s="67">
        <v>47209</v>
      </c>
      <c r="B18" s="69">
        <f t="shared" ref="B18" si="1">DAY(EOMONTH(A18,0))</f>
        <v>30</v>
      </c>
      <c r="C18" s="3" t="s">
        <v>36</v>
      </c>
      <c r="D18" s="10">
        <v>21</v>
      </c>
      <c r="E18" s="33">
        <f>+'Curv hora 2029 - 2033 (100%)'!E18*0.5</f>
        <v>4439.415</v>
      </c>
      <c r="F18" s="13">
        <f>+'Curv hora 2029 - 2033 (100%)'!F18*0.5</f>
        <v>4199.25</v>
      </c>
      <c r="G18" s="13">
        <f>+'Curv hora 2029 - 2033 (100%)'!G18*0.5</f>
        <v>4038.72</v>
      </c>
      <c r="H18" s="13">
        <f>+'Curv hora 2029 - 2033 (100%)'!H18*0.5</f>
        <v>3926.0050000000001</v>
      </c>
      <c r="I18" s="13">
        <f>+'Curv hora 2029 - 2033 (100%)'!I18*0.5</f>
        <v>3928.8</v>
      </c>
      <c r="J18" s="13">
        <f>+'Curv hora 2029 - 2033 (100%)'!J18*0.5</f>
        <v>4236.84</v>
      </c>
      <c r="K18" s="13">
        <f>+'Curv hora 2029 - 2033 (100%)'!K18*0.5</f>
        <v>4545.16</v>
      </c>
      <c r="L18" s="13">
        <f>+'Curv hora 2029 - 2033 (100%)'!L18*0.5</f>
        <v>4046.83</v>
      </c>
      <c r="M18" s="13">
        <f>+'Curv hora 2029 - 2033 (100%)'!M18*0.5</f>
        <v>4710.2449999999999</v>
      </c>
      <c r="N18" s="13">
        <f>+'Curv hora 2029 - 2033 (100%)'!N18*0.5</f>
        <v>5136.82</v>
      </c>
      <c r="O18" s="13">
        <f>+'Curv hora 2029 - 2033 (100%)'!O18*0.5</f>
        <v>5480.01</v>
      </c>
      <c r="P18" s="13">
        <f>+'Curv hora 2029 - 2033 (100%)'!P18*0.5</f>
        <v>5743.1750000000002</v>
      </c>
      <c r="Q18" s="13">
        <f>+'Curv hora 2029 - 2033 (100%)'!Q18*0.5</f>
        <v>5598.4549999999999</v>
      </c>
      <c r="R18" s="13">
        <f>+'Curv hora 2029 - 2033 (100%)'!R18*0.5</f>
        <v>5710.75</v>
      </c>
      <c r="S18" s="13">
        <f>+'Curv hora 2029 - 2033 (100%)'!S18*0.5</f>
        <v>6182.1350000000002</v>
      </c>
      <c r="T18" s="13">
        <f>+'Curv hora 2029 - 2033 (100%)'!T18*0.5</f>
        <v>6337.2049999999999</v>
      </c>
      <c r="U18" s="13">
        <f>+'Curv hora 2029 - 2033 (100%)'!U18*0.5</f>
        <v>6352.0150000000003</v>
      </c>
      <c r="V18" s="13">
        <f>+'Curv hora 2029 - 2033 (100%)'!V18*0.5</f>
        <v>7329.37</v>
      </c>
      <c r="W18" s="13">
        <f>+'Curv hora 2029 - 2033 (100%)'!W18*0.5</f>
        <v>8020.12</v>
      </c>
      <c r="X18" s="13">
        <f>+'Curv hora 2029 - 2033 (100%)'!X18*0.5</f>
        <v>8153.57</v>
      </c>
      <c r="Y18" s="13">
        <f>+'Curv hora 2029 - 2033 (100%)'!Y18*0.5</f>
        <v>7686.8</v>
      </c>
      <c r="Z18" s="13">
        <f>+'Curv hora 2029 - 2033 (100%)'!Z18*0.5</f>
        <v>6988.54</v>
      </c>
      <c r="AA18" s="13">
        <f>+'Curv hora 2029 - 2033 (100%)'!AA18*0.5</f>
        <v>6011.1750000000002</v>
      </c>
      <c r="AB18" s="34">
        <f>+'Curv hora 2029 - 2033 (100%)'!AB18*0.5</f>
        <v>5192.3249999999998</v>
      </c>
      <c r="AC18" s="71">
        <f>SUMPRODUCT((E18:AB20)*D18:D20)</f>
        <v>4005391.379999999</v>
      </c>
    </row>
    <row r="19" spans="1:29" x14ac:dyDescent="0.3">
      <c r="A19" s="68"/>
      <c r="B19" s="70"/>
      <c r="C19" t="s">
        <v>37</v>
      </c>
      <c r="D19" s="11">
        <v>4</v>
      </c>
      <c r="E19" s="35">
        <f>+'Curv hora 2029 - 2033 (100%)'!E19*0.5</f>
        <v>4540.5150000000003</v>
      </c>
      <c r="F19" s="5">
        <f>+'Curv hora 2029 - 2033 (100%)'!F19*0.5</f>
        <v>4252.17</v>
      </c>
      <c r="G19" s="5">
        <f>+'Curv hora 2029 - 2033 (100%)'!G19*0.5</f>
        <v>4044.09</v>
      </c>
      <c r="H19" s="5">
        <f>+'Curv hora 2029 - 2033 (100%)'!H19*0.5</f>
        <v>3925.0450000000001</v>
      </c>
      <c r="I19" s="5">
        <f>+'Curv hora 2029 - 2033 (100%)'!I19*0.5</f>
        <v>3910.3850000000002</v>
      </c>
      <c r="J19" s="5">
        <f>+'Curv hora 2029 - 2033 (100%)'!J19*0.5</f>
        <v>4023.7049999999999</v>
      </c>
      <c r="K19" s="5">
        <f>+'Curv hora 2029 - 2033 (100%)'!K19*0.5</f>
        <v>4201.5950000000003</v>
      </c>
      <c r="L19" s="5">
        <f>+'Curv hora 2029 - 2033 (100%)'!L19*0.5</f>
        <v>3863.97</v>
      </c>
      <c r="M19" s="5">
        <f>+'Curv hora 2029 - 2033 (100%)'!M19*0.5</f>
        <v>4661.5450000000001</v>
      </c>
      <c r="N19" s="5">
        <f>+'Curv hora 2029 - 2033 (100%)'!N19*0.5</f>
        <v>5231.7299999999996</v>
      </c>
      <c r="O19" s="5">
        <f>+'Curv hora 2029 - 2033 (100%)'!O19*0.5</f>
        <v>5734.3649999999998</v>
      </c>
      <c r="P19" s="5">
        <f>+'Curv hora 2029 - 2033 (100%)'!P19*0.5</f>
        <v>6115.89</v>
      </c>
      <c r="Q19" s="5">
        <f>+'Curv hora 2029 - 2033 (100%)'!Q19*0.5</f>
        <v>6130.4750000000004</v>
      </c>
      <c r="R19" s="5">
        <f>+'Curv hora 2029 - 2033 (100%)'!R19*0.5</f>
        <v>6123.2049999999999</v>
      </c>
      <c r="S19" s="5">
        <f>+'Curv hora 2029 - 2033 (100%)'!S19*0.5</f>
        <v>6068</v>
      </c>
      <c r="T19" s="5">
        <f>+'Curv hora 2029 - 2033 (100%)'!T19*0.5</f>
        <v>5947.835</v>
      </c>
      <c r="U19" s="5">
        <f>+'Curv hora 2029 - 2033 (100%)'!U19*0.5</f>
        <v>5894.51</v>
      </c>
      <c r="V19" s="5">
        <f>+'Curv hora 2029 - 2033 (100%)'!V19*0.5</f>
        <v>6877.335</v>
      </c>
      <c r="W19" s="5">
        <f>+'Curv hora 2029 - 2033 (100%)'!W19*0.5</f>
        <v>7542.8649999999998</v>
      </c>
      <c r="X19" s="5">
        <f>+'Curv hora 2029 - 2033 (100%)'!X19*0.5</f>
        <v>7816.35</v>
      </c>
      <c r="Y19" s="5">
        <f>+'Curv hora 2029 - 2033 (100%)'!Y19*0.5</f>
        <v>7576.18</v>
      </c>
      <c r="Z19" s="5">
        <f>+'Curv hora 2029 - 2033 (100%)'!Z19*0.5</f>
        <v>7046.3549999999996</v>
      </c>
      <c r="AA19" s="5">
        <f>+'Curv hora 2029 - 2033 (100%)'!AA19*0.5</f>
        <v>6357.3050000000003</v>
      </c>
      <c r="AB19" s="36">
        <f>+'Curv hora 2029 - 2033 (100%)'!AB19*0.5</f>
        <v>5734.73</v>
      </c>
      <c r="AC19" s="71"/>
    </row>
    <row r="20" spans="1:29" x14ac:dyDescent="0.3">
      <c r="A20" s="76"/>
      <c r="B20" s="77"/>
      <c r="C20" s="7" t="s">
        <v>38</v>
      </c>
      <c r="D20" s="12">
        <v>5</v>
      </c>
      <c r="E20" s="37">
        <f>+'Curv hora 2029 - 2033 (100%)'!E20*0.5</f>
        <v>4991.18</v>
      </c>
      <c r="F20" s="9">
        <f>+'Curv hora 2029 - 2033 (100%)'!F20*0.5</f>
        <v>4627.33</v>
      </c>
      <c r="G20" s="9">
        <f>+'Curv hora 2029 - 2033 (100%)'!G20*0.5</f>
        <v>4355.0050000000001</v>
      </c>
      <c r="H20" s="9">
        <f>+'Curv hora 2029 - 2033 (100%)'!H20*0.5</f>
        <v>4178.1850000000004</v>
      </c>
      <c r="I20" s="9">
        <f>+'Curv hora 2029 - 2033 (100%)'!I20*0.5</f>
        <v>4089.33</v>
      </c>
      <c r="J20" s="9">
        <f>+'Curv hora 2029 - 2033 (100%)'!J20*0.5</f>
        <v>4098.7049999999999</v>
      </c>
      <c r="K20" s="9">
        <f>+'Curv hora 2029 - 2033 (100%)'!K20*0.5</f>
        <v>4233.0450000000001</v>
      </c>
      <c r="L20" s="9">
        <f>+'Curv hora 2029 - 2033 (100%)'!L20*0.5</f>
        <v>3666.33</v>
      </c>
      <c r="M20" s="9">
        <f>+'Curv hora 2029 - 2033 (100%)'!M20*0.5</f>
        <v>4273.49</v>
      </c>
      <c r="N20" s="9">
        <f>+'Curv hora 2029 - 2033 (100%)'!N20*0.5</f>
        <v>4736.7449999999999</v>
      </c>
      <c r="O20" s="9">
        <f>+'Curv hora 2029 - 2033 (100%)'!O20*0.5</f>
        <v>5140.3999999999996</v>
      </c>
      <c r="P20" s="9">
        <f>+'Curv hora 2029 - 2033 (100%)'!P20*0.5</f>
        <v>5545.84</v>
      </c>
      <c r="Q20" s="9">
        <f>+'Curv hora 2029 - 2033 (100%)'!Q20*0.5</f>
        <v>5788.78</v>
      </c>
      <c r="R20" s="9">
        <f>+'Curv hora 2029 - 2033 (100%)'!R20*0.5</f>
        <v>5801.76</v>
      </c>
      <c r="S20" s="9">
        <f>+'Curv hora 2029 - 2033 (100%)'!S20*0.5</f>
        <v>5825.45</v>
      </c>
      <c r="T20" s="9">
        <f>+'Curv hora 2029 - 2033 (100%)'!T20*0.5</f>
        <v>5844.9</v>
      </c>
      <c r="U20" s="9">
        <f>+'Curv hora 2029 - 2033 (100%)'!U20*0.5</f>
        <v>5790.9549999999999</v>
      </c>
      <c r="V20" s="9">
        <f>+'Curv hora 2029 - 2033 (100%)'!V20*0.5</f>
        <v>6782.81</v>
      </c>
      <c r="W20" s="9">
        <f>+'Curv hora 2029 - 2033 (100%)'!W20*0.5</f>
        <v>7666.9250000000002</v>
      </c>
      <c r="X20" s="9">
        <f>+'Curv hora 2029 - 2033 (100%)'!X20*0.5</f>
        <v>8050.5150000000003</v>
      </c>
      <c r="Y20" s="9">
        <f>+'Curv hora 2029 - 2033 (100%)'!Y20*0.5</f>
        <v>7881.915</v>
      </c>
      <c r="Z20" s="9">
        <f>+'Curv hora 2029 - 2033 (100%)'!Z20*0.5</f>
        <v>7215.65</v>
      </c>
      <c r="AA20" s="9">
        <f>+'Curv hora 2029 - 2033 (100%)'!AA20*0.5</f>
        <v>6046.0249999999996</v>
      </c>
      <c r="AB20" s="38">
        <f>+'Curv hora 2029 - 2033 (100%)'!AB20*0.5</f>
        <v>4777.22</v>
      </c>
      <c r="AC20" s="71"/>
    </row>
    <row r="21" spans="1:29" x14ac:dyDescent="0.3">
      <c r="A21" s="67">
        <v>47239</v>
      </c>
      <c r="B21" s="69">
        <f t="shared" ref="B21" si="2">DAY(EOMONTH(A21,0))</f>
        <v>31</v>
      </c>
      <c r="C21" s="3" t="s">
        <v>36</v>
      </c>
      <c r="D21" s="10">
        <v>21</v>
      </c>
      <c r="E21" s="33">
        <f>+'Curv hora 2029 - 2033 (100%)'!E21*0.5</f>
        <v>4187.45</v>
      </c>
      <c r="F21" s="13">
        <f>+'Curv hora 2029 - 2033 (100%)'!F21*0.5</f>
        <v>3920.62</v>
      </c>
      <c r="G21" s="13">
        <f>+'Curv hora 2029 - 2033 (100%)'!G21*0.5</f>
        <v>3767.36</v>
      </c>
      <c r="H21" s="13">
        <f>+'Curv hora 2029 - 2033 (100%)'!H21*0.5</f>
        <v>3654.9549999999999</v>
      </c>
      <c r="I21" s="13">
        <f>+'Curv hora 2029 - 2033 (100%)'!I21*0.5</f>
        <v>3622.2449999999999</v>
      </c>
      <c r="J21" s="13">
        <f>+'Curv hora 2029 - 2033 (100%)'!J21*0.5</f>
        <v>3934.2049999999999</v>
      </c>
      <c r="K21" s="13">
        <f>+'Curv hora 2029 - 2033 (100%)'!K21*0.5</f>
        <v>4359.625</v>
      </c>
      <c r="L21" s="13">
        <f>+'Curv hora 2029 - 2033 (100%)'!L21*0.5</f>
        <v>3913.0349999999999</v>
      </c>
      <c r="M21" s="13">
        <f>+'Curv hora 2029 - 2033 (100%)'!M21*0.5</f>
        <v>4545.7749999999996</v>
      </c>
      <c r="N21" s="13">
        <f>+'Curv hora 2029 - 2033 (100%)'!N21*0.5</f>
        <v>4929.7349999999997</v>
      </c>
      <c r="O21" s="13">
        <f>+'Curv hora 2029 - 2033 (100%)'!O21*0.5</f>
        <v>5345.6049999999996</v>
      </c>
      <c r="P21" s="13">
        <f>+'Curv hora 2029 - 2033 (100%)'!P21*0.5</f>
        <v>5637.5</v>
      </c>
      <c r="Q21" s="13">
        <f>+'Curv hora 2029 - 2033 (100%)'!Q21*0.5</f>
        <v>5426.2849999999999</v>
      </c>
      <c r="R21" s="13">
        <f>+'Curv hora 2029 - 2033 (100%)'!R21*0.5</f>
        <v>5409.72</v>
      </c>
      <c r="S21" s="13">
        <f>+'Curv hora 2029 - 2033 (100%)'!S21*0.5</f>
        <v>5751.8450000000003</v>
      </c>
      <c r="T21" s="13">
        <f>+'Curv hora 2029 - 2033 (100%)'!T21*0.5</f>
        <v>5903.64</v>
      </c>
      <c r="U21" s="13">
        <f>+'Curv hora 2029 - 2033 (100%)'!U21*0.5</f>
        <v>5921.93</v>
      </c>
      <c r="V21" s="13">
        <f>+'Curv hora 2029 - 2033 (100%)'!V21*0.5</f>
        <v>7004.415</v>
      </c>
      <c r="W21" s="13">
        <f>+'Curv hora 2029 - 2033 (100%)'!W21*0.5</f>
        <v>7703.0749999999998</v>
      </c>
      <c r="X21" s="13">
        <f>+'Curv hora 2029 - 2033 (100%)'!X21*0.5</f>
        <v>7867.4650000000001</v>
      </c>
      <c r="Y21" s="13">
        <f>+'Curv hora 2029 - 2033 (100%)'!Y21*0.5</f>
        <v>7394.54</v>
      </c>
      <c r="Z21" s="13">
        <f>+'Curv hora 2029 - 2033 (100%)'!Z21*0.5</f>
        <v>6692.665</v>
      </c>
      <c r="AA21" s="13">
        <f>+'Curv hora 2029 - 2033 (100%)'!AA21*0.5</f>
        <v>5680.39</v>
      </c>
      <c r="AB21" s="34">
        <f>+'Curv hora 2029 - 2033 (100%)'!AB21*0.5</f>
        <v>4891.25</v>
      </c>
      <c r="AC21" s="71">
        <f>SUMPRODUCT((E21:AB23)*D21:D23)</f>
        <v>3902733.3600000003</v>
      </c>
    </row>
    <row r="22" spans="1:29" x14ac:dyDescent="0.3">
      <c r="A22" s="68"/>
      <c r="B22" s="70"/>
      <c r="C22" t="s">
        <v>37</v>
      </c>
      <c r="D22" s="11">
        <v>4</v>
      </c>
      <c r="E22" s="35">
        <f>+'Curv hora 2029 - 2033 (100%)'!E22*0.5</f>
        <v>4292.1400000000003</v>
      </c>
      <c r="F22" s="5">
        <f>+'Curv hora 2029 - 2033 (100%)'!F22*0.5</f>
        <v>4021.48</v>
      </c>
      <c r="G22" s="5">
        <f>+'Curv hora 2029 - 2033 (100%)'!G22*0.5</f>
        <v>3807.82</v>
      </c>
      <c r="H22" s="5">
        <f>+'Curv hora 2029 - 2033 (100%)'!H22*0.5</f>
        <v>3702.6149999999998</v>
      </c>
      <c r="I22" s="5">
        <f>+'Curv hora 2029 - 2033 (100%)'!I22*0.5</f>
        <v>3669.13</v>
      </c>
      <c r="J22" s="5">
        <f>+'Curv hora 2029 - 2033 (100%)'!J22*0.5</f>
        <v>3801.07</v>
      </c>
      <c r="K22" s="5">
        <f>+'Curv hora 2029 - 2033 (100%)'!K22*0.5</f>
        <v>4021.09</v>
      </c>
      <c r="L22" s="5">
        <f>+'Curv hora 2029 - 2033 (100%)'!L22*0.5</f>
        <v>3707.96</v>
      </c>
      <c r="M22" s="5">
        <f>+'Curv hora 2029 - 2033 (100%)'!M22*0.5</f>
        <v>4370.6949999999997</v>
      </c>
      <c r="N22" s="5">
        <f>+'Curv hora 2029 - 2033 (100%)'!N22*0.5</f>
        <v>4871.7849999999999</v>
      </c>
      <c r="O22" s="5">
        <f>+'Curv hora 2029 - 2033 (100%)'!O22*0.5</f>
        <v>5199.07</v>
      </c>
      <c r="P22" s="5">
        <f>+'Curv hora 2029 - 2033 (100%)'!P22*0.5</f>
        <v>5476.72</v>
      </c>
      <c r="Q22" s="5">
        <f>+'Curv hora 2029 - 2033 (100%)'!Q22*0.5</f>
        <v>5415.91</v>
      </c>
      <c r="R22" s="5">
        <f>+'Curv hora 2029 - 2033 (100%)'!R22*0.5</f>
        <v>5276.65</v>
      </c>
      <c r="S22" s="5">
        <f>+'Curv hora 2029 - 2033 (100%)'!S22*0.5</f>
        <v>5273.5349999999999</v>
      </c>
      <c r="T22" s="5">
        <f>+'Curv hora 2029 - 2033 (100%)'!T22*0.5</f>
        <v>5319.9049999999997</v>
      </c>
      <c r="U22" s="5">
        <f>+'Curv hora 2029 - 2033 (100%)'!U22*0.5</f>
        <v>5353.08</v>
      </c>
      <c r="V22" s="5">
        <f>+'Curv hora 2029 - 2033 (100%)'!V22*0.5</f>
        <v>6534.3850000000002</v>
      </c>
      <c r="W22" s="5">
        <f>+'Curv hora 2029 - 2033 (100%)'!W22*0.5</f>
        <v>7320.1850000000004</v>
      </c>
      <c r="X22" s="5">
        <f>+'Curv hora 2029 - 2033 (100%)'!X22*0.5</f>
        <v>7453.415</v>
      </c>
      <c r="Y22" s="5">
        <f>+'Curv hora 2029 - 2033 (100%)'!Y22*0.5</f>
        <v>7025.5349999999999</v>
      </c>
      <c r="Z22" s="5">
        <f>+'Curv hora 2029 - 2033 (100%)'!Z22*0.5</f>
        <v>6493.4549999999999</v>
      </c>
      <c r="AA22" s="5">
        <f>+'Curv hora 2029 - 2033 (100%)'!AA22*0.5</f>
        <v>5741.3850000000002</v>
      </c>
      <c r="AB22" s="36">
        <f>+'Curv hora 2029 - 2033 (100%)'!AB22*0.5</f>
        <v>5073.75</v>
      </c>
      <c r="AC22" s="71"/>
    </row>
    <row r="23" spans="1:29" x14ac:dyDescent="0.3">
      <c r="A23" s="76"/>
      <c r="B23" s="77"/>
      <c r="C23" s="7" t="s">
        <v>38</v>
      </c>
      <c r="D23" s="12">
        <v>6</v>
      </c>
      <c r="E23" s="37">
        <f>+'Curv hora 2029 - 2033 (100%)'!E23*0.5</f>
        <v>4470.9849999999997</v>
      </c>
      <c r="F23" s="9">
        <f>+'Curv hora 2029 - 2033 (100%)'!F23*0.5</f>
        <v>4098.7250000000004</v>
      </c>
      <c r="G23" s="9">
        <f>+'Curv hora 2029 - 2033 (100%)'!G23*0.5</f>
        <v>3892.875</v>
      </c>
      <c r="H23" s="9">
        <f>+'Curv hora 2029 - 2033 (100%)'!H23*0.5</f>
        <v>3763.2150000000001</v>
      </c>
      <c r="I23" s="9">
        <f>+'Curv hora 2029 - 2033 (100%)'!I23*0.5</f>
        <v>3689.3449999999998</v>
      </c>
      <c r="J23" s="9">
        <f>+'Curv hora 2029 - 2033 (100%)'!J23*0.5</f>
        <v>3730.9650000000001</v>
      </c>
      <c r="K23" s="9">
        <f>+'Curv hora 2029 - 2033 (100%)'!K23*0.5</f>
        <v>3867.0050000000001</v>
      </c>
      <c r="L23" s="9">
        <f>+'Curv hora 2029 - 2033 (100%)'!L23*0.5</f>
        <v>3416.7849999999999</v>
      </c>
      <c r="M23" s="9">
        <f>+'Curv hora 2029 - 2033 (100%)'!M23*0.5</f>
        <v>4056.7049999999999</v>
      </c>
      <c r="N23" s="9">
        <f>+'Curv hora 2029 - 2033 (100%)'!N23*0.5</f>
        <v>4562.8500000000004</v>
      </c>
      <c r="O23" s="9">
        <f>+'Curv hora 2029 - 2033 (100%)'!O23*0.5</f>
        <v>4965.8649999999998</v>
      </c>
      <c r="P23" s="9">
        <f>+'Curv hora 2029 - 2033 (100%)'!P23*0.5</f>
        <v>5257.8249999999998</v>
      </c>
      <c r="Q23" s="9">
        <f>+'Curv hora 2029 - 2033 (100%)'!Q23*0.5</f>
        <v>5329.0749999999998</v>
      </c>
      <c r="R23" s="9">
        <f>+'Curv hora 2029 - 2033 (100%)'!R23*0.5</f>
        <v>5287.98</v>
      </c>
      <c r="S23" s="9">
        <f>+'Curv hora 2029 - 2033 (100%)'!S23*0.5</f>
        <v>5212.4399999999996</v>
      </c>
      <c r="T23" s="9">
        <f>+'Curv hora 2029 - 2033 (100%)'!T23*0.5</f>
        <v>5557.97</v>
      </c>
      <c r="U23" s="9">
        <f>+'Curv hora 2029 - 2033 (100%)'!U23*0.5</f>
        <v>5436.5450000000001</v>
      </c>
      <c r="V23" s="9">
        <f>+'Curv hora 2029 - 2033 (100%)'!V23*0.5</f>
        <v>6492.56</v>
      </c>
      <c r="W23" s="9">
        <f>+'Curv hora 2029 - 2033 (100%)'!W23*0.5</f>
        <v>6887.78</v>
      </c>
      <c r="X23" s="9">
        <f>+'Curv hora 2029 - 2033 (100%)'!X23*0.5</f>
        <v>7263.4</v>
      </c>
      <c r="Y23" s="9">
        <f>+'Curv hora 2029 - 2033 (100%)'!Y23*0.5</f>
        <v>7311.8249999999998</v>
      </c>
      <c r="Z23" s="9">
        <f>+'Curv hora 2029 - 2033 (100%)'!Z23*0.5</f>
        <v>6707.35</v>
      </c>
      <c r="AA23" s="9">
        <f>+'Curv hora 2029 - 2033 (100%)'!AA23*0.5</f>
        <v>5840.7950000000001</v>
      </c>
      <c r="AB23" s="38">
        <f>+'Curv hora 2029 - 2033 (100%)'!AB23*0.5</f>
        <v>5077.53</v>
      </c>
      <c r="AC23" s="71"/>
    </row>
    <row r="24" spans="1:29" x14ac:dyDescent="0.3">
      <c r="A24" s="67">
        <v>47270</v>
      </c>
      <c r="B24" s="69">
        <f t="shared" ref="B24" si="3">DAY(EOMONTH(A24,0))</f>
        <v>30</v>
      </c>
      <c r="C24" s="3" t="s">
        <v>36</v>
      </c>
      <c r="D24" s="10">
        <v>19</v>
      </c>
      <c r="E24" s="33">
        <f>+'Curv hora 2029 - 2033 (100%)'!E24*0.5</f>
        <v>3874.0749999999998</v>
      </c>
      <c r="F24" s="13">
        <f>+'Curv hora 2029 - 2033 (100%)'!F24*0.5</f>
        <v>3620.9650000000001</v>
      </c>
      <c r="G24" s="13">
        <f>+'Curv hora 2029 - 2033 (100%)'!G24*0.5</f>
        <v>3505.77</v>
      </c>
      <c r="H24" s="13">
        <f>+'Curv hora 2029 - 2033 (100%)'!H24*0.5</f>
        <v>3440.7550000000001</v>
      </c>
      <c r="I24" s="13">
        <f>+'Curv hora 2029 - 2033 (100%)'!I24*0.5</f>
        <v>3457.3649999999998</v>
      </c>
      <c r="J24" s="13">
        <f>+'Curv hora 2029 - 2033 (100%)'!J24*0.5</f>
        <v>3762.2750000000001</v>
      </c>
      <c r="K24" s="13">
        <f>+'Curv hora 2029 - 2033 (100%)'!K24*0.5</f>
        <v>4131.3599999999997</v>
      </c>
      <c r="L24" s="13">
        <f>+'Curv hora 2029 - 2033 (100%)'!L24*0.5</f>
        <v>3652.3449999999998</v>
      </c>
      <c r="M24" s="13">
        <f>+'Curv hora 2029 - 2033 (100%)'!M24*0.5</f>
        <v>4260.3900000000003</v>
      </c>
      <c r="N24" s="13">
        <f>+'Curv hora 2029 - 2033 (100%)'!N24*0.5</f>
        <v>4681.5150000000003</v>
      </c>
      <c r="O24" s="13">
        <f>+'Curv hora 2029 - 2033 (100%)'!O24*0.5</f>
        <v>4975.0550000000003</v>
      </c>
      <c r="P24" s="13">
        <f>+'Curv hora 2029 - 2033 (100%)'!P24*0.5</f>
        <v>5207.2749999999996</v>
      </c>
      <c r="Q24" s="13">
        <f>+'Curv hora 2029 - 2033 (100%)'!Q24*0.5</f>
        <v>4962.9849999999997</v>
      </c>
      <c r="R24" s="13">
        <f>+'Curv hora 2029 - 2033 (100%)'!R24*0.5</f>
        <v>4994.29</v>
      </c>
      <c r="S24" s="13">
        <f>+'Curv hora 2029 - 2033 (100%)'!S24*0.5</f>
        <v>5322.2550000000001</v>
      </c>
      <c r="T24" s="13">
        <f>+'Curv hora 2029 - 2033 (100%)'!T24*0.5</f>
        <v>5424.68</v>
      </c>
      <c r="U24" s="13">
        <f>+'Curv hora 2029 - 2033 (100%)'!U24*0.5</f>
        <v>5488.53</v>
      </c>
      <c r="V24" s="13">
        <f>+'Curv hora 2029 - 2033 (100%)'!V24*0.5</f>
        <v>6579.4350000000004</v>
      </c>
      <c r="W24" s="13">
        <f>+'Curv hora 2029 - 2033 (100%)'!W24*0.5</f>
        <v>7193.44</v>
      </c>
      <c r="X24" s="13">
        <f>+'Curv hora 2029 - 2033 (100%)'!X24*0.5</f>
        <v>7370.9549999999999</v>
      </c>
      <c r="Y24" s="13">
        <f>+'Curv hora 2029 - 2033 (100%)'!Y24*0.5</f>
        <v>6873.81</v>
      </c>
      <c r="Z24" s="13">
        <f>+'Curv hora 2029 - 2033 (100%)'!Z24*0.5</f>
        <v>6138.7250000000004</v>
      </c>
      <c r="AA24" s="13">
        <f>+'Curv hora 2029 - 2033 (100%)'!AA24*0.5</f>
        <v>5208.2150000000001</v>
      </c>
      <c r="AB24" s="34">
        <f>+'Curv hora 2029 - 2033 (100%)'!AB24*0.5</f>
        <v>4449.8500000000004</v>
      </c>
      <c r="AC24" s="71">
        <f>SUMPRODUCT((E24:AB26)*D24:D26)</f>
        <v>3528555.5850000004</v>
      </c>
    </row>
    <row r="25" spans="1:29" x14ac:dyDescent="0.3">
      <c r="A25" s="68"/>
      <c r="B25" s="70"/>
      <c r="C25" t="s">
        <v>37</v>
      </c>
      <c r="D25" s="11">
        <v>5</v>
      </c>
      <c r="E25" s="35">
        <f>+'Curv hora 2029 - 2033 (100%)'!E25*0.5</f>
        <v>3988.0749999999998</v>
      </c>
      <c r="F25" s="5">
        <f>+'Curv hora 2029 - 2033 (100%)'!F25*0.5</f>
        <v>3683.82</v>
      </c>
      <c r="G25" s="5">
        <f>+'Curv hora 2029 - 2033 (100%)'!G25*0.5</f>
        <v>3486.21</v>
      </c>
      <c r="H25" s="5">
        <f>+'Curv hora 2029 - 2033 (100%)'!H25*0.5</f>
        <v>3389.19</v>
      </c>
      <c r="I25" s="5">
        <f>+'Curv hora 2029 - 2033 (100%)'!I25*0.5</f>
        <v>3395.4749999999999</v>
      </c>
      <c r="J25" s="5">
        <f>+'Curv hora 2029 - 2033 (100%)'!J25*0.5</f>
        <v>3502.01</v>
      </c>
      <c r="K25" s="5">
        <f>+'Curv hora 2029 - 2033 (100%)'!K25*0.5</f>
        <v>3732.82</v>
      </c>
      <c r="L25" s="5">
        <f>+'Curv hora 2029 - 2033 (100%)'!L25*0.5</f>
        <v>3419.665</v>
      </c>
      <c r="M25" s="5">
        <f>+'Curv hora 2029 - 2033 (100%)'!M25*0.5</f>
        <v>4246.0050000000001</v>
      </c>
      <c r="N25" s="5">
        <f>+'Curv hora 2029 - 2033 (100%)'!N25*0.5</f>
        <v>4849.59</v>
      </c>
      <c r="O25" s="5">
        <f>+'Curv hora 2029 - 2033 (100%)'!O25*0.5</f>
        <v>5206.8149999999996</v>
      </c>
      <c r="P25" s="5">
        <f>+'Curv hora 2029 - 2033 (100%)'!P25*0.5</f>
        <v>5438.4549999999999</v>
      </c>
      <c r="Q25" s="5">
        <f>+'Curv hora 2029 - 2033 (100%)'!Q25*0.5</f>
        <v>5329.71</v>
      </c>
      <c r="R25" s="5">
        <f>+'Curv hora 2029 - 2033 (100%)'!R25*0.5</f>
        <v>5284.75</v>
      </c>
      <c r="S25" s="5">
        <f>+'Curv hora 2029 - 2033 (100%)'!S25*0.5</f>
        <v>5302.37</v>
      </c>
      <c r="T25" s="5">
        <f>+'Curv hora 2029 - 2033 (100%)'!T25*0.5</f>
        <v>5228.9949999999999</v>
      </c>
      <c r="U25" s="5">
        <f>+'Curv hora 2029 - 2033 (100%)'!U25*0.5</f>
        <v>5220.88</v>
      </c>
      <c r="V25" s="5">
        <f>+'Curv hora 2029 - 2033 (100%)'!V25*0.5</f>
        <v>6339.38</v>
      </c>
      <c r="W25" s="5">
        <f>+'Curv hora 2029 - 2033 (100%)'!W25*0.5</f>
        <v>7089.4750000000004</v>
      </c>
      <c r="X25" s="5">
        <f>+'Curv hora 2029 - 2033 (100%)'!X25*0.5</f>
        <v>7264.7650000000003</v>
      </c>
      <c r="Y25" s="5">
        <f>+'Curv hora 2029 - 2033 (100%)'!Y25*0.5</f>
        <v>6787.91</v>
      </c>
      <c r="Z25" s="5">
        <f>+'Curv hora 2029 - 2033 (100%)'!Z25*0.5</f>
        <v>6194.64</v>
      </c>
      <c r="AA25" s="5">
        <f>+'Curv hora 2029 - 2033 (100%)'!AA25*0.5</f>
        <v>5455.68</v>
      </c>
      <c r="AB25" s="36">
        <f>+'Curv hora 2029 - 2033 (100%)'!AB25*0.5</f>
        <v>4766.4049999999997</v>
      </c>
      <c r="AC25" s="71"/>
    </row>
    <row r="26" spans="1:29" x14ac:dyDescent="0.3">
      <c r="A26" s="76"/>
      <c r="B26" s="77"/>
      <c r="C26" s="7" t="s">
        <v>38</v>
      </c>
      <c r="D26" s="12">
        <v>6</v>
      </c>
      <c r="E26" s="37">
        <f>+'Curv hora 2029 - 2033 (100%)'!E26*0.5</f>
        <v>4032.66</v>
      </c>
      <c r="F26" s="9">
        <f>+'Curv hora 2029 - 2033 (100%)'!F26*0.5</f>
        <v>3769.5250000000001</v>
      </c>
      <c r="G26" s="9">
        <f>+'Curv hora 2029 - 2033 (100%)'!G26*0.5</f>
        <v>3582.67</v>
      </c>
      <c r="H26" s="9">
        <f>+'Curv hora 2029 - 2033 (100%)'!H26*0.5</f>
        <v>3482.2</v>
      </c>
      <c r="I26" s="9">
        <f>+'Curv hora 2029 - 2033 (100%)'!I26*0.5</f>
        <v>3423.105</v>
      </c>
      <c r="J26" s="9">
        <f>+'Curv hora 2029 - 2033 (100%)'!J26*0.5</f>
        <v>3454.04</v>
      </c>
      <c r="K26" s="9">
        <f>+'Curv hora 2029 - 2033 (100%)'!K26*0.5</f>
        <v>3578.7</v>
      </c>
      <c r="L26" s="9">
        <f>+'Curv hora 2029 - 2033 (100%)'!L26*0.5</f>
        <v>3169.96</v>
      </c>
      <c r="M26" s="9">
        <f>+'Curv hora 2029 - 2033 (100%)'!M26*0.5</f>
        <v>3914.1149999999998</v>
      </c>
      <c r="N26" s="9">
        <f>+'Curv hora 2029 - 2033 (100%)'!N26*0.5</f>
        <v>4372.3149999999996</v>
      </c>
      <c r="O26" s="9">
        <f>+'Curv hora 2029 - 2033 (100%)'!O26*0.5</f>
        <v>4772.25</v>
      </c>
      <c r="P26" s="9">
        <f>+'Curv hora 2029 - 2033 (100%)'!P26*0.5</f>
        <v>5051.1350000000002</v>
      </c>
      <c r="Q26" s="9">
        <f>+'Curv hora 2029 - 2033 (100%)'!Q26*0.5</f>
        <v>5223.6149999999998</v>
      </c>
      <c r="R26" s="9">
        <f>+'Curv hora 2029 - 2033 (100%)'!R26*0.5</f>
        <v>5188.17</v>
      </c>
      <c r="S26" s="9">
        <f>+'Curv hora 2029 - 2033 (100%)'!S26*0.5</f>
        <v>5089.7049999999999</v>
      </c>
      <c r="T26" s="9">
        <f>+'Curv hora 2029 - 2033 (100%)'!T26*0.5</f>
        <v>4926.5600000000004</v>
      </c>
      <c r="U26" s="9">
        <f>+'Curv hora 2029 - 2033 (100%)'!U26*0.5</f>
        <v>4831.38</v>
      </c>
      <c r="V26" s="9">
        <f>+'Curv hora 2029 - 2033 (100%)'!V26*0.5</f>
        <v>6073.22</v>
      </c>
      <c r="W26" s="9">
        <f>+'Curv hora 2029 - 2033 (100%)'!W26*0.5</f>
        <v>6726.86</v>
      </c>
      <c r="X26" s="9">
        <f>+'Curv hora 2029 - 2033 (100%)'!X26*0.5</f>
        <v>6866.52</v>
      </c>
      <c r="Y26" s="9">
        <f>+'Curv hora 2029 - 2033 (100%)'!Y26*0.5</f>
        <v>6584.8950000000004</v>
      </c>
      <c r="Z26" s="9">
        <f>+'Curv hora 2029 - 2033 (100%)'!Z26*0.5</f>
        <v>6006.75</v>
      </c>
      <c r="AA26" s="9">
        <f>+'Curv hora 2029 - 2033 (100%)'!AA26*0.5</f>
        <v>5177.53</v>
      </c>
      <c r="AB26" s="38">
        <f>+'Curv hora 2029 - 2033 (100%)'!AB26*0.5</f>
        <v>4467.1450000000004</v>
      </c>
      <c r="AC26" s="71"/>
    </row>
    <row r="27" spans="1:29" x14ac:dyDescent="0.3">
      <c r="A27" s="67">
        <v>47300</v>
      </c>
      <c r="B27" s="69">
        <f t="shared" ref="B27" si="4">DAY(EOMONTH(A27,0))</f>
        <v>31</v>
      </c>
      <c r="C27" s="3" t="s">
        <v>36</v>
      </c>
      <c r="D27" s="10">
        <v>20</v>
      </c>
      <c r="E27" s="33">
        <f>+'Curv hora 2029 - 2033 (100%)'!E27*0.5</f>
        <v>4028.75</v>
      </c>
      <c r="F27" s="13">
        <f>+'Curv hora 2029 - 2033 (100%)'!F27*0.5</f>
        <v>3763.72</v>
      </c>
      <c r="G27" s="13">
        <f>+'Curv hora 2029 - 2033 (100%)'!G27*0.5</f>
        <v>3624.125</v>
      </c>
      <c r="H27" s="13">
        <f>+'Curv hora 2029 - 2033 (100%)'!H27*0.5</f>
        <v>3541.85</v>
      </c>
      <c r="I27" s="13">
        <f>+'Curv hora 2029 - 2033 (100%)'!I27*0.5</f>
        <v>3554.2750000000001</v>
      </c>
      <c r="J27" s="13">
        <f>+'Curv hora 2029 - 2033 (100%)'!J27*0.5</f>
        <v>3859.03</v>
      </c>
      <c r="K27" s="13">
        <f>+'Curv hora 2029 - 2033 (100%)'!K27*0.5</f>
        <v>4209.18</v>
      </c>
      <c r="L27" s="13">
        <f>+'Curv hora 2029 - 2033 (100%)'!L27*0.5</f>
        <v>3779.28</v>
      </c>
      <c r="M27" s="13">
        <f>+'Curv hora 2029 - 2033 (100%)'!M27*0.5</f>
        <v>4479.7749999999996</v>
      </c>
      <c r="N27" s="13">
        <f>+'Curv hora 2029 - 2033 (100%)'!N27*0.5</f>
        <v>4919.625</v>
      </c>
      <c r="O27" s="13">
        <f>+'Curv hora 2029 - 2033 (100%)'!O27*0.5</f>
        <v>5282.7550000000001</v>
      </c>
      <c r="P27" s="13">
        <f>+'Curv hora 2029 - 2033 (100%)'!P27*0.5</f>
        <v>5635.91</v>
      </c>
      <c r="Q27" s="13">
        <f>+'Curv hora 2029 - 2033 (100%)'!Q27*0.5</f>
        <v>5489.82</v>
      </c>
      <c r="R27" s="13">
        <f>+'Curv hora 2029 - 2033 (100%)'!R27*0.5</f>
        <v>5483.9449999999997</v>
      </c>
      <c r="S27" s="13">
        <f>+'Curv hora 2029 - 2033 (100%)'!S27*0.5</f>
        <v>5823.8050000000003</v>
      </c>
      <c r="T27" s="13">
        <f>+'Curv hora 2029 - 2033 (100%)'!T27*0.5</f>
        <v>6002.82</v>
      </c>
      <c r="U27" s="13">
        <f>+'Curv hora 2029 - 2033 (100%)'!U27*0.5</f>
        <v>6008.49</v>
      </c>
      <c r="V27" s="13">
        <f>+'Curv hora 2029 - 2033 (100%)'!V27*0.5</f>
        <v>7080.2950000000001</v>
      </c>
      <c r="W27" s="13">
        <f>+'Curv hora 2029 - 2033 (100%)'!W27*0.5</f>
        <v>7587.37</v>
      </c>
      <c r="X27" s="13">
        <f>+'Curv hora 2029 - 2033 (100%)'!X27*0.5</f>
        <v>7839.05</v>
      </c>
      <c r="Y27" s="13">
        <f>+'Curv hora 2029 - 2033 (100%)'!Y27*0.5</f>
        <v>7345</v>
      </c>
      <c r="Z27" s="13">
        <f>+'Curv hora 2029 - 2033 (100%)'!Z27*0.5</f>
        <v>6613.36</v>
      </c>
      <c r="AA27" s="13">
        <f>+'Curv hora 2029 - 2033 (100%)'!AA27*0.5</f>
        <v>5616.63</v>
      </c>
      <c r="AB27" s="34">
        <f>+'Curv hora 2029 - 2033 (100%)'!AB27*0.5</f>
        <v>4786.97</v>
      </c>
      <c r="AC27" s="71">
        <f>SUMPRODUCT((E27:AB29)*D27:D29)</f>
        <v>3803505.3049999997</v>
      </c>
    </row>
    <row r="28" spans="1:29" x14ac:dyDescent="0.3">
      <c r="A28" s="68"/>
      <c r="B28" s="70"/>
      <c r="C28" t="s">
        <v>37</v>
      </c>
      <c r="D28" s="11">
        <v>4</v>
      </c>
      <c r="E28" s="35">
        <f>+'Curv hora 2029 - 2033 (100%)'!E28*0.5</f>
        <v>4118.76</v>
      </c>
      <c r="F28" s="5">
        <f>+'Curv hora 2029 - 2033 (100%)'!F28*0.5</f>
        <v>3825.0749999999998</v>
      </c>
      <c r="G28" s="5">
        <f>+'Curv hora 2029 - 2033 (100%)'!G28*0.5</f>
        <v>3645.6350000000002</v>
      </c>
      <c r="H28" s="5">
        <f>+'Curv hora 2029 - 2033 (100%)'!H28*0.5</f>
        <v>3564.89</v>
      </c>
      <c r="I28" s="5">
        <f>+'Curv hora 2029 - 2033 (100%)'!I28*0.5</f>
        <v>3532.395</v>
      </c>
      <c r="J28" s="5">
        <f>+'Curv hora 2029 - 2033 (100%)'!J28*0.5</f>
        <v>3649.46</v>
      </c>
      <c r="K28" s="5">
        <f>+'Curv hora 2029 - 2033 (100%)'!K28*0.5</f>
        <v>3836.4549999999999</v>
      </c>
      <c r="L28" s="5">
        <f>+'Curv hora 2029 - 2033 (100%)'!L28*0.5</f>
        <v>3569.96</v>
      </c>
      <c r="M28" s="5">
        <f>+'Curv hora 2029 - 2033 (100%)'!M28*0.5</f>
        <v>4317.415</v>
      </c>
      <c r="N28" s="5">
        <f>+'Curv hora 2029 - 2033 (100%)'!N28*0.5</f>
        <v>4818.415</v>
      </c>
      <c r="O28" s="5">
        <f>+'Curv hora 2029 - 2033 (100%)'!O28*0.5</f>
        <v>5146.12</v>
      </c>
      <c r="P28" s="5">
        <f>+'Curv hora 2029 - 2033 (100%)'!P28*0.5</f>
        <v>5418.8450000000003</v>
      </c>
      <c r="Q28" s="5">
        <f>+'Curv hora 2029 - 2033 (100%)'!Q28*0.5</f>
        <v>5303.53</v>
      </c>
      <c r="R28" s="5">
        <f>+'Curv hora 2029 - 2033 (100%)'!R28*0.5</f>
        <v>5246.44</v>
      </c>
      <c r="S28" s="5">
        <f>+'Curv hora 2029 - 2033 (100%)'!S28*0.5</f>
        <v>5313.4049999999997</v>
      </c>
      <c r="T28" s="5">
        <f>+'Curv hora 2029 - 2033 (100%)'!T28*0.5</f>
        <v>5429.7349999999997</v>
      </c>
      <c r="U28" s="5">
        <f>+'Curv hora 2029 - 2033 (100%)'!U28*0.5</f>
        <v>5384.81</v>
      </c>
      <c r="V28" s="5">
        <f>+'Curv hora 2029 - 2033 (100%)'!V28*0.5</f>
        <v>6442.9350000000004</v>
      </c>
      <c r="W28" s="5">
        <f>+'Curv hora 2029 - 2033 (100%)'!W28*0.5</f>
        <v>7151.73</v>
      </c>
      <c r="X28" s="5">
        <f>+'Curv hora 2029 - 2033 (100%)'!X28*0.5</f>
        <v>7477.2650000000003</v>
      </c>
      <c r="Y28" s="5">
        <f>+'Curv hora 2029 - 2033 (100%)'!Y28*0.5</f>
        <v>6979.7449999999999</v>
      </c>
      <c r="Z28" s="5">
        <f>+'Curv hora 2029 - 2033 (100%)'!Z28*0.5</f>
        <v>6313.75</v>
      </c>
      <c r="AA28" s="5">
        <f>+'Curv hora 2029 - 2033 (100%)'!AA28*0.5</f>
        <v>5522.1750000000002</v>
      </c>
      <c r="AB28" s="36">
        <f>+'Curv hora 2029 - 2033 (100%)'!AB28*0.5</f>
        <v>4759.8649999999998</v>
      </c>
      <c r="AC28" s="71"/>
    </row>
    <row r="29" spans="1:29" x14ac:dyDescent="0.3">
      <c r="A29" s="76"/>
      <c r="B29" s="77"/>
      <c r="C29" s="7" t="s">
        <v>38</v>
      </c>
      <c r="D29" s="12">
        <v>7</v>
      </c>
      <c r="E29" s="37">
        <f>+'Curv hora 2029 - 2033 (100%)'!E29*0.5</f>
        <v>4116.9549999999999</v>
      </c>
      <c r="F29" s="9">
        <f>+'Curv hora 2029 - 2033 (100%)'!F29*0.5</f>
        <v>3825.73</v>
      </c>
      <c r="G29" s="9">
        <f>+'Curv hora 2029 - 2033 (100%)'!G29*0.5</f>
        <v>3632.105</v>
      </c>
      <c r="H29" s="9">
        <f>+'Curv hora 2029 - 2033 (100%)'!H29*0.5</f>
        <v>3518.39</v>
      </c>
      <c r="I29" s="9">
        <f>+'Curv hora 2029 - 2033 (100%)'!I29*0.5</f>
        <v>3464.48</v>
      </c>
      <c r="J29" s="9">
        <f>+'Curv hora 2029 - 2033 (100%)'!J29*0.5</f>
        <v>3524.55</v>
      </c>
      <c r="K29" s="9">
        <f>+'Curv hora 2029 - 2033 (100%)'!K29*0.5</f>
        <v>3632.2449999999999</v>
      </c>
      <c r="L29" s="9">
        <f>+'Curv hora 2029 - 2033 (100%)'!L29*0.5</f>
        <v>3238.07</v>
      </c>
      <c r="M29" s="9">
        <f>+'Curv hora 2029 - 2033 (100%)'!M29*0.5</f>
        <v>3879.89</v>
      </c>
      <c r="N29" s="9">
        <f>+'Curv hora 2029 - 2033 (100%)'!N29*0.5</f>
        <v>4362.3249999999998</v>
      </c>
      <c r="O29" s="9">
        <f>+'Curv hora 2029 - 2033 (100%)'!O29*0.5</f>
        <v>4658.5450000000001</v>
      </c>
      <c r="P29" s="9">
        <f>+'Curv hora 2029 - 2033 (100%)'!P29*0.5</f>
        <v>4913.26</v>
      </c>
      <c r="Q29" s="9">
        <f>+'Curv hora 2029 - 2033 (100%)'!Q29*0.5</f>
        <v>5016.1049999999996</v>
      </c>
      <c r="R29" s="9">
        <f>+'Curv hora 2029 - 2033 (100%)'!R29*0.5</f>
        <v>5005.46</v>
      </c>
      <c r="S29" s="9">
        <f>+'Curv hora 2029 - 2033 (100%)'!S29*0.5</f>
        <v>5002.4949999999999</v>
      </c>
      <c r="T29" s="9">
        <f>+'Curv hora 2029 - 2033 (100%)'!T29*0.5</f>
        <v>4882.71</v>
      </c>
      <c r="U29" s="9">
        <f>+'Curv hora 2029 - 2033 (100%)'!U29*0.5</f>
        <v>4820.3850000000002</v>
      </c>
      <c r="V29" s="9">
        <f>+'Curv hora 2029 - 2033 (100%)'!V29*0.5</f>
        <v>5823.97</v>
      </c>
      <c r="W29" s="9">
        <f>+'Curv hora 2029 - 2033 (100%)'!W29*0.5</f>
        <v>6520.2449999999999</v>
      </c>
      <c r="X29" s="9">
        <f>+'Curv hora 2029 - 2033 (100%)'!X29*0.5</f>
        <v>6934.3649999999998</v>
      </c>
      <c r="Y29" s="9">
        <f>+'Curv hora 2029 - 2033 (100%)'!Y29*0.5</f>
        <v>6616.18</v>
      </c>
      <c r="Z29" s="9">
        <f>+'Curv hora 2029 - 2033 (100%)'!Z29*0.5</f>
        <v>6065.9750000000004</v>
      </c>
      <c r="AA29" s="9">
        <f>+'Curv hora 2029 - 2033 (100%)'!AA29*0.5</f>
        <v>5278.07</v>
      </c>
      <c r="AB29" s="38">
        <f>+'Curv hora 2029 - 2033 (100%)'!AB29*0.5</f>
        <v>4597.99</v>
      </c>
      <c r="AC29" s="71"/>
    </row>
    <row r="30" spans="1:29" x14ac:dyDescent="0.3">
      <c r="A30" s="67">
        <v>47331</v>
      </c>
      <c r="B30" s="69">
        <f t="shared" ref="B30" si="5">DAY(EOMONTH(A30,0))</f>
        <v>31</v>
      </c>
      <c r="C30" s="3" t="s">
        <v>36</v>
      </c>
      <c r="D30" s="10">
        <v>21</v>
      </c>
      <c r="E30" s="33">
        <f>+'Curv hora 2029 - 2033 (100%)'!E30*0.5</f>
        <v>4227.2650000000003</v>
      </c>
      <c r="F30" s="13">
        <f>+'Curv hora 2029 - 2033 (100%)'!F30*0.5</f>
        <v>3983.64</v>
      </c>
      <c r="G30" s="13">
        <f>+'Curv hora 2029 - 2033 (100%)'!G30*0.5</f>
        <v>3833.0349999999999</v>
      </c>
      <c r="H30" s="13">
        <f>+'Curv hora 2029 - 2033 (100%)'!H30*0.5</f>
        <v>3737.5749999999998</v>
      </c>
      <c r="I30" s="13">
        <f>+'Curv hora 2029 - 2033 (100%)'!I30*0.5</f>
        <v>3750.1750000000002</v>
      </c>
      <c r="J30" s="13">
        <f>+'Curv hora 2029 - 2033 (100%)'!J30*0.5</f>
        <v>3914.44</v>
      </c>
      <c r="K30" s="13">
        <f>+'Curv hora 2029 - 2033 (100%)'!K30*0.5</f>
        <v>4368.6400000000003</v>
      </c>
      <c r="L30" s="13">
        <f>+'Curv hora 2029 - 2033 (100%)'!L30*0.5</f>
        <v>3948.18</v>
      </c>
      <c r="M30" s="13">
        <f>+'Curv hora 2029 - 2033 (100%)'!M30*0.5</f>
        <v>4576.5749999999998</v>
      </c>
      <c r="N30" s="13">
        <f>+'Curv hora 2029 - 2033 (100%)'!N30*0.5</f>
        <v>5037.8950000000004</v>
      </c>
      <c r="O30" s="13">
        <f>+'Curv hora 2029 - 2033 (100%)'!O30*0.5</f>
        <v>5483.4049999999997</v>
      </c>
      <c r="P30" s="13">
        <f>+'Curv hora 2029 - 2033 (100%)'!P30*0.5</f>
        <v>5812.55</v>
      </c>
      <c r="Q30" s="13">
        <f>+'Curv hora 2029 - 2033 (100%)'!Q30*0.5</f>
        <v>5737.375</v>
      </c>
      <c r="R30" s="13">
        <f>+'Curv hora 2029 - 2033 (100%)'!R30*0.5</f>
        <v>5882.5</v>
      </c>
      <c r="S30" s="13">
        <f>+'Curv hora 2029 - 2033 (100%)'!S30*0.5</f>
        <v>6335.415</v>
      </c>
      <c r="T30" s="13">
        <f>+'Curv hora 2029 - 2033 (100%)'!T30*0.5</f>
        <v>6608.6350000000002</v>
      </c>
      <c r="U30" s="13">
        <f>+'Curv hora 2029 - 2033 (100%)'!U30*0.5</f>
        <v>6604.77</v>
      </c>
      <c r="V30" s="13">
        <f>+'Curv hora 2029 - 2033 (100%)'!V30*0.5</f>
        <v>7411.73</v>
      </c>
      <c r="W30" s="13">
        <f>+'Curv hora 2029 - 2033 (100%)'!W30*0.5</f>
        <v>7938.5749999999998</v>
      </c>
      <c r="X30" s="13">
        <f>+'Curv hora 2029 - 2033 (100%)'!X30*0.5</f>
        <v>8335.6550000000007</v>
      </c>
      <c r="Y30" s="13">
        <f>+'Curv hora 2029 - 2033 (100%)'!Y30*0.5</f>
        <v>7851.9350000000004</v>
      </c>
      <c r="Z30" s="13">
        <f>+'Curv hora 2029 - 2033 (100%)'!Z30*0.5</f>
        <v>7092.6850000000004</v>
      </c>
      <c r="AA30" s="13">
        <f>+'Curv hora 2029 - 2033 (100%)'!AA30*0.5</f>
        <v>6046.9250000000002</v>
      </c>
      <c r="AB30" s="34">
        <f>+'Curv hora 2029 - 2033 (100%)'!AB30*0.5</f>
        <v>5158.9350000000004</v>
      </c>
      <c r="AC30" s="71">
        <f t="shared" ref="AC30" si="6">SUMPRODUCT((E30:AB32)*D30:D32)</f>
        <v>4090187.2599999993</v>
      </c>
    </row>
    <row r="31" spans="1:29" x14ac:dyDescent="0.3">
      <c r="A31" s="68"/>
      <c r="B31" s="70"/>
      <c r="C31" t="s">
        <v>37</v>
      </c>
      <c r="D31" s="11">
        <v>4</v>
      </c>
      <c r="E31" s="35">
        <f>+'Curv hora 2029 - 2033 (100%)'!E31*0.5</f>
        <v>4686.84</v>
      </c>
      <c r="F31" s="5">
        <f>+'Curv hora 2029 - 2033 (100%)'!F31*0.5</f>
        <v>4365.5950000000003</v>
      </c>
      <c r="G31" s="5">
        <f>+'Curv hora 2029 - 2033 (100%)'!G31*0.5</f>
        <v>3942.81</v>
      </c>
      <c r="H31" s="5">
        <f>+'Curv hora 2029 - 2033 (100%)'!H31*0.5</f>
        <v>4105.6000000000004</v>
      </c>
      <c r="I31" s="5">
        <f>+'Curv hora 2029 - 2033 (100%)'!I31*0.5</f>
        <v>3966.395</v>
      </c>
      <c r="J31" s="5">
        <f>+'Curv hora 2029 - 2033 (100%)'!J31*0.5</f>
        <v>4036.0749999999998</v>
      </c>
      <c r="K31" s="5">
        <f>+'Curv hora 2029 - 2033 (100%)'!K31*0.5</f>
        <v>4199.9399999999996</v>
      </c>
      <c r="L31" s="5">
        <f>+'Curv hora 2029 - 2033 (100%)'!L31*0.5</f>
        <v>4124.88</v>
      </c>
      <c r="M31" s="5">
        <f>+'Curv hora 2029 - 2033 (100%)'!M31*0.5</f>
        <v>4852.4049999999997</v>
      </c>
      <c r="N31" s="5">
        <f>+'Curv hora 2029 - 2033 (100%)'!N31*0.5</f>
        <v>5474.1750000000002</v>
      </c>
      <c r="O31" s="5">
        <f>+'Curv hora 2029 - 2033 (100%)'!O31*0.5</f>
        <v>5921.4449999999997</v>
      </c>
      <c r="P31" s="5">
        <f>+'Curv hora 2029 - 2033 (100%)'!P31*0.5</f>
        <v>6281.21</v>
      </c>
      <c r="Q31" s="5">
        <f>+'Curv hora 2029 - 2033 (100%)'!Q31*0.5</f>
        <v>6219.78</v>
      </c>
      <c r="R31" s="5">
        <f>+'Curv hora 2029 - 2033 (100%)'!R31*0.5</f>
        <v>6200.7049999999999</v>
      </c>
      <c r="S31" s="5">
        <f>+'Curv hora 2029 - 2033 (100%)'!S31*0.5</f>
        <v>6285.85</v>
      </c>
      <c r="T31" s="5">
        <f>+'Curv hora 2029 - 2033 (100%)'!T31*0.5</f>
        <v>6165.915</v>
      </c>
      <c r="U31" s="5">
        <f>+'Curv hora 2029 - 2033 (100%)'!U31*0.5</f>
        <v>6176.335</v>
      </c>
      <c r="V31" s="5">
        <f>+'Curv hora 2029 - 2033 (100%)'!V31*0.5</f>
        <v>7133.0450000000001</v>
      </c>
      <c r="W31" s="5">
        <f>+'Curv hora 2029 - 2033 (100%)'!W31*0.5</f>
        <v>7870.7349999999997</v>
      </c>
      <c r="X31" s="5">
        <f>+'Curv hora 2029 - 2033 (100%)'!X31*0.5</f>
        <v>8167.2150000000001</v>
      </c>
      <c r="Y31" s="5">
        <f>+'Curv hora 2029 - 2033 (100%)'!Y31*0.5</f>
        <v>7675.415</v>
      </c>
      <c r="Z31" s="5">
        <f>+'Curv hora 2029 - 2033 (100%)'!Z31*0.5</f>
        <v>7066.3950000000004</v>
      </c>
      <c r="AA31" s="5">
        <f>+'Curv hora 2029 - 2033 (100%)'!AA31*0.5</f>
        <v>6246.085</v>
      </c>
      <c r="AB31" s="36">
        <f>+'Curv hora 2029 - 2033 (100%)'!AB31*0.5</f>
        <v>5556.1450000000004</v>
      </c>
      <c r="AC31" s="71"/>
    </row>
    <row r="32" spans="1:29" x14ac:dyDescent="0.3">
      <c r="A32" s="76"/>
      <c r="B32" s="77"/>
      <c r="C32" s="7" t="s">
        <v>38</v>
      </c>
      <c r="D32" s="12">
        <v>6</v>
      </c>
      <c r="E32" s="37">
        <f>+'Curv hora 2029 - 2033 (100%)'!E32*0.5</f>
        <v>4586.92</v>
      </c>
      <c r="F32" s="9">
        <f>+'Curv hora 2029 - 2033 (100%)'!F32*0.5</f>
        <v>4258.6549999999997</v>
      </c>
      <c r="G32" s="9">
        <f>+'Curv hora 2029 - 2033 (100%)'!G32*0.5</f>
        <v>4048.46</v>
      </c>
      <c r="H32" s="9">
        <f>+'Curv hora 2029 - 2033 (100%)'!H32*0.5</f>
        <v>3919.7249999999999</v>
      </c>
      <c r="I32" s="9">
        <f>+'Curv hora 2029 - 2033 (100%)'!I32*0.5</f>
        <v>3777.03</v>
      </c>
      <c r="J32" s="9">
        <f>+'Curv hora 2029 - 2033 (100%)'!J32*0.5</f>
        <v>3851.86</v>
      </c>
      <c r="K32" s="9">
        <f>+'Curv hora 2029 - 2033 (100%)'!K32*0.5</f>
        <v>4029.26</v>
      </c>
      <c r="L32" s="9">
        <f>+'Curv hora 2029 - 2033 (100%)'!L32*0.5</f>
        <v>3584.6950000000002</v>
      </c>
      <c r="M32" s="9">
        <f>+'Curv hora 2029 - 2033 (100%)'!M32*0.5</f>
        <v>4227.0349999999999</v>
      </c>
      <c r="N32" s="9">
        <f>+'Curv hora 2029 - 2033 (100%)'!N32*0.5</f>
        <v>4613.67</v>
      </c>
      <c r="O32" s="9">
        <f>+'Curv hora 2029 - 2033 (100%)'!O32*0.5</f>
        <v>4969.3950000000004</v>
      </c>
      <c r="P32" s="9">
        <f>+'Curv hora 2029 - 2033 (100%)'!P32*0.5</f>
        <v>5463.94</v>
      </c>
      <c r="Q32" s="9">
        <f>+'Curv hora 2029 - 2033 (100%)'!Q32*0.5</f>
        <v>5410.51</v>
      </c>
      <c r="R32" s="9">
        <f>+'Curv hora 2029 - 2033 (100%)'!R32*0.5</f>
        <v>5279.54</v>
      </c>
      <c r="S32" s="9">
        <f>+'Curv hora 2029 - 2033 (100%)'!S32*0.5</f>
        <v>5294.6350000000002</v>
      </c>
      <c r="T32" s="9">
        <f>+'Curv hora 2029 - 2033 (100%)'!T32*0.5</f>
        <v>5154.6099999999997</v>
      </c>
      <c r="U32" s="9">
        <f>+'Curv hora 2029 - 2033 (100%)'!U32*0.5</f>
        <v>5198.2700000000004</v>
      </c>
      <c r="V32" s="9">
        <f>+'Curv hora 2029 - 2033 (100%)'!V32*0.5</f>
        <v>6355.9549999999999</v>
      </c>
      <c r="W32" s="9">
        <f>+'Curv hora 2029 - 2033 (100%)'!W32*0.5</f>
        <v>7172.16</v>
      </c>
      <c r="X32" s="9">
        <f>+'Curv hora 2029 - 2033 (100%)'!X32*0.5</f>
        <v>7370.5450000000001</v>
      </c>
      <c r="Y32" s="9">
        <f>+'Curv hora 2029 - 2033 (100%)'!Y32*0.5</f>
        <v>7002.76</v>
      </c>
      <c r="Z32" s="9">
        <f>+'Curv hora 2029 - 2033 (100%)'!Z32*0.5</f>
        <v>6514.7749999999996</v>
      </c>
      <c r="AA32" s="9">
        <f>+'Curv hora 2029 - 2033 (100%)'!AA32*0.5</f>
        <v>5655.2749999999996</v>
      </c>
      <c r="AB32" s="38">
        <f>+'Curv hora 2029 - 2033 (100%)'!AB32*0.5</f>
        <v>4936.085</v>
      </c>
      <c r="AC32" s="71"/>
    </row>
    <row r="33" spans="1:30" x14ac:dyDescent="0.3">
      <c r="A33" s="67">
        <v>47362</v>
      </c>
      <c r="B33" s="69">
        <f t="shared" ref="B33" si="7">DAY(EOMONTH(A33,0))</f>
        <v>30</v>
      </c>
      <c r="C33" s="3" t="s">
        <v>36</v>
      </c>
      <c r="D33" s="10">
        <v>20</v>
      </c>
      <c r="E33" s="33">
        <f>+'Curv hora 2029 - 2033 (100%)'!E33*0.5</f>
        <v>4529.2299999999996</v>
      </c>
      <c r="F33" s="13">
        <f>+'Curv hora 2029 - 2033 (100%)'!F33*0.5</f>
        <v>4224.99</v>
      </c>
      <c r="G33" s="13">
        <f>+'Curv hora 2029 - 2033 (100%)'!G33*0.5</f>
        <v>4096.07</v>
      </c>
      <c r="H33" s="13">
        <f>+'Curv hora 2029 - 2033 (100%)'!H33*0.5</f>
        <v>3979.7</v>
      </c>
      <c r="I33" s="13">
        <f>+'Curv hora 2029 - 2033 (100%)'!I33*0.5</f>
        <v>3918.34</v>
      </c>
      <c r="J33" s="13">
        <f>+'Curv hora 2029 - 2033 (100%)'!J33*0.5</f>
        <v>4118.085</v>
      </c>
      <c r="K33" s="13">
        <f>+'Curv hora 2029 - 2033 (100%)'!K33*0.5</f>
        <v>4613.1850000000004</v>
      </c>
      <c r="L33" s="13">
        <f>+'Curv hora 2029 - 2033 (100%)'!L33*0.5</f>
        <v>4151.1450000000004</v>
      </c>
      <c r="M33" s="13">
        <f>+'Curv hora 2029 - 2033 (100%)'!M33*0.5</f>
        <v>4871.6750000000002</v>
      </c>
      <c r="N33" s="13">
        <f>+'Curv hora 2029 - 2033 (100%)'!N33*0.5</f>
        <v>5350.3850000000002</v>
      </c>
      <c r="O33" s="13">
        <f>+'Curv hora 2029 - 2033 (100%)'!O33*0.5</f>
        <v>5791.4650000000001</v>
      </c>
      <c r="P33" s="13">
        <f>+'Curv hora 2029 - 2033 (100%)'!P33*0.5</f>
        <v>6096.23</v>
      </c>
      <c r="Q33" s="13">
        <f>+'Curv hora 2029 - 2033 (100%)'!Q33*0.5</f>
        <v>5833.26</v>
      </c>
      <c r="R33" s="13">
        <f>+'Curv hora 2029 - 2033 (100%)'!R33*0.5</f>
        <v>5917.8</v>
      </c>
      <c r="S33" s="13">
        <f>+'Curv hora 2029 - 2033 (100%)'!S33*0.5</f>
        <v>6307.93</v>
      </c>
      <c r="T33" s="13">
        <f>+'Curv hora 2029 - 2033 (100%)'!T33*0.5</f>
        <v>6459.3950000000004</v>
      </c>
      <c r="U33" s="13">
        <f>+'Curv hora 2029 - 2033 (100%)'!U33*0.5</f>
        <v>6510.69</v>
      </c>
      <c r="V33" s="13">
        <f>+'Curv hora 2029 - 2033 (100%)'!V33*0.5</f>
        <v>7541.6750000000002</v>
      </c>
      <c r="W33" s="13">
        <f>+'Curv hora 2029 - 2033 (100%)'!W33*0.5</f>
        <v>8222.7099999999991</v>
      </c>
      <c r="X33" s="13">
        <f>+'Curv hora 2029 - 2033 (100%)'!X33*0.5</f>
        <v>8422.9950000000008</v>
      </c>
      <c r="Y33" s="13">
        <f>+'Curv hora 2029 - 2033 (100%)'!Y33*0.5</f>
        <v>7822.26</v>
      </c>
      <c r="Z33" s="13">
        <f>+'Curv hora 2029 - 2033 (100%)'!Z33*0.5</f>
        <v>7133.5050000000001</v>
      </c>
      <c r="AA33" s="13">
        <f>+'Curv hora 2029 - 2033 (100%)'!AA33*0.5</f>
        <v>6158.9</v>
      </c>
      <c r="AB33" s="34">
        <f>+'Curv hora 2029 - 2033 (100%)'!AB33*0.5</f>
        <v>5297.02</v>
      </c>
      <c r="AC33" s="71">
        <f t="shared" ref="AC33" si="8">SUMPRODUCT((E33:AB35)*D33:D35)</f>
        <v>4049610.399999999</v>
      </c>
    </row>
    <row r="34" spans="1:30" x14ac:dyDescent="0.3">
      <c r="A34" s="68"/>
      <c r="B34" s="70"/>
      <c r="C34" t="s">
        <v>37</v>
      </c>
      <c r="D34" s="11">
        <v>5</v>
      </c>
      <c r="E34" s="35">
        <f>+'Curv hora 2029 - 2033 (100%)'!E34*0.5</f>
        <v>4668.3599999999997</v>
      </c>
      <c r="F34" s="5">
        <f>+'Curv hora 2029 - 2033 (100%)'!F34*0.5</f>
        <v>4352.2349999999997</v>
      </c>
      <c r="G34" s="5">
        <f>+'Curv hora 2029 - 2033 (100%)'!G34*0.5</f>
        <v>4125.9250000000002</v>
      </c>
      <c r="H34" s="5">
        <f>+'Curv hora 2029 - 2033 (100%)'!H34*0.5</f>
        <v>4002.41</v>
      </c>
      <c r="I34" s="5">
        <f>+'Curv hora 2029 - 2033 (100%)'!I34*0.5</f>
        <v>3954.48</v>
      </c>
      <c r="J34" s="5">
        <f>+'Curv hora 2029 - 2033 (100%)'!J34*0.5</f>
        <v>4036.1550000000002</v>
      </c>
      <c r="K34" s="5">
        <f>+'Curv hora 2029 - 2033 (100%)'!K34*0.5</f>
        <v>4290.7150000000001</v>
      </c>
      <c r="L34" s="5">
        <f>+'Curv hora 2029 - 2033 (100%)'!L34*0.5</f>
        <v>4095.74</v>
      </c>
      <c r="M34" s="5">
        <f>+'Curv hora 2029 - 2033 (100%)'!M34*0.5</f>
        <v>4899.47</v>
      </c>
      <c r="N34" s="5">
        <f>+'Curv hora 2029 - 2033 (100%)'!N34*0.5</f>
        <v>5560.87</v>
      </c>
      <c r="O34" s="5">
        <f>+'Curv hora 2029 - 2033 (100%)'!O34*0.5</f>
        <v>6125.98</v>
      </c>
      <c r="P34" s="5">
        <f>+'Curv hora 2029 - 2033 (100%)'!P34*0.5</f>
        <v>6554.22</v>
      </c>
      <c r="Q34" s="5">
        <f>+'Curv hora 2029 - 2033 (100%)'!Q34*0.5</f>
        <v>6195.69</v>
      </c>
      <c r="R34" s="5">
        <f>+'Curv hora 2029 - 2033 (100%)'!R34*0.5</f>
        <v>6556.9049999999997</v>
      </c>
      <c r="S34" s="5">
        <f>+'Curv hora 2029 - 2033 (100%)'!S34*0.5</f>
        <v>6720.2749999999996</v>
      </c>
      <c r="T34" s="5">
        <f>+'Curv hora 2029 - 2033 (100%)'!T34*0.5</f>
        <v>6738.1450000000004</v>
      </c>
      <c r="U34" s="5">
        <f>+'Curv hora 2029 - 2033 (100%)'!U34*0.5</f>
        <v>6423.4350000000004</v>
      </c>
      <c r="V34" s="5">
        <f>+'Curv hora 2029 - 2033 (100%)'!V34*0.5</f>
        <v>7513.04</v>
      </c>
      <c r="W34" s="5">
        <f>+'Curv hora 2029 - 2033 (100%)'!W34*0.5</f>
        <v>8316.2000000000007</v>
      </c>
      <c r="X34" s="5">
        <f>+'Curv hora 2029 - 2033 (100%)'!X34*0.5</f>
        <v>8391.2999999999993</v>
      </c>
      <c r="Y34" s="5">
        <f>+'Curv hora 2029 - 2033 (100%)'!Y34*0.5</f>
        <v>7900.9449999999997</v>
      </c>
      <c r="Z34" s="5">
        <f>+'Curv hora 2029 - 2033 (100%)'!Z34*0.5</f>
        <v>7343.5249999999996</v>
      </c>
      <c r="AA34" s="5">
        <f>+'Curv hora 2029 - 2033 (100%)'!AA34*0.5</f>
        <v>6538.0249999999996</v>
      </c>
      <c r="AB34" s="36">
        <f>+'Curv hora 2029 - 2033 (100%)'!AB34*0.5</f>
        <v>5801.7349999999997</v>
      </c>
      <c r="AC34" s="71"/>
    </row>
    <row r="35" spans="1:30" x14ac:dyDescent="0.3">
      <c r="A35" s="76"/>
      <c r="B35" s="77"/>
      <c r="C35" s="7" t="s">
        <v>38</v>
      </c>
      <c r="D35" s="12">
        <v>5</v>
      </c>
      <c r="E35" s="37">
        <f>+'Curv hora 2029 - 2033 (100%)'!E35*0.5</f>
        <v>5124.55</v>
      </c>
      <c r="F35" s="9">
        <f>+'Curv hora 2029 - 2033 (100%)'!F35*0.5</f>
        <v>4771.9750000000004</v>
      </c>
      <c r="G35" s="9">
        <f>+'Curv hora 2029 - 2033 (100%)'!G35*0.5</f>
        <v>4508.1549999999997</v>
      </c>
      <c r="H35" s="9">
        <f>+'Curv hora 2029 - 2033 (100%)'!H35*0.5</f>
        <v>4344.57</v>
      </c>
      <c r="I35" s="9">
        <f>+'Curv hora 2029 - 2033 (100%)'!I35*0.5</f>
        <v>4204.5950000000003</v>
      </c>
      <c r="J35" s="9">
        <f>+'Curv hora 2029 - 2033 (100%)'!J35*0.5</f>
        <v>4163</v>
      </c>
      <c r="K35" s="9">
        <f>+'Curv hora 2029 - 2033 (100%)'!K35*0.5</f>
        <v>3974.62</v>
      </c>
      <c r="L35" s="9">
        <f>+'Curv hora 2029 - 2033 (100%)'!L35*0.5</f>
        <v>3373.01</v>
      </c>
      <c r="M35" s="9">
        <f>+'Curv hora 2029 - 2033 (100%)'!M35*0.5</f>
        <v>4000.7849999999999</v>
      </c>
      <c r="N35" s="9">
        <f>+'Curv hora 2029 - 2033 (100%)'!N35*0.5</f>
        <v>4530.53</v>
      </c>
      <c r="O35" s="9">
        <f>+'Curv hora 2029 - 2033 (100%)'!O35*0.5</f>
        <v>4818.1850000000004</v>
      </c>
      <c r="P35" s="9">
        <f>+'Curv hora 2029 - 2033 (100%)'!P35*0.5</f>
        <v>5066.18</v>
      </c>
      <c r="Q35" s="9">
        <f>+'Curv hora 2029 - 2033 (100%)'!Q35*0.5</f>
        <v>5186.085</v>
      </c>
      <c r="R35" s="9">
        <f>+'Curv hora 2029 - 2033 (100%)'!R35*0.5</f>
        <v>4926.7749999999996</v>
      </c>
      <c r="S35" s="9">
        <f>+'Curv hora 2029 - 2033 (100%)'!S35*0.5</f>
        <v>4383.4549999999999</v>
      </c>
      <c r="T35" s="9">
        <f>+'Curv hora 2029 - 2033 (100%)'!T35*0.5</f>
        <v>4012.63</v>
      </c>
      <c r="U35" s="9">
        <f>+'Curv hora 2029 - 2033 (100%)'!U35*0.5</f>
        <v>4035.125</v>
      </c>
      <c r="V35" s="9">
        <f>+'Curv hora 2029 - 2033 (100%)'!V35*0.5</f>
        <v>5615.6450000000004</v>
      </c>
      <c r="W35" s="9">
        <f>+'Curv hora 2029 - 2033 (100%)'!W35*0.5</f>
        <v>6384.1450000000004</v>
      </c>
      <c r="X35" s="9">
        <f>+'Curv hora 2029 - 2033 (100%)'!X35*0.5</f>
        <v>7250.6</v>
      </c>
      <c r="Y35" s="9">
        <f>+'Curv hora 2029 - 2033 (100%)'!Y35*0.5</f>
        <v>7040.86</v>
      </c>
      <c r="Z35" s="9">
        <f>+'Curv hora 2029 - 2033 (100%)'!Z35*0.5</f>
        <v>6630.3549999999996</v>
      </c>
      <c r="AA35" s="9">
        <f>+'Curv hora 2029 - 2033 (100%)'!AA35*0.5</f>
        <v>5848.98</v>
      </c>
      <c r="AB35" s="38">
        <f>+'Curv hora 2029 - 2033 (100%)'!AB35*0.5</f>
        <v>5146.93</v>
      </c>
      <c r="AC35" s="71"/>
    </row>
    <row r="36" spans="1:30" x14ac:dyDescent="0.3">
      <c r="A36" s="67">
        <v>47392</v>
      </c>
      <c r="B36" s="69">
        <f t="shared" ref="B36" si="9">DAY(EOMONTH(A36,0))</f>
        <v>31</v>
      </c>
      <c r="C36" s="3" t="s">
        <v>36</v>
      </c>
      <c r="D36" s="10">
        <v>22</v>
      </c>
      <c r="E36" s="33">
        <f>+'Curv hora 2029 - 2033 (100%)'!E36*0.5</f>
        <v>4649.79</v>
      </c>
      <c r="F36" s="13">
        <f>+'Curv hora 2029 - 2033 (100%)'!F36*0.5</f>
        <v>4382.84</v>
      </c>
      <c r="G36" s="13">
        <f>+'Curv hora 2029 - 2033 (100%)'!G36*0.5</f>
        <v>4210.8649999999998</v>
      </c>
      <c r="H36" s="13">
        <f>+'Curv hora 2029 - 2033 (100%)'!H36*0.5</f>
        <v>4083.7750000000001</v>
      </c>
      <c r="I36" s="13">
        <f>+'Curv hora 2029 - 2033 (100%)'!I36*0.5</f>
        <v>4031.24</v>
      </c>
      <c r="J36" s="13">
        <f>+'Curv hora 2029 - 2033 (100%)'!J36*0.5</f>
        <v>4210.7449999999999</v>
      </c>
      <c r="K36" s="13">
        <f>+'Curv hora 2029 - 2033 (100%)'!K36*0.5</f>
        <v>4578.18</v>
      </c>
      <c r="L36" s="13">
        <f>+'Curv hora 2029 - 2033 (100%)'!L36*0.5</f>
        <v>4236.07</v>
      </c>
      <c r="M36" s="13">
        <f>+'Curv hora 2029 - 2033 (100%)'!M36*0.5</f>
        <v>5000.1000000000004</v>
      </c>
      <c r="N36" s="13">
        <f>+'Curv hora 2029 - 2033 (100%)'!N36*0.5</f>
        <v>5560.6750000000002</v>
      </c>
      <c r="O36" s="13">
        <f>+'Curv hora 2029 - 2033 (100%)'!O36*0.5</f>
        <v>6079.7349999999997</v>
      </c>
      <c r="P36" s="13">
        <f>+'Curv hora 2029 - 2033 (100%)'!P36*0.5</f>
        <v>6529.28</v>
      </c>
      <c r="Q36" s="13">
        <f>+'Curv hora 2029 - 2033 (100%)'!Q36*0.5</f>
        <v>6419.5950000000003</v>
      </c>
      <c r="R36" s="13">
        <f>+'Curv hora 2029 - 2033 (100%)'!R36*0.5</f>
        <v>6532.7150000000001</v>
      </c>
      <c r="S36" s="13">
        <f>+'Curv hora 2029 - 2033 (100%)'!S36*0.5</f>
        <v>6785.46</v>
      </c>
      <c r="T36" s="13">
        <f>+'Curv hora 2029 - 2033 (100%)'!T36*0.5</f>
        <v>6956.4</v>
      </c>
      <c r="U36" s="13">
        <f>+'Curv hora 2029 - 2033 (100%)'!U36*0.5</f>
        <v>6913.5150000000003</v>
      </c>
      <c r="V36" s="13">
        <f>+'Curv hora 2029 - 2033 (100%)'!V36*0.5</f>
        <v>7876.8249999999998</v>
      </c>
      <c r="W36" s="13">
        <f>+'Curv hora 2029 - 2033 (100%)'!W36*0.5</f>
        <v>8554.07</v>
      </c>
      <c r="X36" s="13">
        <f>+'Curv hora 2029 - 2033 (100%)'!X36*0.5</f>
        <v>8543.6</v>
      </c>
      <c r="Y36" s="13">
        <f>+'Curv hora 2029 - 2033 (100%)'!Y36*0.5</f>
        <v>7933.3</v>
      </c>
      <c r="Z36" s="13">
        <f>+'Curv hora 2029 - 2033 (100%)'!Z36*0.5</f>
        <v>7188.1850000000004</v>
      </c>
      <c r="AA36" s="13">
        <f>+'Curv hora 2029 - 2033 (100%)'!AA36*0.5</f>
        <v>6240.3950000000004</v>
      </c>
      <c r="AB36" s="34">
        <f>+'Curv hora 2029 - 2033 (100%)'!AB36*0.5</f>
        <v>5486.1149999999998</v>
      </c>
      <c r="AC36" s="71">
        <f t="shared" ref="AC36" si="10">SUMPRODUCT((E36:AB38)*D36:D38)</f>
        <v>4309177.6800000016</v>
      </c>
    </row>
    <row r="37" spans="1:30" x14ac:dyDescent="0.3">
      <c r="A37" s="68"/>
      <c r="B37" s="70"/>
      <c r="C37" t="s">
        <v>37</v>
      </c>
      <c r="D37" s="11">
        <v>4</v>
      </c>
      <c r="E37" s="35">
        <f>+'Curv hora 2029 - 2033 (100%)'!E37*0.5</f>
        <v>4969.5600000000004</v>
      </c>
      <c r="F37" s="5">
        <f>+'Curv hora 2029 - 2033 (100%)'!F37*0.5</f>
        <v>4647.8599999999997</v>
      </c>
      <c r="G37" s="5">
        <f>+'Curv hora 2029 - 2033 (100%)'!G37*0.5</f>
        <v>4427.7349999999997</v>
      </c>
      <c r="H37" s="5">
        <f>+'Curv hora 2029 - 2033 (100%)'!H37*0.5</f>
        <v>4277.8649999999998</v>
      </c>
      <c r="I37" s="5">
        <f>+'Curv hora 2029 - 2033 (100%)'!I37*0.5</f>
        <v>4243.8850000000002</v>
      </c>
      <c r="J37" s="5">
        <f>+'Curv hora 2029 - 2033 (100%)'!J37*0.5</f>
        <v>4274.59</v>
      </c>
      <c r="K37" s="5">
        <f>+'Curv hora 2029 - 2033 (100%)'!K37*0.5</f>
        <v>4524.5349999999999</v>
      </c>
      <c r="L37" s="5">
        <f>+'Curv hora 2029 - 2033 (100%)'!L37*0.5</f>
        <v>4295.8649999999998</v>
      </c>
      <c r="M37" s="5">
        <f>+'Curv hora 2029 - 2033 (100%)'!M37*0.5</f>
        <v>5204.83</v>
      </c>
      <c r="N37" s="5">
        <f>+'Curv hora 2029 - 2033 (100%)'!N37*0.5</f>
        <v>5871.3549999999996</v>
      </c>
      <c r="O37" s="5">
        <f>+'Curv hora 2029 - 2033 (100%)'!O37*0.5</f>
        <v>6415.45</v>
      </c>
      <c r="P37" s="5">
        <f>+'Curv hora 2029 - 2033 (100%)'!P37*0.5</f>
        <v>6512.33</v>
      </c>
      <c r="Q37" s="5">
        <f>+'Curv hora 2029 - 2033 (100%)'!Q37*0.5</f>
        <v>6184.1350000000002</v>
      </c>
      <c r="R37" s="5">
        <f>+'Curv hora 2029 - 2033 (100%)'!R37*0.5</f>
        <v>5775.1850000000004</v>
      </c>
      <c r="S37" s="5">
        <f>+'Curv hora 2029 - 2033 (100%)'!S37*0.5</f>
        <v>5846.5649999999996</v>
      </c>
      <c r="T37" s="5">
        <f>+'Curv hora 2029 - 2033 (100%)'!T37*0.5</f>
        <v>5799.1</v>
      </c>
      <c r="U37" s="5">
        <f>+'Curv hora 2029 - 2033 (100%)'!U37*0.5</f>
        <v>5565.96</v>
      </c>
      <c r="V37" s="5">
        <f>+'Curv hora 2029 - 2033 (100%)'!V37*0.5</f>
        <v>6693.5349999999999</v>
      </c>
      <c r="W37" s="5">
        <f>+'Curv hora 2029 - 2033 (100%)'!W37*0.5</f>
        <v>7559.11</v>
      </c>
      <c r="X37" s="5">
        <f>+'Curv hora 2029 - 2033 (100%)'!X37*0.5</f>
        <v>7620.125</v>
      </c>
      <c r="Y37" s="5">
        <f>+'Curv hora 2029 - 2033 (100%)'!Y37*0.5</f>
        <v>7145.31</v>
      </c>
      <c r="Z37" s="5">
        <f>+'Curv hora 2029 - 2033 (100%)'!Z37*0.5</f>
        <v>6579.73</v>
      </c>
      <c r="AA37" s="5">
        <f>+'Curv hora 2029 - 2033 (100%)'!AA37*0.5</f>
        <v>5868.7849999999999</v>
      </c>
      <c r="AB37" s="36">
        <f>+'Curv hora 2029 - 2033 (100%)'!AB37*0.5</f>
        <v>5214.2849999999999</v>
      </c>
      <c r="AC37" s="71"/>
    </row>
    <row r="38" spans="1:30" x14ac:dyDescent="0.3">
      <c r="A38" s="76"/>
      <c r="B38" s="77"/>
      <c r="C38" s="7" t="s">
        <v>38</v>
      </c>
      <c r="D38" s="12">
        <v>5</v>
      </c>
      <c r="E38" s="37">
        <f>+'Curv hora 2029 - 2033 (100%)'!E38*0.5</f>
        <v>4593.68</v>
      </c>
      <c r="F38" s="9">
        <f>+'Curv hora 2029 - 2033 (100%)'!F38*0.5</f>
        <v>4300.92</v>
      </c>
      <c r="G38" s="9">
        <f>+'Curv hora 2029 - 2033 (100%)'!G38*0.5</f>
        <v>4095.415</v>
      </c>
      <c r="H38" s="9">
        <f>+'Curv hora 2029 - 2033 (100%)'!H38*0.5</f>
        <v>3944.99</v>
      </c>
      <c r="I38" s="9">
        <f>+'Curv hora 2029 - 2033 (100%)'!I38*0.5</f>
        <v>3857.98</v>
      </c>
      <c r="J38" s="9">
        <f>+'Curv hora 2029 - 2033 (100%)'!J38*0.5</f>
        <v>3682.12</v>
      </c>
      <c r="K38" s="9">
        <f>+'Curv hora 2029 - 2033 (100%)'!K38*0.5</f>
        <v>3974.0149999999999</v>
      </c>
      <c r="L38" s="9">
        <f>+'Curv hora 2029 - 2033 (100%)'!L38*0.5</f>
        <v>3591.7</v>
      </c>
      <c r="M38" s="9">
        <f>+'Curv hora 2029 - 2033 (100%)'!M38*0.5</f>
        <v>4173.375</v>
      </c>
      <c r="N38" s="9">
        <f>+'Curv hora 2029 - 2033 (100%)'!N38*0.5</f>
        <v>4636.7550000000001</v>
      </c>
      <c r="O38" s="9">
        <f>+'Curv hora 2029 - 2033 (100%)'!O38*0.5</f>
        <v>5078.54</v>
      </c>
      <c r="P38" s="9">
        <f>+'Curv hora 2029 - 2033 (100%)'!P38*0.5</f>
        <v>5428.71</v>
      </c>
      <c r="Q38" s="9">
        <f>+'Curv hora 2029 - 2033 (100%)'!Q38*0.5</f>
        <v>5562.12</v>
      </c>
      <c r="R38" s="9">
        <f>+'Curv hora 2029 - 2033 (100%)'!R38*0.5</f>
        <v>5587.09</v>
      </c>
      <c r="S38" s="9">
        <f>+'Curv hora 2029 - 2033 (100%)'!S38*0.5</f>
        <v>5534.76</v>
      </c>
      <c r="T38" s="9">
        <f>+'Curv hora 2029 - 2033 (100%)'!T38*0.5</f>
        <v>5511.9</v>
      </c>
      <c r="U38" s="9">
        <f>+'Curv hora 2029 - 2033 (100%)'!U38*0.5</f>
        <v>5503.39</v>
      </c>
      <c r="V38" s="9">
        <f>+'Curv hora 2029 - 2033 (100%)'!V38*0.5</f>
        <v>6579.22</v>
      </c>
      <c r="W38" s="9">
        <f>+'Curv hora 2029 - 2033 (100%)'!W38*0.5</f>
        <v>7490.9949999999999</v>
      </c>
      <c r="X38" s="9">
        <f>+'Curv hora 2029 - 2033 (100%)'!X38*0.5</f>
        <v>7213.3649999999998</v>
      </c>
      <c r="Y38" s="9">
        <f>+'Curv hora 2029 - 2033 (100%)'!Y38*0.5</f>
        <v>6975.1350000000002</v>
      </c>
      <c r="Z38" s="9">
        <f>+'Curv hora 2029 - 2033 (100%)'!Z38*0.5</f>
        <v>6205.68</v>
      </c>
      <c r="AA38" s="9">
        <f>+'Curv hora 2029 - 2033 (100%)'!AA38*0.5</f>
        <v>5746.66</v>
      </c>
      <c r="AB38" s="38">
        <f>+'Curv hora 2029 - 2033 (100%)'!AB38*0.5</f>
        <v>5025.6049999999996</v>
      </c>
      <c r="AC38" s="71"/>
    </row>
    <row r="39" spans="1:30" x14ac:dyDescent="0.3">
      <c r="A39" s="67">
        <v>47423</v>
      </c>
      <c r="B39" s="69">
        <f>DAY(EOMONTH(A39,0))</f>
        <v>30</v>
      </c>
      <c r="C39" s="3" t="s">
        <v>36</v>
      </c>
      <c r="D39" s="10">
        <v>20</v>
      </c>
      <c r="E39" s="33">
        <f>+'Curv hora 2029 - 2033 (100%)'!E39*0.5</f>
        <v>4390.8</v>
      </c>
      <c r="F39" s="13">
        <f>+'Curv hora 2029 - 2033 (100%)'!F39*0.5</f>
        <v>4106.5200000000004</v>
      </c>
      <c r="G39" s="13">
        <f>+'Curv hora 2029 - 2033 (100%)'!G39*0.5</f>
        <v>4004.39</v>
      </c>
      <c r="H39" s="13">
        <f>+'Curv hora 2029 - 2033 (100%)'!H39*0.5</f>
        <v>3882.7350000000001</v>
      </c>
      <c r="I39" s="13">
        <f>+'Curv hora 2029 - 2033 (100%)'!I39*0.5</f>
        <v>3914.915</v>
      </c>
      <c r="J39" s="13">
        <f>+'Curv hora 2029 - 2033 (100%)'!J39*0.5</f>
        <v>4084.39</v>
      </c>
      <c r="K39" s="13">
        <f>+'Curv hora 2029 - 2033 (100%)'!K39*0.5</f>
        <v>4538.6049999999996</v>
      </c>
      <c r="L39" s="13">
        <f>+'Curv hora 2029 - 2033 (100%)'!L39*0.5</f>
        <v>4164.1149999999998</v>
      </c>
      <c r="M39" s="13">
        <f>+'Curv hora 2029 - 2033 (100%)'!M39*0.5</f>
        <v>4898.9549999999999</v>
      </c>
      <c r="N39" s="13">
        <f>+'Curv hora 2029 - 2033 (100%)'!N39*0.5</f>
        <v>5371.4750000000004</v>
      </c>
      <c r="O39" s="13">
        <f>+'Curv hora 2029 - 2033 (100%)'!O39*0.5</f>
        <v>5823.375</v>
      </c>
      <c r="P39" s="13">
        <f>+'Curv hora 2029 - 2033 (100%)'!P39*0.5</f>
        <v>6231.9949999999999</v>
      </c>
      <c r="Q39" s="13">
        <f>+'Curv hora 2029 - 2033 (100%)'!Q39*0.5</f>
        <v>5983.7349999999997</v>
      </c>
      <c r="R39" s="13">
        <f>+'Curv hora 2029 - 2033 (100%)'!R39*0.5</f>
        <v>6169.1750000000002</v>
      </c>
      <c r="S39" s="13">
        <f>+'Curv hora 2029 - 2033 (100%)'!S39*0.5</f>
        <v>6619.0749999999998</v>
      </c>
      <c r="T39" s="13">
        <f>+'Curv hora 2029 - 2033 (100%)'!T39*0.5</f>
        <v>6610.2150000000001</v>
      </c>
      <c r="U39" s="13">
        <f>+'Curv hora 2029 - 2033 (100%)'!U39*0.5</f>
        <v>6607.18</v>
      </c>
      <c r="V39" s="13">
        <f>+'Curv hora 2029 - 2033 (100%)'!V39*0.5</f>
        <v>7599.02</v>
      </c>
      <c r="W39" s="13">
        <f>+'Curv hora 2029 - 2033 (100%)'!W39*0.5</f>
        <v>8294.48</v>
      </c>
      <c r="X39" s="13">
        <f>+'Curv hora 2029 - 2033 (100%)'!X39*0.5</f>
        <v>8218.875</v>
      </c>
      <c r="Y39" s="13">
        <f>+'Curv hora 2029 - 2033 (100%)'!Y39*0.5</f>
        <v>7667.7250000000004</v>
      </c>
      <c r="Z39" s="13">
        <f>+'Curv hora 2029 - 2033 (100%)'!Z39*0.5</f>
        <v>6939.46</v>
      </c>
      <c r="AA39" s="13">
        <f>+'Curv hora 2029 - 2033 (100%)'!AA39*0.5</f>
        <v>5964.1350000000002</v>
      </c>
      <c r="AB39" s="34">
        <f>+'Curv hora 2029 - 2033 (100%)'!AB39*0.5</f>
        <v>5183.42</v>
      </c>
      <c r="AC39" s="71">
        <f>SUMPRODUCT((E39:AB41)*D39:D41)</f>
        <v>4023399.8399999994</v>
      </c>
    </row>
    <row r="40" spans="1:30" x14ac:dyDescent="0.3">
      <c r="A40" s="68"/>
      <c r="B40" s="70"/>
      <c r="C40" t="s">
        <v>37</v>
      </c>
      <c r="D40" s="11">
        <v>4</v>
      </c>
      <c r="E40" s="35">
        <f>+'Curv hora 2029 - 2033 (100%)'!E40*0.5</f>
        <v>4589.335</v>
      </c>
      <c r="F40" s="5">
        <f>+'Curv hora 2029 - 2033 (100%)'!F40*0.5</f>
        <v>4313.7650000000003</v>
      </c>
      <c r="G40" s="5">
        <f>+'Curv hora 2029 - 2033 (100%)'!G40*0.5</f>
        <v>4106.21</v>
      </c>
      <c r="H40" s="5">
        <f>+'Curv hora 2029 - 2033 (100%)'!H40*0.5</f>
        <v>3927.3449999999998</v>
      </c>
      <c r="I40" s="5">
        <f>+'Curv hora 2029 - 2033 (100%)'!I40*0.5</f>
        <v>3832.6750000000002</v>
      </c>
      <c r="J40" s="5">
        <f>+'Curv hora 2029 - 2033 (100%)'!J40*0.5</f>
        <v>3997.5</v>
      </c>
      <c r="K40" s="5">
        <f>+'Curv hora 2029 - 2033 (100%)'!K40*0.5</f>
        <v>4178.3249999999998</v>
      </c>
      <c r="L40" s="5">
        <f>+'Curv hora 2029 - 2033 (100%)'!L40*0.5</f>
        <v>3868.78</v>
      </c>
      <c r="M40" s="5">
        <f>+'Curv hora 2029 - 2033 (100%)'!M40*0.5</f>
        <v>4656.7349999999997</v>
      </c>
      <c r="N40" s="5">
        <f>+'Curv hora 2029 - 2033 (100%)'!N40*0.5</f>
        <v>5070.2550000000001</v>
      </c>
      <c r="O40" s="5">
        <f>+'Curv hora 2029 - 2033 (100%)'!O40*0.5</f>
        <v>5423.76</v>
      </c>
      <c r="P40" s="5">
        <f>+'Curv hora 2029 - 2033 (100%)'!P40*0.5</f>
        <v>5650.915</v>
      </c>
      <c r="Q40" s="5">
        <f>+'Curv hora 2029 - 2033 (100%)'!Q40*0.5</f>
        <v>5767.8450000000003</v>
      </c>
      <c r="R40" s="5">
        <f>+'Curv hora 2029 - 2033 (100%)'!R40*0.5</f>
        <v>5806.28</v>
      </c>
      <c r="S40" s="5">
        <f>+'Curv hora 2029 - 2033 (100%)'!S40*0.5</f>
        <v>5956.0749999999998</v>
      </c>
      <c r="T40" s="5">
        <f>+'Curv hora 2029 - 2033 (100%)'!T40*0.5</f>
        <v>6032.2</v>
      </c>
      <c r="U40" s="5">
        <f>+'Curv hora 2029 - 2033 (100%)'!U40*0.5</f>
        <v>6031.4650000000001</v>
      </c>
      <c r="V40" s="5">
        <f>+'Curv hora 2029 - 2033 (100%)'!V40*0.5</f>
        <v>7161.18</v>
      </c>
      <c r="W40" s="5">
        <f>+'Curv hora 2029 - 2033 (100%)'!W40*0.5</f>
        <v>8023.13</v>
      </c>
      <c r="X40" s="5">
        <f>+'Curv hora 2029 - 2033 (100%)'!X40*0.5</f>
        <v>8000.58</v>
      </c>
      <c r="Y40" s="5">
        <f>+'Curv hora 2029 - 2033 (100%)'!Y40*0.5</f>
        <v>7444.76</v>
      </c>
      <c r="Z40" s="5">
        <f>+'Curv hora 2029 - 2033 (100%)'!Z40*0.5</f>
        <v>6835.6</v>
      </c>
      <c r="AA40" s="5">
        <f>+'Curv hora 2029 - 2033 (100%)'!AA40*0.5</f>
        <v>6115.99</v>
      </c>
      <c r="AB40" s="36">
        <f>+'Curv hora 2029 - 2033 (100%)'!AB40*0.5</f>
        <v>5241.92</v>
      </c>
      <c r="AC40" s="71"/>
    </row>
    <row r="41" spans="1:30" x14ac:dyDescent="0.3">
      <c r="A41" s="68"/>
      <c r="B41" s="70"/>
      <c r="C41" t="s">
        <v>38</v>
      </c>
      <c r="D41" s="11">
        <v>6</v>
      </c>
      <c r="E41" s="37">
        <f>+'Curv hora 2029 - 2033 (100%)'!E41*0.5</f>
        <v>4702.7849999999999</v>
      </c>
      <c r="F41" s="9">
        <f>+'Curv hora 2029 - 2033 (100%)'!F41*0.5</f>
        <v>4408.0150000000003</v>
      </c>
      <c r="G41" s="9">
        <f>+'Curv hora 2029 - 2033 (100%)'!G41*0.5</f>
        <v>4209.6499999999996</v>
      </c>
      <c r="H41" s="9">
        <f>+'Curv hora 2029 - 2033 (100%)'!H41*0.5</f>
        <v>4099.42</v>
      </c>
      <c r="I41" s="9">
        <f>+'Curv hora 2029 - 2033 (100%)'!I41*0.5</f>
        <v>4069.49</v>
      </c>
      <c r="J41" s="9">
        <f>+'Curv hora 2029 - 2033 (100%)'!J41*0.5</f>
        <v>3968.3249999999998</v>
      </c>
      <c r="K41" s="9">
        <f>+'Curv hora 2029 - 2033 (100%)'!K41*0.5</f>
        <v>4111.79</v>
      </c>
      <c r="L41" s="9">
        <f>+'Curv hora 2029 - 2033 (100%)'!L41*0.5</f>
        <v>3751.88</v>
      </c>
      <c r="M41" s="9">
        <f>+'Curv hora 2029 - 2033 (100%)'!M41*0.5</f>
        <v>4412.1400000000003</v>
      </c>
      <c r="N41" s="9">
        <f>+'Curv hora 2029 - 2033 (100%)'!N41*0.5</f>
        <v>4842.1949999999997</v>
      </c>
      <c r="O41" s="9">
        <f>+'Curv hora 2029 - 2033 (100%)'!O41*0.5</f>
        <v>5050.4350000000004</v>
      </c>
      <c r="P41" s="9">
        <f>+'Curv hora 2029 - 2033 (100%)'!P41*0.5</f>
        <v>4875.2700000000004</v>
      </c>
      <c r="Q41" s="9">
        <f>+'Curv hora 2029 - 2033 (100%)'!Q41*0.5</f>
        <v>5075.6099999999997</v>
      </c>
      <c r="R41" s="9">
        <f>+'Curv hora 2029 - 2033 (100%)'!R41*0.5</f>
        <v>5220.5</v>
      </c>
      <c r="S41" s="9">
        <f>+'Curv hora 2029 - 2033 (100%)'!S41*0.5</f>
        <v>5363.6949999999997</v>
      </c>
      <c r="T41" s="9">
        <f>+'Curv hora 2029 - 2033 (100%)'!T41*0.5</f>
        <v>5069.72</v>
      </c>
      <c r="U41" s="9">
        <f>+'Curv hora 2029 - 2033 (100%)'!U41*0.5</f>
        <v>5368.99</v>
      </c>
      <c r="V41" s="9">
        <f>+'Curv hora 2029 - 2033 (100%)'!V41*0.5</f>
        <v>6461.415</v>
      </c>
      <c r="W41" s="9">
        <f>+'Curv hora 2029 - 2033 (100%)'!W41*0.5</f>
        <v>7399.37</v>
      </c>
      <c r="X41" s="9">
        <f>+'Curv hora 2029 - 2033 (100%)'!X41*0.5</f>
        <v>7636.59</v>
      </c>
      <c r="Y41" s="9">
        <f>+'Curv hora 2029 - 2033 (100%)'!Y41*0.5</f>
        <v>7137.2749999999996</v>
      </c>
      <c r="Z41" s="9">
        <f>+'Curv hora 2029 - 2033 (100%)'!Z41*0.5</f>
        <v>6686.13</v>
      </c>
      <c r="AA41" s="9">
        <f>+'Curv hora 2029 - 2033 (100%)'!AA41*0.5</f>
        <v>5881.8050000000003</v>
      </c>
      <c r="AB41" s="38">
        <f>+'Curv hora 2029 - 2033 (100%)'!AB41*0.5</f>
        <v>5179.8450000000003</v>
      </c>
      <c r="AC41" s="71"/>
    </row>
    <row r="42" spans="1:30" x14ac:dyDescent="0.3">
      <c r="A42" s="67">
        <v>47453</v>
      </c>
      <c r="B42" s="69">
        <f>DAY(EOMONTH(A42,0))</f>
        <v>31</v>
      </c>
      <c r="C42" s="3" t="s">
        <v>36</v>
      </c>
      <c r="D42" s="10">
        <v>20</v>
      </c>
      <c r="E42" s="33">
        <f>+'Curv hora 2029 - 2033 (100%)'!E42*0.5</f>
        <v>4425.6750000000002</v>
      </c>
      <c r="F42" s="13">
        <f>+'Curv hora 2029 - 2033 (100%)'!F42*0.5</f>
        <v>4117.5349999999999</v>
      </c>
      <c r="G42" s="13">
        <f>+'Curv hora 2029 - 2033 (100%)'!G42*0.5</f>
        <v>3953.29</v>
      </c>
      <c r="H42" s="13">
        <f>+'Curv hora 2029 - 2033 (100%)'!H42*0.5</f>
        <v>3850.3649999999998</v>
      </c>
      <c r="I42" s="13">
        <f>+'Curv hora 2029 - 2033 (100%)'!I42*0.5</f>
        <v>3855.6750000000002</v>
      </c>
      <c r="J42" s="13">
        <f>+'Curv hora 2029 - 2033 (100%)'!J42*0.5</f>
        <v>3991.15</v>
      </c>
      <c r="K42" s="13">
        <f>+'Curv hora 2029 - 2033 (100%)'!K42*0.5</f>
        <v>4205.6099999999997</v>
      </c>
      <c r="L42" s="13">
        <f>+'Curv hora 2029 - 2033 (100%)'!L42*0.5</f>
        <v>3971.5149999999999</v>
      </c>
      <c r="M42" s="13">
        <f>+'Curv hora 2029 - 2033 (100%)'!M42*0.5</f>
        <v>4802.0950000000003</v>
      </c>
      <c r="N42" s="13">
        <f>+'Curv hora 2029 - 2033 (100%)'!N42*0.5</f>
        <v>5332.76</v>
      </c>
      <c r="O42" s="13">
        <f>+'Curv hora 2029 - 2033 (100%)'!O42*0.5</f>
        <v>5730.5550000000003</v>
      </c>
      <c r="P42" s="13">
        <f>+'Curv hora 2029 - 2033 (100%)'!P42*0.5</f>
        <v>6075.33</v>
      </c>
      <c r="Q42" s="13">
        <f>+'Curv hora 2029 - 2033 (100%)'!Q42*0.5</f>
        <v>5921.05</v>
      </c>
      <c r="R42" s="13">
        <f>+'Curv hora 2029 - 2033 (100%)'!R42*0.5</f>
        <v>5909.5249999999996</v>
      </c>
      <c r="S42" s="13">
        <f>+'Curv hora 2029 - 2033 (100%)'!S42*0.5</f>
        <v>6150.48</v>
      </c>
      <c r="T42" s="13">
        <f>+'Curv hora 2029 - 2033 (100%)'!T42*0.5</f>
        <v>6229.7849999999999</v>
      </c>
      <c r="U42" s="13">
        <f>+'Curv hora 2029 - 2033 (100%)'!U42*0.5</f>
        <v>6268.7049999999999</v>
      </c>
      <c r="V42" s="13">
        <f>+'Curv hora 2029 - 2033 (100%)'!V42*0.5</f>
        <v>7213.4650000000001</v>
      </c>
      <c r="W42" s="13">
        <f>+'Curv hora 2029 - 2033 (100%)'!W42*0.5</f>
        <v>7846.14</v>
      </c>
      <c r="X42" s="13">
        <f>+'Curv hora 2029 - 2033 (100%)'!X42*0.5</f>
        <v>7928.5950000000003</v>
      </c>
      <c r="Y42" s="13">
        <f>+'Curv hora 2029 - 2033 (100%)'!Y42*0.5</f>
        <v>7511.9049999999997</v>
      </c>
      <c r="Z42" s="13">
        <f>+'Curv hora 2029 - 2033 (100%)'!Z42*0.5</f>
        <v>6850.9849999999997</v>
      </c>
      <c r="AA42" s="13">
        <f>+'Curv hora 2029 - 2033 (100%)'!AA42*0.5</f>
        <v>6016.37</v>
      </c>
      <c r="AB42" s="34">
        <f>+'Curv hora 2029 - 2033 (100%)'!AB42*0.5</f>
        <v>5249</v>
      </c>
      <c r="AC42" s="74">
        <f>SUMPRODUCT((E42:AB44)*D42:D44)</f>
        <v>4057095.5950000007</v>
      </c>
    </row>
    <row r="43" spans="1:30" x14ac:dyDescent="0.3">
      <c r="A43" s="68"/>
      <c r="B43" s="70"/>
      <c r="C43" t="s">
        <v>37</v>
      </c>
      <c r="D43" s="11">
        <v>4</v>
      </c>
      <c r="E43" s="35">
        <f>+'Curv hora 2029 - 2033 (100%)'!E43*0.5</f>
        <v>4472.18</v>
      </c>
      <c r="F43" s="5">
        <f>+'Curv hora 2029 - 2033 (100%)'!F43*0.5</f>
        <v>4141.125</v>
      </c>
      <c r="G43" s="5">
        <f>+'Curv hora 2029 - 2033 (100%)'!G43*0.5</f>
        <v>3904.96</v>
      </c>
      <c r="H43" s="5">
        <f>+'Curv hora 2029 - 2033 (100%)'!H43*0.5</f>
        <v>3778.9549999999999</v>
      </c>
      <c r="I43" s="5">
        <f>+'Curv hora 2029 - 2033 (100%)'!I43*0.5</f>
        <v>3759.97</v>
      </c>
      <c r="J43" s="5">
        <f>+'Curv hora 2029 - 2033 (100%)'!J43*0.5</f>
        <v>3841.07</v>
      </c>
      <c r="K43" s="5">
        <f>+'Curv hora 2029 - 2033 (100%)'!K43*0.5</f>
        <v>4019.145</v>
      </c>
      <c r="L43" s="5">
        <f>+'Curv hora 2029 - 2033 (100%)'!L43*0.5</f>
        <v>3783.32</v>
      </c>
      <c r="M43" s="5">
        <f>+'Curv hora 2029 - 2033 (100%)'!M43*0.5</f>
        <v>4547.2150000000001</v>
      </c>
      <c r="N43" s="5">
        <f>+'Curv hora 2029 - 2033 (100%)'!N43*0.5</f>
        <v>5066.1450000000004</v>
      </c>
      <c r="O43" s="5">
        <f>+'Curv hora 2029 - 2033 (100%)'!O43*0.5</f>
        <v>5392.9549999999999</v>
      </c>
      <c r="P43" s="5">
        <f>+'Curv hora 2029 - 2033 (100%)'!P43*0.5</f>
        <v>5689.38</v>
      </c>
      <c r="Q43" s="5">
        <f>+'Curv hora 2029 - 2033 (100%)'!Q43*0.5</f>
        <v>5689.56</v>
      </c>
      <c r="R43" s="5">
        <f>+'Curv hora 2029 - 2033 (100%)'!R43*0.5</f>
        <v>5701.7250000000004</v>
      </c>
      <c r="S43" s="5">
        <f>+'Curv hora 2029 - 2033 (100%)'!S43*0.5</f>
        <v>5777.1850000000004</v>
      </c>
      <c r="T43" s="5">
        <f>+'Curv hora 2029 - 2033 (100%)'!T43*0.5</f>
        <v>5812.54</v>
      </c>
      <c r="U43" s="5">
        <f>+'Curv hora 2029 - 2033 (100%)'!U43*0.5</f>
        <v>5783.8050000000003</v>
      </c>
      <c r="V43" s="5">
        <f>+'Curv hora 2029 - 2033 (100%)'!V43*0.5</f>
        <v>6869.1149999999998</v>
      </c>
      <c r="W43" s="5">
        <f>+'Curv hora 2029 - 2033 (100%)'!W43*0.5</f>
        <v>7675.88</v>
      </c>
      <c r="X43" s="5">
        <f>+'Curv hora 2029 - 2033 (100%)'!X43*0.5</f>
        <v>7873.5249999999996</v>
      </c>
      <c r="Y43" s="5">
        <f>+'Curv hora 2029 - 2033 (100%)'!Y43*0.5</f>
        <v>7486.7250000000004</v>
      </c>
      <c r="Z43" s="5">
        <f>+'Curv hora 2029 - 2033 (100%)'!Z43*0.5</f>
        <v>6872.9949999999999</v>
      </c>
      <c r="AA43" s="5">
        <f>+'Curv hora 2029 - 2033 (100%)'!AA43*0.5</f>
        <v>6122.04</v>
      </c>
      <c r="AB43" s="36">
        <f>+'Curv hora 2029 - 2033 (100%)'!AB43*0.5</f>
        <v>5383.61</v>
      </c>
      <c r="AC43" s="71"/>
    </row>
    <row r="44" spans="1:30" ht="15.65" thickBot="1" x14ac:dyDescent="0.35">
      <c r="A44" s="72"/>
      <c r="B44" s="73"/>
      <c r="C44" s="14" t="s">
        <v>38</v>
      </c>
      <c r="D44" s="15">
        <v>7</v>
      </c>
      <c r="E44" s="37">
        <f>+'Curv hora 2029 - 2033 (100%)'!E44*0.5</f>
        <v>4731.7</v>
      </c>
      <c r="F44" s="9">
        <f>+'Curv hora 2029 - 2033 (100%)'!F44*0.5</f>
        <v>4401.49</v>
      </c>
      <c r="G44" s="9">
        <f>+'Curv hora 2029 - 2033 (100%)'!G44*0.5</f>
        <v>4175.8050000000003</v>
      </c>
      <c r="H44" s="9">
        <f>+'Curv hora 2029 - 2033 (100%)'!H44*0.5</f>
        <v>4046.6</v>
      </c>
      <c r="I44" s="9">
        <f>+'Curv hora 2029 - 2033 (100%)'!I44*0.5</f>
        <v>3984.9250000000002</v>
      </c>
      <c r="J44" s="9">
        <f>+'Curv hora 2029 - 2033 (100%)'!J44*0.5</f>
        <v>3971.71</v>
      </c>
      <c r="K44" s="9">
        <f>+'Curv hora 2029 - 2033 (100%)'!K44*0.5</f>
        <v>4022.03</v>
      </c>
      <c r="L44" s="9">
        <f>+'Curv hora 2029 - 2033 (100%)'!L44*0.5</f>
        <v>3594.5</v>
      </c>
      <c r="M44" s="9">
        <f>+'Curv hora 2029 - 2033 (100%)'!M44*0.5</f>
        <v>4236.68</v>
      </c>
      <c r="N44" s="9">
        <f>+'Curv hora 2029 - 2033 (100%)'!N44*0.5</f>
        <v>4685.58</v>
      </c>
      <c r="O44" s="9">
        <f>+'Curv hora 2029 - 2033 (100%)'!O44*0.5</f>
        <v>4980.7049999999999</v>
      </c>
      <c r="P44" s="9">
        <f>+'Curv hora 2029 - 2033 (100%)'!P44*0.5</f>
        <v>5158.2250000000004</v>
      </c>
      <c r="Q44" s="9">
        <f>+'Curv hora 2029 - 2033 (100%)'!Q44*0.5</f>
        <v>5308.9949999999999</v>
      </c>
      <c r="R44" s="9">
        <f>+'Curv hora 2029 - 2033 (100%)'!R44*0.5</f>
        <v>5344.1450000000004</v>
      </c>
      <c r="S44" s="9">
        <f>+'Curv hora 2029 - 2033 (100%)'!S44*0.5</f>
        <v>5121.54</v>
      </c>
      <c r="T44" s="9">
        <f>+'Curv hora 2029 - 2033 (100%)'!T44*0.5</f>
        <v>5325.8249999999998</v>
      </c>
      <c r="U44" s="9">
        <f>+'Curv hora 2029 - 2033 (100%)'!U44*0.5</f>
        <v>5387.3450000000003</v>
      </c>
      <c r="V44" s="9">
        <f>+'Curv hora 2029 - 2033 (100%)'!V44*0.5</f>
        <v>6425.7049999999999</v>
      </c>
      <c r="W44" s="9">
        <f>+'Curv hora 2029 - 2033 (100%)'!W44*0.5</f>
        <v>7254.43</v>
      </c>
      <c r="X44" s="9">
        <f>+'Curv hora 2029 - 2033 (100%)'!X44*0.5</f>
        <v>7483.2250000000004</v>
      </c>
      <c r="Y44" s="9">
        <f>+'Curv hora 2029 - 2033 (100%)'!Y44*0.5</f>
        <v>7159.0950000000003</v>
      </c>
      <c r="Z44" s="9">
        <f>+'Curv hora 2029 - 2033 (100%)'!Z44*0.5</f>
        <v>6554.5450000000001</v>
      </c>
      <c r="AA44" s="9">
        <f>+'Curv hora 2029 - 2033 (100%)'!AA44*0.5</f>
        <v>5864.3549999999996</v>
      </c>
      <c r="AB44" s="38">
        <f>+'Curv hora 2029 - 2033 (100%)'!AB44*0.5</f>
        <v>5232.83</v>
      </c>
      <c r="AC44" s="75"/>
      <c r="AD44" s="17">
        <f>SUM(AC9:AC44)</f>
        <v>47541731.264999993</v>
      </c>
    </row>
    <row r="45" spans="1:30" x14ac:dyDescent="0.3">
      <c r="A45" s="68">
        <v>47484</v>
      </c>
      <c r="B45" s="70">
        <f>DAY(EOMONTH(A45,0))</f>
        <v>31</v>
      </c>
      <c r="C45" t="s">
        <v>36</v>
      </c>
      <c r="D45" s="6">
        <v>21</v>
      </c>
      <c r="E45" s="33">
        <f>+'Curv hora 2029 - 2033 (100%)'!E45*0.5</f>
        <v>4824.84</v>
      </c>
      <c r="F45" s="13">
        <f>+'Curv hora 2029 - 2033 (100%)'!F45*0.5</f>
        <v>4520.01</v>
      </c>
      <c r="G45" s="13">
        <f>+'Curv hora 2029 - 2033 (100%)'!G45*0.5</f>
        <v>4320.75</v>
      </c>
      <c r="H45" s="13">
        <f>+'Curv hora 2029 - 2033 (100%)'!H45*0.5</f>
        <v>4187.5249999999996</v>
      </c>
      <c r="I45" s="13">
        <f>+'Curv hora 2029 - 2033 (100%)'!I45*0.5</f>
        <v>4148.78</v>
      </c>
      <c r="J45" s="13">
        <f>+'Curv hora 2029 - 2033 (100%)'!J45*0.5</f>
        <v>4229.79</v>
      </c>
      <c r="K45" s="13">
        <f>+'Curv hora 2029 - 2033 (100%)'!K45*0.5</f>
        <v>4254.1450000000004</v>
      </c>
      <c r="L45" s="13">
        <f>+'Curv hora 2029 - 2033 (100%)'!L45*0.5</f>
        <v>3902.0250000000001</v>
      </c>
      <c r="M45" s="13">
        <f>+'Curv hora 2029 - 2033 (100%)'!M45*0.5</f>
        <v>4669.3450000000003</v>
      </c>
      <c r="N45" s="13">
        <f>+'Curv hora 2029 - 2033 (100%)'!N45*0.5</f>
        <v>5323.95</v>
      </c>
      <c r="O45" s="13">
        <f>+'Curv hora 2029 - 2033 (100%)'!O45*0.5</f>
        <v>5928.585</v>
      </c>
      <c r="P45" s="13">
        <f>+'Curv hora 2029 - 2033 (100%)'!P45*0.5</f>
        <v>6367.8149999999996</v>
      </c>
      <c r="Q45" s="13">
        <f>+'Curv hora 2029 - 2033 (100%)'!Q45*0.5</f>
        <v>6205.3050000000003</v>
      </c>
      <c r="R45" s="13">
        <f>+'Curv hora 2029 - 2033 (100%)'!R45*0.5</f>
        <v>6204.915</v>
      </c>
      <c r="S45" s="13">
        <f>+'Curv hora 2029 - 2033 (100%)'!S45*0.5</f>
        <v>6603.5950000000003</v>
      </c>
      <c r="T45" s="13">
        <f>+'Curv hora 2029 - 2033 (100%)'!T45*0.5</f>
        <v>6667.28</v>
      </c>
      <c r="U45" s="13">
        <f>+'Curv hora 2029 - 2033 (100%)'!U45*0.5</f>
        <v>6556.3450000000003</v>
      </c>
      <c r="V45" s="13">
        <f>+'Curv hora 2029 - 2033 (100%)'!V45*0.5</f>
        <v>7482.1149999999998</v>
      </c>
      <c r="W45" s="13">
        <f>+'Curv hora 2029 - 2033 (100%)'!W45*0.5</f>
        <v>7887.1949999999997</v>
      </c>
      <c r="X45" s="13">
        <f>+'Curv hora 2029 - 2033 (100%)'!X45*0.5</f>
        <v>8267.3050000000003</v>
      </c>
      <c r="Y45" s="13">
        <f>+'Curv hora 2029 - 2033 (100%)'!Y45*0.5</f>
        <v>7887.9350000000004</v>
      </c>
      <c r="Z45" s="13">
        <f>+'Curv hora 2029 - 2033 (100%)'!Z45*0.5</f>
        <v>7281.51</v>
      </c>
      <c r="AA45" s="13">
        <f>+'Curv hora 2029 - 2033 (100%)'!AA45*0.5</f>
        <v>6425.8</v>
      </c>
      <c r="AB45" s="34">
        <f>+'Curv hora 2029 - 2033 (100%)'!AB45*0.5</f>
        <v>5602.72</v>
      </c>
      <c r="AC45" s="71">
        <f>SUMPRODUCT((E45:AB47)*D45:D47)</f>
        <v>4221490.9399999995</v>
      </c>
    </row>
    <row r="46" spans="1:30" x14ac:dyDescent="0.3">
      <c r="A46" s="68"/>
      <c r="B46" s="70"/>
      <c r="C46" t="s">
        <v>37</v>
      </c>
      <c r="D46" s="6">
        <v>4</v>
      </c>
      <c r="E46" s="35">
        <f>+'Curv hora 2029 - 2033 (100%)'!E46*0.5</f>
        <v>4766.9449999999997</v>
      </c>
      <c r="F46" s="5">
        <f>+'Curv hora 2029 - 2033 (100%)'!F46*0.5</f>
        <v>4473.2299999999996</v>
      </c>
      <c r="G46" s="5">
        <f>+'Curv hora 2029 - 2033 (100%)'!G46*0.5</f>
        <v>4269.74</v>
      </c>
      <c r="H46" s="5">
        <f>+'Curv hora 2029 - 2033 (100%)'!H46*0.5</f>
        <v>4145.1149999999998</v>
      </c>
      <c r="I46" s="5">
        <f>+'Curv hora 2029 - 2033 (100%)'!I46*0.5</f>
        <v>4097.9799999999996</v>
      </c>
      <c r="J46" s="5">
        <f>+'Curv hora 2029 - 2033 (100%)'!J46*0.5</f>
        <v>4163.3850000000002</v>
      </c>
      <c r="K46" s="5">
        <f>+'Curv hora 2029 - 2033 (100%)'!K46*0.5</f>
        <v>4225.085</v>
      </c>
      <c r="L46" s="5">
        <f>+'Curv hora 2029 - 2033 (100%)'!L46*0.5</f>
        <v>3786.86</v>
      </c>
      <c r="M46" s="5">
        <f>+'Curv hora 2029 - 2033 (100%)'!M46*0.5</f>
        <v>4456.08</v>
      </c>
      <c r="N46" s="5">
        <f>+'Curv hora 2029 - 2033 (100%)'!N46*0.5</f>
        <v>4952.6000000000004</v>
      </c>
      <c r="O46" s="5">
        <f>+'Curv hora 2029 - 2033 (100%)'!O46*0.5</f>
        <v>5395.7250000000004</v>
      </c>
      <c r="P46" s="5">
        <f>+'Curv hora 2029 - 2033 (100%)'!P46*0.5</f>
        <v>5738.65</v>
      </c>
      <c r="Q46" s="5">
        <f>+'Curv hora 2029 - 2033 (100%)'!Q46*0.5</f>
        <v>5732.12</v>
      </c>
      <c r="R46" s="5">
        <f>+'Curv hora 2029 - 2033 (100%)'!R46*0.5</f>
        <v>5720.81</v>
      </c>
      <c r="S46" s="5">
        <f>+'Curv hora 2029 - 2033 (100%)'!S46*0.5</f>
        <v>5798.44</v>
      </c>
      <c r="T46" s="5">
        <f>+'Curv hora 2029 - 2033 (100%)'!T46*0.5</f>
        <v>5872.24</v>
      </c>
      <c r="U46" s="5">
        <f>+'Curv hora 2029 - 2033 (100%)'!U46*0.5</f>
        <v>5866.8549999999996</v>
      </c>
      <c r="V46" s="5">
        <f>+'Curv hora 2029 - 2033 (100%)'!V46*0.5</f>
        <v>6862.4350000000004</v>
      </c>
      <c r="W46" s="5">
        <f>+'Curv hora 2029 - 2033 (100%)'!W46*0.5</f>
        <v>7339.6949999999997</v>
      </c>
      <c r="X46" s="5">
        <f>+'Curv hora 2029 - 2033 (100%)'!X46*0.5</f>
        <v>7804.0249999999996</v>
      </c>
      <c r="Y46" s="5">
        <f>+'Curv hora 2029 - 2033 (100%)'!Y46*0.5</f>
        <v>7452.67</v>
      </c>
      <c r="Z46" s="5">
        <f>+'Curv hora 2029 - 2033 (100%)'!Z46*0.5</f>
        <v>6914.47</v>
      </c>
      <c r="AA46" s="5">
        <f>+'Curv hora 2029 - 2033 (100%)'!AA46*0.5</f>
        <v>6235.7650000000003</v>
      </c>
      <c r="AB46" s="36">
        <f>+'Curv hora 2029 - 2033 (100%)'!AB46*0.5</f>
        <v>5574.1850000000004</v>
      </c>
      <c r="AC46" s="71"/>
    </row>
    <row r="47" spans="1:30" x14ac:dyDescent="0.3">
      <c r="A47" s="76"/>
      <c r="B47" s="77"/>
      <c r="C47" s="7" t="s">
        <v>38</v>
      </c>
      <c r="D47" s="8">
        <v>6</v>
      </c>
      <c r="E47" s="37">
        <f>+'Curv hora 2029 - 2033 (100%)'!E47*0.5</f>
        <v>4970.7550000000001</v>
      </c>
      <c r="F47" s="9">
        <f>+'Curv hora 2029 - 2033 (100%)'!F47*0.5</f>
        <v>4676.085</v>
      </c>
      <c r="G47" s="9">
        <f>+'Curv hora 2029 - 2033 (100%)'!G47*0.5</f>
        <v>4372.0749999999998</v>
      </c>
      <c r="H47" s="9">
        <f>+'Curv hora 2029 - 2033 (100%)'!H47*0.5</f>
        <v>4275.41</v>
      </c>
      <c r="I47" s="9">
        <f>+'Curv hora 2029 - 2033 (100%)'!I47*0.5</f>
        <v>4161.3500000000004</v>
      </c>
      <c r="J47" s="9">
        <f>+'Curv hora 2029 - 2033 (100%)'!J47*0.5</f>
        <v>4097.7449999999999</v>
      </c>
      <c r="K47" s="9">
        <f>+'Curv hora 2029 - 2033 (100%)'!K47*0.5</f>
        <v>4018.2350000000001</v>
      </c>
      <c r="L47" s="9">
        <f>+'Curv hora 2029 - 2033 (100%)'!L47*0.5</f>
        <v>3480.165</v>
      </c>
      <c r="M47" s="9">
        <f>+'Curv hora 2029 - 2033 (100%)'!M47*0.5</f>
        <v>4088.6</v>
      </c>
      <c r="N47" s="9">
        <f>+'Curv hora 2029 - 2033 (100%)'!N47*0.5</f>
        <v>4554.2449999999999</v>
      </c>
      <c r="O47" s="9">
        <f>+'Curv hora 2029 - 2033 (100%)'!O47*0.5</f>
        <v>5001.585</v>
      </c>
      <c r="P47" s="9">
        <f>+'Curv hora 2029 - 2033 (100%)'!P47*0.5</f>
        <v>5382.61</v>
      </c>
      <c r="Q47" s="9">
        <f>+'Curv hora 2029 - 2033 (100%)'!Q47*0.5</f>
        <v>5553.9949999999999</v>
      </c>
      <c r="R47" s="9">
        <f>+'Curv hora 2029 - 2033 (100%)'!R47*0.5</f>
        <v>5493.06</v>
      </c>
      <c r="S47" s="9">
        <f>+'Curv hora 2029 - 2033 (100%)'!S47*0.5</f>
        <v>5360.7349999999997</v>
      </c>
      <c r="T47" s="9">
        <f>+'Curv hora 2029 - 2033 (100%)'!T47*0.5</f>
        <v>5336.37</v>
      </c>
      <c r="U47" s="9">
        <f>+'Curv hora 2029 - 2033 (100%)'!U47*0.5</f>
        <v>5306.8</v>
      </c>
      <c r="V47" s="9">
        <f>+'Curv hora 2029 - 2033 (100%)'!V47*0.5</f>
        <v>6419.06</v>
      </c>
      <c r="W47" s="9">
        <f>+'Curv hora 2029 - 2033 (100%)'!W47*0.5</f>
        <v>7013.7550000000001</v>
      </c>
      <c r="X47" s="9">
        <f>+'Curv hora 2029 - 2033 (100%)'!X47*0.5</f>
        <v>7556.8450000000003</v>
      </c>
      <c r="Y47" s="9">
        <f>+'Curv hora 2029 - 2033 (100%)'!Y47*0.5</f>
        <v>7265.3</v>
      </c>
      <c r="Z47" s="9">
        <f>+'Curv hora 2029 - 2033 (100%)'!Z47*0.5</f>
        <v>6760.5150000000003</v>
      </c>
      <c r="AA47" s="9">
        <f>+'Curv hora 2029 - 2033 (100%)'!AA47*0.5</f>
        <v>6086.6</v>
      </c>
      <c r="AB47" s="38">
        <f>+'Curv hora 2029 - 2033 (100%)'!AB47*0.5</f>
        <v>5462.9949999999999</v>
      </c>
      <c r="AC47" s="71"/>
    </row>
    <row r="48" spans="1:30" x14ac:dyDescent="0.3">
      <c r="A48" s="67">
        <v>47515</v>
      </c>
      <c r="B48" s="69">
        <f>DAY(EOMONTH(A48,0))</f>
        <v>28</v>
      </c>
      <c r="C48" s="3" t="s">
        <v>36</v>
      </c>
      <c r="D48" s="10">
        <v>20</v>
      </c>
      <c r="E48" s="33">
        <f>+'Curv hora 2029 - 2033 (100%)'!E48*0.5</f>
        <v>4738.78</v>
      </c>
      <c r="F48" s="13">
        <f>+'Curv hora 2029 - 2033 (100%)'!F48*0.5</f>
        <v>4459.1549999999997</v>
      </c>
      <c r="G48" s="13">
        <f>+'Curv hora 2029 - 2033 (100%)'!G48*0.5</f>
        <v>4229.7849999999999</v>
      </c>
      <c r="H48" s="13">
        <f>+'Curv hora 2029 - 2033 (100%)'!H48*0.5</f>
        <v>4167.6350000000002</v>
      </c>
      <c r="I48" s="13">
        <f>+'Curv hora 2029 - 2033 (100%)'!I48*0.5</f>
        <v>4145.3050000000003</v>
      </c>
      <c r="J48" s="13">
        <f>+'Curv hora 2029 - 2033 (100%)'!J48*0.5</f>
        <v>4408.7449999999999</v>
      </c>
      <c r="K48" s="13">
        <f>+'Curv hora 2029 - 2033 (100%)'!K48*0.5</f>
        <v>4779.41</v>
      </c>
      <c r="L48" s="13">
        <f>+'Curv hora 2029 - 2033 (100%)'!L48*0.5</f>
        <v>4217.62</v>
      </c>
      <c r="M48" s="13">
        <f>+'Curv hora 2029 - 2033 (100%)'!M48*0.5</f>
        <v>4899.8050000000003</v>
      </c>
      <c r="N48" s="13">
        <f>+'Curv hora 2029 - 2033 (100%)'!N48*0.5</f>
        <v>5275.335</v>
      </c>
      <c r="O48" s="13">
        <f>+'Curv hora 2029 - 2033 (100%)'!O48*0.5</f>
        <v>5694.3950000000004</v>
      </c>
      <c r="P48" s="13">
        <f>+'Curv hora 2029 - 2033 (100%)'!P48*0.5</f>
        <v>6047.7150000000001</v>
      </c>
      <c r="Q48" s="13">
        <f>+'Curv hora 2029 - 2033 (100%)'!Q48*0.5</f>
        <v>5798.665</v>
      </c>
      <c r="R48" s="13">
        <f>+'Curv hora 2029 - 2033 (100%)'!R48*0.5</f>
        <v>5997.9250000000002</v>
      </c>
      <c r="S48" s="13">
        <f>+'Curv hora 2029 - 2033 (100%)'!S48*0.5</f>
        <v>6460.32</v>
      </c>
      <c r="T48" s="13">
        <f>+'Curv hora 2029 - 2033 (100%)'!T48*0.5</f>
        <v>6570.3</v>
      </c>
      <c r="U48" s="13">
        <f>+'Curv hora 2029 - 2033 (100%)'!U48*0.5</f>
        <v>6554.0050000000001</v>
      </c>
      <c r="V48" s="13">
        <f>+'Curv hora 2029 - 2033 (100%)'!V48*0.5</f>
        <v>7560.3850000000002</v>
      </c>
      <c r="W48" s="13">
        <f>+'Curv hora 2029 - 2033 (100%)'!W48*0.5</f>
        <v>7897.4650000000001</v>
      </c>
      <c r="X48" s="13">
        <f>+'Curv hora 2029 - 2033 (100%)'!X48*0.5</f>
        <v>8356.9850000000006</v>
      </c>
      <c r="Y48" s="13">
        <f>+'Curv hora 2029 - 2033 (100%)'!Y48*0.5</f>
        <v>7913.19</v>
      </c>
      <c r="Z48" s="13">
        <f>+'Curv hora 2029 - 2033 (100%)'!Z48*0.5</f>
        <v>7228.2250000000004</v>
      </c>
      <c r="AA48" s="13">
        <f>+'Curv hora 2029 - 2033 (100%)'!AA48*0.5</f>
        <v>6039.04</v>
      </c>
      <c r="AB48" s="34">
        <f>+'Curv hora 2029 - 2033 (100%)'!AB48*0.5</f>
        <v>5421.85</v>
      </c>
      <c r="AC48" s="71">
        <f>SUMPRODUCT((E48:AB50)*D48:D50)</f>
        <v>3823599.0200000005</v>
      </c>
    </row>
    <row r="49" spans="1:29" x14ac:dyDescent="0.3">
      <c r="A49" s="68"/>
      <c r="B49" s="70"/>
      <c r="C49" t="s">
        <v>37</v>
      </c>
      <c r="D49" s="11">
        <v>4</v>
      </c>
      <c r="E49" s="35">
        <f>+'Curv hora 2029 - 2033 (100%)'!E49*0.5</f>
        <v>4593.2</v>
      </c>
      <c r="F49" s="5">
        <f>+'Curv hora 2029 - 2033 (100%)'!F49*0.5</f>
        <v>4286.8599999999997</v>
      </c>
      <c r="G49" s="5">
        <f>+'Curv hora 2029 - 2033 (100%)'!G49*0.5</f>
        <v>4034.8850000000002</v>
      </c>
      <c r="H49" s="5">
        <f>+'Curv hora 2029 - 2033 (100%)'!H49*0.5</f>
        <v>3934.96</v>
      </c>
      <c r="I49" s="5">
        <f>+'Curv hora 2029 - 2033 (100%)'!I49*0.5</f>
        <v>3929.4</v>
      </c>
      <c r="J49" s="5">
        <f>+'Curv hora 2029 - 2033 (100%)'!J49*0.5</f>
        <v>4023.76</v>
      </c>
      <c r="K49" s="5">
        <f>+'Curv hora 2029 - 2033 (100%)'!K49*0.5</f>
        <v>4179.9650000000001</v>
      </c>
      <c r="L49" s="5">
        <f>+'Curv hora 2029 - 2033 (100%)'!L49*0.5</f>
        <v>3722.7449999999999</v>
      </c>
      <c r="M49" s="5">
        <f>+'Curv hora 2029 - 2033 (100%)'!M49*0.5</f>
        <v>4523.6099999999997</v>
      </c>
      <c r="N49" s="5">
        <f>+'Curv hora 2029 - 2033 (100%)'!N49*0.5</f>
        <v>5112.4849999999997</v>
      </c>
      <c r="O49" s="5">
        <f>+'Curv hora 2029 - 2033 (100%)'!O49*0.5</f>
        <v>5560.9449999999997</v>
      </c>
      <c r="P49" s="5">
        <f>+'Curv hora 2029 - 2033 (100%)'!P49*0.5</f>
        <v>5930.6850000000004</v>
      </c>
      <c r="Q49" s="5">
        <f>+'Curv hora 2029 - 2033 (100%)'!Q49*0.5</f>
        <v>5887.4449999999997</v>
      </c>
      <c r="R49" s="5">
        <f>+'Curv hora 2029 - 2033 (100%)'!R49*0.5</f>
        <v>5772</v>
      </c>
      <c r="S49" s="5">
        <f>+'Curv hora 2029 - 2033 (100%)'!S49*0.5</f>
        <v>5746.2349999999997</v>
      </c>
      <c r="T49" s="5">
        <f>+'Curv hora 2029 - 2033 (100%)'!T49*0.5</f>
        <v>5915.9049999999997</v>
      </c>
      <c r="U49" s="5">
        <f>+'Curv hora 2029 - 2033 (100%)'!U49*0.5</f>
        <v>5974.2650000000003</v>
      </c>
      <c r="V49" s="5">
        <f>+'Curv hora 2029 - 2033 (100%)'!V49*0.5</f>
        <v>7019.95</v>
      </c>
      <c r="W49" s="5">
        <f>+'Curv hora 2029 - 2033 (100%)'!W49*0.5</f>
        <v>7572.5</v>
      </c>
      <c r="X49" s="5">
        <f>+'Curv hora 2029 - 2033 (100%)'!X49*0.5</f>
        <v>8050.02</v>
      </c>
      <c r="Y49" s="5">
        <f>+'Curv hora 2029 - 2033 (100%)'!Y49*0.5</f>
        <v>7656.5749999999998</v>
      </c>
      <c r="Z49" s="5">
        <f>+'Curv hora 2029 - 2033 (100%)'!Z49*0.5</f>
        <v>7049.6</v>
      </c>
      <c r="AA49" s="5">
        <f>+'Curv hora 2029 - 2033 (100%)'!AA49*0.5</f>
        <v>6307.17</v>
      </c>
      <c r="AB49" s="36">
        <f>+'Curv hora 2029 - 2033 (100%)'!AB49*0.5</f>
        <v>5561.17</v>
      </c>
      <c r="AC49" s="71"/>
    </row>
    <row r="50" spans="1:29" x14ac:dyDescent="0.3">
      <c r="A50" s="76"/>
      <c r="B50" s="77"/>
      <c r="C50" s="7" t="s">
        <v>38</v>
      </c>
      <c r="D50" s="12">
        <v>4</v>
      </c>
      <c r="E50" s="37">
        <f>+'Curv hora 2029 - 2033 (100%)'!E50*0.5</f>
        <v>4847.585</v>
      </c>
      <c r="F50" s="9">
        <f>+'Curv hora 2029 - 2033 (100%)'!F50*0.5</f>
        <v>4507.8500000000004</v>
      </c>
      <c r="G50" s="9">
        <f>+'Curv hora 2029 - 2033 (100%)'!G50*0.5</f>
        <v>4265.5450000000001</v>
      </c>
      <c r="H50" s="9">
        <f>+'Curv hora 2029 - 2033 (100%)'!H50*0.5</f>
        <v>4126.0550000000003</v>
      </c>
      <c r="I50" s="9">
        <f>+'Curv hora 2029 - 2033 (100%)'!I50*0.5</f>
        <v>4029.3049999999998</v>
      </c>
      <c r="J50" s="9">
        <f>+'Curv hora 2029 - 2033 (100%)'!J50*0.5</f>
        <v>4037.5050000000001</v>
      </c>
      <c r="K50" s="9">
        <f>+'Curv hora 2029 - 2033 (100%)'!K50*0.5</f>
        <v>4082.72</v>
      </c>
      <c r="L50" s="9">
        <f>+'Curv hora 2029 - 2033 (100%)'!L50*0.5</f>
        <v>3606.7750000000001</v>
      </c>
      <c r="M50" s="9">
        <f>+'Curv hora 2029 - 2033 (100%)'!M50*0.5</f>
        <v>4257.3</v>
      </c>
      <c r="N50" s="9">
        <f>+'Curv hora 2029 - 2033 (100%)'!N50*0.5</f>
        <v>4734.79</v>
      </c>
      <c r="O50" s="9">
        <f>+'Curv hora 2029 - 2033 (100%)'!O50*0.5</f>
        <v>5160.4049999999997</v>
      </c>
      <c r="P50" s="9">
        <f>+'Curv hora 2029 - 2033 (100%)'!P50*0.5</f>
        <v>5539.43</v>
      </c>
      <c r="Q50" s="9">
        <f>+'Curv hora 2029 - 2033 (100%)'!Q50*0.5</f>
        <v>5729.6049999999996</v>
      </c>
      <c r="R50" s="9">
        <f>+'Curv hora 2029 - 2033 (100%)'!R50*0.5</f>
        <v>5726.1549999999997</v>
      </c>
      <c r="S50" s="9">
        <f>+'Curv hora 2029 - 2033 (100%)'!S50*0.5</f>
        <v>5683.76</v>
      </c>
      <c r="T50" s="9">
        <f>+'Curv hora 2029 - 2033 (100%)'!T50*0.5</f>
        <v>5623.7650000000003</v>
      </c>
      <c r="U50" s="9">
        <f>+'Curv hora 2029 - 2033 (100%)'!U50*0.5</f>
        <v>5634.77</v>
      </c>
      <c r="V50" s="9">
        <f>+'Curv hora 2029 - 2033 (100%)'!V50*0.5</f>
        <v>6704.3050000000003</v>
      </c>
      <c r="W50" s="9">
        <f>+'Curv hora 2029 - 2033 (100%)'!W50*0.5</f>
        <v>7236.64</v>
      </c>
      <c r="X50" s="9">
        <f>+'Curv hora 2029 - 2033 (100%)'!X50*0.5</f>
        <v>7820.335</v>
      </c>
      <c r="Y50" s="9">
        <f>+'Curv hora 2029 - 2033 (100%)'!Y50*0.5</f>
        <v>7611.6</v>
      </c>
      <c r="Z50" s="9">
        <f>+'Curv hora 2029 - 2033 (100%)'!Z50*0.5</f>
        <v>7142.87</v>
      </c>
      <c r="AA50" s="9">
        <f>+'Curv hora 2029 - 2033 (100%)'!AA50*0.5</f>
        <v>6227.0550000000003</v>
      </c>
      <c r="AB50" s="38">
        <f>+'Curv hora 2029 - 2033 (100%)'!AB50*0.5</f>
        <v>4907.0950000000003</v>
      </c>
      <c r="AC50" s="71"/>
    </row>
    <row r="51" spans="1:29" x14ac:dyDescent="0.3">
      <c r="A51" s="67">
        <v>47543</v>
      </c>
      <c r="B51" s="69">
        <f t="shared" ref="B51" si="11">DAY(EOMONTH(A51,0))</f>
        <v>31</v>
      </c>
      <c r="C51" s="3" t="s">
        <v>36</v>
      </c>
      <c r="D51" s="10">
        <v>20</v>
      </c>
      <c r="E51" s="33">
        <f>+'Curv hora 2029 - 2033 (100%)'!E51*0.5</f>
        <v>4553.4399999999996</v>
      </c>
      <c r="F51" s="13">
        <f>+'Curv hora 2029 - 2033 (100%)'!F51*0.5</f>
        <v>4260.84</v>
      </c>
      <c r="G51" s="13">
        <f>+'Curv hora 2029 - 2033 (100%)'!G51*0.5</f>
        <v>4093.63</v>
      </c>
      <c r="H51" s="13">
        <f>+'Curv hora 2029 - 2033 (100%)'!H51*0.5</f>
        <v>4009.5349999999999</v>
      </c>
      <c r="I51" s="13">
        <f>+'Curv hora 2029 - 2033 (100%)'!I51*0.5</f>
        <v>4023.23</v>
      </c>
      <c r="J51" s="13">
        <f>+'Curv hora 2029 - 2033 (100%)'!J51*0.5</f>
        <v>4306.4799999999996</v>
      </c>
      <c r="K51" s="13">
        <f>+'Curv hora 2029 - 2033 (100%)'!K51*0.5</f>
        <v>4678.32</v>
      </c>
      <c r="L51" s="13">
        <f>+'Curv hora 2029 - 2033 (100%)'!L51*0.5</f>
        <v>4140.3549999999996</v>
      </c>
      <c r="M51" s="13">
        <f>+'Curv hora 2029 - 2033 (100%)'!M51*0.5</f>
        <v>4781.3</v>
      </c>
      <c r="N51" s="13">
        <f>+'Curv hora 2029 - 2033 (100%)'!N51*0.5</f>
        <v>5233.1000000000004</v>
      </c>
      <c r="O51" s="13">
        <f>+'Curv hora 2029 - 2033 (100%)'!O51*0.5</f>
        <v>5603.62</v>
      </c>
      <c r="P51" s="13">
        <f>+'Curv hora 2029 - 2033 (100%)'!P51*0.5</f>
        <v>5921.35</v>
      </c>
      <c r="Q51" s="13">
        <f>+'Curv hora 2029 - 2033 (100%)'!Q51*0.5</f>
        <v>5559.5649999999996</v>
      </c>
      <c r="R51" s="13">
        <f>+'Curv hora 2029 - 2033 (100%)'!R51*0.5</f>
        <v>5858.9549999999999</v>
      </c>
      <c r="S51" s="13">
        <f>+'Curv hora 2029 - 2033 (100%)'!S51*0.5</f>
        <v>6214.0150000000003</v>
      </c>
      <c r="T51" s="13">
        <f>+'Curv hora 2029 - 2033 (100%)'!T51*0.5</f>
        <v>6335.09</v>
      </c>
      <c r="U51" s="13">
        <f>+'Curv hora 2029 - 2033 (100%)'!U51*0.5</f>
        <v>6307.9049999999997</v>
      </c>
      <c r="V51" s="13">
        <f>+'Curv hora 2029 - 2033 (100%)'!V51*0.5</f>
        <v>7276.1149999999998</v>
      </c>
      <c r="W51" s="13">
        <f>+'Curv hora 2029 - 2033 (100%)'!W51*0.5</f>
        <v>7679.0649999999996</v>
      </c>
      <c r="X51" s="13">
        <f>+'Curv hora 2029 - 2033 (100%)'!X51*0.5</f>
        <v>8156.49</v>
      </c>
      <c r="Y51" s="13">
        <f>+'Curv hora 2029 - 2033 (100%)'!Y51*0.5</f>
        <v>7691.9650000000001</v>
      </c>
      <c r="Z51" s="13">
        <f>+'Curv hora 2029 - 2033 (100%)'!Z51*0.5</f>
        <v>6988.4</v>
      </c>
      <c r="AA51" s="13">
        <f>+'Curv hora 2029 - 2033 (100%)'!AA51*0.5</f>
        <v>6003.92</v>
      </c>
      <c r="AB51" s="34">
        <f>+'Curv hora 2029 - 2033 (100%)'!AB51*0.5</f>
        <v>5224.84</v>
      </c>
      <c r="AC51" s="71">
        <f>SUMPRODUCT((E51:AB53)*D51:D53)</f>
        <v>4088851.78</v>
      </c>
    </row>
    <row r="52" spans="1:29" x14ac:dyDescent="0.3">
      <c r="A52" s="68"/>
      <c r="B52" s="70"/>
      <c r="C52" t="s">
        <v>37</v>
      </c>
      <c r="D52" s="11">
        <v>5</v>
      </c>
      <c r="E52" s="35">
        <f>+'Curv hora 2029 - 2033 (100%)'!E52*0.5</f>
        <v>4220.375</v>
      </c>
      <c r="F52" s="5">
        <f>+'Curv hora 2029 - 2033 (100%)'!F52*0.5</f>
        <v>4128.7849999999999</v>
      </c>
      <c r="G52" s="5">
        <f>+'Curv hora 2029 - 2033 (100%)'!G52*0.5</f>
        <v>3950.56</v>
      </c>
      <c r="H52" s="5">
        <f>+'Curv hora 2029 - 2033 (100%)'!H52*0.5</f>
        <v>3836.9250000000002</v>
      </c>
      <c r="I52" s="5">
        <f>+'Curv hora 2029 - 2033 (100%)'!I52*0.5</f>
        <v>3837.9949999999999</v>
      </c>
      <c r="J52" s="5">
        <f>+'Curv hora 2029 - 2033 (100%)'!J52*0.5</f>
        <v>3962.17</v>
      </c>
      <c r="K52" s="5">
        <f>+'Curv hora 2029 - 2033 (100%)'!K52*0.5</f>
        <v>4180.34</v>
      </c>
      <c r="L52" s="5">
        <f>+'Curv hora 2029 - 2033 (100%)'!L52*0.5</f>
        <v>3739.48</v>
      </c>
      <c r="M52" s="5">
        <f>+'Curv hora 2029 - 2033 (100%)'!M52*0.5</f>
        <v>4534.6000000000004</v>
      </c>
      <c r="N52" s="5">
        <f>+'Curv hora 2029 - 2033 (100%)'!N52*0.5</f>
        <v>5013.08</v>
      </c>
      <c r="O52" s="5">
        <f>+'Curv hora 2029 - 2033 (100%)'!O52*0.5</f>
        <v>5355.3249999999998</v>
      </c>
      <c r="P52" s="5">
        <f>+'Curv hora 2029 - 2033 (100%)'!P52*0.5</f>
        <v>5624.8050000000003</v>
      </c>
      <c r="Q52" s="5">
        <f>+'Curv hora 2029 - 2033 (100%)'!Q52*0.5</f>
        <v>5550.6149999999998</v>
      </c>
      <c r="R52" s="5">
        <f>+'Curv hora 2029 - 2033 (100%)'!R52*0.5</f>
        <v>5453.71</v>
      </c>
      <c r="S52" s="5">
        <f>+'Curv hora 2029 - 2033 (100%)'!S52*0.5</f>
        <v>5544.12</v>
      </c>
      <c r="T52" s="5">
        <f>+'Curv hora 2029 - 2033 (100%)'!T52*0.5</f>
        <v>5591.63</v>
      </c>
      <c r="U52" s="5">
        <f>+'Curv hora 2029 - 2033 (100%)'!U52*0.5</f>
        <v>5674.5</v>
      </c>
      <c r="V52" s="5">
        <f>+'Curv hora 2029 - 2033 (100%)'!V52*0.5</f>
        <v>6773.3249999999998</v>
      </c>
      <c r="W52" s="5">
        <f>+'Curv hora 2029 - 2033 (100%)'!W52*0.5</f>
        <v>7387.5649999999996</v>
      </c>
      <c r="X52" s="5">
        <f>+'Curv hora 2029 - 2033 (100%)'!X52*0.5</f>
        <v>7747.8249999999998</v>
      </c>
      <c r="Y52" s="5">
        <f>+'Curv hora 2029 - 2033 (100%)'!Y52*0.5</f>
        <v>7317.87</v>
      </c>
      <c r="Z52" s="5">
        <f>+'Curv hora 2029 - 2033 (100%)'!Z52*0.5</f>
        <v>6784.16</v>
      </c>
      <c r="AA52" s="5">
        <f>+'Curv hora 2029 - 2033 (100%)'!AA52*0.5</f>
        <v>6064.3450000000003</v>
      </c>
      <c r="AB52" s="36">
        <f>+'Curv hora 2029 - 2033 (100%)'!AB52*0.5</f>
        <v>5353.835</v>
      </c>
      <c r="AC52" s="71"/>
    </row>
    <row r="53" spans="1:29" x14ac:dyDescent="0.3">
      <c r="A53" s="76"/>
      <c r="B53" s="77"/>
      <c r="C53" s="7" t="s">
        <v>38</v>
      </c>
      <c r="D53" s="12">
        <v>6</v>
      </c>
      <c r="E53" s="37">
        <f>+'Curv hora 2029 - 2033 (100%)'!E53*0.5</f>
        <v>4721.2</v>
      </c>
      <c r="F53" s="9">
        <f>+'Curv hora 2029 - 2033 (100%)'!F53*0.5</f>
        <v>4409.71</v>
      </c>
      <c r="G53" s="9">
        <f>+'Curv hora 2029 - 2033 (100%)'!G53*0.5</f>
        <v>4190.38</v>
      </c>
      <c r="H53" s="9">
        <f>+'Curv hora 2029 - 2033 (100%)'!H53*0.5</f>
        <v>4065.04</v>
      </c>
      <c r="I53" s="9">
        <f>+'Curv hora 2029 - 2033 (100%)'!I53*0.5</f>
        <v>4016.7249999999999</v>
      </c>
      <c r="J53" s="9">
        <f>+'Curv hora 2029 - 2033 (100%)'!J53*0.5</f>
        <v>4031.395</v>
      </c>
      <c r="K53" s="9">
        <f>+'Curv hora 2029 - 2033 (100%)'!K53*0.5</f>
        <v>4094.7950000000001</v>
      </c>
      <c r="L53" s="9">
        <f>+'Curv hora 2029 - 2033 (100%)'!L53*0.5</f>
        <v>3616.46</v>
      </c>
      <c r="M53" s="9">
        <f>+'Curv hora 2029 - 2033 (100%)'!M53*0.5</f>
        <v>4224.8999999999996</v>
      </c>
      <c r="N53" s="9">
        <f>+'Curv hora 2029 - 2033 (100%)'!N53*0.5</f>
        <v>4648.6049999999996</v>
      </c>
      <c r="O53" s="9">
        <f>+'Curv hora 2029 - 2033 (100%)'!O53*0.5</f>
        <v>4942.2700000000004</v>
      </c>
      <c r="P53" s="9">
        <f>+'Curv hora 2029 - 2033 (100%)'!P53*0.5</f>
        <v>5170.01</v>
      </c>
      <c r="Q53" s="9">
        <f>+'Curv hora 2029 - 2033 (100%)'!Q53*0.5</f>
        <v>5333.33</v>
      </c>
      <c r="R53" s="9">
        <f>+'Curv hora 2029 - 2033 (100%)'!R53*0.5</f>
        <v>5314.085</v>
      </c>
      <c r="S53" s="9">
        <f>+'Curv hora 2029 - 2033 (100%)'!S53*0.5</f>
        <v>5368.5</v>
      </c>
      <c r="T53" s="9">
        <f>+'Curv hora 2029 - 2033 (100%)'!T53*0.5</f>
        <v>5400.0649999999996</v>
      </c>
      <c r="U53" s="9">
        <f>+'Curv hora 2029 - 2033 (100%)'!U53*0.5</f>
        <v>5401.75</v>
      </c>
      <c r="V53" s="9">
        <f>+'Curv hora 2029 - 2033 (100%)'!V53*0.5</f>
        <v>6543.5749999999998</v>
      </c>
      <c r="W53" s="9">
        <f>+'Curv hora 2029 - 2033 (100%)'!W53*0.5</f>
        <v>7185.74</v>
      </c>
      <c r="X53" s="9">
        <f>+'Curv hora 2029 - 2033 (100%)'!X53*0.5</f>
        <v>7527.3249999999998</v>
      </c>
      <c r="Y53" s="9">
        <f>+'Curv hora 2029 - 2033 (100%)'!Y53*0.5</f>
        <v>7251.95</v>
      </c>
      <c r="Z53" s="9">
        <f>+'Curv hora 2029 - 2033 (100%)'!Z53*0.5</f>
        <v>6733.69</v>
      </c>
      <c r="AA53" s="9">
        <f>+'Curv hora 2029 - 2033 (100%)'!AA53*0.5</f>
        <v>5973.9250000000002</v>
      </c>
      <c r="AB53" s="38">
        <f>+'Curv hora 2029 - 2033 (100%)'!AB53*0.5</f>
        <v>5281.5050000000001</v>
      </c>
      <c r="AC53" s="71"/>
    </row>
    <row r="54" spans="1:29" x14ac:dyDescent="0.3">
      <c r="A54" s="67">
        <v>47574</v>
      </c>
      <c r="B54" s="69">
        <f t="shared" ref="B54" si="12">DAY(EOMONTH(A54,0))</f>
        <v>30</v>
      </c>
      <c r="C54" s="3" t="s">
        <v>36</v>
      </c>
      <c r="D54" s="10">
        <v>20</v>
      </c>
      <c r="E54" s="33">
        <f>+'Curv hora 2029 - 2033 (100%)'!E54*0.5</f>
        <v>4580.8850000000002</v>
      </c>
      <c r="F54" s="13">
        <f>+'Curv hora 2029 - 2033 (100%)'!F54*0.5</f>
        <v>4333.5150000000003</v>
      </c>
      <c r="G54" s="13">
        <f>+'Curv hora 2029 - 2033 (100%)'!G54*0.5</f>
        <v>4168.17</v>
      </c>
      <c r="H54" s="13">
        <f>+'Curv hora 2029 - 2033 (100%)'!H54*0.5</f>
        <v>4052.0749999999998</v>
      </c>
      <c r="I54" s="13">
        <f>+'Curv hora 2029 - 2033 (100%)'!I54*0.5</f>
        <v>4054.9549999999999</v>
      </c>
      <c r="J54" s="13">
        <f>+'Curv hora 2029 - 2033 (100%)'!J54*0.5</f>
        <v>4372.2349999999997</v>
      </c>
      <c r="K54" s="13">
        <f>+'Curv hora 2029 - 2033 (100%)'!K54*0.5</f>
        <v>4689.8050000000003</v>
      </c>
      <c r="L54" s="13">
        <f>+'Curv hora 2029 - 2033 (100%)'!L54*0.5</f>
        <v>4159.33</v>
      </c>
      <c r="M54" s="13">
        <f>+'Curv hora 2029 - 2033 (100%)'!M54*0.5</f>
        <v>4842.6450000000004</v>
      </c>
      <c r="N54" s="13">
        <f>+'Curv hora 2029 - 2033 (100%)'!N54*0.5</f>
        <v>5282.02</v>
      </c>
      <c r="O54" s="13">
        <f>+'Curv hora 2029 - 2033 (100%)'!O54*0.5</f>
        <v>5635.5050000000001</v>
      </c>
      <c r="P54" s="13">
        <f>+'Curv hora 2029 - 2033 (100%)'!P54*0.5</f>
        <v>5906.5649999999996</v>
      </c>
      <c r="Q54" s="13">
        <f>+'Curv hora 2029 - 2033 (100%)'!Q54*0.5</f>
        <v>5757.5050000000001</v>
      </c>
      <c r="R54" s="13">
        <f>+'Curv hora 2029 - 2033 (100%)'!R54*0.5</f>
        <v>5873.165</v>
      </c>
      <c r="S54" s="13">
        <f>+'Curv hora 2029 - 2033 (100%)'!S54*0.5</f>
        <v>6358.6949999999997</v>
      </c>
      <c r="T54" s="13">
        <f>+'Curv hora 2029 - 2033 (100%)'!T54*0.5</f>
        <v>6518.415</v>
      </c>
      <c r="U54" s="13">
        <f>+'Curv hora 2029 - 2033 (100%)'!U54*0.5</f>
        <v>6533.67</v>
      </c>
      <c r="V54" s="13">
        <f>+'Curv hora 2029 - 2033 (100%)'!V54*0.5</f>
        <v>7552.4949999999999</v>
      </c>
      <c r="W54" s="13">
        <f>+'Curv hora 2029 - 2033 (100%)'!W54*0.5</f>
        <v>8263.9650000000001</v>
      </c>
      <c r="X54" s="13">
        <f>+'Curv hora 2029 - 2033 (100%)'!X54*0.5</f>
        <v>8401.42</v>
      </c>
      <c r="Y54" s="13">
        <f>+'Curv hora 2029 - 2033 (100%)'!Y54*0.5</f>
        <v>7920.6450000000004</v>
      </c>
      <c r="Z54" s="13">
        <f>+'Curv hora 2029 - 2033 (100%)'!Z54*0.5</f>
        <v>7201.44</v>
      </c>
      <c r="AA54" s="13">
        <f>+'Curv hora 2029 - 2033 (100%)'!AA54*0.5</f>
        <v>6194.7550000000001</v>
      </c>
      <c r="AB54" s="34">
        <f>+'Curv hora 2029 - 2033 (100%)'!AB54*0.5</f>
        <v>5351.34</v>
      </c>
      <c r="AC54" s="71">
        <f>SUMPRODUCT((E54:AB56)*D54:D56)</f>
        <v>4122640.5199999996</v>
      </c>
    </row>
    <row r="55" spans="1:29" x14ac:dyDescent="0.3">
      <c r="A55" s="68"/>
      <c r="B55" s="70"/>
      <c r="C55" t="s">
        <v>37</v>
      </c>
      <c r="D55" s="11">
        <v>4</v>
      </c>
      <c r="E55" s="35">
        <f>+'Curv hora 2029 - 2033 (100%)'!E55*0.5</f>
        <v>4685.0200000000004</v>
      </c>
      <c r="F55" s="5">
        <f>+'Curv hora 2029 - 2033 (100%)'!F55*0.5</f>
        <v>4388.0249999999996</v>
      </c>
      <c r="G55" s="5">
        <f>+'Curv hora 2029 - 2033 (100%)'!G55*0.5</f>
        <v>4173.7</v>
      </c>
      <c r="H55" s="5">
        <f>+'Curv hora 2029 - 2033 (100%)'!H55*0.5</f>
        <v>4051.085</v>
      </c>
      <c r="I55" s="5">
        <f>+'Curv hora 2029 - 2033 (100%)'!I55*0.5</f>
        <v>4035.9850000000001</v>
      </c>
      <c r="J55" s="5">
        <f>+'Curv hora 2029 - 2033 (100%)'!J55*0.5</f>
        <v>4152.7049999999999</v>
      </c>
      <c r="K55" s="5">
        <f>+'Curv hora 2029 - 2033 (100%)'!K55*0.5</f>
        <v>4335.93</v>
      </c>
      <c r="L55" s="5">
        <f>+'Curv hora 2029 - 2033 (100%)'!L55*0.5</f>
        <v>3970.9850000000001</v>
      </c>
      <c r="M55" s="5">
        <f>+'Curv hora 2029 - 2033 (100%)'!M55*0.5</f>
        <v>4792.4849999999997</v>
      </c>
      <c r="N55" s="5">
        <f>+'Curv hora 2029 - 2033 (100%)'!N55*0.5</f>
        <v>5379.7749999999996</v>
      </c>
      <c r="O55" s="5">
        <f>+'Curv hora 2029 - 2033 (100%)'!O55*0.5</f>
        <v>5897.49</v>
      </c>
      <c r="P55" s="5">
        <f>+'Curv hora 2029 - 2033 (100%)'!P55*0.5</f>
        <v>6290.46</v>
      </c>
      <c r="Q55" s="5">
        <f>+'Curv hora 2029 - 2033 (100%)'!Q55*0.5</f>
        <v>6305.4849999999997</v>
      </c>
      <c r="R55" s="5">
        <f>+'Curv hora 2029 - 2033 (100%)'!R55*0.5</f>
        <v>6297.9949999999999</v>
      </c>
      <c r="S55" s="5">
        <f>+'Curv hora 2029 - 2033 (100%)'!S55*0.5</f>
        <v>6241.1350000000002</v>
      </c>
      <c r="T55" s="5">
        <f>+'Curv hora 2029 - 2033 (100%)'!T55*0.5</f>
        <v>6117.3649999999998</v>
      </c>
      <c r="U55" s="5">
        <f>+'Curv hora 2029 - 2033 (100%)'!U55*0.5</f>
        <v>6062.44</v>
      </c>
      <c r="V55" s="5">
        <f>+'Curv hora 2029 - 2033 (100%)'!V55*0.5</f>
        <v>7086.9</v>
      </c>
      <c r="W55" s="5">
        <f>+'Curv hora 2029 - 2033 (100%)'!W55*0.5</f>
        <v>7772.3950000000004</v>
      </c>
      <c r="X55" s="5">
        <f>+'Curv hora 2029 - 2033 (100%)'!X55*0.5</f>
        <v>8054.085</v>
      </c>
      <c r="Y55" s="5">
        <f>+'Curv hora 2029 - 2033 (100%)'!Y55*0.5</f>
        <v>7806.71</v>
      </c>
      <c r="Z55" s="5">
        <f>+'Curv hora 2029 - 2033 (100%)'!Z55*0.5</f>
        <v>7260.99</v>
      </c>
      <c r="AA55" s="5">
        <f>+'Curv hora 2029 - 2033 (100%)'!AA55*0.5</f>
        <v>6551.2650000000003</v>
      </c>
      <c r="AB55" s="36">
        <f>+'Curv hora 2029 - 2033 (100%)'!AB55*0.5</f>
        <v>5910.0150000000003</v>
      </c>
      <c r="AC55" s="71"/>
    </row>
    <row r="56" spans="1:29" x14ac:dyDescent="0.3">
      <c r="A56" s="76"/>
      <c r="B56" s="77"/>
      <c r="C56" s="7" t="s">
        <v>38</v>
      </c>
      <c r="D56" s="12">
        <v>6</v>
      </c>
      <c r="E56" s="37">
        <f>+'Curv hora 2029 - 2033 (100%)'!E56*0.5</f>
        <v>5149.2049999999999</v>
      </c>
      <c r="F56" s="9">
        <f>+'Curv hora 2029 - 2033 (100%)'!F56*0.5</f>
        <v>4774.4399999999996</v>
      </c>
      <c r="G56" s="9">
        <f>+'Curv hora 2029 - 2033 (100%)'!G56*0.5</f>
        <v>4493.9449999999997</v>
      </c>
      <c r="H56" s="9">
        <f>+'Curv hora 2029 - 2033 (100%)'!H56*0.5</f>
        <v>4311.82</v>
      </c>
      <c r="I56" s="9">
        <f>+'Curv hora 2029 - 2033 (100%)'!I56*0.5</f>
        <v>4220.3</v>
      </c>
      <c r="J56" s="9">
        <f>+'Curv hora 2029 - 2033 (100%)'!J56*0.5</f>
        <v>4229.9549999999999</v>
      </c>
      <c r="K56" s="9">
        <f>+'Curv hora 2029 - 2033 (100%)'!K56*0.5</f>
        <v>4368.3249999999998</v>
      </c>
      <c r="L56" s="9">
        <f>+'Curv hora 2029 - 2033 (100%)'!L56*0.5</f>
        <v>3767.415</v>
      </c>
      <c r="M56" s="9">
        <f>+'Curv hora 2029 - 2033 (100%)'!M56*0.5</f>
        <v>4392.79</v>
      </c>
      <c r="N56" s="9">
        <f>+'Curv hora 2029 - 2033 (100%)'!N56*0.5</f>
        <v>4869.9399999999996</v>
      </c>
      <c r="O56" s="9">
        <f>+'Curv hora 2029 - 2033 (100%)'!O56*0.5</f>
        <v>5285.7049999999999</v>
      </c>
      <c r="P56" s="9">
        <f>+'Curv hora 2029 - 2033 (100%)'!P56*0.5</f>
        <v>5703.31</v>
      </c>
      <c r="Q56" s="9">
        <f>+'Curv hora 2029 - 2033 (100%)'!Q56*0.5</f>
        <v>5953.54</v>
      </c>
      <c r="R56" s="9">
        <f>+'Curv hora 2029 - 2033 (100%)'!R56*0.5</f>
        <v>5966.9049999999997</v>
      </c>
      <c r="S56" s="9">
        <f>+'Curv hora 2029 - 2033 (100%)'!S56*0.5</f>
        <v>5991.31</v>
      </c>
      <c r="T56" s="9">
        <f>+'Curv hora 2029 - 2033 (100%)'!T56*0.5</f>
        <v>6011.34</v>
      </c>
      <c r="U56" s="9">
        <f>+'Curv hora 2029 - 2033 (100%)'!U56*0.5</f>
        <v>5955.78</v>
      </c>
      <c r="V56" s="9">
        <f>+'Curv hora 2029 - 2033 (100%)'!V56*0.5</f>
        <v>6989.5349999999999</v>
      </c>
      <c r="W56" s="9">
        <f>+'Curv hora 2029 - 2033 (100%)'!W56*0.5</f>
        <v>7900.1750000000002</v>
      </c>
      <c r="X56" s="9">
        <f>+'Curv hora 2029 - 2033 (100%)'!X56*0.5</f>
        <v>8295.2749999999996</v>
      </c>
      <c r="Y56" s="9">
        <f>+'Curv hora 2029 - 2033 (100%)'!Y56*0.5</f>
        <v>8121.6149999999998</v>
      </c>
      <c r="Z56" s="9">
        <f>+'Curv hora 2029 - 2033 (100%)'!Z56*0.5</f>
        <v>7435.3649999999998</v>
      </c>
      <c r="AA56" s="9">
        <f>+'Curv hora 2029 - 2033 (100%)'!AA56*0.5</f>
        <v>6230.65</v>
      </c>
      <c r="AB56" s="38">
        <f>+'Curv hora 2029 - 2033 (100%)'!AB56*0.5</f>
        <v>4923.78</v>
      </c>
      <c r="AC56" s="71"/>
    </row>
    <row r="57" spans="1:29" x14ac:dyDescent="0.3">
      <c r="A57" s="67">
        <v>47604</v>
      </c>
      <c r="B57" s="69">
        <f t="shared" ref="B57" si="13">DAY(EOMONTH(A57,0))</f>
        <v>31</v>
      </c>
      <c r="C57" s="3" t="s">
        <v>36</v>
      </c>
      <c r="D57" s="10">
        <v>22</v>
      </c>
      <c r="E57" s="33">
        <f>+'Curv hora 2029 - 2033 (100%)'!E57*0.5</f>
        <v>4321.3599999999997</v>
      </c>
      <c r="F57" s="13">
        <f>+'Curv hora 2029 - 2033 (100%)'!F57*0.5</f>
        <v>4046.5250000000001</v>
      </c>
      <c r="G57" s="13">
        <f>+'Curv hora 2029 - 2033 (100%)'!G57*0.5</f>
        <v>3888.67</v>
      </c>
      <c r="H57" s="13">
        <f>+'Curv hora 2029 - 2033 (100%)'!H57*0.5</f>
        <v>3772.89</v>
      </c>
      <c r="I57" s="13">
        <f>+'Curv hora 2029 - 2033 (100%)'!I57*0.5</f>
        <v>3739.2</v>
      </c>
      <c r="J57" s="13">
        <f>+'Curv hora 2029 - 2033 (100%)'!J57*0.5</f>
        <v>4060.52</v>
      </c>
      <c r="K57" s="13">
        <f>+'Curv hora 2029 - 2033 (100%)'!K57*0.5</f>
        <v>4498.7</v>
      </c>
      <c r="L57" s="13">
        <f>+'Curv hora 2029 - 2033 (100%)'!L57*0.5</f>
        <v>4021.52</v>
      </c>
      <c r="M57" s="13">
        <f>+'Curv hora 2029 - 2033 (100%)'!M57*0.5</f>
        <v>4673.2449999999999</v>
      </c>
      <c r="N57" s="13">
        <f>+'Curv hora 2029 - 2033 (100%)'!N57*0.5</f>
        <v>5068.72</v>
      </c>
      <c r="O57" s="13">
        <f>+'Curv hora 2029 - 2033 (100%)'!O57*0.5</f>
        <v>5497.07</v>
      </c>
      <c r="P57" s="13">
        <f>+'Curv hora 2029 - 2033 (100%)'!P57*0.5</f>
        <v>5797.72</v>
      </c>
      <c r="Q57" s="13">
        <f>+'Curv hora 2029 - 2033 (100%)'!Q57*0.5</f>
        <v>5580.17</v>
      </c>
      <c r="R57" s="13">
        <f>+'Curv hora 2029 - 2033 (100%)'!R57*0.5</f>
        <v>5563.1049999999996</v>
      </c>
      <c r="S57" s="13">
        <f>+'Curv hora 2029 - 2033 (100%)'!S57*0.5</f>
        <v>5915.4949999999999</v>
      </c>
      <c r="T57" s="13">
        <f>+'Curv hora 2029 - 2033 (100%)'!T57*0.5</f>
        <v>6071.8450000000003</v>
      </c>
      <c r="U57" s="13">
        <f>+'Curv hora 2029 - 2033 (100%)'!U57*0.5</f>
        <v>6090.68</v>
      </c>
      <c r="V57" s="13">
        <f>+'Curv hora 2029 - 2033 (100%)'!V57*0.5</f>
        <v>7217.79</v>
      </c>
      <c r="W57" s="13">
        <f>+'Curv hora 2029 - 2033 (100%)'!W57*0.5</f>
        <v>7937.41</v>
      </c>
      <c r="X57" s="13">
        <f>+'Curv hora 2029 - 2033 (100%)'!X57*0.5</f>
        <v>8106.73</v>
      </c>
      <c r="Y57" s="13">
        <f>+'Curv hora 2029 - 2033 (100%)'!Y57*0.5</f>
        <v>7619.62</v>
      </c>
      <c r="Z57" s="13">
        <f>+'Curv hora 2029 - 2033 (100%)'!Z57*0.5</f>
        <v>6896.69</v>
      </c>
      <c r="AA57" s="13">
        <f>+'Curv hora 2029 - 2033 (100%)'!AA57*0.5</f>
        <v>5854.0450000000001</v>
      </c>
      <c r="AB57" s="34">
        <f>+'Curv hora 2029 - 2033 (100%)'!AB57*0.5</f>
        <v>5041.2299999999996</v>
      </c>
      <c r="AC57" s="71">
        <f>SUMPRODUCT((E57:AB59)*D57:D59)</f>
        <v>4025002.4850000003</v>
      </c>
    </row>
    <row r="58" spans="1:29" x14ac:dyDescent="0.3">
      <c r="A58" s="68"/>
      <c r="B58" s="70"/>
      <c r="C58" t="s">
        <v>37</v>
      </c>
      <c r="D58" s="11">
        <v>4</v>
      </c>
      <c r="E58" s="35">
        <f>+'Curv hora 2029 - 2033 (100%)'!E58*0.5</f>
        <v>4429.1949999999997</v>
      </c>
      <c r="F58" s="5">
        <f>+'Curv hora 2029 - 2033 (100%)'!F58*0.5</f>
        <v>4150.415</v>
      </c>
      <c r="G58" s="5">
        <f>+'Curv hora 2029 - 2033 (100%)'!G58*0.5</f>
        <v>3930.3449999999998</v>
      </c>
      <c r="H58" s="5">
        <f>+'Curv hora 2029 - 2033 (100%)'!H58*0.5</f>
        <v>3821.98</v>
      </c>
      <c r="I58" s="5">
        <f>+'Curv hora 2029 - 2033 (100%)'!I58*0.5</f>
        <v>3787.4949999999999</v>
      </c>
      <c r="J58" s="5">
        <f>+'Curv hora 2029 - 2033 (100%)'!J58*0.5</f>
        <v>3923.39</v>
      </c>
      <c r="K58" s="5">
        <f>+'Curv hora 2029 - 2033 (100%)'!K58*0.5</f>
        <v>4150.01</v>
      </c>
      <c r="L58" s="5">
        <f>+'Curv hora 2029 - 2033 (100%)'!L58*0.5</f>
        <v>3810.2950000000001</v>
      </c>
      <c r="M58" s="5">
        <f>+'Curv hora 2029 - 2033 (100%)'!M58*0.5</f>
        <v>4492.91</v>
      </c>
      <c r="N58" s="5">
        <f>+'Curv hora 2029 - 2033 (100%)'!N58*0.5</f>
        <v>5009.0349999999999</v>
      </c>
      <c r="O58" s="5">
        <f>+'Curv hora 2029 - 2033 (100%)'!O58*0.5</f>
        <v>5346.1350000000002</v>
      </c>
      <c r="P58" s="5">
        <f>+'Curv hora 2029 - 2033 (100%)'!P58*0.5</f>
        <v>5632.1149999999998</v>
      </c>
      <c r="Q58" s="5">
        <f>+'Curv hora 2029 - 2033 (100%)'!Q58*0.5</f>
        <v>5569.48</v>
      </c>
      <c r="R58" s="5">
        <f>+'Curv hora 2029 - 2033 (100%)'!R58*0.5</f>
        <v>5426.0450000000001</v>
      </c>
      <c r="S58" s="5">
        <f>+'Curv hora 2029 - 2033 (100%)'!S58*0.5</f>
        <v>5422.835</v>
      </c>
      <c r="T58" s="5">
        <f>+'Curv hora 2029 - 2033 (100%)'!T58*0.5</f>
        <v>5470.5950000000003</v>
      </c>
      <c r="U58" s="5">
        <f>+'Curv hora 2029 - 2033 (100%)'!U58*0.5</f>
        <v>5504.7650000000003</v>
      </c>
      <c r="V58" s="5">
        <f>+'Curv hora 2029 - 2033 (100%)'!V58*0.5</f>
        <v>6733.66</v>
      </c>
      <c r="W58" s="5">
        <f>+'Curv hora 2029 - 2033 (100%)'!W58*0.5</f>
        <v>7543.0349999999999</v>
      </c>
      <c r="X58" s="5">
        <f>+'Curv hora 2029 - 2033 (100%)'!X58*0.5</f>
        <v>7680.26</v>
      </c>
      <c r="Y58" s="5">
        <f>+'Curv hora 2029 - 2033 (100%)'!Y58*0.5</f>
        <v>7239.5450000000001</v>
      </c>
      <c r="Z58" s="5">
        <f>+'Curv hora 2029 - 2033 (100%)'!Z58*0.5</f>
        <v>6691.5</v>
      </c>
      <c r="AA58" s="5">
        <f>+'Curv hora 2029 - 2033 (100%)'!AA58*0.5</f>
        <v>5916.87</v>
      </c>
      <c r="AB58" s="36">
        <f>+'Curv hora 2029 - 2033 (100%)'!AB58*0.5</f>
        <v>5229.2049999999999</v>
      </c>
      <c r="AC58" s="71"/>
    </row>
    <row r="59" spans="1:29" x14ac:dyDescent="0.3">
      <c r="A59" s="76"/>
      <c r="B59" s="77"/>
      <c r="C59" s="7" t="s">
        <v>38</v>
      </c>
      <c r="D59" s="12">
        <v>5</v>
      </c>
      <c r="E59" s="37">
        <f>+'Curv hora 2029 - 2033 (100%)'!E59*0.5</f>
        <v>4613.4049999999997</v>
      </c>
      <c r="F59" s="9">
        <f>+'Curv hora 2029 - 2033 (100%)'!F59*0.5</f>
        <v>4229.9750000000004</v>
      </c>
      <c r="G59" s="9">
        <f>+'Curv hora 2029 - 2033 (100%)'!G59*0.5</f>
        <v>4017.95</v>
      </c>
      <c r="H59" s="9">
        <f>+'Curv hora 2029 - 2033 (100%)'!H59*0.5</f>
        <v>3884.4</v>
      </c>
      <c r="I59" s="9">
        <f>+'Curv hora 2029 - 2033 (100%)'!I59*0.5</f>
        <v>3808.3150000000001</v>
      </c>
      <c r="J59" s="9">
        <f>+'Curv hora 2029 - 2033 (100%)'!J59*0.5</f>
        <v>3851.1849999999999</v>
      </c>
      <c r="K59" s="9">
        <f>+'Curv hora 2029 - 2033 (100%)'!K59*0.5</f>
        <v>3991.3049999999998</v>
      </c>
      <c r="L59" s="9">
        <f>+'Curv hora 2029 - 2033 (100%)'!L59*0.5</f>
        <v>3510.3850000000002</v>
      </c>
      <c r="M59" s="9">
        <f>+'Curv hora 2029 - 2033 (100%)'!M59*0.5</f>
        <v>4169.5</v>
      </c>
      <c r="N59" s="9">
        <f>+'Curv hora 2029 - 2033 (100%)'!N59*0.5</f>
        <v>4690.83</v>
      </c>
      <c r="O59" s="9">
        <f>+'Curv hora 2029 - 2033 (100%)'!O59*0.5</f>
        <v>5105.9350000000004</v>
      </c>
      <c r="P59" s="9">
        <f>+'Curv hora 2029 - 2033 (100%)'!P59*0.5</f>
        <v>5406.6549999999997</v>
      </c>
      <c r="Q59" s="9">
        <f>+'Curv hora 2029 - 2033 (100%)'!Q59*0.5</f>
        <v>5480.04</v>
      </c>
      <c r="R59" s="9">
        <f>+'Curv hora 2029 - 2033 (100%)'!R59*0.5</f>
        <v>5437.7150000000001</v>
      </c>
      <c r="S59" s="9">
        <f>+'Curv hora 2029 - 2033 (100%)'!S59*0.5</f>
        <v>5359.91</v>
      </c>
      <c r="T59" s="9">
        <f>+'Curv hora 2029 - 2033 (100%)'!T59*0.5</f>
        <v>5715.8050000000003</v>
      </c>
      <c r="U59" s="9">
        <f>+'Curv hora 2029 - 2033 (100%)'!U59*0.5</f>
        <v>5590.7349999999997</v>
      </c>
      <c r="V59" s="9">
        <f>+'Curv hora 2029 - 2033 (100%)'!V59*0.5</f>
        <v>6690.58</v>
      </c>
      <c r="W59" s="9">
        <f>+'Curv hora 2029 - 2033 (100%)'!W59*0.5</f>
        <v>7097.6549999999997</v>
      </c>
      <c r="X59" s="9">
        <f>+'Curv hora 2029 - 2033 (100%)'!X59*0.5</f>
        <v>7484.5450000000001</v>
      </c>
      <c r="Y59" s="9">
        <f>+'Curv hora 2029 - 2033 (100%)'!Y59*0.5</f>
        <v>7534.4250000000002</v>
      </c>
      <c r="Z59" s="9">
        <f>+'Curv hora 2029 - 2033 (100%)'!Z59*0.5</f>
        <v>6911.8149999999996</v>
      </c>
      <c r="AA59" s="9">
        <f>+'Curv hora 2029 - 2033 (100%)'!AA59*0.5</f>
        <v>6019.26</v>
      </c>
      <c r="AB59" s="38">
        <f>+'Curv hora 2029 - 2033 (100%)'!AB59*0.5</f>
        <v>5233.1000000000004</v>
      </c>
      <c r="AC59" s="71"/>
    </row>
    <row r="60" spans="1:29" x14ac:dyDescent="0.3">
      <c r="A60" s="67">
        <v>47635</v>
      </c>
      <c r="B60" s="69">
        <f t="shared" ref="B60" si="14">DAY(EOMONTH(A60,0))</f>
        <v>30</v>
      </c>
      <c r="C60" s="3" t="s">
        <v>36</v>
      </c>
      <c r="D60" s="10">
        <v>18</v>
      </c>
      <c r="E60" s="33">
        <f>+'Curv hora 2029 - 2033 (100%)'!E60*0.5</f>
        <v>3998.585</v>
      </c>
      <c r="F60" s="13">
        <f>+'Curv hora 2029 - 2033 (100%)'!F60*0.5</f>
        <v>3737.8850000000002</v>
      </c>
      <c r="G60" s="13">
        <f>+'Curv hora 2029 - 2033 (100%)'!G60*0.5</f>
        <v>3619.23</v>
      </c>
      <c r="H60" s="13">
        <f>+'Curv hora 2029 - 2033 (100%)'!H60*0.5</f>
        <v>3552.2649999999999</v>
      </c>
      <c r="I60" s="13">
        <f>+'Curv hora 2029 - 2033 (100%)'!I60*0.5</f>
        <v>3569.375</v>
      </c>
      <c r="J60" s="13">
        <f>+'Curv hora 2029 - 2033 (100%)'!J60*0.5</f>
        <v>3883.43</v>
      </c>
      <c r="K60" s="13">
        <f>+'Curv hora 2029 - 2033 (100%)'!K60*0.5</f>
        <v>4263.59</v>
      </c>
      <c r="L60" s="13">
        <f>+'Curv hora 2029 - 2033 (100%)'!L60*0.5</f>
        <v>3753.01</v>
      </c>
      <c r="M60" s="13">
        <f>+'Curv hora 2029 - 2033 (100%)'!M60*0.5</f>
        <v>4379.2950000000001</v>
      </c>
      <c r="N60" s="13">
        <f>+'Curv hora 2029 - 2033 (100%)'!N60*0.5</f>
        <v>4813.0550000000003</v>
      </c>
      <c r="O60" s="13">
        <f>+'Curv hora 2029 - 2033 (100%)'!O60*0.5</f>
        <v>5115.3999999999996</v>
      </c>
      <c r="P60" s="13">
        <f>+'Curv hora 2029 - 2033 (100%)'!P60*0.5</f>
        <v>5354.59</v>
      </c>
      <c r="Q60" s="13">
        <f>+'Curv hora 2029 - 2033 (100%)'!Q60*0.5</f>
        <v>5102.97</v>
      </c>
      <c r="R60" s="13">
        <f>+'Curv hora 2029 - 2033 (100%)'!R60*0.5</f>
        <v>5135.2150000000001</v>
      </c>
      <c r="S60" s="13">
        <f>+'Curv hora 2029 - 2033 (100%)'!S60*0.5</f>
        <v>5473.0150000000003</v>
      </c>
      <c r="T60" s="13">
        <f>+'Curv hora 2029 - 2033 (100%)'!T60*0.5</f>
        <v>5578.5150000000003</v>
      </c>
      <c r="U60" s="13">
        <f>+'Curv hora 2029 - 2033 (100%)'!U60*0.5</f>
        <v>5644.28</v>
      </c>
      <c r="V60" s="13">
        <f>+'Curv hora 2029 - 2033 (100%)'!V60*0.5</f>
        <v>6780.06</v>
      </c>
      <c r="W60" s="13">
        <f>+'Curv hora 2029 - 2033 (100%)'!W60*0.5</f>
        <v>7412.4849999999997</v>
      </c>
      <c r="X60" s="13">
        <f>+'Curv hora 2029 - 2033 (100%)'!X60*0.5</f>
        <v>7595.3249999999998</v>
      </c>
      <c r="Y60" s="13">
        <f>+'Curv hora 2029 - 2033 (100%)'!Y60*0.5</f>
        <v>7083.2650000000003</v>
      </c>
      <c r="Z60" s="13">
        <f>+'Curv hora 2029 - 2033 (100%)'!Z60*0.5</f>
        <v>6326.13</v>
      </c>
      <c r="AA60" s="13">
        <f>+'Curv hora 2029 - 2033 (100%)'!AA60*0.5</f>
        <v>5367.7049999999999</v>
      </c>
      <c r="AB60" s="34">
        <f>+'Curv hora 2029 - 2033 (100%)'!AB60*0.5</f>
        <v>4586.59</v>
      </c>
      <c r="AC60" s="71">
        <f>SUMPRODUCT((E60:AB62)*D60:D62)</f>
        <v>3629206.605</v>
      </c>
    </row>
    <row r="61" spans="1:29" x14ac:dyDescent="0.3">
      <c r="A61" s="68"/>
      <c r="B61" s="70"/>
      <c r="C61" t="s">
        <v>37</v>
      </c>
      <c r="D61" s="11">
        <v>5</v>
      </c>
      <c r="E61" s="35">
        <f>+'Curv hora 2029 - 2033 (100%)'!E61*0.5</f>
        <v>4116.0050000000001</v>
      </c>
      <c r="F61" s="5">
        <f>+'Curv hora 2029 - 2033 (100%)'!F61*0.5</f>
        <v>3802.625</v>
      </c>
      <c r="G61" s="5">
        <f>+'Curv hora 2029 - 2033 (100%)'!G61*0.5</f>
        <v>3599.085</v>
      </c>
      <c r="H61" s="5">
        <f>+'Curv hora 2029 - 2033 (100%)'!H61*0.5</f>
        <v>3499.1550000000002</v>
      </c>
      <c r="I61" s="5">
        <f>+'Curv hora 2029 - 2033 (100%)'!I61*0.5</f>
        <v>3505.63</v>
      </c>
      <c r="J61" s="5">
        <f>+'Curv hora 2029 - 2033 (100%)'!J61*0.5</f>
        <v>3615.36</v>
      </c>
      <c r="K61" s="5">
        <f>+'Curv hora 2029 - 2033 (100%)'!K61*0.5</f>
        <v>3853.0949999999998</v>
      </c>
      <c r="L61" s="5">
        <f>+'Curv hora 2029 - 2033 (100%)'!L61*0.5</f>
        <v>3513.35</v>
      </c>
      <c r="M61" s="5">
        <f>+'Curv hora 2029 - 2033 (100%)'!M61*0.5</f>
        <v>4364.4799999999996</v>
      </c>
      <c r="N61" s="5">
        <f>+'Curv hora 2029 - 2033 (100%)'!N61*0.5</f>
        <v>4986.17</v>
      </c>
      <c r="O61" s="5">
        <f>+'Curv hora 2029 - 2033 (100%)'!O61*0.5</f>
        <v>5354.1149999999998</v>
      </c>
      <c r="P61" s="5">
        <f>+'Curv hora 2029 - 2033 (100%)'!P61*0.5</f>
        <v>5592.7049999999999</v>
      </c>
      <c r="Q61" s="5">
        <f>+'Curv hora 2029 - 2033 (100%)'!Q61*0.5</f>
        <v>5480.6949999999997</v>
      </c>
      <c r="R61" s="5">
        <f>+'Curv hora 2029 - 2033 (100%)'!R61*0.5</f>
        <v>5434.3850000000002</v>
      </c>
      <c r="S61" s="5">
        <f>+'Curv hora 2029 - 2033 (100%)'!S61*0.5</f>
        <v>5452.5349999999999</v>
      </c>
      <c r="T61" s="5">
        <f>+'Curv hora 2029 - 2033 (100%)'!T61*0.5</f>
        <v>5376.96</v>
      </c>
      <c r="U61" s="5">
        <f>+'Curv hora 2029 - 2033 (100%)'!U61*0.5</f>
        <v>5368.6</v>
      </c>
      <c r="V61" s="5">
        <f>+'Curv hora 2029 - 2033 (100%)'!V61*0.5</f>
        <v>6532.8050000000003</v>
      </c>
      <c r="W61" s="5">
        <f>+'Curv hora 2029 - 2033 (100%)'!W61*0.5</f>
        <v>7305.4</v>
      </c>
      <c r="X61" s="5">
        <f>+'Curv hora 2029 - 2033 (100%)'!X61*0.5</f>
        <v>7485.95</v>
      </c>
      <c r="Y61" s="5">
        <f>+'Curv hora 2029 - 2033 (100%)'!Y61*0.5</f>
        <v>6994.79</v>
      </c>
      <c r="Z61" s="5">
        <f>+'Curv hora 2029 - 2033 (100%)'!Z61*0.5</f>
        <v>6383.72</v>
      </c>
      <c r="AA61" s="5">
        <f>+'Curv hora 2029 - 2033 (100%)'!AA61*0.5</f>
        <v>5622.5950000000003</v>
      </c>
      <c r="AB61" s="36">
        <f>+'Curv hora 2029 - 2033 (100%)'!AB61*0.5</f>
        <v>4912.6400000000003</v>
      </c>
      <c r="AC61" s="71"/>
    </row>
    <row r="62" spans="1:29" x14ac:dyDescent="0.3">
      <c r="A62" s="76"/>
      <c r="B62" s="77"/>
      <c r="C62" s="7" t="s">
        <v>38</v>
      </c>
      <c r="D62" s="12">
        <v>7</v>
      </c>
      <c r="E62" s="37">
        <f>+'Curv hora 2029 - 2033 (100%)'!E62*0.5</f>
        <v>4161.93</v>
      </c>
      <c r="F62" s="9">
        <f>+'Curv hora 2029 - 2033 (100%)'!F62*0.5</f>
        <v>3890.9</v>
      </c>
      <c r="G62" s="9">
        <f>+'Curv hora 2029 - 2033 (100%)'!G62*0.5</f>
        <v>3698.44</v>
      </c>
      <c r="H62" s="9">
        <f>+'Curv hora 2029 - 2033 (100%)'!H62*0.5</f>
        <v>3594.9549999999999</v>
      </c>
      <c r="I62" s="9">
        <f>+'Curv hora 2029 - 2033 (100%)'!I62*0.5</f>
        <v>3534.085</v>
      </c>
      <c r="J62" s="9">
        <f>+'Curv hora 2029 - 2033 (100%)'!J62*0.5</f>
        <v>3565.95</v>
      </c>
      <c r="K62" s="9">
        <f>+'Curv hora 2029 - 2033 (100%)'!K62*0.5</f>
        <v>3694.35</v>
      </c>
      <c r="L62" s="9">
        <f>+'Curv hora 2029 - 2033 (100%)'!L62*0.5</f>
        <v>3256.1550000000002</v>
      </c>
      <c r="M62" s="9">
        <f>+'Curv hora 2029 - 2033 (100%)'!M62*0.5</f>
        <v>4022.6350000000002</v>
      </c>
      <c r="N62" s="9">
        <f>+'Curv hora 2029 - 2033 (100%)'!N62*0.5</f>
        <v>4494.58</v>
      </c>
      <c r="O62" s="9">
        <f>+'Curv hora 2029 - 2033 (100%)'!O62*0.5</f>
        <v>4906.51</v>
      </c>
      <c r="P62" s="9">
        <f>+'Curv hora 2029 - 2033 (100%)'!P62*0.5</f>
        <v>5193.7650000000003</v>
      </c>
      <c r="Q62" s="9">
        <f>+'Curv hora 2029 - 2033 (100%)'!Q62*0.5</f>
        <v>5371.42</v>
      </c>
      <c r="R62" s="9">
        <f>+'Curv hora 2029 - 2033 (100%)'!R62*0.5</f>
        <v>5334.91</v>
      </c>
      <c r="S62" s="9">
        <f>+'Curv hora 2029 - 2033 (100%)'!S62*0.5</f>
        <v>5233.49</v>
      </c>
      <c r="T62" s="9">
        <f>+'Curv hora 2029 - 2033 (100%)'!T62*0.5</f>
        <v>5065.45</v>
      </c>
      <c r="U62" s="9">
        <f>+'Curv hora 2029 - 2033 (100%)'!U62*0.5</f>
        <v>4967.415</v>
      </c>
      <c r="V62" s="9">
        <f>+'Curv hora 2029 - 2033 (100%)'!V62*0.5</f>
        <v>6258.66</v>
      </c>
      <c r="W62" s="9">
        <f>+'Curv hora 2029 - 2033 (100%)'!W62*0.5</f>
        <v>6931.91</v>
      </c>
      <c r="X62" s="9">
        <f>+'Curv hora 2029 - 2033 (100%)'!X62*0.5</f>
        <v>7075.76</v>
      </c>
      <c r="Y62" s="9">
        <f>+'Curv hora 2029 - 2033 (100%)'!Y62*0.5</f>
        <v>6785.6850000000004</v>
      </c>
      <c r="Z62" s="9">
        <f>+'Curv hora 2029 - 2033 (100%)'!Z62*0.5</f>
        <v>6190.1949999999997</v>
      </c>
      <c r="AA62" s="9">
        <f>+'Curv hora 2029 - 2033 (100%)'!AA62*0.5</f>
        <v>5336.1</v>
      </c>
      <c r="AB62" s="38">
        <f>+'Curv hora 2029 - 2033 (100%)'!AB62*0.5</f>
        <v>4604.4049999999997</v>
      </c>
      <c r="AC62" s="71"/>
    </row>
    <row r="63" spans="1:29" x14ac:dyDescent="0.3">
      <c r="A63" s="67">
        <v>47665</v>
      </c>
      <c r="B63" s="69">
        <f t="shared" ref="B63" si="15">DAY(EOMONTH(A63,0))</f>
        <v>31</v>
      </c>
      <c r="C63" s="3" t="s">
        <v>36</v>
      </c>
      <c r="D63" s="10">
        <v>22</v>
      </c>
      <c r="E63" s="33">
        <f>+'Curv hora 2029 - 2033 (100%)'!E63*0.5</f>
        <v>4157.8999999999996</v>
      </c>
      <c r="F63" s="13">
        <f>+'Curv hora 2029 - 2033 (100%)'!F63*0.5</f>
        <v>3884.92</v>
      </c>
      <c r="G63" s="13">
        <f>+'Curv hora 2029 - 2033 (100%)'!G63*0.5</f>
        <v>3741.1350000000002</v>
      </c>
      <c r="H63" s="13">
        <f>+'Curv hora 2029 - 2033 (100%)'!H63*0.5</f>
        <v>3656.395</v>
      </c>
      <c r="I63" s="13">
        <f>+'Curv hora 2029 - 2033 (100%)'!I63*0.5</f>
        <v>3669.19</v>
      </c>
      <c r="J63" s="13">
        <f>+'Curv hora 2029 - 2033 (100%)'!J63*0.5</f>
        <v>3983.09</v>
      </c>
      <c r="K63" s="13">
        <f>+'Curv hora 2029 - 2033 (100%)'!K63*0.5</f>
        <v>4343.7449999999999</v>
      </c>
      <c r="L63" s="13">
        <f>+'Curv hora 2029 - 2033 (100%)'!L63*0.5</f>
        <v>3883.7550000000001</v>
      </c>
      <c r="M63" s="13">
        <f>+'Curv hora 2029 - 2033 (100%)'!M63*0.5</f>
        <v>4605.2650000000003</v>
      </c>
      <c r="N63" s="13">
        <f>+'Curv hora 2029 - 2033 (100%)'!N63*0.5</f>
        <v>5058.3100000000004</v>
      </c>
      <c r="O63" s="13">
        <f>+'Curv hora 2029 - 2033 (100%)'!O63*0.5</f>
        <v>5432.33</v>
      </c>
      <c r="P63" s="13">
        <f>+'Curv hora 2029 - 2033 (100%)'!P63*0.5</f>
        <v>5796.08</v>
      </c>
      <c r="Q63" s="13">
        <f>+'Curv hora 2029 - 2033 (100%)'!Q63*0.5</f>
        <v>5645.61</v>
      </c>
      <c r="R63" s="13">
        <f>+'Curv hora 2029 - 2033 (100%)'!R63*0.5</f>
        <v>5639.56</v>
      </c>
      <c r="S63" s="13">
        <f>+'Curv hora 2029 - 2033 (100%)'!S63*0.5</f>
        <v>5989.6149999999998</v>
      </c>
      <c r="T63" s="13">
        <f>+'Curv hora 2029 - 2033 (100%)'!T63*0.5</f>
        <v>6174</v>
      </c>
      <c r="U63" s="13">
        <f>+'Curv hora 2029 - 2033 (100%)'!U63*0.5</f>
        <v>6179.84</v>
      </c>
      <c r="V63" s="13">
        <f>+'Curv hora 2029 - 2033 (100%)'!V63*0.5</f>
        <v>7295.9449999999997</v>
      </c>
      <c r="W63" s="13">
        <f>+'Curv hora 2029 - 2033 (100%)'!W63*0.5</f>
        <v>7818.2349999999997</v>
      </c>
      <c r="X63" s="13">
        <f>+'Curv hora 2029 - 2033 (100%)'!X63*0.5</f>
        <v>8077.4650000000001</v>
      </c>
      <c r="Y63" s="13">
        <f>+'Curv hora 2029 - 2033 (100%)'!Y63*0.5</f>
        <v>7568.5950000000003</v>
      </c>
      <c r="Z63" s="13">
        <f>+'Curv hora 2029 - 2033 (100%)'!Z63*0.5</f>
        <v>6815.0050000000001</v>
      </c>
      <c r="AA63" s="13">
        <f>+'Curv hora 2029 - 2033 (100%)'!AA63*0.5</f>
        <v>5788.37</v>
      </c>
      <c r="AB63" s="34">
        <f>+'Curv hora 2029 - 2033 (100%)'!AB63*0.5</f>
        <v>4933.82</v>
      </c>
      <c r="AC63" s="71">
        <f t="shared" ref="AC63" si="16">SUMPRODUCT((E63:AB65)*D63:D65)</f>
        <v>3936522.89</v>
      </c>
    </row>
    <row r="64" spans="1:29" x14ac:dyDescent="0.3">
      <c r="A64" s="68"/>
      <c r="B64" s="70"/>
      <c r="C64" t="s">
        <v>37</v>
      </c>
      <c r="D64" s="11">
        <v>3</v>
      </c>
      <c r="E64" s="35">
        <f>+'Curv hora 2029 - 2033 (100%)'!E64*0.5</f>
        <v>4250.6099999999997</v>
      </c>
      <c r="F64" s="5">
        <f>+'Curv hora 2029 - 2033 (100%)'!F64*0.5</f>
        <v>3948.1149999999998</v>
      </c>
      <c r="G64" s="5">
        <f>+'Curv hora 2029 - 2033 (100%)'!G64*0.5</f>
        <v>3763.2950000000001</v>
      </c>
      <c r="H64" s="5">
        <f>+'Curv hora 2029 - 2033 (100%)'!H64*0.5</f>
        <v>3680.125</v>
      </c>
      <c r="I64" s="5">
        <f>+'Curv hora 2029 - 2033 (100%)'!I64*0.5</f>
        <v>3646.6550000000002</v>
      </c>
      <c r="J64" s="5">
        <f>+'Curv hora 2029 - 2033 (100%)'!J64*0.5</f>
        <v>3767.2350000000001</v>
      </c>
      <c r="K64" s="5">
        <f>+'Curv hora 2029 - 2033 (100%)'!K64*0.5</f>
        <v>3959.835</v>
      </c>
      <c r="L64" s="5">
        <f>+'Curv hora 2029 - 2033 (100%)'!L64*0.5</f>
        <v>3668.1550000000002</v>
      </c>
      <c r="M64" s="5">
        <f>+'Curv hora 2029 - 2033 (100%)'!M64*0.5</f>
        <v>4438.03</v>
      </c>
      <c r="N64" s="5">
        <f>+'Curv hora 2029 - 2033 (100%)'!N64*0.5</f>
        <v>4954.0600000000004</v>
      </c>
      <c r="O64" s="5">
        <f>+'Curv hora 2029 - 2033 (100%)'!O64*0.5</f>
        <v>5291.6</v>
      </c>
      <c r="P64" s="5">
        <f>+'Curv hora 2029 - 2033 (100%)'!P64*0.5</f>
        <v>5572.5050000000001</v>
      </c>
      <c r="Q64" s="5">
        <f>+'Curv hora 2029 - 2033 (100%)'!Q64*0.5</f>
        <v>5453.73</v>
      </c>
      <c r="R64" s="5">
        <f>+'Curv hora 2029 - 2033 (100%)'!R64*0.5</f>
        <v>5394.93</v>
      </c>
      <c r="S64" s="5">
        <f>+'Curv hora 2029 - 2033 (100%)'!S64*0.5</f>
        <v>5463.9</v>
      </c>
      <c r="T64" s="5">
        <f>+'Curv hora 2029 - 2033 (100%)'!T64*0.5</f>
        <v>5583.72</v>
      </c>
      <c r="U64" s="5">
        <f>+'Curv hora 2029 - 2033 (100%)'!U64*0.5</f>
        <v>5537.45</v>
      </c>
      <c r="V64" s="5">
        <f>+'Curv hora 2029 - 2033 (100%)'!V64*0.5</f>
        <v>6639.4650000000001</v>
      </c>
      <c r="W64" s="5">
        <f>+'Curv hora 2029 - 2033 (100%)'!W64*0.5</f>
        <v>7369.5249999999996</v>
      </c>
      <c r="X64" s="5">
        <f>+'Curv hora 2029 - 2033 (100%)'!X64*0.5</f>
        <v>7704.8249999999998</v>
      </c>
      <c r="Y64" s="5">
        <f>+'Curv hora 2029 - 2033 (100%)'!Y64*0.5</f>
        <v>7192.38</v>
      </c>
      <c r="Z64" s="5">
        <f>+'Curv hora 2029 - 2033 (100%)'!Z64*0.5</f>
        <v>6506.4049999999997</v>
      </c>
      <c r="AA64" s="5">
        <f>+'Curv hora 2029 - 2033 (100%)'!AA64*0.5</f>
        <v>5691.085</v>
      </c>
      <c r="AB64" s="36">
        <f>+'Curv hora 2029 - 2033 (100%)'!AB64*0.5</f>
        <v>4905.9049999999997</v>
      </c>
      <c r="AC64" s="71"/>
    </row>
    <row r="65" spans="1:30" x14ac:dyDescent="0.3">
      <c r="A65" s="76"/>
      <c r="B65" s="77"/>
      <c r="C65" s="7" t="s">
        <v>38</v>
      </c>
      <c r="D65" s="12">
        <v>6</v>
      </c>
      <c r="E65" s="37">
        <f>+'Curv hora 2029 - 2033 (100%)'!E65*0.5</f>
        <v>4248.75</v>
      </c>
      <c r="F65" s="9">
        <f>+'Curv hora 2029 - 2033 (100%)'!F65*0.5</f>
        <v>3948.79</v>
      </c>
      <c r="G65" s="9">
        <f>+'Curv hora 2029 - 2033 (100%)'!G65*0.5</f>
        <v>3749.355</v>
      </c>
      <c r="H65" s="9">
        <f>+'Curv hora 2029 - 2033 (100%)'!H65*0.5</f>
        <v>3632.23</v>
      </c>
      <c r="I65" s="9">
        <f>+'Curv hora 2029 - 2033 (100%)'!I65*0.5</f>
        <v>3576.7049999999999</v>
      </c>
      <c r="J65" s="9">
        <f>+'Curv hora 2029 - 2033 (100%)'!J65*0.5</f>
        <v>3638.5749999999998</v>
      </c>
      <c r="K65" s="9">
        <f>+'Curv hora 2029 - 2033 (100%)'!K65*0.5</f>
        <v>3749.5</v>
      </c>
      <c r="L65" s="9">
        <f>+'Curv hora 2029 - 2033 (100%)'!L65*0.5</f>
        <v>3326.3049999999998</v>
      </c>
      <c r="M65" s="9">
        <f>+'Curv hora 2029 - 2033 (100%)'!M65*0.5</f>
        <v>3987.38</v>
      </c>
      <c r="N65" s="9">
        <f>+'Curv hora 2029 - 2033 (100%)'!N65*0.5</f>
        <v>4484.29</v>
      </c>
      <c r="O65" s="9">
        <f>+'Curv hora 2029 - 2033 (100%)'!O65*0.5</f>
        <v>4789.3950000000004</v>
      </c>
      <c r="P65" s="9">
        <f>+'Curv hora 2029 - 2033 (100%)'!P65*0.5</f>
        <v>5051.75</v>
      </c>
      <c r="Q65" s="9">
        <f>+'Curv hora 2029 - 2033 (100%)'!Q65*0.5</f>
        <v>5157.6850000000004</v>
      </c>
      <c r="R65" s="9">
        <f>+'Curv hora 2029 - 2033 (100%)'!R65*0.5</f>
        <v>5146.72</v>
      </c>
      <c r="S65" s="9">
        <f>+'Curv hora 2029 - 2033 (100%)'!S65*0.5</f>
        <v>5143.665</v>
      </c>
      <c r="T65" s="9">
        <f>+'Curv hora 2029 - 2033 (100%)'!T65*0.5</f>
        <v>5020.2849999999999</v>
      </c>
      <c r="U65" s="9">
        <f>+'Curv hora 2029 - 2033 (100%)'!U65*0.5</f>
        <v>4956.09</v>
      </c>
      <c r="V65" s="9">
        <f>+'Curv hora 2029 - 2033 (100%)'!V65*0.5</f>
        <v>6001.93</v>
      </c>
      <c r="W65" s="9">
        <f>+'Curv hora 2029 - 2033 (100%)'!W65*0.5</f>
        <v>6719.0950000000003</v>
      </c>
      <c r="X65" s="9">
        <f>+'Curv hora 2029 - 2033 (100%)'!X65*0.5</f>
        <v>7145.64</v>
      </c>
      <c r="Y65" s="9">
        <f>+'Curv hora 2029 - 2033 (100%)'!Y65*0.5</f>
        <v>6817.91</v>
      </c>
      <c r="Z65" s="9">
        <f>+'Curv hora 2029 - 2033 (100%)'!Z65*0.5</f>
        <v>6251.1949999999997</v>
      </c>
      <c r="AA65" s="9">
        <f>+'Curv hora 2029 - 2033 (100%)'!AA65*0.5</f>
        <v>5439.6549999999997</v>
      </c>
      <c r="AB65" s="38">
        <f>+'Curv hora 2029 - 2033 (100%)'!AB65*0.5</f>
        <v>4739.1750000000002</v>
      </c>
      <c r="AC65" s="71"/>
    </row>
    <row r="66" spans="1:30" x14ac:dyDescent="0.3">
      <c r="A66" s="67">
        <v>47696</v>
      </c>
      <c r="B66" s="69">
        <f t="shared" ref="B66" si="17">DAY(EOMONTH(A66,0))</f>
        <v>31</v>
      </c>
      <c r="C66" s="3" t="s">
        <v>36</v>
      </c>
      <c r="D66" s="10">
        <v>20</v>
      </c>
      <c r="E66" s="33">
        <f>+'Curv hora 2029 - 2033 (100%)'!E66*0.5</f>
        <v>4362.37</v>
      </c>
      <c r="F66" s="13">
        <f>+'Curv hora 2029 - 2033 (100%)'!F66*0.5</f>
        <v>4111.4399999999996</v>
      </c>
      <c r="G66" s="13">
        <f>+'Curv hora 2029 - 2033 (100%)'!G66*0.5</f>
        <v>3956.3150000000001</v>
      </c>
      <c r="H66" s="13">
        <f>+'Curv hora 2029 - 2033 (100%)'!H66*0.5</f>
        <v>3857.99</v>
      </c>
      <c r="I66" s="13">
        <f>+'Curv hora 2029 - 2033 (100%)'!I66*0.5</f>
        <v>3870.97</v>
      </c>
      <c r="J66" s="13">
        <f>+'Curv hora 2029 - 2033 (100%)'!J66*0.5</f>
        <v>4040.16</v>
      </c>
      <c r="K66" s="13">
        <f>+'Curv hora 2029 - 2033 (100%)'!K66*0.5</f>
        <v>4507.99</v>
      </c>
      <c r="L66" s="13">
        <f>+'Curv hora 2029 - 2033 (100%)'!L66*0.5</f>
        <v>4057.72</v>
      </c>
      <c r="M66" s="13">
        <f>+'Curv hora 2029 - 2033 (100%)'!M66*0.5</f>
        <v>4704.9650000000001</v>
      </c>
      <c r="N66" s="13">
        <f>+'Curv hora 2029 - 2033 (100%)'!N66*0.5</f>
        <v>5180.125</v>
      </c>
      <c r="O66" s="13">
        <f>+'Curv hora 2029 - 2033 (100%)'!O66*0.5</f>
        <v>5639</v>
      </c>
      <c r="P66" s="13">
        <f>+'Curv hora 2029 - 2033 (100%)'!P66*0.5</f>
        <v>5978.02</v>
      </c>
      <c r="Q66" s="13">
        <f>+'Curv hora 2029 - 2033 (100%)'!Q66*0.5</f>
        <v>5900.59</v>
      </c>
      <c r="R66" s="13">
        <f>+'Curv hora 2029 - 2033 (100%)'!R66*0.5</f>
        <v>6050.07</v>
      </c>
      <c r="S66" s="13">
        <f>+'Curv hora 2029 - 2033 (100%)'!S66*0.5</f>
        <v>6516.57</v>
      </c>
      <c r="T66" s="13">
        <f>+'Curv hora 2029 - 2033 (100%)'!T66*0.5</f>
        <v>6797.99</v>
      </c>
      <c r="U66" s="13">
        <f>+'Curv hora 2029 - 2033 (100%)'!U66*0.5</f>
        <v>6794.01</v>
      </c>
      <c r="V66" s="13">
        <f>+'Curv hora 2029 - 2033 (100%)'!V66*0.5</f>
        <v>7637.3249999999998</v>
      </c>
      <c r="W66" s="13">
        <f>+'Curv hora 2029 - 2033 (100%)'!W66*0.5</f>
        <v>8179.9750000000004</v>
      </c>
      <c r="X66" s="13">
        <f>+'Curv hora 2029 - 2033 (100%)'!X66*0.5</f>
        <v>8588.9699999999993</v>
      </c>
      <c r="Y66" s="13">
        <f>+'Curv hora 2029 - 2033 (100%)'!Y66*0.5</f>
        <v>8090.7349999999997</v>
      </c>
      <c r="Z66" s="13">
        <f>+'Curv hora 2029 - 2033 (100%)'!Z66*0.5</f>
        <v>7308.71</v>
      </c>
      <c r="AA66" s="13">
        <f>+'Curv hora 2029 - 2033 (100%)'!AA66*0.5</f>
        <v>6231.5749999999998</v>
      </c>
      <c r="AB66" s="34">
        <f>+'Curv hora 2029 - 2033 (100%)'!AB66*0.5</f>
        <v>5316.9449999999997</v>
      </c>
      <c r="AC66" s="71">
        <f t="shared" ref="AC66" si="18">SUMPRODUCT((E66:AB68)*D66:D68)</f>
        <v>4215768.2849999992</v>
      </c>
    </row>
    <row r="67" spans="1:30" x14ac:dyDescent="0.3">
      <c r="A67" s="68"/>
      <c r="B67" s="70"/>
      <c r="C67" t="s">
        <v>37</v>
      </c>
      <c r="D67" s="11">
        <v>5</v>
      </c>
      <c r="E67" s="35">
        <f>+'Curv hora 2029 - 2033 (100%)'!E67*0.5</f>
        <v>4835.7349999999997</v>
      </c>
      <c r="F67" s="5">
        <f>+'Curv hora 2029 - 2033 (100%)'!F67*0.5</f>
        <v>4504.8500000000004</v>
      </c>
      <c r="G67" s="5">
        <f>+'Curv hora 2029 - 2033 (100%)'!G67*0.5</f>
        <v>4069.3850000000002</v>
      </c>
      <c r="H67" s="5">
        <f>+'Curv hora 2029 - 2033 (100%)'!H67*0.5</f>
        <v>4237.0550000000003</v>
      </c>
      <c r="I67" s="5">
        <f>+'Curv hora 2029 - 2033 (100%)'!I67*0.5</f>
        <v>4093.6750000000002</v>
      </c>
      <c r="J67" s="5">
        <f>+'Curv hora 2029 - 2033 (100%)'!J67*0.5</f>
        <v>4165.4449999999997</v>
      </c>
      <c r="K67" s="5">
        <f>+'Curv hora 2029 - 2033 (100%)'!K67*0.5</f>
        <v>4334.2250000000004</v>
      </c>
      <c r="L67" s="5">
        <f>+'Curv hora 2029 - 2033 (100%)'!L67*0.5</f>
        <v>4239.72</v>
      </c>
      <c r="M67" s="5">
        <f>+'Curv hora 2029 - 2033 (100%)'!M67*0.5</f>
        <v>4989.07</v>
      </c>
      <c r="N67" s="5">
        <f>+'Curv hora 2029 - 2033 (100%)'!N67*0.5</f>
        <v>5629.4949999999999</v>
      </c>
      <c r="O67" s="5">
        <f>+'Curv hora 2029 - 2033 (100%)'!O67*0.5</f>
        <v>6090.1850000000004</v>
      </c>
      <c r="P67" s="5">
        <f>+'Curv hora 2029 - 2033 (100%)'!P67*0.5</f>
        <v>6460.74</v>
      </c>
      <c r="Q67" s="5">
        <f>+'Curv hora 2029 - 2033 (100%)'!Q67*0.5</f>
        <v>6397.47</v>
      </c>
      <c r="R67" s="5">
        <f>+'Curv hora 2029 - 2033 (100%)'!R67*0.5</f>
        <v>6377.82</v>
      </c>
      <c r="S67" s="5">
        <f>+'Curv hora 2029 - 2033 (100%)'!S67*0.5</f>
        <v>6465.52</v>
      </c>
      <c r="T67" s="5">
        <f>+'Curv hora 2029 - 2033 (100%)'!T67*0.5</f>
        <v>6341.9849999999997</v>
      </c>
      <c r="U67" s="5">
        <f>+'Curv hora 2029 - 2033 (100%)'!U67*0.5</f>
        <v>6352.72</v>
      </c>
      <c r="V67" s="5">
        <f>+'Curv hora 2029 - 2033 (100%)'!V67*0.5</f>
        <v>7350.28</v>
      </c>
      <c r="W67" s="5">
        <f>+'Curv hora 2029 - 2033 (100%)'!W67*0.5</f>
        <v>8110.1</v>
      </c>
      <c r="X67" s="5">
        <f>+'Curv hora 2029 - 2033 (100%)'!X67*0.5</f>
        <v>8415.4750000000004</v>
      </c>
      <c r="Y67" s="5">
        <f>+'Curv hora 2029 - 2033 (100%)'!Y67*0.5</f>
        <v>7908.92</v>
      </c>
      <c r="Z67" s="5">
        <f>+'Curv hora 2029 - 2033 (100%)'!Z67*0.5</f>
        <v>7281.63</v>
      </c>
      <c r="AA67" s="5">
        <f>+'Curv hora 2029 - 2033 (100%)'!AA67*0.5</f>
        <v>6436.71</v>
      </c>
      <c r="AB67" s="36">
        <f>+'Curv hora 2029 - 2033 (100%)'!AB67*0.5</f>
        <v>5726.0749999999998</v>
      </c>
      <c r="AC67" s="71"/>
    </row>
    <row r="68" spans="1:30" x14ac:dyDescent="0.3">
      <c r="A68" s="76"/>
      <c r="B68" s="77"/>
      <c r="C68" s="7" t="s">
        <v>38</v>
      </c>
      <c r="D68" s="12">
        <v>6</v>
      </c>
      <c r="E68" s="37">
        <f>+'Curv hora 2029 - 2033 (100%)'!E68*0.5</f>
        <v>4732.8149999999996</v>
      </c>
      <c r="F68" s="9">
        <f>+'Curv hora 2029 - 2033 (100%)'!F68*0.5</f>
        <v>4394.7049999999999</v>
      </c>
      <c r="G68" s="9">
        <f>+'Curv hora 2029 - 2033 (100%)'!G68*0.5</f>
        <v>4178.2049999999999</v>
      </c>
      <c r="H68" s="9">
        <f>+'Curv hora 2029 - 2033 (100%)'!H68*0.5</f>
        <v>4045.605</v>
      </c>
      <c r="I68" s="9">
        <f>+'Curv hora 2029 - 2033 (100%)'!I68*0.5</f>
        <v>3898.63</v>
      </c>
      <c r="J68" s="9">
        <f>+'Curv hora 2029 - 2033 (100%)'!J68*0.5</f>
        <v>3975.7049999999999</v>
      </c>
      <c r="K68" s="9">
        <f>+'Curv hora 2029 - 2033 (100%)'!K68*0.5</f>
        <v>4158.4250000000002</v>
      </c>
      <c r="L68" s="9">
        <f>+'Curv hora 2029 - 2033 (100%)'!L68*0.5</f>
        <v>3683.33</v>
      </c>
      <c r="M68" s="9">
        <f>+'Curv hora 2029 - 2033 (100%)'!M68*0.5</f>
        <v>4344.9399999999996</v>
      </c>
      <c r="N68" s="9">
        <f>+'Curv hora 2029 - 2033 (100%)'!N68*0.5</f>
        <v>4743.1750000000002</v>
      </c>
      <c r="O68" s="9">
        <f>+'Curv hora 2029 - 2033 (100%)'!O68*0.5</f>
        <v>5109.57</v>
      </c>
      <c r="P68" s="9">
        <f>+'Curv hora 2029 - 2033 (100%)'!P68*0.5</f>
        <v>5618.9549999999999</v>
      </c>
      <c r="Q68" s="9">
        <f>+'Curv hora 2029 - 2033 (100%)'!Q68*0.5</f>
        <v>5563.92</v>
      </c>
      <c r="R68" s="9">
        <f>+'Curv hora 2029 - 2033 (100%)'!R68*0.5</f>
        <v>5429.02</v>
      </c>
      <c r="S68" s="9">
        <f>+'Curv hora 2029 - 2033 (100%)'!S68*0.5</f>
        <v>5444.57</v>
      </c>
      <c r="T68" s="9">
        <f>+'Curv hora 2029 - 2033 (100%)'!T68*0.5</f>
        <v>5300.3450000000003</v>
      </c>
      <c r="U68" s="9">
        <f>+'Curv hora 2029 - 2033 (100%)'!U68*0.5</f>
        <v>5345.3149999999996</v>
      </c>
      <c r="V68" s="9">
        <f>+'Curv hora 2029 - 2033 (100%)'!V68*0.5</f>
        <v>6549.875</v>
      </c>
      <c r="W68" s="9">
        <f>+'Curv hora 2029 - 2033 (100%)'!W68*0.5</f>
        <v>7390.57</v>
      </c>
      <c r="X68" s="9">
        <f>+'Curv hora 2029 - 2033 (100%)'!X68*0.5</f>
        <v>7594.9049999999997</v>
      </c>
      <c r="Y68" s="9">
        <f>+'Curv hora 2029 - 2033 (100%)'!Y68*0.5</f>
        <v>7216.085</v>
      </c>
      <c r="Z68" s="9">
        <f>+'Curv hora 2029 - 2033 (100%)'!Z68*0.5</f>
        <v>6713.46</v>
      </c>
      <c r="AA68" s="9">
        <f>+'Curv hora 2029 - 2033 (100%)'!AA68*0.5</f>
        <v>5828.1750000000002</v>
      </c>
      <c r="AB68" s="38">
        <f>+'Curv hora 2029 - 2033 (100%)'!AB68*0.5</f>
        <v>5087.41</v>
      </c>
      <c r="AC68" s="71"/>
    </row>
    <row r="69" spans="1:30" x14ac:dyDescent="0.3">
      <c r="A69" s="67">
        <v>47727</v>
      </c>
      <c r="B69" s="69">
        <f t="shared" ref="B69" si="19">DAY(EOMONTH(A69,0))</f>
        <v>30</v>
      </c>
      <c r="C69" s="3" t="s">
        <v>36</v>
      </c>
      <c r="D69" s="10">
        <v>21</v>
      </c>
      <c r="E69" s="33">
        <f>+'Curv hora 2029 - 2033 (100%)'!E69*0.5</f>
        <v>4673.3950000000004</v>
      </c>
      <c r="F69" s="13">
        <f>+'Curv hora 2029 - 2033 (100%)'!F69*0.5</f>
        <v>4360.03</v>
      </c>
      <c r="G69" s="13">
        <f>+'Curv hora 2029 - 2033 (100%)'!G69*0.5</f>
        <v>4227.24</v>
      </c>
      <c r="H69" s="13">
        <f>+'Curv hora 2029 - 2033 (100%)'!H69*0.5</f>
        <v>4107.38</v>
      </c>
      <c r="I69" s="13">
        <f>+'Curv hora 2029 - 2033 (100%)'!I69*0.5</f>
        <v>4044.18</v>
      </c>
      <c r="J69" s="13">
        <f>+'Curv hora 2029 - 2033 (100%)'!J69*0.5</f>
        <v>4249.915</v>
      </c>
      <c r="K69" s="13">
        <f>+'Curv hora 2029 - 2033 (100%)'!K69*0.5</f>
        <v>4759.87</v>
      </c>
      <c r="L69" s="13">
        <f>+'Curv hora 2029 - 2033 (100%)'!L69*0.5</f>
        <v>4266.7749999999996</v>
      </c>
      <c r="M69" s="13">
        <f>+'Curv hora 2029 - 2033 (100%)'!M69*0.5</f>
        <v>5008.92</v>
      </c>
      <c r="N69" s="13">
        <f>+'Curv hora 2029 - 2033 (100%)'!N69*0.5</f>
        <v>5501.99</v>
      </c>
      <c r="O69" s="13">
        <f>+'Curv hora 2029 - 2033 (100%)'!O69*0.5</f>
        <v>5956.3050000000003</v>
      </c>
      <c r="P69" s="13">
        <f>+'Curv hora 2029 - 2033 (100%)'!P69*0.5</f>
        <v>6270.21</v>
      </c>
      <c r="Q69" s="13">
        <f>+'Curv hora 2029 - 2033 (100%)'!Q69*0.5</f>
        <v>5999.35</v>
      </c>
      <c r="R69" s="13">
        <f>+'Curv hora 2029 - 2033 (100%)'!R69*0.5</f>
        <v>6086.43</v>
      </c>
      <c r="S69" s="13">
        <f>+'Curv hora 2029 - 2033 (100%)'!S69*0.5</f>
        <v>6488.26</v>
      </c>
      <c r="T69" s="13">
        <f>+'Curv hora 2029 - 2033 (100%)'!T69*0.5</f>
        <v>6644.27</v>
      </c>
      <c r="U69" s="13">
        <f>+'Curv hora 2029 - 2033 (100%)'!U69*0.5</f>
        <v>6697.1049999999996</v>
      </c>
      <c r="V69" s="13">
        <f>+'Curv hora 2029 - 2033 (100%)'!V69*0.5</f>
        <v>7771.17</v>
      </c>
      <c r="W69" s="13">
        <f>+'Curv hora 2029 - 2033 (100%)'!W69*0.5</f>
        <v>8472.6350000000002</v>
      </c>
      <c r="X69" s="13">
        <f>+'Curv hora 2029 - 2033 (100%)'!X69*0.5</f>
        <v>8678.93</v>
      </c>
      <c r="Y69" s="13">
        <f>+'Curv hora 2029 - 2033 (100%)'!Y69*0.5</f>
        <v>8060.17</v>
      </c>
      <c r="Z69" s="13">
        <f>+'Curv hora 2029 - 2033 (100%)'!Z69*0.5</f>
        <v>7350.7550000000001</v>
      </c>
      <c r="AA69" s="13">
        <f>+'Curv hora 2029 - 2033 (100%)'!AA69*0.5</f>
        <v>6346.91</v>
      </c>
      <c r="AB69" s="34">
        <f>+'Curv hora 2029 - 2033 (100%)'!AB69*0.5</f>
        <v>5459.1750000000002</v>
      </c>
      <c r="AC69" s="71">
        <f t="shared" ref="AC69" si="20">SUMPRODUCT((E69:AB71)*D69:D71)</f>
        <v>4166999.6449999991</v>
      </c>
    </row>
    <row r="70" spans="1:30" x14ac:dyDescent="0.3">
      <c r="A70" s="68"/>
      <c r="B70" s="70"/>
      <c r="C70" t="s">
        <v>37</v>
      </c>
      <c r="D70" s="11">
        <v>4</v>
      </c>
      <c r="E70" s="35">
        <f>+'Curv hora 2029 - 2033 (100%)'!E70*0.5</f>
        <v>4816.7</v>
      </c>
      <c r="F70" s="5">
        <f>+'Curv hora 2029 - 2033 (100%)'!F70*0.5</f>
        <v>4491.09</v>
      </c>
      <c r="G70" s="5">
        <f>+'Curv hora 2029 - 2033 (100%)'!G70*0.5</f>
        <v>4257.99</v>
      </c>
      <c r="H70" s="5">
        <f>+'Curv hora 2029 - 2033 (100%)'!H70*0.5</f>
        <v>4130.7700000000004</v>
      </c>
      <c r="I70" s="5">
        <f>+'Curv hora 2029 - 2033 (100%)'!I70*0.5</f>
        <v>4081.4050000000002</v>
      </c>
      <c r="J70" s="5">
        <f>+'Curv hora 2029 - 2033 (100%)'!J70*0.5</f>
        <v>4165.53</v>
      </c>
      <c r="K70" s="5">
        <f>+'Curv hora 2029 - 2033 (100%)'!K70*0.5</f>
        <v>4427.7250000000004</v>
      </c>
      <c r="L70" s="5">
        <f>+'Curv hora 2029 - 2033 (100%)'!L70*0.5</f>
        <v>4209.7049999999999</v>
      </c>
      <c r="M70" s="5">
        <f>+'Curv hora 2029 - 2033 (100%)'!M70*0.5</f>
        <v>5037.55</v>
      </c>
      <c r="N70" s="5">
        <f>+'Curv hora 2029 - 2033 (100%)'!N70*0.5</f>
        <v>5718.79</v>
      </c>
      <c r="O70" s="5">
        <f>+'Curv hora 2029 - 2033 (100%)'!O70*0.5</f>
        <v>6300.8549999999996</v>
      </c>
      <c r="P70" s="5">
        <f>+'Curv hora 2029 - 2033 (100%)'!P70*0.5</f>
        <v>6741.94</v>
      </c>
      <c r="Q70" s="5">
        <f>+'Curv hora 2029 - 2033 (100%)'!Q70*0.5</f>
        <v>6372.6549999999997</v>
      </c>
      <c r="R70" s="5">
        <f>+'Curv hora 2029 - 2033 (100%)'!R70*0.5</f>
        <v>6744.7049999999999</v>
      </c>
      <c r="S70" s="5">
        <f>+'Curv hora 2029 - 2033 (100%)'!S70*0.5</f>
        <v>6912.98</v>
      </c>
      <c r="T70" s="5">
        <f>+'Curv hora 2029 - 2033 (100%)'!T70*0.5</f>
        <v>6931.3850000000002</v>
      </c>
      <c r="U70" s="5">
        <f>+'Curv hora 2029 - 2033 (100%)'!U70*0.5</f>
        <v>6607.2349999999997</v>
      </c>
      <c r="V70" s="5">
        <f>+'Curv hora 2029 - 2033 (100%)'!V70*0.5</f>
        <v>7741.6750000000002</v>
      </c>
      <c r="W70" s="5">
        <f>+'Curv hora 2029 - 2033 (100%)'!W70*0.5</f>
        <v>8568.93</v>
      </c>
      <c r="X70" s="5">
        <f>+'Curv hora 2029 - 2033 (100%)'!X70*0.5</f>
        <v>8646.2800000000007</v>
      </c>
      <c r="Y70" s="5">
        <f>+'Curv hora 2029 - 2033 (100%)'!Y70*0.5</f>
        <v>8141.2150000000001</v>
      </c>
      <c r="Z70" s="5">
        <f>+'Curv hora 2029 - 2033 (100%)'!Z70*0.5</f>
        <v>7567.0749999999998</v>
      </c>
      <c r="AA70" s="5">
        <f>+'Curv hora 2029 - 2033 (100%)'!AA70*0.5</f>
        <v>6737.41</v>
      </c>
      <c r="AB70" s="36">
        <f>+'Curv hora 2029 - 2033 (100%)'!AB70*0.5</f>
        <v>5979.03</v>
      </c>
      <c r="AC70" s="71"/>
    </row>
    <row r="71" spans="1:30" x14ac:dyDescent="0.3">
      <c r="A71" s="76"/>
      <c r="B71" s="77"/>
      <c r="C71" s="7" t="s">
        <v>38</v>
      </c>
      <c r="D71" s="12">
        <v>5</v>
      </c>
      <c r="E71" s="37">
        <f>+'Curv hora 2029 - 2033 (100%)'!E71*0.5</f>
        <v>5286.5749999999998</v>
      </c>
      <c r="F71" s="9">
        <f>+'Curv hora 2029 - 2033 (100%)'!F71*0.5</f>
        <v>4923.4250000000002</v>
      </c>
      <c r="G71" s="9">
        <f>+'Curv hora 2029 - 2033 (100%)'!G71*0.5</f>
        <v>4651.6899999999996</v>
      </c>
      <c r="H71" s="9">
        <f>+'Curv hora 2029 - 2033 (100%)'!H71*0.5</f>
        <v>4483.1949999999997</v>
      </c>
      <c r="I71" s="9">
        <f>+'Curv hora 2029 - 2033 (100%)'!I71*0.5</f>
        <v>4339.0200000000004</v>
      </c>
      <c r="J71" s="9">
        <f>+'Curv hora 2029 - 2033 (100%)'!J71*0.5</f>
        <v>4296.18</v>
      </c>
      <c r="K71" s="9">
        <f>+'Curv hora 2029 - 2033 (100%)'!K71*0.5</f>
        <v>4102.1450000000004</v>
      </c>
      <c r="L71" s="9">
        <f>+'Curv hora 2029 - 2033 (100%)'!L71*0.5</f>
        <v>3465.2950000000001</v>
      </c>
      <c r="M71" s="9">
        <f>+'Curv hora 2029 - 2033 (100%)'!M71*0.5</f>
        <v>4111.9049999999997</v>
      </c>
      <c r="N71" s="9">
        <f>+'Curv hora 2029 - 2033 (100%)'!N71*0.5</f>
        <v>4657.54</v>
      </c>
      <c r="O71" s="9">
        <f>+'Curv hora 2029 - 2033 (100%)'!O71*0.5</f>
        <v>4953.8249999999998</v>
      </c>
      <c r="P71" s="9">
        <f>+'Curv hora 2029 - 2033 (100%)'!P71*0.5</f>
        <v>5209.26</v>
      </c>
      <c r="Q71" s="9">
        <f>+'Curv hora 2029 - 2033 (100%)'!Q71*0.5</f>
        <v>5332.76</v>
      </c>
      <c r="R71" s="9">
        <f>+'Curv hora 2029 - 2033 (100%)'!R71*0.5</f>
        <v>5065.6750000000002</v>
      </c>
      <c r="S71" s="9">
        <f>+'Curv hora 2029 - 2033 (100%)'!S71*0.5</f>
        <v>4506.0550000000003</v>
      </c>
      <c r="T71" s="9">
        <f>+'Curv hora 2029 - 2033 (100%)'!T71*0.5</f>
        <v>4124.1049999999996</v>
      </c>
      <c r="U71" s="9">
        <f>+'Curv hora 2029 - 2033 (100%)'!U71*0.5</f>
        <v>4147.2749999999996</v>
      </c>
      <c r="V71" s="9">
        <f>+'Curv hora 2029 - 2033 (100%)'!V71*0.5</f>
        <v>5787.36</v>
      </c>
      <c r="W71" s="9">
        <f>+'Curv hora 2029 - 2033 (100%)'!W71*0.5</f>
        <v>6578.915</v>
      </c>
      <c r="X71" s="9">
        <f>+'Curv hora 2029 - 2033 (100%)'!X71*0.5</f>
        <v>7471.36</v>
      </c>
      <c r="Y71" s="9">
        <f>+'Curv hora 2029 - 2033 (100%)'!Y71*0.5</f>
        <v>7255.33</v>
      </c>
      <c r="Z71" s="9">
        <f>+'Curv hora 2029 - 2033 (100%)'!Z71*0.5</f>
        <v>6832.51</v>
      </c>
      <c r="AA71" s="9">
        <f>+'Curv hora 2029 - 2033 (100%)'!AA71*0.5</f>
        <v>6027.6949999999997</v>
      </c>
      <c r="AB71" s="38">
        <f>+'Curv hora 2029 - 2033 (100%)'!AB71*0.5</f>
        <v>5304.58</v>
      </c>
      <c r="AC71" s="71"/>
    </row>
    <row r="72" spans="1:30" x14ac:dyDescent="0.3">
      <c r="A72" s="67">
        <v>47757</v>
      </c>
      <c r="B72" s="69">
        <f t="shared" ref="B72" si="21">DAY(EOMONTH(A72,0))</f>
        <v>31</v>
      </c>
      <c r="C72" s="3" t="s">
        <v>36</v>
      </c>
      <c r="D72" s="10">
        <v>22</v>
      </c>
      <c r="E72" s="33">
        <f>+'Curv hora 2029 - 2033 (100%)'!E72*0.5</f>
        <v>4797.57</v>
      </c>
      <c r="F72" s="13">
        <f>+'Curv hora 2029 - 2033 (100%)'!F72*0.5</f>
        <v>4522.6149999999998</v>
      </c>
      <c r="G72" s="13">
        <f>+'Curv hora 2029 - 2033 (100%)'!G72*0.5</f>
        <v>4345.4799999999996</v>
      </c>
      <c r="H72" s="13">
        <f>+'Curv hora 2029 - 2033 (100%)'!H72*0.5</f>
        <v>4214.5749999999998</v>
      </c>
      <c r="I72" s="13">
        <f>+'Curv hora 2029 - 2033 (100%)'!I72*0.5</f>
        <v>4160.4650000000001</v>
      </c>
      <c r="J72" s="13">
        <f>+'Curv hora 2029 - 2033 (100%)'!J72*0.5</f>
        <v>4345.3549999999996</v>
      </c>
      <c r="K72" s="13">
        <f>+'Curv hora 2029 - 2033 (100%)'!K72*0.5</f>
        <v>4723.8149999999996</v>
      </c>
      <c r="L72" s="13">
        <f>+'Curv hora 2029 - 2033 (100%)'!L72*0.5</f>
        <v>4354.2449999999999</v>
      </c>
      <c r="M72" s="13">
        <f>+'Curv hora 2029 - 2033 (100%)'!M72*0.5</f>
        <v>5141.2</v>
      </c>
      <c r="N72" s="13">
        <f>+'Curv hora 2029 - 2033 (100%)'!N72*0.5</f>
        <v>5718.59</v>
      </c>
      <c r="O72" s="13">
        <f>+'Curv hora 2029 - 2033 (100%)'!O72*0.5</f>
        <v>6253.22</v>
      </c>
      <c r="P72" s="13">
        <f>+'Curv hora 2029 - 2033 (100%)'!P72*0.5</f>
        <v>6716.2550000000001</v>
      </c>
      <c r="Q72" s="13">
        <f>+'Curv hora 2029 - 2033 (100%)'!Q72*0.5</f>
        <v>6603.2749999999996</v>
      </c>
      <c r="R72" s="13">
        <f>+'Curv hora 2029 - 2033 (100%)'!R72*0.5</f>
        <v>6719.79</v>
      </c>
      <c r="S72" s="13">
        <f>+'Curv hora 2029 - 2033 (100%)'!S72*0.5</f>
        <v>6980.12</v>
      </c>
      <c r="T72" s="13">
        <f>+'Curv hora 2029 - 2033 (100%)'!T72*0.5</f>
        <v>7156.1850000000004</v>
      </c>
      <c r="U72" s="13">
        <f>+'Curv hora 2029 - 2033 (100%)'!U72*0.5</f>
        <v>7112.0150000000003</v>
      </c>
      <c r="V72" s="13">
        <f>+'Curv hora 2029 - 2033 (100%)'!V72*0.5</f>
        <v>8116.375</v>
      </c>
      <c r="W72" s="13">
        <f>+'Curv hora 2029 - 2033 (100%)'!W72*0.5</f>
        <v>8813.9349999999995</v>
      </c>
      <c r="X72" s="13">
        <f>+'Curv hora 2029 - 2033 (100%)'!X72*0.5</f>
        <v>8803.15</v>
      </c>
      <c r="Y72" s="13">
        <f>+'Curv hora 2029 - 2033 (100%)'!Y72*0.5</f>
        <v>8174.54</v>
      </c>
      <c r="Z72" s="13">
        <f>+'Curv hora 2029 - 2033 (100%)'!Z72*0.5</f>
        <v>7407.0749999999998</v>
      </c>
      <c r="AA72" s="13">
        <f>+'Curv hora 2029 - 2033 (100%)'!AA72*0.5</f>
        <v>6430.85</v>
      </c>
      <c r="AB72" s="34">
        <f>+'Curv hora 2029 - 2033 (100%)'!AB72*0.5</f>
        <v>5653.94</v>
      </c>
      <c r="AC72" s="71">
        <f t="shared" ref="AC72" si="22">SUMPRODUCT((E72:AB74)*D72:D74)</f>
        <v>4438194.5150000006</v>
      </c>
    </row>
    <row r="73" spans="1:30" x14ac:dyDescent="0.3">
      <c r="A73" s="68"/>
      <c r="B73" s="70"/>
      <c r="C73" t="s">
        <v>37</v>
      </c>
      <c r="D73" s="11">
        <v>4</v>
      </c>
      <c r="E73" s="35">
        <f>+'Curv hora 2029 - 2033 (100%)'!E73*0.5</f>
        <v>5126.9350000000004</v>
      </c>
      <c r="F73" s="5">
        <f>+'Curv hora 2029 - 2033 (100%)'!F73*0.5</f>
        <v>4795.585</v>
      </c>
      <c r="G73" s="5">
        <f>+'Curv hora 2029 - 2033 (100%)'!G73*0.5</f>
        <v>4568.8549999999996</v>
      </c>
      <c r="H73" s="5">
        <f>+'Curv hora 2029 - 2033 (100%)'!H73*0.5</f>
        <v>4414.49</v>
      </c>
      <c r="I73" s="5">
        <f>+'Curv hora 2029 - 2033 (100%)'!I73*0.5</f>
        <v>4379.49</v>
      </c>
      <c r="J73" s="5">
        <f>+'Curv hora 2029 - 2033 (100%)'!J73*0.5</f>
        <v>4411.1149999999998</v>
      </c>
      <c r="K73" s="5">
        <f>+'Curv hora 2029 - 2033 (100%)'!K73*0.5</f>
        <v>4668.5600000000004</v>
      </c>
      <c r="L73" s="5">
        <f>+'Curv hora 2029 - 2033 (100%)'!L73*0.5</f>
        <v>4415.835</v>
      </c>
      <c r="M73" s="5">
        <f>+'Curv hora 2029 - 2033 (100%)'!M73*0.5</f>
        <v>5352.07</v>
      </c>
      <c r="N73" s="5">
        <f>+'Curv hora 2029 - 2033 (100%)'!N73*0.5</f>
        <v>6038.59</v>
      </c>
      <c r="O73" s="5">
        <f>+'Curv hora 2029 - 2033 (100%)'!O73*0.5</f>
        <v>6599.01</v>
      </c>
      <c r="P73" s="5">
        <f>+'Curv hora 2029 - 2033 (100%)'!P73*0.5</f>
        <v>6698.7950000000001</v>
      </c>
      <c r="Q73" s="5">
        <f>+'Curv hora 2029 - 2033 (100%)'!Q73*0.5</f>
        <v>6360.7550000000001</v>
      </c>
      <c r="R73" s="5">
        <f>+'Curv hora 2029 - 2033 (100%)'!R73*0.5</f>
        <v>5939.5349999999999</v>
      </c>
      <c r="S73" s="5">
        <f>+'Curv hora 2029 - 2033 (100%)'!S73*0.5</f>
        <v>6013.0550000000003</v>
      </c>
      <c r="T73" s="5">
        <f>+'Curv hora 2029 - 2033 (100%)'!T73*0.5</f>
        <v>5964.17</v>
      </c>
      <c r="U73" s="5">
        <f>+'Curv hora 2029 - 2033 (100%)'!U73*0.5</f>
        <v>5724.0349999999999</v>
      </c>
      <c r="V73" s="5">
        <f>+'Curv hora 2029 - 2033 (100%)'!V73*0.5</f>
        <v>6897.585</v>
      </c>
      <c r="W73" s="5">
        <f>+'Curv hora 2029 - 2033 (100%)'!W73*0.5</f>
        <v>7789.125</v>
      </c>
      <c r="X73" s="5">
        <f>+'Curv hora 2029 - 2033 (100%)'!X73*0.5</f>
        <v>7851.97</v>
      </c>
      <c r="Y73" s="5">
        <f>+'Curv hora 2029 - 2033 (100%)'!Y73*0.5</f>
        <v>7362.91</v>
      </c>
      <c r="Z73" s="5">
        <f>+'Curv hora 2029 - 2033 (100%)'!Z73*0.5</f>
        <v>6780.3649999999998</v>
      </c>
      <c r="AA73" s="5">
        <f>+'Curv hora 2029 - 2033 (100%)'!AA73*0.5</f>
        <v>6048.09</v>
      </c>
      <c r="AB73" s="36">
        <f>+'Curv hora 2029 - 2033 (100%)'!AB73*0.5</f>
        <v>5373.9549999999999</v>
      </c>
      <c r="AC73" s="71"/>
    </row>
    <row r="74" spans="1:30" x14ac:dyDescent="0.3">
      <c r="A74" s="76"/>
      <c r="B74" s="77"/>
      <c r="C74" s="7" t="s">
        <v>38</v>
      </c>
      <c r="D74" s="12">
        <v>5</v>
      </c>
      <c r="E74" s="37">
        <f>+'Curv hora 2029 - 2033 (100%)'!E74*0.5</f>
        <v>4739.78</v>
      </c>
      <c r="F74" s="9">
        <f>+'Curv hora 2029 - 2033 (100%)'!F74*0.5</f>
        <v>4438.2349999999997</v>
      </c>
      <c r="G74" s="9">
        <f>+'Curv hora 2029 - 2033 (100%)'!G74*0.5</f>
        <v>4226.5649999999996</v>
      </c>
      <c r="H74" s="9">
        <f>+'Curv hora 2029 - 2033 (100%)'!H74*0.5</f>
        <v>4071.63</v>
      </c>
      <c r="I74" s="9">
        <f>+'Curv hora 2029 - 2033 (100%)'!I74*0.5</f>
        <v>3982.01</v>
      </c>
      <c r="J74" s="9">
        <f>+'Curv hora 2029 - 2033 (100%)'!J74*0.5</f>
        <v>3800.87</v>
      </c>
      <c r="K74" s="9">
        <f>+'Curv hora 2029 - 2033 (100%)'!K74*0.5</f>
        <v>4101.5249999999996</v>
      </c>
      <c r="L74" s="9">
        <f>+'Curv hora 2029 - 2033 (100%)'!L74*0.5</f>
        <v>3690.5450000000001</v>
      </c>
      <c r="M74" s="9">
        <f>+'Curv hora 2029 - 2033 (100%)'!M74*0.5</f>
        <v>4289.67</v>
      </c>
      <c r="N74" s="9">
        <f>+'Curv hora 2029 - 2033 (100%)'!N74*0.5</f>
        <v>4766.95</v>
      </c>
      <c r="O74" s="9">
        <f>+'Curv hora 2029 - 2033 (100%)'!O74*0.5</f>
        <v>5221.99</v>
      </c>
      <c r="P74" s="9">
        <f>+'Curv hora 2029 - 2033 (100%)'!P74*0.5</f>
        <v>5582.665</v>
      </c>
      <c r="Q74" s="9">
        <f>+'Curv hora 2029 - 2033 (100%)'!Q74*0.5</f>
        <v>5720.08</v>
      </c>
      <c r="R74" s="9">
        <f>+'Curv hora 2029 - 2033 (100%)'!R74*0.5</f>
        <v>5745.7950000000001</v>
      </c>
      <c r="S74" s="9">
        <f>+'Curv hora 2029 - 2033 (100%)'!S74*0.5</f>
        <v>5691.8950000000004</v>
      </c>
      <c r="T74" s="9">
        <f>+'Curv hora 2029 - 2033 (100%)'!T74*0.5</f>
        <v>5668.35</v>
      </c>
      <c r="U74" s="9">
        <f>+'Curv hora 2029 - 2033 (100%)'!U74*0.5</f>
        <v>5659.585</v>
      </c>
      <c r="V74" s="9">
        <f>+'Curv hora 2029 - 2033 (100%)'!V74*0.5</f>
        <v>6779.84</v>
      </c>
      <c r="W74" s="9">
        <f>+'Curv hora 2029 - 2033 (100%)'!W74*0.5</f>
        <v>7718.97</v>
      </c>
      <c r="X74" s="9">
        <f>+'Curv hora 2029 - 2033 (100%)'!X74*0.5</f>
        <v>7433.01</v>
      </c>
      <c r="Y74" s="9">
        <f>+'Curv hora 2029 - 2033 (100%)'!Y74*0.5</f>
        <v>7187.63</v>
      </c>
      <c r="Z74" s="9">
        <f>+'Curv hora 2029 - 2033 (100%)'!Z74*0.5</f>
        <v>6395.0950000000003</v>
      </c>
      <c r="AA74" s="9">
        <f>+'Curv hora 2029 - 2033 (100%)'!AA74*0.5</f>
        <v>5922.3050000000003</v>
      </c>
      <c r="AB74" s="38">
        <f>+'Curv hora 2029 - 2033 (100%)'!AB74*0.5</f>
        <v>5179.6149999999998</v>
      </c>
      <c r="AC74" s="71"/>
    </row>
    <row r="75" spans="1:30" x14ac:dyDescent="0.3">
      <c r="A75" s="67">
        <v>47788</v>
      </c>
      <c r="B75" s="69">
        <f>DAY(EOMONTH(A75,0))</f>
        <v>30</v>
      </c>
      <c r="C75" s="3" t="s">
        <v>36</v>
      </c>
      <c r="D75" s="10">
        <v>19</v>
      </c>
      <c r="E75" s="33">
        <f>+'Curv hora 2029 - 2033 (100%)'!E75*0.5</f>
        <v>4530.8149999999996</v>
      </c>
      <c r="F75" s="13">
        <f>+'Curv hora 2029 - 2033 (100%)'!F75*0.5</f>
        <v>4238.0050000000001</v>
      </c>
      <c r="G75" s="13">
        <f>+'Curv hora 2029 - 2033 (100%)'!G75*0.5</f>
        <v>4132.8100000000004</v>
      </c>
      <c r="H75" s="13">
        <f>+'Curv hora 2029 - 2033 (100%)'!H75*0.5</f>
        <v>4007.5050000000001</v>
      </c>
      <c r="I75" s="13">
        <f>+'Curv hora 2029 - 2033 (100%)'!I75*0.5</f>
        <v>4040.65</v>
      </c>
      <c r="J75" s="13">
        <f>+'Curv hora 2029 - 2033 (100%)'!J75*0.5</f>
        <v>4215.21</v>
      </c>
      <c r="K75" s="13">
        <f>+'Curv hora 2029 - 2033 (100%)'!K75*0.5</f>
        <v>4683.05</v>
      </c>
      <c r="L75" s="13">
        <f>+'Curv hora 2029 - 2033 (100%)'!L75*0.5</f>
        <v>4280.1350000000002</v>
      </c>
      <c r="M75" s="13">
        <f>+'Curv hora 2029 - 2033 (100%)'!M75*0.5</f>
        <v>5037.0200000000004</v>
      </c>
      <c r="N75" s="13">
        <f>+'Curv hora 2029 - 2033 (100%)'!N75*0.5</f>
        <v>5523.7150000000001</v>
      </c>
      <c r="O75" s="13">
        <f>+'Curv hora 2029 - 2033 (100%)'!O75*0.5</f>
        <v>5989.17</v>
      </c>
      <c r="P75" s="13">
        <f>+'Curv hora 2029 - 2033 (100%)'!P75*0.5</f>
        <v>6410.05</v>
      </c>
      <c r="Q75" s="13">
        <f>+'Curv hora 2029 - 2033 (100%)'!Q75*0.5</f>
        <v>6154.34</v>
      </c>
      <c r="R75" s="13">
        <f>+'Curv hora 2029 - 2033 (100%)'!R75*0.5</f>
        <v>6345.3450000000003</v>
      </c>
      <c r="S75" s="13">
        <f>+'Curv hora 2029 - 2033 (100%)'!S75*0.5</f>
        <v>6808.74</v>
      </c>
      <c r="T75" s="13">
        <f>+'Curv hora 2029 - 2033 (100%)'!T75*0.5</f>
        <v>6799.6149999999998</v>
      </c>
      <c r="U75" s="13">
        <f>+'Curv hora 2029 - 2033 (100%)'!U75*0.5</f>
        <v>6796.49</v>
      </c>
      <c r="V75" s="13">
        <f>+'Curv hora 2029 - 2033 (100%)'!V75*0.5</f>
        <v>7830.2349999999997</v>
      </c>
      <c r="W75" s="13">
        <f>+'Curv hora 2029 - 2033 (100%)'!W75*0.5</f>
        <v>8546.56</v>
      </c>
      <c r="X75" s="13">
        <f>+'Curv hora 2029 - 2033 (100%)'!X75*0.5</f>
        <v>8468.6849999999995</v>
      </c>
      <c r="Y75" s="13">
        <f>+'Curv hora 2029 - 2033 (100%)'!Y75*0.5</f>
        <v>7901</v>
      </c>
      <c r="Z75" s="13">
        <f>+'Curv hora 2029 - 2033 (100%)'!Z75*0.5</f>
        <v>7150.8850000000002</v>
      </c>
      <c r="AA75" s="13">
        <f>+'Curv hora 2029 - 2033 (100%)'!AA75*0.5</f>
        <v>6146.3</v>
      </c>
      <c r="AB75" s="34">
        <f>+'Curv hora 2029 - 2033 (100%)'!AB75*0.5</f>
        <v>5342.165</v>
      </c>
      <c r="AC75" s="71">
        <f>SUMPRODUCT((E75:AB77)*D75:D77)</f>
        <v>4138458.6350000016</v>
      </c>
    </row>
    <row r="76" spans="1:30" x14ac:dyDescent="0.3">
      <c r="A76" s="68"/>
      <c r="B76" s="70"/>
      <c r="C76" t="s">
        <v>37</v>
      </c>
      <c r="D76" s="11">
        <v>5</v>
      </c>
      <c r="E76" s="35">
        <f>+'Curv hora 2029 - 2033 (100%)'!E76*0.5</f>
        <v>4735.3050000000003</v>
      </c>
      <c r="F76" s="5">
        <f>+'Curv hora 2029 - 2033 (100%)'!F76*0.5</f>
        <v>4451.4650000000001</v>
      </c>
      <c r="G76" s="5">
        <f>+'Curv hora 2029 - 2033 (100%)'!G76*0.5</f>
        <v>4237.6850000000004</v>
      </c>
      <c r="H76" s="5">
        <f>+'Curv hora 2029 - 2033 (100%)'!H76*0.5</f>
        <v>4053.4549999999999</v>
      </c>
      <c r="I76" s="5">
        <f>+'Curv hora 2029 - 2033 (100%)'!I76*0.5</f>
        <v>3955.9450000000002</v>
      </c>
      <c r="J76" s="5">
        <f>+'Curv hora 2029 - 2033 (100%)'!J76*0.5</f>
        <v>4125.7150000000001</v>
      </c>
      <c r="K76" s="5">
        <f>+'Curv hora 2029 - 2033 (100%)'!K76*0.5</f>
        <v>4311.9650000000001</v>
      </c>
      <c r="L76" s="5">
        <f>+'Curv hora 2029 - 2033 (100%)'!L76*0.5</f>
        <v>3975.94</v>
      </c>
      <c r="M76" s="5">
        <f>+'Curv hora 2029 - 2033 (100%)'!M76*0.5</f>
        <v>4787.53</v>
      </c>
      <c r="N76" s="5">
        <f>+'Curv hora 2029 - 2033 (100%)'!N76*0.5</f>
        <v>5213.4549999999999</v>
      </c>
      <c r="O76" s="5">
        <f>+'Curv hora 2029 - 2033 (100%)'!O76*0.5</f>
        <v>5577.5649999999996</v>
      </c>
      <c r="P76" s="5">
        <f>+'Curv hora 2029 - 2033 (100%)'!P76*0.5</f>
        <v>5811.5349999999999</v>
      </c>
      <c r="Q76" s="5">
        <f>+'Curv hora 2029 - 2033 (100%)'!Q76*0.5</f>
        <v>5931.9750000000004</v>
      </c>
      <c r="R76" s="5">
        <f>+'Curv hora 2029 - 2033 (100%)'!R76*0.5</f>
        <v>5971.5649999999996</v>
      </c>
      <c r="S76" s="5">
        <f>+'Curv hora 2029 - 2033 (100%)'!S76*0.5</f>
        <v>6125.85</v>
      </c>
      <c r="T76" s="5">
        <f>+'Curv hora 2029 - 2033 (100%)'!T76*0.5</f>
        <v>6204.26</v>
      </c>
      <c r="U76" s="5">
        <f>+'Curv hora 2029 - 2033 (100%)'!U76*0.5</f>
        <v>6203.5050000000001</v>
      </c>
      <c r="V76" s="5">
        <f>+'Curv hora 2029 - 2033 (100%)'!V76*0.5</f>
        <v>7379.26</v>
      </c>
      <c r="W76" s="5">
        <f>+'Curv hora 2029 - 2033 (100%)'!W76*0.5</f>
        <v>8267.0650000000005</v>
      </c>
      <c r="X76" s="5">
        <f>+'Curv hora 2029 - 2033 (100%)'!X76*0.5</f>
        <v>8243.84</v>
      </c>
      <c r="Y76" s="5">
        <f>+'Curv hora 2029 - 2033 (100%)'!Y76*0.5</f>
        <v>7671.3450000000003</v>
      </c>
      <c r="Z76" s="5">
        <f>+'Curv hora 2029 - 2033 (100%)'!Z76*0.5</f>
        <v>7043.91</v>
      </c>
      <c r="AA76" s="5">
        <f>+'Curv hora 2029 - 2033 (100%)'!AA76*0.5</f>
        <v>6302.7150000000001</v>
      </c>
      <c r="AB76" s="36">
        <f>+'Curv hora 2029 - 2033 (100%)'!AB76*0.5</f>
        <v>5402.42</v>
      </c>
      <c r="AC76" s="71"/>
    </row>
    <row r="77" spans="1:30" x14ac:dyDescent="0.3">
      <c r="A77" s="68"/>
      <c r="B77" s="70"/>
      <c r="C77" t="s">
        <v>38</v>
      </c>
      <c r="D77" s="11">
        <v>6</v>
      </c>
      <c r="E77" s="37">
        <f>+'Curv hora 2029 - 2033 (100%)'!E77*0.5</f>
        <v>4852.1549999999997</v>
      </c>
      <c r="F77" s="9">
        <f>+'Curv hora 2029 - 2033 (100%)'!F77*0.5</f>
        <v>4548.5450000000001</v>
      </c>
      <c r="G77" s="9">
        <f>+'Curv hora 2029 - 2033 (100%)'!G77*0.5</f>
        <v>4344.2299999999996</v>
      </c>
      <c r="H77" s="9">
        <f>+'Curv hora 2029 - 2033 (100%)'!H77*0.5</f>
        <v>4230.6899999999996</v>
      </c>
      <c r="I77" s="9">
        <f>+'Curv hora 2029 - 2033 (100%)'!I77*0.5</f>
        <v>4199.8649999999998</v>
      </c>
      <c r="J77" s="9">
        <f>+'Curv hora 2029 - 2033 (100%)'!J77*0.5</f>
        <v>4095.665</v>
      </c>
      <c r="K77" s="9">
        <f>+'Curv hora 2029 - 2033 (100%)'!K77*0.5</f>
        <v>4243.43</v>
      </c>
      <c r="L77" s="9">
        <f>+'Curv hora 2029 - 2033 (100%)'!L77*0.5</f>
        <v>3855.53</v>
      </c>
      <c r="M77" s="9">
        <f>+'Curv hora 2029 - 2033 (100%)'!M77*0.5</f>
        <v>4535.6000000000004</v>
      </c>
      <c r="N77" s="9">
        <f>+'Curv hora 2029 - 2033 (100%)'!N77*0.5</f>
        <v>4978.5550000000003</v>
      </c>
      <c r="O77" s="9">
        <f>+'Curv hora 2029 - 2033 (100%)'!O77*0.5</f>
        <v>5193.0450000000001</v>
      </c>
      <c r="P77" s="9">
        <f>+'Curv hora 2029 - 2033 (100%)'!P77*0.5</f>
        <v>5012.625</v>
      </c>
      <c r="Q77" s="9">
        <f>+'Curv hora 2029 - 2033 (100%)'!Q77*0.5</f>
        <v>5218.9750000000004</v>
      </c>
      <c r="R77" s="9">
        <f>+'Curv hora 2029 - 2033 (100%)'!R77*0.5</f>
        <v>5368.21</v>
      </c>
      <c r="S77" s="9">
        <f>+'Curv hora 2029 - 2033 (100%)'!S77*0.5</f>
        <v>5515.7</v>
      </c>
      <c r="T77" s="9">
        <f>+'Curv hora 2029 - 2033 (100%)'!T77*0.5</f>
        <v>5212.9049999999997</v>
      </c>
      <c r="U77" s="9">
        <f>+'Curv hora 2029 - 2033 (100%)'!U77*0.5</f>
        <v>5521.1549999999997</v>
      </c>
      <c r="V77" s="9">
        <f>+'Curv hora 2029 - 2033 (100%)'!V77*0.5</f>
        <v>6658.5</v>
      </c>
      <c r="W77" s="9">
        <f>+'Curv hora 2029 - 2033 (100%)'!W77*0.5</f>
        <v>7624.5950000000003</v>
      </c>
      <c r="X77" s="9">
        <f>+'Curv hora 2029 - 2033 (100%)'!X77*0.5</f>
        <v>7868.93</v>
      </c>
      <c r="Y77" s="9">
        <f>+'Curv hora 2029 - 2033 (100%)'!Y77*0.5</f>
        <v>7354.6350000000002</v>
      </c>
      <c r="Z77" s="9">
        <f>+'Curv hora 2029 - 2033 (100%)'!Z77*0.5</f>
        <v>6889.9549999999999</v>
      </c>
      <c r="AA77" s="9">
        <f>+'Curv hora 2029 - 2033 (100%)'!AA77*0.5</f>
        <v>6061.5</v>
      </c>
      <c r="AB77" s="38">
        <f>+'Curv hora 2029 - 2033 (100%)'!AB77*0.5</f>
        <v>5338.4849999999997</v>
      </c>
      <c r="AC77" s="71"/>
    </row>
    <row r="78" spans="1:30" x14ac:dyDescent="0.3">
      <c r="A78" s="67">
        <v>47818</v>
      </c>
      <c r="B78" s="69">
        <f>DAY(EOMONTH(A78,0))</f>
        <v>31</v>
      </c>
      <c r="C78" s="3" t="s">
        <v>36</v>
      </c>
      <c r="D78" s="10">
        <v>21</v>
      </c>
      <c r="E78" s="33">
        <f>+'Curv hora 2029 - 2033 (100%)'!E78*0.5</f>
        <v>4566.7349999999997</v>
      </c>
      <c r="F78" s="13">
        <f>+'Curv hora 2029 - 2033 (100%)'!F78*0.5</f>
        <v>4249.3500000000004</v>
      </c>
      <c r="G78" s="13">
        <f>+'Curv hora 2029 - 2033 (100%)'!G78*0.5</f>
        <v>4080.1750000000002</v>
      </c>
      <c r="H78" s="13">
        <f>+'Curv hora 2029 - 2033 (100%)'!H78*0.5</f>
        <v>3974.165</v>
      </c>
      <c r="I78" s="13">
        <f>+'Curv hora 2029 - 2033 (100%)'!I78*0.5</f>
        <v>3979.6350000000002</v>
      </c>
      <c r="J78" s="13">
        <f>+'Curv hora 2029 - 2033 (100%)'!J78*0.5</f>
        <v>4119.1750000000002</v>
      </c>
      <c r="K78" s="13">
        <f>+'Curv hora 2029 - 2033 (100%)'!K78*0.5</f>
        <v>4340.0649999999996</v>
      </c>
      <c r="L78" s="13">
        <f>+'Curv hora 2029 - 2033 (100%)'!L78*0.5</f>
        <v>4081.7550000000001</v>
      </c>
      <c r="M78" s="13">
        <f>+'Curv hora 2029 - 2033 (100%)'!M78*0.5</f>
        <v>4937.25</v>
      </c>
      <c r="N78" s="13">
        <f>+'Curv hora 2029 - 2033 (100%)'!N78*0.5</f>
        <v>5483.835</v>
      </c>
      <c r="O78" s="13">
        <f>+'Curv hora 2029 - 2033 (100%)'!O78*0.5</f>
        <v>5893.5649999999996</v>
      </c>
      <c r="P78" s="13">
        <f>+'Curv hora 2029 - 2033 (100%)'!P78*0.5</f>
        <v>6248.6850000000004</v>
      </c>
      <c r="Q78" s="13">
        <f>+'Curv hora 2029 - 2033 (100%)'!Q78*0.5</f>
        <v>6089.7749999999996</v>
      </c>
      <c r="R78" s="13">
        <f>+'Curv hora 2029 - 2033 (100%)'!R78*0.5</f>
        <v>6077.9049999999997</v>
      </c>
      <c r="S78" s="13">
        <f>+'Curv hora 2029 - 2033 (100%)'!S78*0.5</f>
        <v>6326.09</v>
      </c>
      <c r="T78" s="13">
        <f>+'Curv hora 2029 - 2033 (100%)'!T78*0.5</f>
        <v>6407.7749999999996</v>
      </c>
      <c r="U78" s="13">
        <f>+'Curv hora 2029 - 2033 (100%)'!U78*0.5</f>
        <v>6447.86</v>
      </c>
      <c r="V78" s="13">
        <f>+'Curv hora 2029 - 2033 (100%)'!V78*0.5</f>
        <v>7433.11</v>
      </c>
      <c r="W78" s="13">
        <f>+'Curv hora 2029 - 2033 (100%)'!W78*0.5</f>
        <v>8084.7650000000003</v>
      </c>
      <c r="X78" s="13">
        <f>+'Curv hora 2029 - 2033 (100%)'!X78*0.5</f>
        <v>8169.6949999999997</v>
      </c>
      <c r="Y78" s="13">
        <f>+'Curv hora 2029 - 2033 (100%)'!Y78*0.5</f>
        <v>7740.5050000000001</v>
      </c>
      <c r="Z78" s="13">
        <f>+'Curv hora 2029 - 2033 (100%)'!Z78*0.5</f>
        <v>7059.76</v>
      </c>
      <c r="AA78" s="13">
        <f>+'Curv hora 2029 - 2033 (100%)'!AA78*0.5</f>
        <v>6200.1049999999996</v>
      </c>
      <c r="AB78" s="34">
        <f>+'Curv hora 2029 - 2033 (100%)'!AB78*0.5</f>
        <v>5409.7150000000001</v>
      </c>
      <c r="AC78" s="74">
        <f>SUMPRODUCT((E78:AB80)*D78:D80)</f>
        <v>4187774.3400000008</v>
      </c>
    </row>
    <row r="79" spans="1:30" x14ac:dyDescent="0.3">
      <c r="A79" s="68"/>
      <c r="B79" s="70"/>
      <c r="C79" t="s">
        <v>37</v>
      </c>
      <c r="D79" s="11">
        <v>4</v>
      </c>
      <c r="E79" s="35">
        <f>+'Curv hora 2029 - 2033 (100%)'!E79*0.5</f>
        <v>4614.6350000000002</v>
      </c>
      <c r="F79" s="5">
        <f>+'Curv hora 2029 - 2033 (100%)'!F79*0.5</f>
        <v>4273.6450000000004</v>
      </c>
      <c r="G79" s="5">
        <f>+'Curv hora 2029 - 2033 (100%)'!G79*0.5</f>
        <v>4030.4</v>
      </c>
      <c r="H79" s="5">
        <f>+'Curv hora 2029 - 2033 (100%)'!H79*0.5</f>
        <v>3900.61</v>
      </c>
      <c r="I79" s="5">
        <f>+'Curv hora 2029 - 2033 (100%)'!I79*0.5</f>
        <v>3881.06</v>
      </c>
      <c r="J79" s="5">
        <f>+'Curv hora 2029 - 2033 (100%)'!J79*0.5</f>
        <v>3964.59</v>
      </c>
      <c r="K79" s="5">
        <f>+'Curv hora 2029 - 2033 (100%)'!K79*0.5</f>
        <v>4148.01</v>
      </c>
      <c r="L79" s="5">
        <f>+'Curv hora 2029 - 2033 (100%)'!L79*0.5</f>
        <v>3887.915</v>
      </c>
      <c r="M79" s="5">
        <f>+'Curv hora 2029 - 2033 (100%)'!M79*0.5</f>
        <v>4674.7250000000004</v>
      </c>
      <c r="N79" s="5">
        <f>+'Curv hora 2029 - 2033 (100%)'!N79*0.5</f>
        <v>5209.2250000000004</v>
      </c>
      <c r="O79" s="5">
        <f>+'Curv hora 2029 - 2033 (100%)'!O79*0.5</f>
        <v>5545.84</v>
      </c>
      <c r="P79" s="5">
        <f>+'Curv hora 2029 - 2033 (100%)'!P79*0.5</f>
        <v>5851.1549999999997</v>
      </c>
      <c r="Q79" s="5">
        <f>+'Curv hora 2029 - 2033 (100%)'!Q79*0.5</f>
        <v>5851.34</v>
      </c>
      <c r="R79" s="5">
        <f>+'Curv hora 2029 - 2033 (100%)'!R79*0.5</f>
        <v>5863.87</v>
      </c>
      <c r="S79" s="5">
        <f>+'Curv hora 2029 - 2033 (100%)'!S79*0.5</f>
        <v>5941.5950000000003</v>
      </c>
      <c r="T79" s="5">
        <f>+'Curv hora 2029 - 2033 (100%)'!T79*0.5</f>
        <v>5978.01</v>
      </c>
      <c r="U79" s="5">
        <f>+'Curv hora 2029 - 2033 (100%)'!U79*0.5</f>
        <v>5948.415</v>
      </c>
      <c r="V79" s="5">
        <f>+'Curv hora 2029 - 2033 (100%)'!V79*0.5</f>
        <v>7078.43</v>
      </c>
      <c r="W79" s="5">
        <f>+'Curv hora 2029 - 2033 (100%)'!W79*0.5</f>
        <v>7909.4</v>
      </c>
      <c r="X79" s="5">
        <f>+'Curv hora 2029 - 2033 (100%)'!X79*0.5</f>
        <v>8112.9750000000004</v>
      </c>
      <c r="Y79" s="5">
        <f>+'Curv hora 2029 - 2033 (100%)'!Y79*0.5</f>
        <v>7714.57</v>
      </c>
      <c r="Z79" s="5">
        <f>+'Curv hora 2029 - 2033 (100%)'!Z79*0.5</f>
        <v>7082.43</v>
      </c>
      <c r="AA79" s="5">
        <f>+'Curv hora 2029 - 2033 (100%)'!AA79*0.5</f>
        <v>6308.9449999999997</v>
      </c>
      <c r="AB79" s="36">
        <f>+'Curv hora 2029 - 2033 (100%)'!AB79*0.5</f>
        <v>5548.36</v>
      </c>
      <c r="AC79" s="71"/>
    </row>
    <row r="80" spans="1:30" ht="15.65" thickBot="1" x14ac:dyDescent="0.35">
      <c r="A80" s="72"/>
      <c r="B80" s="73"/>
      <c r="C80" s="14" t="s">
        <v>38</v>
      </c>
      <c r="D80" s="15">
        <v>6</v>
      </c>
      <c r="E80" s="37">
        <f>+'Curv hora 2029 - 2033 (100%)'!E80*0.5</f>
        <v>4881.9399999999996</v>
      </c>
      <c r="F80" s="9">
        <f>+'Curv hora 2029 - 2033 (100%)'!F80*0.5</f>
        <v>4541.8249999999998</v>
      </c>
      <c r="G80" s="9">
        <f>+'Curv hora 2029 - 2033 (100%)'!G80*0.5</f>
        <v>4309.37</v>
      </c>
      <c r="H80" s="9">
        <f>+'Curv hora 2029 - 2033 (100%)'!H80*0.5</f>
        <v>4176.2849999999999</v>
      </c>
      <c r="I80" s="9">
        <f>+'Curv hora 2029 - 2033 (100%)'!I80*0.5</f>
        <v>4112.76</v>
      </c>
      <c r="J80" s="9">
        <f>+'Curv hora 2029 - 2033 (100%)'!J80*0.5</f>
        <v>4099.1499999999996</v>
      </c>
      <c r="K80" s="9">
        <f>+'Curv hora 2029 - 2033 (100%)'!K80*0.5</f>
        <v>4150.9799999999996</v>
      </c>
      <c r="L80" s="9">
        <f>+'Curv hora 2029 - 2033 (100%)'!L80*0.5</f>
        <v>3693.43</v>
      </c>
      <c r="M80" s="9">
        <f>+'Curv hora 2029 - 2033 (100%)'!M80*0.5</f>
        <v>4354.875</v>
      </c>
      <c r="N80" s="9">
        <f>+'Curv hora 2029 - 2033 (100%)'!N80*0.5</f>
        <v>4817.24</v>
      </c>
      <c r="O80" s="9">
        <f>+'Curv hora 2029 - 2033 (100%)'!O80*0.5</f>
        <v>5121.22</v>
      </c>
      <c r="P80" s="9">
        <f>+'Curv hora 2029 - 2033 (100%)'!P80*0.5</f>
        <v>5304.0649999999996</v>
      </c>
      <c r="Q80" s="9">
        <f>+'Curv hora 2029 - 2033 (100%)'!Q80*0.5</f>
        <v>5459.36</v>
      </c>
      <c r="R80" s="9">
        <f>+'Curv hora 2029 - 2033 (100%)'!R80*0.5</f>
        <v>5495.5649999999996</v>
      </c>
      <c r="S80" s="9">
        <f>+'Curv hora 2029 - 2033 (100%)'!S80*0.5</f>
        <v>5266.28</v>
      </c>
      <c r="T80" s="9">
        <f>+'Curv hora 2029 - 2033 (100%)'!T80*0.5</f>
        <v>5476.6949999999997</v>
      </c>
      <c r="U80" s="9">
        <f>+'Curv hora 2029 - 2033 (100%)'!U80*0.5</f>
        <v>5540.06</v>
      </c>
      <c r="V80" s="9">
        <f>+'Curv hora 2029 - 2033 (100%)'!V80*0.5</f>
        <v>6621.72</v>
      </c>
      <c r="W80" s="9">
        <f>+'Curv hora 2029 - 2033 (100%)'!W80*0.5</f>
        <v>7475.3050000000003</v>
      </c>
      <c r="X80" s="9">
        <f>+'Curv hora 2029 - 2033 (100%)'!X80*0.5</f>
        <v>7710.9650000000001</v>
      </c>
      <c r="Y80" s="9">
        <f>+'Curv hora 2029 - 2033 (100%)'!Y80*0.5</f>
        <v>7377.11</v>
      </c>
      <c r="Z80" s="9">
        <f>+'Curv hora 2029 - 2033 (100%)'!Z80*0.5</f>
        <v>6754.4250000000002</v>
      </c>
      <c r="AA80" s="9">
        <f>+'Curv hora 2029 - 2033 (100%)'!AA80*0.5</f>
        <v>6043.53</v>
      </c>
      <c r="AB80" s="38">
        <f>+'Curv hora 2029 - 2033 (100%)'!AB80*0.5</f>
        <v>5393.06</v>
      </c>
      <c r="AC80" s="75"/>
      <c r="AD80" s="17">
        <f>SUM(AC45:AC80)</f>
        <v>48994509.660000011</v>
      </c>
    </row>
    <row r="81" spans="1:29" x14ac:dyDescent="0.3">
      <c r="A81" s="68">
        <v>47849</v>
      </c>
      <c r="B81" s="70">
        <f>DAY(EOMONTH(A81,0))</f>
        <v>31</v>
      </c>
      <c r="C81" t="s">
        <v>36</v>
      </c>
      <c r="D81" s="6">
        <v>21</v>
      </c>
      <c r="E81" s="33">
        <f>+'Curv hora 2029 - 2033 (100%)'!E81*0.5</f>
        <v>4977.875</v>
      </c>
      <c r="F81" s="13">
        <f>+'Curv hora 2029 - 2033 (100%)'!F81*0.5</f>
        <v>4663.8999999999996</v>
      </c>
      <c r="G81" s="13">
        <f>+'Curv hora 2029 - 2033 (100%)'!G81*0.5</f>
        <v>4458.66</v>
      </c>
      <c r="H81" s="13">
        <f>+'Curv hora 2029 - 2033 (100%)'!H81*0.5</f>
        <v>4321.4399999999996</v>
      </c>
      <c r="I81" s="13">
        <f>+'Curv hora 2029 - 2033 (100%)'!I81*0.5</f>
        <v>4281.53</v>
      </c>
      <c r="J81" s="13">
        <f>+'Curv hora 2029 - 2033 (100%)'!J81*0.5</f>
        <v>4364.97</v>
      </c>
      <c r="K81" s="13">
        <f>+'Curv hora 2029 - 2033 (100%)'!K81*0.5</f>
        <v>4390.0600000000004</v>
      </c>
      <c r="L81" s="13">
        <f>+'Curv hora 2029 - 2033 (100%)'!L81*0.5</f>
        <v>4010.51</v>
      </c>
      <c r="M81" s="13">
        <f>+'Curv hora 2029 - 2033 (100%)'!M81*0.5</f>
        <v>4800.8450000000003</v>
      </c>
      <c r="N81" s="13">
        <f>+'Curv hora 2029 - 2033 (100%)'!N81*0.5</f>
        <v>5475.09</v>
      </c>
      <c r="O81" s="13">
        <f>+'Curv hora 2029 - 2033 (100%)'!O81*0.5</f>
        <v>6097.8649999999998</v>
      </c>
      <c r="P81" s="13">
        <f>+'Curv hora 2029 - 2033 (100%)'!P81*0.5</f>
        <v>6550.27</v>
      </c>
      <c r="Q81" s="13">
        <f>+'Curv hora 2029 - 2033 (100%)'!Q81*0.5</f>
        <v>6382.8850000000002</v>
      </c>
      <c r="R81" s="13">
        <f>+'Curv hora 2029 - 2033 (100%)'!R81*0.5</f>
        <v>6382.4849999999997</v>
      </c>
      <c r="S81" s="13">
        <f>+'Curv hora 2029 - 2033 (100%)'!S81*0.5</f>
        <v>6793.125</v>
      </c>
      <c r="T81" s="13">
        <f>+'Curv hora 2029 - 2033 (100%)'!T81*0.5</f>
        <v>6858.72</v>
      </c>
      <c r="U81" s="13">
        <f>+'Curv hora 2029 - 2033 (100%)'!U81*0.5</f>
        <v>6744.4549999999999</v>
      </c>
      <c r="V81" s="13">
        <f>+'Curv hora 2029 - 2033 (100%)'!V81*0.5</f>
        <v>7709.82</v>
      </c>
      <c r="W81" s="13">
        <f>+'Curv hora 2029 - 2033 (100%)'!W81*0.5</f>
        <v>8127.0550000000003</v>
      </c>
      <c r="X81" s="13">
        <f>+'Curv hora 2029 - 2033 (100%)'!X81*0.5</f>
        <v>8518.5650000000005</v>
      </c>
      <c r="Y81" s="13">
        <f>+'Curv hora 2029 - 2033 (100%)'!Y81*0.5</f>
        <v>8127.8149999999996</v>
      </c>
      <c r="Z81" s="13">
        <f>+'Curv hora 2029 - 2033 (100%)'!Z81*0.5</f>
        <v>7503.2</v>
      </c>
      <c r="AA81" s="13">
        <f>+'Curv hora 2029 - 2033 (100%)'!AA81*0.5</f>
        <v>6621.8149999999996</v>
      </c>
      <c r="AB81" s="34">
        <f>+'Curv hora 2029 - 2033 (100%)'!AB81*0.5</f>
        <v>5774.0450000000001</v>
      </c>
      <c r="AC81" s="71">
        <f>SUMPRODUCT((E81:AB83)*D81:D83)</f>
        <v>4347978.6499999994</v>
      </c>
    </row>
    <row r="82" spans="1:29" x14ac:dyDescent="0.3">
      <c r="A82" s="68"/>
      <c r="B82" s="70"/>
      <c r="C82" t="s">
        <v>37</v>
      </c>
      <c r="D82" s="6">
        <v>4</v>
      </c>
      <c r="E82" s="35">
        <f>+'Curv hora 2029 - 2033 (100%)'!E82*0.5</f>
        <v>4918.24</v>
      </c>
      <c r="F82" s="5">
        <f>+'Curv hora 2029 - 2033 (100%)'!F82*0.5</f>
        <v>4615.7150000000001</v>
      </c>
      <c r="G82" s="5">
        <f>+'Curv hora 2029 - 2033 (100%)'!G82*0.5</f>
        <v>4406.12</v>
      </c>
      <c r="H82" s="5">
        <f>+'Curv hora 2029 - 2033 (100%)'!H82*0.5</f>
        <v>4277.7550000000001</v>
      </c>
      <c r="I82" s="5">
        <f>+'Curv hora 2029 - 2033 (100%)'!I82*0.5</f>
        <v>4229.21</v>
      </c>
      <c r="J82" s="5">
        <f>+'Curv hora 2029 - 2033 (100%)'!J82*0.5</f>
        <v>4296.5749999999998</v>
      </c>
      <c r="K82" s="5">
        <f>+'Curv hora 2029 - 2033 (100%)'!K82*0.5</f>
        <v>4360.125</v>
      </c>
      <c r="L82" s="5">
        <f>+'Curv hora 2029 - 2033 (100%)'!L82*0.5</f>
        <v>3891.89</v>
      </c>
      <c r="M82" s="5">
        <f>+'Curv hora 2029 - 2033 (100%)'!M82*0.5</f>
        <v>4581.1850000000004</v>
      </c>
      <c r="N82" s="5">
        <f>+'Curv hora 2029 - 2033 (100%)'!N82*0.5</f>
        <v>5092.6000000000004</v>
      </c>
      <c r="O82" s="5">
        <f>+'Curv hora 2029 - 2033 (100%)'!O82*0.5</f>
        <v>5549.02</v>
      </c>
      <c r="P82" s="5">
        <f>+'Curv hora 2029 - 2033 (100%)'!P82*0.5</f>
        <v>5902.23</v>
      </c>
      <c r="Q82" s="5">
        <f>+'Curv hora 2029 - 2033 (100%)'!Q82*0.5</f>
        <v>5895.5050000000001</v>
      </c>
      <c r="R82" s="5">
        <f>+'Curv hora 2029 - 2033 (100%)'!R82*0.5</f>
        <v>5883.8549999999996</v>
      </c>
      <c r="S82" s="5">
        <f>+'Curv hora 2029 - 2033 (100%)'!S82*0.5</f>
        <v>5963.8149999999996</v>
      </c>
      <c r="T82" s="5">
        <f>+'Curv hora 2029 - 2033 (100%)'!T82*0.5</f>
        <v>6039.83</v>
      </c>
      <c r="U82" s="5">
        <f>+'Curv hora 2029 - 2033 (100%)'!U82*0.5</f>
        <v>6034.2849999999999</v>
      </c>
      <c r="V82" s="5">
        <f>+'Curv hora 2029 - 2033 (100%)'!V82*0.5</f>
        <v>7071.55</v>
      </c>
      <c r="W82" s="5">
        <f>+'Curv hora 2029 - 2033 (100%)'!W82*0.5</f>
        <v>7563.13</v>
      </c>
      <c r="X82" s="5">
        <f>+'Curv hora 2029 - 2033 (100%)'!X82*0.5</f>
        <v>8041.39</v>
      </c>
      <c r="Y82" s="5">
        <f>+'Curv hora 2029 - 2033 (100%)'!Y82*0.5</f>
        <v>7679.4949999999999</v>
      </c>
      <c r="Z82" s="5">
        <f>+'Curv hora 2029 - 2033 (100%)'!Z82*0.5</f>
        <v>7125.1450000000004</v>
      </c>
      <c r="AA82" s="5">
        <f>+'Curv hora 2029 - 2033 (100%)'!AA82*0.5</f>
        <v>6426.08</v>
      </c>
      <c r="AB82" s="36">
        <f>+'Curv hora 2029 - 2033 (100%)'!AB82*0.5</f>
        <v>5744.6549999999997</v>
      </c>
      <c r="AC82" s="71"/>
    </row>
    <row r="83" spans="1:29" x14ac:dyDescent="0.3">
      <c r="A83" s="76"/>
      <c r="B83" s="77"/>
      <c r="C83" s="7" t="s">
        <v>38</v>
      </c>
      <c r="D83" s="8">
        <v>6</v>
      </c>
      <c r="E83" s="37">
        <f>+'Curv hora 2029 - 2033 (100%)'!E83*0.5</f>
        <v>5128.165</v>
      </c>
      <c r="F83" s="9">
        <f>+'Curv hora 2029 - 2033 (100%)'!F83*0.5</f>
        <v>4824.6549999999997</v>
      </c>
      <c r="G83" s="9">
        <f>+'Curv hora 2029 - 2033 (100%)'!G83*0.5</f>
        <v>4511.5249999999996</v>
      </c>
      <c r="H83" s="9">
        <f>+'Curv hora 2029 - 2033 (100%)'!H83*0.5</f>
        <v>4411.96</v>
      </c>
      <c r="I83" s="9">
        <f>+'Curv hora 2029 - 2033 (100%)'!I83*0.5</f>
        <v>4294.4799999999996</v>
      </c>
      <c r="J83" s="9">
        <f>+'Curv hora 2029 - 2033 (100%)'!J83*0.5</f>
        <v>4228.9650000000001</v>
      </c>
      <c r="K83" s="9">
        <f>+'Curv hora 2029 - 2033 (100%)'!K83*0.5</f>
        <v>4147.07</v>
      </c>
      <c r="L83" s="9">
        <f>+'Curv hora 2029 - 2033 (100%)'!L83*0.5</f>
        <v>3575.99</v>
      </c>
      <c r="M83" s="9">
        <f>+'Curv hora 2029 - 2033 (100%)'!M83*0.5</f>
        <v>4202.68</v>
      </c>
      <c r="N83" s="9">
        <f>+'Curv hora 2029 - 2033 (100%)'!N83*0.5</f>
        <v>4682.2950000000001</v>
      </c>
      <c r="O83" s="9">
        <f>+'Curv hora 2029 - 2033 (100%)'!O83*0.5</f>
        <v>5143.0550000000003</v>
      </c>
      <c r="P83" s="9">
        <f>+'Curv hora 2029 - 2033 (100%)'!P83*0.5</f>
        <v>5535.51</v>
      </c>
      <c r="Q83" s="9">
        <f>+'Curv hora 2029 - 2033 (100%)'!Q83*0.5</f>
        <v>5712.0349999999999</v>
      </c>
      <c r="R83" s="9">
        <f>+'Curv hora 2029 - 2033 (100%)'!R83*0.5</f>
        <v>5649.2749999999996</v>
      </c>
      <c r="S83" s="9">
        <f>+'Curv hora 2029 - 2033 (100%)'!S83*0.5</f>
        <v>5512.98</v>
      </c>
      <c r="T83" s="9">
        <f>+'Curv hora 2029 - 2033 (100%)'!T83*0.5</f>
        <v>5487.8850000000002</v>
      </c>
      <c r="U83" s="9">
        <f>+'Curv hora 2029 - 2033 (100%)'!U83*0.5</f>
        <v>5457.4250000000002</v>
      </c>
      <c r="V83" s="9">
        <f>+'Curv hora 2029 - 2033 (100%)'!V83*0.5</f>
        <v>6614.875</v>
      </c>
      <c r="W83" s="9">
        <f>+'Curv hora 2029 - 2033 (100%)'!W83*0.5</f>
        <v>7227.41</v>
      </c>
      <c r="X83" s="9">
        <f>+'Curv hora 2029 - 2033 (100%)'!X83*0.5</f>
        <v>7786.7950000000001</v>
      </c>
      <c r="Y83" s="9">
        <f>+'Curv hora 2029 - 2033 (100%)'!Y83*0.5</f>
        <v>7486.5</v>
      </c>
      <c r="Z83" s="9">
        <f>+'Curv hora 2029 - 2033 (100%)'!Z83*0.5</f>
        <v>6966.5749999999998</v>
      </c>
      <c r="AA83" s="9">
        <f>+'Curv hora 2029 - 2033 (100%)'!AA83*0.5</f>
        <v>6272.44</v>
      </c>
      <c r="AB83" s="38">
        <f>+'Curv hora 2029 - 2033 (100%)'!AB83*0.5</f>
        <v>5630.13</v>
      </c>
      <c r="AC83" s="71"/>
    </row>
    <row r="84" spans="1:29" x14ac:dyDescent="0.3">
      <c r="A84" s="67">
        <v>47880</v>
      </c>
      <c r="B84" s="69">
        <f>DAY(EOMONTH(A84,0))</f>
        <v>28</v>
      </c>
      <c r="C84" s="3" t="s">
        <v>36</v>
      </c>
      <c r="D84" s="10">
        <v>20</v>
      </c>
      <c r="E84" s="33">
        <f>+'Curv hora 2029 - 2033 (100%)'!E84*0.5</f>
        <v>4889.2299999999996</v>
      </c>
      <c r="F84" s="13">
        <f>+'Curv hora 2029 - 2033 (100%)'!F84*0.5</f>
        <v>4601.22</v>
      </c>
      <c r="G84" s="13">
        <f>+'Curv hora 2029 - 2033 (100%)'!G84*0.5</f>
        <v>4364.9650000000001</v>
      </c>
      <c r="H84" s="13">
        <f>+'Curv hora 2029 - 2033 (100%)'!H84*0.5</f>
        <v>4300.9549999999999</v>
      </c>
      <c r="I84" s="13">
        <f>+'Curv hora 2029 - 2033 (100%)'!I84*0.5</f>
        <v>4277.9549999999999</v>
      </c>
      <c r="J84" s="13">
        <f>+'Curv hora 2029 - 2033 (100%)'!J84*0.5</f>
        <v>4549.2950000000001</v>
      </c>
      <c r="K84" s="13">
        <f>+'Curv hora 2029 - 2033 (100%)'!K84*0.5</f>
        <v>4931.08</v>
      </c>
      <c r="L84" s="13">
        <f>+'Curv hora 2029 - 2033 (100%)'!L84*0.5</f>
        <v>4335.57</v>
      </c>
      <c r="M84" s="13">
        <f>+'Curv hora 2029 - 2033 (100%)'!M84*0.5</f>
        <v>5038.22</v>
      </c>
      <c r="N84" s="13">
        <f>+'Curv hora 2029 - 2033 (100%)'!N84*0.5</f>
        <v>5425.0150000000003</v>
      </c>
      <c r="O84" s="13">
        <f>+'Curv hora 2029 - 2033 (100%)'!O84*0.5</f>
        <v>5856.65</v>
      </c>
      <c r="P84" s="13">
        <f>+'Curv hora 2029 - 2033 (100%)'!P84*0.5</f>
        <v>6220.57</v>
      </c>
      <c r="Q84" s="13">
        <f>+'Curv hora 2029 - 2033 (100%)'!Q84*0.5</f>
        <v>5964.0450000000001</v>
      </c>
      <c r="R84" s="13">
        <f>+'Curv hora 2029 - 2033 (100%)'!R84*0.5</f>
        <v>6169.2849999999999</v>
      </c>
      <c r="S84" s="13">
        <f>+'Curv hora 2029 - 2033 (100%)'!S84*0.5</f>
        <v>6645.55</v>
      </c>
      <c r="T84" s="13">
        <f>+'Curv hora 2029 - 2033 (100%)'!T84*0.5</f>
        <v>6758.83</v>
      </c>
      <c r="U84" s="13">
        <f>+'Curv hora 2029 - 2033 (100%)'!U84*0.5</f>
        <v>6742.0450000000001</v>
      </c>
      <c r="V84" s="13">
        <f>+'Curv hora 2029 - 2033 (100%)'!V84*0.5</f>
        <v>7790.44</v>
      </c>
      <c r="W84" s="13">
        <f>+'Curv hora 2029 - 2033 (100%)'!W84*0.5</f>
        <v>8137.63</v>
      </c>
      <c r="X84" s="13">
        <f>+'Curv hora 2029 - 2033 (100%)'!X84*0.5</f>
        <v>8610.94</v>
      </c>
      <c r="Y84" s="13">
        <f>+'Curv hora 2029 - 2033 (100%)'!Y84*0.5</f>
        <v>8153.83</v>
      </c>
      <c r="Z84" s="13">
        <f>+'Curv hora 2029 - 2033 (100%)'!Z84*0.5</f>
        <v>7448.3149999999996</v>
      </c>
      <c r="AA84" s="13">
        <f>+'Curv hora 2029 - 2033 (100%)'!AA84*0.5</f>
        <v>6223.4549999999999</v>
      </c>
      <c r="AB84" s="34">
        <f>+'Curv hora 2029 - 2033 (100%)'!AB84*0.5</f>
        <v>5587.75</v>
      </c>
      <c r="AC84" s="71">
        <f>SUMPRODUCT((E84:AB86)*D84:D86)</f>
        <v>3938165.3200000008</v>
      </c>
    </row>
    <row r="85" spans="1:29" x14ac:dyDescent="0.3">
      <c r="A85" s="68"/>
      <c r="B85" s="70"/>
      <c r="C85" t="s">
        <v>37</v>
      </c>
      <c r="D85" s="11">
        <v>4</v>
      </c>
      <c r="E85" s="35">
        <f>+'Curv hora 2029 - 2033 (100%)'!E85*0.5</f>
        <v>4739.2849999999999</v>
      </c>
      <c r="F85" s="5">
        <f>+'Curv hora 2029 - 2033 (100%)'!F85*0.5</f>
        <v>4423.7550000000001</v>
      </c>
      <c r="G85" s="5">
        <f>+'Curv hora 2029 - 2033 (100%)'!G85*0.5</f>
        <v>4164.22</v>
      </c>
      <c r="H85" s="5">
        <f>+'Curv hora 2029 - 2033 (100%)'!H85*0.5</f>
        <v>4061.3</v>
      </c>
      <c r="I85" s="5">
        <f>+'Curv hora 2029 - 2033 (100%)'!I85*0.5</f>
        <v>4055.57</v>
      </c>
      <c r="J85" s="5">
        <f>+'Curv hora 2029 - 2033 (100%)'!J85*0.5</f>
        <v>4152.76</v>
      </c>
      <c r="K85" s="5">
        <f>+'Curv hora 2029 - 2033 (100%)'!K85*0.5</f>
        <v>4313.6549999999997</v>
      </c>
      <c r="L85" s="5">
        <f>+'Curv hora 2029 - 2033 (100%)'!L85*0.5</f>
        <v>3825.85</v>
      </c>
      <c r="M85" s="5">
        <f>+'Curv hora 2029 - 2033 (100%)'!M85*0.5</f>
        <v>4650.74</v>
      </c>
      <c r="N85" s="5">
        <f>+'Curv hora 2029 - 2033 (100%)'!N85*0.5</f>
        <v>5257.28</v>
      </c>
      <c r="O85" s="5">
        <f>+'Curv hora 2029 - 2033 (100%)'!O85*0.5</f>
        <v>5719.1949999999997</v>
      </c>
      <c r="P85" s="5">
        <f>+'Curv hora 2029 - 2033 (100%)'!P85*0.5</f>
        <v>6100.03</v>
      </c>
      <c r="Q85" s="5">
        <f>+'Curv hora 2029 - 2033 (100%)'!Q85*0.5</f>
        <v>6055.49</v>
      </c>
      <c r="R85" s="5">
        <f>+'Curv hora 2029 - 2033 (100%)'!R85*0.5</f>
        <v>5936.58</v>
      </c>
      <c r="S85" s="5">
        <f>+'Curv hora 2029 - 2033 (100%)'!S85*0.5</f>
        <v>5910.0450000000001</v>
      </c>
      <c r="T85" s="5">
        <f>+'Curv hora 2029 - 2033 (100%)'!T85*0.5</f>
        <v>6084.8050000000003</v>
      </c>
      <c r="U85" s="5">
        <f>+'Curv hora 2029 - 2033 (100%)'!U85*0.5</f>
        <v>6144.915</v>
      </c>
      <c r="V85" s="5">
        <f>+'Curv hora 2029 - 2033 (100%)'!V85*0.5</f>
        <v>7233.79</v>
      </c>
      <c r="W85" s="5">
        <f>+'Curv hora 2029 - 2033 (100%)'!W85*0.5</f>
        <v>7802.92</v>
      </c>
      <c r="X85" s="5">
        <f>+'Curv hora 2029 - 2033 (100%)'!X85*0.5</f>
        <v>8294.7649999999994</v>
      </c>
      <c r="Y85" s="5">
        <f>+'Curv hora 2029 - 2033 (100%)'!Y85*0.5</f>
        <v>7889.5150000000003</v>
      </c>
      <c r="Z85" s="5">
        <f>+'Curv hora 2029 - 2033 (100%)'!Z85*0.5</f>
        <v>7264.33</v>
      </c>
      <c r="AA85" s="5">
        <f>+'Curv hora 2029 - 2033 (100%)'!AA85*0.5</f>
        <v>6499.63</v>
      </c>
      <c r="AB85" s="36">
        <f>+'Curv hora 2029 - 2033 (100%)'!AB85*0.5</f>
        <v>5731.25</v>
      </c>
      <c r="AC85" s="71"/>
    </row>
    <row r="86" spans="1:29" x14ac:dyDescent="0.3">
      <c r="A86" s="76"/>
      <c r="B86" s="77"/>
      <c r="C86" s="7" t="s">
        <v>38</v>
      </c>
      <c r="D86" s="12">
        <v>4</v>
      </c>
      <c r="E86" s="37">
        <f>+'Curv hora 2029 - 2033 (100%)'!E86*0.5</f>
        <v>5001.3</v>
      </c>
      <c r="F86" s="9">
        <f>+'Curv hora 2029 - 2033 (100%)'!F86*0.5</f>
        <v>4651.375</v>
      </c>
      <c r="G86" s="9">
        <f>+'Curv hora 2029 - 2033 (100%)'!G86*0.5</f>
        <v>4401.8</v>
      </c>
      <c r="H86" s="9">
        <f>+'Curv hora 2029 - 2033 (100%)'!H86*0.5</f>
        <v>4258.125</v>
      </c>
      <c r="I86" s="9">
        <f>+'Curv hora 2029 - 2033 (100%)'!I86*0.5</f>
        <v>4158.4750000000004</v>
      </c>
      <c r="J86" s="9">
        <f>+'Curv hora 2029 - 2033 (100%)'!J86*0.5</f>
        <v>4166.92</v>
      </c>
      <c r="K86" s="9">
        <f>+'Curv hora 2029 - 2033 (100%)'!K86*0.5</f>
        <v>4213.49</v>
      </c>
      <c r="L86" s="9">
        <f>+'Curv hora 2029 - 2033 (100%)'!L86*0.5</f>
        <v>3706.4</v>
      </c>
      <c r="M86" s="9">
        <f>+'Curv hora 2029 - 2033 (100%)'!M86*0.5</f>
        <v>4376.4399999999996</v>
      </c>
      <c r="N86" s="9">
        <f>+'Curv hora 2029 - 2033 (100%)'!N86*0.5</f>
        <v>4868.2550000000001</v>
      </c>
      <c r="O86" s="9">
        <f>+'Curv hora 2029 - 2033 (100%)'!O86*0.5</f>
        <v>5306.64</v>
      </c>
      <c r="P86" s="9">
        <f>+'Curv hora 2029 - 2033 (100%)'!P86*0.5</f>
        <v>5697.0349999999999</v>
      </c>
      <c r="Q86" s="9">
        <f>+'Curv hora 2029 - 2033 (100%)'!Q86*0.5</f>
        <v>5892.915</v>
      </c>
      <c r="R86" s="9">
        <f>+'Curv hora 2029 - 2033 (100%)'!R86*0.5</f>
        <v>5889.36</v>
      </c>
      <c r="S86" s="9">
        <f>+'Curv hora 2029 - 2033 (100%)'!S86*0.5</f>
        <v>5845.6949999999997</v>
      </c>
      <c r="T86" s="9">
        <f>+'Curv hora 2029 - 2033 (100%)'!T86*0.5</f>
        <v>5783.9</v>
      </c>
      <c r="U86" s="9">
        <f>+'Curv hora 2029 - 2033 (100%)'!U86*0.5</f>
        <v>5795.2349999999997</v>
      </c>
      <c r="V86" s="9">
        <f>+'Curv hora 2029 - 2033 (100%)'!V86*0.5</f>
        <v>6908.6750000000002</v>
      </c>
      <c r="W86" s="9">
        <f>+'Curv hora 2029 - 2033 (100%)'!W86*0.5</f>
        <v>7456.98</v>
      </c>
      <c r="X86" s="9">
        <f>+'Curv hora 2029 - 2033 (100%)'!X86*0.5</f>
        <v>8058.19</v>
      </c>
      <c r="Y86" s="9">
        <f>+'Curv hora 2029 - 2033 (100%)'!Y86*0.5</f>
        <v>7843.19</v>
      </c>
      <c r="Z86" s="9">
        <f>+'Curv hora 2029 - 2033 (100%)'!Z86*0.5</f>
        <v>7360.4</v>
      </c>
      <c r="AA86" s="9">
        <f>+'Curv hora 2029 - 2033 (100%)'!AA86*0.5</f>
        <v>6417.11</v>
      </c>
      <c r="AB86" s="38">
        <f>+'Curv hora 2029 - 2033 (100%)'!AB86*0.5</f>
        <v>5057.55</v>
      </c>
      <c r="AC86" s="71"/>
    </row>
    <row r="87" spans="1:29" x14ac:dyDescent="0.3">
      <c r="A87" s="67">
        <v>47908</v>
      </c>
      <c r="B87" s="69">
        <f t="shared" ref="B87" si="23">DAY(EOMONTH(A87,0))</f>
        <v>31</v>
      </c>
      <c r="C87" s="3" t="s">
        <v>36</v>
      </c>
      <c r="D87" s="10">
        <v>20</v>
      </c>
      <c r="E87" s="33">
        <f>+'Curv hora 2029 - 2033 (100%)'!E87*0.5</f>
        <v>4698.33</v>
      </c>
      <c r="F87" s="13">
        <f>+'Curv hora 2029 - 2033 (100%)'!F87*0.5</f>
        <v>4396.9549999999999</v>
      </c>
      <c r="G87" s="13">
        <f>+'Curv hora 2029 - 2033 (100%)'!G87*0.5</f>
        <v>4224.7299999999996</v>
      </c>
      <c r="H87" s="13">
        <f>+'Curv hora 2029 - 2033 (100%)'!H87*0.5</f>
        <v>4138.1099999999997</v>
      </c>
      <c r="I87" s="13">
        <f>+'Curv hora 2029 - 2033 (100%)'!I87*0.5</f>
        <v>4152.2150000000001</v>
      </c>
      <c r="J87" s="13">
        <f>+'Curv hora 2029 - 2033 (100%)'!J87*0.5</f>
        <v>4443.9650000000001</v>
      </c>
      <c r="K87" s="13">
        <f>+'Curv hora 2029 - 2033 (100%)'!K87*0.5</f>
        <v>4826.96</v>
      </c>
      <c r="L87" s="13">
        <f>+'Curv hora 2029 - 2033 (100%)'!L87*0.5</f>
        <v>4255.99</v>
      </c>
      <c r="M87" s="13">
        <f>+'Curv hora 2029 - 2033 (100%)'!M87*0.5</f>
        <v>4916.16</v>
      </c>
      <c r="N87" s="13">
        <f>+'Curv hora 2029 - 2033 (100%)'!N87*0.5</f>
        <v>5381.5150000000003</v>
      </c>
      <c r="O87" s="13">
        <f>+'Curv hora 2029 - 2033 (100%)'!O87*0.5</f>
        <v>5763.15</v>
      </c>
      <c r="P87" s="13">
        <f>+'Curv hora 2029 - 2033 (100%)'!P87*0.5</f>
        <v>6090.415</v>
      </c>
      <c r="Q87" s="13">
        <f>+'Curv hora 2029 - 2033 (100%)'!Q87*0.5</f>
        <v>5717.7749999999996</v>
      </c>
      <c r="R87" s="13">
        <f>+'Curv hora 2029 - 2033 (100%)'!R87*0.5</f>
        <v>6026.1450000000004</v>
      </c>
      <c r="S87" s="13">
        <f>+'Curv hora 2029 - 2033 (100%)'!S87*0.5</f>
        <v>6391.8549999999996</v>
      </c>
      <c r="T87" s="13">
        <f>+'Curv hora 2029 - 2033 (100%)'!T87*0.5</f>
        <v>6516.5649999999996</v>
      </c>
      <c r="U87" s="13">
        <f>+'Curv hora 2029 - 2033 (100%)'!U87*0.5</f>
        <v>6488.5649999999996</v>
      </c>
      <c r="V87" s="13">
        <f>+'Curv hora 2029 - 2033 (100%)'!V87*0.5</f>
        <v>7497.64</v>
      </c>
      <c r="W87" s="13">
        <f>+'Curv hora 2029 - 2033 (100%)'!W87*0.5</f>
        <v>7912.68</v>
      </c>
      <c r="X87" s="13">
        <f>+'Curv hora 2029 - 2033 (100%)'!X87*0.5</f>
        <v>8404.43</v>
      </c>
      <c r="Y87" s="13">
        <f>+'Curv hora 2029 - 2033 (100%)'!Y87*0.5</f>
        <v>7925.9650000000001</v>
      </c>
      <c r="Z87" s="13">
        <f>+'Curv hora 2029 - 2033 (100%)'!Z87*0.5</f>
        <v>7201.2950000000001</v>
      </c>
      <c r="AA87" s="13">
        <f>+'Curv hora 2029 - 2033 (100%)'!AA87*0.5</f>
        <v>6187.28</v>
      </c>
      <c r="AB87" s="34">
        <f>+'Curv hora 2029 - 2033 (100%)'!AB87*0.5</f>
        <v>5384.83</v>
      </c>
      <c r="AC87" s="71">
        <f>SUMPRODUCT((E87:AB89)*D87:D89)</f>
        <v>4211360.7050000001</v>
      </c>
    </row>
    <row r="88" spans="1:29" x14ac:dyDescent="0.3">
      <c r="A88" s="68"/>
      <c r="B88" s="70"/>
      <c r="C88" t="s">
        <v>37</v>
      </c>
      <c r="D88" s="11">
        <v>5</v>
      </c>
      <c r="E88" s="35">
        <f>+'Curv hora 2029 - 2033 (100%)'!E88*0.5</f>
        <v>4355.2749999999996</v>
      </c>
      <c r="F88" s="5">
        <f>+'Curv hora 2029 - 2033 (100%)'!F88*0.5</f>
        <v>4260.9350000000004</v>
      </c>
      <c r="G88" s="5">
        <f>+'Curv hora 2029 - 2033 (100%)'!G88*0.5</f>
        <v>4077.3649999999998</v>
      </c>
      <c r="H88" s="5">
        <f>+'Curv hora 2029 - 2033 (100%)'!H88*0.5</f>
        <v>3960.32</v>
      </c>
      <c r="I88" s="5">
        <f>+'Curv hora 2029 - 2033 (100%)'!I88*0.5</f>
        <v>3961.4250000000002</v>
      </c>
      <c r="J88" s="5">
        <f>+'Curv hora 2029 - 2033 (100%)'!J88*0.5</f>
        <v>4089.3249999999998</v>
      </c>
      <c r="K88" s="5">
        <f>+'Curv hora 2029 - 2033 (100%)'!K88*0.5</f>
        <v>4314.04</v>
      </c>
      <c r="L88" s="5">
        <f>+'Curv hora 2029 - 2033 (100%)'!L88*0.5</f>
        <v>3843.085</v>
      </c>
      <c r="M88" s="5">
        <f>+'Curv hora 2029 - 2033 (100%)'!M88*0.5</f>
        <v>4662.0600000000004</v>
      </c>
      <c r="N88" s="5">
        <f>+'Curv hora 2029 - 2033 (100%)'!N88*0.5</f>
        <v>5154.8950000000004</v>
      </c>
      <c r="O88" s="5">
        <f>+'Curv hora 2029 - 2033 (100%)'!O88*0.5</f>
        <v>5507.4049999999997</v>
      </c>
      <c r="P88" s="5">
        <f>+'Curv hora 2029 - 2033 (100%)'!P88*0.5</f>
        <v>5784.97</v>
      </c>
      <c r="Q88" s="5">
        <f>+'Curv hora 2029 - 2033 (100%)'!Q88*0.5</f>
        <v>5708.5550000000003</v>
      </c>
      <c r="R88" s="5">
        <f>+'Curv hora 2029 - 2033 (100%)'!R88*0.5</f>
        <v>5608.7449999999999</v>
      </c>
      <c r="S88" s="5">
        <f>+'Curv hora 2029 - 2033 (100%)'!S88*0.5</f>
        <v>5701.8649999999998</v>
      </c>
      <c r="T88" s="5">
        <f>+'Curv hora 2029 - 2033 (100%)'!T88*0.5</f>
        <v>5750.8</v>
      </c>
      <c r="U88" s="5">
        <f>+'Curv hora 2029 - 2033 (100%)'!U88*0.5</f>
        <v>5836.1549999999997</v>
      </c>
      <c r="V88" s="5">
        <f>+'Curv hora 2029 - 2033 (100%)'!V88*0.5</f>
        <v>6979.77</v>
      </c>
      <c r="W88" s="5">
        <f>+'Curv hora 2029 - 2033 (100%)'!W88*0.5</f>
        <v>7612.4350000000004</v>
      </c>
      <c r="X88" s="5">
        <f>+'Curv hora 2029 - 2033 (100%)'!X88*0.5</f>
        <v>7983.5050000000001</v>
      </c>
      <c r="Y88" s="5">
        <f>+'Curv hora 2029 - 2033 (100%)'!Y88*0.5</f>
        <v>7540.65</v>
      </c>
      <c r="Z88" s="5">
        <f>+'Curv hora 2029 - 2033 (100%)'!Z88*0.5</f>
        <v>6990.93</v>
      </c>
      <c r="AA88" s="5">
        <f>+'Curv hora 2029 - 2033 (100%)'!AA88*0.5</f>
        <v>6249.52</v>
      </c>
      <c r="AB88" s="36">
        <f>+'Curv hora 2029 - 2033 (100%)'!AB88*0.5</f>
        <v>5517.6949999999997</v>
      </c>
      <c r="AC88" s="71"/>
    </row>
    <row r="89" spans="1:29" x14ac:dyDescent="0.3">
      <c r="A89" s="76"/>
      <c r="B89" s="77"/>
      <c r="C89" s="7" t="s">
        <v>38</v>
      </c>
      <c r="D89" s="12">
        <v>6</v>
      </c>
      <c r="E89" s="37">
        <f>+'Curv hora 2029 - 2033 (100%)'!E89*0.5</f>
        <v>4871.125</v>
      </c>
      <c r="F89" s="9">
        <f>+'Curv hora 2029 - 2033 (100%)'!F89*0.5</f>
        <v>4550.29</v>
      </c>
      <c r="G89" s="9">
        <f>+'Curv hora 2029 - 2033 (100%)'!G89*0.5</f>
        <v>4324.38</v>
      </c>
      <c r="H89" s="9">
        <f>+'Curv hora 2029 - 2033 (100%)'!H89*0.5</f>
        <v>4195.28</v>
      </c>
      <c r="I89" s="9">
        <f>+'Curv hora 2029 - 2033 (100%)'!I89*0.5</f>
        <v>4145.5150000000003</v>
      </c>
      <c r="J89" s="9">
        <f>+'Curv hora 2029 - 2033 (100%)'!J89*0.5</f>
        <v>4160.625</v>
      </c>
      <c r="K89" s="9">
        <f>+'Curv hora 2029 - 2033 (100%)'!K89*0.5</f>
        <v>4225.93</v>
      </c>
      <c r="L89" s="9">
        <f>+'Curv hora 2029 - 2033 (100%)'!L89*0.5</f>
        <v>3716.375</v>
      </c>
      <c r="M89" s="9">
        <f>+'Curv hora 2029 - 2033 (100%)'!M89*0.5</f>
        <v>4343.07</v>
      </c>
      <c r="N89" s="9">
        <f>+'Curv hora 2029 - 2033 (100%)'!N89*0.5</f>
        <v>4779.4849999999997</v>
      </c>
      <c r="O89" s="9">
        <f>+'Curv hora 2029 - 2033 (100%)'!O89*0.5</f>
        <v>5081.96</v>
      </c>
      <c r="P89" s="9">
        <f>+'Curv hora 2029 - 2033 (100%)'!P89*0.5</f>
        <v>5316.53</v>
      </c>
      <c r="Q89" s="9">
        <f>+'Curv hora 2029 - 2033 (100%)'!Q89*0.5</f>
        <v>5484.75</v>
      </c>
      <c r="R89" s="9">
        <f>+'Curv hora 2029 - 2033 (100%)'!R89*0.5</f>
        <v>5464.93</v>
      </c>
      <c r="S89" s="9">
        <f>+'Curv hora 2029 - 2033 (100%)'!S89*0.5</f>
        <v>5520.9750000000004</v>
      </c>
      <c r="T89" s="9">
        <f>+'Curv hora 2029 - 2033 (100%)'!T89*0.5</f>
        <v>5553.49</v>
      </c>
      <c r="U89" s="9">
        <f>+'Curv hora 2029 - 2033 (100%)'!U89*0.5</f>
        <v>5555.2250000000004</v>
      </c>
      <c r="V89" s="9">
        <f>+'Curv hora 2029 - 2033 (100%)'!V89*0.5</f>
        <v>6743.125</v>
      </c>
      <c r="W89" s="9">
        <f>+'Curv hora 2029 - 2033 (100%)'!W89*0.5</f>
        <v>7404.5550000000003</v>
      </c>
      <c r="X89" s="9">
        <f>+'Curv hora 2029 - 2033 (100%)'!X89*0.5</f>
        <v>7756.39</v>
      </c>
      <c r="Y89" s="9">
        <f>+'Curv hora 2029 - 2033 (100%)'!Y89*0.5</f>
        <v>7472.75</v>
      </c>
      <c r="Z89" s="9">
        <f>+'Curv hora 2029 - 2033 (100%)'!Z89*0.5</f>
        <v>6938.9449999999997</v>
      </c>
      <c r="AA89" s="9">
        <f>+'Curv hora 2029 - 2033 (100%)'!AA89*0.5</f>
        <v>6156.3850000000002</v>
      </c>
      <c r="AB89" s="38">
        <f>+'Curv hora 2029 - 2033 (100%)'!AB89*0.5</f>
        <v>5443.1949999999997</v>
      </c>
      <c r="AC89" s="71"/>
    </row>
    <row r="90" spans="1:29" x14ac:dyDescent="0.3">
      <c r="A90" s="67">
        <v>47939</v>
      </c>
      <c r="B90" s="69">
        <f t="shared" ref="B90" si="24">DAY(EOMONTH(A90,0))</f>
        <v>30</v>
      </c>
      <c r="C90" s="3" t="s">
        <v>36</v>
      </c>
      <c r="D90" s="10">
        <v>20</v>
      </c>
      <c r="E90" s="33">
        <f>+'Curv hora 2029 - 2033 (100%)'!E90*0.5</f>
        <v>4726.6000000000004</v>
      </c>
      <c r="F90" s="13">
        <f>+'Curv hora 2029 - 2033 (100%)'!F90*0.5</f>
        <v>4471.8100000000004</v>
      </c>
      <c r="G90" s="13">
        <f>+'Curv hora 2029 - 2033 (100%)'!G90*0.5</f>
        <v>4301.5050000000001</v>
      </c>
      <c r="H90" s="13">
        <f>+'Curv hora 2029 - 2033 (100%)'!H90*0.5</f>
        <v>4181.9250000000002</v>
      </c>
      <c r="I90" s="13">
        <f>+'Curv hora 2029 - 2033 (100%)'!I90*0.5</f>
        <v>4184.8900000000003</v>
      </c>
      <c r="J90" s="13">
        <f>+'Curv hora 2029 - 2033 (100%)'!J90*0.5</f>
        <v>4511.6899999999996</v>
      </c>
      <c r="K90" s="13">
        <f>+'Curv hora 2029 - 2033 (100%)'!K90*0.5</f>
        <v>4838.79</v>
      </c>
      <c r="L90" s="13">
        <f>+'Curv hora 2029 - 2033 (100%)'!L90*0.5</f>
        <v>4275.53</v>
      </c>
      <c r="M90" s="13">
        <f>+'Curv hora 2029 - 2033 (100%)'!M90*0.5</f>
        <v>4979.3450000000003</v>
      </c>
      <c r="N90" s="13">
        <f>+'Curv hora 2029 - 2033 (100%)'!N90*0.5</f>
        <v>5431.9049999999997</v>
      </c>
      <c r="O90" s="13">
        <f>+'Curv hora 2029 - 2033 (100%)'!O90*0.5</f>
        <v>5795.99</v>
      </c>
      <c r="P90" s="13">
        <f>+'Curv hora 2029 - 2033 (100%)'!P90*0.5</f>
        <v>6075.1850000000004</v>
      </c>
      <c r="Q90" s="13">
        <f>+'Curv hora 2029 - 2033 (100%)'!Q90*0.5</f>
        <v>5921.65</v>
      </c>
      <c r="R90" s="13">
        <f>+'Curv hora 2029 - 2033 (100%)'!R90*0.5</f>
        <v>6040.78</v>
      </c>
      <c r="S90" s="13">
        <f>+'Curv hora 2029 - 2033 (100%)'!S90*0.5</f>
        <v>6540.88</v>
      </c>
      <c r="T90" s="13">
        <f>+'Curv hora 2029 - 2033 (100%)'!T90*0.5</f>
        <v>6705.39</v>
      </c>
      <c r="U90" s="13">
        <f>+'Curv hora 2029 - 2033 (100%)'!U90*0.5</f>
        <v>6721.1</v>
      </c>
      <c r="V90" s="13">
        <f>+'Curv hora 2029 - 2033 (100%)'!V90*0.5</f>
        <v>7782.3149999999996</v>
      </c>
      <c r="W90" s="13">
        <f>+'Curv hora 2029 - 2033 (100%)'!W90*0.5</f>
        <v>8515.125</v>
      </c>
      <c r="X90" s="13">
        <f>+'Curv hora 2029 - 2033 (100%)'!X90*0.5</f>
        <v>8656.7049999999999</v>
      </c>
      <c r="Y90" s="13">
        <f>+'Curv hora 2029 - 2033 (100%)'!Y90*0.5</f>
        <v>8161.51</v>
      </c>
      <c r="Z90" s="13">
        <f>+'Curv hora 2029 - 2033 (100%)'!Z90*0.5</f>
        <v>7420.7250000000004</v>
      </c>
      <c r="AA90" s="13">
        <f>+'Curv hora 2029 - 2033 (100%)'!AA90*0.5</f>
        <v>6383.84</v>
      </c>
      <c r="AB90" s="34">
        <f>+'Curv hora 2029 - 2033 (100%)'!AB90*0.5</f>
        <v>5515.125</v>
      </c>
      <c r="AC90" s="71">
        <f>SUMPRODUCT((E90:AB92)*D90:D92)</f>
        <v>4246167.91</v>
      </c>
    </row>
    <row r="91" spans="1:29" x14ac:dyDescent="0.3">
      <c r="A91" s="68"/>
      <c r="B91" s="70"/>
      <c r="C91" t="s">
        <v>37</v>
      </c>
      <c r="D91" s="11">
        <v>4</v>
      </c>
      <c r="E91" s="35">
        <f>+'Curv hora 2029 - 2033 (100%)'!E91*0.5</f>
        <v>4833.8599999999997</v>
      </c>
      <c r="F91" s="5">
        <f>+'Curv hora 2029 - 2033 (100%)'!F91*0.5</f>
        <v>4527.9549999999999</v>
      </c>
      <c r="G91" s="5">
        <f>+'Curv hora 2029 - 2033 (100%)'!G91*0.5</f>
        <v>4307.2</v>
      </c>
      <c r="H91" s="5">
        <f>+'Curv hora 2029 - 2033 (100%)'!H91*0.5</f>
        <v>4180.9049999999997</v>
      </c>
      <c r="I91" s="5">
        <f>+'Curv hora 2029 - 2033 (100%)'!I91*0.5</f>
        <v>4165.3549999999996</v>
      </c>
      <c r="J91" s="5">
        <f>+'Curv hora 2029 - 2033 (100%)'!J91*0.5</f>
        <v>4285.5749999999998</v>
      </c>
      <c r="K91" s="5">
        <f>+'Curv hora 2029 - 2033 (100%)'!K91*0.5</f>
        <v>4474.2950000000001</v>
      </c>
      <c r="L91" s="5">
        <f>+'Curv hora 2029 - 2033 (100%)'!L91*0.5</f>
        <v>4081.5349999999999</v>
      </c>
      <c r="M91" s="5">
        <f>+'Curv hora 2029 - 2033 (100%)'!M91*0.5</f>
        <v>4927.68</v>
      </c>
      <c r="N91" s="5">
        <f>+'Curv hora 2029 - 2033 (100%)'!N91*0.5</f>
        <v>5532.59</v>
      </c>
      <c r="O91" s="5">
        <f>+'Curv hora 2029 - 2033 (100%)'!O91*0.5</f>
        <v>6065.835</v>
      </c>
      <c r="P91" s="5">
        <f>+'Curv hora 2029 - 2033 (100%)'!P91*0.5</f>
        <v>6470.5950000000003</v>
      </c>
      <c r="Q91" s="5">
        <f>+'Curv hora 2029 - 2033 (100%)'!Q91*0.5</f>
        <v>6486.07</v>
      </c>
      <c r="R91" s="5">
        <f>+'Curv hora 2029 - 2033 (100%)'!R91*0.5</f>
        <v>6478.3549999999996</v>
      </c>
      <c r="S91" s="5">
        <f>+'Curv hora 2029 - 2033 (100%)'!S91*0.5</f>
        <v>6419.79</v>
      </c>
      <c r="T91" s="5">
        <f>+'Curv hora 2029 - 2033 (100%)'!T91*0.5</f>
        <v>6292.31</v>
      </c>
      <c r="U91" s="5">
        <f>+'Curv hora 2029 - 2033 (100%)'!U91*0.5</f>
        <v>6235.7349999999997</v>
      </c>
      <c r="V91" s="5">
        <f>+'Curv hora 2029 - 2033 (100%)'!V91*0.5</f>
        <v>7302.75</v>
      </c>
      <c r="W91" s="5">
        <f>+'Curv hora 2029 - 2033 (100%)'!W91*0.5</f>
        <v>8008.81</v>
      </c>
      <c r="X91" s="5">
        <f>+'Curv hora 2029 - 2033 (100%)'!X91*0.5</f>
        <v>8298.9500000000007</v>
      </c>
      <c r="Y91" s="5">
        <f>+'Curv hora 2029 - 2033 (100%)'!Y91*0.5</f>
        <v>8044.1549999999997</v>
      </c>
      <c r="Z91" s="5">
        <f>+'Curv hora 2029 - 2033 (100%)'!Z91*0.5</f>
        <v>7482.0649999999996</v>
      </c>
      <c r="AA91" s="5">
        <f>+'Curv hora 2029 - 2033 (100%)'!AA91*0.5</f>
        <v>6751.0450000000001</v>
      </c>
      <c r="AB91" s="36">
        <f>+'Curv hora 2029 - 2033 (100%)'!AB91*0.5</f>
        <v>6090.56</v>
      </c>
      <c r="AC91" s="71"/>
    </row>
    <row r="92" spans="1:29" x14ac:dyDescent="0.3">
      <c r="A92" s="76"/>
      <c r="B92" s="77"/>
      <c r="C92" s="7" t="s">
        <v>38</v>
      </c>
      <c r="D92" s="12">
        <v>6</v>
      </c>
      <c r="E92" s="37">
        <f>+'Curv hora 2029 - 2033 (100%)'!E92*0.5</f>
        <v>5311.97</v>
      </c>
      <c r="F92" s="9">
        <f>+'Curv hora 2029 - 2033 (100%)'!F92*0.5</f>
        <v>4925.96</v>
      </c>
      <c r="G92" s="9">
        <f>+'Curv hora 2029 - 2033 (100%)'!G92*0.5</f>
        <v>4637.05</v>
      </c>
      <c r="H92" s="9">
        <f>+'Curv hora 2029 - 2033 (100%)'!H92*0.5</f>
        <v>4449.4650000000001</v>
      </c>
      <c r="I92" s="9">
        <f>+'Curv hora 2029 - 2033 (100%)'!I92*0.5</f>
        <v>4355.2</v>
      </c>
      <c r="J92" s="9">
        <f>+'Curv hora 2029 - 2033 (100%)'!J92*0.5</f>
        <v>4365.1400000000003</v>
      </c>
      <c r="K92" s="9">
        <f>+'Curv hora 2029 - 2033 (100%)'!K92*0.5</f>
        <v>4507.665</v>
      </c>
      <c r="L92" s="9">
        <f>+'Curv hora 2029 - 2033 (100%)'!L92*0.5</f>
        <v>3871.86</v>
      </c>
      <c r="M92" s="9">
        <f>+'Curv hora 2029 - 2033 (100%)'!M92*0.5</f>
        <v>4515.9949999999999</v>
      </c>
      <c r="N92" s="9">
        <f>+'Curv hora 2029 - 2033 (100%)'!N92*0.5</f>
        <v>5007.46</v>
      </c>
      <c r="O92" s="9">
        <f>+'Curv hora 2029 - 2033 (100%)'!O92*0.5</f>
        <v>5435.7</v>
      </c>
      <c r="P92" s="9">
        <f>+'Curv hora 2029 - 2033 (100%)'!P92*0.5</f>
        <v>5865.83</v>
      </c>
      <c r="Q92" s="9">
        <f>+'Curv hora 2029 - 2033 (100%)'!Q92*0.5</f>
        <v>6123.57</v>
      </c>
      <c r="R92" s="9">
        <f>+'Curv hora 2029 - 2033 (100%)'!R92*0.5</f>
        <v>6137.335</v>
      </c>
      <c r="S92" s="9">
        <f>+'Curv hora 2029 - 2033 (100%)'!S92*0.5</f>
        <v>6162.47</v>
      </c>
      <c r="T92" s="9">
        <f>+'Curv hora 2029 - 2033 (100%)'!T92*0.5</f>
        <v>6183.1</v>
      </c>
      <c r="U92" s="9">
        <f>+'Curv hora 2029 - 2033 (100%)'!U92*0.5</f>
        <v>6125.875</v>
      </c>
      <c r="V92" s="9">
        <f>+'Curv hora 2029 - 2033 (100%)'!V92*0.5</f>
        <v>7202.4650000000001</v>
      </c>
      <c r="W92" s="9">
        <f>+'Curv hora 2029 - 2033 (100%)'!W92*0.5</f>
        <v>8140.4250000000002</v>
      </c>
      <c r="X92" s="9">
        <f>+'Curv hora 2029 - 2033 (100%)'!X92*0.5</f>
        <v>8547.375</v>
      </c>
      <c r="Y92" s="9">
        <f>+'Curv hora 2029 - 2033 (100%)'!Y92*0.5</f>
        <v>8368.5049999999992</v>
      </c>
      <c r="Z92" s="9">
        <f>+'Curv hora 2029 - 2033 (100%)'!Z92*0.5</f>
        <v>7661.67</v>
      </c>
      <c r="AA92" s="9">
        <f>+'Curv hora 2029 - 2033 (100%)'!AA92*0.5</f>
        <v>6420.8149999999996</v>
      </c>
      <c r="AB92" s="38">
        <f>+'Curv hora 2029 - 2033 (100%)'!AB92*0.5</f>
        <v>5074.7349999999997</v>
      </c>
      <c r="AC92" s="71"/>
    </row>
    <row r="93" spans="1:29" x14ac:dyDescent="0.3">
      <c r="A93" s="67">
        <v>47969</v>
      </c>
      <c r="B93" s="69">
        <f t="shared" ref="B93" si="25">DAY(EOMONTH(A93,0))</f>
        <v>31</v>
      </c>
      <c r="C93" s="3" t="s">
        <v>36</v>
      </c>
      <c r="D93" s="10">
        <v>20</v>
      </c>
      <c r="E93" s="33">
        <f>+'Curv hora 2029 - 2033 (100%)'!E93*0.5</f>
        <v>4459.29</v>
      </c>
      <c r="F93" s="13">
        <f>+'Curv hora 2029 - 2033 (100%)'!F93*0.5</f>
        <v>4176.21</v>
      </c>
      <c r="G93" s="13">
        <f>+'Curv hora 2029 - 2033 (100%)'!G93*0.5</f>
        <v>4013.62</v>
      </c>
      <c r="H93" s="13">
        <f>+'Curv hora 2029 - 2033 (100%)'!H93*0.5</f>
        <v>3894.3649999999998</v>
      </c>
      <c r="I93" s="13">
        <f>+'Curv hora 2029 - 2033 (100%)'!I93*0.5</f>
        <v>3859.665</v>
      </c>
      <c r="J93" s="13">
        <f>+'Curv hora 2029 - 2033 (100%)'!J93*0.5</f>
        <v>4190.625</v>
      </c>
      <c r="K93" s="13">
        <f>+'Curv hora 2029 - 2033 (100%)'!K93*0.5</f>
        <v>4641.95</v>
      </c>
      <c r="L93" s="13">
        <f>+'Curv hora 2029 - 2033 (100%)'!L93*0.5</f>
        <v>4133.59</v>
      </c>
      <c r="M93" s="13">
        <f>+'Curv hora 2029 - 2033 (100%)'!M93*0.5</f>
        <v>4804.8649999999998</v>
      </c>
      <c r="N93" s="13">
        <f>+'Curv hora 2029 - 2033 (100%)'!N93*0.5</f>
        <v>5212.2049999999999</v>
      </c>
      <c r="O93" s="13">
        <f>+'Curv hora 2029 - 2033 (100%)'!O93*0.5</f>
        <v>5653.4049999999997</v>
      </c>
      <c r="P93" s="13">
        <f>+'Curv hora 2029 - 2033 (100%)'!P93*0.5</f>
        <v>5963.0749999999998</v>
      </c>
      <c r="Q93" s="13">
        <f>+'Curv hora 2029 - 2033 (100%)'!Q93*0.5</f>
        <v>5738.9949999999999</v>
      </c>
      <c r="R93" s="13">
        <f>+'Curv hora 2029 - 2033 (100%)'!R93*0.5</f>
        <v>5721.42</v>
      </c>
      <c r="S93" s="13">
        <f>+'Curv hora 2029 - 2033 (100%)'!S93*0.5</f>
        <v>6084.38</v>
      </c>
      <c r="T93" s="13">
        <f>+'Curv hora 2029 - 2033 (100%)'!T93*0.5</f>
        <v>6245.42</v>
      </c>
      <c r="U93" s="13">
        <f>+'Curv hora 2029 - 2033 (100%)'!U93*0.5</f>
        <v>6264.82</v>
      </c>
      <c r="V93" s="13">
        <f>+'Curv hora 2029 - 2033 (100%)'!V93*0.5</f>
        <v>7437.5649999999996</v>
      </c>
      <c r="W93" s="13">
        <f>+'Curv hora 2029 - 2033 (100%)'!W93*0.5</f>
        <v>8178.7749999999996</v>
      </c>
      <c r="X93" s="13">
        <f>+'Curv hora 2029 - 2033 (100%)'!X93*0.5</f>
        <v>8353.1749999999993</v>
      </c>
      <c r="Y93" s="13">
        <f>+'Curv hora 2029 - 2033 (100%)'!Y93*0.5</f>
        <v>7851.45</v>
      </c>
      <c r="Z93" s="13">
        <f>+'Curv hora 2029 - 2033 (100%)'!Z93*0.5</f>
        <v>7106.835</v>
      </c>
      <c r="AA93" s="13">
        <f>+'Curv hora 2029 - 2033 (100%)'!AA93*0.5</f>
        <v>6032.91</v>
      </c>
      <c r="AB93" s="34">
        <f>+'Curv hora 2029 - 2033 (100%)'!AB93*0.5</f>
        <v>5195.71</v>
      </c>
      <c r="AC93" s="71">
        <f>SUMPRODUCT((E93:AB95)*D93:D95)</f>
        <v>4135486.0100000002</v>
      </c>
    </row>
    <row r="94" spans="1:29" x14ac:dyDescent="0.3">
      <c r="A94" s="68"/>
      <c r="B94" s="70"/>
      <c r="C94" t="s">
        <v>37</v>
      </c>
      <c r="D94" s="11">
        <v>5</v>
      </c>
      <c r="E94" s="35">
        <f>+'Curv hora 2029 - 2033 (100%)'!E94*0.5</f>
        <v>4570.3599999999997</v>
      </c>
      <c r="F94" s="5">
        <f>+'Curv hora 2029 - 2033 (100%)'!F94*0.5</f>
        <v>4283.2150000000001</v>
      </c>
      <c r="G94" s="5">
        <f>+'Curv hora 2029 - 2033 (100%)'!G94*0.5</f>
        <v>4056.5450000000001</v>
      </c>
      <c r="H94" s="5">
        <f>+'Curv hora 2029 - 2033 (100%)'!H94*0.5</f>
        <v>3944.93</v>
      </c>
      <c r="I94" s="5">
        <f>+'Curv hora 2029 - 2033 (100%)'!I94*0.5</f>
        <v>3909.41</v>
      </c>
      <c r="J94" s="5">
        <f>+'Curv hora 2029 - 2033 (100%)'!J94*0.5</f>
        <v>4049.38</v>
      </c>
      <c r="K94" s="5">
        <f>+'Curv hora 2029 - 2033 (100%)'!K94*0.5</f>
        <v>4282.8</v>
      </c>
      <c r="L94" s="5">
        <f>+'Curv hora 2029 - 2033 (100%)'!L94*0.5</f>
        <v>3916.0250000000001</v>
      </c>
      <c r="M94" s="5">
        <f>+'Curv hora 2029 - 2033 (100%)'!M94*0.5</f>
        <v>4619.12</v>
      </c>
      <c r="N94" s="5">
        <f>+'Curv hora 2029 - 2033 (100%)'!N94*0.5</f>
        <v>5150.7299999999996</v>
      </c>
      <c r="O94" s="5">
        <f>+'Curv hora 2029 - 2033 (100%)'!O94*0.5</f>
        <v>5497.94</v>
      </c>
      <c r="P94" s="5">
        <f>+'Curv hora 2029 - 2033 (100%)'!P94*0.5</f>
        <v>5792.5</v>
      </c>
      <c r="Q94" s="5">
        <f>+'Curv hora 2029 - 2033 (100%)'!Q94*0.5</f>
        <v>5727.9849999999997</v>
      </c>
      <c r="R94" s="5">
        <f>+'Curv hora 2029 - 2033 (100%)'!R94*0.5</f>
        <v>5580.25</v>
      </c>
      <c r="S94" s="5">
        <f>+'Curv hora 2029 - 2033 (100%)'!S94*0.5</f>
        <v>5576.94</v>
      </c>
      <c r="T94" s="5">
        <f>+'Curv hora 2029 - 2033 (100%)'!T94*0.5</f>
        <v>5626.1350000000002</v>
      </c>
      <c r="U94" s="5">
        <f>+'Curv hora 2029 - 2033 (100%)'!U94*0.5</f>
        <v>5661.33</v>
      </c>
      <c r="V94" s="5">
        <f>+'Curv hora 2029 - 2033 (100%)'!V94*0.5</f>
        <v>6938.915</v>
      </c>
      <c r="W94" s="5">
        <f>+'Curv hora 2029 - 2033 (100%)'!W94*0.5</f>
        <v>7772.57</v>
      </c>
      <c r="X94" s="5">
        <f>+'Curv hora 2029 - 2033 (100%)'!X94*0.5</f>
        <v>7913.91</v>
      </c>
      <c r="Y94" s="5">
        <f>+'Curv hora 2029 - 2033 (100%)'!Y94*0.5</f>
        <v>7459.9750000000004</v>
      </c>
      <c r="Z94" s="5">
        <f>+'Curv hora 2029 - 2033 (100%)'!Z94*0.5</f>
        <v>6895.49</v>
      </c>
      <c r="AA94" s="5">
        <f>+'Curv hora 2029 - 2033 (100%)'!AA94*0.5</f>
        <v>6097.62</v>
      </c>
      <c r="AB94" s="36">
        <f>+'Curv hora 2029 - 2033 (100%)'!AB94*0.5</f>
        <v>5389.3249999999998</v>
      </c>
      <c r="AC94" s="71"/>
    </row>
    <row r="95" spans="1:29" x14ac:dyDescent="0.3">
      <c r="A95" s="76"/>
      <c r="B95" s="77"/>
      <c r="C95" s="7" t="s">
        <v>38</v>
      </c>
      <c r="D95" s="12">
        <v>6</v>
      </c>
      <c r="E95" s="37">
        <f>+'Curv hora 2029 - 2033 (100%)'!E95*0.5</f>
        <v>4760.0950000000003</v>
      </c>
      <c r="F95" s="9">
        <f>+'Curv hora 2029 - 2033 (100%)'!F95*0.5</f>
        <v>4365.165</v>
      </c>
      <c r="G95" s="9">
        <f>+'Curv hora 2029 - 2033 (100%)'!G95*0.5</f>
        <v>4146.7749999999996</v>
      </c>
      <c r="H95" s="9">
        <f>+'Curv hora 2029 - 2033 (100%)'!H95*0.5</f>
        <v>4009.22</v>
      </c>
      <c r="I95" s="9">
        <f>+'Curv hora 2029 - 2033 (100%)'!I95*0.5</f>
        <v>3930.855</v>
      </c>
      <c r="J95" s="9">
        <f>+'Curv hora 2029 - 2033 (100%)'!J95*0.5</f>
        <v>3975.01</v>
      </c>
      <c r="K95" s="9">
        <f>+'Curv hora 2029 - 2033 (100%)'!K95*0.5</f>
        <v>4119.335</v>
      </c>
      <c r="L95" s="9">
        <f>+'Curv hora 2029 - 2033 (100%)'!L95*0.5</f>
        <v>3607.12</v>
      </c>
      <c r="M95" s="9">
        <f>+'Curv hora 2029 - 2033 (100%)'!M95*0.5</f>
        <v>4286.0050000000001</v>
      </c>
      <c r="N95" s="9">
        <f>+'Curv hora 2029 - 2033 (100%)'!N95*0.5</f>
        <v>4822.9750000000004</v>
      </c>
      <c r="O95" s="9">
        <f>+'Curv hora 2029 - 2033 (100%)'!O95*0.5</f>
        <v>5250.5349999999999</v>
      </c>
      <c r="P95" s="9">
        <f>+'Curv hora 2029 - 2033 (100%)'!P95*0.5</f>
        <v>5560.2749999999996</v>
      </c>
      <c r="Q95" s="9">
        <f>+'Curv hora 2029 - 2033 (100%)'!Q95*0.5</f>
        <v>5635.8649999999998</v>
      </c>
      <c r="R95" s="9">
        <f>+'Curv hora 2029 - 2033 (100%)'!R95*0.5</f>
        <v>5592.27</v>
      </c>
      <c r="S95" s="9">
        <f>+'Curv hora 2029 - 2033 (100%)'!S95*0.5</f>
        <v>5512.13</v>
      </c>
      <c r="T95" s="9">
        <f>+'Curv hora 2029 - 2033 (100%)'!T95*0.5</f>
        <v>5878.7</v>
      </c>
      <c r="U95" s="9">
        <f>+'Curv hora 2029 - 2033 (100%)'!U95*0.5</f>
        <v>5749.88</v>
      </c>
      <c r="V95" s="9">
        <f>+'Curv hora 2029 - 2033 (100%)'!V95*0.5</f>
        <v>6894.54</v>
      </c>
      <c r="W95" s="9">
        <f>+'Curv hora 2029 - 2033 (100%)'!W95*0.5</f>
        <v>7313.83</v>
      </c>
      <c r="X95" s="9">
        <f>+'Curv hora 2029 - 2033 (100%)'!X95*0.5</f>
        <v>7712.3249999999998</v>
      </c>
      <c r="Y95" s="9">
        <f>+'Curv hora 2029 - 2033 (100%)'!Y95*0.5</f>
        <v>7763.7</v>
      </c>
      <c r="Z95" s="9">
        <f>+'Curv hora 2029 - 2033 (100%)'!Z95*0.5</f>
        <v>7122.415</v>
      </c>
      <c r="AA95" s="9">
        <f>+'Curv hora 2029 - 2033 (100%)'!AA95*0.5</f>
        <v>6203.08</v>
      </c>
      <c r="AB95" s="38">
        <f>+'Curv hora 2029 - 2033 (100%)'!AB95*0.5</f>
        <v>5393.335</v>
      </c>
      <c r="AC95" s="71"/>
    </row>
    <row r="96" spans="1:29" x14ac:dyDescent="0.3">
      <c r="A96" s="67">
        <v>48000</v>
      </c>
      <c r="B96" s="69">
        <f t="shared" ref="B96" si="26">DAY(EOMONTH(A96,0))</f>
        <v>30</v>
      </c>
      <c r="C96" s="3" t="s">
        <v>36</v>
      </c>
      <c r="D96" s="10">
        <v>18</v>
      </c>
      <c r="E96" s="33">
        <f>+'Curv hora 2029 - 2033 (100%)'!E96*0.5</f>
        <v>4126.83</v>
      </c>
      <c r="F96" s="13">
        <f>+'Curv hora 2029 - 2033 (100%)'!F96*0.5</f>
        <v>3858.31</v>
      </c>
      <c r="G96" s="13">
        <f>+'Curv hora 2029 - 2033 (100%)'!G96*0.5</f>
        <v>3736.0949999999998</v>
      </c>
      <c r="H96" s="13">
        <f>+'Curv hora 2029 - 2033 (100%)'!H96*0.5</f>
        <v>3667.12</v>
      </c>
      <c r="I96" s="13">
        <f>+'Curv hora 2029 - 2033 (100%)'!I96*0.5</f>
        <v>3684.7449999999999</v>
      </c>
      <c r="J96" s="13">
        <f>+'Curv hora 2029 - 2033 (100%)'!J96*0.5</f>
        <v>4008.22</v>
      </c>
      <c r="K96" s="13">
        <f>+'Curv hora 2029 - 2033 (100%)'!K96*0.5</f>
        <v>4399.7849999999999</v>
      </c>
      <c r="L96" s="13">
        <f>+'Curv hora 2029 - 2033 (100%)'!L96*0.5</f>
        <v>3857.02</v>
      </c>
      <c r="M96" s="13">
        <f>+'Curv hora 2029 - 2033 (100%)'!M96*0.5</f>
        <v>4502.0950000000003</v>
      </c>
      <c r="N96" s="13">
        <f>+'Curv hora 2029 - 2033 (100%)'!N96*0.5</f>
        <v>4948.87</v>
      </c>
      <c r="O96" s="13">
        <f>+'Curv hora 2029 - 2033 (100%)'!O96*0.5</f>
        <v>5260.2849999999999</v>
      </c>
      <c r="P96" s="13">
        <f>+'Curv hora 2029 - 2033 (100%)'!P96*0.5</f>
        <v>5506.65</v>
      </c>
      <c r="Q96" s="13">
        <f>+'Curv hora 2029 - 2033 (100%)'!Q96*0.5</f>
        <v>5247.48</v>
      </c>
      <c r="R96" s="13">
        <f>+'Curv hora 2029 - 2033 (100%)'!R96*0.5</f>
        <v>5280.6949999999997</v>
      </c>
      <c r="S96" s="13">
        <f>+'Curv hora 2029 - 2033 (100%)'!S96*0.5</f>
        <v>5628.625</v>
      </c>
      <c r="T96" s="13">
        <f>+'Curv hora 2029 - 2033 (100%)'!T96*0.5</f>
        <v>5737.29</v>
      </c>
      <c r="U96" s="13">
        <f>+'Curv hora 2029 - 2033 (100%)'!U96*0.5</f>
        <v>5805.03</v>
      </c>
      <c r="V96" s="13">
        <f>+'Curv hora 2029 - 2033 (100%)'!V96*0.5</f>
        <v>6986.7049999999999</v>
      </c>
      <c r="W96" s="13">
        <f>+'Curv hora 2029 - 2033 (100%)'!W96*0.5</f>
        <v>7638.1049999999996</v>
      </c>
      <c r="X96" s="13">
        <f>+'Curv hora 2029 - 2033 (100%)'!X96*0.5</f>
        <v>7826.43</v>
      </c>
      <c r="Y96" s="13">
        <f>+'Curv hora 2029 - 2033 (100%)'!Y96*0.5</f>
        <v>7299.0050000000001</v>
      </c>
      <c r="Z96" s="13">
        <f>+'Curv hora 2029 - 2033 (100%)'!Z96*0.5</f>
        <v>6519.1549999999997</v>
      </c>
      <c r="AA96" s="13">
        <f>+'Curv hora 2029 - 2033 (100%)'!AA96*0.5</f>
        <v>5531.98</v>
      </c>
      <c r="AB96" s="34">
        <f>+'Curv hora 2029 - 2033 (100%)'!AB96*0.5</f>
        <v>4727.43</v>
      </c>
      <c r="AC96" s="71">
        <f>SUMPRODUCT((E96:AB98)*D96:D98)</f>
        <v>3732798.0900000008</v>
      </c>
    </row>
    <row r="97" spans="1:29" x14ac:dyDescent="0.3">
      <c r="A97" s="68"/>
      <c r="B97" s="70"/>
      <c r="C97" t="s">
        <v>37</v>
      </c>
      <c r="D97" s="11">
        <v>4</v>
      </c>
      <c r="E97" s="35">
        <f>+'Curv hora 2029 - 2033 (100%)'!E97*0.5</f>
        <v>4247.7749999999996</v>
      </c>
      <c r="F97" s="5">
        <f>+'Curv hora 2029 - 2033 (100%)'!F97*0.5</f>
        <v>3924.99</v>
      </c>
      <c r="G97" s="5">
        <f>+'Curv hora 2029 - 2033 (100%)'!G97*0.5</f>
        <v>3715.3449999999998</v>
      </c>
      <c r="H97" s="5">
        <f>+'Curv hora 2029 - 2033 (100%)'!H97*0.5</f>
        <v>3612.42</v>
      </c>
      <c r="I97" s="5">
        <f>+'Curv hora 2029 - 2033 (100%)'!I97*0.5</f>
        <v>3619.09</v>
      </c>
      <c r="J97" s="5">
        <f>+'Curv hora 2029 - 2033 (100%)'!J97*0.5</f>
        <v>3732.11</v>
      </c>
      <c r="K97" s="5">
        <f>+'Curv hora 2029 - 2033 (100%)'!K97*0.5</f>
        <v>3976.9749999999999</v>
      </c>
      <c r="L97" s="5">
        <f>+'Curv hora 2029 - 2033 (100%)'!L97*0.5</f>
        <v>3610.1750000000002</v>
      </c>
      <c r="M97" s="5">
        <f>+'Curv hora 2029 - 2033 (100%)'!M97*0.5</f>
        <v>4486.835</v>
      </c>
      <c r="N97" s="5">
        <f>+'Curv hora 2029 - 2033 (100%)'!N97*0.5</f>
        <v>5127.1750000000002</v>
      </c>
      <c r="O97" s="5">
        <f>+'Curv hora 2029 - 2033 (100%)'!O97*0.5</f>
        <v>5506.16</v>
      </c>
      <c r="P97" s="5">
        <f>+'Curv hora 2029 - 2033 (100%)'!P97*0.5</f>
        <v>5751.91</v>
      </c>
      <c r="Q97" s="5">
        <f>+'Curv hora 2029 - 2033 (100%)'!Q97*0.5</f>
        <v>5636.54</v>
      </c>
      <c r="R97" s="5">
        <f>+'Curv hora 2029 - 2033 (100%)'!R97*0.5</f>
        <v>5588.84</v>
      </c>
      <c r="S97" s="5">
        <f>+'Curv hora 2029 - 2033 (100%)'!S97*0.5</f>
        <v>5607.5349999999999</v>
      </c>
      <c r="T97" s="5">
        <f>+'Curv hora 2029 - 2033 (100%)'!T97*0.5</f>
        <v>5529.69</v>
      </c>
      <c r="U97" s="5">
        <f>+'Curv hora 2029 - 2033 (100%)'!U97*0.5</f>
        <v>5521.08</v>
      </c>
      <c r="V97" s="5">
        <f>+'Curv hora 2029 - 2033 (100%)'!V97*0.5</f>
        <v>6732.03</v>
      </c>
      <c r="W97" s="5">
        <f>+'Curv hora 2029 - 2033 (100%)'!W97*0.5</f>
        <v>7527.8050000000003</v>
      </c>
      <c r="X97" s="5">
        <f>+'Curv hora 2029 - 2033 (100%)'!X97*0.5</f>
        <v>7713.77</v>
      </c>
      <c r="Y97" s="5">
        <f>+'Curv hora 2029 - 2033 (100%)'!Y97*0.5</f>
        <v>7207.875</v>
      </c>
      <c r="Z97" s="5">
        <f>+'Curv hora 2029 - 2033 (100%)'!Z97*0.5</f>
        <v>6578.4750000000004</v>
      </c>
      <c r="AA97" s="5">
        <f>+'Curv hora 2029 - 2033 (100%)'!AA97*0.5</f>
        <v>5794.5150000000003</v>
      </c>
      <c r="AB97" s="36">
        <f>+'Curv hora 2029 - 2033 (100%)'!AB97*0.5</f>
        <v>5063.26</v>
      </c>
      <c r="AC97" s="71"/>
    </row>
    <row r="98" spans="1:29" x14ac:dyDescent="0.3">
      <c r="A98" s="76"/>
      <c r="B98" s="77"/>
      <c r="C98" s="7" t="s">
        <v>38</v>
      </c>
      <c r="D98" s="12">
        <v>8</v>
      </c>
      <c r="E98" s="37">
        <f>+'Curv hora 2029 - 2033 (100%)'!E98*0.5</f>
        <v>4295.0749999999998</v>
      </c>
      <c r="F98" s="9">
        <f>+'Curv hora 2029 - 2033 (100%)'!F98*0.5</f>
        <v>4015.915</v>
      </c>
      <c r="G98" s="9">
        <f>+'Curv hora 2029 - 2033 (100%)'!G98*0.5</f>
        <v>3817.68</v>
      </c>
      <c r="H98" s="9">
        <f>+'Curv hora 2029 - 2033 (100%)'!H98*0.5</f>
        <v>3711.09</v>
      </c>
      <c r="I98" s="9">
        <f>+'Curv hora 2029 - 2033 (100%)'!I98*0.5</f>
        <v>3648.395</v>
      </c>
      <c r="J98" s="9">
        <f>+'Curv hora 2029 - 2033 (100%)'!J98*0.5</f>
        <v>3681.2150000000001</v>
      </c>
      <c r="K98" s="9">
        <f>+'Curv hora 2029 - 2033 (100%)'!K98*0.5</f>
        <v>3813.47</v>
      </c>
      <c r="L98" s="9">
        <f>+'Curv hora 2029 - 2033 (100%)'!L98*0.5</f>
        <v>3345.26</v>
      </c>
      <c r="M98" s="9">
        <f>+'Curv hora 2029 - 2033 (100%)'!M98*0.5</f>
        <v>4134.7349999999997</v>
      </c>
      <c r="N98" s="9">
        <f>+'Curv hora 2029 - 2033 (100%)'!N98*0.5</f>
        <v>4620.84</v>
      </c>
      <c r="O98" s="9">
        <f>+'Curv hora 2029 - 2033 (100%)'!O98*0.5</f>
        <v>5045.125</v>
      </c>
      <c r="P98" s="9">
        <f>+'Curv hora 2029 - 2033 (100%)'!P98*0.5</f>
        <v>5341</v>
      </c>
      <c r="Q98" s="9">
        <f>+'Curv hora 2029 - 2033 (100%)'!Q98*0.5</f>
        <v>5523.9849999999997</v>
      </c>
      <c r="R98" s="9">
        <f>+'Curv hora 2029 - 2033 (100%)'!R98*0.5</f>
        <v>5486.38</v>
      </c>
      <c r="S98" s="9">
        <f>+'Curv hora 2029 - 2033 (100%)'!S98*0.5</f>
        <v>5381.915</v>
      </c>
      <c r="T98" s="9">
        <f>+'Curv hora 2029 - 2033 (100%)'!T98*0.5</f>
        <v>5208.835</v>
      </c>
      <c r="U98" s="9">
        <f>+'Curv hora 2029 - 2033 (100%)'!U98*0.5</f>
        <v>5107.8599999999997</v>
      </c>
      <c r="V98" s="9">
        <f>+'Curv hora 2029 - 2033 (100%)'!V98*0.5</f>
        <v>6449.665</v>
      </c>
      <c r="W98" s="9">
        <f>+'Curv hora 2029 - 2033 (100%)'!W98*0.5</f>
        <v>7143.11</v>
      </c>
      <c r="X98" s="9">
        <f>+'Curv hora 2029 - 2033 (100%)'!X98*0.5</f>
        <v>7291.2749999999996</v>
      </c>
      <c r="Y98" s="9">
        <f>+'Curv hora 2029 - 2033 (100%)'!Y98*0.5</f>
        <v>6992.5</v>
      </c>
      <c r="Z98" s="9">
        <f>+'Curv hora 2029 - 2033 (100%)'!Z98*0.5</f>
        <v>6379.1450000000004</v>
      </c>
      <c r="AA98" s="9">
        <f>+'Curv hora 2029 - 2033 (100%)'!AA98*0.5</f>
        <v>5499.4250000000002</v>
      </c>
      <c r="AB98" s="38">
        <f>+'Curv hora 2029 - 2033 (100%)'!AB98*0.5</f>
        <v>4745.78</v>
      </c>
      <c r="AC98" s="71"/>
    </row>
    <row r="99" spans="1:29" x14ac:dyDescent="0.3">
      <c r="A99" s="67">
        <v>48030</v>
      </c>
      <c r="B99" s="69">
        <f t="shared" ref="B99" si="27">DAY(EOMONTH(A99,0))</f>
        <v>31</v>
      </c>
      <c r="C99" s="3" t="s">
        <v>36</v>
      </c>
      <c r="D99" s="10">
        <v>23</v>
      </c>
      <c r="E99" s="33">
        <f>+'Curv hora 2029 - 2033 (100%)'!E99*0.5</f>
        <v>4290.9250000000002</v>
      </c>
      <c r="F99" s="13">
        <f>+'Curv hora 2029 - 2033 (100%)'!F99*0.5</f>
        <v>4009.7550000000001</v>
      </c>
      <c r="G99" s="13">
        <f>+'Curv hora 2029 - 2033 (100%)'!G99*0.5</f>
        <v>3861.66</v>
      </c>
      <c r="H99" s="13">
        <f>+'Curv hora 2029 - 2033 (100%)'!H99*0.5</f>
        <v>3774.375</v>
      </c>
      <c r="I99" s="13">
        <f>+'Curv hora 2029 - 2033 (100%)'!I99*0.5</f>
        <v>3787.5549999999998</v>
      </c>
      <c r="J99" s="13">
        <f>+'Curv hora 2029 - 2033 (100%)'!J99*0.5</f>
        <v>4110.87</v>
      </c>
      <c r="K99" s="13">
        <f>+'Curv hora 2029 - 2033 (100%)'!K99*0.5</f>
        <v>4482.3450000000003</v>
      </c>
      <c r="L99" s="13">
        <f>+'Curv hora 2029 - 2033 (100%)'!L99*0.5</f>
        <v>3991.69</v>
      </c>
      <c r="M99" s="13">
        <f>+'Curv hora 2029 - 2033 (100%)'!M99*0.5</f>
        <v>4734.8450000000003</v>
      </c>
      <c r="N99" s="13">
        <f>+'Curv hora 2029 - 2033 (100%)'!N99*0.5</f>
        <v>5201.4799999999996</v>
      </c>
      <c r="O99" s="13">
        <f>+'Curv hora 2029 - 2033 (100%)'!O99*0.5</f>
        <v>5586.72</v>
      </c>
      <c r="P99" s="13">
        <f>+'Curv hora 2029 - 2033 (100%)'!P99*0.5</f>
        <v>5961.3850000000002</v>
      </c>
      <c r="Q99" s="13">
        <f>+'Curv hora 2029 - 2033 (100%)'!Q99*0.5</f>
        <v>5806.4</v>
      </c>
      <c r="R99" s="13">
        <f>+'Curv hora 2029 - 2033 (100%)'!R99*0.5</f>
        <v>5800.17</v>
      </c>
      <c r="S99" s="13">
        <f>+'Curv hora 2029 - 2033 (100%)'!S99*0.5</f>
        <v>6160.7250000000004</v>
      </c>
      <c r="T99" s="13">
        <f>+'Curv hora 2029 - 2033 (100%)'!T99*0.5</f>
        <v>6350.64</v>
      </c>
      <c r="U99" s="13">
        <f>+'Curv hora 2029 - 2033 (100%)'!U99*0.5</f>
        <v>6356.6549999999997</v>
      </c>
      <c r="V99" s="13">
        <f>+'Curv hora 2029 - 2033 (100%)'!V99*0.5</f>
        <v>7518.0649999999996</v>
      </c>
      <c r="W99" s="13">
        <f>+'Curv hora 2029 - 2033 (100%)'!W99*0.5</f>
        <v>8056.0249999999996</v>
      </c>
      <c r="X99" s="13">
        <f>+'Curv hora 2029 - 2033 (100%)'!X99*0.5</f>
        <v>8323.0300000000007</v>
      </c>
      <c r="Y99" s="13">
        <f>+'Curv hora 2029 - 2033 (100%)'!Y99*0.5</f>
        <v>7798.8950000000004</v>
      </c>
      <c r="Z99" s="13">
        <f>+'Curv hora 2029 - 2033 (100%)'!Z99*0.5</f>
        <v>7022.7</v>
      </c>
      <c r="AA99" s="13">
        <f>+'Curv hora 2029 - 2033 (100%)'!AA99*0.5</f>
        <v>5965.2650000000003</v>
      </c>
      <c r="AB99" s="34">
        <f>+'Curv hora 2029 - 2033 (100%)'!AB99*0.5</f>
        <v>5085.08</v>
      </c>
      <c r="AC99" s="71">
        <f t="shared" ref="AC99" si="28">SUMPRODUCT((E99:AB101)*D99:D101)</f>
        <v>4076171.5249999994</v>
      </c>
    </row>
    <row r="100" spans="1:29" x14ac:dyDescent="0.3">
      <c r="A100" s="68"/>
      <c r="B100" s="70"/>
      <c r="C100" t="s">
        <v>37</v>
      </c>
      <c r="D100" s="11">
        <v>4</v>
      </c>
      <c r="E100" s="35">
        <f>+'Curv hora 2029 - 2033 (100%)'!E100*0.5</f>
        <v>4386.415</v>
      </c>
      <c r="F100" s="5">
        <f>+'Curv hora 2029 - 2033 (100%)'!F100*0.5</f>
        <v>4074.8449999999998</v>
      </c>
      <c r="G100" s="5">
        <f>+'Curv hora 2029 - 2033 (100%)'!G100*0.5</f>
        <v>3884.4850000000001</v>
      </c>
      <c r="H100" s="5">
        <f>+'Curv hora 2029 - 2033 (100%)'!H100*0.5</f>
        <v>3798.8150000000001</v>
      </c>
      <c r="I100" s="5">
        <f>+'Curv hora 2029 - 2033 (100%)'!I100*0.5</f>
        <v>3764.3449999999998</v>
      </c>
      <c r="J100" s="5">
        <f>+'Curv hora 2029 - 2033 (100%)'!J100*0.5</f>
        <v>3888.54</v>
      </c>
      <c r="K100" s="5">
        <f>+'Curv hora 2029 - 2033 (100%)'!K100*0.5</f>
        <v>4086.92</v>
      </c>
      <c r="L100" s="5">
        <f>+'Curv hora 2029 - 2033 (100%)'!L100*0.5</f>
        <v>3769.62</v>
      </c>
      <c r="M100" s="5">
        <f>+'Curv hora 2029 - 2033 (100%)'!M100*0.5</f>
        <v>4562.5950000000003</v>
      </c>
      <c r="N100" s="5">
        <f>+'Curv hora 2029 - 2033 (100%)'!N100*0.5</f>
        <v>5094.1049999999996</v>
      </c>
      <c r="O100" s="5">
        <f>+'Curv hora 2029 - 2033 (100%)'!O100*0.5</f>
        <v>5441.77</v>
      </c>
      <c r="P100" s="5">
        <f>+'Curv hora 2029 - 2033 (100%)'!P100*0.5</f>
        <v>5731.1</v>
      </c>
      <c r="Q100" s="5">
        <f>+'Curv hora 2029 - 2033 (100%)'!Q100*0.5</f>
        <v>5608.7650000000003</v>
      </c>
      <c r="R100" s="5">
        <f>+'Curv hora 2029 - 2033 (100%)'!R100*0.5</f>
        <v>5548.2</v>
      </c>
      <c r="S100" s="5">
        <f>+'Curv hora 2029 - 2033 (100%)'!S100*0.5</f>
        <v>5619.24</v>
      </c>
      <c r="T100" s="5">
        <f>+'Curv hora 2029 - 2033 (100%)'!T100*0.5</f>
        <v>5742.6549999999997</v>
      </c>
      <c r="U100" s="5">
        <f>+'Curv hora 2029 - 2033 (100%)'!U100*0.5</f>
        <v>5694.9949999999999</v>
      </c>
      <c r="V100" s="5">
        <f>+'Curv hora 2029 - 2033 (100%)'!V100*0.5</f>
        <v>6841.89</v>
      </c>
      <c r="W100" s="5">
        <f>+'Curv hora 2029 - 2033 (100%)'!W100*0.5</f>
        <v>7593.8549999999996</v>
      </c>
      <c r="X100" s="5">
        <f>+'Curv hora 2029 - 2033 (100%)'!X100*0.5</f>
        <v>7939.2150000000001</v>
      </c>
      <c r="Y100" s="5">
        <f>+'Curv hora 2029 - 2033 (100%)'!Y100*0.5</f>
        <v>7411.3950000000004</v>
      </c>
      <c r="Z100" s="5">
        <f>+'Curv hora 2029 - 2033 (100%)'!Z100*0.5</f>
        <v>6704.84</v>
      </c>
      <c r="AA100" s="5">
        <f>+'Curv hora 2029 - 2033 (100%)'!AA100*0.5</f>
        <v>5865.06</v>
      </c>
      <c r="AB100" s="36">
        <f>+'Curv hora 2029 - 2033 (100%)'!AB100*0.5</f>
        <v>5056.3249999999998</v>
      </c>
      <c r="AC100" s="71"/>
    </row>
    <row r="101" spans="1:29" x14ac:dyDescent="0.3">
      <c r="A101" s="76"/>
      <c r="B101" s="77"/>
      <c r="C101" s="7" t="s">
        <v>38</v>
      </c>
      <c r="D101" s="12">
        <v>4</v>
      </c>
      <c r="E101" s="37">
        <f>+'Curv hora 2029 - 2033 (100%)'!E101*0.5</f>
        <v>4384.5</v>
      </c>
      <c r="F101" s="9">
        <f>+'Curv hora 2029 - 2033 (100%)'!F101*0.5</f>
        <v>4075.54</v>
      </c>
      <c r="G101" s="9">
        <f>+'Curv hora 2029 - 2033 (100%)'!G101*0.5</f>
        <v>3870.125</v>
      </c>
      <c r="H101" s="9">
        <f>+'Curv hora 2029 - 2033 (100%)'!H101*0.5</f>
        <v>3749.4850000000001</v>
      </c>
      <c r="I101" s="9">
        <f>+'Curv hora 2029 - 2033 (100%)'!I101*0.5</f>
        <v>3692.2950000000001</v>
      </c>
      <c r="J101" s="9">
        <f>+'Curv hora 2029 - 2033 (100%)'!J101*0.5</f>
        <v>3756.02</v>
      </c>
      <c r="K101" s="9">
        <f>+'Curv hora 2029 - 2033 (100%)'!K101*0.5</f>
        <v>3870.2750000000001</v>
      </c>
      <c r="L101" s="9">
        <f>+'Curv hora 2029 - 2033 (100%)'!L101*0.5</f>
        <v>3417.5149999999999</v>
      </c>
      <c r="M101" s="9">
        <f>+'Curv hora 2029 - 2033 (100%)'!M101*0.5</f>
        <v>4098.4250000000002</v>
      </c>
      <c r="N101" s="9">
        <f>+'Curv hora 2029 - 2033 (100%)'!N101*0.5</f>
        <v>4610.24</v>
      </c>
      <c r="O101" s="9">
        <f>+'Curv hora 2029 - 2033 (100%)'!O101*0.5</f>
        <v>4924.5</v>
      </c>
      <c r="P101" s="9">
        <f>+'Curv hora 2029 - 2033 (100%)'!P101*0.5</f>
        <v>5194.7250000000004</v>
      </c>
      <c r="Q101" s="9">
        <f>+'Curv hora 2029 - 2033 (100%)'!Q101*0.5</f>
        <v>5303.84</v>
      </c>
      <c r="R101" s="9">
        <f>+'Curv hora 2029 - 2033 (100%)'!R101*0.5</f>
        <v>5292.5450000000001</v>
      </c>
      <c r="S101" s="9">
        <f>+'Curv hora 2029 - 2033 (100%)'!S101*0.5</f>
        <v>5289.3950000000004</v>
      </c>
      <c r="T101" s="9">
        <f>+'Curv hora 2029 - 2033 (100%)'!T101*0.5</f>
        <v>5162.3149999999996</v>
      </c>
      <c r="U101" s="9">
        <f>+'Curv hora 2029 - 2033 (100%)'!U101*0.5</f>
        <v>5096.1949999999997</v>
      </c>
      <c r="V101" s="9">
        <f>+'Curv hora 2029 - 2033 (100%)'!V101*0.5</f>
        <v>6185.23</v>
      </c>
      <c r="W101" s="9">
        <f>+'Curv hora 2029 - 2033 (100%)'!W101*0.5</f>
        <v>6923.91</v>
      </c>
      <c r="X101" s="9">
        <f>+'Curv hora 2029 - 2033 (100%)'!X101*0.5</f>
        <v>7363.25</v>
      </c>
      <c r="Y101" s="9">
        <f>+'Curv hora 2029 - 2033 (100%)'!Y101*0.5</f>
        <v>7025.69</v>
      </c>
      <c r="Z101" s="9">
        <f>+'Curv hora 2029 - 2033 (100%)'!Z101*0.5</f>
        <v>6441.9750000000004</v>
      </c>
      <c r="AA101" s="9">
        <f>+'Curv hora 2029 - 2033 (100%)'!AA101*0.5</f>
        <v>5606.09</v>
      </c>
      <c r="AB101" s="38">
        <f>+'Curv hora 2029 - 2033 (100%)'!AB101*0.5</f>
        <v>4884.5950000000003</v>
      </c>
      <c r="AC101" s="71"/>
    </row>
    <row r="102" spans="1:29" x14ac:dyDescent="0.3">
      <c r="A102" s="67">
        <v>48061</v>
      </c>
      <c r="B102" s="69">
        <f t="shared" ref="B102" si="29">DAY(EOMONTH(A102,0))</f>
        <v>31</v>
      </c>
      <c r="C102" s="3" t="s">
        <v>36</v>
      </c>
      <c r="D102" s="10">
        <v>19</v>
      </c>
      <c r="E102" s="33">
        <f>+'Curv hora 2029 - 2033 (100%)'!E102*0.5</f>
        <v>4501.53</v>
      </c>
      <c r="F102" s="13">
        <f>+'Curv hora 2029 - 2033 (100%)'!F102*0.5</f>
        <v>4243.07</v>
      </c>
      <c r="G102" s="13">
        <f>+'Curv hora 2029 - 2033 (100%)'!G102*0.5</f>
        <v>4083.2950000000001</v>
      </c>
      <c r="H102" s="13">
        <f>+'Curv hora 2029 - 2033 (100%)'!H102*0.5</f>
        <v>3982.02</v>
      </c>
      <c r="I102" s="13">
        <f>+'Curv hora 2029 - 2033 (100%)'!I102*0.5</f>
        <v>3995.39</v>
      </c>
      <c r="J102" s="13">
        <f>+'Curv hora 2029 - 2033 (100%)'!J102*0.5</f>
        <v>4169.6549999999997</v>
      </c>
      <c r="K102" s="13">
        <f>+'Curv hora 2029 - 2033 (100%)'!K102*0.5</f>
        <v>4651.5200000000004</v>
      </c>
      <c r="L102" s="13">
        <f>+'Curv hora 2029 - 2033 (100%)'!L102*0.5</f>
        <v>4170.875</v>
      </c>
      <c r="M102" s="13">
        <f>+'Curv hora 2029 - 2033 (100%)'!M102*0.5</f>
        <v>4837.5349999999999</v>
      </c>
      <c r="N102" s="13">
        <f>+'Curv hora 2029 - 2033 (100%)'!N102*0.5</f>
        <v>5326.95</v>
      </c>
      <c r="O102" s="13">
        <f>+'Curv hora 2029 - 2033 (100%)'!O102*0.5</f>
        <v>5799.59</v>
      </c>
      <c r="P102" s="13">
        <f>+'Curv hora 2029 - 2033 (100%)'!P102*0.5</f>
        <v>6148.7849999999999</v>
      </c>
      <c r="Q102" s="13">
        <f>+'Curv hora 2029 - 2033 (100%)'!Q102*0.5</f>
        <v>6069.03</v>
      </c>
      <c r="R102" s="13">
        <f>+'Curv hora 2029 - 2033 (100%)'!R102*0.5</f>
        <v>6222.9949999999999</v>
      </c>
      <c r="S102" s="13">
        <f>+'Curv hora 2029 - 2033 (100%)'!S102*0.5</f>
        <v>6703.49</v>
      </c>
      <c r="T102" s="13">
        <f>+'Curv hora 2029 - 2033 (100%)'!T102*0.5</f>
        <v>6993.35</v>
      </c>
      <c r="U102" s="13">
        <f>+'Curv hora 2029 - 2033 (100%)'!U102*0.5</f>
        <v>6989.25</v>
      </c>
      <c r="V102" s="13">
        <f>+'Curv hora 2029 - 2033 (100%)'!V102*0.5</f>
        <v>7869.69</v>
      </c>
      <c r="W102" s="13">
        <f>+'Curv hora 2029 - 2033 (100%)'!W102*0.5</f>
        <v>8428.6149999999998</v>
      </c>
      <c r="X102" s="13">
        <f>+'Curv hora 2029 - 2033 (100%)'!X102*0.5</f>
        <v>8849.8799999999992</v>
      </c>
      <c r="Y102" s="13">
        <f>+'Curv hora 2029 - 2033 (100%)'!Y102*0.5</f>
        <v>8336.7000000000007</v>
      </c>
      <c r="Z102" s="13">
        <f>+'Curv hora 2029 - 2033 (100%)'!Z102*0.5</f>
        <v>7531.2150000000001</v>
      </c>
      <c r="AA102" s="13">
        <f>+'Curv hora 2029 - 2033 (100%)'!AA102*0.5</f>
        <v>6421.7650000000003</v>
      </c>
      <c r="AB102" s="34">
        <f>+'Curv hora 2029 - 2033 (100%)'!AB102*0.5</f>
        <v>5479.6949999999997</v>
      </c>
      <c r="AC102" s="71">
        <f t="shared" ref="AC102" si="30">SUMPRODUCT((E102:AB104)*D102:D104)</f>
        <v>4330411.7200000007</v>
      </c>
    </row>
    <row r="103" spans="1:29" x14ac:dyDescent="0.3">
      <c r="A103" s="68"/>
      <c r="B103" s="70"/>
      <c r="C103" t="s">
        <v>37</v>
      </c>
      <c r="D103" s="11">
        <v>5</v>
      </c>
      <c r="E103" s="35">
        <f>+'Curv hora 2029 - 2033 (100%)'!E103*0.5</f>
        <v>4989.0950000000003</v>
      </c>
      <c r="F103" s="5">
        <f>+'Curv hora 2029 - 2033 (100%)'!F103*0.5</f>
        <v>4648.2849999999999</v>
      </c>
      <c r="G103" s="5">
        <f>+'Curv hora 2029 - 2033 (100%)'!G103*0.5</f>
        <v>4199.7550000000001</v>
      </c>
      <c r="H103" s="5">
        <f>+'Curv hora 2029 - 2033 (100%)'!H103*0.5</f>
        <v>4372.4549999999999</v>
      </c>
      <c r="I103" s="5">
        <f>+'Curv hora 2029 - 2033 (100%)'!I103*0.5</f>
        <v>4224.7749999999996</v>
      </c>
      <c r="J103" s="5">
        <f>+'Curv hora 2029 - 2033 (100%)'!J103*0.5</f>
        <v>4298.6949999999997</v>
      </c>
      <c r="K103" s="5">
        <f>+'Curv hora 2029 - 2033 (100%)'!K103*0.5</f>
        <v>4472.54</v>
      </c>
      <c r="L103" s="5">
        <f>+'Curv hora 2029 - 2033 (100%)'!L103*0.5</f>
        <v>4358.335</v>
      </c>
      <c r="M103" s="5">
        <f>+'Curv hora 2029 - 2033 (100%)'!M103*0.5</f>
        <v>5130.165</v>
      </c>
      <c r="N103" s="5">
        <f>+'Curv hora 2029 - 2033 (100%)'!N103*0.5</f>
        <v>5789.8</v>
      </c>
      <c r="O103" s="5">
        <f>+'Curv hora 2029 - 2033 (100%)'!O103*0.5</f>
        <v>6264.3149999999996</v>
      </c>
      <c r="P103" s="5">
        <f>+'Curv hora 2029 - 2033 (100%)'!P103*0.5</f>
        <v>6645.9849999999997</v>
      </c>
      <c r="Q103" s="5">
        <f>+'Curv hora 2029 - 2033 (100%)'!Q103*0.5</f>
        <v>6580.8149999999996</v>
      </c>
      <c r="R103" s="5">
        <f>+'Curv hora 2029 - 2033 (100%)'!R103*0.5</f>
        <v>6560.5749999999998</v>
      </c>
      <c r="S103" s="5">
        <f>+'Curv hora 2029 - 2033 (100%)'!S103*0.5</f>
        <v>6650.91</v>
      </c>
      <c r="T103" s="5">
        <f>+'Curv hora 2029 - 2033 (100%)'!T103*0.5</f>
        <v>6523.665</v>
      </c>
      <c r="U103" s="5">
        <f>+'Curv hora 2029 - 2033 (100%)'!U103*0.5</f>
        <v>6534.7250000000004</v>
      </c>
      <c r="V103" s="5">
        <f>+'Curv hora 2029 - 2033 (100%)'!V103*0.5</f>
        <v>7574.03</v>
      </c>
      <c r="W103" s="5">
        <f>+'Curv hora 2029 - 2033 (100%)'!W103*0.5</f>
        <v>8356.6450000000004</v>
      </c>
      <c r="X103" s="5">
        <f>+'Curv hora 2029 - 2033 (100%)'!X103*0.5</f>
        <v>8671.18</v>
      </c>
      <c r="Y103" s="5">
        <f>+'Curv hora 2029 - 2033 (100%)'!Y103*0.5</f>
        <v>8149.43</v>
      </c>
      <c r="Z103" s="5">
        <f>+'Curv hora 2029 - 2033 (100%)'!Z103*0.5</f>
        <v>7503.32</v>
      </c>
      <c r="AA103" s="5">
        <f>+'Curv hora 2029 - 2033 (100%)'!AA103*0.5</f>
        <v>6633.0550000000003</v>
      </c>
      <c r="AB103" s="36">
        <f>+'Curv hora 2029 - 2033 (100%)'!AB103*0.5</f>
        <v>5901.1</v>
      </c>
      <c r="AC103" s="71"/>
    </row>
    <row r="104" spans="1:29" x14ac:dyDescent="0.3">
      <c r="A104" s="76"/>
      <c r="B104" s="77"/>
      <c r="C104" s="7" t="s">
        <v>38</v>
      </c>
      <c r="D104" s="12">
        <v>7</v>
      </c>
      <c r="E104" s="37">
        <f>+'Curv hora 2029 - 2033 (100%)'!E104*0.5</f>
        <v>4883.09</v>
      </c>
      <c r="F104" s="9">
        <f>+'Curv hora 2029 - 2033 (100%)'!F104*0.5</f>
        <v>4534.835</v>
      </c>
      <c r="G104" s="9">
        <f>+'Curv hora 2029 - 2033 (100%)'!G104*0.5</f>
        <v>4311.84</v>
      </c>
      <c r="H104" s="9">
        <f>+'Curv hora 2029 - 2033 (100%)'!H104*0.5</f>
        <v>4175.26</v>
      </c>
      <c r="I104" s="9">
        <f>+'Curv hora 2029 - 2033 (100%)'!I104*0.5</f>
        <v>4023.88</v>
      </c>
      <c r="J104" s="9">
        <f>+'Curv hora 2029 - 2033 (100%)'!J104*0.5</f>
        <v>4103.2650000000003</v>
      </c>
      <c r="K104" s="9">
        <f>+'Curv hora 2029 - 2033 (100%)'!K104*0.5</f>
        <v>4291.4650000000001</v>
      </c>
      <c r="L104" s="9">
        <f>+'Curv hora 2029 - 2033 (100%)'!L104*0.5</f>
        <v>3785.25</v>
      </c>
      <c r="M104" s="9">
        <f>+'Curv hora 2029 - 2033 (100%)'!M104*0.5</f>
        <v>4466.71</v>
      </c>
      <c r="N104" s="9">
        <f>+'Curv hora 2029 - 2033 (100%)'!N104*0.5</f>
        <v>4876.8900000000003</v>
      </c>
      <c r="O104" s="9">
        <f>+'Curv hora 2029 - 2033 (100%)'!O104*0.5</f>
        <v>5254.28</v>
      </c>
      <c r="P104" s="9">
        <f>+'Curv hora 2029 - 2033 (100%)'!P104*0.5</f>
        <v>5778.9449999999997</v>
      </c>
      <c r="Q104" s="9">
        <f>+'Curv hora 2029 - 2033 (100%)'!Q104*0.5</f>
        <v>5722.26</v>
      </c>
      <c r="R104" s="9">
        <f>+'Curv hora 2029 - 2033 (100%)'!R104*0.5</f>
        <v>5583.3149999999996</v>
      </c>
      <c r="S104" s="9">
        <f>+'Curv hora 2029 - 2033 (100%)'!S104*0.5</f>
        <v>5599.33</v>
      </c>
      <c r="T104" s="9">
        <f>+'Curv hora 2029 - 2033 (100%)'!T104*0.5</f>
        <v>5450.7749999999996</v>
      </c>
      <c r="U104" s="9">
        <f>+'Curv hora 2029 - 2033 (100%)'!U104*0.5</f>
        <v>5497.0950000000003</v>
      </c>
      <c r="V104" s="9">
        <f>+'Curv hora 2029 - 2033 (100%)'!V104*0.5</f>
        <v>6749.6149999999998</v>
      </c>
      <c r="W104" s="9">
        <f>+'Curv hora 2029 - 2033 (100%)'!W104*0.5</f>
        <v>7615.53</v>
      </c>
      <c r="X104" s="9">
        <f>+'Curv hora 2029 - 2033 (100%)'!X104*0.5</f>
        <v>7825.9949999999999</v>
      </c>
      <c r="Y104" s="9">
        <f>+'Curv hora 2029 - 2033 (100%)'!Y104*0.5</f>
        <v>7435.81</v>
      </c>
      <c r="Z104" s="9">
        <f>+'Curv hora 2029 - 2033 (100%)'!Z104*0.5</f>
        <v>6918.1049999999996</v>
      </c>
      <c r="AA104" s="9">
        <f>+'Curv hora 2029 - 2033 (100%)'!AA104*0.5</f>
        <v>6006.2650000000003</v>
      </c>
      <c r="AB104" s="38">
        <f>+'Curv hora 2029 - 2033 (100%)'!AB104*0.5</f>
        <v>5243.2749999999996</v>
      </c>
      <c r="AC104" s="71"/>
    </row>
    <row r="105" spans="1:29" x14ac:dyDescent="0.3">
      <c r="A105" s="67">
        <v>48092</v>
      </c>
      <c r="B105" s="69">
        <f t="shared" ref="B105" si="31">DAY(EOMONTH(A105,0))</f>
        <v>30</v>
      </c>
      <c r="C105" s="3" t="s">
        <v>36</v>
      </c>
      <c r="D105" s="10">
        <v>22</v>
      </c>
      <c r="E105" s="33">
        <f>+'Curv hora 2029 - 2033 (100%)'!E105*0.5</f>
        <v>4821.8850000000002</v>
      </c>
      <c r="F105" s="13">
        <f>+'Curv hora 2029 - 2033 (100%)'!F105*0.5</f>
        <v>4499.12</v>
      </c>
      <c r="G105" s="13">
        <f>+'Curv hora 2029 - 2033 (100%)'!G105*0.5</f>
        <v>4362.3450000000003</v>
      </c>
      <c r="H105" s="13">
        <f>+'Curv hora 2029 - 2033 (100%)'!H105*0.5</f>
        <v>4238.8900000000003</v>
      </c>
      <c r="I105" s="13">
        <f>+'Curv hora 2029 - 2033 (100%)'!I105*0.5</f>
        <v>4173.7950000000001</v>
      </c>
      <c r="J105" s="13">
        <f>+'Curv hora 2029 - 2033 (100%)'!J105*0.5</f>
        <v>4385.7</v>
      </c>
      <c r="K105" s="13">
        <f>+'Curv hora 2029 - 2033 (100%)'!K105*0.5</f>
        <v>4910.9549999999999</v>
      </c>
      <c r="L105" s="13">
        <f>+'Curv hora 2029 - 2033 (100%)'!L105*0.5</f>
        <v>4386.2</v>
      </c>
      <c r="M105" s="13">
        <f>+'Curv hora 2029 - 2033 (100%)'!M105*0.5</f>
        <v>5150.6099999999997</v>
      </c>
      <c r="N105" s="13">
        <f>+'Curv hora 2029 - 2033 (100%)'!N105*0.5</f>
        <v>5658.47</v>
      </c>
      <c r="O105" s="13">
        <f>+'Curv hora 2029 - 2033 (100%)'!O105*0.5</f>
        <v>6126.415</v>
      </c>
      <c r="P105" s="13">
        <f>+'Curv hora 2029 - 2033 (100%)'!P105*0.5</f>
        <v>6449.74</v>
      </c>
      <c r="Q105" s="13">
        <f>+'Curv hora 2029 - 2033 (100%)'!Q105*0.5</f>
        <v>6170.7550000000001</v>
      </c>
      <c r="R105" s="13">
        <f>+'Curv hora 2029 - 2033 (100%)'!R105*0.5</f>
        <v>6260.4449999999997</v>
      </c>
      <c r="S105" s="13">
        <f>+'Curv hora 2029 - 2033 (100%)'!S105*0.5</f>
        <v>6674.33</v>
      </c>
      <c r="T105" s="13">
        <f>+'Curv hora 2029 - 2033 (100%)'!T105*0.5</f>
        <v>6835.02</v>
      </c>
      <c r="U105" s="13">
        <f>+'Curv hora 2029 - 2033 (100%)'!U105*0.5</f>
        <v>6889.44</v>
      </c>
      <c r="V105" s="13">
        <f>+'Curv hora 2029 - 2033 (100%)'!V105*0.5</f>
        <v>8007.55</v>
      </c>
      <c r="W105" s="13">
        <f>+'Curv hora 2029 - 2033 (100%)'!W105*0.5</f>
        <v>8730.0550000000003</v>
      </c>
      <c r="X105" s="13">
        <f>+'Curv hora 2029 - 2033 (100%)'!X105*0.5</f>
        <v>8942.5400000000009</v>
      </c>
      <c r="Y105" s="13">
        <f>+'Curv hora 2029 - 2033 (100%)'!Y105*0.5</f>
        <v>8305.2199999999993</v>
      </c>
      <c r="Z105" s="13">
        <f>+'Curv hora 2029 - 2033 (100%)'!Z105*0.5</f>
        <v>7574.52</v>
      </c>
      <c r="AA105" s="13">
        <f>+'Curv hora 2029 - 2033 (100%)'!AA105*0.5</f>
        <v>6540.56</v>
      </c>
      <c r="AB105" s="34">
        <f>+'Curv hora 2029 - 2033 (100%)'!AB105*0.5</f>
        <v>5626.1949999999997</v>
      </c>
      <c r="AC105" s="71">
        <f t="shared" ref="AC105" si="32">SUMPRODUCT((E105:AB107)*D105:D107)</f>
        <v>4310982.7100000009</v>
      </c>
    </row>
    <row r="106" spans="1:29" x14ac:dyDescent="0.3">
      <c r="A106" s="68"/>
      <c r="B106" s="70"/>
      <c r="C106" t="s">
        <v>37</v>
      </c>
      <c r="D106" s="11">
        <v>4</v>
      </c>
      <c r="E106" s="35">
        <f>+'Curv hora 2029 - 2033 (100%)'!E106*0.5</f>
        <v>4969.49</v>
      </c>
      <c r="F106" s="5">
        <f>+'Curv hora 2029 - 2033 (100%)'!F106*0.5</f>
        <v>4634.1099999999997</v>
      </c>
      <c r="G106" s="5">
        <f>+'Curv hora 2029 - 2033 (100%)'!G106*0.5</f>
        <v>4394.0200000000004</v>
      </c>
      <c r="H106" s="5">
        <f>+'Curv hora 2029 - 2033 (100%)'!H106*0.5</f>
        <v>4262.9799999999996</v>
      </c>
      <c r="I106" s="5">
        <f>+'Curv hora 2029 - 2033 (100%)'!I106*0.5</f>
        <v>4212.1350000000002</v>
      </c>
      <c r="J106" s="5">
        <f>+'Curv hora 2029 - 2033 (100%)'!J106*0.5</f>
        <v>4298.7849999999999</v>
      </c>
      <c r="K106" s="5">
        <f>+'Curv hora 2029 - 2033 (100%)'!K106*0.5</f>
        <v>4568.8450000000003</v>
      </c>
      <c r="L106" s="5">
        <f>+'Curv hora 2029 - 2033 (100%)'!L106*0.5</f>
        <v>4327.42</v>
      </c>
      <c r="M106" s="5">
        <f>+'Curv hora 2029 - 2033 (100%)'!M106*0.5</f>
        <v>5180.1000000000004</v>
      </c>
      <c r="N106" s="5">
        <f>+'Curv hora 2029 - 2033 (100%)'!N106*0.5</f>
        <v>5881.7749999999996</v>
      </c>
      <c r="O106" s="5">
        <f>+'Curv hora 2029 - 2033 (100%)'!O106*0.5</f>
        <v>6481.3050000000003</v>
      </c>
      <c r="P106" s="5">
        <f>+'Curv hora 2029 - 2033 (100%)'!P106*0.5</f>
        <v>6935.62</v>
      </c>
      <c r="Q106" s="5">
        <f>+'Curv hora 2029 - 2033 (100%)'!Q106*0.5</f>
        <v>6555.2550000000001</v>
      </c>
      <c r="R106" s="5">
        <f>+'Curv hora 2029 - 2033 (100%)'!R106*0.5</f>
        <v>6938.47</v>
      </c>
      <c r="S106" s="5">
        <f>+'Curv hora 2029 - 2033 (100%)'!S106*0.5</f>
        <v>7111.79</v>
      </c>
      <c r="T106" s="5">
        <f>+'Curv hora 2029 - 2033 (100%)'!T106*0.5</f>
        <v>7130.75</v>
      </c>
      <c r="U106" s="5">
        <f>+'Curv hora 2029 - 2033 (100%)'!U106*0.5</f>
        <v>6796.875</v>
      </c>
      <c r="V106" s="5">
        <f>+'Curv hora 2029 - 2033 (100%)'!V106*0.5</f>
        <v>7977.17</v>
      </c>
      <c r="W106" s="5">
        <f>+'Curv hora 2029 - 2033 (100%)'!W106*0.5</f>
        <v>8829.24</v>
      </c>
      <c r="X106" s="5">
        <f>+'Curv hora 2029 - 2033 (100%)'!X106*0.5</f>
        <v>8908.91</v>
      </c>
      <c r="Y106" s="5">
        <f>+'Curv hora 2029 - 2033 (100%)'!Y106*0.5</f>
        <v>8388.6949999999997</v>
      </c>
      <c r="Z106" s="5">
        <f>+'Curv hora 2029 - 2033 (100%)'!Z106*0.5</f>
        <v>7797.33</v>
      </c>
      <c r="AA106" s="5">
        <f>+'Curv hora 2029 - 2033 (100%)'!AA106*0.5</f>
        <v>6942.7749999999996</v>
      </c>
      <c r="AB106" s="36">
        <f>+'Curv hora 2029 - 2033 (100%)'!AB106*0.5</f>
        <v>6161.6450000000004</v>
      </c>
      <c r="AC106" s="71"/>
    </row>
    <row r="107" spans="1:29" x14ac:dyDescent="0.3">
      <c r="A107" s="76"/>
      <c r="B107" s="77"/>
      <c r="C107" s="7" t="s">
        <v>38</v>
      </c>
      <c r="D107" s="12">
        <v>4</v>
      </c>
      <c r="E107" s="37">
        <f>+'Curv hora 2029 - 2033 (100%)'!E107*0.5</f>
        <v>5453.46</v>
      </c>
      <c r="F107" s="9">
        <f>+'Curv hora 2029 - 2033 (100%)'!F107*0.5</f>
        <v>5079.415</v>
      </c>
      <c r="G107" s="9">
        <f>+'Curv hora 2029 - 2033 (100%)'!G107*0.5</f>
        <v>4799.53</v>
      </c>
      <c r="H107" s="9">
        <f>+'Curv hora 2029 - 2033 (100%)'!H107*0.5</f>
        <v>4625.9799999999996</v>
      </c>
      <c r="I107" s="9">
        <f>+'Curv hora 2029 - 2033 (100%)'!I107*0.5</f>
        <v>4477.4799999999996</v>
      </c>
      <c r="J107" s="9">
        <f>+'Curv hora 2029 - 2033 (100%)'!J107*0.5</f>
        <v>4433.3549999999996</v>
      </c>
      <c r="K107" s="9">
        <f>+'Curv hora 2029 - 2033 (100%)'!K107*0.5</f>
        <v>4233.5</v>
      </c>
      <c r="L107" s="9">
        <f>+'Curv hora 2029 - 2033 (100%)'!L107*0.5</f>
        <v>3560.6750000000002</v>
      </c>
      <c r="M107" s="9">
        <f>+'Curv hora 2029 - 2033 (100%)'!M107*0.5</f>
        <v>4226.6850000000004</v>
      </c>
      <c r="N107" s="9">
        <f>+'Curv hora 2029 - 2033 (100%)'!N107*0.5</f>
        <v>4788.6899999999996</v>
      </c>
      <c r="O107" s="9">
        <f>+'Curv hora 2029 - 2033 (100%)'!O107*0.5</f>
        <v>5093.8599999999997</v>
      </c>
      <c r="P107" s="9">
        <f>+'Curv hora 2029 - 2033 (100%)'!P107*0.5</f>
        <v>5356.96</v>
      </c>
      <c r="Q107" s="9">
        <f>+'Curv hora 2029 - 2033 (100%)'!Q107*0.5</f>
        <v>5484.165</v>
      </c>
      <c r="R107" s="9">
        <f>+'Curv hora 2029 - 2033 (100%)'!R107*0.5</f>
        <v>5209.0649999999996</v>
      </c>
      <c r="S107" s="9">
        <f>+'Curv hora 2029 - 2033 (100%)'!S107*0.5</f>
        <v>4632.66</v>
      </c>
      <c r="T107" s="9">
        <f>+'Curv hora 2029 - 2033 (100%)'!T107*0.5</f>
        <v>4239.25</v>
      </c>
      <c r="U107" s="9">
        <f>+'Curv hora 2029 - 2033 (100%)'!U107*0.5</f>
        <v>4263.1149999999998</v>
      </c>
      <c r="V107" s="9">
        <f>+'Curv hora 2029 - 2033 (100%)'!V107*0.5</f>
        <v>5964.2250000000004</v>
      </c>
      <c r="W107" s="9">
        <f>+'Curv hora 2029 - 2033 (100%)'!W107*0.5</f>
        <v>6779.5249999999996</v>
      </c>
      <c r="X107" s="9">
        <f>+'Curv hora 2029 - 2033 (100%)'!X107*0.5</f>
        <v>7698.7449999999999</v>
      </c>
      <c r="Y107" s="9">
        <f>+'Curv hora 2029 - 2033 (100%)'!Y107*0.5</f>
        <v>7476.2349999999997</v>
      </c>
      <c r="Z107" s="9">
        <f>+'Curv hora 2029 - 2033 (100%)'!Z107*0.5</f>
        <v>7040.73</v>
      </c>
      <c r="AA107" s="9">
        <f>+'Curv hora 2029 - 2033 (100%)'!AA107*0.5</f>
        <v>6211.77</v>
      </c>
      <c r="AB107" s="38">
        <f>+'Curv hora 2029 - 2033 (100%)'!AB107*0.5</f>
        <v>5466.96</v>
      </c>
      <c r="AC107" s="71"/>
    </row>
    <row r="108" spans="1:29" x14ac:dyDescent="0.3">
      <c r="A108" s="67">
        <v>48122</v>
      </c>
      <c r="B108" s="69">
        <f t="shared" ref="B108" si="33">DAY(EOMONTH(A108,0))</f>
        <v>31</v>
      </c>
      <c r="C108" s="3" t="s">
        <v>36</v>
      </c>
      <c r="D108" s="10">
        <v>22</v>
      </c>
      <c r="E108" s="33">
        <f>+'Curv hora 2029 - 2033 (100%)'!E108*0.5</f>
        <v>4949.7849999999999</v>
      </c>
      <c r="F108" s="13">
        <f>+'Curv hora 2029 - 2033 (100%)'!F108*0.5</f>
        <v>4666.58</v>
      </c>
      <c r="G108" s="13">
        <f>+'Curv hora 2029 - 2033 (100%)'!G108*0.5</f>
        <v>4484.1350000000002</v>
      </c>
      <c r="H108" s="13">
        <f>+'Curv hora 2029 - 2033 (100%)'!H108*0.5</f>
        <v>4349.3</v>
      </c>
      <c r="I108" s="13">
        <f>+'Curv hora 2029 - 2033 (100%)'!I108*0.5</f>
        <v>4293.57</v>
      </c>
      <c r="J108" s="13">
        <f>+'Curv hora 2029 - 2033 (100%)'!J108*0.5</f>
        <v>4484.0050000000001</v>
      </c>
      <c r="K108" s="13">
        <f>+'Curv hora 2029 - 2033 (100%)'!K108*0.5</f>
        <v>4873.82</v>
      </c>
      <c r="L108" s="13">
        <f>+'Curv hora 2029 - 2033 (100%)'!L108*0.5</f>
        <v>4476.2950000000001</v>
      </c>
      <c r="M108" s="13">
        <f>+'Curv hora 2029 - 2033 (100%)'!M108*0.5</f>
        <v>5286.86</v>
      </c>
      <c r="N108" s="13">
        <f>+'Curv hora 2029 - 2033 (100%)'!N108*0.5</f>
        <v>5881.57</v>
      </c>
      <c r="O108" s="13">
        <f>+'Curv hora 2029 - 2033 (100%)'!O108*0.5</f>
        <v>6432.24</v>
      </c>
      <c r="P108" s="13">
        <f>+'Curv hora 2029 - 2033 (100%)'!P108*0.5</f>
        <v>6909.165</v>
      </c>
      <c r="Q108" s="13">
        <f>+'Curv hora 2029 - 2033 (100%)'!Q108*0.5</f>
        <v>6792.7950000000001</v>
      </c>
      <c r="R108" s="13">
        <f>+'Curv hora 2029 - 2033 (100%)'!R108*0.5</f>
        <v>6912.8050000000003</v>
      </c>
      <c r="S108" s="13">
        <f>+'Curv hora 2029 - 2033 (100%)'!S108*0.5</f>
        <v>7180.9449999999997</v>
      </c>
      <c r="T108" s="13">
        <f>+'Curv hora 2029 - 2033 (100%)'!T108*0.5</f>
        <v>7362.2950000000001</v>
      </c>
      <c r="U108" s="13">
        <f>+'Curv hora 2029 - 2033 (100%)'!U108*0.5</f>
        <v>7316.7950000000001</v>
      </c>
      <c r="V108" s="13">
        <f>+'Curv hora 2029 - 2033 (100%)'!V108*0.5</f>
        <v>8363.11</v>
      </c>
      <c r="W108" s="13">
        <f>+'Curv hora 2029 - 2033 (100%)'!W108*0.5</f>
        <v>9081.5949999999993</v>
      </c>
      <c r="X108" s="13">
        <f>+'Curv hora 2029 - 2033 (100%)'!X108*0.5</f>
        <v>9070.49</v>
      </c>
      <c r="Y108" s="13">
        <f>+'Curv hora 2029 - 2033 (100%)'!Y108*0.5</f>
        <v>8423.02</v>
      </c>
      <c r="Z108" s="13">
        <f>+'Curv hora 2029 - 2033 (100%)'!Z108*0.5</f>
        <v>7632.53</v>
      </c>
      <c r="AA108" s="13">
        <f>+'Curv hora 2029 - 2033 (100%)'!AA108*0.5</f>
        <v>6627.02</v>
      </c>
      <c r="AB108" s="34">
        <f>+'Curv hora 2029 - 2033 (100%)'!AB108*0.5</f>
        <v>5826.8</v>
      </c>
      <c r="AC108" s="71">
        <f t="shared" ref="AC108" si="34">SUMPRODUCT((E108:AB110)*D108:D110)</f>
        <v>4571183.6900000013</v>
      </c>
    </row>
    <row r="109" spans="1:29" x14ac:dyDescent="0.3">
      <c r="A109" s="68"/>
      <c r="B109" s="70"/>
      <c r="C109" t="s">
        <v>37</v>
      </c>
      <c r="D109" s="11">
        <v>4</v>
      </c>
      <c r="E109" s="35">
        <f>+'Curv hora 2029 - 2033 (100%)'!E109*0.5</f>
        <v>5289.03</v>
      </c>
      <c r="F109" s="5">
        <f>+'Curv hora 2029 - 2033 (100%)'!F109*0.5</f>
        <v>4947.74</v>
      </c>
      <c r="G109" s="5">
        <f>+'Curv hora 2029 - 2033 (100%)'!G109*0.5</f>
        <v>4714.21</v>
      </c>
      <c r="H109" s="5">
        <f>+'Curv hora 2029 - 2033 (100%)'!H109*0.5</f>
        <v>4555.2150000000001</v>
      </c>
      <c r="I109" s="5">
        <f>+'Curv hora 2029 - 2033 (100%)'!I109*0.5</f>
        <v>4519.165</v>
      </c>
      <c r="J109" s="5">
        <f>+'Curv hora 2029 - 2033 (100%)'!J109*0.5</f>
        <v>4551.7349999999997</v>
      </c>
      <c r="K109" s="5">
        <f>+'Curv hora 2029 - 2033 (100%)'!K109*0.5</f>
        <v>4816.9049999999997</v>
      </c>
      <c r="L109" s="5">
        <f>+'Curv hora 2029 - 2033 (100%)'!L109*0.5</f>
        <v>4539.7299999999996</v>
      </c>
      <c r="M109" s="5">
        <f>+'Curv hora 2029 - 2033 (100%)'!M109*0.5</f>
        <v>5504.0550000000003</v>
      </c>
      <c r="N109" s="5">
        <f>+'Curv hora 2029 - 2033 (100%)'!N109*0.5</f>
        <v>6211.17</v>
      </c>
      <c r="O109" s="5">
        <f>+'Curv hora 2029 - 2033 (100%)'!O109*0.5</f>
        <v>6788.4</v>
      </c>
      <c r="P109" s="5">
        <f>+'Curv hora 2029 - 2033 (100%)'!P109*0.5</f>
        <v>6891.18</v>
      </c>
      <c r="Q109" s="5">
        <f>+'Curv hora 2029 - 2033 (100%)'!Q109*0.5</f>
        <v>6543</v>
      </c>
      <c r="R109" s="5">
        <f>+'Curv hora 2029 - 2033 (100%)'!R109*0.5</f>
        <v>6109.1450000000004</v>
      </c>
      <c r="S109" s="5">
        <f>+'Curv hora 2029 - 2033 (100%)'!S109*0.5</f>
        <v>6184.87</v>
      </c>
      <c r="T109" s="5">
        <f>+'Curv hora 2029 - 2033 (100%)'!T109*0.5</f>
        <v>6134.5150000000003</v>
      </c>
      <c r="U109" s="5">
        <f>+'Curv hora 2029 - 2033 (100%)'!U109*0.5</f>
        <v>5887.18</v>
      </c>
      <c r="V109" s="5">
        <f>+'Curv hora 2029 - 2033 (100%)'!V109*0.5</f>
        <v>7107.7550000000001</v>
      </c>
      <c r="W109" s="5">
        <f>+'Curv hora 2029 - 2033 (100%)'!W109*0.5</f>
        <v>8026.04</v>
      </c>
      <c r="X109" s="5">
        <f>+'Curv hora 2029 - 2033 (100%)'!X109*0.5</f>
        <v>8090.77</v>
      </c>
      <c r="Y109" s="5">
        <f>+'Curv hora 2029 - 2033 (100%)'!Y109*0.5</f>
        <v>7587.04</v>
      </c>
      <c r="Z109" s="5">
        <f>+'Curv hora 2029 - 2033 (100%)'!Z109*0.5</f>
        <v>6987.02</v>
      </c>
      <c r="AA109" s="5">
        <f>+'Curv hora 2029 - 2033 (100%)'!AA109*0.5</f>
        <v>6232.7749999999996</v>
      </c>
      <c r="AB109" s="36">
        <f>+'Curv hora 2029 - 2033 (100%)'!AB109*0.5</f>
        <v>5538.415</v>
      </c>
      <c r="AC109" s="71"/>
    </row>
    <row r="110" spans="1:29" x14ac:dyDescent="0.3">
      <c r="A110" s="76"/>
      <c r="B110" s="77"/>
      <c r="C110" s="7" t="s">
        <v>38</v>
      </c>
      <c r="D110" s="12">
        <v>5</v>
      </c>
      <c r="E110" s="37">
        <f>+'Curv hora 2029 - 2033 (100%)'!E110*0.5</f>
        <v>4890.26</v>
      </c>
      <c r="F110" s="9">
        <f>+'Curv hora 2029 - 2033 (100%)'!F110*0.5</f>
        <v>4579.67</v>
      </c>
      <c r="G110" s="9">
        <f>+'Curv hora 2029 - 2033 (100%)'!G110*0.5</f>
        <v>4361.6499999999996</v>
      </c>
      <c r="H110" s="9">
        <f>+'Curv hora 2029 - 2033 (100%)'!H110*0.5</f>
        <v>4202.07</v>
      </c>
      <c r="I110" s="9">
        <f>+'Curv hora 2029 - 2033 (100%)'!I110*0.5</f>
        <v>4109.76</v>
      </c>
      <c r="J110" s="9">
        <f>+'Curv hora 2029 - 2033 (100%)'!J110*0.5</f>
        <v>3923.1849999999999</v>
      </c>
      <c r="K110" s="9">
        <f>+'Curv hora 2029 - 2033 (100%)'!K110*0.5</f>
        <v>4232.8599999999997</v>
      </c>
      <c r="L110" s="9">
        <f>+'Curv hora 2029 - 2033 (100%)'!L110*0.5</f>
        <v>3792.6849999999999</v>
      </c>
      <c r="M110" s="9">
        <f>+'Curv hora 2029 - 2033 (100%)'!M110*0.5</f>
        <v>4409.78</v>
      </c>
      <c r="N110" s="9">
        <f>+'Curv hora 2029 - 2033 (100%)'!N110*0.5</f>
        <v>4901.38</v>
      </c>
      <c r="O110" s="9">
        <f>+'Curv hora 2029 - 2033 (100%)'!O110*0.5</f>
        <v>5370.07</v>
      </c>
      <c r="P110" s="9">
        <f>+'Curv hora 2029 - 2033 (100%)'!P110*0.5</f>
        <v>5741.5649999999996</v>
      </c>
      <c r="Q110" s="9">
        <f>+'Curv hora 2029 - 2033 (100%)'!Q110*0.5</f>
        <v>5883.1049999999996</v>
      </c>
      <c r="R110" s="9">
        <f>+'Curv hora 2029 - 2033 (100%)'!R110*0.5</f>
        <v>5909.59</v>
      </c>
      <c r="S110" s="9">
        <f>+'Curv hora 2029 - 2033 (100%)'!S110*0.5</f>
        <v>5854.0749999999998</v>
      </c>
      <c r="T110" s="9">
        <f>+'Curv hora 2029 - 2033 (100%)'!T110*0.5</f>
        <v>5829.8249999999998</v>
      </c>
      <c r="U110" s="9">
        <f>+'Curv hora 2029 - 2033 (100%)'!U110*0.5</f>
        <v>5820.7950000000001</v>
      </c>
      <c r="V110" s="9">
        <f>+'Curv hora 2029 - 2033 (100%)'!V110*0.5</f>
        <v>6986.48</v>
      </c>
      <c r="W110" s="9">
        <f>+'Curv hora 2029 - 2033 (100%)'!W110*0.5</f>
        <v>7953.78</v>
      </c>
      <c r="X110" s="9">
        <f>+'Curv hora 2029 - 2033 (100%)'!X110*0.5</f>
        <v>7659.2449999999999</v>
      </c>
      <c r="Y110" s="9">
        <f>+'Curv hora 2029 - 2033 (100%)'!Y110*0.5</f>
        <v>7406.5</v>
      </c>
      <c r="Z110" s="9">
        <f>+'Curv hora 2029 - 2033 (100%)'!Z110*0.5</f>
        <v>6590.19</v>
      </c>
      <c r="AA110" s="9">
        <f>+'Curv hora 2029 - 2033 (100%)'!AA110*0.5</f>
        <v>6103.2150000000001</v>
      </c>
      <c r="AB110" s="38">
        <f>+'Curv hora 2029 - 2033 (100%)'!AB110*0.5</f>
        <v>5338.2449999999999</v>
      </c>
      <c r="AC110" s="71"/>
    </row>
    <row r="111" spans="1:29" x14ac:dyDescent="0.3">
      <c r="A111" s="67">
        <v>48153</v>
      </c>
      <c r="B111" s="69">
        <f>DAY(EOMONTH(A111,0))</f>
        <v>30</v>
      </c>
      <c r="C111" s="3" t="s">
        <v>36</v>
      </c>
      <c r="D111" s="10">
        <v>18</v>
      </c>
      <c r="E111" s="33">
        <f>+'Curv hora 2029 - 2033 (100%)'!E111*0.5</f>
        <v>4675.03</v>
      </c>
      <c r="F111" s="13">
        <f>+'Curv hora 2029 - 2033 (100%)'!F111*0.5</f>
        <v>4373.4350000000004</v>
      </c>
      <c r="G111" s="13">
        <f>+'Curv hora 2029 - 2033 (100%)'!G111*0.5</f>
        <v>4265.085</v>
      </c>
      <c r="H111" s="13">
        <f>+'Curv hora 2029 - 2033 (100%)'!H111*0.5</f>
        <v>4136.0200000000004</v>
      </c>
      <c r="I111" s="13">
        <f>+'Curv hora 2029 - 2033 (100%)'!I111*0.5</f>
        <v>4170.16</v>
      </c>
      <c r="J111" s="13">
        <f>+'Curv hora 2029 - 2033 (100%)'!J111*0.5</f>
        <v>4349.9549999999999</v>
      </c>
      <c r="K111" s="13">
        <f>+'Curv hora 2029 - 2033 (100%)'!K111*0.5</f>
        <v>4831.83</v>
      </c>
      <c r="L111" s="13">
        <f>+'Curv hora 2029 - 2033 (100%)'!L111*0.5</f>
        <v>4399.96</v>
      </c>
      <c r="M111" s="13">
        <f>+'Curv hora 2029 - 2033 (100%)'!M111*0.5</f>
        <v>5179.5550000000003</v>
      </c>
      <c r="N111" s="13">
        <f>+'Curv hora 2029 - 2033 (100%)'!N111*0.5</f>
        <v>5680.85</v>
      </c>
      <c r="O111" s="13">
        <f>+'Curv hora 2029 - 2033 (100%)'!O111*0.5</f>
        <v>6160.2650000000003</v>
      </c>
      <c r="P111" s="13">
        <f>+'Curv hora 2029 - 2033 (100%)'!P111*0.5</f>
        <v>6593.7749999999996</v>
      </c>
      <c r="Q111" s="13">
        <f>+'Curv hora 2029 - 2033 (100%)'!Q111*0.5</f>
        <v>6330.39</v>
      </c>
      <c r="R111" s="13">
        <f>+'Curv hora 2029 - 2033 (100%)'!R111*0.5</f>
        <v>6527.125</v>
      </c>
      <c r="S111" s="13">
        <f>+'Curv hora 2029 - 2033 (100%)'!S111*0.5</f>
        <v>7004.4250000000002</v>
      </c>
      <c r="T111" s="13">
        <f>+'Curv hora 2029 - 2033 (100%)'!T111*0.5</f>
        <v>6995.0249999999996</v>
      </c>
      <c r="U111" s="13">
        <f>+'Curv hora 2029 - 2033 (100%)'!U111*0.5</f>
        <v>6991.8050000000003</v>
      </c>
      <c r="V111" s="13">
        <f>+'Curv hora 2029 - 2033 (100%)'!V111*0.5</f>
        <v>8068.3850000000002</v>
      </c>
      <c r="W111" s="13">
        <f>+'Curv hora 2029 - 2033 (100%)'!W111*0.5</f>
        <v>8806.2000000000007</v>
      </c>
      <c r="X111" s="13">
        <f>+'Curv hora 2029 - 2033 (100%)'!X111*0.5</f>
        <v>8725.99</v>
      </c>
      <c r="Y111" s="13">
        <f>+'Curv hora 2029 - 2033 (100%)'!Y111*0.5</f>
        <v>8141.2749999999996</v>
      </c>
      <c r="Z111" s="13">
        <f>+'Curv hora 2029 - 2033 (100%)'!Z111*0.5</f>
        <v>7368.6549999999997</v>
      </c>
      <c r="AA111" s="13">
        <f>+'Curv hora 2029 - 2033 (100%)'!AA111*0.5</f>
        <v>6333.93</v>
      </c>
      <c r="AB111" s="34">
        <f>+'Curv hora 2029 - 2033 (100%)'!AB111*0.5</f>
        <v>5505.6750000000002</v>
      </c>
      <c r="AC111" s="71">
        <f>SUMPRODUCT((E111:AB113)*D111:D113)</f>
        <v>4249426.2449999992</v>
      </c>
    </row>
    <row r="112" spans="1:29" x14ac:dyDescent="0.3">
      <c r="A112" s="68"/>
      <c r="B112" s="70"/>
      <c r="C112" t="s">
        <v>37</v>
      </c>
      <c r="D112" s="11">
        <v>5</v>
      </c>
      <c r="E112" s="35">
        <f>+'Curv hora 2029 - 2033 (100%)'!E112*0.5</f>
        <v>4885.6549999999997</v>
      </c>
      <c r="F112" s="5">
        <f>+'Curv hora 2029 - 2033 (100%)'!F112*0.5</f>
        <v>4593.3</v>
      </c>
      <c r="G112" s="5">
        <f>+'Curv hora 2029 - 2033 (100%)'!G112*0.5</f>
        <v>4373.1049999999996</v>
      </c>
      <c r="H112" s="5">
        <f>+'Curv hora 2029 - 2033 (100%)'!H112*0.5</f>
        <v>4183.3450000000003</v>
      </c>
      <c r="I112" s="5">
        <f>+'Curv hora 2029 - 2033 (100%)'!I112*0.5</f>
        <v>4082.91</v>
      </c>
      <c r="J112" s="5">
        <f>+'Curv hora 2029 - 2033 (100%)'!J112*0.5</f>
        <v>4257.7749999999996</v>
      </c>
      <c r="K112" s="5">
        <f>+'Curv hora 2029 - 2033 (100%)'!K112*0.5</f>
        <v>4449.6149999999998</v>
      </c>
      <c r="L112" s="5">
        <f>+'Curv hora 2029 - 2033 (100%)'!L112*0.5</f>
        <v>4086.64</v>
      </c>
      <c r="M112" s="5">
        <f>+'Curv hora 2029 - 2033 (100%)'!M112*0.5</f>
        <v>4922.58</v>
      </c>
      <c r="N112" s="5">
        <f>+'Curv hora 2029 - 2033 (100%)'!N112*0.5</f>
        <v>5361.28</v>
      </c>
      <c r="O112" s="5">
        <f>+'Curv hora 2029 - 2033 (100%)'!O112*0.5</f>
        <v>5736.3149999999996</v>
      </c>
      <c r="P112" s="5">
        <f>+'Curv hora 2029 - 2033 (100%)'!P112*0.5</f>
        <v>5977.3050000000003</v>
      </c>
      <c r="Q112" s="5">
        <f>+'Curv hora 2029 - 2033 (100%)'!Q112*0.5</f>
        <v>6101.3549999999996</v>
      </c>
      <c r="R112" s="5">
        <f>+'Curv hora 2029 - 2033 (100%)'!R112*0.5</f>
        <v>6142.1350000000002</v>
      </c>
      <c r="S112" s="5">
        <f>+'Curv hora 2029 - 2033 (100%)'!S112*0.5</f>
        <v>6301.05</v>
      </c>
      <c r="T112" s="5">
        <f>+'Curv hora 2029 - 2033 (100%)'!T112*0.5</f>
        <v>6381.81</v>
      </c>
      <c r="U112" s="5">
        <f>+'Curv hora 2029 - 2033 (100%)'!U112*0.5</f>
        <v>6381.03</v>
      </c>
      <c r="V112" s="5">
        <f>+'Curv hora 2029 - 2033 (100%)'!V112*0.5</f>
        <v>7603.88</v>
      </c>
      <c r="W112" s="5">
        <f>+'Curv hora 2029 - 2033 (100%)'!W112*0.5</f>
        <v>8518.32</v>
      </c>
      <c r="X112" s="5">
        <f>+'Curv hora 2029 - 2033 (100%)'!X112*0.5</f>
        <v>8494.4</v>
      </c>
      <c r="Y112" s="5">
        <f>+'Curv hora 2029 - 2033 (100%)'!Y112*0.5</f>
        <v>7904.73</v>
      </c>
      <c r="Z112" s="5">
        <f>+'Curv hora 2029 - 2033 (100%)'!Z112*0.5</f>
        <v>7258.47</v>
      </c>
      <c r="AA112" s="5">
        <f>+'Curv hora 2029 - 2033 (100%)'!AA112*0.5</f>
        <v>6495.04</v>
      </c>
      <c r="AB112" s="36">
        <f>+'Curv hora 2029 - 2033 (100%)'!AB112*0.5</f>
        <v>5567.7349999999997</v>
      </c>
      <c r="AC112" s="71"/>
    </row>
    <row r="113" spans="1:30" x14ac:dyDescent="0.3">
      <c r="A113" s="68"/>
      <c r="B113" s="70"/>
      <c r="C113" t="s">
        <v>38</v>
      </c>
      <c r="D113" s="11">
        <v>7</v>
      </c>
      <c r="E113" s="37">
        <f>+'Curv hora 2029 - 2033 (100%)'!E113*0.5</f>
        <v>5006.01</v>
      </c>
      <c r="F113" s="9">
        <f>+'Curv hora 2029 - 2033 (100%)'!F113*0.5</f>
        <v>4693.29</v>
      </c>
      <c r="G113" s="9">
        <f>+'Curv hora 2029 - 2033 (100%)'!G113*0.5</f>
        <v>4482.8450000000003</v>
      </c>
      <c r="H113" s="9">
        <f>+'Curv hora 2029 - 2033 (100%)'!H113*0.5</f>
        <v>4365.8999999999996</v>
      </c>
      <c r="I113" s="9">
        <f>+'Curv hora 2029 - 2033 (100%)'!I113*0.5</f>
        <v>4334.1499999999996</v>
      </c>
      <c r="J113" s="9">
        <f>+'Curv hora 2029 - 2033 (100%)'!J113*0.5</f>
        <v>4226.8249999999998</v>
      </c>
      <c r="K113" s="9">
        <f>+'Curv hora 2029 - 2033 (100%)'!K113*0.5</f>
        <v>4379.0200000000004</v>
      </c>
      <c r="L113" s="9">
        <f>+'Curv hora 2029 - 2033 (100%)'!L113*0.5</f>
        <v>3962.62</v>
      </c>
      <c r="M113" s="9">
        <f>+'Curv hora 2029 - 2033 (100%)'!M113*0.5</f>
        <v>4663.09</v>
      </c>
      <c r="N113" s="9">
        <f>+'Curv hora 2029 - 2033 (100%)'!N113*0.5</f>
        <v>5119.335</v>
      </c>
      <c r="O113" s="9">
        <f>+'Curv hora 2029 - 2033 (100%)'!O113*0.5</f>
        <v>5340.26</v>
      </c>
      <c r="P113" s="9">
        <f>+'Curv hora 2029 - 2033 (100%)'!P113*0.5</f>
        <v>5154.4250000000002</v>
      </c>
      <c r="Q113" s="9">
        <f>+'Curv hora 2029 - 2033 (100%)'!Q113*0.5</f>
        <v>5366.9650000000001</v>
      </c>
      <c r="R113" s="9">
        <f>+'Curv hora 2029 - 2033 (100%)'!R113*0.5</f>
        <v>5520.68</v>
      </c>
      <c r="S113" s="9">
        <f>+'Curv hora 2029 - 2033 (100%)'!S113*0.5</f>
        <v>5672.5950000000003</v>
      </c>
      <c r="T113" s="9">
        <f>+'Curv hora 2029 - 2033 (100%)'!T113*0.5</f>
        <v>5360.7150000000001</v>
      </c>
      <c r="U113" s="9">
        <f>+'Curv hora 2029 - 2033 (100%)'!U113*0.5</f>
        <v>5678.21</v>
      </c>
      <c r="V113" s="9">
        <f>+'Curv hora 2029 - 2033 (100%)'!V113*0.5</f>
        <v>6861.5</v>
      </c>
      <c r="W113" s="9">
        <f>+'Curv hora 2029 - 2033 (100%)'!W113*0.5</f>
        <v>7856.5749999999998</v>
      </c>
      <c r="X113" s="9">
        <f>+'Curv hora 2029 - 2033 (100%)'!X113*0.5</f>
        <v>8108.24</v>
      </c>
      <c r="Y113" s="9">
        <f>+'Curv hora 2029 - 2033 (100%)'!Y113*0.5</f>
        <v>7578.5150000000003</v>
      </c>
      <c r="Z113" s="9">
        <f>+'Curv hora 2029 - 2033 (100%)'!Z113*0.5</f>
        <v>7099.8950000000004</v>
      </c>
      <c r="AA113" s="9">
        <f>+'Curv hora 2029 - 2033 (100%)'!AA113*0.5</f>
        <v>6246.59</v>
      </c>
      <c r="AB113" s="38">
        <f>+'Curv hora 2029 - 2033 (100%)'!AB113*0.5</f>
        <v>5501.8850000000002</v>
      </c>
      <c r="AC113" s="71"/>
    </row>
    <row r="114" spans="1:30" x14ac:dyDescent="0.3">
      <c r="A114" s="67">
        <v>48183</v>
      </c>
      <c r="B114" s="69">
        <f>DAY(EOMONTH(A114,0))</f>
        <v>31</v>
      </c>
      <c r="C114" s="3" t="s">
        <v>36</v>
      </c>
      <c r="D114" s="10">
        <v>21</v>
      </c>
      <c r="E114" s="33">
        <f>+'Curv hora 2029 - 2033 (100%)'!E114*0.5</f>
        <v>4712.0249999999996</v>
      </c>
      <c r="F114" s="13">
        <f>+'Curv hora 2029 - 2033 (100%)'!F114*0.5</f>
        <v>4385.12</v>
      </c>
      <c r="G114" s="13">
        <f>+'Curv hora 2029 - 2033 (100%)'!G114*0.5</f>
        <v>4210.87</v>
      </c>
      <c r="H114" s="13">
        <f>+'Curv hora 2029 - 2033 (100%)'!H114*0.5</f>
        <v>4101.68</v>
      </c>
      <c r="I114" s="13">
        <f>+'Curv hora 2029 - 2033 (100%)'!I114*0.5</f>
        <v>4107.3149999999996</v>
      </c>
      <c r="J114" s="13">
        <f>+'Curv hora 2029 - 2033 (100%)'!J114*0.5</f>
        <v>4251.04</v>
      </c>
      <c r="K114" s="13">
        <f>+'Curv hora 2029 - 2033 (100%)'!K114*0.5</f>
        <v>4478.5550000000003</v>
      </c>
      <c r="L114" s="13">
        <f>+'Curv hora 2029 - 2033 (100%)'!L114*0.5</f>
        <v>4195.63</v>
      </c>
      <c r="M114" s="13">
        <f>+'Curv hora 2029 - 2033 (100%)'!M114*0.5</f>
        <v>5076.79</v>
      </c>
      <c r="N114" s="13">
        <f>+'Curv hora 2029 - 2033 (100%)'!N114*0.5</f>
        <v>5639.77</v>
      </c>
      <c r="O114" s="13">
        <f>+'Curv hora 2029 - 2033 (100%)'!O114*0.5</f>
        <v>6061.7950000000001</v>
      </c>
      <c r="P114" s="13">
        <f>+'Curv hora 2029 - 2033 (100%)'!P114*0.5</f>
        <v>6427.57</v>
      </c>
      <c r="Q114" s="13">
        <f>+'Curv hora 2029 - 2033 (100%)'!Q114*0.5</f>
        <v>6263.89</v>
      </c>
      <c r="R114" s="13">
        <f>+'Curv hora 2029 - 2033 (100%)'!R114*0.5</f>
        <v>6251.665</v>
      </c>
      <c r="S114" s="13">
        <f>+'Curv hora 2029 - 2033 (100%)'!S114*0.5</f>
        <v>6507.2950000000001</v>
      </c>
      <c r="T114" s="13">
        <f>+'Curv hora 2029 - 2033 (100%)'!T114*0.5</f>
        <v>6591.43</v>
      </c>
      <c r="U114" s="13">
        <f>+'Curv hora 2029 - 2033 (100%)'!U114*0.5</f>
        <v>6632.72</v>
      </c>
      <c r="V114" s="13">
        <f>+'Curv hora 2029 - 2033 (100%)'!V114*0.5</f>
        <v>7659.3450000000003</v>
      </c>
      <c r="W114" s="13">
        <f>+'Curv hora 2029 - 2033 (100%)'!W114*0.5</f>
        <v>8330.5499999999993</v>
      </c>
      <c r="X114" s="13">
        <f>+'Curv hora 2029 - 2033 (100%)'!X114*0.5</f>
        <v>8418.0300000000007</v>
      </c>
      <c r="Y114" s="13">
        <f>+'Curv hora 2029 - 2033 (100%)'!Y114*0.5</f>
        <v>7975.9650000000001</v>
      </c>
      <c r="Z114" s="13">
        <f>+'Curv hora 2029 - 2033 (100%)'!Z114*0.5</f>
        <v>7274.7950000000001</v>
      </c>
      <c r="AA114" s="13">
        <f>+'Curv hora 2029 - 2033 (100%)'!AA114*0.5</f>
        <v>6389.35</v>
      </c>
      <c r="AB114" s="34">
        <f>+'Curv hora 2029 - 2033 (100%)'!AB114*0.5</f>
        <v>5575.25</v>
      </c>
      <c r="AC114" s="74">
        <f>SUMPRODUCT((E114:AB116)*D114:D116)</f>
        <v>4313250.9850000022</v>
      </c>
    </row>
    <row r="115" spans="1:30" x14ac:dyDescent="0.3">
      <c r="A115" s="68"/>
      <c r="B115" s="70"/>
      <c r="C115" t="s">
        <v>37</v>
      </c>
      <c r="D115" s="11">
        <v>4</v>
      </c>
      <c r="E115" s="35">
        <f>+'Curv hora 2029 - 2033 (100%)'!E115*0.5</f>
        <v>4761.3649999999998</v>
      </c>
      <c r="F115" s="5">
        <f>+'Curv hora 2029 - 2033 (100%)'!F115*0.5</f>
        <v>4410.1450000000004</v>
      </c>
      <c r="G115" s="5">
        <f>+'Curv hora 2029 - 2033 (100%)'!G115*0.5</f>
        <v>4159.6000000000004</v>
      </c>
      <c r="H115" s="5">
        <f>+'Curv hora 2029 - 2033 (100%)'!H115*0.5</f>
        <v>4025.915</v>
      </c>
      <c r="I115" s="5">
        <f>+'Curv hora 2029 - 2033 (100%)'!I115*0.5</f>
        <v>4005.78</v>
      </c>
      <c r="J115" s="5">
        <f>+'Curv hora 2029 - 2033 (100%)'!J115*0.5</f>
        <v>4091.8150000000001</v>
      </c>
      <c r="K115" s="5">
        <f>+'Curv hora 2029 - 2033 (100%)'!K115*0.5</f>
        <v>4280.74</v>
      </c>
      <c r="L115" s="5">
        <f>+'Curv hora 2029 - 2033 (100%)'!L115*0.5</f>
        <v>3995.9749999999999</v>
      </c>
      <c r="M115" s="5">
        <f>+'Curv hora 2029 - 2033 (100%)'!M115*0.5</f>
        <v>4806.3900000000003</v>
      </c>
      <c r="N115" s="5">
        <f>+'Curv hora 2029 - 2033 (100%)'!N115*0.5</f>
        <v>5356.9250000000002</v>
      </c>
      <c r="O115" s="5">
        <f>+'Curv hora 2029 - 2033 (100%)'!O115*0.5</f>
        <v>5703.6350000000002</v>
      </c>
      <c r="P115" s="5">
        <f>+'Curv hora 2029 - 2033 (100%)'!P115*0.5</f>
        <v>6018.11</v>
      </c>
      <c r="Q115" s="5">
        <f>+'Curv hora 2029 - 2033 (100%)'!Q115*0.5</f>
        <v>6018.3</v>
      </c>
      <c r="R115" s="5">
        <f>+'Curv hora 2029 - 2033 (100%)'!R115*0.5</f>
        <v>6031.21</v>
      </c>
      <c r="S115" s="5">
        <f>+'Curv hora 2029 - 2033 (100%)'!S115*0.5</f>
        <v>6111.2650000000003</v>
      </c>
      <c r="T115" s="5">
        <f>+'Curv hora 2029 - 2033 (100%)'!T115*0.5</f>
        <v>6148.77</v>
      </c>
      <c r="U115" s="5">
        <f>+'Curv hora 2029 - 2033 (100%)'!U115*0.5</f>
        <v>6118.29</v>
      </c>
      <c r="V115" s="5">
        <f>+'Curv hora 2029 - 2033 (100%)'!V115*0.5</f>
        <v>7294.0249999999996</v>
      </c>
      <c r="W115" s="5">
        <f>+'Curv hora 2029 - 2033 (100%)'!W115*0.5</f>
        <v>8149.9250000000002</v>
      </c>
      <c r="X115" s="5">
        <f>+'Curv hora 2029 - 2033 (100%)'!X115*0.5</f>
        <v>8359.6049999999996</v>
      </c>
      <c r="Y115" s="5">
        <f>+'Curv hora 2029 - 2033 (100%)'!Y115*0.5</f>
        <v>7949.25</v>
      </c>
      <c r="Z115" s="5">
        <f>+'Curv hora 2029 - 2033 (100%)'!Z115*0.5</f>
        <v>7298.1450000000004</v>
      </c>
      <c r="AA115" s="5">
        <f>+'Curv hora 2029 - 2033 (100%)'!AA115*0.5</f>
        <v>6501.4549999999999</v>
      </c>
      <c r="AB115" s="36">
        <f>+'Curv hora 2029 - 2033 (100%)'!AB115*0.5</f>
        <v>5718.0550000000003</v>
      </c>
      <c r="AC115" s="71"/>
    </row>
    <row r="116" spans="1:30" ht="15.65" thickBot="1" x14ac:dyDescent="0.35">
      <c r="A116" s="72"/>
      <c r="B116" s="73"/>
      <c r="C116" s="14" t="s">
        <v>38</v>
      </c>
      <c r="D116" s="15">
        <v>6</v>
      </c>
      <c r="E116" s="37">
        <f>+'Curv hora 2029 - 2033 (100%)'!E116*0.5</f>
        <v>5036.6850000000004</v>
      </c>
      <c r="F116" s="9">
        <f>+'Curv hora 2029 - 2033 (100%)'!F116*0.5</f>
        <v>4686.37</v>
      </c>
      <c r="G116" s="9">
        <f>+'Curv hora 2029 - 2033 (100%)'!G116*0.5</f>
        <v>4446.9399999999996</v>
      </c>
      <c r="H116" s="9">
        <f>+'Curv hora 2029 - 2033 (100%)'!H116*0.5</f>
        <v>4309.8599999999997</v>
      </c>
      <c r="I116" s="9">
        <f>+'Curv hora 2029 - 2033 (100%)'!I116*0.5</f>
        <v>4244.43</v>
      </c>
      <c r="J116" s="9">
        <f>+'Curv hora 2029 - 2033 (100%)'!J116*0.5</f>
        <v>4230.415</v>
      </c>
      <c r="K116" s="9">
        <f>+'Curv hora 2029 - 2033 (100%)'!K116*0.5</f>
        <v>4283.8</v>
      </c>
      <c r="L116" s="9">
        <f>+'Curv hora 2029 - 2033 (100%)'!L116*0.5</f>
        <v>3795.6550000000002</v>
      </c>
      <c r="M116" s="9">
        <f>+'Curv hora 2029 - 2033 (100%)'!M116*0.5</f>
        <v>4476.9449999999997</v>
      </c>
      <c r="N116" s="9">
        <f>+'Curv hora 2029 - 2033 (100%)'!N116*0.5</f>
        <v>4953.18</v>
      </c>
      <c r="O116" s="9">
        <f>+'Curv hora 2029 - 2033 (100%)'!O116*0.5</f>
        <v>5266.28</v>
      </c>
      <c r="P116" s="9">
        <f>+'Curv hora 2029 - 2033 (100%)'!P116*0.5</f>
        <v>5454.61</v>
      </c>
      <c r="Q116" s="9">
        <f>+'Curv hora 2029 - 2033 (100%)'!Q116*0.5</f>
        <v>5614.5649999999996</v>
      </c>
      <c r="R116" s="9">
        <f>+'Curv hora 2029 - 2033 (100%)'!R116*0.5</f>
        <v>5651.8549999999996</v>
      </c>
      <c r="S116" s="9">
        <f>+'Curv hora 2029 - 2033 (100%)'!S116*0.5</f>
        <v>5415.69</v>
      </c>
      <c r="T116" s="9">
        <f>+'Curv hora 2029 - 2033 (100%)'!T116*0.5</f>
        <v>5632.42</v>
      </c>
      <c r="U116" s="9">
        <f>+'Curv hora 2029 - 2033 (100%)'!U116*0.5</f>
        <v>5697.6850000000004</v>
      </c>
      <c r="V116" s="9">
        <f>+'Curv hora 2029 - 2033 (100%)'!V116*0.5</f>
        <v>6823.6149999999998</v>
      </c>
      <c r="W116" s="9">
        <f>+'Curv hora 2029 - 2033 (100%)'!W116*0.5</f>
        <v>7702.8050000000003</v>
      </c>
      <c r="X116" s="9">
        <f>+'Curv hora 2029 - 2033 (100%)'!X116*0.5</f>
        <v>7945.5349999999999</v>
      </c>
      <c r="Y116" s="9">
        <f>+'Curv hora 2029 - 2033 (100%)'!Y116*0.5</f>
        <v>7601.665</v>
      </c>
      <c r="Z116" s="9">
        <f>+'Curv hora 2029 - 2033 (100%)'!Z116*0.5</f>
        <v>6960.3</v>
      </c>
      <c r="AA116" s="9">
        <f>+'Curv hora 2029 - 2033 (100%)'!AA116*0.5</f>
        <v>6228.08</v>
      </c>
      <c r="AB116" s="38">
        <f>+'Curv hora 2029 - 2033 (100%)'!AB116*0.5</f>
        <v>5558.0950000000003</v>
      </c>
      <c r="AC116" s="75"/>
      <c r="AD116" s="17">
        <f>SUM(AC81:AC116)</f>
        <v>50463383.559999995</v>
      </c>
    </row>
    <row r="117" spans="1:30" x14ac:dyDescent="0.3">
      <c r="A117" s="68">
        <v>48214</v>
      </c>
      <c r="B117" s="70">
        <f>DAY(EOMONTH(A117,0))</f>
        <v>31</v>
      </c>
      <c r="C117" t="s">
        <v>36</v>
      </c>
      <c r="D117" s="6">
        <v>20</v>
      </c>
      <c r="E117" s="33">
        <f>+'Curv hora 2029 - 2033 (100%)'!E117*0.5</f>
        <v>5135.5</v>
      </c>
      <c r="F117" s="13">
        <f>+'Curv hora 2029 - 2033 (100%)'!F117*0.5</f>
        <v>4812.1049999999996</v>
      </c>
      <c r="G117" s="13">
        <f>+'Curv hora 2029 - 2033 (100%)'!G117*0.5</f>
        <v>4600.71</v>
      </c>
      <c r="H117" s="13">
        <f>+'Curv hora 2029 - 2033 (100%)'!H117*0.5</f>
        <v>4459.37</v>
      </c>
      <c r="I117" s="13">
        <f>+'Curv hora 2029 - 2033 (100%)'!I117*0.5</f>
        <v>4418.2650000000003</v>
      </c>
      <c r="J117" s="13">
        <f>+'Curv hora 2029 - 2033 (100%)'!J117*0.5</f>
        <v>4504.21</v>
      </c>
      <c r="K117" s="13">
        <f>+'Curv hora 2029 - 2033 (100%)'!K117*0.5</f>
        <v>4530.05</v>
      </c>
      <c r="L117" s="13">
        <f>+'Curv hora 2029 - 2033 (100%)'!L117*0.5</f>
        <v>4124.5550000000003</v>
      </c>
      <c r="M117" s="13">
        <f>+'Curv hora 2029 - 2033 (100%)'!M117*0.5</f>
        <v>4938.6000000000004</v>
      </c>
      <c r="N117" s="13">
        <f>+'Curv hora 2029 - 2033 (100%)'!N117*0.5</f>
        <v>5633.07</v>
      </c>
      <c r="O117" s="13">
        <f>+'Curv hora 2029 - 2033 (100%)'!O117*0.5</f>
        <v>6274.53</v>
      </c>
      <c r="P117" s="13">
        <f>+'Curv hora 2029 - 2033 (100%)'!P117*0.5</f>
        <v>6740.51</v>
      </c>
      <c r="Q117" s="13">
        <f>+'Curv hora 2029 - 2033 (100%)'!Q117*0.5</f>
        <v>6568.1</v>
      </c>
      <c r="R117" s="13">
        <f>+'Curv hora 2029 - 2033 (100%)'!R117*0.5</f>
        <v>6567.69</v>
      </c>
      <c r="S117" s="13">
        <f>+'Curv hora 2029 - 2033 (100%)'!S117*0.5</f>
        <v>6990.65</v>
      </c>
      <c r="T117" s="13">
        <f>+'Curv hora 2029 - 2033 (100%)'!T117*0.5</f>
        <v>7058.21</v>
      </c>
      <c r="U117" s="13">
        <f>+'Curv hora 2029 - 2033 (100%)'!U117*0.5</f>
        <v>6940.52</v>
      </c>
      <c r="V117" s="13">
        <f>+'Curv hora 2029 - 2033 (100%)'!V117*0.5</f>
        <v>7944.36</v>
      </c>
      <c r="W117" s="13">
        <f>+'Curv hora 2029 - 2033 (100%)'!W117*0.5</f>
        <v>8374.11</v>
      </c>
      <c r="X117" s="13">
        <f>+'Curv hora 2029 - 2033 (100%)'!X117*0.5</f>
        <v>8777.3649999999998</v>
      </c>
      <c r="Y117" s="13">
        <f>+'Curv hora 2029 - 2033 (100%)'!Y117*0.5</f>
        <v>8374.8950000000004</v>
      </c>
      <c r="Z117" s="13">
        <f>+'Curv hora 2029 - 2033 (100%)'!Z117*0.5</f>
        <v>7731.54</v>
      </c>
      <c r="AA117" s="13">
        <f>+'Curv hora 2029 - 2033 (100%)'!AA117*0.5</f>
        <v>6823.7150000000001</v>
      </c>
      <c r="AB117" s="34">
        <f>+'Curv hora 2029 - 2033 (100%)'!AB117*0.5</f>
        <v>5950.51</v>
      </c>
      <c r="AC117" s="71">
        <f>SUMPRODUCT((E117:AB119)*D117:D119)</f>
        <v>4470378.8199999994</v>
      </c>
    </row>
    <row r="118" spans="1:30" x14ac:dyDescent="0.3">
      <c r="A118" s="68"/>
      <c r="B118" s="70"/>
      <c r="C118" t="s">
        <v>37</v>
      </c>
      <c r="D118" s="6">
        <v>5</v>
      </c>
      <c r="E118" s="35">
        <f>+'Curv hora 2029 - 2033 (100%)'!E118*0.5</f>
        <v>5074.0749999999998</v>
      </c>
      <c r="F118" s="5">
        <f>+'Curv hora 2029 - 2033 (100%)'!F118*0.5</f>
        <v>4762.4750000000004</v>
      </c>
      <c r="G118" s="5">
        <f>+'Curv hora 2029 - 2033 (100%)'!G118*0.5</f>
        <v>4546.59</v>
      </c>
      <c r="H118" s="5">
        <f>+'Curv hora 2029 - 2033 (100%)'!H118*0.5</f>
        <v>4414.375</v>
      </c>
      <c r="I118" s="5">
        <f>+'Curv hora 2029 - 2033 (100%)'!I118*0.5</f>
        <v>4364.375</v>
      </c>
      <c r="J118" s="5">
        <f>+'Curv hora 2029 - 2033 (100%)'!J118*0.5</f>
        <v>4433.76</v>
      </c>
      <c r="K118" s="5">
        <f>+'Curv hora 2029 - 2033 (100%)'!K118*0.5</f>
        <v>4499.2150000000001</v>
      </c>
      <c r="L118" s="5">
        <f>+'Curv hora 2029 - 2033 (100%)'!L118*0.5</f>
        <v>4002.375</v>
      </c>
      <c r="M118" s="5">
        <f>+'Curv hora 2029 - 2033 (100%)'!M118*0.5</f>
        <v>4712.3500000000004</v>
      </c>
      <c r="N118" s="5">
        <f>+'Curv hora 2029 - 2033 (100%)'!N118*0.5</f>
        <v>5239.1099999999997</v>
      </c>
      <c r="O118" s="5">
        <f>+'Curv hora 2029 - 2033 (100%)'!O118*0.5</f>
        <v>5709.22</v>
      </c>
      <c r="P118" s="5">
        <f>+'Curv hora 2029 - 2033 (100%)'!P118*0.5</f>
        <v>6073.0249999999996</v>
      </c>
      <c r="Q118" s="5">
        <f>+'Curv hora 2029 - 2033 (100%)'!Q118*0.5</f>
        <v>6066.1</v>
      </c>
      <c r="R118" s="5">
        <f>+'Curv hora 2029 - 2033 (100%)'!R118*0.5</f>
        <v>6054.1</v>
      </c>
      <c r="S118" s="5">
        <f>+'Curv hora 2029 - 2033 (100%)'!S118*0.5</f>
        <v>6136.46</v>
      </c>
      <c r="T118" s="5">
        <f>+'Curv hora 2029 - 2033 (100%)'!T118*0.5</f>
        <v>6214.7550000000001</v>
      </c>
      <c r="U118" s="5">
        <f>+'Curv hora 2029 - 2033 (100%)'!U118*0.5</f>
        <v>6209.0450000000001</v>
      </c>
      <c r="V118" s="5">
        <f>+'Curv hora 2029 - 2033 (100%)'!V118*0.5</f>
        <v>7286.94</v>
      </c>
      <c r="W118" s="5">
        <f>+'Curv hora 2029 - 2033 (100%)'!W118*0.5</f>
        <v>7793.2650000000003</v>
      </c>
      <c r="X118" s="5">
        <f>+'Curv hora 2029 - 2033 (100%)'!X118*0.5</f>
        <v>8285.875</v>
      </c>
      <c r="Y118" s="5">
        <f>+'Curv hora 2029 - 2033 (100%)'!Y118*0.5</f>
        <v>7913.125</v>
      </c>
      <c r="Z118" s="5">
        <f>+'Curv hora 2029 - 2033 (100%)'!Z118*0.5</f>
        <v>7342.1450000000004</v>
      </c>
      <c r="AA118" s="5">
        <f>+'Curv hora 2029 - 2033 (100%)'!AA118*0.5</f>
        <v>6622.1049999999996</v>
      </c>
      <c r="AB118" s="36">
        <f>+'Curv hora 2029 - 2033 (100%)'!AB118*0.5</f>
        <v>5920.24</v>
      </c>
      <c r="AC118" s="71"/>
    </row>
    <row r="119" spans="1:30" x14ac:dyDescent="0.3">
      <c r="A119" s="76"/>
      <c r="B119" s="77"/>
      <c r="C119" s="7" t="s">
        <v>38</v>
      </c>
      <c r="D119" s="8">
        <v>6</v>
      </c>
      <c r="E119" s="37">
        <f>+'Curv hora 2029 - 2033 (100%)'!E119*0.5</f>
        <v>5290.3</v>
      </c>
      <c r="F119" s="9">
        <f>+'Curv hora 2029 - 2033 (100%)'!F119*0.5</f>
        <v>4977.6850000000004</v>
      </c>
      <c r="G119" s="9">
        <f>+'Curv hora 2029 - 2033 (100%)'!G119*0.5</f>
        <v>4655.16</v>
      </c>
      <c r="H119" s="9">
        <f>+'Curv hora 2029 - 2033 (100%)'!H119*0.5</f>
        <v>4552.6099999999997</v>
      </c>
      <c r="I119" s="9">
        <f>+'Curv hora 2029 - 2033 (100%)'!I119*0.5</f>
        <v>4431.6049999999996</v>
      </c>
      <c r="J119" s="9">
        <f>+'Curv hora 2029 - 2033 (100%)'!J119*0.5</f>
        <v>4364.125</v>
      </c>
      <c r="K119" s="9">
        <f>+'Curv hora 2029 - 2033 (100%)'!K119*0.5</f>
        <v>4279.7700000000004</v>
      </c>
      <c r="L119" s="9">
        <f>+'Curv hora 2029 - 2033 (100%)'!L119*0.5</f>
        <v>3677</v>
      </c>
      <c r="M119" s="9">
        <f>+'Curv hora 2029 - 2033 (100%)'!M119*0.5</f>
        <v>4322.49</v>
      </c>
      <c r="N119" s="9">
        <f>+'Curv hora 2029 - 2033 (100%)'!N119*0.5</f>
        <v>4816.4949999999999</v>
      </c>
      <c r="O119" s="9">
        <f>+'Curv hora 2029 - 2033 (100%)'!O119*0.5</f>
        <v>5291.0749999999998</v>
      </c>
      <c r="P119" s="9">
        <f>+'Curv hora 2029 - 2033 (100%)'!P119*0.5</f>
        <v>5695.3050000000003</v>
      </c>
      <c r="Q119" s="9">
        <f>+'Curv hora 2029 - 2033 (100%)'!Q119*0.5</f>
        <v>5877.125</v>
      </c>
      <c r="R119" s="9">
        <f>+'Curv hora 2029 - 2033 (100%)'!R119*0.5</f>
        <v>5812.4849999999997</v>
      </c>
      <c r="S119" s="9">
        <f>+'Curv hora 2029 - 2033 (100%)'!S119*0.5</f>
        <v>5672.1</v>
      </c>
      <c r="T119" s="9">
        <f>+'Curv hora 2029 - 2033 (100%)'!T119*0.5</f>
        <v>5646.25</v>
      </c>
      <c r="U119" s="9">
        <f>+'Curv hora 2029 - 2033 (100%)'!U119*0.5</f>
        <v>5614.875</v>
      </c>
      <c r="V119" s="9">
        <f>+'Curv hora 2029 - 2033 (100%)'!V119*0.5</f>
        <v>6816.5649999999996</v>
      </c>
      <c r="W119" s="9">
        <f>+'Curv hora 2029 - 2033 (100%)'!W119*0.5</f>
        <v>7447.4750000000004</v>
      </c>
      <c r="X119" s="9">
        <f>+'Curv hora 2029 - 2033 (100%)'!X119*0.5</f>
        <v>8023.64</v>
      </c>
      <c r="Y119" s="9">
        <f>+'Curv hora 2029 - 2033 (100%)'!Y119*0.5</f>
        <v>7714.34</v>
      </c>
      <c r="Z119" s="9">
        <f>+'Curv hora 2029 - 2033 (100%)'!Z119*0.5</f>
        <v>7178.8149999999996</v>
      </c>
      <c r="AA119" s="9">
        <f>+'Curv hora 2029 - 2033 (100%)'!AA119*0.5</f>
        <v>6463.8549999999996</v>
      </c>
      <c r="AB119" s="38">
        <f>+'Curv hora 2029 - 2033 (100%)'!AB119*0.5</f>
        <v>5802.2749999999996</v>
      </c>
      <c r="AC119" s="71"/>
    </row>
    <row r="120" spans="1:30" x14ac:dyDescent="0.3">
      <c r="A120" s="67">
        <v>48245</v>
      </c>
      <c r="B120" s="69">
        <f>DAY(EOMONTH(A120,0))</f>
        <v>29</v>
      </c>
      <c r="C120" s="3" t="s">
        <v>36</v>
      </c>
      <c r="D120" s="10">
        <v>20</v>
      </c>
      <c r="E120" s="33">
        <f>+'Curv hora 2029 - 2033 (100%)'!E120*0.5</f>
        <v>5044.1949999999997</v>
      </c>
      <c r="F120" s="13">
        <f>+'Curv hora 2029 - 2033 (100%)'!F120*0.5</f>
        <v>4747.5450000000001</v>
      </c>
      <c r="G120" s="13">
        <f>+'Curv hora 2029 - 2033 (100%)'!G120*0.5</f>
        <v>4504.2049999999999</v>
      </c>
      <c r="H120" s="13">
        <f>+'Curv hora 2029 - 2033 (100%)'!H120*0.5</f>
        <v>4438.2700000000004</v>
      </c>
      <c r="I120" s="13">
        <f>+'Curv hora 2029 - 2033 (100%)'!I120*0.5</f>
        <v>4414.58</v>
      </c>
      <c r="J120" s="13">
        <f>+'Curv hora 2029 - 2033 (100%)'!J120*0.5</f>
        <v>4694.0649999999996</v>
      </c>
      <c r="K120" s="13">
        <f>+'Curv hora 2029 - 2033 (100%)'!K120*0.5</f>
        <v>5087.3</v>
      </c>
      <c r="L120" s="13">
        <f>+'Curv hora 2029 - 2033 (100%)'!L120*0.5</f>
        <v>4459.3649999999998</v>
      </c>
      <c r="M120" s="13">
        <f>+'Curv hora 2029 - 2033 (100%)'!M120*0.5</f>
        <v>5183.0950000000003</v>
      </c>
      <c r="N120" s="13">
        <f>+'Curv hora 2029 - 2033 (100%)'!N120*0.5</f>
        <v>5581.4949999999999</v>
      </c>
      <c r="O120" s="13">
        <f>+'Curv hora 2029 - 2033 (100%)'!O120*0.5</f>
        <v>6026.08</v>
      </c>
      <c r="P120" s="13">
        <f>+'Curv hora 2029 - 2033 (100%)'!P120*0.5</f>
        <v>6400.915</v>
      </c>
      <c r="Q120" s="13">
        <f>+'Curv hora 2029 - 2033 (100%)'!Q120*0.5</f>
        <v>6136.6949999999997</v>
      </c>
      <c r="R120" s="13">
        <f>+'Curv hora 2029 - 2033 (100%)'!R120*0.5</f>
        <v>6348.0950000000003</v>
      </c>
      <c r="S120" s="13">
        <f>+'Curv hora 2029 - 2033 (100%)'!S120*0.5</f>
        <v>6838.6450000000004</v>
      </c>
      <c r="T120" s="13">
        <f>+'Curv hora 2029 - 2033 (100%)'!T120*0.5</f>
        <v>6955.3249999999998</v>
      </c>
      <c r="U120" s="13">
        <f>+'Curv hora 2029 - 2033 (100%)'!U120*0.5</f>
        <v>6938.0349999999999</v>
      </c>
      <c r="V120" s="13">
        <f>+'Curv hora 2029 - 2033 (100%)'!V120*0.5</f>
        <v>8027.3950000000004</v>
      </c>
      <c r="W120" s="13">
        <f>+'Curv hora 2029 - 2033 (100%)'!W120*0.5</f>
        <v>8385</v>
      </c>
      <c r="X120" s="13">
        <f>+'Curv hora 2029 - 2033 (100%)'!X120*0.5</f>
        <v>8872.51</v>
      </c>
      <c r="Y120" s="13">
        <f>+'Curv hora 2029 - 2033 (100%)'!Y120*0.5</f>
        <v>8401.69</v>
      </c>
      <c r="Z120" s="13">
        <f>+'Curv hora 2029 - 2033 (100%)'!Z120*0.5</f>
        <v>7675.01</v>
      </c>
      <c r="AA120" s="13">
        <f>+'Curv hora 2029 - 2033 (100%)'!AA120*0.5</f>
        <v>6413.4</v>
      </c>
      <c r="AB120" s="34">
        <f>+'Curv hora 2029 - 2033 (100%)'!AB120*0.5</f>
        <v>5758.625</v>
      </c>
      <c r="AC120" s="71">
        <f>SUMPRODUCT((E120:AB122)*D120:D122)</f>
        <v>4193941.5400000005</v>
      </c>
    </row>
    <row r="121" spans="1:30" x14ac:dyDescent="0.3">
      <c r="A121" s="68"/>
      <c r="B121" s="70"/>
      <c r="C121" t="s">
        <v>37</v>
      </c>
      <c r="D121" s="11">
        <v>4</v>
      </c>
      <c r="E121" s="35">
        <f>+'Curv hora 2029 - 2033 (100%)'!E121*0.5</f>
        <v>4889.75</v>
      </c>
      <c r="F121" s="5">
        <f>+'Curv hora 2029 - 2033 (100%)'!F121*0.5</f>
        <v>4564.7550000000001</v>
      </c>
      <c r="G121" s="5">
        <f>+'Curv hora 2029 - 2033 (100%)'!G121*0.5</f>
        <v>4297.4350000000004</v>
      </c>
      <c r="H121" s="5">
        <f>+'Curv hora 2029 - 2033 (100%)'!H121*0.5</f>
        <v>4191.43</v>
      </c>
      <c r="I121" s="5">
        <f>+'Curv hora 2029 - 2033 (100%)'!I121*0.5</f>
        <v>4185.5249999999996</v>
      </c>
      <c r="J121" s="5">
        <f>+'Curv hora 2029 - 2033 (100%)'!J121*0.5</f>
        <v>4285.63</v>
      </c>
      <c r="K121" s="5">
        <f>+'Curv hora 2029 - 2033 (100%)'!K121*0.5</f>
        <v>4451.3549999999996</v>
      </c>
      <c r="L121" s="5">
        <f>+'Curv hora 2029 - 2033 (100%)'!L121*0.5</f>
        <v>3934.355</v>
      </c>
      <c r="M121" s="5">
        <f>+'Curv hora 2029 - 2033 (100%)'!M121*0.5</f>
        <v>4783.99</v>
      </c>
      <c r="N121" s="5">
        <f>+'Curv hora 2029 - 2033 (100%)'!N121*0.5</f>
        <v>5408.73</v>
      </c>
      <c r="O121" s="5">
        <f>+'Curv hora 2029 - 2033 (100%)'!O121*0.5</f>
        <v>5884.5</v>
      </c>
      <c r="P121" s="5">
        <f>+'Curv hora 2029 - 2033 (100%)'!P121*0.5</f>
        <v>6276.76</v>
      </c>
      <c r="Q121" s="5">
        <f>+'Curv hora 2029 - 2033 (100%)'!Q121*0.5</f>
        <v>6230.8850000000002</v>
      </c>
      <c r="R121" s="5">
        <f>+'Curv hora 2029 - 2033 (100%)'!R121*0.5</f>
        <v>6108.4049999999997</v>
      </c>
      <c r="S121" s="5">
        <f>+'Curv hora 2029 - 2033 (100%)'!S121*0.5</f>
        <v>6081.0749999999998</v>
      </c>
      <c r="T121" s="5">
        <f>+'Curv hora 2029 - 2033 (100%)'!T121*0.5</f>
        <v>6261.08</v>
      </c>
      <c r="U121" s="5">
        <f>+'Curv hora 2029 - 2033 (100%)'!U121*0.5</f>
        <v>6322.99</v>
      </c>
      <c r="V121" s="5">
        <f>+'Curv hora 2029 - 2033 (100%)'!V121*0.5</f>
        <v>7454.0450000000001</v>
      </c>
      <c r="W121" s="5">
        <f>+'Curv hora 2029 - 2033 (100%)'!W121*0.5</f>
        <v>8040.25</v>
      </c>
      <c r="X121" s="5">
        <f>+'Curv hora 2029 - 2033 (100%)'!X121*0.5</f>
        <v>8546.85</v>
      </c>
      <c r="Y121" s="5">
        <f>+'Curv hora 2029 - 2033 (100%)'!Y121*0.5</f>
        <v>8129.4449999999997</v>
      </c>
      <c r="Z121" s="5">
        <f>+'Curv hora 2029 - 2033 (100%)'!Z121*0.5</f>
        <v>7485.5050000000001</v>
      </c>
      <c r="AA121" s="5">
        <f>+'Curv hora 2029 - 2033 (100%)'!AA121*0.5</f>
        <v>6697.86</v>
      </c>
      <c r="AB121" s="36">
        <f>+'Curv hora 2029 - 2033 (100%)'!AB121*0.5</f>
        <v>5906.43</v>
      </c>
      <c r="AC121" s="71"/>
    </row>
    <row r="122" spans="1:30" x14ac:dyDescent="0.3">
      <c r="A122" s="76"/>
      <c r="B122" s="77"/>
      <c r="C122" s="7" t="s">
        <v>38</v>
      </c>
      <c r="D122" s="12">
        <v>5</v>
      </c>
      <c r="E122" s="37">
        <f>+'Curv hora 2029 - 2033 (100%)'!E122*0.5</f>
        <v>5159.63</v>
      </c>
      <c r="F122" s="9">
        <f>+'Curv hora 2029 - 2033 (100%)'!F122*0.5</f>
        <v>4799.2049999999999</v>
      </c>
      <c r="G122" s="9">
        <f>+'Curv hora 2029 - 2033 (100%)'!G122*0.5</f>
        <v>4542.1450000000004</v>
      </c>
      <c r="H122" s="9">
        <f>+'Curv hora 2029 - 2033 (100%)'!H122*0.5</f>
        <v>4394.1549999999997</v>
      </c>
      <c r="I122" s="9">
        <f>+'Curv hora 2029 - 2033 (100%)'!I122*0.5</f>
        <v>4291.5200000000004</v>
      </c>
      <c r="J122" s="9">
        <f>+'Curv hora 2029 - 2033 (100%)'!J122*0.5</f>
        <v>4300.2150000000001</v>
      </c>
      <c r="K122" s="9">
        <f>+'Curv hora 2029 - 2033 (100%)'!K122*0.5</f>
        <v>4348.1850000000004</v>
      </c>
      <c r="L122" s="9">
        <f>+'Curv hora 2029 - 2033 (100%)'!L122*0.5</f>
        <v>3811.32</v>
      </c>
      <c r="M122" s="9">
        <f>+'Curv hora 2029 - 2033 (100%)'!M122*0.5</f>
        <v>4501.4650000000001</v>
      </c>
      <c r="N122" s="9">
        <f>+'Curv hora 2029 - 2033 (100%)'!N122*0.5</f>
        <v>5008.03</v>
      </c>
      <c r="O122" s="9">
        <f>+'Curv hora 2029 - 2033 (100%)'!O122*0.5</f>
        <v>5459.57</v>
      </c>
      <c r="P122" s="9">
        <f>+'Curv hora 2029 - 2033 (100%)'!P122*0.5</f>
        <v>5861.6750000000002</v>
      </c>
      <c r="Q122" s="9">
        <f>+'Curv hora 2029 - 2033 (100%)'!Q122*0.5</f>
        <v>6063.43</v>
      </c>
      <c r="R122" s="9">
        <f>+'Curv hora 2029 - 2033 (100%)'!R122*0.5</f>
        <v>6059.77</v>
      </c>
      <c r="S122" s="9">
        <f>+'Curv hora 2029 - 2033 (100%)'!S122*0.5</f>
        <v>6014.7950000000001</v>
      </c>
      <c r="T122" s="9">
        <f>+'Curv hora 2029 - 2033 (100%)'!T122*0.5</f>
        <v>5951.1450000000004</v>
      </c>
      <c r="U122" s="9">
        <f>+'Curv hora 2029 - 2033 (100%)'!U122*0.5</f>
        <v>5962.82</v>
      </c>
      <c r="V122" s="9">
        <f>+'Curv hora 2029 - 2033 (100%)'!V122*0.5</f>
        <v>7119.18</v>
      </c>
      <c r="W122" s="9">
        <f>+'Curv hora 2029 - 2033 (100%)'!W122*0.5</f>
        <v>7683.9350000000004</v>
      </c>
      <c r="X122" s="9">
        <f>+'Curv hora 2029 - 2033 (100%)'!X122*0.5</f>
        <v>8303.18</v>
      </c>
      <c r="Y122" s="9">
        <f>+'Curv hora 2029 - 2033 (100%)'!Y122*0.5</f>
        <v>8081.73</v>
      </c>
      <c r="Z122" s="9">
        <f>+'Curv hora 2029 - 2033 (100%)'!Z122*0.5</f>
        <v>7584.4549999999999</v>
      </c>
      <c r="AA122" s="9">
        <f>+'Curv hora 2029 - 2033 (100%)'!AA122*0.5</f>
        <v>6612.8649999999998</v>
      </c>
      <c r="AB122" s="38">
        <f>+'Curv hora 2029 - 2033 (100%)'!AB122*0.5</f>
        <v>5212.5200000000004</v>
      </c>
      <c r="AC122" s="71"/>
    </row>
    <row r="123" spans="1:30" x14ac:dyDescent="0.3">
      <c r="A123" s="67">
        <v>48274</v>
      </c>
      <c r="B123" s="69">
        <f t="shared" ref="B123" si="35">DAY(EOMONTH(A123,0))</f>
        <v>31</v>
      </c>
      <c r="C123" s="3" t="s">
        <v>36</v>
      </c>
      <c r="D123" s="10">
        <v>20</v>
      </c>
      <c r="E123" s="33">
        <f>+'Curv hora 2029 - 2033 (100%)'!E123*0.5</f>
        <v>4847.57</v>
      </c>
      <c r="F123" s="13">
        <f>+'Curv hora 2029 - 2033 (100%)'!F123*0.5</f>
        <v>4537.1499999999996</v>
      </c>
      <c r="G123" s="13">
        <f>+'Curv hora 2029 - 2033 (100%)'!G123*0.5</f>
        <v>4359.76</v>
      </c>
      <c r="H123" s="13">
        <f>+'Curv hora 2029 - 2033 (100%)'!H123*0.5</f>
        <v>4270.54</v>
      </c>
      <c r="I123" s="13">
        <f>+'Curv hora 2029 - 2033 (100%)'!I123*0.5</f>
        <v>4285.07</v>
      </c>
      <c r="J123" s="13">
        <f>+'Curv hora 2029 - 2033 (100%)'!J123*0.5</f>
        <v>4585.5749999999998</v>
      </c>
      <c r="K123" s="13">
        <f>+'Curv hora 2029 - 2033 (100%)'!K123*0.5</f>
        <v>4980.0600000000004</v>
      </c>
      <c r="L123" s="13">
        <f>+'Curv hora 2029 - 2033 (100%)'!L123*0.5</f>
        <v>4377.3999999999996</v>
      </c>
      <c r="M123" s="13">
        <f>+'Curv hora 2029 - 2033 (100%)'!M123*0.5</f>
        <v>5057.375</v>
      </c>
      <c r="N123" s="13">
        <f>+'Curv hora 2029 - 2033 (100%)'!N123*0.5</f>
        <v>5536.69</v>
      </c>
      <c r="O123" s="13">
        <f>+'Curv hora 2029 - 2033 (100%)'!O123*0.5</f>
        <v>5929.7749999999996</v>
      </c>
      <c r="P123" s="13">
        <f>+'Curv hora 2029 - 2033 (100%)'!P123*0.5</f>
        <v>6266.8549999999996</v>
      </c>
      <c r="Q123" s="13">
        <f>+'Curv hora 2029 - 2033 (100%)'!Q123*0.5</f>
        <v>5883.04</v>
      </c>
      <c r="R123" s="13">
        <f>+'Curv hora 2029 - 2033 (100%)'!R123*0.5</f>
        <v>6200.66</v>
      </c>
      <c r="S123" s="13">
        <f>+'Curv hora 2029 - 2033 (100%)'!S123*0.5</f>
        <v>6577.34</v>
      </c>
      <c r="T123" s="13">
        <f>+'Curv hora 2029 - 2033 (100%)'!T123*0.5</f>
        <v>6705.79</v>
      </c>
      <c r="U123" s="13">
        <f>+'Curv hora 2029 - 2033 (100%)'!U123*0.5</f>
        <v>6676.95</v>
      </c>
      <c r="V123" s="13">
        <f>+'Curv hora 2029 - 2033 (100%)'!V123*0.5</f>
        <v>7725.81</v>
      </c>
      <c r="W123" s="13">
        <f>+'Curv hora 2029 - 2033 (100%)'!W123*0.5</f>
        <v>8153.3050000000003</v>
      </c>
      <c r="X123" s="13">
        <f>+'Curv hora 2029 - 2033 (100%)'!X123*0.5</f>
        <v>8659.8050000000003</v>
      </c>
      <c r="Y123" s="13">
        <f>+'Curv hora 2029 - 2033 (100%)'!Y123*0.5</f>
        <v>8166.9849999999997</v>
      </c>
      <c r="Z123" s="13">
        <f>+'Curv hora 2029 - 2033 (100%)'!Z123*0.5</f>
        <v>7420.5749999999998</v>
      </c>
      <c r="AA123" s="13">
        <f>+'Curv hora 2029 - 2033 (100%)'!AA123*0.5</f>
        <v>6376.14</v>
      </c>
      <c r="AB123" s="34">
        <f>+'Curv hora 2029 - 2033 (100%)'!AB123*0.5</f>
        <v>5549.62</v>
      </c>
      <c r="AC123" s="71">
        <f>SUMPRODUCT((E123:AB125)*D123:D125)</f>
        <v>4335946.040000001</v>
      </c>
    </row>
    <row r="124" spans="1:30" x14ac:dyDescent="0.3">
      <c r="A124" s="68"/>
      <c r="B124" s="70"/>
      <c r="C124" t="s">
        <v>37</v>
      </c>
      <c r="D124" s="11">
        <v>4</v>
      </c>
      <c r="E124" s="35">
        <f>+'Curv hora 2029 - 2033 (100%)'!E124*0.5</f>
        <v>4494.22</v>
      </c>
      <c r="F124" s="5">
        <f>+'Curv hora 2029 - 2033 (100%)'!F124*0.5</f>
        <v>4397.05</v>
      </c>
      <c r="G124" s="5">
        <f>+'Curv hora 2029 - 2033 (100%)'!G124*0.5</f>
        <v>4207.9750000000004</v>
      </c>
      <c r="H124" s="5">
        <f>+'Curv hora 2029 - 2033 (100%)'!H124*0.5</f>
        <v>4087.42</v>
      </c>
      <c r="I124" s="5">
        <f>+'Curv hora 2029 - 2033 (100%)'!I124*0.5</f>
        <v>4088.5549999999998</v>
      </c>
      <c r="J124" s="5">
        <f>+'Curv hora 2029 - 2033 (100%)'!J124*0.5</f>
        <v>4220.2950000000001</v>
      </c>
      <c r="K124" s="5">
        <f>+'Curv hora 2029 - 2033 (100%)'!K124*0.5</f>
        <v>4451.75</v>
      </c>
      <c r="L124" s="5">
        <f>+'Curv hora 2029 - 2033 (100%)'!L124*0.5</f>
        <v>3952.105</v>
      </c>
      <c r="M124" s="5">
        <f>+'Curv hora 2029 - 2033 (100%)'!M124*0.5</f>
        <v>4795.6499999999996</v>
      </c>
      <c r="N124" s="5">
        <f>+'Curv hora 2029 - 2033 (100%)'!N124*0.5</f>
        <v>5303.27</v>
      </c>
      <c r="O124" s="5">
        <f>+'Curv hora 2029 - 2033 (100%)'!O124*0.5</f>
        <v>5666.3549999999996</v>
      </c>
      <c r="P124" s="5">
        <f>+'Curv hora 2029 - 2033 (100%)'!P124*0.5</f>
        <v>5952.25</v>
      </c>
      <c r="Q124" s="5">
        <f>+'Curv hora 2029 - 2033 (100%)'!Q124*0.5</f>
        <v>5873.54</v>
      </c>
      <c r="R124" s="5">
        <f>+'Curv hora 2029 - 2033 (100%)'!R124*0.5</f>
        <v>5770.7349999999997</v>
      </c>
      <c r="S124" s="5">
        <f>+'Curv hora 2029 - 2033 (100%)'!S124*0.5</f>
        <v>5866.65</v>
      </c>
      <c r="T124" s="5">
        <f>+'Curv hora 2029 - 2033 (100%)'!T124*0.5</f>
        <v>5917.0550000000003</v>
      </c>
      <c r="U124" s="5">
        <f>+'Curv hora 2029 - 2033 (100%)'!U124*0.5</f>
        <v>6004.97</v>
      </c>
      <c r="V124" s="5">
        <f>+'Curv hora 2029 - 2033 (100%)'!V124*0.5</f>
        <v>7192.4049999999997</v>
      </c>
      <c r="W124" s="5">
        <f>+'Curv hora 2029 - 2033 (100%)'!W124*0.5</f>
        <v>7844.05</v>
      </c>
      <c r="X124" s="5">
        <f>+'Curv hora 2029 - 2033 (100%)'!X124*0.5</f>
        <v>8226.2549999999992</v>
      </c>
      <c r="Y124" s="5">
        <f>+'Curv hora 2029 - 2033 (100%)'!Y124*0.5</f>
        <v>7770.1149999999998</v>
      </c>
      <c r="Z124" s="5">
        <f>+'Curv hora 2029 - 2033 (100%)'!Z124*0.5</f>
        <v>7203.9</v>
      </c>
      <c r="AA124" s="5">
        <f>+'Curv hora 2029 - 2033 (100%)'!AA124*0.5</f>
        <v>6440.25</v>
      </c>
      <c r="AB124" s="36">
        <f>+'Curv hora 2029 - 2033 (100%)'!AB124*0.5</f>
        <v>5686.47</v>
      </c>
      <c r="AC124" s="71"/>
    </row>
    <row r="125" spans="1:30" x14ac:dyDescent="0.3">
      <c r="A125" s="76"/>
      <c r="B125" s="77"/>
      <c r="C125" s="7" t="s">
        <v>38</v>
      </c>
      <c r="D125" s="12">
        <v>7</v>
      </c>
      <c r="E125" s="37">
        <f>+'Curv hora 2029 - 2033 (100%)'!E125*0.5</f>
        <v>5025.5450000000001</v>
      </c>
      <c r="F125" s="9">
        <f>+'Curv hora 2029 - 2033 (100%)'!F125*0.5</f>
        <v>4695.085</v>
      </c>
      <c r="G125" s="9">
        <f>+'Curv hora 2029 - 2033 (100%)'!G125*0.5</f>
        <v>4462.3999999999996</v>
      </c>
      <c r="H125" s="9">
        <f>+'Curv hora 2029 - 2033 (100%)'!H125*0.5</f>
        <v>4329.4250000000002</v>
      </c>
      <c r="I125" s="9">
        <f>+'Curv hora 2029 - 2033 (100%)'!I125*0.5</f>
        <v>4278.17</v>
      </c>
      <c r="J125" s="9">
        <f>+'Curv hora 2029 - 2033 (100%)'!J125*0.5</f>
        <v>4293.7299999999996</v>
      </c>
      <c r="K125" s="9">
        <f>+'Curv hora 2029 - 2033 (100%)'!K125*0.5</f>
        <v>4360.9949999999999</v>
      </c>
      <c r="L125" s="9">
        <f>+'Curv hora 2029 - 2033 (100%)'!L125*0.5</f>
        <v>3821.5949999999998</v>
      </c>
      <c r="M125" s="9">
        <f>+'Curv hora 2029 - 2033 (100%)'!M125*0.5</f>
        <v>4467.09</v>
      </c>
      <c r="N125" s="9">
        <f>+'Curv hora 2029 - 2033 (100%)'!N125*0.5</f>
        <v>4916.6000000000004</v>
      </c>
      <c r="O125" s="9">
        <f>+'Curv hora 2029 - 2033 (100%)'!O125*0.5</f>
        <v>5228.1499999999996</v>
      </c>
      <c r="P125" s="9">
        <f>+'Curv hora 2029 - 2033 (100%)'!P125*0.5</f>
        <v>5469.7550000000001</v>
      </c>
      <c r="Q125" s="9">
        <f>+'Curv hora 2029 - 2033 (100%)'!Q125*0.5</f>
        <v>5643.02</v>
      </c>
      <c r="R125" s="9">
        <f>+'Curv hora 2029 - 2033 (100%)'!R125*0.5</f>
        <v>5622.6049999999996</v>
      </c>
      <c r="S125" s="9">
        <f>+'Curv hora 2029 - 2033 (100%)'!S125*0.5</f>
        <v>5680.335</v>
      </c>
      <c r="T125" s="9">
        <f>+'Curv hora 2029 - 2033 (100%)'!T125*0.5</f>
        <v>5713.8249999999998</v>
      </c>
      <c r="U125" s="9">
        <f>+'Curv hora 2029 - 2033 (100%)'!U125*0.5</f>
        <v>5715.61</v>
      </c>
      <c r="V125" s="9">
        <f>+'Curv hora 2029 - 2033 (100%)'!V125*0.5</f>
        <v>6948.66</v>
      </c>
      <c r="W125" s="9">
        <f>+'Curv hora 2029 - 2033 (100%)'!W125*0.5</f>
        <v>7629.9350000000004</v>
      </c>
      <c r="X125" s="9">
        <f>+'Curv hora 2029 - 2033 (100%)'!X125*0.5</f>
        <v>7992.3249999999998</v>
      </c>
      <c r="Y125" s="9">
        <f>+'Curv hora 2029 - 2033 (100%)'!Y125*0.5</f>
        <v>7700.1750000000002</v>
      </c>
      <c r="Z125" s="9">
        <f>+'Curv hora 2029 - 2033 (100%)'!Z125*0.5</f>
        <v>7150.3549999999996</v>
      </c>
      <c r="AA125" s="9">
        <f>+'Curv hora 2029 - 2033 (100%)'!AA125*0.5</f>
        <v>6344.32</v>
      </c>
      <c r="AB125" s="38">
        <f>+'Curv hora 2029 - 2033 (100%)'!AB125*0.5</f>
        <v>5609.7349999999997</v>
      </c>
      <c r="AC125" s="71"/>
    </row>
    <row r="126" spans="1:30" x14ac:dyDescent="0.3">
      <c r="A126" s="67">
        <v>48305</v>
      </c>
      <c r="B126" s="69">
        <f t="shared" ref="B126" si="36">DAY(EOMONTH(A126,0))</f>
        <v>30</v>
      </c>
      <c r="C126" s="3" t="s">
        <v>36</v>
      </c>
      <c r="D126" s="10">
        <v>22</v>
      </c>
      <c r="E126" s="33">
        <f>+'Curv hora 2029 - 2033 (100%)'!E126*0.5</f>
        <v>4876.6850000000004</v>
      </c>
      <c r="F126" s="13">
        <f>+'Curv hora 2029 - 2033 (100%)'!F126*0.5</f>
        <v>4614.2550000000001</v>
      </c>
      <c r="G126" s="13">
        <f>+'Curv hora 2029 - 2033 (100%)'!G126*0.5</f>
        <v>4438.84</v>
      </c>
      <c r="H126" s="13">
        <f>+'Curv hora 2029 - 2033 (100%)'!H126*0.5</f>
        <v>4315.67</v>
      </c>
      <c r="I126" s="13">
        <f>+'Curv hora 2029 - 2033 (100%)'!I126*0.5</f>
        <v>4318.7250000000004</v>
      </c>
      <c r="J126" s="13">
        <f>+'Curv hora 2029 - 2033 (100%)'!J126*0.5</f>
        <v>4655.33</v>
      </c>
      <c r="K126" s="13">
        <f>+'Curv hora 2029 - 2033 (100%)'!K126*0.5</f>
        <v>4992.24</v>
      </c>
      <c r="L126" s="13">
        <f>+'Curv hora 2029 - 2033 (100%)'!L126*0.5</f>
        <v>4397.5249999999996</v>
      </c>
      <c r="M126" s="13">
        <f>+'Curv hora 2029 - 2033 (100%)'!M126*0.5</f>
        <v>5122.4549999999999</v>
      </c>
      <c r="N126" s="13">
        <f>+'Curv hora 2029 - 2033 (100%)'!N126*0.5</f>
        <v>5588.59</v>
      </c>
      <c r="O126" s="13">
        <f>+'Curv hora 2029 - 2033 (100%)'!O126*0.5</f>
        <v>5963.6</v>
      </c>
      <c r="P126" s="13">
        <f>+'Curv hora 2029 - 2033 (100%)'!P126*0.5</f>
        <v>6251.17</v>
      </c>
      <c r="Q126" s="13">
        <f>+'Curv hora 2029 - 2033 (100%)'!Q126*0.5</f>
        <v>6093.03</v>
      </c>
      <c r="R126" s="13">
        <f>+'Curv hora 2029 - 2033 (100%)'!R126*0.5</f>
        <v>6215.7349999999997</v>
      </c>
      <c r="S126" s="13">
        <f>+'Curv hora 2029 - 2033 (100%)'!S126*0.5</f>
        <v>6730.835</v>
      </c>
      <c r="T126" s="13">
        <f>+'Curv hora 2029 - 2033 (100%)'!T126*0.5</f>
        <v>6900.28</v>
      </c>
      <c r="U126" s="13">
        <f>+'Curv hora 2029 - 2033 (100%)'!U126*0.5</f>
        <v>6916.4650000000001</v>
      </c>
      <c r="V126" s="13">
        <f>+'Curv hora 2029 - 2033 (100%)'!V126*0.5</f>
        <v>8019.03</v>
      </c>
      <c r="W126" s="13">
        <f>+'Curv hora 2029 - 2033 (100%)'!W126*0.5</f>
        <v>8773.82</v>
      </c>
      <c r="X126" s="13">
        <f>+'Curv hora 2029 - 2033 (100%)'!X126*0.5</f>
        <v>8919.65</v>
      </c>
      <c r="Y126" s="13">
        <f>+'Curv hora 2029 - 2033 (100%)'!Y126*0.5</f>
        <v>8409.6</v>
      </c>
      <c r="Z126" s="13">
        <f>+'Curv hora 2029 - 2033 (100%)'!Z126*0.5</f>
        <v>7646.59</v>
      </c>
      <c r="AA126" s="13">
        <f>+'Curv hora 2029 - 2033 (100%)'!AA126*0.5</f>
        <v>6578.6</v>
      </c>
      <c r="AB126" s="34">
        <f>+'Curv hora 2029 - 2033 (100%)'!AB126*0.5</f>
        <v>5683.82</v>
      </c>
      <c r="AC126" s="71">
        <f>SUMPRODUCT((E126:AB128)*D126:D128)</f>
        <v>4379743.4999999991</v>
      </c>
    </row>
    <row r="127" spans="1:30" x14ac:dyDescent="0.3">
      <c r="A127" s="68"/>
      <c r="B127" s="70"/>
      <c r="C127" t="s">
        <v>37</v>
      </c>
      <c r="D127" s="11">
        <v>4</v>
      </c>
      <c r="E127" s="35">
        <f>+'Curv hora 2029 - 2033 (100%)'!E127*0.5</f>
        <v>4987.165</v>
      </c>
      <c r="F127" s="5">
        <f>+'Curv hora 2029 - 2033 (100%)'!F127*0.5</f>
        <v>4672.08</v>
      </c>
      <c r="G127" s="5">
        <f>+'Curv hora 2029 - 2033 (100%)'!G127*0.5</f>
        <v>4444.7049999999999</v>
      </c>
      <c r="H127" s="5">
        <f>+'Curv hora 2029 - 2033 (100%)'!H127*0.5</f>
        <v>4314.62</v>
      </c>
      <c r="I127" s="5">
        <f>+'Curv hora 2029 - 2033 (100%)'!I127*0.5</f>
        <v>4298.6049999999996</v>
      </c>
      <c r="J127" s="5">
        <f>+'Curv hora 2029 - 2033 (100%)'!J127*0.5</f>
        <v>4422.43</v>
      </c>
      <c r="K127" s="5">
        <f>+'Curv hora 2029 - 2033 (100%)'!K127*0.5</f>
        <v>4616.8149999999996</v>
      </c>
      <c r="L127" s="5">
        <f>+'Curv hora 2029 - 2033 (100%)'!L127*0.5</f>
        <v>4197.71</v>
      </c>
      <c r="M127" s="5">
        <f>+'Curv hora 2029 - 2033 (100%)'!M127*0.5</f>
        <v>5069.24</v>
      </c>
      <c r="N127" s="5">
        <f>+'Curv hora 2029 - 2033 (100%)'!N127*0.5</f>
        <v>5692.2950000000001</v>
      </c>
      <c r="O127" s="5">
        <f>+'Curv hora 2029 - 2033 (100%)'!O127*0.5</f>
        <v>6241.54</v>
      </c>
      <c r="P127" s="5">
        <f>+'Curv hora 2029 - 2033 (100%)'!P127*0.5</f>
        <v>6658.44</v>
      </c>
      <c r="Q127" s="5">
        <f>+'Curv hora 2029 - 2033 (100%)'!Q127*0.5</f>
        <v>6674.38</v>
      </c>
      <c r="R127" s="5">
        <f>+'Curv hora 2029 - 2033 (100%)'!R127*0.5</f>
        <v>6666.4350000000004</v>
      </c>
      <c r="S127" s="5">
        <f>+'Curv hora 2029 - 2033 (100%)'!S127*0.5</f>
        <v>6606.1149999999998</v>
      </c>
      <c r="T127" s="5">
        <f>+'Curv hora 2029 - 2033 (100%)'!T127*0.5</f>
        <v>6474.81</v>
      </c>
      <c r="U127" s="5">
        <f>+'Curv hora 2029 - 2033 (100%)'!U127*0.5</f>
        <v>6416.5349999999999</v>
      </c>
      <c r="V127" s="5">
        <f>+'Curv hora 2029 - 2033 (100%)'!V127*0.5</f>
        <v>7525.0749999999998</v>
      </c>
      <c r="W127" s="5">
        <f>+'Curv hora 2029 - 2033 (100%)'!W127*0.5</f>
        <v>8252.3150000000005</v>
      </c>
      <c r="X127" s="5">
        <f>+'Curv hora 2029 - 2033 (100%)'!X127*0.5</f>
        <v>8551.16</v>
      </c>
      <c r="Y127" s="5">
        <f>+'Curv hora 2029 - 2033 (100%)'!Y127*0.5</f>
        <v>8288.7250000000004</v>
      </c>
      <c r="Z127" s="5">
        <f>+'Curv hora 2029 - 2033 (100%)'!Z127*0.5</f>
        <v>7709.77</v>
      </c>
      <c r="AA127" s="5">
        <f>+'Curv hora 2029 - 2033 (100%)'!AA127*0.5</f>
        <v>6956.82</v>
      </c>
      <c r="AB127" s="36">
        <f>+'Curv hora 2029 - 2033 (100%)'!AB127*0.5</f>
        <v>6276.52</v>
      </c>
      <c r="AC127" s="71"/>
    </row>
    <row r="128" spans="1:30" x14ac:dyDescent="0.3">
      <c r="A128" s="76"/>
      <c r="B128" s="77"/>
      <c r="C128" s="7" t="s">
        <v>38</v>
      </c>
      <c r="D128" s="12">
        <v>4</v>
      </c>
      <c r="E128" s="37">
        <f>+'Curv hora 2029 - 2033 (100%)'!E128*0.5</f>
        <v>5479.62</v>
      </c>
      <c r="F128" s="9">
        <f>+'Curv hora 2029 - 2033 (100%)'!F128*0.5</f>
        <v>5082.03</v>
      </c>
      <c r="G128" s="9">
        <f>+'Curv hora 2029 - 2033 (100%)'!G128*0.5</f>
        <v>4784.45</v>
      </c>
      <c r="H128" s="9">
        <f>+'Curv hora 2029 - 2033 (100%)'!H128*0.5</f>
        <v>4591.24</v>
      </c>
      <c r="I128" s="9">
        <f>+'Curv hora 2029 - 2033 (100%)'!I128*0.5</f>
        <v>4494.1450000000004</v>
      </c>
      <c r="J128" s="9">
        <f>+'Curv hora 2029 - 2033 (100%)'!J128*0.5</f>
        <v>4504.3850000000002</v>
      </c>
      <c r="K128" s="9">
        <f>+'Curv hora 2029 - 2033 (100%)'!K128*0.5</f>
        <v>4651.1850000000004</v>
      </c>
      <c r="L128" s="9">
        <f>+'Curv hora 2029 - 2033 (100%)'!L128*0.5</f>
        <v>3981.7449999999999</v>
      </c>
      <c r="M128" s="9">
        <f>+'Curv hora 2029 - 2033 (100%)'!M128*0.5</f>
        <v>4645.2049999999999</v>
      </c>
      <c r="N128" s="9">
        <f>+'Curv hora 2029 - 2033 (100%)'!N128*0.5</f>
        <v>5151.415</v>
      </c>
      <c r="O128" s="9">
        <f>+'Curv hora 2029 - 2033 (100%)'!O128*0.5</f>
        <v>5592.5</v>
      </c>
      <c r="P128" s="9">
        <f>+'Curv hora 2029 - 2033 (100%)'!P128*0.5</f>
        <v>6035.5349999999999</v>
      </c>
      <c r="Q128" s="9">
        <f>+'Curv hora 2029 - 2033 (100%)'!Q128*0.5</f>
        <v>6301.0050000000001</v>
      </c>
      <c r="R128" s="9">
        <f>+'Curv hora 2029 - 2033 (100%)'!R128*0.5</f>
        <v>6315.1850000000004</v>
      </c>
      <c r="S128" s="9">
        <f>+'Curv hora 2029 - 2033 (100%)'!S128*0.5</f>
        <v>6341.0749999999998</v>
      </c>
      <c r="T128" s="9">
        <f>+'Curv hora 2029 - 2033 (100%)'!T128*0.5</f>
        <v>6362.3249999999998</v>
      </c>
      <c r="U128" s="9">
        <f>+'Curv hora 2029 - 2033 (100%)'!U128*0.5</f>
        <v>6303.38</v>
      </c>
      <c r="V128" s="9">
        <f>+'Curv hora 2029 - 2033 (100%)'!V128*0.5</f>
        <v>7421.78</v>
      </c>
      <c r="W128" s="9">
        <f>+'Curv hora 2029 - 2033 (100%)'!W128*0.5</f>
        <v>8387.8799999999992</v>
      </c>
      <c r="X128" s="9">
        <f>+'Curv hora 2029 - 2033 (100%)'!X128*0.5</f>
        <v>8807.0400000000009</v>
      </c>
      <c r="Y128" s="9">
        <f>+'Curv hora 2029 - 2033 (100%)'!Y128*0.5</f>
        <v>8622.8050000000003</v>
      </c>
      <c r="Z128" s="9">
        <f>+'Curv hora 2029 - 2033 (100%)'!Z128*0.5</f>
        <v>7894.7650000000003</v>
      </c>
      <c r="AA128" s="9">
        <f>+'Curv hora 2029 - 2033 (100%)'!AA128*0.5</f>
        <v>6616.6850000000004</v>
      </c>
      <c r="AB128" s="38">
        <f>+'Curv hora 2029 - 2033 (100%)'!AB128*0.5</f>
        <v>5230.22</v>
      </c>
      <c r="AC128" s="71"/>
    </row>
    <row r="129" spans="1:29" x14ac:dyDescent="0.3">
      <c r="A129" s="67">
        <v>48335</v>
      </c>
      <c r="B129" s="69">
        <f t="shared" ref="B129" si="37">DAY(EOMONTH(A129,0))</f>
        <v>31</v>
      </c>
      <c r="C129" s="3" t="s">
        <v>36</v>
      </c>
      <c r="D129" s="10">
        <v>19</v>
      </c>
      <c r="E129" s="33">
        <f>+'Curv hora 2029 - 2033 (100%)'!E129*0.5</f>
        <v>4601.3549999999996</v>
      </c>
      <c r="F129" s="13">
        <f>+'Curv hora 2029 - 2033 (100%)'!F129*0.5</f>
        <v>4309.7849999999999</v>
      </c>
      <c r="G129" s="13">
        <f>+'Curv hora 2029 - 2033 (100%)'!G129*0.5</f>
        <v>4142.3149999999996</v>
      </c>
      <c r="H129" s="13">
        <f>+'Curv hora 2029 - 2033 (100%)'!H129*0.5</f>
        <v>4019.4850000000001</v>
      </c>
      <c r="I129" s="13">
        <f>+'Curv hora 2029 - 2033 (100%)'!I129*0.5</f>
        <v>3983.7449999999999</v>
      </c>
      <c r="J129" s="13">
        <f>+'Curv hora 2029 - 2033 (100%)'!J129*0.5</f>
        <v>4324.63</v>
      </c>
      <c r="K129" s="13">
        <f>+'Curv hora 2029 - 2033 (100%)'!K129*0.5</f>
        <v>4789.4949999999999</v>
      </c>
      <c r="L129" s="13">
        <f>+'Curv hora 2029 - 2033 (100%)'!L129*0.5</f>
        <v>4251.3249999999998</v>
      </c>
      <c r="M129" s="13">
        <f>+'Curv hora 2029 - 2033 (100%)'!M129*0.5</f>
        <v>4942.74</v>
      </c>
      <c r="N129" s="13">
        <f>+'Curv hora 2029 - 2033 (100%)'!N129*0.5</f>
        <v>5362.3</v>
      </c>
      <c r="O129" s="13">
        <f>+'Curv hora 2029 - 2033 (100%)'!O129*0.5</f>
        <v>5816.7349999999997</v>
      </c>
      <c r="P129" s="13">
        <f>+'Curv hora 2029 - 2033 (100%)'!P129*0.5</f>
        <v>6135.6949999999997</v>
      </c>
      <c r="Q129" s="13">
        <f>+'Curv hora 2029 - 2033 (100%)'!Q129*0.5</f>
        <v>5904.8950000000004</v>
      </c>
      <c r="R129" s="13">
        <f>+'Curv hora 2029 - 2033 (100%)'!R129*0.5</f>
        <v>5886.79</v>
      </c>
      <c r="S129" s="13">
        <f>+'Curv hora 2029 - 2033 (100%)'!S129*0.5</f>
        <v>6260.64</v>
      </c>
      <c r="T129" s="13">
        <f>+'Curv hora 2029 - 2033 (100%)'!T129*0.5</f>
        <v>6426.51</v>
      </c>
      <c r="U129" s="13">
        <f>+'Curv hora 2029 - 2033 (100%)'!U129*0.5</f>
        <v>6446.4949999999999</v>
      </c>
      <c r="V129" s="13">
        <f>+'Curv hora 2029 - 2033 (100%)'!V129*0.5</f>
        <v>7663.9350000000004</v>
      </c>
      <c r="W129" s="13">
        <f>+'Curv hora 2029 - 2033 (100%)'!W129*0.5</f>
        <v>8427.3799999999992</v>
      </c>
      <c r="X129" s="13">
        <f>+'Curv hora 2029 - 2033 (100%)'!X129*0.5</f>
        <v>8607.0149999999994</v>
      </c>
      <c r="Y129" s="13">
        <f>+'Curv hora 2029 - 2033 (100%)'!Y129*0.5</f>
        <v>8090.2349999999997</v>
      </c>
      <c r="Z129" s="13">
        <f>+'Curv hora 2029 - 2033 (100%)'!Z129*0.5</f>
        <v>7323.2849999999999</v>
      </c>
      <c r="AA129" s="13">
        <f>+'Curv hora 2029 - 2033 (100%)'!AA129*0.5</f>
        <v>6217.14</v>
      </c>
      <c r="AB129" s="34">
        <f>+'Curv hora 2029 - 2033 (100%)'!AB129*0.5</f>
        <v>5354.8249999999998</v>
      </c>
      <c r="AC129" s="71">
        <f>SUMPRODUCT((E129:AB131)*D129:D131)</f>
        <v>4253190.5899999989</v>
      </c>
    </row>
    <row r="130" spans="1:29" x14ac:dyDescent="0.3">
      <c r="A130" s="68"/>
      <c r="B130" s="70"/>
      <c r="C130" t="s">
        <v>37</v>
      </c>
      <c r="D130" s="11">
        <v>4</v>
      </c>
      <c r="E130" s="35">
        <f>+'Curv hora 2029 - 2033 (100%)'!E130*0.5</f>
        <v>4715.76</v>
      </c>
      <c r="F130" s="5">
        <f>+'Curv hora 2029 - 2033 (100%)'!F130*0.5</f>
        <v>4420</v>
      </c>
      <c r="G130" s="5">
        <f>+'Curv hora 2029 - 2033 (100%)'!G130*0.5</f>
        <v>4186.53</v>
      </c>
      <c r="H130" s="5">
        <f>+'Curv hora 2029 - 2033 (100%)'!H130*0.5</f>
        <v>4071.5650000000001</v>
      </c>
      <c r="I130" s="5">
        <f>+'Curv hora 2029 - 2033 (100%)'!I130*0.5</f>
        <v>4034.98</v>
      </c>
      <c r="J130" s="5">
        <f>+'Curv hora 2029 - 2033 (100%)'!J130*0.5</f>
        <v>4179.1499999999996</v>
      </c>
      <c r="K130" s="5">
        <f>+'Curv hora 2029 - 2033 (100%)'!K130*0.5</f>
        <v>4419.5749999999998</v>
      </c>
      <c r="L130" s="5">
        <f>+'Curv hora 2029 - 2033 (100%)'!L130*0.5</f>
        <v>4027.2350000000001</v>
      </c>
      <c r="M130" s="5">
        <f>+'Curv hora 2029 - 2033 (100%)'!M130*0.5</f>
        <v>4751.4250000000002</v>
      </c>
      <c r="N130" s="5">
        <f>+'Curv hora 2029 - 2033 (100%)'!N130*0.5</f>
        <v>5298.98</v>
      </c>
      <c r="O130" s="5">
        <f>+'Curv hora 2029 - 2033 (100%)'!O130*0.5</f>
        <v>5656.61</v>
      </c>
      <c r="P130" s="5">
        <f>+'Curv hora 2029 - 2033 (100%)'!P130*0.5</f>
        <v>5960.0050000000001</v>
      </c>
      <c r="Q130" s="5">
        <f>+'Curv hora 2029 - 2033 (100%)'!Q130*0.5</f>
        <v>5893.5550000000003</v>
      </c>
      <c r="R130" s="5">
        <f>+'Curv hora 2029 - 2033 (100%)'!R130*0.5</f>
        <v>5741.3850000000002</v>
      </c>
      <c r="S130" s="5">
        <f>+'Curv hora 2029 - 2033 (100%)'!S130*0.5</f>
        <v>5737.98</v>
      </c>
      <c r="T130" s="5">
        <f>+'Curv hora 2029 - 2033 (100%)'!T130*0.5</f>
        <v>5788.65</v>
      </c>
      <c r="U130" s="5">
        <f>+'Curv hora 2029 - 2033 (100%)'!U130*0.5</f>
        <v>5824.9</v>
      </c>
      <c r="V130" s="5">
        <f>+'Curv hora 2029 - 2033 (100%)'!V130*0.5</f>
        <v>7150.3249999999998</v>
      </c>
      <c r="W130" s="5">
        <f>+'Curv hora 2029 - 2033 (100%)'!W130*0.5</f>
        <v>8008.99</v>
      </c>
      <c r="X130" s="5">
        <f>+'Curv hora 2029 - 2033 (100%)'!X130*0.5</f>
        <v>8154.57</v>
      </c>
      <c r="Y130" s="5">
        <f>+'Curv hora 2029 - 2033 (100%)'!Y130*0.5</f>
        <v>7687.0150000000003</v>
      </c>
      <c r="Z130" s="5">
        <f>+'Curv hora 2029 - 2033 (100%)'!Z130*0.5</f>
        <v>7105.6</v>
      </c>
      <c r="AA130" s="5">
        <f>+'Curv hora 2029 - 2033 (100%)'!AA130*0.5</f>
        <v>6283.79</v>
      </c>
      <c r="AB130" s="36">
        <f>+'Curv hora 2029 - 2033 (100%)'!AB130*0.5</f>
        <v>5554.25</v>
      </c>
      <c r="AC130" s="71"/>
    </row>
    <row r="131" spans="1:29" x14ac:dyDescent="0.3">
      <c r="A131" s="76"/>
      <c r="B131" s="77"/>
      <c r="C131" s="7" t="s">
        <v>38</v>
      </c>
      <c r="D131" s="12">
        <v>8</v>
      </c>
      <c r="E131" s="37">
        <f>+'Curv hora 2029 - 2033 (100%)'!E131*0.5</f>
        <v>4911.1850000000004</v>
      </c>
      <c r="F131" s="9">
        <f>+'Curv hora 2029 - 2033 (100%)'!F131*0.5</f>
        <v>4504.41</v>
      </c>
      <c r="G131" s="9">
        <f>+'Curv hora 2029 - 2033 (100%)'!G131*0.5</f>
        <v>4279.4650000000001</v>
      </c>
      <c r="H131" s="9">
        <f>+'Curv hora 2029 - 2033 (100%)'!H131*0.5</f>
        <v>4137.7849999999999</v>
      </c>
      <c r="I131" s="9">
        <f>+'Curv hora 2029 - 2033 (100%)'!I131*0.5</f>
        <v>4057.07</v>
      </c>
      <c r="J131" s="9">
        <f>+'Curv hora 2029 - 2033 (100%)'!J131*0.5</f>
        <v>4102.55</v>
      </c>
      <c r="K131" s="9">
        <f>+'Curv hora 2029 - 2033 (100%)'!K131*0.5</f>
        <v>4251.2049999999999</v>
      </c>
      <c r="L131" s="9">
        <f>+'Curv hora 2029 - 2033 (100%)'!L131*0.5</f>
        <v>3709.0650000000001</v>
      </c>
      <c r="M131" s="9">
        <f>+'Curv hora 2029 - 2033 (100%)'!M131*0.5</f>
        <v>4408.3149999999996</v>
      </c>
      <c r="N131" s="9">
        <f>+'Curv hora 2029 - 2033 (100%)'!N131*0.5</f>
        <v>4961.3950000000004</v>
      </c>
      <c r="O131" s="9">
        <f>+'Curv hora 2029 - 2033 (100%)'!O131*0.5</f>
        <v>5401.78</v>
      </c>
      <c r="P131" s="9">
        <f>+'Curv hora 2029 - 2033 (100%)'!P131*0.5</f>
        <v>5720.8149999999996</v>
      </c>
      <c r="Q131" s="9">
        <f>+'Curv hora 2029 - 2033 (100%)'!Q131*0.5</f>
        <v>5798.67</v>
      </c>
      <c r="R131" s="9">
        <f>+'Curv hora 2029 - 2033 (100%)'!R131*0.5</f>
        <v>5753.77</v>
      </c>
      <c r="S131" s="9">
        <f>+'Curv hora 2029 - 2033 (100%)'!S131*0.5</f>
        <v>5671.2250000000004</v>
      </c>
      <c r="T131" s="9">
        <f>+'Curv hora 2029 - 2033 (100%)'!T131*0.5</f>
        <v>6048.79</v>
      </c>
      <c r="U131" s="9">
        <f>+'Curv hora 2029 - 2033 (100%)'!U131*0.5</f>
        <v>5916.1049999999996</v>
      </c>
      <c r="V131" s="9">
        <f>+'Curv hora 2029 - 2033 (100%)'!V131*0.5</f>
        <v>7104.62</v>
      </c>
      <c r="W131" s="9">
        <f>+'Curv hora 2029 - 2033 (100%)'!W131*0.5</f>
        <v>7536.49</v>
      </c>
      <c r="X131" s="9">
        <f>+'Curv hora 2029 - 2033 (100%)'!X131*0.5</f>
        <v>7946.94</v>
      </c>
      <c r="Y131" s="9">
        <f>+'Curv hora 2029 - 2033 (100%)'!Y131*0.5</f>
        <v>7999.8549999999996</v>
      </c>
      <c r="Z131" s="9">
        <f>+'Curv hora 2029 - 2033 (100%)'!Z131*0.5</f>
        <v>7339.33</v>
      </c>
      <c r="AA131" s="9">
        <f>+'Curv hora 2029 - 2033 (100%)'!AA131*0.5</f>
        <v>6392.415</v>
      </c>
      <c r="AB131" s="38">
        <f>+'Curv hora 2029 - 2033 (100%)'!AB131*0.5</f>
        <v>5558.38</v>
      </c>
      <c r="AC131" s="71"/>
    </row>
    <row r="132" spans="1:29" x14ac:dyDescent="0.3">
      <c r="A132" s="67">
        <v>48366</v>
      </c>
      <c r="B132" s="69">
        <f t="shared" ref="B132" si="38">DAY(EOMONTH(A132,0))</f>
        <v>30</v>
      </c>
      <c r="C132" s="3" t="s">
        <v>36</v>
      </c>
      <c r="D132" s="10">
        <v>21</v>
      </c>
      <c r="E132" s="33">
        <f>+'Curv hora 2029 - 2033 (100%)'!E132*0.5</f>
        <v>4258.9250000000002</v>
      </c>
      <c r="F132" s="13">
        <f>+'Curv hora 2029 - 2033 (100%)'!F132*0.5</f>
        <v>3982.35</v>
      </c>
      <c r="G132" s="13">
        <f>+'Curv hora 2029 - 2033 (100%)'!G132*0.5</f>
        <v>3856.4650000000001</v>
      </c>
      <c r="H132" s="13">
        <f>+'Curv hora 2029 - 2033 (100%)'!H132*0.5</f>
        <v>3785.42</v>
      </c>
      <c r="I132" s="13">
        <f>+'Curv hora 2029 - 2033 (100%)'!I132*0.5</f>
        <v>3803.5749999999998</v>
      </c>
      <c r="J132" s="13">
        <f>+'Curv hora 2029 - 2033 (100%)'!J132*0.5</f>
        <v>4136.7550000000001</v>
      </c>
      <c r="K132" s="13">
        <f>+'Curv hora 2029 - 2033 (100%)'!K132*0.5</f>
        <v>4540.0649999999996</v>
      </c>
      <c r="L132" s="13">
        <f>+'Curv hora 2029 - 2033 (100%)'!L132*0.5</f>
        <v>3966.46</v>
      </c>
      <c r="M132" s="13">
        <f>+'Curv hora 2029 - 2033 (100%)'!M132*0.5</f>
        <v>4630.8850000000002</v>
      </c>
      <c r="N132" s="13">
        <f>+'Curv hora 2029 - 2033 (100%)'!N132*0.5</f>
        <v>5091.0649999999996</v>
      </c>
      <c r="O132" s="13">
        <f>+'Curv hora 2029 - 2033 (100%)'!O132*0.5</f>
        <v>5411.8249999999998</v>
      </c>
      <c r="P132" s="13">
        <f>+'Curv hora 2029 - 2033 (100%)'!P132*0.5</f>
        <v>5665.58</v>
      </c>
      <c r="Q132" s="13">
        <f>+'Curv hora 2029 - 2033 (100%)'!Q132*0.5</f>
        <v>5398.6350000000002</v>
      </c>
      <c r="R132" s="13">
        <f>+'Curv hora 2029 - 2033 (100%)'!R132*0.5</f>
        <v>5432.8450000000003</v>
      </c>
      <c r="S132" s="13">
        <f>+'Curv hora 2029 - 2033 (100%)'!S132*0.5</f>
        <v>5791.2150000000001</v>
      </c>
      <c r="T132" s="13">
        <f>+'Curv hora 2029 - 2033 (100%)'!T132*0.5</f>
        <v>5903.14</v>
      </c>
      <c r="U132" s="13">
        <f>+'Curv hora 2029 - 2033 (100%)'!U132*0.5</f>
        <v>5972.91</v>
      </c>
      <c r="V132" s="13">
        <f>+'Curv hora 2029 - 2033 (100%)'!V132*0.5</f>
        <v>7199.55</v>
      </c>
      <c r="W132" s="13">
        <f>+'Curv hora 2029 - 2033 (100%)'!W132*0.5</f>
        <v>7870.49</v>
      </c>
      <c r="X132" s="13">
        <f>+'Curv hora 2029 - 2033 (100%)'!X132*0.5</f>
        <v>8064.4650000000001</v>
      </c>
      <c r="Y132" s="13">
        <f>+'Curv hora 2029 - 2033 (100%)'!Y132*0.5</f>
        <v>7521.22</v>
      </c>
      <c r="Z132" s="13">
        <f>+'Curv hora 2029 - 2033 (100%)'!Z132*0.5</f>
        <v>6717.9750000000004</v>
      </c>
      <c r="AA132" s="13">
        <f>+'Curv hora 2029 - 2033 (100%)'!AA132*0.5</f>
        <v>5701.1850000000004</v>
      </c>
      <c r="AB132" s="34">
        <f>+'Curv hora 2029 - 2033 (100%)'!AB132*0.5</f>
        <v>4872.4949999999999</v>
      </c>
      <c r="AC132" s="71">
        <f>SUMPRODUCT((E132:AB134)*D132:D134)</f>
        <v>3861094.8149999985</v>
      </c>
    </row>
    <row r="133" spans="1:29" x14ac:dyDescent="0.3">
      <c r="A133" s="68"/>
      <c r="B133" s="70"/>
      <c r="C133" t="s">
        <v>37</v>
      </c>
      <c r="D133" s="11">
        <v>4</v>
      </c>
      <c r="E133" s="35">
        <f>+'Curv hora 2029 - 2033 (100%)'!E133*0.5</f>
        <v>4383.4949999999999</v>
      </c>
      <c r="F133" s="5">
        <f>+'Curv hora 2029 - 2033 (100%)'!F133*0.5</f>
        <v>4051.03</v>
      </c>
      <c r="G133" s="5">
        <f>+'Curv hora 2029 - 2033 (100%)'!G133*0.5</f>
        <v>3835.0949999999998</v>
      </c>
      <c r="H133" s="5">
        <f>+'Curv hora 2029 - 2033 (100%)'!H133*0.5</f>
        <v>3729.08</v>
      </c>
      <c r="I133" s="5">
        <f>+'Curv hora 2029 - 2033 (100%)'!I133*0.5</f>
        <v>3735.95</v>
      </c>
      <c r="J133" s="5">
        <f>+'Curv hora 2029 - 2033 (100%)'!J133*0.5</f>
        <v>3852.36</v>
      </c>
      <c r="K133" s="5">
        <f>+'Curv hora 2029 - 2033 (100%)'!K133*0.5</f>
        <v>4104.5749999999998</v>
      </c>
      <c r="L133" s="5">
        <f>+'Curv hora 2029 - 2033 (100%)'!L133*0.5</f>
        <v>3712.21</v>
      </c>
      <c r="M133" s="5">
        <f>+'Curv hora 2029 - 2033 (100%)'!M133*0.5</f>
        <v>4615.17</v>
      </c>
      <c r="N133" s="5">
        <f>+'Curv hora 2029 - 2033 (100%)'!N133*0.5</f>
        <v>5274.72</v>
      </c>
      <c r="O133" s="5">
        <f>+'Curv hora 2029 - 2033 (100%)'!O133*0.5</f>
        <v>5665.0749999999998</v>
      </c>
      <c r="P133" s="5">
        <f>+'Curv hora 2029 - 2033 (100%)'!P133*0.5</f>
        <v>5918.1949999999997</v>
      </c>
      <c r="Q133" s="5">
        <f>+'Curv hora 2029 - 2033 (100%)'!Q133*0.5</f>
        <v>5799.3649999999998</v>
      </c>
      <c r="R133" s="5">
        <f>+'Curv hora 2029 - 2033 (100%)'!R133*0.5</f>
        <v>5750.2349999999997</v>
      </c>
      <c r="S133" s="5">
        <f>+'Curv hora 2029 - 2033 (100%)'!S133*0.5</f>
        <v>5769.49</v>
      </c>
      <c r="T133" s="5">
        <f>+'Curv hora 2029 - 2033 (100%)'!T133*0.5</f>
        <v>5689.31</v>
      </c>
      <c r="U133" s="5">
        <f>+'Curv hora 2029 - 2033 (100%)'!U133*0.5</f>
        <v>5680.44</v>
      </c>
      <c r="V133" s="5">
        <f>+'Curv hora 2029 - 2033 (100%)'!V133*0.5</f>
        <v>6937.2349999999997</v>
      </c>
      <c r="W133" s="5">
        <f>+'Curv hora 2029 - 2033 (100%)'!W133*0.5</f>
        <v>7756.88</v>
      </c>
      <c r="X133" s="5">
        <f>+'Curv hora 2029 - 2033 (100%)'!X133*0.5</f>
        <v>7948.4250000000002</v>
      </c>
      <c r="Y133" s="5">
        <f>+'Curv hora 2029 - 2033 (100%)'!Y133*0.5</f>
        <v>7427.3549999999996</v>
      </c>
      <c r="Z133" s="5">
        <f>+'Curv hora 2029 - 2033 (100%)'!Z133*0.5</f>
        <v>6779.07</v>
      </c>
      <c r="AA133" s="5">
        <f>+'Curv hora 2029 - 2033 (100%)'!AA133*0.5</f>
        <v>5971.5950000000003</v>
      </c>
      <c r="AB133" s="36">
        <f>+'Curv hora 2029 - 2033 (100%)'!AB133*0.5</f>
        <v>5218.3999999999996</v>
      </c>
      <c r="AC133" s="71"/>
    </row>
    <row r="134" spans="1:29" x14ac:dyDescent="0.3">
      <c r="A134" s="76"/>
      <c r="B134" s="77"/>
      <c r="C134" s="7" t="s">
        <v>38</v>
      </c>
      <c r="D134" s="12">
        <v>5</v>
      </c>
      <c r="E134" s="37">
        <f>+'Curv hora 2029 - 2033 (100%)'!E134*0.5</f>
        <v>4432.2150000000001</v>
      </c>
      <c r="F134" s="9">
        <f>+'Curv hora 2029 - 2033 (100%)'!F134*0.5</f>
        <v>4144.68</v>
      </c>
      <c r="G134" s="9">
        <f>+'Curv hora 2029 - 2033 (100%)'!G134*0.5</f>
        <v>3940.5</v>
      </c>
      <c r="H134" s="9">
        <f>+'Curv hora 2029 - 2033 (100%)'!H134*0.5</f>
        <v>3830.71</v>
      </c>
      <c r="I134" s="9">
        <f>+'Curv hora 2029 - 2033 (100%)'!I134*0.5</f>
        <v>3766.1350000000002</v>
      </c>
      <c r="J134" s="9">
        <f>+'Curv hora 2029 - 2033 (100%)'!J134*0.5</f>
        <v>3799.94</v>
      </c>
      <c r="K134" s="9">
        <f>+'Curv hora 2029 - 2033 (100%)'!K134*0.5</f>
        <v>3936.165</v>
      </c>
      <c r="L134" s="9">
        <f>+'Curv hora 2029 - 2033 (100%)'!L134*0.5</f>
        <v>3439.3449999999998</v>
      </c>
      <c r="M134" s="9">
        <f>+'Curv hora 2029 - 2033 (100%)'!M134*0.5</f>
        <v>4252.5050000000001</v>
      </c>
      <c r="N134" s="9">
        <f>+'Curv hora 2029 - 2033 (100%)'!N134*0.5</f>
        <v>4753.1949999999997</v>
      </c>
      <c r="O134" s="9">
        <f>+'Curv hora 2029 - 2033 (100%)'!O134*0.5</f>
        <v>5190.21</v>
      </c>
      <c r="P134" s="9">
        <f>+'Curv hora 2029 - 2033 (100%)'!P134*0.5</f>
        <v>5494.96</v>
      </c>
      <c r="Q134" s="9">
        <f>+'Curv hora 2029 - 2033 (100%)'!Q134*0.5</f>
        <v>5683.4350000000004</v>
      </c>
      <c r="R134" s="9">
        <f>+'Curv hora 2029 - 2033 (100%)'!R134*0.5</f>
        <v>5644.7</v>
      </c>
      <c r="S134" s="9">
        <f>+'Curv hora 2029 - 2033 (100%)'!S134*0.5</f>
        <v>5537.1</v>
      </c>
      <c r="T134" s="9">
        <f>+'Curv hora 2029 - 2033 (100%)'!T134*0.5</f>
        <v>5358.83</v>
      </c>
      <c r="U134" s="9">
        <f>+'Curv hora 2029 - 2033 (100%)'!U134*0.5</f>
        <v>5254.8249999999998</v>
      </c>
      <c r="V134" s="9">
        <f>+'Curv hora 2029 - 2033 (100%)'!V134*0.5</f>
        <v>6646.4</v>
      </c>
      <c r="W134" s="9">
        <f>+'Curv hora 2029 - 2033 (100%)'!W134*0.5</f>
        <v>7360.6450000000004</v>
      </c>
      <c r="X134" s="9">
        <f>+'Curv hora 2029 - 2033 (100%)'!X134*0.5</f>
        <v>7513.2550000000001</v>
      </c>
      <c r="Y134" s="9">
        <f>+'Curv hora 2029 - 2033 (100%)'!Y134*0.5</f>
        <v>7205.52</v>
      </c>
      <c r="Z134" s="9">
        <f>+'Curv hora 2029 - 2033 (100%)'!Z134*0.5</f>
        <v>6573.7650000000003</v>
      </c>
      <c r="AA134" s="9">
        <f>+'Curv hora 2029 - 2033 (100%)'!AA134*0.5</f>
        <v>5667.65</v>
      </c>
      <c r="AB134" s="38">
        <f>+'Curv hora 2029 - 2033 (100%)'!AB134*0.5</f>
        <v>4891.3950000000004</v>
      </c>
      <c r="AC134" s="71"/>
    </row>
    <row r="135" spans="1:29" x14ac:dyDescent="0.3">
      <c r="A135" s="67">
        <v>48396</v>
      </c>
      <c r="B135" s="69">
        <f t="shared" ref="B135" si="39">DAY(EOMONTH(A135,0))</f>
        <v>31</v>
      </c>
      <c r="C135" s="3" t="s">
        <v>36</v>
      </c>
      <c r="D135" s="10">
        <v>20</v>
      </c>
      <c r="E135" s="33">
        <f>+'Curv hora 2029 - 2033 (100%)'!E135*0.5</f>
        <v>4427.9399999999996</v>
      </c>
      <c r="F135" s="13">
        <f>+'Curv hora 2029 - 2033 (100%)'!F135*0.5</f>
        <v>4138.335</v>
      </c>
      <c r="G135" s="13">
        <f>+'Curv hora 2029 - 2033 (100%)'!G135*0.5</f>
        <v>3985.8</v>
      </c>
      <c r="H135" s="13">
        <f>+'Curv hora 2029 - 2033 (100%)'!H135*0.5</f>
        <v>3895.895</v>
      </c>
      <c r="I135" s="13">
        <f>+'Curv hora 2029 - 2033 (100%)'!I135*0.5</f>
        <v>3909.47</v>
      </c>
      <c r="J135" s="13">
        <f>+'Curv hora 2029 - 2033 (100%)'!J135*0.5</f>
        <v>4242.4849999999997</v>
      </c>
      <c r="K135" s="13">
        <f>+'Curv hora 2029 - 2033 (100%)'!K135*0.5</f>
        <v>4625.1049999999996</v>
      </c>
      <c r="L135" s="13">
        <f>+'Curv hora 2029 - 2033 (100%)'!L135*0.5</f>
        <v>4105.17</v>
      </c>
      <c r="M135" s="13">
        <f>+'Curv hora 2029 - 2033 (100%)'!M135*0.5</f>
        <v>4870.62</v>
      </c>
      <c r="N135" s="13">
        <f>+'Curv hora 2029 - 2033 (100%)'!N135*0.5</f>
        <v>5351.2550000000001</v>
      </c>
      <c r="O135" s="13">
        <f>+'Curv hora 2029 - 2033 (100%)'!O135*0.5</f>
        <v>5748.05</v>
      </c>
      <c r="P135" s="13">
        <f>+'Curv hora 2029 - 2033 (100%)'!P135*0.5</f>
        <v>6133.9549999999999</v>
      </c>
      <c r="Q135" s="13">
        <f>+'Curv hora 2029 - 2033 (100%)'!Q135*0.5</f>
        <v>5974.32</v>
      </c>
      <c r="R135" s="13">
        <f>+'Curv hora 2029 - 2033 (100%)'!R135*0.5</f>
        <v>5967.9049999999997</v>
      </c>
      <c r="S135" s="13">
        <f>+'Curv hora 2029 - 2033 (100%)'!S135*0.5</f>
        <v>6339.2749999999996</v>
      </c>
      <c r="T135" s="13">
        <f>+'Curv hora 2029 - 2033 (100%)'!T135*0.5</f>
        <v>6534.89</v>
      </c>
      <c r="U135" s="13">
        <f>+'Curv hora 2029 - 2033 (100%)'!U135*0.5</f>
        <v>6541.085</v>
      </c>
      <c r="V135" s="13">
        <f>+'Curv hora 2029 - 2033 (100%)'!V135*0.5</f>
        <v>7746.85</v>
      </c>
      <c r="W135" s="13">
        <f>+'Curv hora 2029 - 2033 (100%)'!W135*0.5</f>
        <v>8300.9500000000007</v>
      </c>
      <c r="X135" s="13">
        <f>+'Curv hora 2029 - 2033 (100%)'!X135*0.5</f>
        <v>8575.9650000000001</v>
      </c>
      <c r="Y135" s="13">
        <f>+'Curv hora 2029 - 2033 (100%)'!Y135*0.5</f>
        <v>8036.1049999999996</v>
      </c>
      <c r="Z135" s="13">
        <f>+'Curv hora 2029 - 2033 (100%)'!Z135*0.5</f>
        <v>7236.625</v>
      </c>
      <c r="AA135" s="13">
        <f>+'Curv hora 2029 - 2033 (100%)'!AA135*0.5</f>
        <v>6147.4650000000001</v>
      </c>
      <c r="AB135" s="34">
        <f>+'Curv hora 2029 - 2033 (100%)'!AB135*0.5</f>
        <v>5240.875</v>
      </c>
      <c r="AC135" s="71">
        <f t="shared" ref="AC135" si="40">SUMPRODUCT((E135:AB137)*D135:D137)</f>
        <v>4164443.8699999996</v>
      </c>
    </row>
    <row r="136" spans="1:29" x14ac:dyDescent="0.3">
      <c r="A136" s="68"/>
      <c r="B136" s="70"/>
      <c r="C136" t="s">
        <v>37</v>
      </c>
      <c r="D136" s="11">
        <v>5</v>
      </c>
      <c r="E136" s="35">
        <f>+'Curv hora 2029 - 2033 (100%)'!E136*0.5</f>
        <v>4526.2950000000001</v>
      </c>
      <c r="F136" s="5">
        <f>+'Curv hora 2029 - 2033 (100%)'!F136*0.5</f>
        <v>4205.38</v>
      </c>
      <c r="G136" s="5">
        <f>+'Curv hora 2029 - 2033 (100%)'!G136*0.5</f>
        <v>4009.31</v>
      </c>
      <c r="H136" s="5">
        <f>+'Curv hora 2029 - 2033 (100%)'!H136*0.5</f>
        <v>3921.07</v>
      </c>
      <c r="I136" s="5">
        <f>+'Curv hora 2029 - 2033 (100%)'!I136*0.5</f>
        <v>3885.5650000000001</v>
      </c>
      <c r="J136" s="5">
        <f>+'Curv hora 2029 - 2033 (100%)'!J136*0.5</f>
        <v>4013.4850000000001</v>
      </c>
      <c r="K136" s="5">
        <f>+'Curv hora 2029 - 2033 (100%)'!K136*0.5</f>
        <v>4217.8149999999996</v>
      </c>
      <c r="L136" s="5">
        <f>+'Curv hora 2029 - 2033 (100%)'!L136*0.5</f>
        <v>3876.44</v>
      </c>
      <c r="M136" s="5">
        <f>+'Curv hora 2029 - 2033 (100%)'!M136*0.5</f>
        <v>4693.2</v>
      </c>
      <c r="N136" s="5">
        <f>+'Curv hora 2029 - 2033 (100%)'!N136*0.5</f>
        <v>5240.66</v>
      </c>
      <c r="O136" s="5">
        <f>+'Curv hora 2029 - 2033 (100%)'!O136*0.5</f>
        <v>5598.7550000000001</v>
      </c>
      <c r="P136" s="5">
        <f>+'Curv hora 2029 - 2033 (100%)'!P136*0.5</f>
        <v>5896.7650000000003</v>
      </c>
      <c r="Q136" s="5">
        <f>+'Curv hora 2029 - 2033 (100%)'!Q136*0.5</f>
        <v>5770.7550000000001</v>
      </c>
      <c r="R136" s="5">
        <f>+'Curv hora 2029 - 2033 (100%)'!R136*0.5</f>
        <v>5708.375</v>
      </c>
      <c r="S136" s="5">
        <f>+'Curv hora 2029 - 2033 (100%)'!S136*0.5</f>
        <v>5781.5450000000001</v>
      </c>
      <c r="T136" s="5">
        <f>+'Curv hora 2029 - 2033 (100%)'!T136*0.5</f>
        <v>5908.665</v>
      </c>
      <c r="U136" s="5">
        <f>+'Curv hora 2029 - 2033 (100%)'!U136*0.5</f>
        <v>5859.5749999999998</v>
      </c>
      <c r="V136" s="5">
        <f>+'Curv hora 2029 - 2033 (100%)'!V136*0.5</f>
        <v>7050.39</v>
      </c>
      <c r="W136" s="5">
        <f>+'Curv hora 2029 - 2033 (100%)'!W136*0.5</f>
        <v>7824.915</v>
      </c>
      <c r="X136" s="5">
        <f>+'Curv hora 2029 - 2033 (100%)'!X136*0.5</f>
        <v>8180.6350000000002</v>
      </c>
      <c r="Y136" s="5">
        <f>+'Curv hora 2029 - 2033 (100%)'!Y136*0.5</f>
        <v>7636.98</v>
      </c>
      <c r="Z136" s="5">
        <f>+'Curv hora 2029 - 2033 (100%)'!Z136*0.5</f>
        <v>6909.23</v>
      </c>
      <c r="AA136" s="5">
        <f>+'Curv hora 2029 - 2033 (100%)'!AA136*0.5</f>
        <v>6044.2550000000001</v>
      </c>
      <c r="AB136" s="36">
        <f>+'Curv hora 2029 - 2033 (100%)'!AB136*0.5</f>
        <v>5211.26</v>
      </c>
      <c r="AC136" s="71"/>
    </row>
    <row r="137" spans="1:29" x14ac:dyDescent="0.3">
      <c r="A137" s="76"/>
      <c r="B137" s="77"/>
      <c r="C137" s="7" t="s">
        <v>38</v>
      </c>
      <c r="D137" s="12">
        <v>6</v>
      </c>
      <c r="E137" s="37">
        <f>+'Curv hora 2029 - 2033 (100%)'!E137*0.5</f>
        <v>4524.3249999999998</v>
      </c>
      <c r="F137" s="9">
        <f>+'Curv hora 2029 - 2033 (100%)'!F137*0.5</f>
        <v>4206.0950000000003</v>
      </c>
      <c r="G137" s="9">
        <f>+'Curv hora 2029 - 2033 (100%)'!G137*0.5</f>
        <v>3994.5149999999999</v>
      </c>
      <c r="H137" s="9">
        <f>+'Curv hora 2029 - 2033 (100%)'!H137*0.5</f>
        <v>3870.26</v>
      </c>
      <c r="I137" s="9">
        <f>+'Curv hora 2029 - 2033 (100%)'!I137*0.5</f>
        <v>3811.355</v>
      </c>
      <c r="J137" s="9">
        <f>+'Curv hora 2029 - 2033 (100%)'!J137*0.5</f>
        <v>3876.99</v>
      </c>
      <c r="K137" s="9">
        <f>+'Curv hora 2029 - 2033 (100%)'!K137*0.5</f>
        <v>3994.67</v>
      </c>
      <c r="L137" s="9">
        <f>+'Curv hora 2029 - 2033 (100%)'!L137*0.5</f>
        <v>3513.77</v>
      </c>
      <c r="M137" s="9">
        <f>+'Curv hora 2029 - 2033 (100%)'!M137*0.5</f>
        <v>4215.1049999999996</v>
      </c>
      <c r="N137" s="9">
        <f>+'Curv hora 2029 - 2033 (100%)'!N137*0.5</f>
        <v>4742.2749999999996</v>
      </c>
      <c r="O137" s="9">
        <f>+'Curv hora 2029 - 2033 (100%)'!O137*0.5</f>
        <v>5065.9650000000001</v>
      </c>
      <c r="P137" s="9">
        <f>+'Curv hora 2029 - 2033 (100%)'!P137*0.5</f>
        <v>5344.2950000000001</v>
      </c>
      <c r="Q137" s="9">
        <f>+'Curv hora 2029 - 2033 (100%)'!Q137*0.5</f>
        <v>5456.6850000000004</v>
      </c>
      <c r="R137" s="9">
        <f>+'Curv hora 2029 - 2033 (100%)'!R137*0.5</f>
        <v>5445.05</v>
      </c>
      <c r="S137" s="9">
        <f>+'Curv hora 2029 - 2033 (100%)'!S137*0.5</f>
        <v>5441.8050000000003</v>
      </c>
      <c r="T137" s="9">
        <f>+'Curv hora 2029 - 2033 (100%)'!T137*0.5</f>
        <v>5310.915</v>
      </c>
      <c r="U137" s="9">
        <f>+'Curv hora 2029 - 2033 (100%)'!U137*0.5</f>
        <v>5242.8100000000004</v>
      </c>
      <c r="V137" s="9">
        <f>+'Curv hora 2029 - 2033 (100%)'!V137*0.5</f>
        <v>6374.03</v>
      </c>
      <c r="W137" s="9">
        <f>+'Curv hora 2029 - 2033 (100%)'!W137*0.5</f>
        <v>7134.87</v>
      </c>
      <c r="X137" s="9">
        <f>+'Curv hora 2029 - 2033 (100%)'!X137*0.5</f>
        <v>7587.39</v>
      </c>
      <c r="Y137" s="9">
        <f>+'Curv hora 2029 - 2033 (100%)'!Y137*0.5</f>
        <v>7239.7049999999999</v>
      </c>
      <c r="Z137" s="9">
        <f>+'Curv hora 2029 - 2033 (100%)'!Z137*0.5</f>
        <v>6638.4750000000004</v>
      </c>
      <c r="AA137" s="9">
        <f>+'Curv hora 2029 - 2033 (100%)'!AA137*0.5</f>
        <v>5777.5150000000003</v>
      </c>
      <c r="AB137" s="38">
        <f>+'Curv hora 2029 - 2033 (100%)'!AB137*0.5</f>
        <v>5034.375</v>
      </c>
      <c r="AC137" s="71"/>
    </row>
    <row r="138" spans="1:29" x14ac:dyDescent="0.3">
      <c r="A138" s="67">
        <v>48427</v>
      </c>
      <c r="B138" s="69">
        <f t="shared" ref="B138" si="41">DAY(EOMONTH(A138,0))</f>
        <v>31</v>
      </c>
      <c r="C138" s="3" t="s">
        <v>36</v>
      </c>
      <c r="D138" s="10">
        <v>21</v>
      </c>
      <c r="E138" s="33">
        <f>+'Curv hora 2029 - 2033 (100%)'!E138*0.5</f>
        <v>4644.8649999999998</v>
      </c>
      <c r="F138" s="13">
        <f>+'Curv hora 2029 - 2033 (100%)'!F138*0.5</f>
        <v>4378.6499999999996</v>
      </c>
      <c r="G138" s="13">
        <f>+'Curv hora 2029 - 2033 (100%)'!G138*0.5</f>
        <v>4214.085</v>
      </c>
      <c r="H138" s="13">
        <f>+'Curv hora 2029 - 2033 (100%)'!H138*0.5</f>
        <v>4109.7700000000004</v>
      </c>
      <c r="I138" s="13">
        <f>+'Curv hora 2029 - 2033 (100%)'!I138*0.5</f>
        <v>4123.54</v>
      </c>
      <c r="J138" s="13">
        <f>+'Curv hora 2029 - 2033 (100%)'!J138*0.5</f>
        <v>4303.0349999999999</v>
      </c>
      <c r="K138" s="13">
        <f>+'Curv hora 2029 - 2033 (100%)'!K138*0.5</f>
        <v>4799.3549999999996</v>
      </c>
      <c r="L138" s="13">
        <f>+'Curv hora 2029 - 2033 (100%)'!L138*0.5</f>
        <v>4289.7299999999996</v>
      </c>
      <c r="M138" s="13">
        <f>+'Curv hora 2029 - 2033 (100%)'!M138*0.5</f>
        <v>4976.3900000000003</v>
      </c>
      <c r="N138" s="13">
        <f>+'Curv hora 2029 - 2033 (100%)'!N138*0.5</f>
        <v>5480.49</v>
      </c>
      <c r="O138" s="13">
        <f>+'Curv hora 2029 - 2033 (100%)'!O138*0.5</f>
        <v>5967.3050000000003</v>
      </c>
      <c r="P138" s="13">
        <f>+'Curv hora 2029 - 2033 (100%)'!P138*0.5</f>
        <v>6326.98</v>
      </c>
      <c r="Q138" s="13">
        <f>+'Curv hora 2029 - 2033 (100%)'!Q138*0.5</f>
        <v>6244.83</v>
      </c>
      <c r="R138" s="13">
        <f>+'Curv hora 2029 - 2033 (100%)'!R138*0.5</f>
        <v>6403.415</v>
      </c>
      <c r="S138" s="13">
        <f>+'Curv hora 2029 - 2033 (100%)'!S138*0.5</f>
        <v>6898.3249999999998</v>
      </c>
      <c r="T138" s="13">
        <f>+'Curv hora 2029 - 2033 (100%)'!T138*0.5</f>
        <v>7196.88</v>
      </c>
      <c r="U138" s="13">
        <f>+'Curv hora 2029 - 2033 (100%)'!U138*0.5</f>
        <v>7192.6549999999997</v>
      </c>
      <c r="V138" s="13">
        <f>+'Curv hora 2029 - 2033 (100%)'!V138*0.5</f>
        <v>8109.0249999999996</v>
      </c>
      <c r="W138" s="13">
        <f>+'Curv hora 2029 - 2033 (100%)'!W138*0.5</f>
        <v>8684.7150000000001</v>
      </c>
      <c r="X138" s="13">
        <f>+'Curv hora 2029 - 2033 (100%)'!X138*0.5</f>
        <v>9118.6200000000008</v>
      </c>
      <c r="Y138" s="13">
        <f>+'Curv hora 2029 - 2033 (100%)'!Y138*0.5</f>
        <v>8590.0450000000001</v>
      </c>
      <c r="Z138" s="13">
        <f>+'Curv hora 2029 - 2033 (100%)'!Z138*0.5</f>
        <v>7760.3950000000004</v>
      </c>
      <c r="AA138" s="13">
        <f>+'Curv hora 2029 - 2033 (100%)'!AA138*0.5</f>
        <v>6617.66</v>
      </c>
      <c r="AB138" s="34">
        <f>+'Curv hora 2029 - 2033 (100%)'!AB138*0.5</f>
        <v>5647.33</v>
      </c>
      <c r="AC138" s="71">
        <f t="shared" ref="AC138" si="42">SUMPRODUCT((E138:AB140)*D138:D140)</f>
        <v>4454233.5099999988</v>
      </c>
    </row>
    <row r="139" spans="1:29" x14ac:dyDescent="0.3">
      <c r="A139" s="68"/>
      <c r="B139" s="70"/>
      <c r="C139" t="s">
        <v>37</v>
      </c>
      <c r="D139" s="11">
        <v>3</v>
      </c>
      <c r="E139" s="35">
        <f>+'Curv hora 2029 - 2033 (100%)'!E139*0.5</f>
        <v>5147.0550000000003</v>
      </c>
      <c r="F139" s="5">
        <f>+'Curv hora 2029 - 2033 (100%)'!F139*0.5</f>
        <v>4796.0200000000004</v>
      </c>
      <c r="G139" s="5">
        <f>+'Curv hora 2029 - 2033 (100%)'!G139*0.5</f>
        <v>4334.0349999999999</v>
      </c>
      <c r="H139" s="5">
        <f>+'Curv hora 2029 - 2033 (100%)'!H139*0.5</f>
        <v>4511.915</v>
      </c>
      <c r="I139" s="5">
        <f>+'Curv hora 2029 - 2033 (100%)'!I139*0.5</f>
        <v>4359.8050000000003</v>
      </c>
      <c r="J139" s="5">
        <f>+'Curv hora 2029 - 2033 (100%)'!J139*0.5</f>
        <v>4435.9449999999997</v>
      </c>
      <c r="K139" s="5">
        <f>+'Curv hora 2029 - 2033 (100%)'!K139*0.5</f>
        <v>4615.0050000000001</v>
      </c>
      <c r="L139" s="5">
        <f>+'Curv hora 2029 - 2033 (100%)'!L139*0.5</f>
        <v>4482.8149999999996</v>
      </c>
      <c r="M139" s="5">
        <f>+'Curv hora 2029 - 2033 (100%)'!M139*0.5</f>
        <v>5277.8</v>
      </c>
      <c r="N139" s="5">
        <f>+'Curv hora 2029 - 2033 (100%)'!N139*0.5</f>
        <v>5957.2250000000004</v>
      </c>
      <c r="O139" s="5">
        <f>+'Curv hora 2029 - 2033 (100%)'!O139*0.5</f>
        <v>6445.9750000000004</v>
      </c>
      <c r="P139" s="5">
        <f>+'Curv hora 2029 - 2033 (100%)'!P139*0.5</f>
        <v>6839.0950000000003</v>
      </c>
      <c r="Q139" s="5">
        <f>+'Curv hora 2029 - 2033 (100%)'!Q139*0.5</f>
        <v>6771.97</v>
      </c>
      <c r="R139" s="5">
        <f>+'Curv hora 2029 - 2033 (100%)'!R139*0.5</f>
        <v>6751.12</v>
      </c>
      <c r="S139" s="5">
        <f>+'Curv hora 2029 - 2033 (100%)'!S139*0.5</f>
        <v>6844.165</v>
      </c>
      <c r="T139" s="5">
        <f>+'Curv hora 2029 - 2033 (100%)'!T139*0.5</f>
        <v>6713.1049999999996</v>
      </c>
      <c r="U139" s="5">
        <f>+'Curv hora 2029 - 2033 (100%)'!U139*0.5</f>
        <v>6724.4949999999999</v>
      </c>
      <c r="V139" s="5">
        <f>+'Curv hora 2029 - 2033 (100%)'!V139*0.5</f>
        <v>7804.4949999999999</v>
      </c>
      <c r="W139" s="5">
        <f>+'Curv hora 2029 - 2033 (100%)'!W139*0.5</f>
        <v>8610.59</v>
      </c>
      <c r="X139" s="5">
        <f>+'Curv hora 2029 - 2033 (100%)'!X139*0.5</f>
        <v>8934.56</v>
      </c>
      <c r="Y139" s="5">
        <f>+'Curv hora 2029 - 2033 (100%)'!Y139*0.5</f>
        <v>8397.1550000000007</v>
      </c>
      <c r="Z139" s="5">
        <f>+'Curv hora 2029 - 2033 (100%)'!Z139*0.5</f>
        <v>7731.665</v>
      </c>
      <c r="AA139" s="5">
        <f>+'Curv hora 2029 - 2033 (100%)'!AA139*0.5</f>
        <v>6835.29</v>
      </c>
      <c r="AB139" s="36">
        <f>+'Curv hora 2029 - 2033 (100%)'!AB139*0.5</f>
        <v>6081.375</v>
      </c>
      <c r="AC139" s="71"/>
    </row>
    <row r="140" spans="1:29" x14ac:dyDescent="0.3">
      <c r="A140" s="76"/>
      <c r="B140" s="77"/>
      <c r="C140" s="7" t="s">
        <v>38</v>
      </c>
      <c r="D140" s="12">
        <v>7</v>
      </c>
      <c r="E140" s="37">
        <f>+'Curv hora 2029 - 2033 (100%)'!E140*0.5</f>
        <v>5037.87</v>
      </c>
      <c r="F140" s="9">
        <f>+'Curv hora 2029 - 2033 (100%)'!F140*0.5</f>
        <v>4679.17</v>
      </c>
      <c r="G140" s="9">
        <f>+'Curv hora 2029 - 2033 (100%)'!G140*0.5</f>
        <v>4449.4849999999997</v>
      </c>
      <c r="H140" s="9">
        <f>+'Curv hora 2029 - 2033 (100%)'!H140*0.5</f>
        <v>4308.8050000000003</v>
      </c>
      <c r="I140" s="9">
        <f>+'Curv hora 2029 - 2033 (100%)'!I140*0.5</f>
        <v>4152.8850000000002</v>
      </c>
      <c r="J140" s="9">
        <f>+'Curv hora 2029 - 2033 (100%)'!J140*0.5</f>
        <v>4234.6499999999996</v>
      </c>
      <c r="K140" s="9">
        <f>+'Curv hora 2029 - 2033 (100%)'!K140*0.5</f>
        <v>4428.5</v>
      </c>
      <c r="L140" s="9">
        <f>+'Curv hora 2029 - 2033 (100%)'!L140*0.5</f>
        <v>3892.5349999999999</v>
      </c>
      <c r="M140" s="9">
        <f>+'Curv hora 2029 - 2033 (100%)'!M140*0.5</f>
        <v>4594.4399999999996</v>
      </c>
      <c r="N140" s="9">
        <f>+'Curv hora 2029 - 2033 (100%)'!N140*0.5</f>
        <v>5016.9250000000002</v>
      </c>
      <c r="O140" s="9">
        <f>+'Curv hora 2029 - 2033 (100%)'!O140*0.5</f>
        <v>5405.64</v>
      </c>
      <c r="P140" s="9">
        <f>+'Curv hora 2029 - 2033 (100%)'!P140*0.5</f>
        <v>5946.0450000000001</v>
      </c>
      <c r="Q140" s="9">
        <f>+'Curv hora 2029 - 2033 (100%)'!Q140*0.5</f>
        <v>5887.6549999999997</v>
      </c>
      <c r="R140" s="9">
        <f>+'Curv hora 2029 - 2033 (100%)'!R140*0.5</f>
        <v>5744.5450000000001</v>
      </c>
      <c r="S140" s="9">
        <f>+'Curv hora 2029 - 2033 (100%)'!S140*0.5</f>
        <v>5761.04</v>
      </c>
      <c r="T140" s="9">
        <f>+'Curv hora 2029 - 2033 (100%)'!T140*0.5</f>
        <v>5608.03</v>
      </c>
      <c r="U140" s="9">
        <f>+'Curv hora 2029 - 2033 (100%)'!U140*0.5</f>
        <v>5655.7349999999997</v>
      </c>
      <c r="V140" s="9">
        <f>+'Curv hora 2029 - 2033 (100%)'!V140*0.5</f>
        <v>6955.3450000000003</v>
      </c>
      <c r="W140" s="9">
        <f>+'Curv hora 2029 - 2033 (100%)'!W140*0.5</f>
        <v>7847.24</v>
      </c>
      <c r="X140" s="9">
        <f>+'Curv hora 2029 - 2033 (100%)'!X140*0.5</f>
        <v>8064.02</v>
      </c>
      <c r="Y140" s="9">
        <f>+'Curv hora 2029 - 2033 (100%)'!Y140*0.5</f>
        <v>7662.125</v>
      </c>
      <c r="Z140" s="9">
        <f>+'Curv hora 2029 - 2033 (100%)'!Z140*0.5</f>
        <v>7128.89</v>
      </c>
      <c r="AA140" s="9">
        <f>+'Curv hora 2029 - 2033 (100%)'!AA140*0.5</f>
        <v>6189.6949999999997</v>
      </c>
      <c r="AB140" s="38">
        <f>+'Curv hora 2029 - 2033 (100%)'!AB140*0.5</f>
        <v>5403.8149999999996</v>
      </c>
      <c r="AC140" s="71"/>
    </row>
    <row r="141" spans="1:29" x14ac:dyDescent="0.3">
      <c r="A141" s="67">
        <v>48458</v>
      </c>
      <c r="B141" s="69">
        <f t="shared" ref="B141" si="43">DAY(EOMONTH(A141,0))</f>
        <v>30</v>
      </c>
      <c r="C141" s="3" t="s">
        <v>36</v>
      </c>
      <c r="D141" s="10">
        <v>22</v>
      </c>
      <c r="E141" s="33">
        <f>+'Curv hora 2029 - 2033 (100%)'!E141*0.5</f>
        <v>4974.83</v>
      </c>
      <c r="F141" s="13">
        <f>+'Curv hora 2029 - 2033 (100%)'!F141*0.5</f>
        <v>4642.38</v>
      </c>
      <c r="G141" s="13">
        <f>+'Curv hora 2029 - 2033 (100%)'!G141*0.5</f>
        <v>4501.5050000000001</v>
      </c>
      <c r="H141" s="13">
        <f>+'Curv hora 2029 - 2033 (100%)'!H141*0.5</f>
        <v>4374.3450000000003</v>
      </c>
      <c r="I141" s="13">
        <f>+'Curv hora 2029 - 2033 (100%)'!I141*0.5</f>
        <v>4307.3</v>
      </c>
      <c r="J141" s="13">
        <f>+'Curv hora 2029 - 2033 (100%)'!J141*0.5</f>
        <v>4525.5600000000004</v>
      </c>
      <c r="K141" s="13">
        <f>+'Curv hora 2029 - 2033 (100%)'!K141*0.5</f>
        <v>5066.57</v>
      </c>
      <c r="L141" s="13">
        <f>+'Curv hora 2029 - 2033 (100%)'!L141*0.5</f>
        <v>4511.5150000000003</v>
      </c>
      <c r="M141" s="13">
        <f>+'Curv hora 2029 - 2033 (100%)'!M141*0.5</f>
        <v>5298.86</v>
      </c>
      <c r="N141" s="13">
        <f>+'Curv hora 2029 - 2033 (100%)'!N141*0.5</f>
        <v>5821.9549999999999</v>
      </c>
      <c r="O141" s="13">
        <f>+'Curv hora 2029 - 2033 (100%)'!O141*0.5</f>
        <v>6303.9350000000004</v>
      </c>
      <c r="P141" s="13">
        <f>+'Curv hora 2029 - 2033 (100%)'!P141*0.5</f>
        <v>6636.96</v>
      </c>
      <c r="Q141" s="13">
        <f>+'Curv hora 2029 - 2033 (100%)'!Q141*0.5</f>
        <v>6349.6049999999996</v>
      </c>
      <c r="R141" s="13">
        <f>+'Curv hora 2029 - 2033 (100%)'!R141*0.5</f>
        <v>6441.99</v>
      </c>
      <c r="S141" s="13">
        <f>+'Curv hora 2029 - 2033 (100%)'!S141*0.5</f>
        <v>6868.29</v>
      </c>
      <c r="T141" s="13">
        <f>+'Curv hora 2029 - 2033 (100%)'!T141*0.5</f>
        <v>7033.8</v>
      </c>
      <c r="U141" s="13">
        <f>+'Curv hora 2029 - 2033 (100%)'!U141*0.5</f>
        <v>7089.8549999999996</v>
      </c>
      <c r="V141" s="13">
        <f>+'Curv hora 2029 - 2033 (100%)'!V141*0.5</f>
        <v>8251.02</v>
      </c>
      <c r="W141" s="13">
        <f>+'Curv hora 2029 - 2033 (100%)'!W141*0.5</f>
        <v>8995.2000000000007</v>
      </c>
      <c r="X141" s="13">
        <f>+'Curv hora 2029 - 2033 (100%)'!X141*0.5</f>
        <v>9214.06</v>
      </c>
      <c r="Y141" s="13">
        <f>+'Curv hora 2029 - 2033 (100%)'!Y141*0.5</f>
        <v>8557.6200000000008</v>
      </c>
      <c r="Z141" s="13">
        <f>+'Curv hora 2029 - 2033 (100%)'!Z141*0.5</f>
        <v>7805</v>
      </c>
      <c r="AA141" s="13">
        <f>+'Curv hora 2029 - 2033 (100%)'!AA141*0.5</f>
        <v>6740.02</v>
      </c>
      <c r="AB141" s="34">
        <f>+'Curv hora 2029 - 2033 (100%)'!AB141*0.5</f>
        <v>5798.2250000000004</v>
      </c>
      <c r="AC141" s="71">
        <f t="shared" ref="AC141" si="44">SUMPRODUCT((E141:AB143)*D141:D143)</f>
        <v>4440852.9000000013</v>
      </c>
    </row>
    <row r="142" spans="1:29" x14ac:dyDescent="0.3">
      <c r="A142" s="68"/>
      <c r="B142" s="70"/>
      <c r="C142" t="s">
        <v>37</v>
      </c>
      <c r="D142" s="11">
        <v>4</v>
      </c>
      <c r="E142" s="35">
        <f>+'Curv hora 2029 - 2033 (100%)'!E142*0.5</f>
        <v>5126.8649999999998</v>
      </c>
      <c r="F142" s="5">
        <f>+'Curv hora 2029 - 2033 (100%)'!F142*0.5</f>
        <v>4781.42</v>
      </c>
      <c r="G142" s="5">
        <f>+'Curv hora 2029 - 2033 (100%)'!G142*0.5</f>
        <v>4534.13</v>
      </c>
      <c r="H142" s="5">
        <f>+'Curv hora 2029 - 2033 (100%)'!H142*0.5</f>
        <v>4399.16</v>
      </c>
      <c r="I142" s="5">
        <f>+'Curv hora 2029 - 2033 (100%)'!I142*0.5</f>
        <v>4346.79</v>
      </c>
      <c r="J142" s="5">
        <f>+'Curv hora 2029 - 2033 (100%)'!J142*0.5</f>
        <v>4436.0349999999999</v>
      </c>
      <c r="K142" s="5">
        <f>+'Curv hora 2029 - 2033 (100%)'!K142*0.5</f>
        <v>4714.2</v>
      </c>
      <c r="L142" s="5">
        <f>+'Curv hora 2029 - 2033 (100%)'!L142*0.5</f>
        <v>4450.97</v>
      </c>
      <c r="M142" s="5">
        <f>+'Curv hora 2029 - 2033 (100%)'!M142*0.5</f>
        <v>5329.2349999999997</v>
      </c>
      <c r="N142" s="5">
        <f>+'Curv hora 2029 - 2033 (100%)'!N142*0.5</f>
        <v>6051.96</v>
      </c>
      <c r="O142" s="5">
        <f>+'Curv hora 2029 - 2033 (100%)'!O142*0.5</f>
        <v>6669.4750000000004</v>
      </c>
      <c r="P142" s="5">
        <f>+'Curv hora 2029 - 2033 (100%)'!P142*0.5</f>
        <v>7137.42</v>
      </c>
      <c r="Q142" s="5">
        <f>+'Curv hora 2029 - 2033 (100%)'!Q142*0.5</f>
        <v>6745.64</v>
      </c>
      <c r="R142" s="5">
        <f>+'Curv hora 2029 - 2033 (100%)'!R142*0.5</f>
        <v>7140.3549999999996</v>
      </c>
      <c r="S142" s="5">
        <f>+'Curv hora 2029 - 2033 (100%)'!S142*0.5</f>
        <v>7318.875</v>
      </c>
      <c r="T142" s="5">
        <f>+'Curv hora 2029 - 2033 (100%)'!T142*0.5</f>
        <v>7338.4</v>
      </c>
      <c r="U142" s="5">
        <f>+'Curv hora 2029 - 2033 (100%)'!U142*0.5</f>
        <v>6994.51</v>
      </c>
      <c r="V142" s="5">
        <f>+'Curv hora 2029 - 2033 (100%)'!V142*0.5</f>
        <v>8219.73</v>
      </c>
      <c r="W142" s="5">
        <f>+'Curv hora 2029 - 2033 (100%)'!W142*0.5</f>
        <v>9097.36</v>
      </c>
      <c r="X142" s="5">
        <f>+'Curv hora 2029 - 2033 (100%)'!X142*0.5</f>
        <v>9179.42</v>
      </c>
      <c r="Y142" s="5">
        <f>+'Curv hora 2029 - 2033 (100%)'!Y142*0.5</f>
        <v>8643.6</v>
      </c>
      <c r="Z142" s="5">
        <f>+'Curv hora 2029 - 2033 (100%)'!Z142*0.5</f>
        <v>8034.4949999999999</v>
      </c>
      <c r="AA142" s="5">
        <f>+'Curv hora 2029 - 2033 (100%)'!AA142*0.5</f>
        <v>7154.3</v>
      </c>
      <c r="AB142" s="36">
        <f>+'Curv hora 2029 - 2033 (100%)'!AB142*0.5</f>
        <v>6349.74</v>
      </c>
      <c r="AC142" s="71"/>
    </row>
    <row r="143" spans="1:29" x14ac:dyDescent="0.3">
      <c r="A143" s="76"/>
      <c r="B143" s="77"/>
      <c r="C143" s="7" t="s">
        <v>38</v>
      </c>
      <c r="D143" s="12">
        <v>4</v>
      </c>
      <c r="E143" s="37">
        <f>+'Curv hora 2029 - 2033 (100%)'!E143*0.5</f>
        <v>5625.3549999999996</v>
      </c>
      <c r="F143" s="9">
        <f>+'Curv hora 2029 - 2033 (100%)'!F143*0.5</f>
        <v>5240.085</v>
      </c>
      <c r="G143" s="9">
        <f>+'Curv hora 2029 - 2033 (100%)'!G143*0.5</f>
        <v>4951.8050000000003</v>
      </c>
      <c r="H143" s="9">
        <f>+'Curv hora 2029 - 2033 (100%)'!H143*0.5</f>
        <v>4773.05</v>
      </c>
      <c r="I143" s="9">
        <f>+'Curv hora 2029 - 2033 (100%)'!I143*0.5</f>
        <v>4620.0950000000003</v>
      </c>
      <c r="J143" s="9">
        <f>+'Curv hora 2029 - 2033 (100%)'!J143*0.5</f>
        <v>4574.6450000000004</v>
      </c>
      <c r="K143" s="9">
        <f>+'Curv hora 2029 - 2033 (100%)'!K143*0.5</f>
        <v>4368.7950000000001</v>
      </c>
      <c r="L143" s="9">
        <f>+'Curv hora 2029 - 2033 (100%)'!L143*0.5</f>
        <v>3661.2249999999999</v>
      </c>
      <c r="M143" s="9">
        <f>+'Curv hora 2029 - 2033 (100%)'!M143*0.5</f>
        <v>4347.2150000000001</v>
      </c>
      <c r="N143" s="9">
        <f>+'Curv hora 2029 - 2033 (100%)'!N143*0.5</f>
        <v>4926.08</v>
      </c>
      <c r="O143" s="9">
        <f>+'Curv hora 2029 - 2033 (100%)'!O143*0.5</f>
        <v>5240.4049999999997</v>
      </c>
      <c r="P143" s="9">
        <f>+'Curv hora 2029 - 2033 (100%)'!P143*0.5</f>
        <v>5511.4</v>
      </c>
      <c r="Q143" s="9">
        <f>+'Curv hora 2029 - 2033 (100%)'!Q143*0.5</f>
        <v>5642.42</v>
      </c>
      <c r="R143" s="9">
        <f>+'Curv hora 2029 - 2033 (100%)'!R143*0.5</f>
        <v>5359.0649999999996</v>
      </c>
      <c r="S143" s="9">
        <f>+'Curv hora 2029 - 2033 (100%)'!S143*0.5</f>
        <v>4765.37</v>
      </c>
      <c r="T143" s="9">
        <f>+'Curv hora 2029 - 2033 (100%)'!T143*0.5</f>
        <v>4360.1549999999997</v>
      </c>
      <c r="U143" s="9">
        <f>+'Curv hora 2029 - 2033 (100%)'!U143*0.5</f>
        <v>4384.74</v>
      </c>
      <c r="V143" s="9">
        <f>+'Curv hora 2029 - 2033 (100%)'!V143*0.5</f>
        <v>6146.3950000000004</v>
      </c>
      <c r="W143" s="9">
        <f>+'Curv hora 2029 - 2033 (100%)'!W143*0.5</f>
        <v>6986.1549999999997</v>
      </c>
      <c r="X143" s="9">
        <f>+'Curv hora 2029 - 2033 (100%)'!X143*0.5</f>
        <v>7932.95</v>
      </c>
      <c r="Y143" s="9">
        <f>+'Curv hora 2029 - 2033 (100%)'!Y143*0.5</f>
        <v>7703.7650000000003</v>
      </c>
      <c r="Z143" s="9">
        <f>+'Curv hora 2029 - 2033 (100%)'!Z143*0.5</f>
        <v>7255.1949999999997</v>
      </c>
      <c r="AA143" s="9">
        <f>+'Curv hora 2029 - 2033 (100%)'!AA143*0.5</f>
        <v>6401.3649999999998</v>
      </c>
      <c r="AB143" s="38">
        <f>+'Curv hora 2029 - 2033 (100%)'!AB143*0.5</f>
        <v>5634.21</v>
      </c>
      <c r="AC143" s="71"/>
    </row>
    <row r="144" spans="1:29" x14ac:dyDescent="0.3">
      <c r="A144" s="67">
        <v>48488</v>
      </c>
      <c r="B144" s="69">
        <f t="shared" ref="B144" si="45">DAY(EOMONTH(A144,0))</f>
        <v>31</v>
      </c>
      <c r="C144" s="3" t="s">
        <v>36</v>
      </c>
      <c r="D144" s="10">
        <v>20</v>
      </c>
      <c r="E144" s="33">
        <f>+'Curv hora 2029 - 2033 (100%)'!E144*0.5</f>
        <v>5106.5649999999996</v>
      </c>
      <c r="F144" s="13">
        <f>+'Curv hora 2029 - 2033 (100%)'!F144*0.5</f>
        <v>4814.8649999999998</v>
      </c>
      <c r="G144" s="13">
        <f>+'Curv hora 2029 - 2033 (100%)'!G144*0.5</f>
        <v>4626.95</v>
      </c>
      <c r="H144" s="13">
        <f>+'Curv hora 2029 - 2033 (100%)'!H144*0.5</f>
        <v>4488.07</v>
      </c>
      <c r="I144" s="13">
        <f>+'Curv hora 2029 - 2033 (100%)'!I144*0.5</f>
        <v>4430.665</v>
      </c>
      <c r="J144" s="13">
        <f>+'Curv hora 2029 - 2033 (100%)'!J144*0.5</f>
        <v>4626.8149999999996</v>
      </c>
      <c r="K144" s="13">
        <f>+'Curv hora 2029 - 2033 (100%)'!K144*0.5</f>
        <v>5028.3249999999998</v>
      </c>
      <c r="L144" s="13">
        <f>+'Curv hora 2029 - 2033 (100%)'!L144*0.5</f>
        <v>4604.3149999999996</v>
      </c>
      <c r="M144" s="13">
        <f>+'Curv hora 2029 - 2033 (100%)'!M144*0.5</f>
        <v>5439.1949999999997</v>
      </c>
      <c r="N144" s="13">
        <f>+'Curv hora 2029 - 2033 (100%)'!N144*0.5</f>
        <v>6051.7449999999999</v>
      </c>
      <c r="O144" s="13">
        <f>+'Curv hora 2029 - 2033 (100%)'!O144*0.5</f>
        <v>6618.9350000000004</v>
      </c>
      <c r="P144" s="13">
        <f>+'Curv hora 2029 - 2033 (100%)'!P144*0.5</f>
        <v>7110.17</v>
      </c>
      <c r="Q144" s="13">
        <f>+'Curv hora 2029 - 2033 (100%)'!Q144*0.5</f>
        <v>6990.31</v>
      </c>
      <c r="R144" s="13">
        <f>+'Curv hora 2029 - 2033 (100%)'!R144*0.5</f>
        <v>7113.92</v>
      </c>
      <c r="S144" s="13">
        <f>+'Curv hora 2029 - 2033 (100%)'!S144*0.5</f>
        <v>7390.1049999999996</v>
      </c>
      <c r="T144" s="13">
        <f>+'Curv hora 2029 - 2033 (100%)'!T144*0.5</f>
        <v>7576.8950000000004</v>
      </c>
      <c r="U144" s="13">
        <f>+'Curv hora 2029 - 2033 (100%)'!U144*0.5</f>
        <v>7530.03</v>
      </c>
      <c r="V144" s="13">
        <f>+'Curv hora 2029 - 2033 (100%)'!V144*0.5</f>
        <v>8617.2450000000008</v>
      </c>
      <c r="W144" s="13">
        <f>+'Curv hora 2029 - 2033 (100%)'!W144*0.5</f>
        <v>9357.2849999999999</v>
      </c>
      <c r="X144" s="13">
        <f>+'Curv hora 2029 - 2033 (100%)'!X144*0.5</f>
        <v>9345.85</v>
      </c>
      <c r="Y144" s="13">
        <f>+'Curv hora 2029 - 2033 (100%)'!Y144*0.5</f>
        <v>8678.9549999999999</v>
      </c>
      <c r="Z144" s="13">
        <f>+'Curv hora 2029 - 2033 (100%)'!Z144*0.5</f>
        <v>7864.75</v>
      </c>
      <c r="AA144" s="13">
        <f>+'Curv hora 2029 - 2033 (100%)'!AA144*0.5</f>
        <v>6829.0749999999998</v>
      </c>
      <c r="AB144" s="34">
        <f>+'Curv hora 2029 - 2033 (100%)'!AB144*0.5</f>
        <v>6004.8450000000003</v>
      </c>
      <c r="AC144" s="71">
        <f t="shared" ref="AC144" si="46">SUMPRODUCT((E144:AB146)*D144:D146)</f>
        <v>4680297.5249999985</v>
      </c>
    </row>
    <row r="145" spans="1:30" x14ac:dyDescent="0.3">
      <c r="A145" s="68"/>
      <c r="B145" s="70"/>
      <c r="C145" t="s">
        <v>37</v>
      </c>
      <c r="D145" s="11">
        <v>5</v>
      </c>
      <c r="E145" s="35">
        <f>+'Curv hora 2029 - 2033 (100%)'!E145*0.5</f>
        <v>5455.99</v>
      </c>
      <c r="F145" s="5">
        <f>+'Curv hora 2029 - 2033 (100%)'!F145*0.5</f>
        <v>5104.46</v>
      </c>
      <c r="G145" s="5">
        <f>+'Curv hora 2029 - 2033 (100%)'!G145*0.5</f>
        <v>4863.9250000000002</v>
      </c>
      <c r="H145" s="5">
        <f>+'Curv hora 2029 - 2033 (100%)'!H145*0.5</f>
        <v>4700.16</v>
      </c>
      <c r="I145" s="5">
        <f>+'Curv hora 2029 - 2033 (100%)'!I145*0.5</f>
        <v>4663.03</v>
      </c>
      <c r="J145" s="5">
        <f>+'Curv hora 2029 - 2033 (100%)'!J145*0.5</f>
        <v>4696.5749999999998</v>
      </c>
      <c r="K145" s="5">
        <f>+'Curv hora 2029 - 2033 (100%)'!K145*0.5</f>
        <v>4969.7</v>
      </c>
      <c r="L145" s="5">
        <f>+'Curv hora 2029 - 2033 (100%)'!L145*0.5</f>
        <v>4669.6499999999996</v>
      </c>
      <c r="M145" s="5">
        <f>+'Curv hora 2029 - 2033 (100%)'!M145*0.5</f>
        <v>5662.9049999999997</v>
      </c>
      <c r="N145" s="5">
        <f>+'Curv hora 2029 - 2033 (100%)'!N145*0.5</f>
        <v>6391.2349999999997</v>
      </c>
      <c r="O145" s="5">
        <f>+'Curv hora 2029 - 2033 (100%)'!O145*0.5</f>
        <v>6985.78</v>
      </c>
      <c r="P145" s="5">
        <f>+'Curv hora 2029 - 2033 (100%)'!P145*0.5</f>
        <v>7091.6450000000004</v>
      </c>
      <c r="Q145" s="5">
        <f>+'Curv hora 2029 - 2033 (100%)'!Q145*0.5</f>
        <v>6733.02</v>
      </c>
      <c r="R145" s="5">
        <f>+'Curv hora 2029 - 2033 (100%)'!R145*0.5</f>
        <v>6286.15</v>
      </c>
      <c r="S145" s="5">
        <f>+'Curv hora 2029 - 2033 (100%)'!S145*0.5</f>
        <v>6364.1450000000004</v>
      </c>
      <c r="T145" s="5">
        <f>+'Curv hora 2029 - 2033 (100%)'!T145*0.5</f>
        <v>6312.28</v>
      </c>
      <c r="U145" s="5">
        <f>+'Curv hora 2029 - 2033 (100%)'!U145*0.5</f>
        <v>6057.5249999999996</v>
      </c>
      <c r="V145" s="5">
        <f>+'Curv hora 2029 - 2033 (100%)'!V145*0.5</f>
        <v>7324.23</v>
      </c>
      <c r="W145" s="5">
        <f>+'Curv hora 2029 - 2033 (100%)'!W145*0.5</f>
        <v>8270.0650000000005</v>
      </c>
      <c r="X145" s="5">
        <f>+'Curv hora 2029 - 2033 (100%)'!X145*0.5</f>
        <v>8336.7350000000006</v>
      </c>
      <c r="Y145" s="5">
        <f>+'Curv hora 2029 - 2033 (100%)'!Y145*0.5</f>
        <v>7817.8950000000004</v>
      </c>
      <c r="Z145" s="5">
        <f>+'Curv hora 2029 - 2033 (100%)'!Z145*0.5</f>
        <v>7199.875</v>
      </c>
      <c r="AA145" s="5">
        <f>+'Curv hora 2029 - 2033 (100%)'!AA145*0.5</f>
        <v>6423</v>
      </c>
      <c r="AB145" s="36">
        <f>+'Curv hora 2029 - 2033 (100%)'!AB145*0.5</f>
        <v>5707.81</v>
      </c>
      <c r="AC145" s="71"/>
    </row>
    <row r="146" spans="1:30" x14ac:dyDescent="0.3">
      <c r="A146" s="76"/>
      <c r="B146" s="77"/>
      <c r="C146" s="7" t="s">
        <v>38</v>
      </c>
      <c r="D146" s="12">
        <v>6</v>
      </c>
      <c r="E146" s="37">
        <f>+'Curv hora 2029 - 2033 (100%)'!E146*0.5</f>
        <v>5045.2550000000001</v>
      </c>
      <c r="F146" s="9">
        <f>+'Curv hora 2029 - 2033 (100%)'!F146*0.5</f>
        <v>4725.3500000000004</v>
      </c>
      <c r="G146" s="9">
        <f>+'Curv hora 2029 - 2033 (100%)'!G146*0.5</f>
        <v>4500.79</v>
      </c>
      <c r="H146" s="9">
        <f>+'Curv hora 2029 - 2033 (100%)'!H146*0.5</f>
        <v>4336.42</v>
      </c>
      <c r="I146" s="9">
        <f>+'Curv hora 2029 - 2033 (100%)'!I146*0.5</f>
        <v>4241.34</v>
      </c>
      <c r="J146" s="9">
        <f>+'Curv hora 2029 - 2033 (100%)'!J146*0.5</f>
        <v>4049.17</v>
      </c>
      <c r="K146" s="9">
        <f>+'Curv hora 2029 - 2033 (100%)'!K146*0.5</f>
        <v>4368.1350000000002</v>
      </c>
      <c r="L146" s="9">
        <f>+'Curv hora 2029 - 2033 (100%)'!L146*0.5</f>
        <v>3900.1950000000002</v>
      </c>
      <c r="M146" s="9">
        <f>+'Curv hora 2029 - 2033 (100%)'!M146*0.5</f>
        <v>4535.8050000000003</v>
      </c>
      <c r="N146" s="9">
        <f>+'Curv hora 2029 - 2033 (100%)'!N146*0.5</f>
        <v>5042.1499999999996</v>
      </c>
      <c r="O146" s="9">
        <f>+'Curv hora 2029 - 2033 (100%)'!O146*0.5</f>
        <v>5524.9</v>
      </c>
      <c r="P146" s="9">
        <f>+'Curv hora 2029 - 2033 (100%)'!P146*0.5</f>
        <v>5907.54</v>
      </c>
      <c r="Q146" s="9">
        <f>+'Curv hora 2029 - 2033 (100%)'!Q146*0.5</f>
        <v>6053.33</v>
      </c>
      <c r="R146" s="9">
        <f>+'Curv hora 2029 - 2033 (100%)'!R146*0.5</f>
        <v>6080.6049999999996</v>
      </c>
      <c r="S146" s="9">
        <f>+'Curv hora 2029 - 2033 (100%)'!S146*0.5</f>
        <v>6023.4250000000002</v>
      </c>
      <c r="T146" s="9">
        <f>+'Curv hora 2029 - 2033 (100%)'!T146*0.5</f>
        <v>5998.45</v>
      </c>
      <c r="U146" s="9">
        <f>+'Curv hora 2029 - 2033 (100%)'!U146*0.5</f>
        <v>5989.15</v>
      </c>
      <c r="V146" s="9">
        <f>+'Curv hora 2029 - 2033 (100%)'!V146*0.5</f>
        <v>7199.32</v>
      </c>
      <c r="W146" s="9">
        <f>+'Curv hora 2029 - 2033 (100%)'!W146*0.5</f>
        <v>8195.6350000000002</v>
      </c>
      <c r="X146" s="9">
        <f>+'Curv hora 2029 - 2033 (100%)'!X146*0.5</f>
        <v>7892.2650000000003</v>
      </c>
      <c r="Y146" s="9">
        <f>+'Curv hora 2029 - 2033 (100%)'!Y146*0.5</f>
        <v>7631.94</v>
      </c>
      <c r="Z146" s="9">
        <f>+'Curv hora 2029 - 2033 (100%)'!Z146*0.5</f>
        <v>6791.14</v>
      </c>
      <c r="AA146" s="9">
        <f>+'Curv hora 2029 - 2033 (100%)'!AA146*0.5</f>
        <v>6289.5550000000003</v>
      </c>
      <c r="AB146" s="38">
        <f>+'Curv hora 2029 - 2033 (100%)'!AB146*0.5</f>
        <v>5501.6350000000002</v>
      </c>
      <c r="AC146" s="71"/>
    </row>
    <row r="147" spans="1:30" x14ac:dyDescent="0.3">
      <c r="A147" s="67">
        <v>48519</v>
      </c>
      <c r="B147" s="69">
        <f>DAY(EOMONTH(A147,0))</f>
        <v>30</v>
      </c>
      <c r="C147" s="3" t="s">
        <v>36</v>
      </c>
      <c r="D147" s="10">
        <v>20</v>
      </c>
      <c r="E147" s="33">
        <f>+'Curv hora 2029 - 2033 (100%)'!E147*0.5</f>
        <v>4823.57</v>
      </c>
      <c r="F147" s="13">
        <f>+'Curv hora 2029 - 2033 (100%)'!F147*0.5</f>
        <v>4512.9250000000002</v>
      </c>
      <c r="G147" s="13">
        <f>+'Curv hora 2029 - 2033 (100%)'!G147*0.5</f>
        <v>4401.3249999999998</v>
      </c>
      <c r="H147" s="13">
        <f>+'Curv hora 2029 - 2033 (100%)'!H147*0.5</f>
        <v>4268.3900000000003</v>
      </c>
      <c r="I147" s="13">
        <f>+'Curv hora 2029 - 2033 (100%)'!I147*0.5</f>
        <v>4303.5550000000003</v>
      </c>
      <c r="J147" s="13">
        <f>+'Curv hora 2029 - 2033 (100%)'!J147*0.5</f>
        <v>4488.74</v>
      </c>
      <c r="K147" s="13">
        <f>+'Curv hora 2029 - 2033 (100%)'!K147*0.5</f>
        <v>4985.0749999999998</v>
      </c>
      <c r="L147" s="13">
        <f>+'Curv hora 2029 - 2033 (100%)'!L147*0.5</f>
        <v>4525.6899999999996</v>
      </c>
      <c r="M147" s="13">
        <f>+'Curv hora 2029 - 2033 (100%)'!M147*0.5</f>
        <v>5328.67</v>
      </c>
      <c r="N147" s="13">
        <f>+'Curv hora 2029 - 2033 (100%)'!N147*0.5</f>
        <v>5845.0050000000001</v>
      </c>
      <c r="O147" s="13">
        <f>+'Curv hora 2029 - 2033 (100%)'!O147*0.5</f>
        <v>6338.8</v>
      </c>
      <c r="P147" s="13">
        <f>+'Curv hora 2029 - 2033 (100%)'!P147*0.5</f>
        <v>6785.32</v>
      </c>
      <c r="Q147" s="13">
        <f>+'Curv hora 2029 - 2033 (100%)'!Q147*0.5</f>
        <v>6514.03</v>
      </c>
      <c r="R147" s="13">
        <f>+'Curv hora 2029 - 2033 (100%)'!R147*0.5</f>
        <v>6716.67</v>
      </c>
      <c r="S147" s="13">
        <f>+'Curv hora 2029 - 2033 (100%)'!S147*0.5</f>
        <v>7208.2849999999999</v>
      </c>
      <c r="T147" s="13">
        <f>+'Curv hora 2029 - 2033 (100%)'!T147*0.5</f>
        <v>7198.6049999999996</v>
      </c>
      <c r="U147" s="13">
        <f>+'Curv hora 2029 - 2033 (100%)'!U147*0.5</f>
        <v>7195.29</v>
      </c>
      <c r="V147" s="13">
        <f>+'Curv hora 2029 - 2033 (100%)'!V147*0.5</f>
        <v>8313.68</v>
      </c>
      <c r="W147" s="13">
        <f>+'Curv hora 2029 - 2033 (100%)'!W147*0.5</f>
        <v>9073.6299999999992</v>
      </c>
      <c r="X147" s="13">
        <f>+'Curv hora 2029 - 2033 (100%)'!X147*0.5</f>
        <v>8991.0149999999994</v>
      </c>
      <c r="Y147" s="13">
        <f>+'Curv hora 2029 - 2033 (100%)'!Y147*0.5</f>
        <v>8388.7549999999992</v>
      </c>
      <c r="Z147" s="13">
        <f>+'Curv hora 2029 - 2033 (100%)'!Z147*0.5</f>
        <v>7592.96</v>
      </c>
      <c r="AA147" s="13">
        <f>+'Curv hora 2029 - 2033 (100%)'!AA147*0.5</f>
        <v>6527.19</v>
      </c>
      <c r="AB147" s="34">
        <f>+'Curv hora 2029 - 2033 (100%)'!AB147*0.5</f>
        <v>5674.09</v>
      </c>
      <c r="AC147" s="71">
        <f>SUMPRODUCT((E147:AB149)*D147:D149)</f>
        <v>4396597.01</v>
      </c>
    </row>
    <row r="148" spans="1:30" x14ac:dyDescent="0.3">
      <c r="A148" s="68"/>
      <c r="B148" s="70"/>
      <c r="C148" t="s">
        <v>37</v>
      </c>
      <c r="D148" s="11">
        <v>4</v>
      </c>
      <c r="E148" s="35">
        <f>+'Curv hora 2029 - 2033 (100%)'!E148*0.5</f>
        <v>5040.5150000000003</v>
      </c>
      <c r="F148" s="5">
        <f>+'Curv hora 2029 - 2033 (100%)'!F148*0.5</f>
        <v>4739.3900000000003</v>
      </c>
      <c r="G148" s="5">
        <f>+'Curv hora 2029 - 2033 (100%)'!G148*0.5</f>
        <v>4512.585</v>
      </c>
      <c r="H148" s="5">
        <f>+'Curv hora 2029 - 2033 (100%)'!H148*0.5</f>
        <v>4317.1350000000002</v>
      </c>
      <c r="I148" s="5">
        <f>+'Curv hora 2029 - 2033 (100%)'!I148*0.5</f>
        <v>4213.6850000000004</v>
      </c>
      <c r="J148" s="5">
        <f>+'Curv hora 2029 - 2033 (100%)'!J148*0.5</f>
        <v>4393.7950000000001</v>
      </c>
      <c r="K148" s="5">
        <f>+'Curv hora 2029 - 2033 (100%)'!K148*0.5</f>
        <v>4591.3900000000003</v>
      </c>
      <c r="L148" s="5">
        <f>+'Curv hora 2029 - 2033 (100%)'!L148*0.5</f>
        <v>4202.97</v>
      </c>
      <c r="M148" s="5">
        <f>+'Curv hora 2029 - 2033 (100%)'!M148*0.5</f>
        <v>5063.9849999999997</v>
      </c>
      <c r="N148" s="5">
        <f>+'Curv hora 2029 - 2033 (100%)'!N148*0.5</f>
        <v>5515.85</v>
      </c>
      <c r="O148" s="5">
        <f>+'Curv hora 2029 - 2033 (100%)'!O148*0.5</f>
        <v>5902.1350000000002</v>
      </c>
      <c r="P148" s="5">
        <f>+'Curv hora 2029 - 2033 (100%)'!P148*0.5</f>
        <v>6150.3549999999996</v>
      </c>
      <c r="Q148" s="5">
        <f>+'Curv hora 2029 - 2033 (100%)'!Q148*0.5</f>
        <v>6278.125</v>
      </c>
      <c r="R148" s="5">
        <f>+'Curv hora 2029 - 2033 (100%)'!R148*0.5</f>
        <v>6320.13</v>
      </c>
      <c r="S148" s="5">
        <f>+'Curv hora 2029 - 2033 (100%)'!S148*0.5</f>
        <v>6483.81</v>
      </c>
      <c r="T148" s="5">
        <f>+'Curv hora 2029 - 2033 (100%)'!T148*0.5</f>
        <v>6566.9949999999999</v>
      </c>
      <c r="U148" s="5">
        <f>+'Curv hora 2029 - 2033 (100%)'!U148*0.5</f>
        <v>6566.19</v>
      </c>
      <c r="V148" s="5">
        <f>+'Curv hora 2029 - 2033 (100%)'!V148*0.5</f>
        <v>7835.24</v>
      </c>
      <c r="W148" s="5">
        <f>+'Curv hora 2029 - 2033 (100%)'!W148*0.5</f>
        <v>8777.1149999999998</v>
      </c>
      <c r="X148" s="5">
        <f>+'Curv hora 2029 - 2033 (100%)'!X148*0.5</f>
        <v>8752.4750000000004</v>
      </c>
      <c r="Y148" s="5">
        <f>+'Curv hora 2029 - 2033 (100%)'!Y148*0.5</f>
        <v>8145.1149999999998</v>
      </c>
      <c r="Z148" s="5">
        <f>+'Curv hora 2029 - 2033 (100%)'!Z148*0.5</f>
        <v>7479.4650000000001</v>
      </c>
      <c r="AA148" s="5">
        <f>+'Curv hora 2029 - 2033 (100%)'!AA148*0.5</f>
        <v>6693.1350000000002</v>
      </c>
      <c r="AB148" s="36">
        <f>+'Curv hora 2029 - 2033 (100%)'!AB148*0.5</f>
        <v>5738.01</v>
      </c>
      <c r="AC148" s="71"/>
    </row>
    <row r="149" spans="1:30" x14ac:dyDescent="0.3">
      <c r="A149" s="68"/>
      <c r="B149" s="70"/>
      <c r="C149" t="s">
        <v>38</v>
      </c>
      <c r="D149" s="11">
        <v>6</v>
      </c>
      <c r="E149" s="37">
        <f>+'Curv hora 2029 - 2033 (100%)'!E149*0.5</f>
        <v>5164.4799999999996</v>
      </c>
      <c r="F149" s="9">
        <f>+'Curv hora 2029 - 2033 (100%)'!F149*0.5</f>
        <v>4842.375</v>
      </c>
      <c r="G149" s="9">
        <f>+'Curv hora 2029 - 2033 (100%)'!G149*0.5</f>
        <v>4625.62</v>
      </c>
      <c r="H149" s="9">
        <f>+'Curv hora 2029 - 2033 (100%)'!H149*0.5</f>
        <v>4505.165</v>
      </c>
      <c r="I149" s="9">
        <f>+'Curv hora 2029 - 2033 (100%)'!I149*0.5</f>
        <v>4472.4650000000001</v>
      </c>
      <c r="J149" s="9">
        <f>+'Curv hora 2029 - 2033 (100%)'!J149*0.5</f>
        <v>4361.92</v>
      </c>
      <c r="K149" s="9">
        <f>+'Curv hora 2029 - 2033 (100%)'!K149*0.5</f>
        <v>4518.68</v>
      </c>
      <c r="L149" s="9">
        <f>+'Curv hora 2029 - 2033 (100%)'!L149*0.5</f>
        <v>4075.23</v>
      </c>
      <c r="M149" s="9">
        <f>+'Curv hora 2029 - 2033 (100%)'!M149*0.5</f>
        <v>4796.71</v>
      </c>
      <c r="N149" s="9">
        <f>+'Curv hora 2029 - 2033 (100%)'!N149*0.5</f>
        <v>5266.6450000000004</v>
      </c>
      <c r="O149" s="9">
        <f>+'Curv hora 2029 - 2033 (100%)'!O149*0.5</f>
        <v>5494.1949999999997</v>
      </c>
      <c r="P149" s="9">
        <f>+'Curv hora 2029 - 2033 (100%)'!P149*0.5</f>
        <v>5302.7849999999999</v>
      </c>
      <c r="Q149" s="9">
        <f>+'Curv hora 2029 - 2033 (100%)'!Q149*0.5</f>
        <v>5521.7049999999999</v>
      </c>
      <c r="R149" s="9">
        <f>+'Curv hora 2029 - 2033 (100%)'!R149*0.5</f>
        <v>5680.03</v>
      </c>
      <c r="S149" s="9">
        <f>+'Curv hora 2029 - 2033 (100%)'!S149*0.5</f>
        <v>5836.5</v>
      </c>
      <c r="T149" s="9">
        <f>+'Curv hora 2029 - 2033 (100%)'!T149*0.5</f>
        <v>5515.2650000000003</v>
      </c>
      <c r="U149" s="9">
        <f>+'Curv hora 2029 - 2033 (100%)'!U149*0.5</f>
        <v>5842.2849999999999</v>
      </c>
      <c r="V149" s="9">
        <f>+'Curv hora 2029 - 2033 (100%)'!V149*0.5</f>
        <v>7070.59</v>
      </c>
      <c r="W149" s="9">
        <f>+'Curv hora 2029 - 2033 (100%)'!W149*0.5</f>
        <v>8095.5150000000003</v>
      </c>
      <c r="X149" s="9">
        <f>+'Curv hora 2029 - 2033 (100%)'!X149*0.5</f>
        <v>8354.73</v>
      </c>
      <c r="Y149" s="9">
        <f>+'Curv hora 2029 - 2033 (100%)'!Y149*0.5</f>
        <v>7809.1149999999998</v>
      </c>
      <c r="Z149" s="9">
        <f>+'Curv hora 2029 - 2033 (100%)'!Z149*0.5</f>
        <v>7316.1350000000002</v>
      </c>
      <c r="AA149" s="9">
        <f>+'Curv hora 2029 - 2033 (100%)'!AA149*0.5</f>
        <v>6437.23</v>
      </c>
      <c r="AB149" s="38">
        <f>+'Curv hora 2029 - 2033 (100%)'!AB149*0.5</f>
        <v>5670.1850000000004</v>
      </c>
      <c r="AC149" s="71"/>
    </row>
    <row r="150" spans="1:30" x14ac:dyDescent="0.3">
      <c r="A150" s="67">
        <v>48549</v>
      </c>
      <c r="B150" s="69">
        <f>DAY(EOMONTH(A150,0))</f>
        <v>31</v>
      </c>
      <c r="C150" s="3" t="s">
        <v>36</v>
      </c>
      <c r="D150" s="10">
        <v>22</v>
      </c>
      <c r="E150" s="33">
        <f>+'Curv hora 2029 - 2033 (100%)'!E150*0.5</f>
        <v>4861.6750000000002</v>
      </c>
      <c r="F150" s="13">
        <f>+'Curv hora 2029 - 2033 (100%)'!F150*0.5</f>
        <v>4524.96</v>
      </c>
      <c r="G150" s="13">
        <f>+'Curv hora 2029 - 2033 (100%)'!G150*0.5</f>
        <v>4345.4849999999997</v>
      </c>
      <c r="H150" s="13">
        <f>+'Curv hora 2029 - 2033 (100%)'!H150*0.5</f>
        <v>4233.0200000000004</v>
      </c>
      <c r="I150" s="13">
        <f>+'Curv hora 2029 - 2033 (100%)'!I150*0.5</f>
        <v>4238.8249999999998</v>
      </c>
      <c r="J150" s="13">
        <f>+'Curv hora 2029 - 2033 (100%)'!J150*0.5</f>
        <v>4386.8599999999997</v>
      </c>
      <c r="K150" s="13">
        <f>+'Curv hora 2029 - 2033 (100%)'!K150*0.5</f>
        <v>4621.2</v>
      </c>
      <c r="L150" s="13">
        <f>+'Curv hora 2029 - 2033 (100%)'!L150*0.5</f>
        <v>4315.2299999999996</v>
      </c>
      <c r="M150" s="13">
        <f>+'Curv hora 2029 - 2033 (100%)'!M150*0.5</f>
        <v>5222.8249999999998</v>
      </c>
      <c r="N150" s="13">
        <f>+'Curv hora 2029 - 2033 (100%)'!N150*0.5</f>
        <v>5802.6949999999997</v>
      </c>
      <c r="O150" s="13">
        <f>+'Curv hora 2029 - 2033 (100%)'!O150*0.5</f>
        <v>6237.38</v>
      </c>
      <c r="P150" s="13">
        <f>+'Curv hora 2029 - 2033 (100%)'!P150*0.5</f>
        <v>6614.125</v>
      </c>
      <c r="Q150" s="13">
        <f>+'Curv hora 2029 - 2033 (100%)'!Q150*0.5</f>
        <v>6445.5349999999999</v>
      </c>
      <c r="R150" s="13">
        <f>+'Curv hora 2029 - 2033 (100%)'!R150*0.5</f>
        <v>6432.9449999999997</v>
      </c>
      <c r="S150" s="13">
        <f>+'Curv hora 2029 - 2033 (100%)'!S150*0.5</f>
        <v>6696.2449999999999</v>
      </c>
      <c r="T150" s="13">
        <f>+'Curv hora 2029 - 2033 (100%)'!T150*0.5</f>
        <v>6782.9</v>
      </c>
      <c r="U150" s="13">
        <f>+'Curv hora 2029 - 2033 (100%)'!U150*0.5</f>
        <v>6825.43</v>
      </c>
      <c r="V150" s="13">
        <f>+'Curv hora 2029 - 2033 (100%)'!V150*0.5</f>
        <v>7892.37</v>
      </c>
      <c r="W150" s="13">
        <f>+'Curv hora 2029 - 2033 (100%)'!W150*0.5</f>
        <v>8583.7099999999991</v>
      </c>
      <c r="X150" s="13">
        <f>+'Curv hora 2029 - 2033 (100%)'!X150*0.5</f>
        <v>8673.8150000000005</v>
      </c>
      <c r="Y150" s="13">
        <f>+'Curv hora 2029 - 2033 (100%)'!Y150*0.5</f>
        <v>8218.4850000000006</v>
      </c>
      <c r="Z150" s="13">
        <f>+'Curv hora 2029 - 2033 (100%)'!Z150*0.5</f>
        <v>7496.28</v>
      </c>
      <c r="AA150" s="13">
        <f>+'Curv hora 2029 - 2033 (100%)'!AA150*0.5</f>
        <v>6584.2749999999996</v>
      </c>
      <c r="AB150" s="34">
        <f>+'Curv hora 2029 - 2033 (100%)'!AB150*0.5</f>
        <v>5745.75</v>
      </c>
      <c r="AC150" s="74">
        <f>SUMPRODUCT((E150:AB152)*D150:D152)</f>
        <v>4447537.0100000007</v>
      </c>
    </row>
    <row r="151" spans="1:30" x14ac:dyDescent="0.3">
      <c r="A151" s="68"/>
      <c r="B151" s="70"/>
      <c r="C151" t="s">
        <v>37</v>
      </c>
      <c r="D151" s="11">
        <v>3</v>
      </c>
      <c r="E151" s="35">
        <f>+'Curv hora 2029 - 2033 (100%)'!E151*0.5</f>
        <v>4912.4949999999999</v>
      </c>
      <c r="F151" s="5">
        <f>+'Curv hora 2029 - 2033 (100%)'!F151*0.5</f>
        <v>4550.74</v>
      </c>
      <c r="G151" s="5">
        <f>+'Curv hora 2029 - 2033 (100%)'!G151*0.5</f>
        <v>4292.6750000000002</v>
      </c>
      <c r="H151" s="5">
        <f>+'Curv hora 2029 - 2033 (100%)'!H151*0.5</f>
        <v>4154.9799999999996</v>
      </c>
      <c r="I151" s="5">
        <f>+'Curv hora 2029 - 2033 (100%)'!I151*0.5</f>
        <v>4134.24</v>
      </c>
      <c r="J151" s="5">
        <f>+'Curv hora 2029 - 2033 (100%)'!J151*0.5</f>
        <v>4222.8599999999997</v>
      </c>
      <c r="K151" s="5">
        <f>+'Curv hora 2029 - 2033 (100%)'!K151*0.5</f>
        <v>4417.45</v>
      </c>
      <c r="L151" s="5">
        <f>+'Curv hora 2029 - 2033 (100%)'!L151*0.5</f>
        <v>4109.585</v>
      </c>
      <c r="M151" s="5">
        <f>+'Curv hora 2029 - 2033 (100%)'!M151*0.5</f>
        <v>4944.3100000000004</v>
      </c>
      <c r="N151" s="5">
        <f>+'Curv hora 2029 - 2033 (100%)'!N151*0.5</f>
        <v>5511.36</v>
      </c>
      <c r="O151" s="5">
        <f>+'Curv hora 2029 - 2033 (100%)'!O151*0.5</f>
        <v>5868.4750000000004</v>
      </c>
      <c r="P151" s="5">
        <f>+'Curv hora 2029 - 2033 (100%)'!P151*0.5</f>
        <v>6192.3850000000002</v>
      </c>
      <c r="Q151" s="5">
        <f>+'Curv hora 2029 - 2033 (100%)'!Q151*0.5</f>
        <v>6192.58</v>
      </c>
      <c r="R151" s="5">
        <f>+'Curv hora 2029 - 2033 (100%)'!R151*0.5</f>
        <v>6205.875</v>
      </c>
      <c r="S151" s="5">
        <f>+'Curv hora 2029 - 2033 (100%)'!S151*0.5</f>
        <v>6288.33</v>
      </c>
      <c r="T151" s="5">
        <f>+'Curv hora 2029 - 2033 (100%)'!T151*0.5</f>
        <v>6326.9650000000001</v>
      </c>
      <c r="U151" s="5">
        <f>+'Curv hora 2029 - 2033 (100%)'!U151*0.5</f>
        <v>6295.57</v>
      </c>
      <c r="V151" s="5">
        <f>+'Curv hora 2029 - 2033 (100%)'!V151*0.5</f>
        <v>7516.09</v>
      </c>
      <c r="W151" s="5">
        <f>+'Curv hora 2029 - 2033 (100%)'!W151*0.5</f>
        <v>8397.6650000000009</v>
      </c>
      <c r="X151" s="5">
        <f>+'Curv hora 2029 - 2033 (100%)'!X151*0.5</f>
        <v>8613.6350000000002</v>
      </c>
      <c r="Y151" s="5">
        <f>+'Curv hora 2029 - 2033 (100%)'!Y151*0.5</f>
        <v>8190.97</v>
      </c>
      <c r="Z151" s="5">
        <f>+'Curv hora 2029 - 2033 (100%)'!Z151*0.5</f>
        <v>7520.335</v>
      </c>
      <c r="AA151" s="5">
        <f>+'Curv hora 2029 - 2033 (100%)'!AA151*0.5</f>
        <v>6699.74</v>
      </c>
      <c r="AB151" s="36">
        <f>+'Curv hora 2029 - 2033 (100%)'!AB151*0.5</f>
        <v>5892.84</v>
      </c>
      <c r="AC151" s="71"/>
    </row>
    <row r="152" spans="1:30" ht="15.65" thickBot="1" x14ac:dyDescent="0.35">
      <c r="A152" s="72"/>
      <c r="B152" s="73"/>
      <c r="C152" s="14" t="s">
        <v>38</v>
      </c>
      <c r="D152" s="15">
        <v>6</v>
      </c>
      <c r="E152" s="37">
        <f>+'Curv hora 2029 - 2033 (100%)'!E152*0.5</f>
        <v>5196.0749999999998</v>
      </c>
      <c r="F152" s="9">
        <f>+'Curv hora 2029 - 2033 (100%)'!F152*0.5</f>
        <v>4835.25</v>
      </c>
      <c r="G152" s="9">
        <f>+'Curv hora 2029 - 2033 (100%)'!G152*0.5</f>
        <v>4588.6350000000002</v>
      </c>
      <c r="H152" s="9">
        <f>+'Curv hora 2029 - 2033 (100%)'!H152*0.5</f>
        <v>4447.4449999999997</v>
      </c>
      <c r="I152" s="9">
        <f>+'Curv hora 2029 - 2033 (100%)'!I152*0.5</f>
        <v>4380.05</v>
      </c>
      <c r="J152" s="9">
        <f>+'Curv hora 2029 - 2033 (100%)'!J152*0.5</f>
        <v>4365.6149999999998</v>
      </c>
      <c r="K152" s="9">
        <f>+'Curv hora 2029 - 2033 (100%)'!K152*0.5</f>
        <v>4420.6049999999996</v>
      </c>
      <c r="L152" s="9">
        <f>+'Curv hora 2029 - 2033 (100%)'!L152*0.5</f>
        <v>3903.2550000000001</v>
      </c>
      <c r="M152" s="9">
        <f>+'Curv hora 2029 - 2033 (100%)'!M152*0.5</f>
        <v>4604.9849999999997</v>
      </c>
      <c r="N152" s="9">
        <f>+'Curv hora 2029 - 2033 (100%)'!N152*0.5</f>
        <v>5095.5050000000001</v>
      </c>
      <c r="O152" s="9">
        <f>+'Curv hora 2029 - 2033 (100%)'!O152*0.5</f>
        <v>5418</v>
      </c>
      <c r="P152" s="9">
        <f>+'Curv hora 2029 - 2033 (100%)'!P152*0.5</f>
        <v>5611.98</v>
      </c>
      <c r="Q152" s="9">
        <f>+'Curv hora 2029 - 2033 (100%)'!Q152*0.5</f>
        <v>5776.73</v>
      </c>
      <c r="R152" s="9">
        <f>+'Curv hora 2029 - 2033 (100%)'!R152*0.5</f>
        <v>5815.14</v>
      </c>
      <c r="S152" s="9">
        <f>+'Curv hora 2029 - 2033 (100%)'!S152*0.5</f>
        <v>5571.89</v>
      </c>
      <c r="T152" s="9">
        <f>+'Curv hora 2029 - 2033 (100%)'!T152*0.5</f>
        <v>5795.12</v>
      </c>
      <c r="U152" s="9">
        <f>+'Curv hora 2029 - 2033 (100%)'!U152*0.5</f>
        <v>5862.3450000000003</v>
      </c>
      <c r="V152" s="9">
        <f>+'Curv hora 2029 - 2033 (100%)'!V152*0.5</f>
        <v>7031.5649999999996</v>
      </c>
      <c r="W152" s="9">
        <f>+'Curv hora 2029 - 2033 (100%)'!W152*0.5</f>
        <v>7937.13</v>
      </c>
      <c r="X152" s="9">
        <f>+'Curv hora 2029 - 2033 (100%)'!X152*0.5</f>
        <v>8187.1450000000004</v>
      </c>
      <c r="Y152" s="9">
        <f>+'Curv hora 2029 - 2033 (100%)'!Y152*0.5</f>
        <v>7832.96</v>
      </c>
      <c r="Z152" s="9">
        <f>+'Curv hora 2029 - 2033 (100%)'!Z152*0.5</f>
        <v>7172.35</v>
      </c>
      <c r="AA152" s="9">
        <f>+'Curv hora 2029 - 2033 (100%)'!AA152*0.5</f>
        <v>6418.165</v>
      </c>
      <c r="AB152" s="38">
        <f>+'Curv hora 2029 - 2033 (100%)'!AB152*0.5</f>
        <v>5728.08</v>
      </c>
      <c r="AC152" s="75"/>
      <c r="AD152" s="17">
        <f>SUM(AC117:AC152)</f>
        <v>52078257.129999988</v>
      </c>
    </row>
    <row r="153" spans="1:30" x14ac:dyDescent="0.3">
      <c r="A153" s="68">
        <v>48580</v>
      </c>
      <c r="B153" s="70">
        <f>DAY(EOMONTH(A153,0))</f>
        <v>31</v>
      </c>
      <c r="C153" t="s">
        <v>36</v>
      </c>
      <c r="D153" s="6">
        <v>20</v>
      </c>
      <c r="E153" s="33">
        <f>+'Curv hora 2029 - 2033 (100%)'!E153*0.5</f>
        <v>5297.8549999999996</v>
      </c>
      <c r="F153" s="13">
        <f>+'Curv hora 2029 - 2033 (100%)'!F153*0.5</f>
        <v>4964.7550000000001</v>
      </c>
      <c r="G153" s="13">
        <f>+'Curv hora 2029 - 2033 (100%)'!G153*0.5</f>
        <v>4747.0200000000004</v>
      </c>
      <c r="H153" s="13">
        <f>+'Curv hora 2029 - 2033 (100%)'!H153*0.5</f>
        <v>4601.4399999999996</v>
      </c>
      <c r="I153" s="13">
        <f>+'Curv hora 2029 - 2033 (100%)'!I153*0.5</f>
        <v>4559.1000000000004</v>
      </c>
      <c r="J153" s="13">
        <f>+'Curv hora 2029 - 2033 (100%)'!J153*0.5</f>
        <v>4647.625</v>
      </c>
      <c r="K153" s="13">
        <f>+'Curv hora 2029 - 2033 (100%)'!K153*0.5</f>
        <v>4674.24</v>
      </c>
      <c r="L153" s="13">
        <f>+'Curv hora 2029 - 2033 (100%)'!L153*0.5</f>
        <v>4239.25</v>
      </c>
      <c r="M153" s="13">
        <f>+'Curv hora 2029 - 2033 (100%)'!M153*0.5</f>
        <v>5077.7150000000001</v>
      </c>
      <c r="N153" s="13">
        <f>+'Curv hora 2029 - 2033 (100%)'!N153*0.5</f>
        <v>5793.02</v>
      </c>
      <c r="O153" s="13">
        <f>+'Curv hora 2029 - 2033 (100%)'!O153*0.5</f>
        <v>6453.7250000000004</v>
      </c>
      <c r="P153" s="13">
        <f>+'Curv hora 2029 - 2033 (100%)'!P153*0.5</f>
        <v>6933.6850000000004</v>
      </c>
      <c r="Q153" s="13">
        <f>+'Curv hora 2029 - 2033 (100%)'!Q153*0.5</f>
        <v>6756.1</v>
      </c>
      <c r="R153" s="13">
        <f>+'Curv hora 2029 - 2033 (100%)'!R153*0.5</f>
        <v>6755.68</v>
      </c>
      <c r="S153" s="13">
        <f>+'Curv hora 2029 - 2033 (100%)'!S153*0.5</f>
        <v>7191.33</v>
      </c>
      <c r="T153" s="13">
        <f>+'Curv hora 2029 - 2033 (100%)'!T153*0.5</f>
        <v>7260.915</v>
      </c>
      <c r="U153" s="13">
        <f>+'Curv hora 2029 - 2033 (100%)'!U153*0.5</f>
        <v>7139.6949999999997</v>
      </c>
      <c r="V153" s="13">
        <f>+'Curv hora 2029 - 2033 (100%)'!V153*0.5</f>
        <v>8185.9350000000004</v>
      </c>
      <c r="W153" s="13">
        <f>+'Curv hora 2029 - 2033 (100%)'!W153*0.5</f>
        <v>8628.5750000000007</v>
      </c>
      <c r="X153" s="13">
        <f>+'Curv hora 2029 - 2033 (100%)'!X153*0.5</f>
        <v>9043.93</v>
      </c>
      <c r="Y153" s="13">
        <f>+'Curv hora 2029 - 2033 (100%)'!Y153*0.5</f>
        <v>8629.3850000000002</v>
      </c>
      <c r="Z153" s="13">
        <f>+'Curv hora 2029 - 2033 (100%)'!Z153*0.5</f>
        <v>7966.73</v>
      </c>
      <c r="AA153" s="13">
        <f>+'Curv hora 2029 - 2033 (100%)'!AA153*0.5</f>
        <v>7031.67</v>
      </c>
      <c r="AB153" s="34">
        <f>+'Curv hora 2029 - 2033 (100%)'!AB153*0.5</f>
        <v>6132.27</v>
      </c>
      <c r="AC153" s="71">
        <f>SUMPRODUCT((E153:AB155)*D153:D155)</f>
        <v>4598780.5100000016</v>
      </c>
    </row>
    <row r="154" spans="1:30" x14ac:dyDescent="0.3">
      <c r="A154" s="68"/>
      <c r="B154" s="70"/>
      <c r="C154" t="s">
        <v>37</v>
      </c>
      <c r="D154" s="6">
        <v>4</v>
      </c>
      <c r="E154" s="35">
        <f>+'Curv hora 2029 - 2033 (100%)'!E154*0.5</f>
        <v>5234.585</v>
      </c>
      <c r="F154" s="5">
        <f>+'Curv hora 2029 - 2033 (100%)'!F154*0.5</f>
        <v>4913.6400000000003</v>
      </c>
      <c r="G154" s="5">
        <f>+'Curv hora 2029 - 2033 (100%)'!G154*0.5</f>
        <v>4691.2749999999996</v>
      </c>
      <c r="H154" s="5">
        <f>+'Curv hora 2029 - 2033 (100%)'!H154*0.5</f>
        <v>4555.0950000000003</v>
      </c>
      <c r="I154" s="5">
        <f>+'Curv hora 2029 - 2033 (100%)'!I154*0.5</f>
        <v>4503.5950000000003</v>
      </c>
      <c r="J154" s="5">
        <f>+'Curv hora 2029 - 2033 (100%)'!J154*0.5</f>
        <v>4575.0600000000004</v>
      </c>
      <c r="K154" s="5">
        <f>+'Curv hora 2029 - 2033 (100%)'!K154*0.5</f>
        <v>4642.4799999999996</v>
      </c>
      <c r="L154" s="5">
        <f>+'Curv hora 2029 - 2033 (100%)'!L154*0.5</f>
        <v>4113.4049999999997</v>
      </c>
      <c r="M154" s="5">
        <f>+'Curv hora 2029 - 2033 (100%)'!M154*0.5</f>
        <v>4844.68</v>
      </c>
      <c r="N154" s="5">
        <f>+'Curv hora 2029 - 2033 (100%)'!N154*0.5</f>
        <v>5387.24</v>
      </c>
      <c r="O154" s="5">
        <f>+'Curv hora 2029 - 2033 (100%)'!O154*0.5</f>
        <v>5871.4549999999999</v>
      </c>
      <c r="P154" s="5">
        <f>+'Curv hora 2029 - 2033 (100%)'!P154*0.5</f>
        <v>6246.1750000000002</v>
      </c>
      <c r="Q154" s="5">
        <f>+'Curv hora 2029 - 2033 (100%)'!Q154*0.5</f>
        <v>6239.04</v>
      </c>
      <c r="R154" s="5">
        <f>+'Curv hora 2029 - 2033 (100%)'!R154*0.5</f>
        <v>6226.68</v>
      </c>
      <c r="S154" s="5">
        <f>+'Curv hora 2029 - 2033 (100%)'!S154*0.5</f>
        <v>6311.51</v>
      </c>
      <c r="T154" s="5">
        <f>+'Curv hora 2029 - 2033 (100%)'!T154*0.5</f>
        <v>6392.1549999999997</v>
      </c>
      <c r="U154" s="5">
        <f>+'Curv hora 2029 - 2033 (100%)'!U154*0.5</f>
        <v>6386.2749999999996</v>
      </c>
      <c r="V154" s="5">
        <f>+'Curv hora 2029 - 2033 (100%)'!V154*0.5</f>
        <v>7508.79</v>
      </c>
      <c r="W154" s="5">
        <f>+'Curv hora 2029 - 2033 (100%)'!W154*0.5</f>
        <v>8030.3050000000003</v>
      </c>
      <c r="X154" s="5">
        <f>+'Curv hora 2029 - 2033 (100%)'!X154*0.5</f>
        <v>8537.6949999999997</v>
      </c>
      <c r="Y154" s="5">
        <f>+'Curv hora 2029 - 2033 (100%)'!Y154*0.5</f>
        <v>8153.76</v>
      </c>
      <c r="Z154" s="5">
        <f>+'Curv hora 2029 - 2033 (100%)'!Z154*0.5</f>
        <v>7565.6549999999997</v>
      </c>
      <c r="AA154" s="5">
        <f>+'Curv hora 2029 - 2033 (100%)'!AA154*0.5</f>
        <v>6824.01</v>
      </c>
      <c r="AB154" s="36">
        <f>+'Curv hora 2029 - 2033 (100%)'!AB154*0.5</f>
        <v>6101.09</v>
      </c>
      <c r="AC154" s="71"/>
    </row>
    <row r="155" spans="1:30" x14ac:dyDescent="0.3">
      <c r="A155" s="76"/>
      <c r="B155" s="77"/>
      <c r="C155" s="7" t="s">
        <v>38</v>
      </c>
      <c r="D155" s="8">
        <v>7</v>
      </c>
      <c r="E155" s="37">
        <f>+'Curv hora 2029 - 2033 (100%)'!E155*0.5</f>
        <v>5457.3</v>
      </c>
      <c r="F155" s="9">
        <f>+'Curv hora 2029 - 2033 (100%)'!F155*0.5</f>
        <v>5135.3050000000003</v>
      </c>
      <c r="G155" s="9">
        <f>+'Curv hora 2029 - 2033 (100%)'!G155*0.5</f>
        <v>4803.1049999999996</v>
      </c>
      <c r="H155" s="9">
        <f>+'Curv hora 2029 - 2033 (100%)'!H155*0.5</f>
        <v>4697.4750000000004</v>
      </c>
      <c r="I155" s="9">
        <f>+'Curv hora 2029 - 2033 (100%)'!I155*0.5</f>
        <v>4572.84</v>
      </c>
      <c r="J155" s="9">
        <f>+'Curv hora 2029 - 2033 (100%)'!J155*0.5</f>
        <v>4503.335</v>
      </c>
      <c r="K155" s="9">
        <f>+'Curv hora 2029 - 2033 (100%)'!K155*0.5</f>
        <v>4416.45</v>
      </c>
      <c r="L155" s="9">
        <f>+'Curv hora 2029 - 2033 (100%)'!L155*0.5</f>
        <v>3778.27</v>
      </c>
      <c r="M155" s="9">
        <f>+'Curv hora 2029 - 2033 (100%)'!M155*0.5</f>
        <v>4443.125</v>
      </c>
      <c r="N155" s="9">
        <f>+'Curv hora 2029 - 2033 (100%)'!N155*0.5</f>
        <v>4951.95</v>
      </c>
      <c r="O155" s="9">
        <f>+'Curv hora 2029 - 2033 (100%)'!O155*0.5</f>
        <v>5440.7650000000003</v>
      </c>
      <c r="P155" s="9">
        <f>+'Curv hora 2029 - 2033 (100%)'!P155*0.5</f>
        <v>5857.125</v>
      </c>
      <c r="Q155" s="9">
        <f>+'Curv hora 2029 - 2033 (100%)'!Q155*0.5</f>
        <v>6044.3950000000004</v>
      </c>
      <c r="R155" s="9">
        <f>+'Curv hora 2029 - 2033 (100%)'!R155*0.5</f>
        <v>5977.82</v>
      </c>
      <c r="S155" s="9">
        <f>+'Curv hora 2029 - 2033 (100%)'!S155*0.5</f>
        <v>5833.22</v>
      </c>
      <c r="T155" s="9">
        <f>+'Curv hora 2029 - 2033 (100%)'!T155*0.5</f>
        <v>5806.5950000000003</v>
      </c>
      <c r="U155" s="9">
        <f>+'Curv hora 2029 - 2033 (100%)'!U155*0.5</f>
        <v>5774.28</v>
      </c>
      <c r="V155" s="9">
        <f>+'Curv hora 2029 - 2033 (100%)'!V155*0.5</f>
        <v>7024.3050000000003</v>
      </c>
      <c r="W155" s="9">
        <f>+'Curv hora 2029 - 2033 (100%)'!W155*0.5</f>
        <v>7674.14</v>
      </c>
      <c r="X155" s="9">
        <f>+'Curv hora 2029 - 2033 (100%)'!X155*0.5</f>
        <v>8267.59</v>
      </c>
      <c r="Y155" s="9">
        <f>+'Curv hora 2029 - 2033 (100%)'!Y155*0.5</f>
        <v>7949.0150000000003</v>
      </c>
      <c r="Z155" s="9">
        <f>+'Curv hora 2029 - 2033 (100%)'!Z155*0.5</f>
        <v>7397.4250000000002</v>
      </c>
      <c r="AA155" s="9">
        <f>+'Curv hora 2029 - 2033 (100%)'!AA155*0.5</f>
        <v>6661.0150000000003</v>
      </c>
      <c r="AB155" s="38">
        <f>+'Curv hora 2029 - 2033 (100%)'!AB155*0.5</f>
        <v>5979.585</v>
      </c>
      <c r="AC155" s="71"/>
    </row>
    <row r="156" spans="1:30" x14ac:dyDescent="0.3">
      <c r="A156" s="67">
        <v>48611</v>
      </c>
      <c r="B156" s="69">
        <f>DAY(EOMONTH(A156,0))</f>
        <v>28</v>
      </c>
      <c r="C156" s="3" t="s">
        <v>36</v>
      </c>
      <c r="D156" s="10">
        <v>20</v>
      </c>
      <c r="E156" s="33">
        <f>+'Curv hora 2029 - 2033 (100%)'!E156*0.5</f>
        <v>5203.8100000000004</v>
      </c>
      <c r="F156" s="13">
        <f>+'Curv hora 2029 - 2033 (100%)'!F156*0.5</f>
        <v>4898.26</v>
      </c>
      <c r="G156" s="13">
        <f>+'Curv hora 2029 - 2033 (100%)'!G156*0.5</f>
        <v>4647.62</v>
      </c>
      <c r="H156" s="13">
        <f>+'Curv hora 2029 - 2033 (100%)'!H156*0.5</f>
        <v>4579.7049999999999</v>
      </c>
      <c r="I156" s="13">
        <f>+'Curv hora 2029 - 2033 (100%)'!I156*0.5</f>
        <v>4555.3050000000003</v>
      </c>
      <c r="J156" s="13">
        <f>+'Curv hora 2029 - 2033 (100%)'!J156*0.5</f>
        <v>4843.1750000000002</v>
      </c>
      <c r="K156" s="13">
        <f>+'Curv hora 2029 - 2033 (100%)'!K156*0.5</f>
        <v>5248.21</v>
      </c>
      <c r="L156" s="13">
        <f>+'Curv hora 2029 - 2033 (100%)'!L156*0.5</f>
        <v>4584.1049999999996</v>
      </c>
      <c r="M156" s="13">
        <f>+'Curv hora 2029 - 2033 (100%)'!M156*0.5</f>
        <v>5329.5450000000001</v>
      </c>
      <c r="N156" s="13">
        <f>+'Curv hora 2029 - 2033 (100%)'!N156*0.5</f>
        <v>5739.9</v>
      </c>
      <c r="O156" s="13">
        <f>+'Curv hora 2029 - 2033 (100%)'!O156*0.5</f>
        <v>6197.82</v>
      </c>
      <c r="P156" s="13">
        <f>+'Curv hora 2029 - 2033 (100%)'!P156*0.5</f>
        <v>6583.9</v>
      </c>
      <c r="Q156" s="13">
        <f>+'Curv hora 2029 - 2033 (100%)'!Q156*0.5</f>
        <v>6311.7550000000001</v>
      </c>
      <c r="R156" s="13">
        <f>+'Curv hora 2029 - 2033 (100%)'!R156*0.5</f>
        <v>6529.4949999999999</v>
      </c>
      <c r="S156" s="13">
        <f>+'Curv hora 2029 - 2033 (100%)'!S156*0.5</f>
        <v>7034.7650000000003</v>
      </c>
      <c r="T156" s="13">
        <f>+'Curv hora 2029 - 2033 (100%)'!T156*0.5</f>
        <v>7154.9449999999997</v>
      </c>
      <c r="U156" s="13">
        <f>+'Curv hora 2029 - 2033 (100%)'!U156*0.5</f>
        <v>7137.1350000000002</v>
      </c>
      <c r="V156" s="13">
        <f>+'Curv hora 2029 - 2033 (100%)'!V156*0.5</f>
        <v>8271.4599999999991</v>
      </c>
      <c r="W156" s="13">
        <f>+'Curv hora 2029 - 2033 (100%)'!W156*0.5</f>
        <v>8639.7950000000001</v>
      </c>
      <c r="X156" s="13">
        <f>+'Curv hora 2029 - 2033 (100%)'!X156*0.5</f>
        <v>9141.93</v>
      </c>
      <c r="Y156" s="13">
        <f>+'Curv hora 2029 - 2033 (100%)'!Y156*0.5</f>
        <v>8656.9850000000006</v>
      </c>
      <c r="Z156" s="13">
        <f>+'Curv hora 2029 - 2033 (100%)'!Z156*0.5</f>
        <v>7908.5050000000001</v>
      </c>
      <c r="AA156" s="13">
        <f>+'Curv hora 2029 - 2033 (100%)'!AA156*0.5</f>
        <v>6609.0450000000001</v>
      </c>
      <c r="AB156" s="34">
        <f>+'Curv hora 2029 - 2033 (100%)'!AB156*0.5</f>
        <v>5934.625</v>
      </c>
      <c r="AC156" s="71">
        <f>SUMPRODUCT((E156:AB158)*D156:D158)</f>
        <v>4178247.8199999989</v>
      </c>
    </row>
    <row r="157" spans="1:30" x14ac:dyDescent="0.3">
      <c r="A157" s="68"/>
      <c r="B157" s="70"/>
      <c r="C157" t="s">
        <v>37</v>
      </c>
      <c r="D157" s="11">
        <v>4</v>
      </c>
      <c r="E157" s="35">
        <f>+'Curv hora 2029 - 2033 (100%)'!E157*0.5</f>
        <v>5044.7299999999996</v>
      </c>
      <c r="F157" s="5">
        <f>+'Curv hora 2029 - 2033 (100%)'!F157*0.5</f>
        <v>4709.9849999999997</v>
      </c>
      <c r="G157" s="5">
        <f>+'Curv hora 2029 - 2033 (100%)'!G157*0.5</f>
        <v>4434.6450000000004</v>
      </c>
      <c r="H157" s="5">
        <f>+'Curv hora 2029 - 2033 (100%)'!H157*0.5</f>
        <v>4325.46</v>
      </c>
      <c r="I157" s="5">
        <f>+'Curv hora 2029 - 2033 (100%)'!I157*0.5</f>
        <v>4319.38</v>
      </c>
      <c r="J157" s="5">
        <f>+'Curv hora 2029 - 2033 (100%)'!J157*0.5</f>
        <v>4422.49</v>
      </c>
      <c r="K157" s="5">
        <f>+'Curv hora 2029 - 2033 (100%)'!K157*0.5</f>
        <v>4593.1850000000004</v>
      </c>
      <c r="L157" s="5">
        <f>+'Curv hora 2029 - 2033 (100%)'!L157*0.5</f>
        <v>4043.3449999999998</v>
      </c>
      <c r="M157" s="5">
        <f>+'Curv hora 2029 - 2033 (100%)'!M157*0.5</f>
        <v>4918.47</v>
      </c>
      <c r="N157" s="5">
        <f>+'Curv hora 2029 - 2033 (100%)'!N157*0.5</f>
        <v>5561.95</v>
      </c>
      <c r="O157" s="5">
        <f>+'Curv hora 2029 - 2033 (100%)'!O157*0.5</f>
        <v>6051.9949999999999</v>
      </c>
      <c r="P157" s="5">
        <f>+'Curv hora 2029 - 2033 (100%)'!P157*0.5</f>
        <v>6456.02</v>
      </c>
      <c r="Q157" s="5">
        <f>+'Curv hora 2029 - 2033 (100%)'!Q157*0.5</f>
        <v>6408.77</v>
      </c>
      <c r="R157" s="5">
        <f>+'Curv hora 2029 - 2033 (100%)'!R157*0.5</f>
        <v>6282.6149999999998</v>
      </c>
      <c r="S157" s="5">
        <f>+'Curv hora 2029 - 2033 (100%)'!S157*0.5</f>
        <v>6254.4650000000001</v>
      </c>
      <c r="T157" s="5">
        <f>+'Curv hora 2029 - 2033 (100%)'!T157*0.5</f>
        <v>6439.87</v>
      </c>
      <c r="U157" s="5">
        <f>+'Curv hora 2029 - 2033 (100%)'!U157*0.5</f>
        <v>6503.64</v>
      </c>
      <c r="V157" s="5">
        <f>+'Curv hora 2029 - 2033 (100%)'!V157*0.5</f>
        <v>7680.91</v>
      </c>
      <c r="W157" s="5">
        <f>+'Curv hora 2029 - 2033 (100%)'!W157*0.5</f>
        <v>8284.7000000000007</v>
      </c>
      <c r="X157" s="5">
        <f>+'Curv hora 2029 - 2033 (100%)'!X157*0.5</f>
        <v>8806.5</v>
      </c>
      <c r="Y157" s="5">
        <f>+'Curv hora 2029 - 2033 (100%)'!Y157*0.5</f>
        <v>8376.57</v>
      </c>
      <c r="Z157" s="5">
        <f>+'Curv hora 2029 - 2033 (100%)'!Z157*0.5</f>
        <v>7713.3149999999996</v>
      </c>
      <c r="AA157" s="5">
        <f>+'Curv hora 2029 - 2033 (100%)'!AA157*0.5</f>
        <v>6902.04</v>
      </c>
      <c r="AB157" s="36">
        <f>+'Curv hora 2029 - 2033 (100%)'!AB157*0.5</f>
        <v>6086.8649999999998</v>
      </c>
      <c r="AC157" s="71"/>
    </row>
    <row r="158" spans="1:30" x14ac:dyDescent="0.3">
      <c r="A158" s="76"/>
      <c r="B158" s="77"/>
      <c r="C158" s="7" t="s">
        <v>38</v>
      </c>
      <c r="D158" s="12">
        <v>4</v>
      </c>
      <c r="E158" s="37">
        <f>+'Curv hora 2029 - 2033 (100%)'!E158*0.5</f>
        <v>5322.71</v>
      </c>
      <c r="F158" s="9">
        <f>+'Curv hora 2029 - 2033 (100%)'!F158*0.5</f>
        <v>4951.47</v>
      </c>
      <c r="G158" s="9">
        <f>+'Curv hora 2029 - 2033 (100%)'!G158*0.5</f>
        <v>4686.7</v>
      </c>
      <c r="H158" s="9">
        <f>+'Curv hora 2029 - 2033 (100%)'!H158*0.5</f>
        <v>4534.2700000000004</v>
      </c>
      <c r="I158" s="9">
        <f>+'Curv hora 2029 - 2033 (100%)'!I158*0.5</f>
        <v>4428.5550000000003</v>
      </c>
      <c r="J158" s="9">
        <f>+'Curv hora 2029 - 2033 (100%)'!J158*0.5</f>
        <v>4437.51</v>
      </c>
      <c r="K158" s="9">
        <f>+'Curv hora 2029 - 2033 (100%)'!K158*0.5</f>
        <v>4486.92</v>
      </c>
      <c r="L158" s="9">
        <f>+'Curv hora 2029 - 2033 (100%)'!L158*0.5</f>
        <v>3916.62</v>
      </c>
      <c r="M158" s="9">
        <f>+'Curv hora 2029 - 2033 (100%)'!M158*0.5</f>
        <v>4627.4650000000001</v>
      </c>
      <c r="N158" s="9">
        <f>+'Curv hora 2029 - 2033 (100%)'!N158*0.5</f>
        <v>5149.2299999999996</v>
      </c>
      <c r="O158" s="9">
        <f>+'Curv hora 2029 - 2033 (100%)'!O158*0.5</f>
        <v>5614.3149999999996</v>
      </c>
      <c r="P158" s="9">
        <f>+'Curv hora 2029 - 2033 (100%)'!P158*0.5</f>
        <v>6028.4849999999997</v>
      </c>
      <c r="Q158" s="9">
        <f>+'Curv hora 2029 - 2033 (100%)'!Q158*0.5</f>
        <v>6236.29</v>
      </c>
      <c r="R158" s="9">
        <f>+'Curv hora 2029 - 2033 (100%)'!R158*0.5</f>
        <v>6232.52</v>
      </c>
      <c r="S158" s="9">
        <f>+'Curv hora 2029 - 2033 (100%)'!S158*0.5</f>
        <v>6186.1949999999997</v>
      </c>
      <c r="T158" s="9">
        <f>+'Curv hora 2029 - 2033 (100%)'!T158*0.5</f>
        <v>6120.64</v>
      </c>
      <c r="U158" s="9">
        <f>+'Curv hora 2029 - 2033 (100%)'!U158*0.5</f>
        <v>6132.665</v>
      </c>
      <c r="V158" s="9">
        <f>+'Curv hora 2029 - 2033 (100%)'!V158*0.5</f>
        <v>7336</v>
      </c>
      <c r="W158" s="9">
        <f>+'Curv hora 2029 - 2033 (100%)'!W158*0.5</f>
        <v>7917.6949999999997</v>
      </c>
      <c r="X158" s="9">
        <f>+'Curv hora 2029 - 2033 (100%)'!X158*0.5</f>
        <v>8555.52</v>
      </c>
      <c r="Y158" s="9">
        <f>+'Curv hora 2029 - 2033 (100%)'!Y158*0.5</f>
        <v>8327.4249999999993</v>
      </c>
      <c r="Z158" s="9">
        <f>+'Curv hora 2029 - 2033 (100%)'!Z158*0.5</f>
        <v>7815.23</v>
      </c>
      <c r="AA158" s="9">
        <f>+'Curv hora 2029 - 2033 (100%)'!AA158*0.5</f>
        <v>6814.4949999999999</v>
      </c>
      <c r="AB158" s="38">
        <f>+'Curv hora 2029 - 2033 (100%)'!AB158*0.5</f>
        <v>5372.14</v>
      </c>
      <c r="AC158" s="71"/>
    </row>
    <row r="159" spans="1:30" x14ac:dyDescent="0.3">
      <c r="A159" s="67">
        <v>48639</v>
      </c>
      <c r="B159" s="69">
        <f t="shared" ref="B159" si="47">DAY(EOMONTH(A159,0))</f>
        <v>31</v>
      </c>
      <c r="C159" s="3" t="s">
        <v>36</v>
      </c>
      <c r="D159" s="10">
        <v>22</v>
      </c>
      <c r="E159" s="33">
        <f>+'Curv hora 2029 - 2033 (100%)'!E159*0.5</f>
        <v>5001.2849999999999</v>
      </c>
      <c r="F159" s="13">
        <f>+'Curv hora 2029 - 2033 (100%)'!F159*0.5</f>
        <v>4681.5550000000003</v>
      </c>
      <c r="G159" s="13">
        <f>+'Curv hora 2029 - 2033 (100%)'!G159*0.5</f>
        <v>4498.84</v>
      </c>
      <c r="H159" s="13">
        <f>+'Curv hora 2029 - 2033 (100%)'!H159*0.5</f>
        <v>4406.9449999999997</v>
      </c>
      <c r="I159" s="13">
        <f>+'Curv hora 2029 - 2033 (100%)'!I159*0.5</f>
        <v>4421.91</v>
      </c>
      <c r="J159" s="13">
        <f>+'Curv hora 2029 - 2033 (100%)'!J159*0.5</f>
        <v>4731.43</v>
      </c>
      <c r="K159" s="13">
        <f>+'Curv hora 2029 - 2033 (100%)'!K159*0.5</f>
        <v>5137.75</v>
      </c>
      <c r="L159" s="13">
        <f>+'Curv hora 2029 - 2033 (100%)'!L159*0.5</f>
        <v>4499.68</v>
      </c>
      <c r="M159" s="13">
        <f>+'Curv hora 2029 - 2033 (100%)'!M159*0.5</f>
        <v>5200.0550000000003</v>
      </c>
      <c r="N159" s="13">
        <f>+'Curv hora 2029 - 2033 (100%)'!N159*0.5</f>
        <v>5693.75</v>
      </c>
      <c r="O159" s="13">
        <f>+'Curv hora 2029 - 2033 (100%)'!O159*0.5</f>
        <v>6098.625</v>
      </c>
      <c r="P159" s="13">
        <f>+'Curv hora 2029 - 2033 (100%)'!P159*0.5</f>
        <v>6445.82</v>
      </c>
      <c r="Q159" s="13">
        <f>+'Curv hora 2029 - 2033 (100%)'!Q159*0.5</f>
        <v>6050.49</v>
      </c>
      <c r="R159" s="13">
        <f>+'Curv hora 2029 - 2033 (100%)'!R159*0.5</f>
        <v>6377.64</v>
      </c>
      <c r="S159" s="13">
        <f>+'Curv hora 2029 - 2033 (100%)'!S159*0.5</f>
        <v>6765.62</v>
      </c>
      <c r="T159" s="13">
        <f>+'Curv hora 2029 - 2033 (100%)'!T159*0.5</f>
        <v>6897.92</v>
      </c>
      <c r="U159" s="13">
        <f>+'Curv hora 2029 - 2033 (100%)'!U159*0.5</f>
        <v>6868.2150000000001</v>
      </c>
      <c r="V159" s="13">
        <f>+'Curv hora 2029 - 2033 (100%)'!V159*0.5</f>
        <v>7960.8249999999998</v>
      </c>
      <c r="W159" s="13">
        <f>+'Curv hora 2029 - 2033 (100%)'!W159*0.5</f>
        <v>8401.1450000000004</v>
      </c>
      <c r="X159" s="13">
        <f>+'Curv hora 2029 - 2033 (100%)'!X159*0.5</f>
        <v>8922.84</v>
      </c>
      <c r="Y159" s="13">
        <f>+'Curv hora 2029 - 2033 (100%)'!Y159*0.5</f>
        <v>8415.24</v>
      </c>
      <c r="Z159" s="13">
        <f>+'Curv hora 2029 - 2033 (100%)'!Z159*0.5</f>
        <v>7646.4350000000004</v>
      </c>
      <c r="AA159" s="13">
        <f>+'Curv hora 2029 - 2033 (100%)'!AA159*0.5</f>
        <v>6570.665</v>
      </c>
      <c r="AB159" s="34">
        <f>+'Curv hora 2029 - 2033 (100%)'!AB159*0.5</f>
        <v>5719.35</v>
      </c>
      <c r="AC159" s="71">
        <f>SUMPRODUCT((E159:AB161)*D159:D161)</f>
        <v>4486386.3149999976</v>
      </c>
    </row>
    <row r="160" spans="1:30" x14ac:dyDescent="0.3">
      <c r="A160" s="68"/>
      <c r="B160" s="70"/>
      <c r="C160" t="s">
        <v>37</v>
      </c>
      <c r="D160" s="11">
        <v>4</v>
      </c>
      <c r="E160" s="35">
        <f>+'Curv hora 2029 - 2033 (100%)'!E160*0.5</f>
        <v>4637.335</v>
      </c>
      <c r="F160" s="5">
        <f>+'Curv hora 2029 - 2033 (100%)'!F160*0.5</f>
        <v>4537.25</v>
      </c>
      <c r="G160" s="5">
        <f>+'Curv hora 2029 - 2033 (100%)'!G160*0.5</f>
        <v>4342.5050000000001</v>
      </c>
      <c r="H160" s="5">
        <f>+'Curv hora 2029 - 2033 (100%)'!H160*0.5</f>
        <v>4218.33</v>
      </c>
      <c r="I160" s="5">
        <f>+'Curv hora 2029 - 2033 (100%)'!I160*0.5</f>
        <v>4219.5</v>
      </c>
      <c r="J160" s="5">
        <f>+'Curv hora 2029 - 2033 (100%)'!J160*0.5</f>
        <v>4355.1949999999997</v>
      </c>
      <c r="K160" s="5">
        <f>+'Curv hora 2029 - 2033 (100%)'!K160*0.5</f>
        <v>4593.59</v>
      </c>
      <c r="L160" s="5">
        <f>+'Curv hora 2029 - 2033 (100%)'!L160*0.5</f>
        <v>4061.625</v>
      </c>
      <c r="M160" s="5">
        <f>+'Curv hora 2029 - 2033 (100%)'!M160*0.5</f>
        <v>4930.4799999999996</v>
      </c>
      <c r="N160" s="5">
        <f>+'Curv hora 2029 - 2033 (100%)'!N160*0.5</f>
        <v>5453.3249999999998</v>
      </c>
      <c r="O160" s="5">
        <f>+'Curv hora 2029 - 2033 (100%)'!O160*0.5</f>
        <v>5827.3050000000003</v>
      </c>
      <c r="P160" s="5">
        <f>+'Curv hora 2029 - 2033 (100%)'!P160*0.5</f>
        <v>6121.7749999999996</v>
      </c>
      <c r="Q160" s="5">
        <f>+'Curv hora 2029 - 2033 (100%)'!Q160*0.5</f>
        <v>6040.7049999999999</v>
      </c>
      <c r="R160" s="5">
        <f>+'Curv hora 2029 - 2033 (100%)'!R160*0.5</f>
        <v>5934.8149999999996</v>
      </c>
      <c r="S160" s="5">
        <f>+'Curv hora 2029 - 2033 (100%)'!S160*0.5</f>
        <v>6033.61</v>
      </c>
      <c r="T160" s="5">
        <f>+'Curv hora 2029 - 2033 (100%)'!T160*0.5</f>
        <v>6085.5249999999996</v>
      </c>
      <c r="U160" s="5">
        <f>+'Curv hora 2029 - 2033 (100%)'!U160*0.5</f>
        <v>6176.08</v>
      </c>
      <c r="V160" s="5">
        <f>+'Curv hora 2029 - 2033 (100%)'!V160*0.5</f>
        <v>7411.42</v>
      </c>
      <c r="W160" s="5">
        <f>+'Curv hora 2029 - 2033 (100%)'!W160*0.5</f>
        <v>8082.6149999999998</v>
      </c>
      <c r="X160" s="5">
        <f>+'Curv hora 2029 - 2033 (100%)'!X160*0.5</f>
        <v>8476.2849999999999</v>
      </c>
      <c r="Y160" s="5">
        <f>+'Curv hora 2029 - 2033 (100%)'!Y160*0.5</f>
        <v>8006.46</v>
      </c>
      <c r="Z160" s="5">
        <f>+'Curv hora 2029 - 2033 (100%)'!Z160*0.5</f>
        <v>7423.26</v>
      </c>
      <c r="AA160" s="5">
        <f>+'Curv hora 2029 - 2033 (100%)'!AA160*0.5</f>
        <v>6636.7</v>
      </c>
      <c r="AB160" s="36">
        <f>+'Curv hora 2029 - 2033 (100%)'!AB160*0.5</f>
        <v>5860.3050000000003</v>
      </c>
      <c r="AC160" s="71"/>
    </row>
    <row r="161" spans="1:29" x14ac:dyDescent="0.3">
      <c r="A161" s="76"/>
      <c r="B161" s="77"/>
      <c r="C161" s="7" t="s">
        <v>38</v>
      </c>
      <c r="D161" s="12">
        <v>5</v>
      </c>
      <c r="E161" s="37">
        <f>+'Curv hora 2029 - 2033 (100%)'!E161*0.5</f>
        <v>5184.6000000000004</v>
      </c>
      <c r="F161" s="9">
        <f>+'Curv hora 2029 - 2033 (100%)'!F161*0.5</f>
        <v>4844.2250000000004</v>
      </c>
      <c r="G161" s="9">
        <f>+'Curv hora 2029 - 2033 (100%)'!G161*0.5</f>
        <v>4604.5600000000004</v>
      </c>
      <c r="H161" s="9">
        <f>+'Curv hora 2029 - 2033 (100%)'!H161*0.5</f>
        <v>4467.5950000000003</v>
      </c>
      <c r="I161" s="9">
        <f>+'Curv hora 2029 - 2033 (100%)'!I161*0.5</f>
        <v>4414.8050000000003</v>
      </c>
      <c r="J161" s="9">
        <f>+'Curv hora 2029 - 2033 (100%)'!J161*0.5</f>
        <v>4430.83</v>
      </c>
      <c r="K161" s="9">
        <f>+'Curv hora 2029 - 2033 (100%)'!K161*0.5</f>
        <v>4500.1149999999998</v>
      </c>
      <c r="L161" s="9">
        <f>+'Curv hora 2029 - 2033 (100%)'!L161*0.5</f>
        <v>3927.2</v>
      </c>
      <c r="M161" s="9">
        <f>+'Curv hora 2029 - 2033 (100%)'!M161*0.5</f>
        <v>4592.0600000000004</v>
      </c>
      <c r="N161" s="9">
        <f>+'Curv hora 2029 - 2033 (100%)'!N161*0.5</f>
        <v>5055.0550000000003</v>
      </c>
      <c r="O161" s="9">
        <f>+'Curv hora 2029 - 2033 (100%)'!O161*0.5</f>
        <v>5375.9549999999999</v>
      </c>
      <c r="P161" s="9">
        <f>+'Curv hora 2029 - 2033 (100%)'!P161*0.5</f>
        <v>5624.8050000000003</v>
      </c>
      <c r="Q161" s="9">
        <f>+'Curv hora 2029 - 2033 (100%)'!Q161*0.5</f>
        <v>5803.27</v>
      </c>
      <c r="R161" s="9">
        <f>+'Curv hora 2029 - 2033 (100%)'!R161*0.5</f>
        <v>5782.24</v>
      </c>
      <c r="S161" s="9">
        <f>+'Curv hora 2029 - 2033 (100%)'!S161*0.5</f>
        <v>5841.7049999999999</v>
      </c>
      <c r="T161" s="9">
        <f>+'Curv hora 2029 - 2033 (100%)'!T161*0.5</f>
        <v>5876.2</v>
      </c>
      <c r="U161" s="9">
        <f>+'Curv hora 2029 - 2033 (100%)'!U161*0.5</f>
        <v>5878.0349999999999</v>
      </c>
      <c r="V161" s="9">
        <f>+'Curv hora 2029 - 2033 (100%)'!V161*0.5</f>
        <v>7160.3649999999998</v>
      </c>
      <c r="W161" s="9">
        <f>+'Curv hora 2029 - 2033 (100%)'!W161*0.5</f>
        <v>7862.0749999999998</v>
      </c>
      <c r="X161" s="9">
        <f>+'Curv hora 2029 - 2033 (100%)'!X161*0.5</f>
        <v>8235.34</v>
      </c>
      <c r="Y161" s="9">
        <f>+'Curv hora 2029 - 2033 (100%)'!Y161*0.5</f>
        <v>7934.4250000000002</v>
      </c>
      <c r="Z161" s="9">
        <f>+'Curv hora 2029 - 2033 (100%)'!Z161*0.5</f>
        <v>7368.11</v>
      </c>
      <c r="AA161" s="9">
        <f>+'Curv hora 2029 - 2033 (100%)'!AA161*0.5</f>
        <v>6537.8950000000004</v>
      </c>
      <c r="AB161" s="38">
        <f>+'Curv hora 2029 - 2033 (100%)'!AB161*0.5</f>
        <v>5781.27</v>
      </c>
      <c r="AC161" s="71"/>
    </row>
    <row r="162" spans="1:29" x14ac:dyDescent="0.3">
      <c r="A162" s="67">
        <v>48670</v>
      </c>
      <c r="B162" s="69">
        <f t="shared" ref="B162" si="48">DAY(EOMONTH(A162,0))</f>
        <v>30</v>
      </c>
      <c r="C162" s="3" t="s">
        <v>36</v>
      </c>
      <c r="D162" s="10">
        <v>19</v>
      </c>
      <c r="E162" s="33">
        <f>+'Curv hora 2029 - 2033 (100%)'!E162*0.5</f>
        <v>5031.2749999999996</v>
      </c>
      <c r="F162" s="13">
        <f>+'Curv hora 2029 - 2033 (100%)'!F162*0.5</f>
        <v>4760.97</v>
      </c>
      <c r="G162" s="13">
        <f>+'Curv hora 2029 - 2033 (100%)'!G162*0.5</f>
        <v>4580.2950000000001</v>
      </c>
      <c r="H162" s="13">
        <f>+'Curv hora 2029 - 2033 (100%)'!H162*0.5</f>
        <v>4453.43</v>
      </c>
      <c r="I162" s="13">
        <f>+'Curv hora 2029 - 2033 (100%)'!I162*0.5</f>
        <v>4456.5749999999998</v>
      </c>
      <c r="J162" s="13">
        <f>+'Curv hora 2029 - 2033 (100%)'!J162*0.5</f>
        <v>4803.28</v>
      </c>
      <c r="K162" s="13">
        <f>+'Curv hora 2029 - 2033 (100%)'!K162*0.5</f>
        <v>5150.2950000000001</v>
      </c>
      <c r="L162" s="13">
        <f>+'Curv hora 2029 - 2033 (100%)'!L162*0.5</f>
        <v>4520.41</v>
      </c>
      <c r="M162" s="13">
        <f>+'Curv hora 2029 - 2033 (100%)'!M162*0.5</f>
        <v>5267.085</v>
      </c>
      <c r="N162" s="13">
        <f>+'Curv hora 2029 - 2033 (100%)'!N162*0.5</f>
        <v>5747.2049999999999</v>
      </c>
      <c r="O162" s="13">
        <f>+'Curv hora 2029 - 2033 (100%)'!O162*0.5</f>
        <v>6133.4650000000001</v>
      </c>
      <c r="P162" s="13">
        <f>+'Curv hora 2029 - 2033 (100%)'!P162*0.5</f>
        <v>6429.665</v>
      </c>
      <c r="Q162" s="13">
        <f>+'Curv hora 2029 - 2033 (100%)'!Q162*0.5</f>
        <v>6266.78</v>
      </c>
      <c r="R162" s="13">
        <f>+'Curv hora 2029 - 2033 (100%)'!R162*0.5</f>
        <v>6393.165</v>
      </c>
      <c r="S162" s="13">
        <f>+'Curv hora 2029 - 2033 (100%)'!S162*0.5</f>
        <v>6923.72</v>
      </c>
      <c r="T162" s="13">
        <f>+'Curv hora 2029 - 2033 (100%)'!T162*0.5</f>
        <v>7098.2449999999999</v>
      </c>
      <c r="U162" s="13">
        <f>+'Curv hora 2029 - 2033 (100%)'!U162*0.5</f>
        <v>7114.915</v>
      </c>
      <c r="V162" s="13">
        <f>+'Curv hora 2029 - 2033 (100%)'!V162*0.5</f>
        <v>8262.8449999999993</v>
      </c>
      <c r="W162" s="13">
        <f>+'Curv hora 2029 - 2033 (100%)'!W162*0.5</f>
        <v>9040.2800000000007</v>
      </c>
      <c r="X162" s="13">
        <f>+'Curv hora 2029 - 2033 (100%)'!X162*0.5</f>
        <v>9190.4850000000006</v>
      </c>
      <c r="Y162" s="13">
        <f>+'Curv hora 2029 - 2033 (100%)'!Y162*0.5</f>
        <v>8665.1299999999992</v>
      </c>
      <c r="Z162" s="13">
        <f>+'Curv hora 2029 - 2033 (100%)'!Z162*0.5</f>
        <v>7879.23</v>
      </c>
      <c r="AA162" s="13">
        <f>+'Curv hora 2029 - 2033 (100%)'!AA162*0.5</f>
        <v>6779.2</v>
      </c>
      <c r="AB162" s="34">
        <f>+'Curv hora 2029 - 2033 (100%)'!AB162*0.5</f>
        <v>5857.58</v>
      </c>
      <c r="AC162" s="71">
        <f>SUMPRODUCT((E162:AB164)*D162:D164)</f>
        <v>4504605.1850000005</v>
      </c>
    </row>
    <row r="163" spans="1:29" x14ac:dyDescent="0.3">
      <c r="A163" s="68"/>
      <c r="B163" s="70"/>
      <c r="C163" t="s">
        <v>37</v>
      </c>
      <c r="D163" s="11">
        <v>5</v>
      </c>
      <c r="E163" s="35">
        <f>+'Curv hora 2029 - 2033 (100%)'!E163*0.5</f>
        <v>5145.07</v>
      </c>
      <c r="F163" s="5">
        <f>+'Curv hora 2029 - 2033 (100%)'!F163*0.5</f>
        <v>4820.53</v>
      </c>
      <c r="G163" s="5">
        <f>+'Curv hora 2029 - 2033 (100%)'!G163*0.5</f>
        <v>4586.335</v>
      </c>
      <c r="H163" s="5">
        <f>+'Curv hora 2029 - 2033 (100%)'!H163*0.5</f>
        <v>4452.3450000000003</v>
      </c>
      <c r="I163" s="5">
        <f>+'Curv hora 2029 - 2033 (100%)'!I163*0.5</f>
        <v>4435.8500000000004</v>
      </c>
      <c r="J163" s="5">
        <f>+'Curv hora 2029 - 2033 (100%)'!J163*0.5</f>
        <v>4563.3900000000003</v>
      </c>
      <c r="K163" s="5">
        <f>+'Curv hora 2029 - 2033 (100%)'!K163*0.5</f>
        <v>4763.6099999999997</v>
      </c>
      <c r="L163" s="5">
        <f>+'Curv hora 2029 - 2033 (100%)'!L163*0.5</f>
        <v>4314.6000000000004</v>
      </c>
      <c r="M163" s="5">
        <f>+'Curv hora 2029 - 2033 (100%)'!M163*0.5</f>
        <v>5212.2749999999996</v>
      </c>
      <c r="N163" s="5">
        <f>+'Curv hora 2029 - 2033 (100%)'!N163*0.5</f>
        <v>5854.02</v>
      </c>
      <c r="O163" s="5">
        <f>+'Curv hora 2029 - 2033 (100%)'!O163*0.5</f>
        <v>6419.7449999999999</v>
      </c>
      <c r="P163" s="5">
        <f>+'Curv hora 2029 - 2033 (100%)'!P163*0.5</f>
        <v>6849.15</v>
      </c>
      <c r="Q163" s="5">
        <f>+'Curv hora 2029 - 2033 (100%)'!Q163*0.5</f>
        <v>6865.57</v>
      </c>
      <c r="R163" s="5">
        <f>+'Curv hora 2029 - 2033 (100%)'!R163*0.5</f>
        <v>6857.3850000000002</v>
      </c>
      <c r="S163" s="5">
        <f>+'Curv hora 2029 - 2033 (100%)'!S163*0.5</f>
        <v>6795.2550000000001</v>
      </c>
      <c r="T163" s="5">
        <f>+'Curv hora 2029 - 2033 (100%)'!T163*0.5</f>
        <v>6660.0150000000003</v>
      </c>
      <c r="U163" s="5">
        <f>+'Curv hora 2029 - 2033 (100%)'!U163*0.5</f>
        <v>6599.99</v>
      </c>
      <c r="V163" s="5">
        <f>+'Curv hora 2029 - 2033 (100%)'!V163*0.5</f>
        <v>7754.07</v>
      </c>
      <c r="W163" s="5">
        <f>+'Curv hora 2029 - 2033 (100%)'!W163*0.5</f>
        <v>8503.1299999999992</v>
      </c>
      <c r="X163" s="5">
        <f>+'Curv hora 2029 - 2033 (100%)'!X163*0.5</f>
        <v>8810.94</v>
      </c>
      <c r="Y163" s="5">
        <f>+'Curv hora 2029 - 2033 (100%)'!Y163*0.5</f>
        <v>8540.6299999999992</v>
      </c>
      <c r="Z163" s="5">
        <f>+'Curv hora 2029 - 2033 (100%)'!Z163*0.5</f>
        <v>7944.3050000000003</v>
      </c>
      <c r="AA163" s="5">
        <f>+'Curv hora 2029 - 2033 (100%)'!AA163*0.5</f>
        <v>7168.77</v>
      </c>
      <c r="AB163" s="36">
        <f>+'Curv hora 2029 - 2033 (100%)'!AB163*0.5</f>
        <v>6468.06</v>
      </c>
      <c r="AC163" s="71"/>
    </row>
    <row r="164" spans="1:29" x14ac:dyDescent="0.3">
      <c r="A164" s="76"/>
      <c r="B164" s="77"/>
      <c r="C164" s="7" t="s">
        <v>38</v>
      </c>
      <c r="D164" s="12">
        <v>6</v>
      </c>
      <c r="E164" s="37">
        <f>+'Curv hora 2029 - 2033 (100%)'!E164*0.5</f>
        <v>5652.2950000000001</v>
      </c>
      <c r="F164" s="9">
        <f>+'Curv hora 2029 - 2033 (100%)'!F164*0.5</f>
        <v>5242.78</v>
      </c>
      <c r="G164" s="9">
        <f>+'Curv hora 2029 - 2033 (100%)'!G164*0.5</f>
        <v>4936.2700000000004</v>
      </c>
      <c r="H164" s="9">
        <f>+'Curv hora 2029 - 2033 (100%)'!H164*0.5</f>
        <v>4737.2650000000003</v>
      </c>
      <c r="I164" s="9">
        <f>+'Curv hora 2029 - 2033 (100%)'!I164*0.5</f>
        <v>4637.26</v>
      </c>
      <c r="J164" s="9">
        <f>+'Curv hora 2029 - 2033 (100%)'!J164*0.5</f>
        <v>4647.8050000000003</v>
      </c>
      <c r="K164" s="9">
        <f>+'Curv hora 2029 - 2033 (100%)'!K164*0.5</f>
        <v>4799.01</v>
      </c>
      <c r="L164" s="9">
        <f>+'Curv hora 2029 - 2033 (100%)'!L164*0.5</f>
        <v>4092.1550000000002</v>
      </c>
      <c r="M164" s="9">
        <f>+'Curv hora 2029 - 2033 (100%)'!M164*0.5</f>
        <v>4775.5200000000004</v>
      </c>
      <c r="N164" s="9">
        <f>+'Curv hora 2029 - 2033 (100%)'!N164*0.5</f>
        <v>5296.915</v>
      </c>
      <c r="O164" s="9">
        <f>+'Curv hora 2029 - 2033 (100%)'!O164*0.5</f>
        <v>5751.2349999999997</v>
      </c>
      <c r="P164" s="9">
        <f>+'Curv hora 2029 - 2033 (100%)'!P164*0.5</f>
        <v>6207.56</v>
      </c>
      <c r="Q164" s="9">
        <f>+'Curv hora 2029 - 2033 (100%)'!Q164*0.5</f>
        <v>6480.9949999999999</v>
      </c>
      <c r="R164" s="9">
        <f>+'Curv hora 2029 - 2033 (100%)'!R164*0.5</f>
        <v>6495.6</v>
      </c>
      <c r="S164" s="9">
        <f>+'Curv hora 2029 - 2033 (100%)'!S164*0.5</f>
        <v>6522.2650000000003</v>
      </c>
      <c r="T164" s="9">
        <f>+'Curv hora 2029 - 2033 (100%)'!T164*0.5</f>
        <v>6544.1549999999997</v>
      </c>
      <c r="U164" s="9">
        <f>+'Curv hora 2029 - 2033 (100%)'!U164*0.5</f>
        <v>6483.44</v>
      </c>
      <c r="V164" s="9">
        <f>+'Curv hora 2029 - 2033 (100%)'!V164*0.5</f>
        <v>7647.6750000000002</v>
      </c>
      <c r="W164" s="9">
        <f>+'Curv hora 2029 - 2033 (100%)'!W164*0.5</f>
        <v>8642.76</v>
      </c>
      <c r="X164" s="9">
        <f>+'Curv hora 2029 - 2033 (100%)'!X164*0.5</f>
        <v>9074.4950000000008</v>
      </c>
      <c r="Y164" s="9">
        <f>+'Curv hora 2029 - 2033 (100%)'!Y164*0.5</f>
        <v>8884.73</v>
      </c>
      <c r="Z164" s="9">
        <f>+'Curv hora 2029 - 2033 (100%)'!Z164*0.5</f>
        <v>8134.85</v>
      </c>
      <c r="AA164" s="9">
        <f>+'Curv hora 2029 - 2033 (100%)'!AA164*0.5</f>
        <v>6818.43</v>
      </c>
      <c r="AB164" s="38">
        <f>+'Curv hora 2029 - 2033 (100%)'!AB164*0.5</f>
        <v>5390.37</v>
      </c>
      <c r="AC164" s="71"/>
    </row>
    <row r="165" spans="1:29" x14ac:dyDescent="0.3">
      <c r="A165" s="67">
        <v>48700</v>
      </c>
      <c r="B165" s="69">
        <f t="shared" ref="B165" si="49">DAY(EOMONTH(A165,0))</f>
        <v>31</v>
      </c>
      <c r="C165" s="3" t="s">
        <v>36</v>
      </c>
      <c r="D165" s="10">
        <v>21</v>
      </c>
      <c r="E165" s="33">
        <f>+'Curv hora 2029 - 2033 (100%)'!E165*0.5</f>
        <v>4747.6850000000004</v>
      </c>
      <c r="F165" s="13">
        <f>+'Curv hora 2029 - 2033 (100%)'!F165*0.5</f>
        <v>4447.3649999999998</v>
      </c>
      <c r="G165" s="13">
        <f>+'Curv hora 2029 - 2033 (100%)'!G165*0.5</f>
        <v>4274.875</v>
      </c>
      <c r="H165" s="13">
        <f>+'Curv hora 2029 - 2033 (100%)'!H165*0.5</f>
        <v>4148.3599999999997</v>
      </c>
      <c r="I165" s="13">
        <f>+'Curv hora 2029 - 2033 (100%)'!I165*0.5</f>
        <v>4111.5450000000001</v>
      </c>
      <c r="J165" s="13">
        <f>+'Curv hora 2029 - 2033 (100%)'!J165*0.5</f>
        <v>4462.66</v>
      </c>
      <c r="K165" s="13">
        <f>+'Curv hora 2029 - 2033 (100%)'!K165*0.5</f>
        <v>4941.47</v>
      </c>
      <c r="L165" s="13">
        <f>+'Curv hora 2029 - 2033 (100%)'!L165*0.5</f>
        <v>4369.8249999999998</v>
      </c>
      <c r="M165" s="13">
        <f>+'Curv hora 2029 - 2033 (100%)'!M165*0.5</f>
        <v>5081.9799999999996</v>
      </c>
      <c r="N165" s="13">
        <f>+'Curv hora 2029 - 2033 (100%)'!N165*0.5</f>
        <v>5514.13</v>
      </c>
      <c r="O165" s="13">
        <f>+'Curv hora 2029 - 2033 (100%)'!O165*0.5</f>
        <v>5982.1949999999997</v>
      </c>
      <c r="P165" s="13">
        <f>+'Curv hora 2029 - 2033 (100%)'!P165*0.5</f>
        <v>6310.7250000000004</v>
      </c>
      <c r="Q165" s="13">
        <f>+'Curv hora 2029 - 2033 (100%)'!Q165*0.5</f>
        <v>6073</v>
      </c>
      <c r="R165" s="13">
        <f>+'Curv hora 2029 - 2033 (100%)'!R165*0.5</f>
        <v>6054.35</v>
      </c>
      <c r="S165" s="13">
        <f>+'Curv hora 2029 - 2033 (100%)'!S165*0.5</f>
        <v>6439.42</v>
      </c>
      <c r="T165" s="13">
        <f>+'Curv hora 2029 - 2033 (100%)'!T165*0.5</f>
        <v>6610.2650000000003</v>
      </c>
      <c r="U165" s="13">
        <f>+'Curv hora 2029 - 2033 (100%)'!U165*0.5</f>
        <v>6630.85</v>
      </c>
      <c r="V165" s="13">
        <f>+'Curv hora 2029 - 2033 (100%)'!V165*0.5</f>
        <v>7897.0950000000003</v>
      </c>
      <c r="W165" s="13">
        <f>+'Curv hora 2029 - 2033 (100%)'!W165*0.5</f>
        <v>8683.4449999999997</v>
      </c>
      <c r="X165" s="13">
        <f>+'Curv hora 2029 - 2033 (100%)'!X165*0.5</f>
        <v>8868.4699999999993</v>
      </c>
      <c r="Y165" s="13">
        <f>+'Curv hora 2029 - 2033 (100%)'!Y165*0.5</f>
        <v>8336.1849999999995</v>
      </c>
      <c r="Z165" s="13">
        <f>+'Curv hora 2029 - 2033 (100%)'!Z165*0.5</f>
        <v>7546.2250000000004</v>
      </c>
      <c r="AA165" s="13">
        <f>+'Curv hora 2029 - 2033 (100%)'!AA165*0.5</f>
        <v>6406.8950000000004</v>
      </c>
      <c r="AB165" s="34">
        <f>+'Curv hora 2029 - 2033 (100%)'!AB165*0.5</f>
        <v>5518.7150000000001</v>
      </c>
      <c r="AC165" s="71">
        <f>SUMPRODUCT((E165:AB167)*D165:D167)</f>
        <v>4392386.9400000004</v>
      </c>
    </row>
    <row r="166" spans="1:29" x14ac:dyDescent="0.3">
      <c r="A166" s="68"/>
      <c r="B166" s="70"/>
      <c r="C166" t="s">
        <v>37</v>
      </c>
      <c r="D166" s="11">
        <v>4</v>
      </c>
      <c r="E166" s="35">
        <f>+'Curv hora 2029 - 2033 (100%)'!E166*0.5</f>
        <v>4865.5200000000004</v>
      </c>
      <c r="F166" s="5">
        <f>+'Curv hora 2029 - 2033 (100%)'!F166*0.5</f>
        <v>4560.8900000000003</v>
      </c>
      <c r="G166" s="5">
        <f>+'Curv hora 2029 - 2033 (100%)'!G166*0.5</f>
        <v>4320.415</v>
      </c>
      <c r="H166" s="5">
        <f>+'Curv hora 2029 - 2033 (100%)'!H166*0.5</f>
        <v>4202</v>
      </c>
      <c r="I166" s="5">
        <f>+'Curv hora 2029 - 2033 (100%)'!I166*0.5</f>
        <v>4164.32</v>
      </c>
      <c r="J166" s="5">
        <f>+'Curv hora 2029 - 2033 (100%)'!J166*0.5</f>
        <v>4312.8149999999996</v>
      </c>
      <c r="K166" s="5">
        <f>+'Curv hora 2029 - 2033 (100%)'!K166*0.5</f>
        <v>4560.45</v>
      </c>
      <c r="L166" s="5">
        <f>+'Curv hora 2029 - 2033 (100%)'!L166*0.5</f>
        <v>4139.01</v>
      </c>
      <c r="M166" s="5">
        <f>+'Curv hora 2029 - 2033 (100%)'!M166*0.5</f>
        <v>4884.9250000000002</v>
      </c>
      <c r="N166" s="5">
        <f>+'Curv hora 2029 - 2033 (100%)'!N166*0.5</f>
        <v>5448.91</v>
      </c>
      <c r="O166" s="5">
        <f>+'Curv hora 2029 - 2033 (100%)'!O166*0.5</f>
        <v>5817.2650000000003</v>
      </c>
      <c r="P166" s="5">
        <f>+'Curv hora 2029 - 2033 (100%)'!P166*0.5</f>
        <v>6129.7650000000003</v>
      </c>
      <c r="Q166" s="5">
        <f>+'Curv hora 2029 - 2033 (100%)'!Q166*0.5</f>
        <v>6061.32</v>
      </c>
      <c r="R166" s="5">
        <f>+'Curv hora 2029 - 2033 (100%)'!R166*0.5</f>
        <v>5904.585</v>
      </c>
      <c r="S166" s="5">
        <f>+'Curv hora 2029 - 2033 (100%)'!S166*0.5</f>
        <v>5901.08</v>
      </c>
      <c r="T166" s="5">
        <f>+'Curv hora 2029 - 2033 (100%)'!T166*0.5</f>
        <v>5953.27</v>
      </c>
      <c r="U166" s="5">
        <f>+'Curv hora 2029 - 2033 (100%)'!U166*0.5</f>
        <v>5990.6049999999996</v>
      </c>
      <c r="V166" s="5">
        <f>+'Curv hora 2029 - 2033 (100%)'!V166*0.5</f>
        <v>7368.08</v>
      </c>
      <c r="W166" s="5">
        <f>+'Curv hora 2029 - 2033 (100%)'!W166*0.5</f>
        <v>8252.5049999999992</v>
      </c>
      <c r="X166" s="5">
        <f>+'Curv hora 2029 - 2033 (100%)'!X166*0.5</f>
        <v>8402.4500000000007</v>
      </c>
      <c r="Y166" s="5">
        <f>+'Curv hora 2029 - 2033 (100%)'!Y166*0.5</f>
        <v>7920.87</v>
      </c>
      <c r="Z166" s="5">
        <f>+'Curv hora 2029 - 2033 (100%)'!Z166*0.5</f>
        <v>7322.01</v>
      </c>
      <c r="AA166" s="5">
        <f>+'Curv hora 2029 - 2033 (100%)'!AA166*0.5</f>
        <v>6475.5450000000001</v>
      </c>
      <c r="AB166" s="36">
        <f>+'Curv hora 2029 - 2033 (100%)'!AB166*0.5</f>
        <v>5724.12</v>
      </c>
      <c r="AC166" s="71"/>
    </row>
    <row r="167" spans="1:29" x14ac:dyDescent="0.3">
      <c r="A167" s="76"/>
      <c r="B167" s="77"/>
      <c r="C167" s="7" t="s">
        <v>38</v>
      </c>
      <c r="D167" s="12">
        <v>6</v>
      </c>
      <c r="E167" s="37">
        <f>+'Curv hora 2029 - 2033 (100%)'!E167*0.5</f>
        <v>5066.8100000000004</v>
      </c>
      <c r="F167" s="9">
        <f>+'Curv hora 2029 - 2033 (100%)'!F167*0.5</f>
        <v>4647.83</v>
      </c>
      <c r="G167" s="9">
        <f>+'Curv hora 2029 - 2033 (100%)'!G167*0.5</f>
        <v>4416.1400000000003</v>
      </c>
      <c r="H167" s="9">
        <f>+'Curv hora 2029 - 2033 (100%)'!H167*0.5</f>
        <v>4270.2049999999999</v>
      </c>
      <c r="I167" s="9">
        <f>+'Curv hora 2029 - 2033 (100%)'!I167*0.5</f>
        <v>4187.07</v>
      </c>
      <c r="J167" s="9">
        <f>+'Curv hora 2029 - 2033 (100%)'!J167*0.5</f>
        <v>4233.915</v>
      </c>
      <c r="K167" s="9">
        <f>+'Curv hora 2029 - 2033 (100%)'!K167*0.5</f>
        <v>4387.03</v>
      </c>
      <c r="L167" s="9">
        <f>+'Curv hora 2029 - 2033 (100%)'!L167*0.5</f>
        <v>3811.2950000000001</v>
      </c>
      <c r="M167" s="9">
        <f>+'Curv hora 2029 - 2033 (100%)'!M167*0.5</f>
        <v>4531.5249999999996</v>
      </c>
      <c r="N167" s="9">
        <f>+'Curv hora 2029 - 2033 (100%)'!N167*0.5</f>
        <v>5101.1949999999997</v>
      </c>
      <c r="O167" s="9">
        <f>+'Curv hora 2029 - 2033 (100%)'!O167*0.5</f>
        <v>5554.79</v>
      </c>
      <c r="P167" s="9">
        <f>+'Curv hora 2029 - 2033 (100%)'!P167*0.5</f>
        <v>5883.4</v>
      </c>
      <c r="Q167" s="9">
        <f>+'Curv hora 2029 - 2033 (100%)'!Q167*0.5</f>
        <v>5963.59</v>
      </c>
      <c r="R167" s="9">
        <f>+'Curv hora 2029 - 2033 (100%)'!R167*0.5</f>
        <v>5917.34</v>
      </c>
      <c r="S167" s="9">
        <f>+'Curv hora 2029 - 2033 (100%)'!S167*0.5</f>
        <v>5832.32</v>
      </c>
      <c r="T167" s="9">
        <f>+'Curv hora 2029 - 2033 (100%)'!T167*0.5</f>
        <v>6221.21</v>
      </c>
      <c r="U167" s="9">
        <f>+'Curv hora 2029 - 2033 (100%)'!U167*0.5</f>
        <v>6084.5450000000001</v>
      </c>
      <c r="V167" s="9">
        <f>+'Curv hora 2029 - 2033 (100%)'!V167*0.5</f>
        <v>7321</v>
      </c>
      <c r="W167" s="9">
        <f>+'Curv hora 2029 - 2033 (100%)'!W167*0.5</f>
        <v>7765.83</v>
      </c>
      <c r="X167" s="9">
        <f>+'Curv hora 2029 - 2033 (100%)'!X167*0.5</f>
        <v>8188.59</v>
      </c>
      <c r="Y167" s="9">
        <f>+'Curv hora 2029 - 2033 (100%)'!Y167*0.5</f>
        <v>8243.0949999999993</v>
      </c>
      <c r="Z167" s="9">
        <f>+'Curv hora 2029 - 2033 (100%)'!Z167*0.5</f>
        <v>7562.7550000000001</v>
      </c>
      <c r="AA167" s="9">
        <f>+'Curv hora 2029 - 2033 (100%)'!AA167*0.5</f>
        <v>6587.43</v>
      </c>
      <c r="AB167" s="38">
        <f>+'Curv hora 2029 - 2033 (100%)'!AB167*0.5</f>
        <v>5728.375</v>
      </c>
      <c r="AC167" s="71"/>
    </row>
    <row r="168" spans="1:29" x14ac:dyDescent="0.3">
      <c r="A168" s="67">
        <v>48731</v>
      </c>
      <c r="B168" s="69">
        <f t="shared" ref="B168" si="50">DAY(EOMONTH(A168,0))</f>
        <v>30</v>
      </c>
      <c r="C168" s="3" t="s">
        <v>36</v>
      </c>
      <c r="D168" s="10">
        <v>20</v>
      </c>
      <c r="E168" s="33">
        <f>+'Curv hora 2029 - 2033 (100%)'!E168*0.5</f>
        <v>4394.9799999999996</v>
      </c>
      <c r="F168" s="13">
        <f>+'Curv hora 2029 - 2033 (100%)'!F168*0.5</f>
        <v>4110.1099999999997</v>
      </c>
      <c r="G168" s="13">
        <f>+'Curv hora 2029 - 2033 (100%)'!G168*0.5</f>
        <v>3980.45</v>
      </c>
      <c r="H168" s="13">
        <f>+'Curv hora 2029 - 2033 (100%)'!H168*0.5</f>
        <v>3907.27</v>
      </c>
      <c r="I168" s="13">
        <f>+'Curv hora 2029 - 2033 (100%)'!I168*0.5</f>
        <v>3925.97</v>
      </c>
      <c r="J168" s="13">
        <f>+'Curv hora 2029 - 2033 (100%)'!J168*0.5</f>
        <v>4269.1450000000004</v>
      </c>
      <c r="K168" s="13">
        <f>+'Curv hora 2029 - 2033 (100%)'!K168*0.5</f>
        <v>4684.5550000000003</v>
      </c>
      <c r="L168" s="13">
        <f>+'Curv hora 2029 - 2033 (100%)'!L168*0.5</f>
        <v>4076.41</v>
      </c>
      <c r="M168" s="13">
        <f>+'Curv hora 2029 - 2033 (100%)'!M168*0.5</f>
        <v>4760.7700000000004</v>
      </c>
      <c r="N168" s="13">
        <f>+'Curv hora 2029 - 2033 (100%)'!N168*0.5</f>
        <v>5234.7550000000001</v>
      </c>
      <c r="O168" s="13">
        <f>+'Curv hora 2029 - 2033 (100%)'!O168*0.5</f>
        <v>5565.14</v>
      </c>
      <c r="P168" s="13">
        <f>+'Curv hora 2029 - 2033 (100%)'!P168*0.5</f>
        <v>5826.5050000000001</v>
      </c>
      <c r="Q168" s="13">
        <f>+'Curv hora 2029 - 2033 (100%)'!Q168*0.5</f>
        <v>5551.5550000000003</v>
      </c>
      <c r="R168" s="13">
        <f>+'Curv hora 2029 - 2033 (100%)'!R168*0.5</f>
        <v>5586.79</v>
      </c>
      <c r="S168" s="13">
        <f>+'Curv hora 2029 - 2033 (100%)'!S168*0.5</f>
        <v>5955.91</v>
      </c>
      <c r="T168" s="13">
        <f>+'Curv hora 2029 - 2033 (100%)'!T168*0.5</f>
        <v>6071.1949999999997</v>
      </c>
      <c r="U168" s="13">
        <f>+'Curv hora 2029 - 2033 (100%)'!U168*0.5</f>
        <v>6143.0550000000003</v>
      </c>
      <c r="V168" s="13">
        <f>+'Curv hora 2029 - 2033 (100%)'!V168*0.5</f>
        <v>7418.78</v>
      </c>
      <c r="W168" s="13">
        <f>+'Curv hora 2029 - 2033 (100%)'!W168*0.5</f>
        <v>8109.85</v>
      </c>
      <c r="X168" s="13">
        <f>+'Curv hora 2029 - 2033 (100%)'!X168*0.5</f>
        <v>8309.64</v>
      </c>
      <c r="Y168" s="13">
        <f>+'Curv hora 2029 - 2033 (100%)'!Y168*0.5</f>
        <v>7750.1</v>
      </c>
      <c r="Z168" s="13">
        <f>+'Curv hora 2029 - 2033 (100%)'!Z168*0.5</f>
        <v>6922.7550000000001</v>
      </c>
      <c r="AA168" s="13">
        <f>+'Curv hora 2029 - 2033 (100%)'!AA168*0.5</f>
        <v>5875.4650000000001</v>
      </c>
      <c r="AB168" s="34">
        <f>+'Curv hora 2029 - 2033 (100%)'!AB168*0.5</f>
        <v>5021.915</v>
      </c>
      <c r="AC168" s="71">
        <f>SUMPRODUCT((E168:AB170)*D168:D170)</f>
        <v>3971221.8599999994</v>
      </c>
    </row>
    <row r="169" spans="1:29" x14ac:dyDescent="0.3">
      <c r="A169" s="68"/>
      <c r="B169" s="70"/>
      <c r="C169" t="s">
        <v>37</v>
      </c>
      <c r="D169" s="11">
        <v>4</v>
      </c>
      <c r="E169" s="35">
        <f>+'Curv hora 2029 - 2033 (100%)'!E169*0.5</f>
        <v>4523.29</v>
      </c>
      <c r="F169" s="5">
        <f>+'Curv hora 2029 - 2033 (100%)'!F169*0.5</f>
        <v>4180.8500000000004</v>
      </c>
      <c r="G169" s="5">
        <f>+'Curv hora 2029 - 2033 (100%)'!G169*0.5</f>
        <v>3958.4349999999999</v>
      </c>
      <c r="H169" s="5">
        <f>+'Curv hora 2029 - 2033 (100%)'!H169*0.5</f>
        <v>3849.24</v>
      </c>
      <c r="I169" s="5">
        <f>+'Curv hora 2029 - 2033 (100%)'!I169*0.5</f>
        <v>3856.3150000000001</v>
      </c>
      <c r="J169" s="5">
        <f>+'Curv hora 2029 - 2033 (100%)'!J169*0.5</f>
        <v>3976.22</v>
      </c>
      <c r="K169" s="5">
        <f>+'Curv hora 2029 - 2033 (100%)'!K169*0.5</f>
        <v>4236</v>
      </c>
      <c r="L169" s="5">
        <f>+'Curv hora 2029 - 2033 (100%)'!L169*0.5</f>
        <v>3814.5349999999999</v>
      </c>
      <c r="M169" s="5">
        <f>+'Curv hora 2029 - 2033 (100%)'!M169*0.5</f>
        <v>4744.585</v>
      </c>
      <c r="N169" s="5">
        <f>+'Curv hora 2029 - 2033 (100%)'!N169*0.5</f>
        <v>5423.92</v>
      </c>
      <c r="O169" s="5">
        <f>+'Curv hora 2029 - 2033 (100%)'!O169*0.5</f>
        <v>5825.9849999999997</v>
      </c>
      <c r="P169" s="5">
        <f>+'Curv hora 2029 - 2033 (100%)'!P169*0.5</f>
        <v>6086.7</v>
      </c>
      <c r="Q169" s="5">
        <f>+'Curv hora 2029 - 2033 (100%)'!Q169*0.5</f>
        <v>5964.3050000000003</v>
      </c>
      <c r="R169" s="5">
        <f>+'Curv hora 2029 - 2033 (100%)'!R169*0.5</f>
        <v>5913.7</v>
      </c>
      <c r="S169" s="5">
        <f>+'Curv hora 2029 - 2033 (100%)'!S169*0.5</f>
        <v>5933.5349999999999</v>
      </c>
      <c r="T169" s="5">
        <f>+'Curv hora 2029 - 2033 (100%)'!T169*0.5</f>
        <v>5850.95</v>
      </c>
      <c r="U169" s="5">
        <f>+'Curv hora 2029 - 2033 (100%)'!U169*0.5</f>
        <v>5841.81</v>
      </c>
      <c r="V169" s="5">
        <f>+'Curv hora 2029 - 2033 (100%)'!V169*0.5</f>
        <v>7148.5950000000003</v>
      </c>
      <c r="W169" s="5">
        <f>+'Curv hora 2029 - 2033 (100%)'!W169*0.5</f>
        <v>7992.83</v>
      </c>
      <c r="X169" s="5">
        <f>+'Curv hora 2029 - 2033 (100%)'!X169*0.5</f>
        <v>8190.12</v>
      </c>
      <c r="Y169" s="5">
        <f>+'Curv hora 2029 - 2033 (100%)'!Y169*0.5</f>
        <v>7653.42</v>
      </c>
      <c r="Z169" s="5">
        <f>+'Curv hora 2029 - 2033 (100%)'!Z169*0.5</f>
        <v>6985.6850000000004</v>
      </c>
      <c r="AA169" s="5">
        <f>+'Curv hora 2029 - 2033 (100%)'!AA169*0.5</f>
        <v>6153.9849999999997</v>
      </c>
      <c r="AB169" s="36">
        <f>+'Curv hora 2029 - 2033 (100%)'!AB169*0.5</f>
        <v>5378.1949999999997</v>
      </c>
      <c r="AC169" s="71"/>
    </row>
    <row r="170" spans="1:29" x14ac:dyDescent="0.3">
      <c r="A170" s="76"/>
      <c r="B170" s="77"/>
      <c r="C170" s="7" t="s">
        <v>38</v>
      </c>
      <c r="D170" s="12">
        <v>6</v>
      </c>
      <c r="E170" s="37">
        <f>+'Curv hora 2029 - 2033 (100%)'!E170*0.5</f>
        <v>4573.47</v>
      </c>
      <c r="F170" s="9">
        <f>+'Curv hora 2029 - 2033 (100%)'!F170*0.5</f>
        <v>4277.3100000000004</v>
      </c>
      <c r="G170" s="9">
        <f>+'Curv hora 2029 - 2033 (100%)'!G170*0.5</f>
        <v>4067.0050000000001</v>
      </c>
      <c r="H170" s="9">
        <f>+'Curv hora 2029 - 2033 (100%)'!H170*0.5</f>
        <v>3953.92</v>
      </c>
      <c r="I170" s="9">
        <f>+'Curv hora 2029 - 2033 (100%)'!I170*0.5</f>
        <v>3887.41</v>
      </c>
      <c r="J170" s="9">
        <f>+'Curv hora 2029 - 2033 (100%)'!J170*0.5</f>
        <v>3922.2249999999999</v>
      </c>
      <c r="K170" s="9">
        <f>+'Curv hora 2029 - 2033 (100%)'!K170*0.5</f>
        <v>4062.54</v>
      </c>
      <c r="L170" s="9">
        <f>+'Curv hora 2029 - 2033 (100%)'!L170*0.5</f>
        <v>3533.4850000000001</v>
      </c>
      <c r="M170" s="9">
        <f>+'Curv hora 2029 - 2033 (100%)'!M170*0.5</f>
        <v>4371.04</v>
      </c>
      <c r="N170" s="9">
        <f>+'Curv hora 2029 - 2033 (100%)'!N170*0.5</f>
        <v>4886.75</v>
      </c>
      <c r="O170" s="9">
        <f>+'Curv hora 2029 - 2033 (100%)'!O170*0.5</f>
        <v>5336.875</v>
      </c>
      <c r="P170" s="9">
        <f>+'Curv hora 2029 - 2033 (100%)'!P170*0.5</f>
        <v>5650.7650000000003</v>
      </c>
      <c r="Q170" s="9">
        <f>+'Curv hora 2029 - 2033 (100%)'!Q170*0.5</f>
        <v>5844.8950000000004</v>
      </c>
      <c r="R170" s="9">
        <f>+'Curv hora 2029 - 2033 (100%)'!R170*0.5</f>
        <v>5805</v>
      </c>
      <c r="S170" s="9">
        <f>+'Curv hora 2029 - 2033 (100%)'!S170*0.5</f>
        <v>5694.17</v>
      </c>
      <c r="T170" s="9">
        <f>+'Curv hora 2029 - 2033 (100%)'!T170*0.5</f>
        <v>5510.5550000000003</v>
      </c>
      <c r="U170" s="9">
        <f>+'Curv hora 2029 - 2033 (100%)'!U170*0.5</f>
        <v>5403.43</v>
      </c>
      <c r="V170" s="9">
        <f>+'Curv hora 2029 - 2033 (100%)'!V170*0.5</f>
        <v>6849.0349999999999</v>
      </c>
      <c r="W170" s="9">
        <f>+'Curv hora 2029 - 2033 (100%)'!W170*0.5</f>
        <v>7584.71</v>
      </c>
      <c r="X170" s="9">
        <f>+'Curv hora 2029 - 2033 (100%)'!X170*0.5</f>
        <v>7741.8950000000004</v>
      </c>
      <c r="Y170" s="9">
        <f>+'Curv hora 2029 - 2033 (100%)'!Y170*0.5</f>
        <v>7424.93</v>
      </c>
      <c r="Z170" s="9">
        <f>+'Curv hora 2029 - 2033 (100%)'!Z170*0.5</f>
        <v>6774.22</v>
      </c>
      <c r="AA170" s="9">
        <f>+'Curv hora 2029 - 2033 (100%)'!AA170*0.5</f>
        <v>5840.9250000000002</v>
      </c>
      <c r="AB170" s="38">
        <f>+'Curv hora 2029 - 2033 (100%)'!AB170*0.5</f>
        <v>5041.38</v>
      </c>
      <c r="AC170" s="71"/>
    </row>
    <row r="171" spans="1:29" x14ac:dyDescent="0.3">
      <c r="A171" s="67">
        <v>48761</v>
      </c>
      <c r="B171" s="69">
        <f t="shared" ref="B171" si="51">DAY(EOMONTH(A171,0))</f>
        <v>31</v>
      </c>
      <c r="C171" s="3" t="s">
        <v>36</v>
      </c>
      <c r="D171" s="10">
        <v>19</v>
      </c>
      <c r="E171" s="33">
        <f>+'Curv hora 2029 - 2033 (100%)'!E171*0.5</f>
        <v>4569.0649999999996</v>
      </c>
      <c r="F171" s="13">
        <f>+'Curv hora 2029 - 2033 (100%)'!F171*0.5</f>
        <v>4270.7749999999996</v>
      </c>
      <c r="G171" s="13">
        <f>+'Curv hora 2029 - 2033 (100%)'!G171*0.5</f>
        <v>4113.665</v>
      </c>
      <c r="H171" s="13">
        <f>+'Curv hora 2029 - 2033 (100%)'!H171*0.5</f>
        <v>4021.06</v>
      </c>
      <c r="I171" s="13">
        <f>+'Curv hora 2029 - 2033 (100%)'!I171*0.5</f>
        <v>4035.0450000000001</v>
      </c>
      <c r="J171" s="13">
        <f>+'Curv hora 2029 - 2033 (100%)'!J171*0.5</f>
        <v>4378.05</v>
      </c>
      <c r="K171" s="13">
        <f>+'Curv hora 2029 - 2033 (100%)'!K171*0.5</f>
        <v>4772.1450000000004</v>
      </c>
      <c r="L171" s="13">
        <f>+'Curv hora 2029 - 2033 (100%)'!L171*0.5</f>
        <v>4219.2849999999999</v>
      </c>
      <c r="M171" s="13">
        <f>+'Curv hora 2029 - 2033 (100%)'!M171*0.5</f>
        <v>5007.6949999999997</v>
      </c>
      <c r="N171" s="13">
        <f>+'Curv hora 2029 - 2033 (100%)'!N171*0.5</f>
        <v>5502.75</v>
      </c>
      <c r="O171" s="13">
        <f>+'Curv hora 2029 - 2033 (100%)'!O171*0.5</f>
        <v>5911.45</v>
      </c>
      <c r="P171" s="13">
        <f>+'Curv hora 2029 - 2033 (100%)'!P171*0.5</f>
        <v>6308.93</v>
      </c>
      <c r="Q171" s="13">
        <f>+'Curv hora 2029 - 2033 (100%)'!Q171*0.5</f>
        <v>6144.51</v>
      </c>
      <c r="R171" s="13">
        <f>+'Curv hora 2029 - 2033 (100%)'!R171*0.5</f>
        <v>6137.9</v>
      </c>
      <c r="S171" s="13">
        <f>+'Curv hora 2029 - 2033 (100%)'!S171*0.5</f>
        <v>6520.41</v>
      </c>
      <c r="T171" s="13">
        <f>+'Curv hora 2029 - 2033 (100%)'!T171*0.5</f>
        <v>6721.8950000000004</v>
      </c>
      <c r="U171" s="13">
        <f>+'Curv hora 2029 - 2033 (100%)'!U171*0.5</f>
        <v>6728.2749999999996</v>
      </c>
      <c r="V171" s="13">
        <f>+'Curv hora 2029 - 2033 (100%)'!V171*0.5</f>
        <v>7982.5</v>
      </c>
      <c r="W171" s="13">
        <f>+'Curv hora 2029 - 2033 (100%)'!W171*0.5</f>
        <v>8553.2199999999993</v>
      </c>
      <c r="X171" s="13">
        <f>+'Curv hora 2029 - 2033 (100%)'!X171*0.5</f>
        <v>8836.4850000000006</v>
      </c>
      <c r="Y171" s="13">
        <f>+'Curv hora 2029 - 2033 (100%)'!Y171*0.5</f>
        <v>8280.43</v>
      </c>
      <c r="Z171" s="13">
        <f>+'Curv hora 2029 - 2033 (100%)'!Z171*0.5</f>
        <v>7456.9650000000001</v>
      </c>
      <c r="AA171" s="13">
        <f>+'Curv hora 2029 - 2033 (100%)'!AA171*0.5</f>
        <v>6335.13</v>
      </c>
      <c r="AB171" s="34">
        <f>+'Curv hora 2029 - 2033 (100%)'!AB171*0.5</f>
        <v>5401.3450000000003</v>
      </c>
      <c r="AC171" s="71">
        <f t="shared" ref="AC171" si="52">SUMPRODUCT((E171:AB173)*D171:D173)</f>
        <v>4274416.42</v>
      </c>
    </row>
    <row r="172" spans="1:29" x14ac:dyDescent="0.3">
      <c r="A172" s="68"/>
      <c r="B172" s="70"/>
      <c r="C172" t="s">
        <v>37</v>
      </c>
      <c r="D172" s="11">
        <v>5</v>
      </c>
      <c r="E172" s="35">
        <f>+'Curv hora 2029 - 2033 (100%)'!E172*0.5</f>
        <v>4670.375</v>
      </c>
      <c r="F172" s="5">
        <f>+'Curv hora 2029 - 2033 (100%)'!F172*0.5</f>
        <v>4339.83</v>
      </c>
      <c r="G172" s="5">
        <f>+'Curv hora 2029 - 2033 (100%)'!G172*0.5</f>
        <v>4137.88</v>
      </c>
      <c r="H172" s="5">
        <f>+'Curv hora 2029 - 2033 (100%)'!H172*0.5</f>
        <v>4046.99</v>
      </c>
      <c r="I172" s="5">
        <f>+'Curv hora 2029 - 2033 (100%)'!I172*0.5</f>
        <v>4010.42</v>
      </c>
      <c r="J172" s="5">
        <f>+'Curv hora 2029 - 2033 (100%)'!J172*0.5</f>
        <v>4142.18</v>
      </c>
      <c r="K172" s="5">
        <f>+'Curv hora 2029 - 2033 (100%)'!K172*0.5</f>
        <v>4352.6400000000003</v>
      </c>
      <c r="L172" s="5">
        <f>+'Curv hora 2029 - 2033 (100%)'!L172*0.5</f>
        <v>3983.69</v>
      </c>
      <c r="M172" s="5">
        <f>+'Curv hora 2029 - 2033 (100%)'!M172*0.5</f>
        <v>4824.9549999999999</v>
      </c>
      <c r="N172" s="5">
        <f>+'Curv hora 2029 - 2033 (100%)'!N172*0.5</f>
        <v>5388.84</v>
      </c>
      <c r="O172" s="5">
        <f>+'Curv hora 2029 - 2033 (100%)'!O172*0.5</f>
        <v>5757.6750000000002</v>
      </c>
      <c r="P172" s="5">
        <f>+'Curv hora 2029 - 2033 (100%)'!P172*0.5</f>
        <v>6064.625</v>
      </c>
      <c r="Q172" s="5">
        <f>+'Curv hora 2029 - 2033 (100%)'!Q172*0.5</f>
        <v>5934.835</v>
      </c>
      <c r="R172" s="5">
        <f>+'Curv hora 2029 - 2033 (100%)'!R172*0.5</f>
        <v>5870.585</v>
      </c>
      <c r="S172" s="5">
        <f>+'Curv hora 2029 - 2033 (100%)'!S172*0.5</f>
        <v>5945.95</v>
      </c>
      <c r="T172" s="5">
        <f>+'Curv hora 2029 - 2033 (100%)'!T172*0.5</f>
        <v>6076.8850000000002</v>
      </c>
      <c r="U172" s="5">
        <f>+'Curv hora 2029 - 2033 (100%)'!U172*0.5</f>
        <v>6026.32</v>
      </c>
      <c r="V172" s="5">
        <f>+'Curv hora 2029 - 2033 (100%)'!V172*0.5</f>
        <v>7265.1450000000004</v>
      </c>
      <c r="W172" s="5">
        <f>+'Curv hora 2029 - 2033 (100%)'!W172*0.5</f>
        <v>8062.9049999999997</v>
      </c>
      <c r="X172" s="5">
        <f>+'Curv hora 2029 - 2033 (100%)'!X172*0.5</f>
        <v>8429.2950000000001</v>
      </c>
      <c r="Y172" s="5">
        <f>+'Curv hora 2029 - 2033 (100%)'!Y172*0.5</f>
        <v>7869.335</v>
      </c>
      <c r="Z172" s="5">
        <f>+'Curv hora 2029 - 2033 (100%)'!Z172*0.5</f>
        <v>7119.75</v>
      </c>
      <c r="AA172" s="5">
        <f>+'Curv hora 2029 - 2033 (100%)'!AA172*0.5</f>
        <v>6228.8249999999998</v>
      </c>
      <c r="AB172" s="36">
        <f>+'Curv hora 2029 - 2033 (100%)'!AB172*0.5</f>
        <v>5370.84</v>
      </c>
      <c r="AC172" s="71"/>
    </row>
    <row r="173" spans="1:29" x14ac:dyDescent="0.3">
      <c r="A173" s="76"/>
      <c r="B173" s="77"/>
      <c r="C173" s="7" t="s">
        <v>38</v>
      </c>
      <c r="D173" s="12">
        <v>7</v>
      </c>
      <c r="E173" s="37">
        <f>+'Curv hora 2029 - 2033 (100%)'!E173*0.5</f>
        <v>4668.3450000000003</v>
      </c>
      <c r="F173" s="9">
        <f>+'Curv hora 2029 - 2033 (100%)'!F173*0.5</f>
        <v>4340.5649999999996</v>
      </c>
      <c r="G173" s="9">
        <f>+'Curv hora 2029 - 2033 (100%)'!G173*0.5</f>
        <v>4122.6400000000003</v>
      </c>
      <c r="H173" s="9">
        <f>+'Curv hora 2029 - 2033 (100%)'!H173*0.5</f>
        <v>3994.6550000000002</v>
      </c>
      <c r="I173" s="9">
        <f>+'Curv hora 2029 - 2033 (100%)'!I173*0.5</f>
        <v>3933.9850000000001</v>
      </c>
      <c r="J173" s="9">
        <f>+'Curv hora 2029 - 2033 (100%)'!J173*0.5</f>
        <v>4001.59</v>
      </c>
      <c r="K173" s="9">
        <f>+'Curv hora 2029 - 2033 (100%)'!K173*0.5</f>
        <v>4122.8</v>
      </c>
      <c r="L173" s="9">
        <f>+'Curv hora 2029 - 2033 (100%)'!L173*0.5</f>
        <v>3610.14</v>
      </c>
      <c r="M173" s="9">
        <f>+'Curv hora 2029 - 2033 (100%)'!M173*0.5</f>
        <v>4332.5150000000003</v>
      </c>
      <c r="N173" s="9">
        <f>+'Curv hora 2029 - 2033 (100%)'!N173*0.5</f>
        <v>4875.5</v>
      </c>
      <c r="O173" s="9">
        <f>+'Curv hora 2029 - 2033 (100%)'!O173*0.5</f>
        <v>5208.8999999999996</v>
      </c>
      <c r="P173" s="9">
        <f>+'Curv hora 2029 - 2033 (100%)'!P173*0.5</f>
        <v>5495.58</v>
      </c>
      <c r="Q173" s="9">
        <f>+'Curv hora 2029 - 2033 (100%)'!Q173*0.5</f>
        <v>5611.3450000000003</v>
      </c>
      <c r="R173" s="9">
        <f>+'Curv hora 2029 - 2033 (100%)'!R173*0.5</f>
        <v>5599.36</v>
      </c>
      <c r="S173" s="9">
        <f>+'Curv hora 2029 - 2033 (100%)'!S173*0.5</f>
        <v>5596.02</v>
      </c>
      <c r="T173" s="9">
        <f>+'Curv hora 2029 - 2033 (100%)'!T173*0.5</f>
        <v>5461.2</v>
      </c>
      <c r="U173" s="9">
        <f>+'Curv hora 2029 - 2033 (100%)'!U173*0.5</f>
        <v>5391.0550000000003</v>
      </c>
      <c r="V173" s="9">
        <f>+'Curv hora 2029 - 2033 (100%)'!V173*0.5</f>
        <v>6568.4949999999999</v>
      </c>
      <c r="W173" s="9">
        <f>+'Curv hora 2029 - 2033 (100%)'!W173*0.5</f>
        <v>7352.16</v>
      </c>
      <c r="X173" s="9">
        <f>+'Curv hora 2029 - 2033 (100%)'!X173*0.5</f>
        <v>7818.2550000000001</v>
      </c>
      <c r="Y173" s="9">
        <f>+'Curv hora 2029 - 2033 (100%)'!Y173*0.5</f>
        <v>7460.14</v>
      </c>
      <c r="Z173" s="9">
        <f>+'Curv hora 2029 - 2033 (100%)'!Z173*0.5</f>
        <v>6840.87</v>
      </c>
      <c r="AA173" s="9">
        <f>+'Curv hora 2029 - 2033 (100%)'!AA173*0.5</f>
        <v>5954.085</v>
      </c>
      <c r="AB173" s="38">
        <f>+'Curv hora 2029 - 2033 (100%)'!AB173*0.5</f>
        <v>5188.6499999999996</v>
      </c>
      <c r="AC173" s="71"/>
    </row>
    <row r="174" spans="1:29" x14ac:dyDescent="0.3">
      <c r="A174" s="67">
        <v>48792</v>
      </c>
      <c r="B174" s="69">
        <f t="shared" ref="B174" si="53">DAY(EOMONTH(A174,0))</f>
        <v>31</v>
      </c>
      <c r="C174" s="3" t="s">
        <v>36</v>
      </c>
      <c r="D174" s="10">
        <v>22</v>
      </c>
      <c r="E174" s="33">
        <f>+'Curv hora 2029 - 2033 (100%)'!E174*0.5</f>
        <v>4792.5</v>
      </c>
      <c r="F174" s="13">
        <f>+'Curv hora 2029 - 2033 (100%)'!F174*0.5</f>
        <v>4518.3</v>
      </c>
      <c r="G174" s="13">
        <f>+'Curv hora 2029 - 2033 (100%)'!G174*0.5</f>
        <v>4348.7950000000001</v>
      </c>
      <c r="H174" s="13">
        <f>+'Curv hora 2029 - 2033 (100%)'!H174*0.5</f>
        <v>4241.3500000000004</v>
      </c>
      <c r="I174" s="13">
        <f>+'Curv hora 2029 - 2033 (100%)'!I174*0.5</f>
        <v>4255.5349999999999</v>
      </c>
      <c r="J174" s="13">
        <f>+'Curv hora 2029 - 2033 (100%)'!J174*0.5</f>
        <v>4440.415</v>
      </c>
      <c r="K174" s="13">
        <f>+'Curv hora 2029 - 2033 (100%)'!K174*0.5</f>
        <v>4951.625</v>
      </c>
      <c r="L174" s="13">
        <f>+'Curv hora 2029 - 2033 (100%)'!L174*0.5</f>
        <v>4409.38</v>
      </c>
      <c r="M174" s="13">
        <f>+'Curv hora 2029 - 2033 (100%)'!M174*0.5</f>
        <v>5116.6400000000003</v>
      </c>
      <c r="N174" s="13">
        <f>+'Curv hora 2029 - 2033 (100%)'!N174*0.5</f>
        <v>5635.8649999999998</v>
      </c>
      <c r="O174" s="13">
        <f>+'Curv hora 2029 - 2033 (100%)'!O174*0.5</f>
        <v>6137.2849999999999</v>
      </c>
      <c r="P174" s="13">
        <f>+'Curv hora 2029 - 2033 (100%)'!P174*0.5</f>
        <v>6507.75</v>
      </c>
      <c r="Q174" s="13">
        <f>+'Curv hora 2029 - 2033 (100%)'!Q174*0.5</f>
        <v>6423.1350000000002</v>
      </c>
      <c r="R174" s="13">
        <f>+'Curv hora 2029 - 2033 (100%)'!R174*0.5</f>
        <v>6586.4750000000004</v>
      </c>
      <c r="S174" s="13">
        <f>+'Curv hora 2029 - 2033 (100%)'!S174*0.5</f>
        <v>7096.2349999999997</v>
      </c>
      <c r="T174" s="13">
        <f>+'Curv hora 2029 - 2033 (100%)'!T174*0.5</f>
        <v>7403.7449999999999</v>
      </c>
      <c r="U174" s="13">
        <f>+'Curv hora 2029 - 2033 (100%)'!U174*0.5</f>
        <v>7399.3950000000004</v>
      </c>
      <c r="V174" s="13">
        <f>+'Curv hora 2029 - 2033 (100%)'!V174*0.5</f>
        <v>8355.5400000000009</v>
      </c>
      <c r="W174" s="13">
        <f>+'Curv hora 2029 - 2033 (100%)'!W174*0.5</f>
        <v>8948.5</v>
      </c>
      <c r="X174" s="13">
        <f>+'Curv hora 2029 - 2033 (100%)'!X174*0.5</f>
        <v>9395.42</v>
      </c>
      <c r="Y174" s="13">
        <f>+'Curv hora 2029 - 2033 (100%)'!Y174*0.5</f>
        <v>8850.99</v>
      </c>
      <c r="Z174" s="13">
        <f>+'Curv hora 2029 - 2033 (100%)'!Z174*0.5</f>
        <v>7996.45</v>
      </c>
      <c r="AA174" s="13">
        <f>+'Curv hora 2029 - 2033 (100%)'!AA174*0.5</f>
        <v>6819.4350000000004</v>
      </c>
      <c r="AB174" s="34">
        <f>+'Curv hora 2029 - 2033 (100%)'!AB174*0.5</f>
        <v>5819.9949999999999</v>
      </c>
      <c r="AC174" s="71">
        <f t="shared" ref="AC174" si="54">SUMPRODUCT((E174:AB176)*D174:D176)</f>
        <v>4615752.209999999</v>
      </c>
    </row>
    <row r="175" spans="1:29" x14ac:dyDescent="0.3">
      <c r="A175" s="68"/>
      <c r="B175" s="70"/>
      <c r="C175" t="s">
        <v>37</v>
      </c>
      <c r="D175" s="11">
        <v>4</v>
      </c>
      <c r="E175" s="35">
        <f>+'Curv hora 2029 - 2033 (100%)'!E175*0.5</f>
        <v>5309.7550000000001</v>
      </c>
      <c r="F175" s="5">
        <f>+'Curv hora 2029 - 2033 (100%)'!F175*0.5</f>
        <v>4948.1899999999996</v>
      </c>
      <c r="G175" s="5">
        <f>+'Curv hora 2029 - 2033 (100%)'!G175*0.5</f>
        <v>4472.3450000000003</v>
      </c>
      <c r="H175" s="5">
        <f>+'Curv hora 2029 - 2033 (100%)'!H175*0.5</f>
        <v>4655.5600000000004</v>
      </c>
      <c r="I175" s="5">
        <f>+'Curv hora 2029 - 2033 (100%)'!I175*0.5</f>
        <v>4498.8900000000003</v>
      </c>
      <c r="J175" s="5">
        <f>+'Curv hora 2029 - 2033 (100%)'!J175*0.5</f>
        <v>4577.3100000000004</v>
      </c>
      <c r="K175" s="5">
        <f>+'Curv hora 2029 - 2033 (100%)'!K175*0.5</f>
        <v>4761.7449999999999</v>
      </c>
      <c r="L175" s="5">
        <f>+'Curv hora 2029 - 2033 (100%)'!L175*0.5</f>
        <v>4608.26</v>
      </c>
      <c r="M175" s="5">
        <f>+'Curv hora 2029 - 2033 (100%)'!M175*0.5</f>
        <v>5427.0950000000003</v>
      </c>
      <c r="N175" s="5">
        <f>+'Curv hora 2029 - 2033 (100%)'!N175*0.5</f>
        <v>6126.9</v>
      </c>
      <c r="O175" s="5">
        <f>+'Curv hora 2029 - 2033 (100%)'!O175*0.5</f>
        <v>6630.3149999999996</v>
      </c>
      <c r="P175" s="5">
        <f>+'Curv hora 2029 - 2033 (100%)'!P175*0.5</f>
        <v>7035.2250000000004</v>
      </c>
      <c r="Q175" s="5">
        <f>+'Curv hora 2029 - 2033 (100%)'!Q175*0.5</f>
        <v>6966.09</v>
      </c>
      <c r="R175" s="5">
        <f>+'Curv hora 2029 - 2033 (100%)'!R175*0.5</f>
        <v>6944.61</v>
      </c>
      <c r="S175" s="5">
        <f>+'Curv hora 2029 - 2033 (100%)'!S175*0.5</f>
        <v>7040.45</v>
      </c>
      <c r="T175" s="5">
        <f>+'Curv hora 2029 - 2033 (100%)'!T175*0.5</f>
        <v>6905.4549999999999</v>
      </c>
      <c r="U175" s="5">
        <f>+'Curv hora 2029 - 2033 (100%)'!U175*0.5</f>
        <v>6917.19</v>
      </c>
      <c r="V175" s="5">
        <f>+'Curv hora 2029 - 2033 (100%)'!V175*0.5</f>
        <v>8041.875</v>
      </c>
      <c r="W175" s="5">
        <f>+'Curv hora 2029 - 2033 (100%)'!W175*0.5</f>
        <v>8872.15</v>
      </c>
      <c r="X175" s="5">
        <f>+'Curv hora 2029 - 2033 (100%)'!X175*0.5</f>
        <v>9205.84</v>
      </c>
      <c r="Y175" s="5">
        <f>+'Curv hora 2029 - 2033 (100%)'!Y175*0.5</f>
        <v>8652.3150000000005</v>
      </c>
      <c r="Z175" s="5">
        <f>+'Curv hora 2029 - 2033 (100%)'!Z175*0.5</f>
        <v>7966.86</v>
      </c>
      <c r="AA175" s="5">
        <f>+'Curv hora 2029 - 2033 (100%)'!AA175*0.5</f>
        <v>7043.59</v>
      </c>
      <c r="AB175" s="36">
        <f>+'Curv hora 2029 - 2033 (100%)'!AB175*0.5</f>
        <v>6267.06</v>
      </c>
      <c r="AC175" s="71"/>
    </row>
    <row r="176" spans="1:29" x14ac:dyDescent="0.3">
      <c r="A176" s="76"/>
      <c r="B176" s="77"/>
      <c r="C176" s="7" t="s">
        <v>38</v>
      </c>
      <c r="D176" s="12">
        <v>5</v>
      </c>
      <c r="E176" s="37">
        <f>+'Curv hora 2029 - 2033 (100%)'!E176*0.5</f>
        <v>5197.2950000000001</v>
      </c>
      <c r="F176" s="9">
        <f>+'Curv hora 2029 - 2033 (100%)'!F176*0.5</f>
        <v>4827.835</v>
      </c>
      <c r="G176" s="9">
        <f>+'Curv hora 2029 - 2033 (100%)'!G176*0.5</f>
        <v>4591.26</v>
      </c>
      <c r="H176" s="9">
        <f>+'Curv hora 2029 - 2033 (100%)'!H176*0.5</f>
        <v>4446.3599999999997</v>
      </c>
      <c r="I176" s="9">
        <f>+'Curv hora 2029 - 2033 (100%)'!I176*0.5</f>
        <v>4285.76</v>
      </c>
      <c r="J176" s="9">
        <f>+'Curv hora 2029 - 2033 (100%)'!J176*0.5</f>
        <v>4369.9799999999996</v>
      </c>
      <c r="K176" s="9">
        <f>+'Curv hora 2029 - 2033 (100%)'!K176*0.5</f>
        <v>4569.6450000000004</v>
      </c>
      <c r="L176" s="9">
        <f>+'Curv hora 2029 - 2033 (100%)'!L176*0.5</f>
        <v>4000.27</v>
      </c>
      <c r="M176" s="9">
        <f>+'Curv hora 2029 - 2033 (100%)'!M176*0.5</f>
        <v>4723.2299999999996</v>
      </c>
      <c r="N176" s="9">
        <f>+'Curv hora 2029 - 2033 (100%)'!N176*0.5</f>
        <v>5158.3900000000003</v>
      </c>
      <c r="O176" s="9">
        <f>+'Curv hora 2029 - 2033 (100%)'!O176*0.5</f>
        <v>5558.77</v>
      </c>
      <c r="P176" s="9">
        <f>+'Curv hora 2029 - 2033 (100%)'!P176*0.5</f>
        <v>6115.3850000000002</v>
      </c>
      <c r="Q176" s="9">
        <f>+'Curv hora 2029 - 2033 (100%)'!Q176*0.5</f>
        <v>6055.2449999999999</v>
      </c>
      <c r="R176" s="9">
        <f>+'Curv hora 2029 - 2033 (100%)'!R176*0.5</f>
        <v>5907.84</v>
      </c>
      <c r="S176" s="9">
        <f>+'Curv hora 2029 - 2033 (100%)'!S176*0.5</f>
        <v>5924.83</v>
      </c>
      <c r="T176" s="9">
        <f>+'Curv hora 2029 - 2033 (100%)'!T176*0.5</f>
        <v>5767.23</v>
      </c>
      <c r="U176" s="9">
        <f>+'Curv hora 2029 - 2033 (100%)'!U176*0.5</f>
        <v>5816.3649999999998</v>
      </c>
      <c r="V176" s="9">
        <f>+'Curv hora 2029 - 2033 (100%)'!V176*0.5</f>
        <v>7167.25</v>
      </c>
      <c r="W176" s="9">
        <f>+'Curv hora 2029 - 2033 (100%)'!W176*0.5</f>
        <v>8085.9</v>
      </c>
      <c r="X176" s="9">
        <f>+'Curv hora 2029 - 2033 (100%)'!X176*0.5</f>
        <v>8309.1849999999995</v>
      </c>
      <c r="Y176" s="9">
        <f>+'Curv hora 2029 - 2033 (100%)'!Y176*0.5</f>
        <v>7895.23</v>
      </c>
      <c r="Z176" s="9">
        <f>+'Curv hora 2029 - 2033 (100%)'!Z176*0.5</f>
        <v>7346</v>
      </c>
      <c r="AA176" s="9">
        <f>+'Curv hora 2029 - 2033 (100%)'!AA176*0.5</f>
        <v>6378.63</v>
      </c>
      <c r="AB176" s="38">
        <f>+'Curv hora 2029 - 2033 (100%)'!AB176*0.5</f>
        <v>5569.1750000000002</v>
      </c>
      <c r="AC176" s="71"/>
    </row>
    <row r="177" spans="1:30" x14ac:dyDescent="0.3">
      <c r="A177" s="67">
        <v>48823</v>
      </c>
      <c r="B177" s="69">
        <f t="shared" ref="B177" si="55">DAY(EOMONTH(A177,0))</f>
        <v>30</v>
      </c>
      <c r="C177" s="3" t="s">
        <v>36</v>
      </c>
      <c r="D177" s="10">
        <v>22</v>
      </c>
      <c r="E177" s="33">
        <f>+'Curv hora 2029 - 2033 (100%)'!E177*0.5</f>
        <v>5132.3649999999998</v>
      </c>
      <c r="F177" s="13">
        <f>+'Curv hora 2029 - 2033 (100%)'!F177*0.5</f>
        <v>4789.9399999999996</v>
      </c>
      <c r="G177" s="13">
        <f>+'Curv hora 2029 - 2033 (100%)'!G177*0.5</f>
        <v>4644.84</v>
      </c>
      <c r="H177" s="13">
        <f>+'Curv hora 2029 - 2033 (100%)'!H177*0.5</f>
        <v>4513.8649999999998</v>
      </c>
      <c r="I177" s="13">
        <f>+'Curv hora 2029 - 2033 (100%)'!I177*0.5</f>
        <v>4444.8100000000004</v>
      </c>
      <c r="J177" s="13">
        <f>+'Curv hora 2029 - 2033 (100%)'!J177*0.5</f>
        <v>4669.6149999999998</v>
      </c>
      <c r="K177" s="13">
        <f>+'Curv hora 2029 - 2033 (100%)'!K177*0.5</f>
        <v>5226.8549999999996</v>
      </c>
      <c r="L177" s="13">
        <f>+'Curv hora 2029 - 2033 (100%)'!L177*0.5</f>
        <v>4637.82</v>
      </c>
      <c r="M177" s="13">
        <f>+'Curv hora 2029 - 2033 (100%)'!M177*0.5</f>
        <v>5448.7849999999999</v>
      </c>
      <c r="N177" s="13">
        <f>+'Curv hora 2029 - 2033 (100%)'!N177*0.5</f>
        <v>5987.57</v>
      </c>
      <c r="O177" s="13">
        <f>+'Curv hora 2029 - 2033 (100%)'!O177*0.5</f>
        <v>6484.01</v>
      </c>
      <c r="P177" s="13">
        <f>+'Curv hora 2029 - 2033 (100%)'!P177*0.5</f>
        <v>6827.0249999999996</v>
      </c>
      <c r="Q177" s="13">
        <f>+'Curv hora 2029 - 2033 (100%)'!Q177*0.5</f>
        <v>6531.05</v>
      </c>
      <c r="R177" s="13">
        <f>+'Curv hora 2029 - 2033 (100%)'!R177*0.5</f>
        <v>6626.21</v>
      </c>
      <c r="S177" s="13">
        <f>+'Curv hora 2029 - 2033 (100%)'!S177*0.5</f>
        <v>7065.2950000000001</v>
      </c>
      <c r="T177" s="13">
        <f>+'Curv hora 2029 - 2033 (100%)'!T177*0.5</f>
        <v>7235.7749999999996</v>
      </c>
      <c r="U177" s="13">
        <f>+'Curv hora 2029 - 2033 (100%)'!U177*0.5</f>
        <v>7293.51</v>
      </c>
      <c r="V177" s="13">
        <f>+'Curv hora 2029 - 2033 (100%)'!V177*0.5</f>
        <v>8501.7950000000001</v>
      </c>
      <c r="W177" s="13">
        <f>+'Curv hora 2029 - 2033 (100%)'!W177*0.5</f>
        <v>9268.2999999999993</v>
      </c>
      <c r="X177" s="13">
        <f>+'Curv hora 2029 - 2033 (100%)'!X177*0.5</f>
        <v>9493.7250000000004</v>
      </c>
      <c r="Y177" s="13">
        <f>+'Curv hora 2029 - 2033 (100%)'!Y177*0.5</f>
        <v>8817.59</v>
      </c>
      <c r="Z177" s="13">
        <f>+'Curv hora 2029 - 2033 (100%)'!Z177*0.5</f>
        <v>8042.3950000000004</v>
      </c>
      <c r="AA177" s="13">
        <f>+'Curv hora 2029 - 2033 (100%)'!AA177*0.5</f>
        <v>6945.4650000000001</v>
      </c>
      <c r="AB177" s="34">
        <f>+'Curv hora 2029 - 2033 (100%)'!AB177*0.5</f>
        <v>5975.415</v>
      </c>
      <c r="AC177" s="71">
        <f t="shared" ref="AC177" si="56">SUMPRODUCT((E177:AB179)*D177:D179)</f>
        <v>4573787.870000001</v>
      </c>
    </row>
    <row r="178" spans="1:30" x14ac:dyDescent="0.3">
      <c r="A178" s="68"/>
      <c r="B178" s="70"/>
      <c r="C178" t="s">
        <v>37</v>
      </c>
      <c r="D178" s="11">
        <v>4</v>
      </c>
      <c r="E178" s="35">
        <f>+'Curv hora 2029 - 2033 (100%)'!E178*0.5</f>
        <v>5288.96</v>
      </c>
      <c r="F178" s="5">
        <f>+'Curv hora 2029 - 2033 (100%)'!F178*0.5</f>
        <v>4933.1499999999996</v>
      </c>
      <c r="G178" s="5">
        <f>+'Curv hora 2029 - 2033 (100%)'!G178*0.5</f>
        <v>4678.4449999999997</v>
      </c>
      <c r="H178" s="5">
        <f>+'Curv hora 2029 - 2033 (100%)'!H178*0.5</f>
        <v>4539.4250000000002</v>
      </c>
      <c r="I178" s="5">
        <f>+'Curv hora 2029 - 2033 (100%)'!I178*0.5</f>
        <v>4485.4799999999996</v>
      </c>
      <c r="J178" s="5">
        <f>+'Curv hora 2029 - 2033 (100%)'!J178*0.5</f>
        <v>4577.4049999999997</v>
      </c>
      <c r="K178" s="5">
        <f>+'Curv hora 2029 - 2033 (100%)'!K178*0.5</f>
        <v>4863.915</v>
      </c>
      <c r="L178" s="5">
        <f>+'Curv hora 2029 - 2033 (100%)'!L178*0.5</f>
        <v>4575.46</v>
      </c>
      <c r="M178" s="5">
        <f>+'Curv hora 2029 - 2033 (100%)'!M178*0.5</f>
        <v>5480.07</v>
      </c>
      <c r="N178" s="5">
        <f>+'Curv hora 2029 - 2033 (100%)'!N178*0.5</f>
        <v>6224.4750000000004</v>
      </c>
      <c r="O178" s="5">
        <f>+'Curv hora 2029 - 2033 (100%)'!O178*0.5</f>
        <v>6860.52</v>
      </c>
      <c r="P178" s="5">
        <f>+'Curv hora 2029 - 2033 (100%)'!P178*0.5</f>
        <v>7342.5</v>
      </c>
      <c r="Q178" s="5">
        <f>+'Curv hora 2029 - 2033 (100%)'!Q178*0.5</f>
        <v>6938.97</v>
      </c>
      <c r="R178" s="5">
        <f>+'Curv hora 2029 - 2033 (100%)'!R178*0.5</f>
        <v>7345.5249999999996</v>
      </c>
      <c r="S178" s="5">
        <f>+'Curv hora 2029 - 2033 (100%)'!S178*0.5</f>
        <v>7529.4</v>
      </c>
      <c r="T178" s="5">
        <f>+'Curv hora 2029 - 2033 (100%)'!T178*0.5</f>
        <v>7549.51</v>
      </c>
      <c r="U178" s="5">
        <f>+'Curv hora 2029 - 2033 (100%)'!U178*0.5</f>
        <v>7195.3050000000003</v>
      </c>
      <c r="V178" s="5">
        <f>+'Curv hora 2029 - 2033 (100%)'!V178*0.5</f>
        <v>8469.5650000000005</v>
      </c>
      <c r="W178" s="5">
        <f>+'Curv hora 2029 - 2033 (100%)'!W178*0.5</f>
        <v>9373.5249999999996</v>
      </c>
      <c r="X178" s="5">
        <f>+'Curv hora 2029 - 2033 (100%)'!X178*0.5</f>
        <v>9458.0450000000001</v>
      </c>
      <c r="Y178" s="5">
        <f>+'Curv hora 2029 - 2033 (100%)'!Y178*0.5</f>
        <v>8906.15</v>
      </c>
      <c r="Z178" s="5">
        <f>+'Curv hora 2029 - 2033 (100%)'!Z178*0.5</f>
        <v>8278.7749999999996</v>
      </c>
      <c r="AA178" s="5">
        <f>+'Curv hora 2029 - 2033 (100%)'!AA178*0.5</f>
        <v>7372.17</v>
      </c>
      <c r="AB178" s="36">
        <f>+'Curv hora 2029 - 2033 (100%)'!AB178*0.5</f>
        <v>6543.4750000000004</v>
      </c>
      <c r="AC178" s="71"/>
    </row>
    <row r="179" spans="1:30" x14ac:dyDescent="0.3">
      <c r="A179" s="76"/>
      <c r="B179" s="77"/>
      <c r="C179" s="7" t="s">
        <v>38</v>
      </c>
      <c r="D179" s="12">
        <v>4</v>
      </c>
      <c r="E179" s="37">
        <f>+'Curv hora 2029 - 2033 (100%)'!E179*0.5</f>
        <v>5802.4049999999997</v>
      </c>
      <c r="F179" s="9">
        <f>+'Curv hora 2029 - 2033 (100%)'!F179*0.5</f>
        <v>5405.5749999999998</v>
      </c>
      <c r="G179" s="9">
        <f>+'Curv hora 2029 - 2033 (100%)'!G179*0.5</f>
        <v>5108.6499999999996</v>
      </c>
      <c r="H179" s="9">
        <f>+'Curv hora 2029 - 2033 (100%)'!H179*0.5</f>
        <v>4924.53</v>
      </c>
      <c r="I179" s="9">
        <f>+'Curv hora 2029 - 2033 (100%)'!I179*0.5</f>
        <v>4766.9849999999997</v>
      </c>
      <c r="J179" s="9">
        <f>+'Curv hora 2029 - 2033 (100%)'!J179*0.5</f>
        <v>4720.1750000000002</v>
      </c>
      <c r="K179" s="9">
        <f>+'Curv hora 2029 - 2033 (100%)'!K179*0.5</f>
        <v>4508.1499999999996</v>
      </c>
      <c r="L179" s="9">
        <f>+'Curv hora 2029 - 2033 (100%)'!L179*0.5</f>
        <v>3762.02</v>
      </c>
      <c r="M179" s="9">
        <f>+'Curv hora 2029 - 2033 (100%)'!M179*0.5</f>
        <v>4468.59</v>
      </c>
      <c r="N179" s="9">
        <f>+'Curv hora 2029 - 2033 (100%)'!N179*0.5</f>
        <v>5064.82</v>
      </c>
      <c r="O179" s="9">
        <f>+'Curv hora 2029 - 2033 (100%)'!O179*0.5</f>
        <v>5388.5749999999998</v>
      </c>
      <c r="P179" s="9">
        <f>+'Curv hora 2029 - 2033 (100%)'!P179*0.5</f>
        <v>5667.7</v>
      </c>
      <c r="Q179" s="9">
        <f>+'Curv hora 2029 - 2033 (100%)'!Q179*0.5</f>
        <v>5802.65</v>
      </c>
      <c r="R179" s="9">
        <f>+'Curv hora 2029 - 2033 (100%)'!R179*0.5</f>
        <v>5510.7950000000001</v>
      </c>
      <c r="S179" s="9">
        <f>+'Curv hora 2029 - 2033 (100%)'!S179*0.5</f>
        <v>4899.29</v>
      </c>
      <c r="T179" s="9">
        <f>+'Curv hora 2029 - 2033 (100%)'!T179*0.5</f>
        <v>4481.92</v>
      </c>
      <c r="U179" s="9">
        <f>+'Curv hora 2029 - 2033 (100%)'!U179*0.5</f>
        <v>4507.24</v>
      </c>
      <c r="V179" s="9">
        <f>+'Curv hora 2029 - 2033 (100%)'!V179*0.5</f>
        <v>6334.03</v>
      </c>
      <c r="W179" s="9">
        <f>+'Curv hora 2029 - 2033 (100%)'!W179*0.5</f>
        <v>7198.9849999999997</v>
      </c>
      <c r="X179" s="9">
        <f>+'Curv hora 2029 - 2033 (100%)'!X179*0.5</f>
        <v>8174.18</v>
      </c>
      <c r="Y179" s="9">
        <f>+'Curv hora 2029 - 2033 (100%)'!Y179*0.5</f>
        <v>7938.12</v>
      </c>
      <c r="Z179" s="9">
        <f>+'Curv hora 2029 - 2033 (100%)'!Z179*0.5</f>
        <v>7476.0950000000003</v>
      </c>
      <c r="AA179" s="9">
        <f>+'Curv hora 2029 - 2033 (100%)'!AA179*0.5</f>
        <v>6596.65</v>
      </c>
      <c r="AB179" s="38">
        <f>+'Curv hora 2029 - 2033 (100%)'!AB179*0.5</f>
        <v>5806.48</v>
      </c>
      <c r="AC179" s="71"/>
    </row>
    <row r="180" spans="1:30" x14ac:dyDescent="0.3">
      <c r="A180" s="67">
        <v>48853</v>
      </c>
      <c r="B180" s="69">
        <f t="shared" ref="B180" si="57">DAY(EOMONTH(A180,0))</f>
        <v>31</v>
      </c>
      <c r="C180" s="3" t="s">
        <v>36</v>
      </c>
      <c r="D180" s="10">
        <v>20</v>
      </c>
      <c r="E180" s="33">
        <f>+'Curv hora 2029 - 2033 (100%)'!E180*0.5</f>
        <v>5268.05</v>
      </c>
      <c r="F180" s="13">
        <f>+'Curv hora 2029 - 2033 (100%)'!F180*0.5</f>
        <v>4967.6000000000004</v>
      </c>
      <c r="G180" s="13">
        <f>+'Curv hora 2029 - 2033 (100%)'!G180*0.5</f>
        <v>4774.0450000000001</v>
      </c>
      <c r="H180" s="13">
        <f>+'Curv hora 2029 - 2033 (100%)'!H180*0.5</f>
        <v>4631</v>
      </c>
      <c r="I180" s="13">
        <f>+'Curv hora 2029 - 2033 (100%)'!I180*0.5</f>
        <v>4571.875</v>
      </c>
      <c r="J180" s="13">
        <f>+'Curv hora 2029 - 2033 (100%)'!J180*0.5</f>
        <v>4773.91</v>
      </c>
      <c r="K180" s="13">
        <f>+'Curv hora 2029 - 2033 (100%)'!K180*0.5</f>
        <v>5187.4650000000001</v>
      </c>
      <c r="L180" s="13">
        <f>+'Curv hora 2029 - 2033 (100%)'!L180*0.5</f>
        <v>4733.4049999999997</v>
      </c>
      <c r="M180" s="13">
        <f>+'Curv hora 2029 - 2033 (100%)'!M180*0.5</f>
        <v>5593.33</v>
      </c>
      <c r="N180" s="13">
        <f>+'Curv hora 2029 - 2033 (100%)'!N180*0.5</f>
        <v>6224.2550000000001</v>
      </c>
      <c r="O180" s="13">
        <f>+'Curv hora 2029 - 2033 (100%)'!O180*0.5</f>
        <v>6808.46</v>
      </c>
      <c r="P180" s="13">
        <f>+'Curv hora 2029 - 2033 (100%)'!P180*0.5</f>
        <v>7314.4350000000004</v>
      </c>
      <c r="Q180" s="13">
        <f>+'Curv hora 2029 - 2033 (100%)'!Q180*0.5</f>
        <v>7190.98</v>
      </c>
      <c r="R180" s="13">
        <f>+'Curv hora 2029 - 2033 (100%)'!R180*0.5</f>
        <v>7318.2950000000001</v>
      </c>
      <c r="S180" s="13">
        <f>+'Curv hora 2029 - 2033 (100%)'!S180*0.5</f>
        <v>7602.7650000000003</v>
      </c>
      <c r="T180" s="13">
        <f>+'Curv hora 2029 - 2033 (100%)'!T180*0.5</f>
        <v>7795.16</v>
      </c>
      <c r="U180" s="13">
        <f>+'Curv hora 2029 - 2033 (100%)'!U180*0.5</f>
        <v>7746.89</v>
      </c>
      <c r="V180" s="13">
        <f>+'Curv hora 2029 - 2033 (100%)'!V180*0.5</f>
        <v>8879.0049999999992</v>
      </c>
      <c r="W180" s="13">
        <f>+'Curv hora 2029 - 2033 (100%)'!W180*0.5</f>
        <v>9641.2450000000008</v>
      </c>
      <c r="X180" s="13">
        <f>+'Curv hora 2029 - 2033 (100%)'!X180*0.5</f>
        <v>9629.4699999999993</v>
      </c>
      <c r="Y180" s="13">
        <f>+'Curv hora 2029 - 2033 (100%)'!Y180*0.5</f>
        <v>8942.5650000000005</v>
      </c>
      <c r="Z180" s="13">
        <f>+'Curv hora 2029 - 2033 (100%)'!Z180*0.5</f>
        <v>8103.9350000000004</v>
      </c>
      <c r="AA180" s="13">
        <f>+'Curv hora 2029 - 2033 (100%)'!AA180*0.5</f>
        <v>7037.19</v>
      </c>
      <c r="AB180" s="34">
        <f>+'Curv hora 2029 - 2033 (100%)'!AB180*0.5</f>
        <v>6188.2349999999997</v>
      </c>
      <c r="AC180" s="71">
        <f t="shared" ref="AC180" si="58">SUMPRODUCT((E180:AB182)*D180:D182)</f>
        <v>4820406.0349999964</v>
      </c>
    </row>
    <row r="181" spans="1:30" x14ac:dyDescent="0.3">
      <c r="A181" s="68"/>
      <c r="B181" s="70"/>
      <c r="C181" t="s">
        <v>37</v>
      </c>
      <c r="D181" s="11">
        <v>5</v>
      </c>
      <c r="E181" s="35">
        <f>+'Curv hora 2029 - 2033 (100%)'!E181*0.5</f>
        <v>5627.96</v>
      </c>
      <c r="F181" s="5">
        <f>+'Curv hora 2029 - 2033 (100%)'!F181*0.5</f>
        <v>5265.8850000000002</v>
      </c>
      <c r="G181" s="5">
        <f>+'Curv hora 2029 - 2033 (100%)'!G181*0.5</f>
        <v>5018.13</v>
      </c>
      <c r="H181" s="5">
        <f>+'Curv hora 2029 - 2033 (100%)'!H181*0.5</f>
        <v>4849.4549999999999</v>
      </c>
      <c r="I181" s="5">
        <f>+'Curv hora 2029 - 2033 (100%)'!I181*0.5</f>
        <v>4811.21</v>
      </c>
      <c r="J181" s="5">
        <f>+'Curv hora 2029 - 2033 (100%)'!J181*0.5</f>
        <v>4845.76</v>
      </c>
      <c r="K181" s="5">
        <f>+'Curv hora 2029 - 2033 (100%)'!K181*0.5</f>
        <v>5127.08</v>
      </c>
      <c r="L181" s="5">
        <f>+'Curv hora 2029 - 2033 (100%)'!L181*0.5</f>
        <v>4800.7</v>
      </c>
      <c r="M181" s="5">
        <f>+'Curv hora 2029 - 2033 (100%)'!M181*0.5</f>
        <v>5823.75</v>
      </c>
      <c r="N181" s="5">
        <f>+'Curv hora 2029 - 2033 (100%)'!N181*0.5</f>
        <v>6573.93</v>
      </c>
      <c r="O181" s="5">
        <f>+'Curv hora 2029 - 2033 (100%)'!O181*0.5</f>
        <v>7186.31</v>
      </c>
      <c r="P181" s="5">
        <f>+'Curv hora 2029 - 2033 (100%)'!P181*0.5</f>
        <v>7295.3549999999996</v>
      </c>
      <c r="Q181" s="5">
        <f>+'Curv hora 2029 - 2033 (100%)'!Q181*0.5</f>
        <v>6925.97</v>
      </c>
      <c r="R181" s="5">
        <f>+'Curv hora 2029 - 2033 (100%)'!R181*0.5</f>
        <v>6465.6949999999997</v>
      </c>
      <c r="S181" s="5">
        <f>+'Curv hora 2029 - 2033 (100%)'!S181*0.5</f>
        <v>6546.03</v>
      </c>
      <c r="T181" s="5">
        <f>+'Curv hora 2029 - 2033 (100%)'!T181*0.5</f>
        <v>6492.6049999999996</v>
      </c>
      <c r="U181" s="5">
        <f>+'Curv hora 2029 - 2033 (100%)'!U181*0.5</f>
        <v>6230.21</v>
      </c>
      <c r="V181" s="5">
        <f>+'Curv hora 2029 - 2033 (100%)'!V181*0.5</f>
        <v>7547.2</v>
      </c>
      <c r="W181" s="5">
        <f>+'Curv hora 2029 - 2033 (100%)'!W181*0.5</f>
        <v>8521.41</v>
      </c>
      <c r="X181" s="5">
        <f>+'Curv hora 2029 - 2033 (100%)'!X181*0.5</f>
        <v>8590.08</v>
      </c>
      <c r="Y181" s="5">
        <f>+'Curv hora 2029 - 2033 (100%)'!Y181*0.5</f>
        <v>8055.6750000000002</v>
      </c>
      <c r="Z181" s="5">
        <f>+'Curv hora 2029 - 2033 (100%)'!Z181*0.5</f>
        <v>7419.1149999999998</v>
      </c>
      <c r="AA181" s="5">
        <f>+'Curv hora 2029 - 2033 (100%)'!AA181*0.5</f>
        <v>6618.9350000000004</v>
      </c>
      <c r="AB181" s="36">
        <f>+'Curv hora 2029 - 2033 (100%)'!AB181*0.5</f>
        <v>5882.2849999999999</v>
      </c>
      <c r="AC181" s="71"/>
    </row>
    <row r="182" spans="1:30" x14ac:dyDescent="0.3">
      <c r="A182" s="76"/>
      <c r="B182" s="77"/>
      <c r="C182" s="7" t="s">
        <v>38</v>
      </c>
      <c r="D182" s="12">
        <v>6</v>
      </c>
      <c r="E182" s="37">
        <f>+'Curv hora 2029 - 2033 (100%)'!E182*0.5</f>
        <v>5204.8999999999996</v>
      </c>
      <c r="F182" s="9">
        <f>+'Curv hora 2029 - 2033 (100%)'!F182*0.5</f>
        <v>4875.3999999999996</v>
      </c>
      <c r="G182" s="9">
        <f>+'Curv hora 2029 - 2033 (100%)'!G182*0.5</f>
        <v>4644.1000000000004</v>
      </c>
      <c r="H182" s="9">
        <f>+'Curv hora 2029 - 2033 (100%)'!H182*0.5</f>
        <v>4474.8</v>
      </c>
      <c r="I182" s="9">
        <f>+'Curv hora 2029 - 2033 (100%)'!I182*0.5</f>
        <v>4376.87</v>
      </c>
      <c r="J182" s="9">
        <f>+'Curv hora 2029 - 2033 (100%)'!J182*0.5</f>
        <v>4178.9350000000004</v>
      </c>
      <c r="K182" s="9">
        <f>+'Curv hora 2029 - 2033 (100%)'!K182*0.5</f>
        <v>4507.47</v>
      </c>
      <c r="L182" s="9">
        <f>+'Curv hora 2029 - 2033 (100%)'!L182*0.5</f>
        <v>4008.16</v>
      </c>
      <c r="M182" s="9">
        <f>+'Curv hora 2029 - 2033 (100%)'!M182*0.5</f>
        <v>4662.84</v>
      </c>
      <c r="N182" s="9">
        <f>+'Curv hora 2029 - 2033 (100%)'!N182*0.5</f>
        <v>5184.375</v>
      </c>
      <c r="O182" s="9">
        <f>+'Curv hora 2029 - 2033 (100%)'!O182*0.5</f>
        <v>5681.6049999999996</v>
      </c>
      <c r="P182" s="9">
        <f>+'Curv hora 2029 - 2033 (100%)'!P182*0.5</f>
        <v>6075.7250000000004</v>
      </c>
      <c r="Q182" s="9">
        <f>+'Curv hora 2029 - 2033 (100%)'!Q182*0.5</f>
        <v>6225.89</v>
      </c>
      <c r="R182" s="9">
        <f>+'Curv hora 2029 - 2033 (100%)'!R182*0.5</f>
        <v>6253.98</v>
      </c>
      <c r="S182" s="9">
        <f>+'Curv hora 2029 - 2033 (100%)'!S182*0.5</f>
        <v>6195.085</v>
      </c>
      <c r="T182" s="9">
        <f>+'Curv hora 2029 - 2033 (100%)'!T182*0.5</f>
        <v>6169.36</v>
      </c>
      <c r="U182" s="9">
        <f>+'Curv hora 2029 - 2033 (100%)'!U182*0.5</f>
        <v>6159.7849999999999</v>
      </c>
      <c r="V182" s="9">
        <f>+'Curv hora 2029 - 2033 (100%)'!V182*0.5</f>
        <v>7418.5450000000001</v>
      </c>
      <c r="W182" s="9">
        <f>+'Curv hora 2029 - 2033 (100%)'!W182*0.5</f>
        <v>8444.7450000000008</v>
      </c>
      <c r="X182" s="9">
        <f>+'Curv hora 2029 - 2033 (100%)'!X182*0.5</f>
        <v>8132.2749999999996</v>
      </c>
      <c r="Y182" s="9">
        <f>+'Curv hora 2029 - 2033 (100%)'!Y182*0.5</f>
        <v>7864.14</v>
      </c>
      <c r="Z182" s="9">
        <f>+'Curv hora 2029 - 2033 (100%)'!Z182*0.5</f>
        <v>6998.1149999999998</v>
      </c>
      <c r="AA182" s="9">
        <f>+'Curv hora 2029 - 2033 (100%)'!AA182*0.5</f>
        <v>6481.4849999999997</v>
      </c>
      <c r="AB182" s="38">
        <f>+'Curv hora 2029 - 2033 (100%)'!AB182*0.5</f>
        <v>5669.9250000000002</v>
      </c>
      <c r="AC182" s="71"/>
    </row>
    <row r="183" spans="1:30" x14ac:dyDescent="0.3">
      <c r="A183" s="67">
        <v>48884</v>
      </c>
      <c r="B183" s="69">
        <f>DAY(EOMONTH(A183,0))</f>
        <v>30</v>
      </c>
      <c r="C183" s="3" t="s">
        <v>36</v>
      </c>
      <c r="D183" s="10">
        <v>20</v>
      </c>
      <c r="E183" s="33">
        <f>+'Curv hora 2029 - 2033 (100%)'!E183*0.5</f>
        <v>4976.5649999999996</v>
      </c>
      <c r="F183" s="13">
        <f>+'Curv hora 2029 - 2033 (100%)'!F183*0.5</f>
        <v>4656.6000000000004</v>
      </c>
      <c r="G183" s="13">
        <f>+'Curv hora 2029 - 2033 (100%)'!G183*0.5</f>
        <v>4541.6549999999997</v>
      </c>
      <c r="H183" s="13">
        <f>+'Curv hora 2029 - 2033 (100%)'!H183*0.5</f>
        <v>4404.7299999999996</v>
      </c>
      <c r="I183" s="13">
        <f>+'Curv hora 2029 - 2033 (100%)'!I183*0.5</f>
        <v>4440.95</v>
      </c>
      <c r="J183" s="13">
        <f>+'Curv hora 2029 - 2033 (100%)'!J183*0.5</f>
        <v>4631.6899999999996</v>
      </c>
      <c r="K183" s="13">
        <f>+'Curv hora 2029 - 2033 (100%)'!K183*0.5</f>
        <v>5142.915</v>
      </c>
      <c r="L183" s="13">
        <f>+'Curv hora 2029 - 2033 (100%)'!L183*0.5</f>
        <v>4652.42</v>
      </c>
      <c r="M183" s="13">
        <f>+'Curv hora 2029 - 2033 (100%)'!M183*0.5</f>
        <v>5479.49</v>
      </c>
      <c r="N183" s="13">
        <f>+'Curv hora 2029 - 2033 (100%)'!N183*0.5</f>
        <v>6011.3149999999996</v>
      </c>
      <c r="O183" s="13">
        <f>+'Curv hora 2029 - 2033 (100%)'!O183*0.5</f>
        <v>6519.9250000000002</v>
      </c>
      <c r="P183" s="13">
        <f>+'Curv hora 2029 - 2033 (100%)'!P183*0.5</f>
        <v>6979.84</v>
      </c>
      <c r="Q183" s="13">
        <f>+'Curv hora 2029 - 2033 (100%)'!Q183*0.5</f>
        <v>6700.41</v>
      </c>
      <c r="R183" s="13">
        <f>+'Curv hora 2029 - 2033 (100%)'!R183*0.5</f>
        <v>6909.13</v>
      </c>
      <c r="S183" s="13">
        <f>+'Curv hora 2029 - 2033 (100%)'!S183*0.5</f>
        <v>7415.49</v>
      </c>
      <c r="T183" s="13">
        <f>+'Curv hora 2029 - 2033 (100%)'!T183*0.5</f>
        <v>7405.52</v>
      </c>
      <c r="U183" s="13">
        <f>+'Curv hora 2029 - 2033 (100%)'!U183*0.5</f>
        <v>7402.1049999999996</v>
      </c>
      <c r="V183" s="13">
        <f>+'Curv hora 2029 - 2033 (100%)'!V183*0.5</f>
        <v>8566.3349999999991</v>
      </c>
      <c r="W183" s="13">
        <f>+'Curv hora 2029 - 2033 (100%)'!W183*0.5</f>
        <v>9349.08</v>
      </c>
      <c r="X183" s="13">
        <f>+'Curv hora 2029 - 2033 (100%)'!X183*0.5</f>
        <v>9263.99</v>
      </c>
      <c r="Y183" s="13">
        <f>+'Curv hora 2029 - 2033 (100%)'!Y183*0.5</f>
        <v>8643.66</v>
      </c>
      <c r="Z183" s="13">
        <f>+'Curv hora 2029 - 2033 (100%)'!Z183*0.5</f>
        <v>7823.99</v>
      </c>
      <c r="AA183" s="13">
        <f>+'Curv hora 2029 - 2033 (100%)'!AA183*0.5</f>
        <v>6726.25</v>
      </c>
      <c r="AB183" s="34">
        <f>+'Curv hora 2029 - 2033 (100%)'!AB183*0.5</f>
        <v>5847.5550000000003</v>
      </c>
      <c r="AC183" s="71">
        <f>SUMPRODUCT((E183:AB185)*D183:D185)</f>
        <v>4528204.160000002</v>
      </c>
    </row>
    <row r="184" spans="1:30" x14ac:dyDescent="0.3">
      <c r="A184" s="68"/>
      <c r="B184" s="70"/>
      <c r="C184" t="s">
        <v>37</v>
      </c>
      <c r="D184" s="11">
        <v>4</v>
      </c>
      <c r="E184" s="35">
        <f>+'Curv hora 2029 - 2033 (100%)'!E184*0.5</f>
        <v>5200.0200000000004</v>
      </c>
      <c r="F184" s="5">
        <f>+'Curv hora 2029 - 2033 (100%)'!F184*0.5</f>
        <v>4889.8599999999997</v>
      </c>
      <c r="G184" s="5">
        <f>+'Curv hora 2029 - 2033 (100%)'!G184*0.5</f>
        <v>4656.25</v>
      </c>
      <c r="H184" s="5">
        <f>+'Curv hora 2029 - 2033 (100%)'!H184*0.5</f>
        <v>4454.9399999999996</v>
      </c>
      <c r="I184" s="5">
        <f>+'Curv hora 2029 - 2033 (100%)'!I184*0.5</f>
        <v>4348.3850000000002</v>
      </c>
      <c r="J184" s="5">
        <f>+'Curv hora 2029 - 2033 (100%)'!J184*0.5</f>
        <v>4533.8999999999996</v>
      </c>
      <c r="K184" s="5">
        <f>+'Curv hora 2029 - 2033 (100%)'!K184*0.5</f>
        <v>4737.42</v>
      </c>
      <c r="L184" s="5">
        <f>+'Curv hora 2029 - 2033 (100%)'!L184*0.5</f>
        <v>4320.0200000000004</v>
      </c>
      <c r="M184" s="5">
        <f>+'Curv hora 2029 - 2033 (100%)'!M184*0.5</f>
        <v>5206.8649999999998</v>
      </c>
      <c r="N184" s="5">
        <f>+'Curv hora 2029 - 2033 (100%)'!N184*0.5</f>
        <v>5672.2849999999999</v>
      </c>
      <c r="O184" s="5">
        <f>+'Curv hora 2029 - 2033 (100%)'!O184*0.5</f>
        <v>6070.16</v>
      </c>
      <c r="P184" s="5">
        <f>+'Curv hora 2029 - 2033 (100%)'!P184*0.5</f>
        <v>6325.8249999999998</v>
      </c>
      <c r="Q184" s="5">
        <f>+'Curv hora 2029 - 2033 (100%)'!Q184*0.5</f>
        <v>6457.4250000000002</v>
      </c>
      <c r="R184" s="5">
        <f>+'Curv hora 2029 - 2033 (100%)'!R184*0.5</f>
        <v>6500.69</v>
      </c>
      <c r="S184" s="5">
        <f>+'Curv hora 2029 - 2033 (100%)'!S184*0.5</f>
        <v>6669.2849999999999</v>
      </c>
      <c r="T184" s="5">
        <f>+'Curv hora 2029 - 2033 (100%)'!T184*0.5</f>
        <v>6754.9650000000001</v>
      </c>
      <c r="U184" s="5">
        <f>+'Curv hora 2029 - 2033 (100%)'!U184*0.5</f>
        <v>6754.1350000000002</v>
      </c>
      <c r="V184" s="5">
        <f>+'Curv hora 2029 - 2033 (100%)'!V184*0.5</f>
        <v>8073.54</v>
      </c>
      <c r="W184" s="5">
        <f>+'Curv hora 2029 - 2033 (100%)'!W184*0.5</f>
        <v>9043.67</v>
      </c>
      <c r="X184" s="5">
        <f>+'Curv hora 2029 - 2033 (100%)'!X184*0.5</f>
        <v>9018.2900000000009</v>
      </c>
      <c r="Y184" s="5">
        <f>+'Curv hora 2029 - 2033 (100%)'!Y184*0.5</f>
        <v>8392.7099999999991</v>
      </c>
      <c r="Z184" s="5">
        <f>+'Curv hora 2029 - 2033 (100%)'!Z184*0.5</f>
        <v>7707.09</v>
      </c>
      <c r="AA184" s="5">
        <f>+'Curv hora 2029 - 2033 (100%)'!AA184*0.5</f>
        <v>6897.17</v>
      </c>
      <c r="AB184" s="36">
        <f>+'Curv hora 2029 - 2033 (100%)'!AB184*0.5</f>
        <v>5913.3950000000004</v>
      </c>
      <c r="AC184" s="71"/>
    </row>
    <row r="185" spans="1:30" x14ac:dyDescent="0.3">
      <c r="A185" s="68"/>
      <c r="B185" s="70"/>
      <c r="C185" t="s">
        <v>38</v>
      </c>
      <c r="D185" s="11">
        <v>6</v>
      </c>
      <c r="E185" s="37">
        <f>+'Curv hora 2029 - 2033 (100%)'!E185*0.5</f>
        <v>5327.7049999999999</v>
      </c>
      <c r="F185" s="9">
        <f>+'Curv hora 2029 - 2033 (100%)'!F185*0.5</f>
        <v>4995.9350000000004</v>
      </c>
      <c r="G185" s="9">
        <f>+'Curv hora 2029 - 2033 (100%)'!G185*0.5</f>
        <v>4772.6750000000002</v>
      </c>
      <c r="H185" s="9">
        <f>+'Curv hora 2029 - 2033 (100%)'!H185*0.5</f>
        <v>4648.6099999999997</v>
      </c>
      <c r="I185" s="9">
        <f>+'Curv hora 2029 - 2033 (100%)'!I185*0.5</f>
        <v>4614.93</v>
      </c>
      <c r="J185" s="9">
        <f>+'Curv hora 2029 - 2033 (100%)'!J185*0.5</f>
        <v>4501.0649999999996</v>
      </c>
      <c r="K185" s="9">
        <f>+'Curv hora 2029 - 2033 (100%)'!K185*0.5</f>
        <v>4662.53</v>
      </c>
      <c r="L185" s="9">
        <f>+'Curv hora 2029 - 2033 (100%)'!L185*0.5</f>
        <v>4188.4449999999997</v>
      </c>
      <c r="M185" s="9">
        <f>+'Curv hora 2029 - 2033 (100%)'!M185*0.5</f>
        <v>4931.57</v>
      </c>
      <c r="N185" s="9">
        <f>+'Curv hora 2029 - 2033 (100%)'!N185*0.5</f>
        <v>5415.6049999999996</v>
      </c>
      <c r="O185" s="9">
        <f>+'Curv hora 2029 - 2033 (100%)'!O185*0.5</f>
        <v>5649.98</v>
      </c>
      <c r="P185" s="9">
        <f>+'Curv hora 2029 - 2033 (100%)'!P185*0.5</f>
        <v>5452.8249999999998</v>
      </c>
      <c r="Q185" s="9">
        <f>+'Curv hora 2029 - 2033 (100%)'!Q185*0.5</f>
        <v>5678.3149999999996</v>
      </c>
      <c r="R185" s="9">
        <f>+'Curv hora 2029 - 2033 (100%)'!R185*0.5</f>
        <v>5841.39</v>
      </c>
      <c r="S185" s="9">
        <f>+'Curv hora 2029 - 2033 (100%)'!S185*0.5</f>
        <v>6002.5550000000003</v>
      </c>
      <c r="T185" s="9">
        <f>+'Curv hora 2029 - 2033 (100%)'!T185*0.5</f>
        <v>5671.68</v>
      </c>
      <c r="U185" s="9">
        <f>+'Curv hora 2029 - 2033 (100%)'!U185*0.5</f>
        <v>6008.51</v>
      </c>
      <c r="V185" s="9">
        <f>+'Curv hora 2029 - 2033 (100%)'!V185*0.5</f>
        <v>7285.95</v>
      </c>
      <c r="W185" s="9">
        <f>+'Curv hora 2029 - 2033 (100%)'!W185*0.5</f>
        <v>8341.625</v>
      </c>
      <c r="X185" s="9">
        <f>+'Curv hora 2029 - 2033 (100%)'!X185*0.5</f>
        <v>8608.6149999999998</v>
      </c>
      <c r="Y185" s="9">
        <f>+'Curv hora 2029 - 2033 (100%)'!Y185*0.5</f>
        <v>8046.63</v>
      </c>
      <c r="Z185" s="9">
        <f>+'Curv hora 2029 - 2033 (100%)'!Z185*0.5</f>
        <v>7538.86</v>
      </c>
      <c r="AA185" s="9">
        <f>+'Curv hora 2029 - 2033 (100%)'!AA185*0.5</f>
        <v>6633.59</v>
      </c>
      <c r="AB185" s="38">
        <f>+'Curv hora 2029 - 2033 (100%)'!AB185*0.5</f>
        <v>5843.5349999999999</v>
      </c>
      <c r="AC185" s="71"/>
    </row>
    <row r="186" spans="1:30" x14ac:dyDescent="0.3">
      <c r="A186" s="67">
        <v>48914</v>
      </c>
      <c r="B186" s="69">
        <f>DAY(EOMONTH(A186,0))</f>
        <v>31</v>
      </c>
      <c r="C186" s="3" t="s">
        <v>36</v>
      </c>
      <c r="D186" s="10">
        <v>21</v>
      </c>
      <c r="E186" s="33">
        <f>+'Curv hora 2029 - 2033 (100%)'!E186*0.5</f>
        <v>5015.8149999999996</v>
      </c>
      <c r="F186" s="13">
        <f>+'Curv hora 2029 - 2033 (100%)'!F186*0.5</f>
        <v>4669</v>
      </c>
      <c r="G186" s="13">
        <f>+'Curv hora 2029 - 2033 (100%)'!G186*0.5</f>
        <v>4484.1400000000003</v>
      </c>
      <c r="H186" s="13">
        <f>+'Curv hora 2029 - 2033 (100%)'!H186*0.5</f>
        <v>4368.3</v>
      </c>
      <c r="I186" s="13">
        <f>+'Curv hora 2029 - 2033 (100%)'!I186*0.5</f>
        <v>4374.28</v>
      </c>
      <c r="J186" s="13">
        <f>+'Curv hora 2029 - 2033 (100%)'!J186*0.5</f>
        <v>4526.7550000000001</v>
      </c>
      <c r="K186" s="13">
        <f>+'Curv hora 2029 - 2033 (100%)'!K186*0.5</f>
        <v>4768.125</v>
      </c>
      <c r="L186" s="13">
        <f>+'Curv hora 2029 - 2033 (100%)'!L186*0.5</f>
        <v>4435.6450000000004</v>
      </c>
      <c r="M186" s="13">
        <f>+'Curv hora 2029 - 2033 (100%)'!M186*0.5</f>
        <v>5370.47</v>
      </c>
      <c r="N186" s="13">
        <f>+'Curv hora 2029 - 2033 (100%)'!N186*0.5</f>
        <v>5967.7349999999997</v>
      </c>
      <c r="O186" s="13">
        <f>+'Curv hora 2029 - 2033 (100%)'!O186*0.5</f>
        <v>6415.46</v>
      </c>
      <c r="P186" s="13">
        <f>+'Curv hora 2029 - 2033 (100%)'!P186*0.5</f>
        <v>6803.5050000000001</v>
      </c>
      <c r="Q186" s="13">
        <f>+'Curv hora 2029 - 2033 (100%)'!Q186*0.5</f>
        <v>6629.86</v>
      </c>
      <c r="R186" s="13">
        <f>+'Curv hora 2029 - 2033 (100%)'!R186*0.5</f>
        <v>6616.89</v>
      </c>
      <c r="S186" s="13">
        <f>+'Curv hora 2029 - 2033 (100%)'!S186*0.5</f>
        <v>6888.09</v>
      </c>
      <c r="T186" s="13">
        <f>+'Curv hora 2029 - 2033 (100%)'!T186*0.5</f>
        <v>6977.3450000000003</v>
      </c>
      <c r="U186" s="13">
        <f>+'Curv hora 2029 - 2033 (100%)'!U186*0.5</f>
        <v>7021.15</v>
      </c>
      <c r="V186" s="13">
        <f>+'Curv hora 2029 - 2033 (100%)'!V186*0.5</f>
        <v>8132.3850000000002</v>
      </c>
      <c r="W186" s="13">
        <f>+'Curv hora 2029 - 2033 (100%)'!W186*0.5</f>
        <v>8844.4650000000001</v>
      </c>
      <c r="X186" s="13">
        <f>+'Curv hora 2029 - 2033 (100%)'!X186*0.5</f>
        <v>8937.2749999999996</v>
      </c>
      <c r="Y186" s="13">
        <f>+'Curv hora 2029 - 2033 (100%)'!Y186*0.5</f>
        <v>8468.2849999999999</v>
      </c>
      <c r="Z186" s="13">
        <f>+'Curv hora 2029 - 2033 (100%)'!Z186*0.5</f>
        <v>7724.41</v>
      </c>
      <c r="AA186" s="13">
        <f>+'Curv hora 2029 - 2033 (100%)'!AA186*0.5</f>
        <v>6785.0450000000001</v>
      </c>
      <c r="AB186" s="34">
        <f>+'Curv hora 2029 - 2033 (100%)'!AB186*0.5</f>
        <v>5921.3649999999998</v>
      </c>
      <c r="AC186" s="74">
        <f>SUMPRODUCT((E186:AB188)*D186:D188)</f>
        <v>4581822.870000002</v>
      </c>
    </row>
    <row r="187" spans="1:30" x14ac:dyDescent="0.3">
      <c r="A187" s="68"/>
      <c r="B187" s="70"/>
      <c r="C187" t="s">
        <v>37</v>
      </c>
      <c r="D187" s="11">
        <v>5</v>
      </c>
      <c r="E187" s="35">
        <f>+'Curv hora 2029 - 2033 (100%)'!E187*0.5</f>
        <v>5068.16</v>
      </c>
      <c r="F187" s="5">
        <f>+'Curv hora 2029 - 2033 (100%)'!F187*0.5</f>
        <v>4695.55</v>
      </c>
      <c r="G187" s="5">
        <f>+'Curv hora 2029 - 2033 (100%)'!G187*0.5</f>
        <v>4429.7449999999999</v>
      </c>
      <c r="H187" s="5">
        <f>+'Curv hora 2029 - 2033 (100%)'!H187*0.5</f>
        <v>4287.92</v>
      </c>
      <c r="I187" s="5">
        <f>+'Curv hora 2029 - 2033 (100%)'!I187*0.5</f>
        <v>4266.5550000000003</v>
      </c>
      <c r="J187" s="5">
        <f>+'Curv hora 2029 - 2033 (100%)'!J187*0.5</f>
        <v>4357.835</v>
      </c>
      <c r="K187" s="5">
        <f>+'Curv hora 2029 - 2033 (100%)'!K187*0.5</f>
        <v>4558.26</v>
      </c>
      <c r="L187" s="5">
        <f>+'Curv hora 2029 - 2033 (100%)'!L187*0.5</f>
        <v>4223.83</v>
      </c>
      <c r="M187" s="5">
        <f>+'Curv hora 2029 - 2033 (100%)'!M187*0.5</f>
        <v>5083.6000000000004</v>
      </c>
      <c r="N187" s="5">
        <f>+'Curv hora 2029 - 2033 (100%)'!N187*0.5</f>
        <v>5667.66</v>
      </c>
      <c r="O187" s="5">
        <f>+'Curv hora 2029 - 2033 (100%)'!O187*0.5</f>
        <v>6035.49</v>
      </c>
      <c r="P187" s="5">
        <f>+'Curv hora 2029 - 2033 (100%)'!P187*0.5</f>
        <v>6369.1149999999998</v>
      </c>
      <c r="Q187" s="5">
        <f>+'Curv hora 2029 - 2033 (100%)'!Q187*0.5</f>
        <v>6369.3149999999996</v>
      </c>
      <c r="R187" s="5">
        <f>+'Curv hora 2029 - 2033 (100%)'!R187*0.5</f>
        <v>6383.01</v>
      </c>
      <c r="S187" s="5">
        <f>+'Curv hora 2029 - 2033 (100%)'!S187*0.5</f>
        <v>6467.94</v>
      </c>
      <c r="T187" s="5">
        <f>+'Curv hora 2029 - 2033 (100%)'!T187*0.5</f>
        <v>6507.73</v>
      </c>
      <c r="U187" s="5">
        <f>+'Curv hora 2029 - 2033 (100%)'!U187*0.5</f>
        <v>6475.3950000000004</v>
      </c>
      <c r="V187" s="5">
        <f>+'Curv hora 2029 - 2033 (100%)'!V187*0.5</f>
        <v>7744.8149999999996</v>
      </c>
      <c r="W187" s="5">
        <f>+'Curv hora 2029 - 2033 (100%)'!W187*0.5</f>
        <v>8652.84</v>
      </c>
      <c r="X187" s="5">
        <f>+'Curv hora 2029 - 2033 (100%)'!X187*0.5</f>
        <v>8875.2849999999999</v>
      </c>
      <c r="Y187" s="5">
        <f>+'Curv hora 2029 - 2033 (100%)'!Y187*0.5</f>
        <v>8439.94</v>
      </c>
      <c r="Z187" s="5">
        <f>+'Curv hora 2029 - 2033 (100%)'!Z187*0.5</f>
        <v>7749.19</v>
      </c>
      <c r="AA187" s="5">
        <f>+'Curv hora 2029 - 2033 (100%)'!AA187*0.5</f>
        <v>6903.9750000000004</v>
      </c>
      <c r="AB187" s="36">
        <f>+'Curv hora 2029 - 2033 (100%)'!AB187*0.5</f>
        <v>6072.87</v>
      </c>
      <c r="AC187" s="71"/>
    </row>
    <row r="188" spans="1:30" ht="15.65" thickBot="1" x14ac:dyDescent="0.35">
      <c r="A188" s="72"/>
      <c r="B188" s="73"/>
      <c r="C188" s="14" t="s">
        <v>38</v>
      </c>
      <c r="D188" s="15">
        <v>5</v>
      </c>
      <c r="E188" s="37">
        <f>+'Curv hora 2029 - 2033 (100%)'!E188*0.5</f>
        <v>5360.2449999999999</v>
      </c>
      <c r="F188" s="9">
        <f>+'Curv hora 2029 - 2033 (100%)'!F188*0.5</f>
        <v>4988.5950000000003</v>
      </c>
      <c r="G188" s="9">
        <f>+'Curv hora 2029 - 2033 (100%)'!G188*0.5</f>
        <v>4734.585</v>
      </c>
      <c r="H188" s="9">
        <f>+'Curv hora 2029 - 2033 (100%)'!H188*0.5</f>
        <v>4589.1549999999997</v>
      </c>
      <c r="I188" s="9">
        <f>+'Curv hora 2029 - 2033 (100%)'!I188*0.5</f>
        <v>4519.74</v>
      </c>
      <c r="J188" s="9">
        <f>+'Curv hora 2029 - 2033 (100%)'!J188*0.5</f>
        <v>4504.87</v>
      </c>
      <c r="K188" s="9">
        <f>+'Curv hora 2029 - 2033 (100%)'!K188*0.5</f>
        <v>4561.51</v>
      </c>
      <c r="L188" s="9">
        <f>+'Curv hora 2029 - 2033 (100%)'!L188*0.5</f>
        <v>4011.31</v>
      </c>
      <c r="M188" s="9">
        <f>+'Curv hora 2029 - 2033 (100%)'!M188*0.5</f>
        <v>4734.0950000000003</v>
      </c>
      <c r="N188" s="9">
        <f>+'Curv hora 2029 - 2033 (100%)'!N188*0.5</f>
        <v>5239.33</v>
      </c>
      <c r="O188" s="9">
        <f>+'Curv hora 2029 - 2033 (100%)'!O188*0.5</f>
        <v>5571.5</v>
      </c>
      <c r="P188" s="9">
        <f>+'Curv hora 2029 - 2033 (100%)'!P188*0.5</f>
        <v>5771.3</v>
      </c>
      <c r="Q188" s="9">
        <f>+'Curv hora 2029 - 2033 (100%)'!Q188*0.5</f>
        <v>5940.99</v>
      </c>
      <c r="R188" s="9">
        <f>+'Curv hora 2029 - 2033 (100%)'!R188*0.5</f>
        <v>5980.5550000000003</v>
      </c>
      <c r="S188" s="9">
        <f>+'Curv hora 2029 - 2033 (100%)'!S188*0.5</f>
        <v>5730.0050000000001</v>
      </c>
      <c r="T188" s="9">
        <f>+'Curv hora 2029 - 2033 (100%)'!T188*0.5</f>
        <v>5959.93</v>
      </c>
      <c r="U188" s="9">
        <f>+'Curv hora 2029 - 2033 (100%)'!U188*0.5</f>
        <v>6029.1750000000002</v>
      </c>
      <c r="V188" s="9">
        <f>+'Curv hora 2029 - 2033 (100%)'!V188*0.5</f>
        <v>7245.7550000000001</v>
      </c>
      <c r="W188" s="9">
        <f>+'Curv hora 2029 - 2033 (100%)'!W188*0.5</f>
        <v>8178.4849999999997</v>
      </c>
      <c r="X188" s="9">
        <f>+'Curv hora 2029 - 2033 (100%)'!X188*0.5</f>
        <v>8436.0049999999992</v>
      </c>
      <c r="Y188" s="9">
        <f>+'Curv hora 2029 - 2033 (100%)'!Y188*0.5</f>
        <v>8071.19</v>
      </c>
      <c r="Z188" s="9">
        <f>+'Curv hora 2029 - 2033 (100%)'!Z188*0.5</f>
        <v>7390.7650000000003</v>
      </c>
      <c r="AA188" s="9">
        <f>+'Curv hora 2029 - 2033 (100%)'!AA188*0.5</f>
        <v>6613.9549999999999</v>
      </c>
      <c r="AB188" s="38">
        <f>+'Curv hora 2029 - 2033 (100%)'!AB188*0.5</f>
        <v>5903.165</v>
      </c>
      <c r="AC188" s="75"/>
    </row>
    <row r="189" spans="1:30" x14ac:dyDescent="0.3">
      <c r="AC189" s="17">
        <f>SUM(AC9:AC188)</f>
        <v>252603899.81</v>
      </c>
      <c r="AD189" s="17">
        <f>SUM(AC153:AC188)</f>
        <v>53526018.195</v>
      </c>
    </row>
    <row r="191" spans="1:30" ht="15.65" x14ac:dyDescent="0.3"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3"/>
      <c r="AD191" s="24"/>
    </row>
    <row r="192" spans="1:30" ht="16.3" thickBot="1" x14ac:dyDescent="0.35">
      <c r="A192" s="22" t="s">
        <v>39</v>
      </c>
      <c r="D192" s="6">
        <f>SUM(D193:D197)</f>
        <v>1826</v>
      </c>
      <c r="E192" s="22">
        <v>552.57999999999993</v>
      </c>
      <c r="F192" s="22">
        <v>552.57999999999993</v>
      </c>
      <c r="G192" s="22">
        <v>552.57999999999993</v>
      </c>
      <c r="H192" s="22">
        <v>552.57999999999993</v>
      </c>
      <c r="I192" s="22">
        <v>552.57999999999993</v>
      </c>
      <c r="J192" s="22">
        <v>552.57999999999993</v>
      </c>
      <c r="K192" s="22">
        <v>552.57999999999993</v>
      </c>
      <c r="L192" s="22">
        <v>732.40000000000009</v>
      </c>
      <c r="M192" s="22">
        <v>732.40000000000009</v>
      </c>
      <c r="N192" s="22">
        <v>732.40000000000009</v>
      </c>
      <c r="O192" s="22">
        <v>732.40000000000009</v>
      </c>
      <c r="P192" s="22">
        <v>732.40000000000009</v>
      </c>
      <c r="Q192" s="22">
        <v>732.40000000000009</v>
      </c>
      <c r="R192" s="22">
        <v>732.40000000000009</v>
      </c>
      <c r="S192" s="22">
        <v>732.40000000000009</v>
      </c>
      <c r="T192" s="22">
        <v>732.40000000000009</v>
      </c>
      <c r="U192" s="22">
        <v>732.40000000000009</v>
      </c>
      <c r="V192" s="22">
        <v>216.21</v>
      </c>
      <c r="W192" s="22">
        <v>216.21</v>
      </c>
      <c r="X192" s="22">
        <v>216.21</v>
      </c>
      <c r="Y192" s="22">
        <v>216.21</v>
      </c>
      <c r="Z192" s="22">
        <v>216.21</v>
      </c>
      <c r="AA192" s="22">
        <v>216.21</v>
      </c>
      <c r="AB192" s="22">
        <v>216.21</v>
      </c>
      <c r="AC192" s="19">
        <f t="shared" ref="AC192:AC197" si="59">SUMPRODUCT((E192:AB192)*D192)</f>
        <v>23200297.780000005</v>
      </c>
      <c r="AD192" s="24"/>
    </row>
    <row r="193" spans="1:30" ht="16.3" thickBot="1" x14ac:dyDescent="0.35">
      <c r="A193">
        <v>2029</v>
      </c>
      <c r="C193" s="66" t="s">
        <v>40</v>
      </c>
      <c r="D193" s="6">
        <v>365</v>
      </c>
      <c r="E193" s="25"/>
      <c r="F193" s="26"/>
      <c r="G193" s="26"/>
      <c r="H193" s="26"/>
      <c r="I193" s="26"/>
      <c r="J193" s="26"/>
      <c r="K193" s="26"/>
      <c r="L193" s="27">
        <v>1623.9</v>
      </c>
      <c r="M193" s="28">
        <v>1623.9</v>
      </c>
      <c r="N193" s="28">
        <v>1623.9</v>
      </c>
      <c r="O193" s="28">
        <v>1623.9</v>
      </c>
      <c r="P193" s="28">
        <v>1623.9</v>
      </c>
      <c r="Q193" s="28">
        <v>1623.9</v>
      </c>
      <c r="R193" s="28">
        <v>1623.9</v>
      </c>
      <c r="S193" s="28">
        <v>1623.9</v>
      </c>
      <c r="T193" s="28">
        <v>1623.9</v>
      </c>
      <c r="U193" s="29">
        <v>1623.9</v>
      </c>
      <c r="V193" s="26"/>
      <c r="W193" s="26"/>
      <c r="X193" s="26"/>
      <c r="Y193" s="26"/>
      <c r="Z193" s="26"/>
      <c r="AA193" s="26"/>
      <c r="AB193" s="30"/>
      <c r="AC193" s="19">
        <f t="shared" si="59"/>
        <v>5927235</v>
      </c>
      <c r="AD193" s="24"/>
    </row>
    <row r="194" spans="1:30" ht="16.3" thickBot="1" x14ac:dyDescent="0.35">
      <c r="A194">
        <v>2030</v>
      </c>
      <c r="C194" s="66"/>
      <c r="D194">
        <v>365</v>
      </c>
      <c r="E194" s="25"/>
      <c r="F194" s="26"/>
      <c r="G194" s="26"/>
      <c r="H194" s="26"/>
      <c r="I194" s="26"/>
      <c r="J194" s="26"/>
      <c r="K194" s="30"/>
      <c r="L194" s="27">
        <v>1712.4</v>
      </c>
      <c r="M194" s="28">
        <v>1712.4</v>
      </c>
      <c r="N194" s="28">
        <v>1712.4</v>
      </c>
      <c r="O194" s="28">
        <v>1712.4</v>
      </c>
      <c r="P194" s="28">
        <v>1712.4</v>
      </c>
      <c r="Q194" s="28">
        <v>1712.4</v>
      </c>
      <c r="R194" s="28">
        <v>1712.4</v>
      </c>
      <c r="S194" s="28">
        <v>1712.4</v>
      </c>
      <c r="T194" s="28">
        <v>1712.4</v>
      </c>
      <c r="U194" s="28">
        <v>1712.4</v>
      </c>
      <c r="V194" s="25"/>
      <c r="W194" s="26"/>
      <c r="X194" s="26"/>
      <c r="Y194" s="26"/>
      <c r="Z194" s="26"/>
      <c r="AA194" s="26"/>
      <c r="AB194" s="30"/>
      <c r="AC194" s="21">
        <f t="shared" si="59"/>
        <v>6250260</v>
      </c>
      <c r="AD194" s="24"/>
    </row>
    <row r="195" spans="1:30" ht="16.3" thickBot="1" x14ac:dyDescent="0.35">
      <c r="A195">
        <v>2031</v>
      </c>
      <c r="C195" s="66"/>
      <c r="D195">
        <v>365</v>
      </c>
      <c r="E195" s="25"/>
      <c r="F195" s="26"/>
      <c r="G195" s="26"/>
      <c r="H195" s="26"/>
      <c r="I195" s="26"/>
      <c r="J195" s="26"/>
      <c r="K195" s="30"/>
      <c r="L195" s="27">
        <v>1802.9</v>
      </c>
      <c r="M195" s="28">
        <v>1802.9</v>
      </c>
      <c r="N195" s="28">
        <v>1802.9</v>
      </c>
      <c r="O195" s="28">
        <v>1802.9</v>
      </c>
      <c r="P195" s="28">
        <v>1802.9</v>
      </c>
      <c r="Q195" s="28">
        <v>1802.9</v>
      </c>
      <c r="R195" s="28">
        <v>1802.9</v>
      </c>
      <c r="S195" s="28">
        <v>1802.9</v>
      </c>
      <c r="T195" s="28">
        <v>1802.9</v>
      </c>
      <c r="U195" s="28">
        <v>1802.9</v>
      </c>
      <c r="V195" s="25"/>
      <c r="W195" s="26"/>
      <c r="X195" s="26"/>
      <c r="Y195" s="26"/>
      <c r="Z195" s="26"/>
      <c r="AA195" s="26"/>
      <c r="AB195" s="30"/>
      <c r="AC195" s="21">
        <f t="shared" si="59"/>
        <v>6580585</v>
      </c>
      <c r="AD195" s="24"/>
    </row>
    <row r="196" spans="1:30" ht="16.3" thickBot="1" x14ac:dyDescent="0.35">
      <c r="A196">
        <v>2032</v>
      </c>
      <c r="C196" s="66"/>
      <c r="D196">
        <v>366</v>
      </c>
      <c r="E196" s="25"/>
      <c r="F196" s="26"/>
      <c r="G196" s="26"/>
      <c r="H196" s="26"/>
      <c r="I196" s="26"/>
      <c r="J196" s="26"/>
      <c r="K196" s="30"/>
      <c r="L196" s="27">
        <v>1891.5</v>
      </c>
      <c r="M196" s="28">
        <v>1891.5</v>
      </c>
      <c r="N196" s="28">
        <v>1891.5</v>
      </c>
      <c r="O196" s="28">
        <v>1891.5</v>
      </c>
      <c r="P196" s="28">
        <v>1891.5</v>
      </c>
      <c r="Q196" s="28">
        <v>1891.5</v>
      </c>
      <c r="R196" s="28">
        <v>1891.5</v>
      </c>
      <c r="S196" s="28">
        <v>1891.5</v>
      </c>
      <c r="T196" s="28">
        <v>1891.5</v>
      </c>
      <c r="U196" s="28">
        <v>1891.5</v>
      </c>
      <c r="V196" s="25"/>
      <c r="W196" s="26"/>
      <c r="X196" s="26"/>
      <c r="Y196" s="26"/>
      <c r="Z196" s="26"/>
      <c r="AA196" s="26"/>
      <c r="AB196" s="30"/>
      <c r="AC196" s="21">
        <f t="shared" si="59"/>
        <v>6922890</v>
      </c>
      <c r="AD196" s="24"/>
    </row>
    <row r="197" spans="1:30" ht="16.3" thickBot="1" x14ac:dyDescent="0.35">
      <c r="A197">
        <v>2033</v>
      </c>
      <c r="C197" s="66"/>
      <c r="D197">
        <v>365</v>
      </c>
      <c r="E197" s="20"/>
      <c r="F197" s="18"/>
      <c r="G197" s="18"/>
      <c r="H197" s="18"/>
      <c r="I197" s="18"/>
      <c r="J197" s="18"/>
      <c r="K197" s="31"/>
      <c r="L197" s="27">
        <v>1988.3</v>
      </c>
      <c r="M197" s="28">
        <v>1988.3</v>
      </c>
      <c r="N197" s="28">
        <v>1988.3</v>
      </c>
      <c r="O197" s="28">
        <v>1988.3</v>
      </c>
      <c r="P197" s="28">
        <v>1988.3</v>
      </c>
      <c r="Q197" s="28">
        <v>1988.3</v>
      </c>
      <c r="R197" s="28">
        <v>1988.3</v>
      </c>
      <c r="S197" s="28">
        <v>1988.3</v>
      </c>
      <c r="T197" s="28">
        <v>1988.3</v>
      </c>
      <c r="U197" s="28">
        <v>1988.3</v>
      </c>
      <c r="V197" s="20"/>
      <c r="W197" s="18"/>
      <c r="X197" s="18"/>
      <c r="Y197" s="18"/>
      <c r="Z197" s="18"/>
      <c r="AA197" s="18"/>
      <c r="AB197" s="31"/>
      <c r="AC197" s="21">
        <f t="shared" si="59"/>
        <v>7257295</v>
      </c>
      <c r="AD197" s="24"/>
    </row>
    <row r="198" spans="1:30" ht="15.65" x14ac:dyDescent="0.3">
      <c r="AC198" s="23">
        <f>SUM(AC192:AC197)</f>
        <v>56138562.780000001</v>
      </c>
      <c r="AD198" s="24">
        <f>AC198+AC189</f>
        <v>308742462.59000003</v>
      </c>
    </row>
    <row r="199" spans="1:30" x14ac:dyDescent="0.3">
      <c r="AC199" s="32"/>
      <c r="AD199" s="24"/>
    </row>
  </sheetData>
  <mergeCells count="190">
    <mergeCell ref="C193:C197"/>
    <mergeCell ref="A183:A185"/>
    <mergeCell ref="B183:B185"/>
    <mergeCell ref="AC183:AC185"/>
    <mergeCell ref="A186:A188"/>
    <mergeCell ref="B186:B188"/>
    <mergeCell ref="AC186:AC188"/>
    <mergeCell ref="A177:A179"/>
    <mergeCell ref="B177:B179"/>
    <mergeCell ref="AC177:AC179"/>
    <mergeCell ref="A180:A182"/>
    <mergeCell ref="B180:B182"/>
    <mergeCell ref="AC180:AC182"/>
    <mergeCell ref="A171:A173"/>
    <mergeCell ref="B171:B173"/>
    <mergeCell ref="AC171:AC173"/>
    <mergeCell ref="A174:A176"/>
    <mergeCell ref="B174:B176"/>
    <mergeCell ref="AC174:AC176"/>
    <mergeCell ref="A165:A167"/>
    <mergeCell ref="B165:B167"/>
    <mergeCell ref="AC165:AC167"/>
    <mergeCell ref="A168:A170"/>
    <mergeCell ref="B168:B170"/>
    <mergeCell ref="AC168:AC170"/>
    <mergeCell ref="A159:A161"/>
    <mergeCell ref="B159:B161"/>
    <mergeCell ref="AC159:AC161"/>
    <mergeCell ref="A162:A164"/>
    <mergeCell ref="B162:B164"/>
    <mergeCell ref="AC162:AC164"/>
    <mergeCell ref="A153:A155"/>
    <mergeCell ref="B153:B155"/>
    <mergeCell ref="AC153:AC155"/>
    <mergeCell ref="A156:A158"/>
    <mergeCell ref="B156:B158"/>
    <mergeCell ref="AC156:AC158"/>
    <mergeCell ref="A147:A149"/>
    <mergeCell ref="B147:B149"/>
    <mergeCell ref="AC147:AC149"/>
    <mergeCell ref="A150:A152"/>
    <mergeCell ref="B150:B152"/>
    <mergeCell ref="AC150:AC152"/>
    <mergeCell ref="A141:A143"/>
    <mergeCell ref="B141:B143"/>
    <mergeCell ref="AC141:AC143"/>
    <mergeCell ref="A144:A146"/>
    <mergeCell ref="B144:B146"/>
    <mergeCell ref="AC144:AC146"/>
    <mergeCell ref="A135:A137"/>
    <mergeCell ref="B135:B137"/>
    <mergeCell ref="AC135:AC137"/>
    <mergeCell ref="A138:A140"/>
    <mergeCell ref="B138:B140"/>
    <mergeCell ref="AC138:AC140"/>
    <mergeCell ref="A129:A131"/>
    <mergeCell ref="B129:B131"/>
    <mergeCell ref="AC129:AC131"/>
    <mergeCell ref="A132:A134"/>
    <mergeCell ref="B132:B134"/>
    <mergeCell ref="AC132:AC134"/>
    <mergeCell ref="A123:A125"/>
    <mergeCell ref="B123:B125"/>
    <mergeCell ref="AC123:AC125"/>
    <mergeCell ref="A126:A128"/>
    <mergeCell ref="B126:B128"/>
    <mergeCell ref="AC126:AC128"/>
    <mergeCell ref="A117:A119"/>
    <mergeCell ref="B117:B119"/>
    <mergeCell ref="AC117:AC119"/>
    <mergeCell ref="A120:A122"/>
    <mergeCell ref="B120:B122"/>
    <mergeCell ref="AC120:AC122"/>
    <mergeCell ref="A111:A113"/>
    <mergeCell ref="B111:B113"/>
    <mergeCell ref="AC111:AC113"/>
    <mergeCell ref="A114:A116"/>
    <mergeCell ref="B114:B116"/>
    <mergeCell ref="AC114:AC116"/>
    <mergeCell ref="A105:A107"/>
    <mergeCell ref="B105:B107"/>
    <mergeCell ref="AC105:AC107"/>
    <mergeCell ref="A108:A110"/>
    <mergeCell ref="B108:B110"/>
    <mergeCell ref="AC108:AC110"/>
    <mergeCell ref="A99:A101"/>
    <mergeCell ref="B99:B101"/>
    <mergeCell ref="AC99:AC101"/>
    <mergeCell ref="A102:A104"/>
    <mergeCell ref="B102:B104"/>
    <mergeCell ref="AC102:AC104"/>
    <mergeCell ref="A93:A95"/>
    <mergeCell ref="B93:B95"/>
    <mergeCell ref="AC93:AC95"/>
    <mergeCell ref="A96:A98"/>
    <mergeCell ref="B96:B98"/>
    <mergeCell ref="AC96:AC98"/>
    <mergeCell ref="A87:A89"/>
    <mergeCell ref="B87:B89"/>
    <mergeCell ref="AC87:AC89"/>
    <mergeCell ref="A90:A92"/>
    <mergeCell ref="B90:B92"/>
    <mergeCell ref="AC90:AC92"/>
    <mergeCell ref="A81:A83"/>
    <mergeCell ref="B81:B83"/>
    <mergeCell ref="AC81:AC83"/>
    <mergeCell ref="A84:A86"/>
    <mergeCell ref="B84:B86"/>
    <mergeCell ref="AC84:AC86"/>
    <mergeCell ref="A75:A77"/>
    <mergeCell ref="B75:B77"/>
    <mergeCell ref="AC75:AC77"/>
    <mergeCell ref="A78:A80"/>
    <mergeCell ref="B78:B80"/>
    <mergeCell ref="AC78:AC80"/>
    <mergeCell ref="A69:A71"/>
    <mergeCell ref="B69:B71"/>
    <mergeCell ref="AC69:AC71"/>
    <mergeCell ref="A72:A74"/>
    <mergeCell ref="B72:B74"/>
    <mergeCell ref="AC72:AC74"/>
    <mergeCell ref="A63:A65"/>
    <mergeCell ref="B63:B65"/>
    <mergeCell ref="AC63:AC65"/>
    <mergeCell ref="A66:A68"/>
    <mergeCell ref="B66:B68"/>
    <mergeCell ref="AC66:AC68"/>
    <mergeCell ref="A57:A59"/>
    <mergeCell ref="B57:B59"/>
    <mergeCell ref="AC57:AC59"/>
    <mergeCell ref="A60:A62"/>
    <mergeCell ref="B60:B62"/>
    <mergeCell ref="AC60:AC62"/>
    <mergeCell ref="A51:A53"/>
    <mergeCell ref="B51:B53"/>
    <mergeCell ref="AC51:AC53"/>
    <mergeCell ref="A54:A56"/>
    <mergeCell ref="B54:B56"/>
    <mergeCell ref="AC54:AC56"/>
    <mergeCell ref="A45:A47"/>
    <mergeCell ref="B45:B47"/>
    <mergeCell ref="AC45:AC47"/>
    <mergeCell ref="A48:A50"/>
    <mergeCell ref="B48:B50"/>
    <mergeCell ref="AC48:AC50"/>
    <mergeCell ref="A39:A41"/>
    <mergeCell ref="B39:B41"/>
    <mergeCell ref="AC39:AC41"/>
    <mergeCell ref="A42:A44"/>
    <mergeCell ref="B42:B44"/>
    <mergeCell ref="AC42:AC44"/>
    <mergeCell ref="A33:A35"/>
    <mergeCell ref="B33:B35"/>
    <mergeCell ref="AC33:AC35"/>
    <mergeCell ref="A36:A38"/>
    <mergeCell ref="B36:B38"/>
    <mergeCell ref="AC36:AC38"/>
    <mergeCell ref="A27:A29"/>
    <mergeCell ref="B27:B29"/>
    <mergeCell ref="AC27:AC29"/>
    <mergeCell ref="A30:A32"/>
    <mergeCell ref="B30:B32"/>
    <mergeCell ref="AC30:AC32"/>
    <mergeCell ref="A21:A23"/>
    <mergeCell ref="B21:B23"/>
    <mergeCell ref="AC21:AC23"/>
    <mergeCell ref="A24:A26"/>
    <mergeCell ref="B24:B26"/>
    <mergeCell ref="AC24:AC26"/>
    <mergeCell ref="A15:A17"/>
    <mergeCell ref="B15:B17"/>
    <mergeCell ref="AC15:AC17"/>
    <mergeCell ref="A18:A20"/>
    <mergeCell ref="B18:B20"/>
    <mergeCell ref="AC18:AC20"/>
    <mergeCell ref="A9:A11"/>
    <mergeCell ref="B9:B11"/>
    <mergeCell ref="AC9:AC11"/>
    <mergeCell ref="A12:A14"/>
    <mergeCell ref="B12:B14"/>
    <mergeCell ref="AC12:AC14"/>
    <mergeCell ref="A1:AC1"/>
    <mergeCell ref="A2:AC2"/>
    <mergeCell ref="A3:AC3"/>
    <mergeCell ref="A4:AC4"/>
    <mergeCell ref="A5:AC5"/>
    <mergeCell ref="A7:A8"/>
    <mergeCell ref="B7:B8"/>
    <mergeCell ref="C7:C8"/>
    <mergeCell ref="AC7:A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33D4-9864-47CB-8913-86E564CCB166}">
  <sheetPr>
    <pageSetUpPr fitToPage="1"/>
  </sheetPr>
  <dimension ref="A1:H81"/>
  <sheetViews>
    <sheetView showGridLines="0" view="pageBreakPreview" topLeftCell="A66" zoomScaleNormal="75" zoomScaleSheetLayoutView="100" workbookViewId="0">
      <selection activeCell="E9" sqref="E9"/>
    </sheetView>
  </sheetViews>
  <sheetFormatPr baseColWidth="10" defaultColWidth="11.44140625" defaultRowHeight="12.55" x14ac:dyDescent="0.2"/>
  <cols>
    <col min="1" max="1" width="11.109375" style="39" customWidth="1"/>
    <col min="2" max="2" width="18.6640625" style="39" customWidth="1"/>
    <col min="3" max="3" width="17.6640625" style="39" customWidth="1"/>
    <col min="4" max="4" width="12.44140625" style="39" customWidth="1"/>
    <col min="5" max="5" width="39.6640625" style="39" customWidth="1"/>
    <col min="6" max="16384" width="11.44140625" style="39"/>
  </cols>
  <sheetData>
    <row r="1" spans="1:8" ht="13.15" thickBot="1" x14ac:dyDescent="0.25"/>
    <row r="2" spans="1:8" s="40" customFormat="1" ht="16.45" customHeight="1" x14ac:dyDescent="0.25">
      <c r="A2" s="97" t="s">
        <v>41</v>
      </c>
      <c r="B2" s="98"/>
      <c r="C2" s="98"/>
      <c r="D2" s="98"/>
      <c r="E2" s="99"/>
    </row>
    <row r="3" spans="1:8" s="40" customFormat="1" ht="16.45" customHeight="1" x14ac:dyDescent="0.25">
      <c r="A3" s="100" t="s">
        <v>53</v>
      </c>
      <c r="B3" s="101"/>
      <c r="C3" s="101"/>
      <c r="D3" s="101"/>
      <c r="E3" s="102"/>
    </row>
    <row r="4" spans="1:8" s="40" customFormat="1" ht="16.45" customHeight="1" x14ac:dyDescent="0.25">
      <c r="A4" s="100" t="s">
        <v>42</v>
      </c>
      <c r="B4" s="101"/>
      <c r="C4" s="101"/>
      <c r="D4" s="101"/>
      <c r="E4" s="102"/>
    </row>
    <row r="5" spans="1:8" s="40" customFormat="1" ht="16.45" customHeight="1" x14ac:dyDescent="0.25">
      <c r="A5" s="100" t="s">
        <v>3</v>
      </c>
      <c r="B5" s="101"/>
      <c r="C5" s="101"/>
      <c r="D5" s="101"/>
      <c r="E5" s="102"/>
    </row>
    <row r="6" spans="1:8" s="40" customFormat="1" ht="16.45" customHeight="1" thickBot="1" x14ac:dyDescent="0.3">
      <c r="A6" s="103" t="s">
        <v>52</v>
      </c>
      <c r="B6" s="104"/>
      <c r="C6" s="104"/>
      <c r="D6" s="104"/>
      <c r="E6" s="105"/>
    </row>
    <row r="7" spans="1:8" s="41" customFormat="1" ht="15.05" customHeight="1" x14ac:dyDescent="0.25">
      <c r="A7" s="86" t="s">
        <v>6</v>
      </c>
      <c r="B7" s="89" t="s">
        <v>43</v>
      </c>
      <c r="C7" s="91" t="s">
        <v>44</v>
      </c>
      <c r="D7" s="92"/>
      <c r="E7" s="93"/>
    </row>
    <row r="8" spans="1:8" s="41" customFormat="1" ht="26.45" customHeight="1" x14ac:dyDescent="0.25">
      <c r="A8" s="87"/>
      <c r="B8" s="90"/>
      <c r="C8" s="94" t="s">
        <v>45</v>
      </c>
      <c r="D8" s="95"/>
      <c r="E8" s="96"/>
    </row>
    <row r="9" spans="1:8" s="41" customFormat="1" ht="53.7" customHeight="1" x14ac:dyDescent="0.25">
      <c r="A9" s="88"/>
      <c r="B9" s="42" t="s">
        <v>46</v>
      </c>
      <c r="C9" s="42" t="s">
        <v>47</v>
      </c>
      <c r="D9" s="42" t="s">
        <v>48</v>
      </c>
      <c r="E9" s="42" t="s">
        <v>54</v>
      </c>
    </row>
    <row r="10" spans="1:8" s="41" customFormat="1" ht="13.8" thickBot="1" x14ac:dyDescent="0.3">
      <c r="A10" s="43"/>
      <c r="B10" s="44"/>
      <c r="C10" s="44"/>
      <c r="D10" s="44"/>
      <c r="E10" s="45"/>
      <c r="H10" s="46"/>
    </row>
    <row r="11" spans="1:8" ht="16.45" customHeight="1" x14ac:dyDescent="0.2">
      <c r="A11" s="47">
        <v>47119</v>
      </c>
      <c r="B11" s="63">
        <v>4098785.5899999989</v>
      </c>
      <c r="C11" s="48">
        <v>1</v>
      </c>
      <c r="D11" s="49"/>
      <c r="E11" s="82"/>
    </row>
    <row r="12" spans="1:8" ht="16.45" customHeight="1" x14ac:dyDescent="0.2">
      <c r="A12" s="50">
        <v>47150</v>
      </c>
      <c r="B12" s="51">
        <v>3712458.7600000007</v>
      </c>
      <c r="C12" s="52">
        <v>1</v>
      </c>
      <c r="D12" s="53"/>
      <c r="E12" s="83"/>
    </row>
    <row r="13" spans="1:8" ht="16.45" customHeight="1" x14ac:dyDescent="0.2">
      <c r="A13" s="50">
        <v>47178</v>
      </c>
      <c r="B13" s="51">
        <v>3960830.51</v>
      </c>
      <c r="C13" s="52">
        <v>1</v>
      </c>
      <c r="D13" s="53"/>
      <c r="E13" s="83"/>
    </row>
    <row r="14" spans="1:8" ht="16.45" customHeight="1" x14ac:dyDescent="0.2">
      <c r="A14" s="50">
        <v>47209</v>
      </c>
      <c r="B14" s="51">
        <v>4005391.379999999</v>
      </c>
      <c r="C14" s="52">
        <v>1</v>
      </c>
      <c r="D14" s="53"/>
      <c r="E14" s="83"/>
    </row>
    <row r="15" spans="1:8" ht="16.45" customHeight="1" x14ac:dyDescent="0.2">
      <c r="A15" s="50">
        <v>47239</v>
      </c>
      <c r="B15" s="51">
        <v>3902733.3600000003</v>
      </c>
      <c r="C15" s="52">
        <v>1</v>
      </c>
      <c r="D15" s="53"/>
      <c r="E15" s="83"/>
    </row>
    <row r="16" spans="1:8" ht="16.45" customHeight="1" x14ac:dyDescent="0.2">
      <c r="A16" s="50">
        <v>47270</v>
      </c>
      <c r="B16" s="51">
        <v>3528555.5850000004</v>
      </c>
      <c r="C16" s="52">
        <v>1</v>
      </c>
      <c r="D16" s="53"/>
      <c r="E16" s="83"/>
    </row>
    <row r="17" spans="1:5" ht="16.45" customHeight="1" x14ac:dyDescent="0.2">
      <c r="A17" s="50">
        <v>47300</v>
      </c>
      <c r="B17" s="51">
        <v>3803505.3049999997</v>
      </c>
      <c r="C17" s="52">
        <v>1</v>
      </c>
      <c r="D17" s="53"/>
      <c r="E17" s="83"/>
    </row>
    <row r="18" spans="1:5" ht="16.45" customHeight="1" x14ac:dyDescent="0.2">
      <c r="A18" s="50">
        <v>47331</v>
      </c>
      <c r="B18" s="51">
        <v>4090187.2599999993</v>
      </c>
      <c r="C18" s="52">
        <v>1</v>
      </c>
      <c r="D18" s="53"/>
      <c r="E18" s="83"/>
    </row>
    <row r="19" spans="1:5" ht="16.45" customHeight="1" x14ac:dyDescent="0.2">
      <c r="A19" s="50">
        <v>47362</v>
      </c>
      <c r="B19" s="51">
        <v>4049610.399999999</v>
      </c>
      <c r="C19" s="52">
        <v>1</v>
      </c>
      <c r="D19" s="53"/>
      <c r="E19" s="83"/>
    </row>
    <row r="20" spans="1:5" ht="16.45" customHeight="1" x14ac:dyDescent="0.2">
      <c r="A20" s="50">
        <v>47392</v>
      </c>
      <c r="B20" s="51">
        <v>4309177.6800000016</v>
      </c>
      <c r="C20" s="52">
        <v>1</v>
      </c>
      <c r="D20" s="53"/>
      <c r="E20" s="83"/>
    </row>
    <row r="21" spans="1:5" ht="16.45" customHeight="1" x14ac:dyDescent="0.2">
      <c r="A21" s="50">
        <v>47423</v>
      </c>
      <c r="B21" s="51">
        <v>4023399.8399999994</v>
      </c>
      <c r="C21" s="52">
        <v>1</v>
      </c>
      <c r="D21" s="53"/>
      <c r="E21" s="83"/>
    </row>
    <row r="22" spans="1:5" ht="16.45" customHeight="1" x14ac:dyDescent="0.2">
      <c r="A22" s="50">
        <v>47453</v>
      </c>
      <c r="B22" s="51">
        <v>4057095.5950000007</v>
      </c>
      <c r="C22" s="52">
        <v>1</v>
      </c>
      <c r="D22" s="53"/>
      <c r="E22" s="83"/>
    </row>
    <row r="23" spans="1:5" ht="16.45" customHeight="1" x14ac:dyDescent="0.2">
      <c r="A23" s="50">
        <v>47484</v>
      </c>
      <c r="B23" s="51">
        <v>4221490.9399999995</v>
      </c>
      <c r="C23" s="52">
        <v>1</v>
      </c>
      <c r="D23" s="53"/>
      <c r="E23" s="83"/>
    </row>
    <row r="24" spans="1:5" ht="16.45" customHeight="1" x14ac:dyDescent="0.2">
      <c r="A24" s="50">
        <v>47515</v>
      </c>
      <c r="B24" s="51">
        <v>3823599.0200000005</v>
      </c>
      <c r="C24" s="52">
        <v>1</v>
      </c>
      <c r="D24" s="53"/>
      <c r="E24" s="83"/>
    </row>
    <row r="25" spans="1:5" ht="16.45" customHeight="1" x14ac:dyDescent="0.2">
      <c r="A25" s="50">
        <v>47543</v>
      </c>
      <c r="B25" s="51">
        <v>4088851.78</v>
      </c>
      <c r="C25" s="52">
        <v>1</v>
      </c>
      <c r="D25" s="53"/>
      <c r="E25" s="83"/>
    </row>
    <row r="26" spans="1:5" ht="16.45" customHeight="1" x14ac:dyDescent="0.2">
      <c r="A26" s="50">
        <v>47574</v>
      </c>
      <c r="B26" s="51">
        <v>4122640.5199999996</v>
      </c>
      <c r="C26" s="52">
        <v>1</v>
      </c>
      <c r="D26" s="53"/>
      <c r="E26" s="83"/>
    </row>
    <row r="27" spans="1:5" ht="16.45" customHeight="1" x14ac:dyDescent="0.2">
      <c r="A27" s="50">
        <v>47604</v>
      </c>
      <c r="B27" s="51">
        <v>4025002.4850000003</v>
      </c>
      <c r="C27" s="52">
        <v>1</v>
      </c>
      <c r="D27" s="53"/>
      <c r="E27" s="83"/>
    </row>
    <row r="28" spans="1:5" ht="16.45" customHeight="1" x14ac:dyDescent="0.2">
      <c r="A28" s="50">
        <v>47635</v>
      </c>
      <c r="B28" s="51">
        <v>3629206.605</v>
      </c>
      <c r="C28" s="52">
        <v>1</v>
      </c>
      <c r="D28" s="53"/>
      <c r="E28" s="83"/>
    </row>
    <row r="29" spans="1:5" ht="16.45" customHeight="1" x14ac:dyDescent="0.2">
      <c r="A29" s="50">
        <v>47665</v>
      </c>
      <c r="B29" s="51">
        <v>3936522.89</v>
      </c>
      <c r="C29" s="52">
        <v>1</v>
      </c>
      <c r="D29" s="53"/>
      <c r="E29" s="83"/>
    </row>
    <row r="30" spans="1:5" ht="16.45" customHeight="1" x14ac:dyDescent="0.2">
      <c r="A30" s="50">
        <v>47696</v>
      </c>
      <c r="B30" s="51">
        <v>4215768.2849999992</v>
      </c>
      <c r="C30" s="52">
        <v>1</v>
      </c>
      <c r="D30" s="53"/>
      <c r="E30" s="83"/>
    </row>
    <row r="31" spans="1:5" ht="16.45" customHeight="1" x14ac:dyDescent="0.2">
      <c r="A31" s="50">
        <v>47727</v>
      </c>
      <c r="B31" s="51">
        <v>4166999.6449999991</v>
      </c>
      <c r="C31" s="52">
        <v>1</v>
      </c>
      <c r="D31" s="53"/>
      <c r="E31" s="83"/>
    </row>
    <row r="32" spans="1:5" ht="16.45" customHeight="1" x14ac:dyDescent="0.2">
      <c r="A32" s="50">
        <v>47757</v>
      </c>
      <c r="B32" s="51">
        <v>4438194.5150000006</v>
      </c>
      <c r="C32" s="52">
        <v>1</v>
      </c>
      <c r="D32" s="54"/>
      <c r="E32" s="83"/>
    </row>
    <row r="33" spans="1:5" ht="16.45" customHeight="1" x14ac:dyDescent="0.2">
      <c r="A33" s="50">
        <v>47788</v>
      </c>
      <c r="B33" s="51">
        <v>4138458.6350000016</v>
      </c>
      <c r="C33" s="52">
        <v>1</v>
      </c>
      <c r="D33" s="54"/>
      <c r="E33" s="83"/>
    </row>
    <row r="34" spans="1:5" ht="16.45" customHeight="1" x14ac:dyDescent="0.2">
      <c r="A34" s="50">
        <v>47818</v>
      </c>
      <c r="B34" s="51">
        <v>4187774.3400000008</v>
      </c>
      <c r="C34" s="52">
        <v>1</v>
      </c>
      <c r="D34" s="54"/>
      <c r="E34" s="83"/>
    </row>
    <row r="35" spans="1:5" ht="16.45" customHeight="1" x14ac:dyDescent="0.2">
      <c r="A35" s="50">
        <v>47849</v>
      </c>
      <c r="B35" s="51">
        <v>4347978.6499999994</v>
      </c>
      <c r="C35" s="52">
        <v>1</v>
      </c>
      <c r="D35" s="54"/>
      <c r="E35" s="83"/>
    </row>
    <row r="36" spans="1:5" ht="16.45" customHeight="1" x14ac:dyDescent="0.2">
      <c r="A36" s="50">
        <v>47880</v>
      </c>
      <c r="B36" s="51">
        <v>3938165.3200000008</v>
      </c>
      <c r="C36" s="52">
        <v>1</v>
      </c>
      <c r="D36" s="54"/>
      <c r="E36" s="83"/>
    </row>
    <row r="37" spans="1:5" ht="16.45" customHeight="1" x14ac:dyDescent="0.2">
      <c r="A37" s="50">
        <v>47908</v>
      </c>
      <c r="B37" s="51">
        <v>4211360.7050000001</v>
      </c>
      <c r="C37" s="52">
        <v>1</v>
      </c>
      <c r="D37" s="54"/>
      <c r="E37" s="83"/>
    </row>
    <row r="38" spans="1:5" ht="16.45" customHeight="1" x14ac:dyDescent="0.2">
      <c r="A38" s="50">
        <v>47939</v>
      </c>
      <c r="B38" s="51">
        <v>4246167.91</v>
      </c>
      <c r="C38" s="52">
        <v>1</v>
      </c>
      <c r="D38" s="54"/>
      <c r="E38" s="83"/>
    </row>
    <row r="39" spans="1:5" ht="16.45" customHeight="1" x14ac:dyDescent="0.2">
      <c r="A39" s="50">
        <v>47969</v>
      </c>
      <c r="B39" s="51">
        <v>4135486.0100000002</v>
      </c>
      <c r="C39" s="52">
        <v>1</v>
      </c>
      <c r="D39" s="54"/>
      <c r="E39" s="83"/>
    </row>
    <row r="40" spans="1:5" ht="16.45" customHeight="1" x14ac:dyDescent="0.2">
      <c r="A40" s="50">
        <v>48000</v>
      </c>
      <c r="B40" s="51">
        <v>3732798.0900000008</v>
      </c>
      <c r="C40" s="52">
        <v>1</v>
      </c>
      <c r="D40" s="54"/>
      <c r="E40" s="83"/>
    </row>
    <row r="41" spans="1:5" ht="16.45" customHeight="1" x14ac:dyDescent="0.2">
      <c r="A41" s="50">
        <v>48030</v>
      </c>
      <c r="B41" s="51">
        <v>4076171.5249999994</v>
      </c>
      <c r="C41" s="52">
        <v>1</v>
      </c>
      <c r="D41" s="54"/>
      <c r="E41" s="83"/>
    </row>
    <row r="42" spans="1:5" ht="16.45" customHeight="1" x14ac:dyDescent="0.2">
      <c r="A42" s="50">
        <v>48061</v>
      </c>
      <c r="B42" s="51">
        <v>4330411.7200000007</v>
      </c>
      <c r="C42" s="52">
        <v>1</v>
      </c>
      <c r="D42" s="54"/>
      <c r="E42" s="83"/>
    </row>
    <row r="43" spans="1:5" ht="16.45" customHeight="1" x14ac:dyDescent="0.2">
      <c r="A43" s="50">
        <v>48092</v>
      </c>
      <c r="B43" s="51">
        <v>4310982.7100000009</v>
      </c>
      <c r="C43" s="52">
        <v>1</v>
      </c>
      <c r="D43" s="54"/>
      <c r="E43" s="83"/>
    </row>
    <row r="44" spans="1:5" ht="16.45" customHeight="1" x14ac:dyDescent="0.2">
      <c r="A44" s="50">
        <v>48122</v>
      </c>
      <c r="B44" s="51">
        <v>4571183.6900000013</v>
      </c>
      <c r="C44" s="52">
        <v>1</v>
      </c>
      <c r="D44" s="54"/>
      <c r="E44" s="83"/>
    </row>
    <row r="45" spans="1:5" ht="16.45" customHeight="1" x14ac:dyDescent="0.2">
      <c r="A45" s="50">
        <v>48153</v>
      </c>
      <c r="B45" s="51">
        <v>4249426.2449999992</v>
      </c>
      <c r="C45" s="52">
        <v>1</v>
      </c>
      <c r="D45" s="54"/>
      <c r="E45" s="83"/>
    </row>
    <row r="46" spans="1:5" ht="16.45" customHeight="1" x14ac:dyDescent="0.2">
      <c r="A46" s="50">
        <v>48183</v>
      </c>
      <c r="B46" s="51">
        <v>4313250.9850000022</v>
      </c>
      <c r="C46" s="52">
        <v>1</v>
      </c>
      <c r="D46" s="54"/>
      <c r="E46" s="83"/>
    </row>
    <row r="47" spans="1:5" ht="16.45" customHeight="1" x14ac:dyDescent="0.2">
      <c r="A47" s="50">
        <v>48214</v>
      </c>
      <c r="B47" s="51">
        <v>4470378.8199999994</v>
      </c>
      <c r="C47" s="52">
        <v>1</v>
      </c>
      <c r="D47" s="54"/>
      <c r="E47" s="83"/>
    </row>
    <row r="48" spans="1:5" ht="16.45" customHeight="1" x14ac:dyDescent="0.2">
      <c r="A48" s="50">
        <v>48245</v>
      </c>
      <c r="B48" s="51">
        <v>4193941.5400000005</v>
      </c>
      <c r="C48" s="52">
        <v>1</v>
      </c>
      <c r="D48" s="54"/>
      <c r="E48" s="83"/>
    </row>
    <row r="49" spans="1:5" ht="16.45" customHeight="1" x14ac:dyDescent="0.2">
      <c r="A49" s="50">
        <v>48274</v>
      </c>
      <c r="B49" s="51">
        <v>4335946.040000001</v>
      </c>
      <c r="C49" s="52">
        <v>1</v>
      </c>
      <c r="D49" s="54"/>
      <c r="E49" s="83"/>
    </row>
    <row r="50" spans="1:5" ht="16.45" customHeight="1" x14ac:dyDescent="0.2">
      <c r="A50" s="50">
        <v>48305</v>
      </c>
      <c r="B50" s="51">
        <v>4379743.4999999991</v>
      </c>
      <c r="C50" s="52">
        <v>1</v>
      </c>
      <c r="D50" s="54"/>
      <c r="E50" s="83"/>
    </row>
    <row r="51" spans="1:5" ht="16.45" customHeight="1" x14ac:dyDescent="0.2">
      <c r="A51" s="50">
        <v>48335</v>
      </c>
      <c r="B51" s="51">
        <v>4253190.5899999989</v>
      </c>
      <c r="C51" s="52">
        <v>1</v>
      </c>
      <c r="D51" s="54"/>
      <c r="E51" s="83"/>
    </row>
    <row r="52" spans="1:5" ht="16.45" customHeight="1" x14ac:dyDescent="0.2">
      <c r="A52" s="50">
        <v>48366</v>
      </c>
      <c r="B52" s="51">
        <v>3861094.8149999985</v>
      </c>
      <c r="C52" s="52">
        <v>1</v>
      </c>
      <c r="D52" s="54"/>
      <c r="E52" s="83"/>
    </row>
    <row r="53" spans="1:5" ht="16.45" customHeight="1" x14ac:dyDescent="0.2">
      <c r="A53" s="50">
        <v>48396</v>
      </c>
      <c r="B53" s="51">
        <v>4164443.8699999996</v>
      </c>
      <c r="C53" s="52">
        <v>1</v>
      </c>
      <c r="D53" s="54"/>
      <c r="E53" s="83"/>
    </row>
    <row r="54" spans="1:5" ht="16.45" customHeight="1" x14ac:dyDescent="0.2">
      <c r="A54" s="50">
        <v>48427</v>
      </c>
      <c r="B54" s="51">
        <v>4454233.5099999988</v>
      </c>
      <c r="C54" s="52">
        <v>1</v>
      </c>
      <c r="D54" s="54"/>
      <c r="E54" s="83"/>
    </row>
    <row r="55" spans="1:5" ht="16.45" customHeight="1" x14ac:dyDescent="0.2">
      <c r="A55" s="50">
        <v>48458</v>
      </c>
      <c r="B55" s="51">
        <v>4440852.9000000013</v>
      </c>
      <c r="C55" s="52">
        <v>1</v>
      </c>
      <c r="D55" s="54"/>
      <c r="E55" s="83"/>
    </row>
    <row r="56" spans="1:5" ht="16.45" customHeight="1" x14ac:dyDescent="0.2">
      <c r="A56" s="50">
        <v>48488</v>
      </c>
      <c r="B56" s="51">
        <v>4680297.5249999985</v>
      </c>
      <c r="C56" s="52">
        <v>1</v>
      </c>
      <c r="D56" s="54"/>
      <c r="E56" s="83"/>
    </row>
    <row r="57" spans="1:5" ht="16.45" customHeight="1" x14ac:dyDescent="0.2">
      <c r="A57" s="50">
        <v>48519</v>
      </c>
      <c r="B57" s="51">
        <v>4396597.01</v>
      </c>
      <c r="C57" s="52">
        <v>1</v>
      </c>
      <c r="D57" s="54"/>
      <c r="E57" s="83"/>
    </row>
    <row r="58" spans="1:5" ht="16.45" customHeight="1" x14ac:dyDescent="0.2">
      <c r="A58" s="50">
        <v>48549</v>
      </c>
      <c r="B58" s="51">
        <v>4447537.0100000007</v>
      </c>
      <c r="C58" s="52">
        <v>1</v>
      </c>
      <c r="D58" s="54"/>
      <c r="E58" s="83"/>
    </row>
    <row r="59" spans="1:5" ht="16.45" customHeight="1" x14ac:dyDescent="0.2">
      <c r="A59" s="50">
        <v>48580</v>
      </c>
      <c r="B59" s="51">
        <v>4598780.5100000016</v>
      </c>
      <c r="C59" s="52">
        <v>1</v>
      </c>
      <c r="D59" s="54"/>
      <c r="E59" s="83"/>
    </row>
    <row r="60" spans="1:5" ht="16.45" customHeight="1" x14ac:dyDescent="0.2">
      <c r="A60" s="50">
        <v>48611</v>
      </c>
      <c r="B60" s="51">
        <v>4178247.8199999989</v>
      </c>
      <c r="C60" s="52">
        <v>1</v>
      </c>
      <c r="D60" s="54"/>
      <c r="E60" s="83"/>
    </row>
    <row r="61" spans="1:5" ht="16.45" customHeight="1" x14ac:dyDescent="0.2">
      <c r="A61" s="50">
        <v>48639</v>
      </c>
      <c r="B61" s="51">
        <v>4486386.3149999976</v>
      </c>
      <c r="C61" s="52">
        <v>1</v>
      </c>
      <c r="D61" s="54"/>
      <c r="E61" s="83"/>
    </row>
    <row r="62" spans="1:5" ht="16.45" customHeight="1" x14ac:dyDescent="0.2">
      <c r="A62" s="50">
        <v>48670</v>
      </c>
      <c r="B62" s="51">
        <v>4504605.1850000005</v>
      </c>
      <c r="C62" s="52">
        <v>1</v>
      </c>
      <c r="D62" s="54"/>
      <c r="E62" s="83"/>
    </row>
    <row r="63" spans="1:5" ht="16.45" customHeight="1" x14ac:dyDescent="0.2">
      <c r="A63" s="50">
        <v>48700</v>
      </c>
      <c r="B63" s="51">
        <v>4392386.9400000004</v>
      </c>
      <c r="C63" s="52">
        <v>1</v>
      </c>
      <c r="D63" s="54"/>
      <c r="E63" s="83"/>
    </row>
    <row r="64" spans="1:5" ht="16.45" customHeight="1" x14ac:dyDescent="0.2">
      <c r="A64" s="50">
        <v>48731</v>
      </c>
      <c r="B64" s="51">
        <v>3971221.8599999994</v>
      </c>
      <c r="C64" s="52">
        <v>1</v>
      </c>
      <c r="D64" s="54"/>
      <c r="E64" s="83"/>
    </row>
    <row r="65" spans="1:5" ht="16.45" customHeight="1" x14ac:dyDescent="0.2">
      <c r="A65" s="50">
        <v>48761</v>
      </c>
      <c r="B65" s="51">
        <v>4274416.42</v>
      </c>
      <c r="C65" s="52">
        <v>1</v>
      </c>
      <c r="D65" s="54"/>
      <c r="E65" s="83"/>
    </row>
    <row r="66" spans="1:5" ht="16.45" customHeight="1" x14ac:dyDescent="0.2">
      <c r="A66" s="50">
        <v>48792</v>
      </c>
      <c r="B66" s="51">
        <v>4615752.209999999</v>
      </c>
      <c r="C66" s="52">
        <v>1</v>
      </c>
      <c r="D66" s="54"/>
      <c r="E66" s="83"/>
    </row>
    <row r="67" spans="1:5" ht="16.45" customHeight="1" x14ac:dyDescent="0.2">
      <c r="A67" s="50">
        <v>48823</v>
      </c>
      <c r="B67" s="51">
        <v>4573787.870000001</v>
      </c>
      <c r="C67" s="52">
        <v>1</v>
      </c>
      <c r="D67" s="54"/>
      <c r="E67" s="83"/>
    </row>
    <row r="68" spans="1:5" ht="16.45" customHeight="1" x14ac:dyDescent="0.2">
      <c r="A68" s="50">
        <v>48853</v>
      </c>
      <c r="B68" s="51">
        <v>4820406.0349999964</v>
      </c>
      <c r="C68" s="52">
        <v>1</v>
      </c>
      <c r="D68" s="54"/>
      <c r="E68" s="83"/>
    </row>
    <row r="69" spans="1:5" ht="16.45" customHeight="1" x14ac:dyDescent="0.2">
      <c r="A69" s="50">
        <v>48884</v>
      </c>
      <c r="B69" s="51">
        <v>4528204.160000002</v>
      </c>
      <c r="C69" s="52">
        <v>1</v>
      </c>
      <c r="D69" s="54"/>
      <c r="E69" s="83"/>
    </row>
    <row r="70" spans="1:5" ht="16.45" customHeight="1" thickBot="1" x14ac:dyDescent="0.25">
      <c r="A70" s="50">
        <v>48914</v>
      </c>
      <c r="B70" s="64">
        <v>4581822.870000002</v>
      </c>
      <c r="C70" s="52">
        <v>1</v>
      </c>
      <c r="D70" s="54"/>
      <c r="E70" s="83"/>
    </row>
    <row r="71" spans="1:5" ht="13.8" thickBot="1" x14ac:dyDescent="0.3">
      <c r="A71" s="55" t="s">
        <v>49</v>
      </c>
      <c r="B71" s="62">
        <f>SUM(B11:B70)</f>
        <v>252603899.81</v>
      </c>
      <c r="C71" s="56"/>
      <c r="D71" s="57"/>
      <c r="E71" s="58"/>
    </row>
    <row r="72" spans="1:5" ht="59.95" customHeight="1" thickBot="1" x14ac:dyDescent="0.25">
      <c r="A72" s="84"/>
      <c r="B72" s="84"/>
      <c r="C72" s="84"/>
      <c r="D72" s="59"/>
      <c r="E72" s="59"/>
    </row>
    <row r="73" spans="1:5" ht="13.15" x14ac:dyDescent="0.25">
      <c r="A73" s="60" t="s">
        <v>50</v>
      </c>
      <c r="B73" s="60"/>
    </row>
    <row r="74" spans="1:5" ht="13.15" x14ac:dyDescent="0.25">
      <c r="A74" s="85" t="s">
        <v>51</v>
      </c>
      <c r="B74" s="85"/>
    </row>
    <row r="76" spans="1:5" x14ac:dyDescent="0.2">
      <c r="B76" s="61"/>
    </row>
    <row r="77" spans="1:5" ht="29.3" customHeight="1" x14ac:dyDescent="0.2">
      <c r="A77" s="81"/>
      <c r="B77" s="81"/>
      <c r="C77" s="81"/>
      <c r="D77" s="81"/>
      <c r="E77" s="81"/>
    </row>
    <row r="78" spans="1:5" x14ac:dyDescent="0.2">
      <c r="A78" s="81"/>
      <c r="B78" s="81"/>
      <c r="C78" s="81"/>
      <c r="D78" s="81"/>
      <c r="E78" s="81"/>
    </row>
    <row r="79" spans="1:5" x14ac:dyDescent="0.2">
      <c r="A79" s="81"/>
      <c r="B79" s="81"/>
    </row>
    <row r="80" spans="1:5" x14ac:dyDescent="0.2">
      <c r="A80" s="81"/>
      <c r="B80" s="81"/>
    </row>
    <row r="81" spans="1:2" x14ac:dyDescent="0.2">
      <c r="A81" s="81"/>
      <c r="B81" s="81"/>
    </row>
  </sheetData>
  <mergeCells count="17">
    <mergeCell ref="A7:A9"/>
    <mergeCell ref="B7:B8"/>
    <mergeCell ref="C7:E7"/>
    <mergeCell ref="C8:E8"/>
    <mergeCell ref="A2:E2"/>
    <mergeCell ref="A3:E3"/>
    <mergeCell ref="A4:E4"/>
    <mergeCell ref="A5:E5"/>
    <mergeCell ref="A6:E6"/>
    <mergeCell ref="A80:B80"/>
    <mergeCell ref="A81:B81"/>
    <mergeCell ref="E11:E70"/>
    <mergeCell ref="A72:C72"/>
    <mergeCell ref="A74:B74"/>
    <mergeCell ref="A77:E77"/>
    <mergeCell ref="A78:E78"/>
    <mergeCell ref="A79:B79"/>
  </mergeCells>
  <printOptions horizontalCentered="1" verticalCentered="1"/>
  <pageMargins left="0.98425196850393704" right="0.98425196850393704" top="1.3779527559055118" bottom="1.3779527559055118" header="0.70866141732283472" footer="0.51181102362204722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Curv hora 2029 - 2033 (100%)</vt:lpstr>
      <vt:lpstr>Curv hora 2029 - 2033</vt:lpstr>
      <vt:lpstr>Cantidad maxima </vt:lpstr>
      <vt:lpstr>'Cantidad maxima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Subgerente Comercialización</dc:creator>
  <cp:lastModifiedBy>Asesor Contratacion</cp:lastModifiedBy>
  <dcterms:created xsi:type="dcterms:W3CDTF">2025-06-06T15:17:24Z</dcterms:created>
  <dcterms:modified xsi:type="dcterms:W3CDTF">2025-09-10T16:44:55Z</dcterms:modified>
</cp:coreProperties>
</file>