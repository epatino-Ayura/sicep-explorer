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itoqueesp1-my.sharepoint.com/personal/dsolano_ruitoqueenergia_com/Documents/Mercado Mayorista - One Drive/10.SICEP-CONVOCATORIAS/Convocatorias 2026/CP-RTQC2026-001/Pliegos de condiciones definitivos/"/>
    </mc:Choice>
  </mc:AlternateContent>
  <xr:revisionPtr revIDLastSave="2276" documentId="13_ncr:1_{11F35ADC-379E-4BD7-8991-7E8EB018DC3C}" xr6:coauthVersionLast="47" xr6:coauthVersionMax="47" xr10:uidLastSave="{CA74E861-3876-4967-BB3F-06B57E61210B}"/>
  <bookViews>
    <workbookView xWindow="-105" yWindow="-16320" windowWidth="29040" windowHeight="15720" xr2:uid="{117BC80B-6DD0-4D14-894B-3D9BEC6851BA}"/>
  </bookViews>
  <sheets>
    <sheet name="Producto 1 curvo 26" sheetId="18" r:id="rId1"/>
    <sheet name="Anexo 2 Producto 1" sheetId="21" r:id="rId2"/>
    <sheet name="Producto 2 Plano 26" sheetId="32" r:id="rId3"/>
    <sheet name="Anexo 2 Producto 2" sheetId="34" r:id="rId4"/>
    <sheet name="Producto 3 Plano 29-36" sheetId="30" r:id="rId5"/>
    <sheet name="Anexo 2 Producto 3" sheetId="31" r:id="rId6"/>
    <sheet name="Producto 4 Plano 27" sheetId="38" r:id="rId7"/>
    <sheet name="Anexo 2 Producto 4" sheetId="39" r:id="rId8"/>
    <sheet name="Producto 5 Plano 27" sheetId="42" r:id="rId9"/>
    <sheet name="Anexo 2 Producto 5" sheetId="43" r:id="rId10"/>
    <sheet name="Producto 6 Plano 2028" sheetId="35" r:id="rId11"/>
    <sheet name="Anexo 2 Producto 6" sheetId="36" r:id="rId12"/>
    <sheet name="Producto 7 Plano 2028" sheetId="44" r:id="rId13"/>
    <sheet name="Anexo 2 Producto 7" sheetId="45" r:id="rId14"/>
  </sheets>
  <definedNames>
    <definedName name="_xlnm._FilterDatabase" localSheetId="0" hidden="1">'Producto 1 curvo 26'!$B$2:$B$5</definedName>
    <definedName name="_xlnm._FilterDatabase" localSheetId="2" hidden="1">'Producto 2 Plano 26'!$B$2:$B$5</definedName>
    <definedName name="_xlnm._FilterDatabase" localSheetId="4" hidden="1">'Producto 3 Plano 29-36'!$B$2:$B$5</definedName>
    <definedName name="_xlnm._FilterDatabase" localSheetId="6" hidden="1">'Producto 4 Plano 27'!$B$2:$B$5</definedName>
    <definedName name="_xlnm._FilterDatabase" localSheetId="8" hidden="1">'Producto 5 Plano 27'!$B$2:$B$5</definedName>
    <definedName name="_xlnm._FilterDatabase" localSheetId="10" hidden="1">'Producto 6 Plano 2028'!$B$2:$B$5</definedName>
    <definedName name="_xlnm._FilterDatabase" localSheetId="12" hidden="1">'Producto 7 Plano 2028'!$B$2:$B$5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6" i="31" l="1"/>
  <c r="F105" i="31"/>
  <c r="F104" i="31"/>
  <c r="F103" i="31"/>
  <c r="F102" i="31"/>
  <c r="F101" i="31"/>
  <c r="F100" i="31"/>
  <c r="F99" i="31"/>
  <c r="F98" i="31"/>
  <c r="F97" i="31"/>
  <c r="F96" i="31"/>
  <c r="F95" i="31"/>
  <c r="F94" i="31"/>
  <c r="F93" i="31"/>
  <c r="F92" i="31"/>
  <c r="F91" i="31"/>
  <c r="F90" i="31"/>
  <c r="F89" i="31"/>
  <c r="F88" i="31"/>
  <c r="F87" i="31"/>
  <c r="F86" i="31"/>
  <c r="F85" i="31"/>
  <c r="F84" i="31"/>
  <c r="F83" i="31"/>
  <c r="F82" i="31"/>
  <c r="F81" i="31"/>
  <c r="F80" i="31"/>
  <c r="F79" i="31"/>
  <c r="F78" i="31"/>
  <c r="F77" i="31"/>
  <c r="F76" i="31"/>
  <c r="F75" i="31"/>
  <c r="F74" i="31"/>
  <c r="F73" i="31"/>
  <c r="F72" i="31"/>
  <c r="F71" i="31"/>
  <c r="F70" i="31"/>
  <c r="F69" i="31"/>
  <c r="F68" i="31"/>
  <c r="F67" i="31"/>
  <c r="F66" i="31"/>
  <c r="F65" i="31"/>
  <c r="F64" i="31"/>
  <c r="F63" i="31"/>
  <c r="F62" i="31"/>
  <c r="F61" i="31"/>
  <c r="F60" i="31"/>
  <c r="F59" i="31"/>
  <c r="F58" i="31"/>
  <c r="F57" i="31"/>
  <c r="F56" i="31"/>
  <c r="F55" i="31"/>
  <c r="F54" i="31"/>
  <c r="F53" i="31"/>
  <c r="F52" i="31"/>
  <c r="F51" i="31"/>
  <c r="F50" i="31"/>
  <c r="F49" i="31"/>
  <c r="F48" i="31"/>
  <c r="F47" i="31"/>
  <c r="F46" i="31"/>
  <c r="F45" i="31"/>
  <c r="F44" i="31"/>
  <c r="F43" i="31"/>
  <c r="F42" i="31"/>
  <c r="F41" i="31"/>
  <c r="F40" i="31"/>
  <c r="F39" i="31"/>
  <c r="F38" i="31"/>
  <c r="F37" i="31"/>
  <c r="F36" i="31"/>
  <c r="F35" i="31"/>
  <c r="F34" i="31"/>
  <c r="F33" i="31"/>
  <c r="F32" i="31"/>
  <c r="F31" i="31"/>
  <c r="F30" i="31"/>
  <c r="F29" i="31"/>
  <c r="F28" i="31"/>
  <c r="F27" i="31"/>
  <c r="F26" i="31"/>
  <c r="F25" i="31"/>
  <c r="F24" i="31"/>
  <c r="F23" i="31"/>
  <c r="F22" i="31"/>
  <c r="F21" i="31"/>
  <c r="F20" i="31"/>
  <c r="F19" i="31"/>
  <c r="F18" i="31"/>
  <c r="F17" i="31"/>
  <c r="F16" i="31"/>
  <c r="F15" i="31"/>
  <c r="F14" i="31"/>
  <c r="F13" i="31"/>
  <c r="F12" i="31"/>
  <c r="F11" i="31"/>
  <c r="F22" i="34"/>
  <c r="F21" i="34"/>
  <c r="F20" i="34"/>
  <c r="F19" i="34"/>
  <c r="F18" i="34"/>
  <c r="F17" i="34"/>
  <c r="F16" i="34"/>
  <c r="F15" i="34"/>
  <c r="F14" i="34"/>
  <c r="F13" i="34"/>
  <c r="F12" i="34"/>
  <c r="F11" i="34"/>
  <c r="F20" i="45"/>
  <c r="F19" i="45"/>
  <c r="F18" i="45"/>
  <c r="F17" i="45"/>
  <c r="F16" i="45"/>
  <c r="F15" i="45"/>
  <c r="F14" i="45"/>
  <c r="F13" i="45"/>
  <c r="F12" i="45"/>
  <c r="F11" i="45"/>
  <c r="F10" i="45"/>
  <c r="F9" i="45"/>
  <c r="F22" i="21"/>
  <c r="F21" i="21"/>
  <c r="F20" i="21"/>
  <c r="F19" i="21"/>
  <c r="F18" i="21"/>
  <c r="F17" i="21"/>
  <c r="F16" i="21"/>
  <c r="F15" i="21"/>
  <c r="F14" i="21"/>
  <c r="F13" i="21"/>
  <c r="F12" i="21"/>
  <c r="F11" i="21"/>
  <c r="F20" i="43"/>
  <c r="F19" i="43"/>
  <c r="F18" i="43"/>
  <c r="F17" i="43"/>
  <c r="F16" i="43"/>
  <c r="F15" i="43"/>
  <c r="F14" i="43"/>
  <c r="F13" i="43"/>
  <c r="F12" i="43"/>
  <c r="F11" i="43"/>
  <c r="F10" i="43"/>
  <c r="F9" i="43"/>
  <c r="F9" i="36" l="1"/>
  <c r="F10" i="36"/>
  <c r="F11" i="36"/>
  <c r="F12" i="36"/>
  <c r="F13" i="36"/>
  <c r="F14" i="36"/>
  <c r="F15" i="36"/>
  <c r="F16" i="36"/>
  <c r="F17" i="36"/>
  <c r="F18" i="36"/>
  <c r="F19" i="36"/>
  <c r="F20" i="36"/>
  <c r="D23" i="42"/>
  <c r="AA33" i="44"/>
  <c r="Z33" i="44"/>
  <c r="Y33" i="44"/>
  <c r="X33" i="44"/>
  <c r="W33" i="44"/>
  <c r="V33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G33" i="44"/>
  <c r="F33" i="44"/>
  <c r="E33" i="44"/>
  <c r="D33" i="44"/>
  <c r="AA32" i="44"/>
  <c r="Z32" i="44"/>
  <c r="Y32" i="44"/>
  <c r="X32" i="44"/>
  <c r="W32" i="44"/>
  <c r="V32" i="44"/>
  <c r="U32" i="44"/>
  <c r="T32" i="44"/>
  <c r="S32" i="44"/>
  <c r="R32" i="44"/>
  <c r="Q32" i="44"/>
  <c r="P32" i="44"/>
  <c r="O32" i="44"/>
  <c r="N32" i="44"/>
  <c r="M32" i="44"/>
  <c r="L32" i="44"/>
  <c r="K32" i="44"/>
  <c r="J32" i="44"/>
  <c r="I32" i="44"/>
  <c r="H32" i="44"/>
  <c r="G32" i="44"/>
  <c r="F32" i="44"/>
  <c r="E32" i="44"/>
  <c r="D32" i="44"/>
  <c r="AA31" i="44"/>
  <c r="Z31" i="44"/>
  <c r="Y31" i="44"/>
  <c r="X31" i="44"/>
  <c r="W31" i="44"/>
  <c r="V31" i="44"/>
  <c r="U31" i="44"/>
  <c r="T31" i="44"/>
  <c r="S31" i="44"/>
  <c r="R31" i="44"/>
  <c r="Q31" i="44"/>
  <c r="P31" i="44"/>
  <c r="O31" i="44"/>
  <c r="N31" i="44"/>
  <c r="M31" i="44"/>
  <c r="L31" i="44"/>
  <c r="K31" i="44"/>
  <c r="J31" i="44"/>
  <c r="I31" i="44"/>
  <c r="H31" i="44"/>
  <c r="G31" i="44"/>
  <c r="F31" i="44"/>
  <c r="E31" i="44"/>
  <c r="D31" i="44"/>
  <c r="AA30" i="44"/>
  <c r="Z30" i="44"/>
  <c r="Y30" i="44"/>
  <c r="X30" i="44"/>
  <c r="W30" i="44"/>
  <c r="V30" i="44"/>
  <c r="U30" i="44"/>
  <c r="T30" i="44"/>
  <c r="S30" i="44"/>
  <c r="R30" i="44"/>
  <c r="Q30" i="44"/>
  <c r="P30" i="44"/>
  <c r="O30" i="44"/>
  <c r="N30" i="44"/>
  <c r="M30" i="44"/>
  <c r="L30" i="44"/>
  <c r="K30" i="44"/>
  <c r="J30" i="44"/>
  <c r="I30" i="44"/>
  <c r="H30" i="44"/>
  <c r="G30" i="44"/>
  <c r="F30" i="44"/>
  <c r="E30" i="44"/>
  <c r="AA29" i="44"/>
  <c r="Z29" i="44"/>
  <c r="Y29" i="44"/>
  <c r="X29" i="44"/>
  <c r="W29" i="44"/>
  <c r="V29" i="44"/>
  <c r="U29" i="44"/>
  <c r="T29" i="44"/>
  <c r="S29" i="44"/>
  <c r="R29" i="44"/>
  <c r="Q29" i="44"/>
  <c r="P29" i="44"/>
  <c r="O29" i="44"/>
  <c r="N29" i="44"/>
  <c r="M29" i="44"/>
  <c r="L29" i="44"/>
  <c r="K29" i="44"/>
  <c r="J29" i="44"/>
  <c r="I29" i="44"/>
  <c r="H29" i="44"/>
  <c r="G29" i="44"/>
  <c r="F29" i="44"/>
  <c r="E29" i="44"/>
  <c r="D29" i="44"/>
  <c r="AA28" i="44"/>
  <c r="Z28" i="44"/>
  <c r="Y28" i="44"/>
  <c r="X28" i="44"/>
  <c r="W28" i="44"/>
  <c r="V28" i="44"/>
  <c r="U28" i="44"/>
  <c r="T28" i="44"/>
  <c r="S28" i="44"/>
  <c r="R28" i="44"/>
  <c r="Q28" i="44"/>
  <c r="P28" i="44"/>
  <c r="O28" i="44"/>
  <c r="N28" i="44"/>
  <c r="M28" i="44"/>
  <c r="L28" i="44"/>
  <c r="K28" i="44"/>
  <c r="J28" i="44"/>
  <c r="I28" i="44"/>
  <c r="H28" i="44"/>
  <c r="G28" i="44"/>
  <c r="F28" i="44"/>
  <c r="E28" i="44"/>
  <c r="D28" i="44"/>
  <c r="AA27" i="44"/>
  <c r="Z27" i="44"/>
  <c r="Y27" i="44"/>
  <c r="X27" i="44"/>
  <c r="W27" i="44"/>
  <c r="V27" i="44"/>
  <c r="U27" i="44"/>
  <c r="T27" i="44"/>
  <c r="S27" i="44"/>
  <c r="R27" i="44"/>
  <c r="Q27" i="44"/>
  <c r="P27" i="44"/>
  <c r="O27" i="44"/>
  <c r="N27" i="44"/>
  <c r="M27" i="44"/>
  <c r="L27" i="44"/>
  <c r="K27" i="44"/>
  <c r="J27" i="44"/>
  <c r="I27" i="44"/>
  <c r="H27" i="44"/>
  <c r="G27" i="44"/>
  <c r="F27" i="44"/>
  <c r="E27" i="44"/>
  <c r="D27" i="44"/>
  <c r="AA26" i="44"/>
  <c r="Z26" i="44"/>
  <c r="Y26" i="44"/>
  <c r="X26" i="44"/>
  <c r="W26" i="44"/>
  <c r="V26" i="44"/>
  <c r="U26" i="44"/>
  <c r="T26" i="44"/>
  <c r="S26" i="44"/>
  <c r="R26" i="44"/>
  <c r="Q26" i="44"/>
  <c r="P26" i="44"/>
  <c r="O26" i="44"/>
  <c r="N26" i="44"/>
  <c r="M26" i="44"/>
  <c r="L26" i="44"/>
  <c r="K26" i="44"/>
  <c r="J26" i="44"/>
  <c r="I26" i="44"/>
  <c r="H26" i="44"/>
  <c r="G26" i="44"/>
  <c r="F26" i="44"/>
  <c r="E26" i="44"/>
  <c r="AA25" i="44"/>
  <c r="Z25" i="44"/>
  <c r="Y25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E25" i="44"/>
  <c r="D25" i="44"/>
  <c r="AA24" i="44"/>
  <c r="Z24" i="44"/>
  <c r="Y24" i="44"/>
  <c r="X24" i="44"/>
  <c r="W24" i="44"/>
  <c r="V24" i="44"/>
  <c r="U24" i="44"/>
  <c r="T24" i="44"/>
  <c r="S24" i="44"/>
  <c r="R24" i="44"/>
  <c r="Q24" i="44"/>
  <c r="P24" i="44"/>
  <c r="O24" i="44"/>
  <c r="N24" i="44"/>
  <c r="M24" i="44"/>
  <c r="L24" i="44"/>
  <c r="K24" i="44"/>
  <c r="J24" i="44"/>
  <c r="I24" i="44"/>
  <c r="H24" i="44"/>
  <c r="G24" i="44"/>
  <c r="F24" i="44"/>
  <c r="E24" i="44"/>
  <c r="D24" i="44"/>
  <c r="AA23" i="44"/>
  <c r="Z23" i="44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AA22" i="44"/>
  <c r="Z22" i="44"/>
  <c r="Y22" i="44"/>
  <c r="X22" i="44"/>
  <c r="W22" i="44"/>
  <c r="V22" i="44"/>
  <c r="U22" i="44"/>
  <c r="T22" i="44"/>
  <c r="S22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F22" i="44"/>
  <c r="E22" i="44"/>
  <c r="AA49" i="44"/>
  <c r="Z49" i="44"/>
  <c r="Y49" i="44"/>
  <c r="X49" i="44"/>
  <c r="W49" i="44"/>
  <c r="V49" i="44"/>
  <c r="U49" i="44"/>
  <c r="T49" i="44"/>
  <c r="S49" i="44"/>
  <c r="R49" i="44"/>
  <c r="Q49" i="44"/>
  <c r="P49" i="44"/>
  <c r="O49" i="44"/>
  <c r="N49" i="44"/>
  <c r="M49" i="44"/>
  <c r="L49" i="44"/>
  <c r="K49" i="44"/>
  <c r="J49" i="44"/>
  <c r="I49" i="44"/>
  <c r="H49" i="44"/>
  <c r="G49" i="44"/>
  <c r="F49" i="44"/>
  <c r="E49" i="44"/>
  <c r="D49" i="44"/>
  <c r="AA48" i="44"/>
  <c r="Z48" i="44"/>
  <c r="Y48" i="44"/>
  <c r="X48" i="44"/>
  <c r="W48" i="44"/>
  <c r="V48" i="44"/>
  <c r="U48" i="44"/>
  <c r="T48" i="44"/>
  <c r="S48" i="44"/>
  <c r="R48" i="44"/>
  <c r="Q48" i="44"/>
  <c r="P48" i="44"/>
  <c r="O48" i="44"/>
  <c r="N48" i="44"/>
  <c r="M48" i="44"/>
  <c r="L48" i="44"/>
  <c r="K48" i="44"/>
  <c r="J48" i="44"/>
  <c r="I48" i="44"/>
  <c r="H48" i="44"/>
  <c r="G48" i="44"/>
  <c r="F48" i="44"/>
  <c r="E48" i="44"/>
  <c r="D48" i="44"/>
  <c r="AA47" i="44"/>
  <c r="Z47" i="44"/>
  <c r="Y47" i="44"/>
  <c r="X47" i="44"/>
  <c r="W47" i="44"/>
  <c r="V47" i="44"/>
  <c r="U47" i="44"/>
  <c r="T47" i="44"/>
  <c r="S47" i="44"/>
  <c r="R47" i="44"/>
  <c r="Q47" i="44"/>
  <c r="P47" i="44"/>
  <c r="O47" i="44"/>
  <c r="N47" i="44"/>
  <c r="M47" i="44"/>
  <c r="L47" i="44"/>
  <c r="K47" i="44"/>
  <c r="J47" i="44"/>
  <c r="I47" i="44"/>
  <c r="H47" i="44"/>
  <c r="G47" i="44"/>
  <c r="F47" i="44"/>
  <c r="E47" i="44"/>
  <c r="D47" i="44"/>
  <c r="AA46" i="44"/>
  <c r="Z46" i="44"/>
  <c r="Y46" i="44"/>
  <c r="X46" i="44"/>
  <c r="W46" i="44"/>
  <c r="V46" i="44"/>
  <c r="U46" i="44"/>
  <c r="T46" i="44"/>
  <c r="S46" i="44"/>
  <c r="R46" i="44"/>
  <c r="Q46" i="44"/>
  <c r="P46" i="44"/>
  <c r="O46" i="44"/>
  <c r="N46" i="44"/>
  <c r="M46" i="44"/>
  <c r="L46" i="44"/>
  <c r="K46" i="44"/>
  <c r="J46" i="44"/>
  <c r="I46" i="44"/>
  <c r="H46" i="44"/>
  <c r="G46" i="44"/>
  <c r="F46" i="44"/>
  <c r="E46" i="44"/>
  <c r="AA45" i="44"/>
  <c r="Z45" i="44"/>
  <c r="Y45" i="44"/>
  <c r="X45" i="44"/>
  <c r="W45" i="44"/>
  <c r="V45" i="44"/>
  <c r="U45" i="44"/>
  <c r="T45" i="44"/>
  <c r="S45" i="44"/>
  <c r="R45" i="44"/>
  <c r="Q45" i="44"/>
  <c r="P45" i="44"/>
  <c r="O45" i="44"/>
  <c r="N45" i="44"/>
  <c r="M45" i="44"/>
  <c r="L45" i="44"/>
  <c r="K45" i="44"/>
  <c r="J45" i="44"/>
  <c r="I45" i="44"/>
  <c r="H45" i="44"/>
  <c r="G45" i="44"/>
  <c r="F45" i="44"/>
  <c r="E45" i="44"/>
  <c r="D45" i="44"/>
  <c r="AA44" i="44"/>
  <c r="Z44" i="44"/>
  <c r="Y44" i="44"/>
  <c r="X44" i="44"/>
  <c r="W44" i="44"/>
  <c r="V44" i="44"/>
  <c r="U44" i="44"/>
  <c r="T44" i="44"/>
  <c r="S44" i="44"/>
  <c r="R44" i="44"/>
  <c r="Q44" i="44"/>
  <c r="P44" i="44"/>
  <c r="O44" i="44"/>
  <c r="N44" i="44"/>
  <c r="M44" i="44"/>
  <c r="L44" i="44"/>
  <c r="K44" i="44"/>
  <c r="J44" i="44"/>
  <c r="I44" i="44"/>
  <c r="H44" i="44"/>
  <c r="G44" i="44"/>
  <c r="F44" i="44"/>
  <c r="E44" i="44"/>
  <c r="D44" i="44"/>
  <c r="AA43" i="44"/>
  <c r="Z43" i="44"/>
  <c r="Y43" i="44"/>
  <c r="X43" i="44"/>
  <c r="W43" i="44"/>
  <c r="V43" i="44"/>
  <c r="U43" i="44"/>
  <c r="T43" i="44"/>
  <c r="S43" i="44"/>
  <c r="R43" i="44"/>
  <c r="Q43" i="44"/>
  <c r="P43" i="44"/>
  <c r="O43" i="44"/>
  <c r="N43" i="44"/>
  <c r="M43" i="44"/>
  <c r="L43" i="44"/>
  <c r="K43" i="44"/>
  <c r="J43" i="44"/>
  <c r="I43" i="44"/>
  <c r="H43" i="44"/>
  <c r="G43" i="44"/>
  <c r="F43" i="44"/>
  <c r="E43" i="44"/>
  <c r="D43" i="44"/>
  <c r="AA42" i="44"/>
  <c r="Z42" i="44"/>
  <c r="Y42" i="44"/>
  <c r="X42" i="44"/>
  <c r="W42" i="44"/>
  <c r="V42" i="44"/>
  <c r="U42" i="44"/>
  <c r="T42" i="44"/>
  <c r="S42" i="44"/>
  <c r="R42" i="44"/>
  <c r="Q42" i="44"/>
  <c r="P42" i="44"/>
  <c r="O42" i="44"/>
  <c r="N42" i="44"/>
  <c r="M42" i="44"/>
  <c r="L42" i="44"/>
  <c r="K42" i="44"/>
  <c r="J42" i="44"/>
  <c r="I42" i="44"/>
  <c r="H42" i="44"/>
  <c r="G42" i="44"/>
  <c r="F42" i="44"/>
  <c r="E42" i="44"/>
  <c r="AA41" i="44"/>
  <c r="Z41" i="44"/>
  <c r="Y41" i="44"/>
  <c r="X41" i="44"/>
  <c r="W41" i="44"/>
  <c r="V41" i="44"/>
  <c r="U41" i="44"/>
  <c r="T41" i="44"/>
  <c r="S41" i="44"/>
  <c r="R41" i="44"/>
  <c r="Q41" i="44"/>
  <c r="P41" i="44"/>
  <c r="O41" i="44"/>
  <c r="N41" i="44"/>
  <c r="M41" i="44"/>
  <c r="L41" i="44"/>
  <c r="K41" i="44"/>
  <c r="J41" i="44"/>
  <c r="I41" i="44"/>
  <c r="H41" i="44"/>
  <c r="G41" i="44"/>
  <c r="F41" i="44"/>
  <c r="E41" i="44"/>
  <c r="D41" i="44"/>
  <c r="AA40" i="44"/>
  <c r="Z40" i="44"/>
  <c r="Y40" i="44"/>
  <c r="X40" i="44"/>
  <c r="W40" i="44"/>
  <c r="V40" i="44"/>
  <c r="U40" i="44"/>
  <c r="T40" i="44"/>
  <c r="S40" i="44"/>
  <c r="R40" i="44"/>
  <c r="Q40" i="44"/>
  <c r="P40" i="44"/>
  <c r="O40" i="44"/>
  <c r="N40" i="44"/>
  <c r="M40" i="44"/>
  <c r="L40" i="44"/>
  <c r="K40" i="44"/>
  <c r="J40" i="44"/>
  <c r="I40" i="44"/>
  <c r="H40" i="44"/>
  <c r="G40" i="44"/>
  <c r="F40" i="44"/>
  <c r="E40" i="44"/>
  <c r="D40" i="44"/>
  <c r="AA39" i="44"/>
  <c r="Z39" i="44"/>
  <c r="Y39" i="44"/>
  <c r="X39" i="44"/>
  <c r="W39" i="44"/>
  <c r="V39" i="44"/>
  <c r="U39" i="44"/>
  <c r="T39" i="44"/>
  <c r="S39" i="44"/>
  <c r="R39" i="44"/>
  <c r="Q39" i="44"/>
  <c r="P39" i="44"/>
  <c r="O39" i="44"/>
  <c r="N39" i="44"/>
  <c r="M39" i="44"/>
  <c r="L39" i="44"/>
  <c r="K39" i="44"/>
  <c r="J39" i="44"/>
  <c r="I39" i="44"/>
  <c r="H39" i="44"/>
  <c r="G39" i="44"/>
  <c r="F39" i="44"/>
  <c r="E39" i="44"/>
  <c r="D39" i="44"/>
  <c r="AA38" i="44"/>
  <c r="Z38" i="44"/>
  <c r="Y38" i="44"/>
  <c r="X38" i="44"/>
  <c r="W38" i="44"/>
  <c r="V38" i="44"/>
  <c r="U38" i="44"/>
  <c r="T38" i="44"/>
  <c r="S38" i="44"/>
  <c r="R38" i="44"/>
  <c r="Q38" i="44"/>
  <c r="P38" i="44"/>
  <c r="O38" i="44"/>
  <c r="N38" i="44"/>
  <c r="M38" i="44"/>
  <c r="L38" i="44"/>
  <c r="K38" i="44"/>
  <c r="J38" i="44"/>
  <c r="I38" i="44"/>
  <c r="H38" i="44"/>
  <c r="G38" i="44"/>
  <c r="F38" i="44"/>
  <c r="E38" i="44"/>
  <c r="AA37" i="44"/>
  <c r="Z37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AA36" i="44"/>
  <c r="Z36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AA35" i="44"/>
  <c r="Z35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AA34" i="44"/>
  <c r="Z34" i="44"/>
  <c r="Y34" i="44"/>
  <c r="X34" i="44"/>
  <c r="W34" i="44"/>
  <c r="V34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H34" i="44"/>
  <c r="G34" i="44"/>
  <c r="F34" i="44"/>
  <c r="E34" i="44"/>
  <c r="AA53" i="44"/>
  <c r="Z53" i="44"/>
  <c r="Y53" i="44"/>
  <c r="X53" i="44"/>
  <c r="W53" i="44"/>
  <c r="V53" i="44"/>
  <c r="U53" i="44"/>
  <c r="T53" i="44"/>
  <c r="S53" i="44"/>
  <c r="R53" i="44"/>
  <c r="Q53" i="44"/>
  <c r="P53" i="44"/>
  <c r="O53" i="44"/>
  <c r="N53" i="44"/>
  <c r="M53" i="44"/>
  <c r="L53" i="44"/>
  <c r="K53" i="44"/>
  <c r="J53" i="44"/>
  <c r="I53" i="44"/>
  <c r="H53" i="44"/>
  <c r="G53" i="44"/>
  <c r="F53" i="44"/>
  <c r="E53" i="44"/>
  <c r="D53" i="44"/>
  <c r="AA52" i="44"/>
  <c r="Z52" i="44"/>
  <c r="Y52" i="44"/>
  <c r="X52" i="44"/>
  <c r="W52" i="44"/>
  <c r="V52" i="44"/>
  <c r="U52" i="44"/>
  <c r="T52" i="44"/>
  <c r="S52" i="44"/>
  <c r="R52" i="44"/>
  <c r="Q52" i="44"/>
  <c r="P52" i="44"/>
  <c r="O52" i="44"/>
  <c r="N52" i="44"/>
  <c r="M52" i="44"/>
  <c r="L52" i="44"/>
  <c r="K52" i="44"/>
  <c r="J52" i="44"/>
  <c r="I52" i="44"/>
  <c r="H52" i="44"/>
  <c r="G52" i="44"/>
  <c r="F52" i="44"/>
  <c r="E52" i="44"/>
  <c r="D52" i="44"/>
  <c r="AA51" i="44"/>
  <c r="Z51" i="44"/>
  <c r="Y51" i="44"/>
  <c r="X51" i="44"/>
  <c r="W51" i="44"/>
  <c r="V51" i="44"/>
  <c r="U51" i="44"/>
  <c r="T51" i="44"/>
  <c r="S51" i="44"/>
  <c r="R51" i="44"/>
  <c r="Q51" i="44"/>
  <c r="P51" i="44"/>
  <c r="O51" i="44"/>
  <c r="N51" i="44"/>
  <c r="M51" i="44"/>
  <c r="L51" i="44"/>
  <c r="K51" i="44"/>
  <c r="J51" i="44"/>
  <c r="I51" i="44"/>
  <c r="H51" i="44"/>
  <c r="G51" i="44"/>
  <c r="F51" i="44"/>
  <c r="E51" i="44"/>
  <c r="D51" i="44"/>
  <c r="AA50" i="44"/>
  <c r="Z50" i="44"/>
  <c r="Y50" i="44"/>
  <c r="X50" i="44"/>
  <c r="W50" i="44"/>
  <c r="V50" i="44"/>
  <c r="U50" i="44"/>
  <c r="T50" i="44"/>
  <c r="S50" i="44"/>
  <c r="R50" i="44"/>
  <c r="Q50" i="44"/>
  <c r="P50" i="44"/>
  <c r="O50" i="44"/>
  <c r="N50" i="44"/>
  <c r="M50" i="44"/>
  <c r="L50" i="44"/>
  <c r="K50" i="44"/>
  <c r="J50" i="44"/>
  <c r="I50" i="44"/>
  <c r="H50" i="44"/>
  <c r="G50" i="44"/>
  <c r="F50" i="44"/>
  <c r="E50" i="44"/>
  <c r="AA21" i="44"/>
  <c r="Z21" i="44"/>
  <c r="Y21" i="44"/>
  <c r="X21" i="44"/>
  <c r="W21" i="44"/>
  <c r="V21" i="44"/>
  <c r="U21" i="44"/>
  <c r="T21" i="44"/>
  <c r="S21" i="44"/>
  <c r="R21" i="44"/>
  <c r="Q21" i="44"/>
  <c r="P21" i="44"/>
  <c r="O21" i="44"/>
  <c r="N21" i="44"/>
  <c r="M21" i="44"/>
  <c r="L21" i="44"/>
  <c r="K21" i="44"/>
  <c r="J21" i="44"/>
  <c r="I21" i="44"/>
  <c r="H21" i="44"/>
  <c r="G21" i="44"/>
  <c r="F21" i="44"/>
  <c r="E21" i="44"/>
  <c r="D21" i="44"/>
  <c r="AA20" i="44"/>
  <c r="Z20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AA19" i="44"/>
  <c r="Z19" i="44"/>
  <c r="Y19" i="44"/>
  <c r="X19" i="44"/>
  <c r="W19" i="44"/>
  <c r="V19" i="44"/>
  <c r="U19" i="44"/>
  <c r="T19" i="44"/>
  <c r="S19" i="44"/>
  <c r="R19" i="44"/>
  <c r="Q19" i="44"/>
  <c r="P19" i="44"/>
  <c r="O19" i="44"/>
  <c r="N19" i="44"/>
  <c r="M19" i="44"/>
  <c r="L19" i="44"/>
  <c r="K19" i="44"/>
  <c r="J19" i="44"/>
  <c r="I19" i="44"/>
  <c r="H19" i="44"/>
  <c r="G19" i="44"/>
  <c r="F19" i="44"/>
  <c r="E19" i="44"/>
  <c r="D19" i="44"/>
  <c r="AA18" i="44"/>
  <c r="Z18" i="44"/>
  <c r="Y18" i="44"/>
  <c r="X18" i="44"/>
  <c r="W18" i="44"/>
  <c r="V18" i="44"/>
  <c r="U18" i="44"/>
  <c r="T18" i="44"/>
  <c r="S18" i="44"/>
  <c r="R18" i="44"/>
  <c r="Q18" i="44"/>
  <c r="P18" i="44"/>
  <c r="O18" i="44"/>
  <c r="N18" i="44"/>
  <c r="M18" i="44"/>
  <c r="L18" i="44"/>
  <c r="K18" i="44"/>
  <c r="J18" i="44"/>
  <c r="I18" i="44"/>
  <c r="H18" i="44"/>
  <c r="G18" i="44"/>
  <c r="F18" i="44"/>
  <c r="E18" i="44"/>
  <c r="AA17" i="44"/>
  <c r="Z17" i="44"/>
  <c r="Y17" i="44"/>
  <c r="X17" i="44"/>
  <c r="W17" i="44"/>
  <c r="V17" i="44"/>
  <c r="U17" i="44"/>
  <c r="T17" i="44"/>
  <c r="S17" i="44"/>
  <c r="R17" i="44"/>
  <c r="Q17" i="44"/>
  <c r="P17" i="44"/>
  <c r="O17" i="44"/>
  <c r="N17" i="44"/>
  <c r="M17" i="44"/>
  <c r="L17" i="44"/>
  <c r="K17" i="44"/>
  <c r="J17" i="44"/>
  <c r="I17" i="44"/>
  <c r="H17" i="44"/>
  <c r="G17" i="44"/>
  <c r="F17" i="44"/>
  <c r="E17" i="44"/>
  <c r="D17" i="44"/>
  <c r="AA16" i="44"/>
  <c r="Z16" i="44"/>
  <c r="Y16" i="44"/>
  <c r="X16" i="44"/>
  <c r="W16" i="44"/>
  <c r="V16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G16" i="44"/>
  <c r="F16" i="44"/>
  <c r="E16" i="44"/>
  <c r="D16" i="44"/>
  <c r="AA15" i="44"/>
  <c r="Z15" i="44"/>
  <c r="Y15" i="44"/>
  <c r="X15" i="44"/>
  <c r="W15" i="44"/>
  <c r="V15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H15" i="44"/>
  <c r="G15" i="44"/>
  <c r="F15" i="44"/>
  <c r="E15" i="44"/>
  <c r="D15" i="44"/>
  <c r="AA14" i="44"/>
  <c r="Z14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AA13" i="44"/>
  <c r="Z13" i="44"/>
  <c r="Y13" i="44"/>
  <c r="X13" i="44"/>
  <c r="W13" i="44"/>
  <c r="V13" i="44"/>
  <c r="U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H13" i="44"/>
  <c r="G13" i="44"/>
  <c r="F13" i="44"/>
  <c r="E13" i="44"/>
  <c r="D13" i="44"/>
  <c r="AA12" i="44"/>
  <c r="Z12" i="44"/>
  <c r="Y12" i="44"/>
  <c r="X12" i="44"/>
  <c r="W12" i="44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H12" i="44"/>
  <c r="G12" i="44"/>
  <c r="F12" i="44"/>
  <c r="E12" i="44"/>
  <c r="D12" i="44"/>
  <c r="AA11" i="44"/>
  <c r="Z11" i="44"/>
  <c r="Y11" i="44"/>
  <c r="X11" i="44"/>
  <c r="W11" i="44"/>
  <c r="V11" i="44"/>
  <c r="U11" i="44"/>
  <c r="T11" i="44"/>
  <c r="S11" i="44"/>
  <c r="R11" i="44"/>
  <c r="Q11" i="44"/>
  <c r="P11" i="44"/>
  <c r="O11" i="44"/>
  <c r="N11" i="44"/>
  <c r="M11" i="44"/>
  <c r="L11" i="44"/>
  <c r="K11" i="44"/>
  <c r="J11" i="44"/>
  <c r="I11" i="44"/>
  <c r="H11" i="44"/>
  <c r="G11" i="44"/>
  <c r="F11" i="44"/>
  <c r="E11" i="44"/>
  <c r="D11" i="44"/>
  <c r="AA10" i="44"/>
  <c r="Z10" i="44"/>
  <c r="Y10" i="44"/>
  <c r="X10" i="44"/>
  <c r="W10" i="44"/>
  <c r="V10" i="44"/>
  <c r="U10" i="44"/>
  <c r="T10" i="44"/>
  <c r="S10" i="44"/>
  <c r="R10" i="44"/>
  <c r="Q10" i="44"/>
  <c r="P10" i="44"/>
  <c r="O10" i="44"/>
  <c r="N10" i="44"/>
  <c r="M10" i="44"/>
  <c r="L10" i="44"/>
  <c r="K10" i="44"/>
  <c r="J10" i="44"/>
  <c r="I10" i="44"/>
  <c r="H10" i="44"/>
  <c r="G10" i="44"/>
  <c r="F10" i="44"/>
  <c r="E10" i="44"/>
  <c r="AA9" i="44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AA8" i="44"/>
  <c r="Z8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AA7" i="44"/>
  <c r="Z7" i="44"/>
  <c r="Y7" i="44"/>
  <c r="X7" i="44"/>
  <c r="W7" i="44"/>
  <c r="V7" i="44"/>
  <c r="U7" i="44"/>
  <c r="T7" i="44"/>
  <c r="S7" i="44"/>
  <c r="R7" i="44"/>
  <c r="Q7" i="44"/>
  <c r="P7" i="44"/>
  <c r="O7" i="44"/>
  <c r="N7" i="44"/>
  <c r="M7" i="44"/>
  <c r="L7" i="44"/>
  <c r="K7" i="44"/>
  <c r="J7" i="44"/>
  <c r="I7" i="44"/>
  <c r="H7" i="44"/>
  <c r="G7" i="44"/>
  <c r="F7" i="44"/>
  <c r="E7" i="44"/>
  <c r="D7" i="44"/>
  <c r="AA6" i="44"/>
  <c r="Z6" i="44"/>
  <c r="Y6" i="44"/>
  <c r="X6" i="44"/>
  <c r="W6" i="44"/>
  <c r="V6" i="44"/>
  <c r="U6" i="44"/>
  <c r="T6" i="44"/>
  <c r="S6" i="44"/>
  <c r="R6" i="44"/>
  <c r="Q6" i="44"/>
  <c r="P6" i="44"/>
  <c r="O6" i="44"/>
  <c r="N6" i="44"/>
  <c r="M6" i="44"/>
  <c r="L6" i="44"/>
  <c r="K6" i="44"/>
  <c r="J6" i="44"/>
  <c r="I6" i="44"/>
  <c r="H6" i="44"/>
  <c r="G6" i="44"/>
  <c r="F6" i="44"/>
  <c r="E6" i="44"/>
  <c r="AA53" i="42"/>
  <c r="Z53" i="42"/>
  <c r="Y53" i="42"/>
  <c r="X53" i="42"/>
  <c r="W53" i="42"/>
  <c r="V53" i="42"/>
  <c r="U53" i="42"/>
  <c r="T53" i="42"/>
  <c r="S53" i="42"/>
  <c r="R53" i="42"/>
  <c r="Q53" i="42"/>
  <c r="P53" i="42"/>
  <c r="O53" i="42"/>
  <c r="N53" i="42"/>
  <c r="M53" i="42"/>
  <c r="L53" i="42"/>
  <c r="K53" i="42"/>
  <c r="J53" i="42"/>
  <c r="I53" i="42"/>
  <c r="H53" i="42"/>
  <c r="G53" i="42"/>
  <c r="F53" i="42"/>
  <c r="E53" i="42"/>
  <c r="D53" i="42"/>
  <c r="AA52" i="42"/>
  <c r="Z52" i="42"/>
  <c r="Y52" i="42"/>
  <c r="X52" i="42"/>
  <c r="W52" i="42"/>
  <c r="V52" i="42"/>
  <c r="U52" i="42"/>
  <c r="T52" i="42"/>
  <c r="S52" i="42"/>
  <c r="R52" i="42"/>
  <c r="Q52" i="42"/>
  <c r="P52" i="42"/>
  <c r="O52" i="42"/>
  <c r="N52" i="42"/>
  <c r="M52" i="42"/>
  <c r="L52" i="42"/>
  <c r="K52" i="42"/>
  <c r="J52" i="42"/>
  <c r="I52" i="42"/>
  <c r="H52" i="42"/>
  <c r="G52" i="42"/>
  <c r="F52" i="42"/>
  <c r="E52" i="42"/>
  <c r="D52" i="42"/>
  <c r="AA51" i="42"/>
  <c r="Z51" i="42"/>
  <c r="Y51" i="42"/>
  <c r="X51" i="42"/>
  <c r="W51" i="42"/>
  <c r="V51" i="42"/>
  <c r="U51" i="42"/>
  <c r="T51" i="42"/>
  <c r="S51" i="42"/>
  <c r="R51" i="42"/>
  <c r="Q51" i="42"/>
  <c r="P51" i="42"/>
  <c r="O51" i="42"/>
  <c r="N51" i="42"/>
  <c r="M51" i="42"/>
  <c r="L51" i="42"/>
  <c r="K51" i="42"/>
  <c r="J51" i="42"/>
  <c r="I51" i="42"/>
  <c r="H51" i="42"/>
  <c r="G51" i="42"/>
  <c r="F51" i="42"/>
  <c r="E51" i="42"/>
  <c r="D51" i="42"/>
  <c r="AA50" i="42"/>
  <c r="Z50" i="42"/>
  <c r="Y50" i="42"/>
  <c r="X50" i="42"/>
  <c r="W50" i="42"/>
  <c r="V50" i="42"/>
  <c r="U50" i="42"/>
  <c r="T50" i="42"/>
  <c r="S50" i="42"/>
  <c r="R50" i="42"/>
  <c r="Q50" i="42"/>
  <c r="P50" i="42"/>
  <c r="O50" i="42"/>
  <c r="N50" i="42"/>
  <c r="M50" i="42"/>
  <c r="L50" i="42"/>
  <c r="K50" i="42"/>
  <c r="J50" i="42"/>
  <c r="I50" i="42"/>
  <c r="H50" i="42"/>
  <c r="G50" i="42"/>
  <c r="F50" i="42"/>
  <c r="E50" i="42"/>
  <c r="AA49" i="42"/>
  <c r="Z49" i="42"/>
  <c r="Y49" i="42"/>
  <c r="X49" i="42"/>
  <c r="W49" i="42"/>
  <c r="V49" i="42"/>
  <c r="U49" i="42"/>
  <c r="T49" i="42"/>
  <c r="S49" i="42"/>
  <c r="R49" i="42"/>
  <c r="Q49" i="42"/>
  <c r="P49" i="42"/>
  <c r="O49" i="42"/>
  <c r="N49" i="42"/>
  <c r="M49" i="42"/>
  <c r="L49" i="42"/>
  <c r="K49" i="42"/>
  <c r="J49" i="42"/>
  <c r="I49" i="42"/>
  <c r="H49" i="42"/>
  <c r="G49" i="42"/>
  <c r="F49" i="42"/>
  <c r="E49" i="42"/>
  <c r="D49" i="42"/>
  <c r="AA48" i="42"/>
  <c r="Z48" i="42"/>
  <c r="Y48" i="42"/>
  <c r="X48" i="42"/>
  <c r="W48" i="42"/>
  <c r="V48" i="42"/>
  <c r="U48" i="42"/>
  <c r="T48" i="42"/>
  <c r="S48" i="42"/>
  <c r="R48" i="42"/>
  <c r="Q48" i="42"/>
  <c r="P48" i="42"/>
  <c r="O48" i="42"/>
  <c r="N48" i="42"/>
  <c r="M48" i="42"/>
  <c r="L48" i="42"/>
  <c r="K48" i="42"/>
  <c r="J48" i="42"/>
  <c r="I48" i="42"/>
  <c r="H48" i="42"/>
  <c r="G48" i="42"/>
  <c r="F48" i="42"/>
  <c r="E48" i="42"/>
  <c r="D48" i="42"/>
  <c r="AA47" i="42"/>
  <c r="Z47" i="42"/>
  <c r="Y47" i="42"/>
  <c r="X47" i="42"/>
  <c r="W47" i="42"/>
  <c r="V47" i="42"/>
  <c r="U47" i="42"/>
  <c r="T47" i="42"/>
  <c r="S47" i="42"/>
  <c r="R47" i="42"/>
  <c r="Q47" i="42"/>
  <c r="P47" i="42"/>
  <c r="O47" i="42"/>
  <c r="N47" i="42"/>
  <c r="M47" i="42"/>
  <c r="L47" i="42"/>
  <c r="K47" i="42"/>
  <c r="J47" i="42"/>
  <c r="I47" i="42"/>
  <c r="H47" i="42"/>
  <c r="G47" i="42"/>
  <c r="F47" i="42"/>
  <c r="E47" i="42"/>
  <c r="D47" i="42"/>
  <c r="AA46" i="42"/>
  <c r="Z46" i="42"/>
  <c r="Y46" i="42"/>
  <c r="X46" i="42"/>
  <c r="W46" i="42"/>
  <c r="V46" i="42"/>
  <c r="U46" i="42"/>
  <c r="T46" i="42"/>
  <c r="S46" i="42"/>
  <c r="R46" i="42"/>
  <c r="Q46" i="42"/>
  <c r="P46" i="42"/>
  <c r="O46" i="42"/>
  <c r="N46" i="42"/>
  <c r="M46" i="42"/>
  <c r="L46" i="42"/>
  <c r="K46" i="42"/>
  <c r="J46" i="42"/>
  <c r="I46" i="42"/>
  <c r="H46" i="42"/>
  <c r="G46" i="42"/>
  <c r="F46" i="42"/>
  <c r="E46" i="42"/>
  <c r="AA45" i="42"/>
  <c r="Z45" i="42"/>
  <c r="Y45" i="42"/>
  <c r="X45" i="42"/>
  <c r="W45" i="42"/>
  <c r="V45" i="42"/>
  <c r="U45" i="42"/>
  <c r="T45" i="42"/>
  <c r="S45" i="42"/>
  <c r="R45" i="42"/>
  <c r="Q45" i="42"/>
  <c r="P45" i="42"/>
  <c r="O45" i="42"/>
  <c r="N45" i="42"/>
  <c r="M45" i="42"/>
  <c r="L45" i="42"/>
  <c r="K45" i="42"/>
  <c r="J45" i="42"/>
  <c r="I45" i="42"/>
  <c r="H45" i="42"/>
  <c r="G45" i="42"/>
  <c r="F45" i="42"/>
  <c r="E45" i="42"/>
  <c r="D45" i="42"/>
  <c r="AA44" i="42"/>
  <c r="Z44" i="42"/>
  <c r="Y44" i="42"/>
  <c r="X44" i="42"/>
  <c r="W44" i="42"/>
  <c r="V44" i="42"/>
  <c r="U44" i="42"/>
  <c r="T44" i="42"/>
  <c r="S44" i="42"/>
  <c r="R44" i="42"/>
  <c r="Q44" i="42"/>
  <c r="P44" i="42"/>
  <c r="O44" i="42"/>
  <c r="N44" i="42"/>
  <c r="M44" i="42"/>
  <c r="L44" i="42"/>
  <c r="K44" i="42"/>
  <c r="J44" i="42"/>
  <c r="I44" i="42"/>
  <c r="H44" i="42"/>
  <c r="G44" i="42"/>
  <c r="F44" i="42"/>
  <c r="E44" i="42"/>
  <c r="D44" i="42"/>
  <c r="AA43" i="42"/>
  <c r="Z43" i="42"/>
  <c r="Y43" i="42"/>
  <c r="X43" i="42"/>
  <c r="W43" i="42"/>
  <c r="V43" i="42"/>
  <c r="U43" i="42"/>
  <c r="T43" i="42"/>
  <c r="S43" i="42"/>
  <c r="R43" i="42"/>
  <c r="Q43" i="42"/>
  <c r="P43" i="42"/>
  <c r="O43" i="42"/>
  <c r="N43" i="42"/>
  <c r="M43" i="42"/>
  <c r="L43" i="42"/>
  <c r="K43" i="42"/>
  <c r="J43" i="42"/>
  <c r="I43" i="42"/>
  <c r="H43" i="42"/>
  <c r="G43" i="42"/>
  <c r="F43" i="42"/>
  <c r="E43" i="42"/>
  <c r="D43" i="42"/>
  <c r="AA42" i="42"/>
  <c r="Z42" i="42"/>
  <c r="Y42" i="42"/>
  <c r="X42" i="42"/>
  <c r="W42" i="42"/>
  <c r="V42" i="42"/>
  <c r="U42" i="42"/>
  <c r="T42" i="42"/>
  <c r="S42" i="42"/>
  <c r="R42" i="42"/>
  <c r="Q42" i="42"/>
  <c r="P42" i="42"/>
  <c r="O42" i="42"/>
  <c r="N42" i="42"/>
  <c r="M42" i="42"/>
  <c r="L42" i="42"/>
  <c r="K42" i="42"/>
  <c r="J42" i="42"/>
  <c r="I42" i="42"/>
  <c r="H42" i="42"/>
  <c r="G42" i="42"/>
  <c r="F42" i="42"/>
  <c r="E42" i="42"/>
  <c r="AA41" i="42"/>
  <c r="Z41" i="42"/>
  <c r="Y41" i="42"/>
  <c r="X41" i="42"/>
  <c r="W41" i="42"/>
  <c r="V41" i="42"/>
  <c r="U41" i="42"/>
  <c r="T41" i="42"/>
  <c r="S41" i="42"/>
  <c r="R41" i="42"/>
  <c r="Q41" i="42"/>
  <c r="P41" i="42"/>
  <c r="O41" i="42"/>
  <c r="N41" i="42"/>
  <c r="M41" i="42"/>
  <c r="L41" i="42"/>
  <c r="K41" i="42"/>
  <c r="J41" i="42"/>
  <c r="I41" i="42"/>
  <c r="H41" i="42"/>
  <c r="G41" i="42"/>
  <c r="F41" i="42"/>
  <c r="E41" i="42"/>
  <c r="D41" i="42"/>
  <c r="AA40" i="42"/>
  <c r="Z40" i="42"/>
  <c r="Y40" i="42"/>
  <c r="X40" i="42"/>
  <c r="W40" i="42"/>
  <c r="V40" i="42"/>
  <c r="U40" i="42"/>
  <c r="T40" i="42"/>
  <c r="S40" i="42"/>
  <c r="R40" i="42"/>
  <c r="Q40" i="42"/>
  <c r="P40" i="42"/>
  <c r="O40" i="42"/>
  <c r="N40" i="42"/>
  <c r="M40" i="42"/>
  <c r="L40" i="42"/>
  <c r="K40" i="42"/>
  <c r="J40" i="42"/>
  <c r="I40" i="42"/>
  <c r="H40" i="42"/>
  <c r="G40" i="42"/>
  <c r="F40" i="42"/>
  <c r="E40" i="42"/>
  <c r="D40" i="42"/>
  <c r="AA39" i="42"/>
  <c r="Z39" i="42"/>
  <c r="Y39" i="42"/>
  <c r="X39" i="42"/>
  <c r="W39" i="42"/>
  <c r="V39" i="42"/>
  <c r="U39" i="42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AA38" i="42"/>
  <c r="Z38" i="42"/>
  <c r="Y38" i="42"/>
  <c r="X38" i="42"/>
  <c r="W38" i="42"/>
  <c r="V38" i="42"/>
  <c r="U38" i="42"/>
  <c r="T38" i="42"/>
  <c r="S38" i="42"/>
  <c r="R38" i="42"/>
  <c r="Q38" i="42"/>
  <c r="P38" i="42"/>
  <c r="O38" i="42"/>
  <c r="N38" i="42"/>
  <c r="M38" i="42"/>
  <c r="L38" i="42"/>
  <c r="K38" i="42"/>
  <c r="J38" i="42"/>
  <c r="I38" i="42"/>
  <c r="H38" i="42"/>
  <c r="G38" i="42"/>
  <c r="F38" i="42"/>
  <c r="E38" i="42"/>
  <c r="AA37" i="42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AA36" i="42"/>
  <c r="Z36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AA35" i="42"/>
  <c r="Z35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AA34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AA33" i="42"/>
  <c r="Z33" i="42"/>
  <c r="Y33" i="42"/>
  <c r="X33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G33" i="42"/>
  <c r="F33" i="42"/>
  <c r="E33" i="42"/>
  <c r="D33" i="42"/>
  <c r="AA32" i="42"/>
  <c r="Z32" i="42"/>
  <c r="Y32" i="42"/>
  <c r="X32" i="42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H32" i="42"/>
  <c r="G32" i="42"/>
  <c r="F32" i="42"/>
  <c r="E32" i="42"/>
  <c r="D32" i="42"/>
  <c r="AA31" i="42"/>
  <c r="Z31" i="42"/>
  <c r="Y31" i="42"/>
  <c r="X31" i="42"/>
  <c r="W31" i="42"/>
  <c r="V31" i="42"/>
  <c r="U31" i="42"/>
  <c r="T31" i="42"/>
  <c r="S31" i="42"/>
  <c r="R31" i="42"/>
  <c r="Q31" i="42"/>
  <c r="P31" i="42"/>
  <c r="O31" i="42"/>
  <c r="N31" i="42"/>
  <c r="M31" i="42"/>
  <c r="L31" i="42"/>
  <c r="K31" i="42"/>
  <c r="J31" i="42"/>
  <c r="I31" i="42"/>
  <c r="H31" i="42"/>
  <c r="G31" i="42"/>
  <c r="F31" i="42"/>
  <c r="E31" i="42"/>
  <c r="D31" i="42"/>
  <c r="AA30" i="42"/>
  <c r="Z30" i="42"/>
  <c r="Y30" i="42"/>
  <c r="X30" i="42"/>
  <c r="W30" i="42"/>
  <c r="V30" i="42"/>
  <c r="U30" i="42"/>
  <c r="T30" i="42"/>
  <c r="S30" i="42"/>
  <c r="R30" i="42"/>
  <c r="Q30" i="42"/>
  <c r="P30" i="42"/>
  <c r="O30" i="42"/>
  <c r="N30" i="42"/>
  <c r="M30" i="42"/>
  <c r="L30" i="42"/>
  <c r="K30" i="42"/>
  <c r="J30" i="42"/>
  <c r="I30" i="42"/>
  <c r="H30" i="42"/>
  <c r="G30" i="42"/>
  <c r="F30" i="42"/>
  <c r="E30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H29" i="42"/>
  <c r="G29" i="42"/>
  <c r="F29" i="42"/>
  <c r="E29" i="42"/>
  <c r="D29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H28" i="42"/>
  <c r="G28" i="42"/>
  <c r="F28" i="42"/>
  <c r="E28" i="42"/>
  <c r="D28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H27" i="42"/>
  <c r="G27" i="42"/>
  <c r="F27" i="42"/>
  <c r="E27" i="42"/>
  <c r="D27" i="42"/>
  <c r="AA26" i="42"/>
  <c r="Z26" i="42"/>
  <c r="Y26" i="42"/>
  <c r="X26" i="42"/>
  <c r="W26" i="42"/>
  <c r="V26" i="42"/>
  <c r="U26" i="42"/>
  <c r="T26" i="42"/>
  <c r="S26" i="42"/>
  <c r="R26" i="42"/>
  <c r="Q26" i="42"/>
  <c r="P26" i="42"/>
  <c r="O26" i="42"/>
  <c r="N26" i="42"/>
  <c r="M26" i="42"/>
  <c r="L26" i="42"/>
  <c r="K26" i="42"/>
  <c r="J26" i="42"/>
  <c r="I26" i="42"/>
  <c r="H26" i="42"/>
  <c r="G26" i="42"/>
  <c r="F26" i="42"/>
  <c r="E26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G25" i="42"/>
  <c r="F25" i="42"/>
  <c r="E25" i="42"/>
  <c r="D25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H24" i="42"/>
  <c r="G24" i="42"/>
  <c r="F24" i="42"/>
  <c r="E24" i="42"/>
  <c r="D24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G23" i="42"/>
  <c r="F23" i="42"/>
  <c r="E23" i="42"/>
  <c r="AA22" i="42"/>
  <c r="Z22" i="42"/>
  <c r="Y22" i="42"/>
  <c r="X22" i="42"/>
  <c r="W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E22" i="42"/>
  <c r="AA21" i="42"/>
  <c r="Z21" i="42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G21" i="42"/>
  <c r="F21" i="42"/>
  <c r="E21" i="42"/>
  <c r="D21" i="42"/>
  <c r="AA20" i="42"/>
  <c r="Z20" i="42"/>
  <c r="Y20" i="42"/>
  <c r="X20" i="42"/>
  <c r="W20" i="42"/>
  <c r="V20" i="42"/>
  <c r="U20" i="42"/>
  <c r="T20" i="42"/>
  <c r="S20" i="42"/>
  <c r="R20" i="42"/>
  <c r="Q20" i="42"/>
  <c r="P20" i="42"/>
  <c r="O20" i="42"/>
  <c r="N20" i="42"/>
  <c r="M20" i="42"/>
  <c r="L20" i="42"/>
  <c r="K20" i="42"/>
  <c r="J20" i="42"/>
  <c r="I20" i="42"/>
  <c r="H20" i="42"/>
  <c r="G20" i="42"/>
  <c r="F20" i="42"/>
  <c r="E20" i="42"/>
  <c r="D20" i="42"/>
  <c r="AA19" i="42"/>
  <c r="Z19" i="42"/>
  <c r="Y19" i="42"/>
  <c r="X19" i="42"/>
  <c r="W19" i="42"/>
  <c r="V19" i="42"/>
  <c r="U19" i="42"/>
  <c r="T19" i="42"/>
  <c r="S19" i="42"/>
  <c r="R19" i="42"/>
  <c r="Q19" i="42"/>
  <c r="P19" i="42"/>
  <c r="O19" i="42"/>
  <c r="N19" i="42"/>
  <c r="M19" i="42"/>
  <c r="L19" i="42"/>
  <c r="K19" i="42"/>
  <c r="J19" i="42"/>
  <c r="I19" i="42"/>
  <c r="H19" i="42"/>
  <c r="G19" i="42"/>
  <c r="F19" i="42"/>
  <c r="E19" i="42"/>
  <c r="D19" i="42"/>
  <c r="AA18" i="42"/>
  <c r="Z18" i="42"/>
  <c r="Y18" i="42"/>
  <c r="X18" i="42"/>
  <c r="W18" i="42"/>
  <c r="V18" i="42"/>
  <c r="U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E18" i="42"/>
  <c r="AA17" i="42"/>
  <c r="Z17" i="42"/>
  <c r="Y17" i="42"/>
  <c r="X17" i="42"/>
  <c r="W17" i="42"/>
  <c r="V17" i="42"/>
  <c r="U17" i="42"/>
  <c r="T17" i="42"/>
  <c r="S17" i="42"/>
  <c r="R17" i="42"/>
  <c r="Q17" i="42"/>
  <c r="P17" i="42"/>
  <c r="O17" i="42"/>
  <c r="N17" i="42"/>
  <c r="M17" i="42"/>
  <c r="L17" i="42"/>
  <c r="K17" i="42"/>
  <c r="J17" i="42"/>
  <c r="I17" i="42"/>
  <c r="H17" i="42"/>
  <c r="G17" i="42"/>
  <c r="F17" i="42"/>
  <c r="E17" i="42"/>
  <c r="D17" i="42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E16" i="42"/>
  <c r="D16" i="42"/>
  <c r="AA15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AA14" i="42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H14" i="42"/>
  <c r="G14" i="42"/>
  <c r="F14" i="42"/>
  <c r="E14" i="42"/>
  <c r="AA13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E12" i="42"/>
  <c r="D12" i="42"/>
  <c r="AA11" i="42"/>
  <c r="Z11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H11" i="42"/>
  <c r="G11" i="42"/>
  <c r="F11" i="42"/>
  <c r="E11" i="42"/>
  <c r="D11" i="42"/>
  <c r="AA10" i="42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H10" i="42"/>
  <c r="G10" i="42"/>
  <c r="F10" i="42"/>
  <c r="E10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AA8" i="42"/>
  <c r="Z8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H8" i="42"/>
  <c r="G8" i="42"/>
  <c r="F8" i="42"/>
  <c r="E8" i="42"/>
  <c r="D8" i="42"/>
  <c r="AA7" i="42"/>
  <c r="Z7" i="42"/>
  <c r="Y7" i="42"/>
  <c r="X7" i="42"/>
  <c r="W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H7" i="42"/>
  <c r="G7" i="42"/>
  <c r="F7" i="42"/>
  <c r="E7" i="42"/>
  <c r="D7" i="42"/>
  <c r="AA6" i="42"/>
  <c r="Z6" i="42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H6" i="42"/>
  <c r="G6" i="42"/>
  <c r="F6" i="42"/>
  <c r="E6" i="42"/>
  <c r="AA53" i="35"/>
  <c r="Z53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AA52" i="35"/>
  <c r="Z52" i="35"/>
  <c r="Y52" i="35"/>
  <c r="X52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AA51" i="35"/>
  <c r="Z51" i="35"/>
  <c r="Y51" i="35"/>
  <c r="X51" i="35"/>
  <c r="W51" i="35"/>
  <c r="V51" i="35"/>
  <c r="U51" i="35"/>
  <c r="T51" i="35"/>
  <c r="S51" i="35"/>
  <c r="R51" i="35"/>
  <c r="Q51" i="35"/>
  <c r="P51" i="35"/>
  <c r="O51" i="35"/>
  <c r="N51" i="35"/>
  <c r="M51" i="35"/>
  <c r="L51" i="35"/>
  <c r="K51" i="35"/>
  <c r="J51" i="35"/>
  <c r="I51" i="35"/>
  <c r="H51" i="35"/>
  <c r="G51" i="35"/>
  <c r="F51" i="35"/>
  <c r="E51" i="35"/>
  <c r="D51" i="35"/>
  <c r="AA50" i="35"/>
  <c r="Z50" i="35"/>
  <c r="Y50" i="35"/>
  <c r="X50" i="35"/>
  <c r="W50" i="35"/>
  <c r="V50" i="35"/>
  <c r="U50" i="35"/>
  <c r="T50" i="35"/>
  <c r="S50" i="35"/>
  <c r="R50" i="35"/>
  <c r="Q50" i="35"/>
  <c r="P50" i="35"/>
  <c r="O50" i="35"/>
  <c r="N50" i="35"/>
  <c r="M50" i="35"/>
  <c r="L50" i="35"/>
  <c r="K50" i="35"/>
  <c r="J50" i="35"/>
  <c r="I50" i="35"/>
  <c r="H50" i="35"/>
  <c r="G50" i="35"/>
  <c r="F50" i="35"/>
  <c r="E50" i="35"/>
  <c r="AA49" i="35"/>
  <c r="Z49" i="35"/>
  <c r="Y49" i="35"/>
  <c r="X49" i="35"/>
  <c r="W49" i="35"/>
  <c r="V49" i="35"/>
  <c r="U49" i="35"/>
  <c r="T49" i="35"/>
  <c r="S49" i="35"/>
  <c r="R49" i="35"/>
  <c r="Q49" i="35"/>
  <c r="P49" i="35"/>
  <c r="O49" i="35"/>
  <c r="N49" i="35"/>
  <c r="M49" i="35"/>
  <c r="L49" i="35"/>
  <c r="K49" i="35"/>
  <c r="J49" i="35"/>
  <c r="I49" i="35"/>
  <c r="H49" i="35"/>
  <c r="G49" i="35"/>
  <c r="F49" i="35"/>
  <c r="E49" i="35"/>
  <c r="D49" i="35"/>
  <c r="AA48" i="35"/>
  <c r="Z48" i="35"/>
  <c r="Y48" i="35"/>
  <c r="X48" i="35"/>
  <c r="W48" i="35"/>
  <c r="V48" i="35"/>
  <c r="U48" i="35"/>
  <c r="T48" i="35"/>
  <c r="S48" i="35"/>
  <c r="R48" i="35"/>
  <c r="Q48" i="35"/>
  <c r="P48" i="35"/>
  <c r="O48" i="35"/>
  <c r="N48" i="35"/>
  <c r="M48" i="35"/>
  <c r="L48" i="35"/>
  <c r="K48" i="35"/>
  <c r="J48" i="35"/>
  <c r="I48" i="35"/>
  <c r="H48" i="35"/>
  <c r="G48" i="35"/>
  <c r="F48" i="35"/>
  <c r="E48" i="35"/>
  <c r="D48" i="35"/>
  <c r="AA47" i="35"/>
  <c r="Z47" i="35"/>
  <c r="Y47" i="35"/>
  <c r="X47" i="35"/>
  <c r="W47" i="35"/>
  <c r="V47" i="35"/>
  <c r="U47" i="35"/>
  <c r="T47" i="35"/>
  <c r="S47" i="35"/>
  <c r="R47" i="35"/>
  <c r="Q47" i="35"/>
  <c r="P47" i="35"/>
  <c r="O47" i="35"/>
  <c r="N47" i="35"/>
  <c r="M47" i="35"/>
  <c r="L47" i="35"/>
  <c r="K47" i="35"/>
  <c r="J47" i="35"/>
  <c r="I47" i="35"/>
  <c r="H47" i="35"/>
  <c r="G47" i="35"/>
  <c r="F47" i="35"/>
  <c r="E47" i="35"/>
  <c r="D47" i="35"/>
  <c r="AA46" i="35"/>
  <c r="Z46" i="35"/>
  <c r="Y46" i="35"/>
  <c r="X46" i="35"/>
  <c r="W46" i="35"/>
  <c r="V46" i="35"/>
  <c r="U46" i="35"/>
  <c r="T46" i="35"/>
  <c r="S46" i="35"/>
  <c r="R46" i="35"/>
  <c r="Q46" i="35"/>
  <c r="P46" i="35"/>
  <c r="O46" i="35"/>
  <c r="N46" i="35"/>
  <c r="M46" i="35"/>
  <c r="L46" i="35"/>
  <c r="K46" i="35"/>
  <c r="J46" i="35"/>
  <c r="I46" i="35"/>
  <c r="H46" i="35"/>
  <c r="G46" i="35"/>
  <c r="F46" i="35"/>
  <c r="E46" i="35"/>
  <c r="AA45" i="35"/>
  <c r="Z45" i="35"/>
  <c r="Y45" i="35"/>
  <c r="X45" i="35"/>
  <c r="W45" i="35"/>
  <c r="V45" i="35"/>
  <c r="U45" i="35"/>
  <c r="T45" i="35"/>
  <c r="S45" i="35"/>
  <c r="R45" i="35"/>
  <c r="Q45" i="35"/>
  <c r="P45" i="35"/>
  <c r="O45" i="35"/>
  <c r="N45" i="35"/>
  <c r="M45" i="35"/>
  <c r="L45" i="35"/>
  <c r="K45" i="35"/>
  <c r="J45" i="35"/>
  <c r="I45" i="35"/>
  <c r="H45" i="35"/>
  <c r="G45" i="35"/>
  <c r="F45" i="35"/>
  <c r="E45" i="35"/>
  <c r="D45" i="35"/>
  <c r="AA44" i="35"/>
  <c r="Z44" i="35"/>
  <c r="Y44" i="35"/>
  <c r="X44" i="35"/>
  <c r="W44" i="35"/>
  <c r="V44" i="35"/>
  <c r="U44" i="35"/>
  <c r="T44" i="35"/>
  <c r="S44" i="35"/>
  <c r="R44" i="35"/>
  <c r="Q44" i="35"/>
  <c r="P44" i="35"/>
  <c r="O44" i="35"/>
  <c r="N44" i="35"/>
  <c r="M44" i="35"/>
  <c r="L44" i="35"/>
  <c r="K44" i="35"/>
  <c r="J44" i="35"/>
  <c r="I44" i="35"/>
  <c r="H44" i="35"/>
  <c r="G44" i="35"/>
  <c r="F44" i="35"/>
  <c r="E44" i="35"/>
  <c r="D44" i="35"/>
  <c r="AA43" i="35"/>
  <c r="Z43" i="35"/>
  <c r="Y43" i="35"/>
  <c r="X43" i="35"/>
  <c r="W43" i="35"/>
  <c r="V43" i="35"/>
  <c r="U43" i="35"/>
  <c r="T43" i="35"/>
  <c r="S43" i="35"/>
  <c r="R43" i="35"/>
  <c r="Q43" i="35"/>
  <c r="P43" i="35"/>
  <c r="O43" i="35"/>
  <c r="N43" i="35"/>
  <c r="M43" i="35"/>
  <c r="L43" i="35"/>
  <c r="K43" i="35"/>
  <c r="J43" i="35"/>
  <c r="I43" i="35"/>
  <c r="H43" i="35"/>
  <c r="G43" i="35"/>
  <c r="F43" i="35"/>
  <c r="E43" i="35"/>
  <c r="D43" i="35"/>
  <c r="AA42" i="35"/>
  <c r="Z42" i="35"/>
  <c r="Y42" i="35"/>
  <c r="X42" i="35"/>
  <c r="W42" i="35"/>
  <c r="V42" i="35"/>
  <c r="U42" i="35"/>
  <c r="T42" i="35"/>
  <c r="S42" i="35"/>
  <c r="R42" i="35"/>
  <c r="Q42" i="35"/>
  <c r="P42" i="35"/>
  <c r="O42" i="35"/>
  <c r="N42" i="35"/>
  <c r="M42" i="35"/>
  <c r="L42" i="35"/>
  <c r="K42" i="35"/>
  <c r="J42" i="35"/>
  <c r="I42" i="35"/>
  <c r="H42" i="35"/>
  <c r="G42" i="35"/>
  <c r="F42" i="35"/>
  <c r="E42" i="35"/>
  <c r="AA41" i="35"/>
  <c r="Z41" i="35"/>
  <c r="Y41" i="35"/>
  <c r="X41" i="35"/>
  <c r="W41" i="35"/>
  <c r="V41" i="35"/>
  <c r="U41" i="35"/>
  <c r="T41" i="35"/>
  <c r="S41" i="35"/>
  <c r="R41" i="35"/>
  <c r="Q41" i="35"/>
  <c r="P41" i="35"/>
  <c r="O41" i="35"/>
  <c r="N41" i="35"/>
  <c r="M41" i="35"/>
  <c r="L41" i="35"/>
  <c r="K41" i="35"/>
  <c r="J41" i="35"/>
  <c r="I41" i="35"/>
  <c r="H41" i="35"/>
  <c r="G41" i="35"/>
  <c r="F41" i="35"/>
  <c r="E41" i="35"/>
  <c r="D41" i="35"/>
  <c r="AA40" i="35"/>
  <c r="Z40" i="35"/>
  <c r="Y40" i="35"/>
  <c r="X40" i="35"/>
  <c r="W40" i="35"/>
  <c r="V40" i="35"/>
  <c r="U40" i="35"/>
  <c r="T40" i="35"/>
  <c r="S40" i="35"/>
  <c r="R40" i="35"/>
  <c r="Q40" i="35"/>
  <c r="P40" i="35"/>
  <c r="O40" i="35"/>
  <c r="N40" i="35"/>
  <c r="M40" i="35"/>
  <c r="L40" i="35"/>
  <c r="K40" i="35"/>
  <c r="J40" i="35"/>
  <c r="I40" i="35"/>
  <c r="H40" i="35"/>
  <c r="G40" i="35"/>
  <c r="F40" i="35"/>
  <c r="E40" i="35"/>
  <c r="D40" i="35"/>
  <c r="AA39" i="35"/>
  <c r="Z39" i="35"/>
  <c r="Y39" i="35"/>
  <c r="X39" i="35"/>
  <c r="W39" i="35"/>
  <c r="V39" i="35"/>
  <c r="U39" i="35"/>
  <c r="T39" i="35"/>
  <c r="S39" i="35"/>
  <c r="R39" i="35"/>
  <c r="Q39" i="35"/>
  <c r="P39" i="35"/>
  <c r="O39" i="35"/>
  <c r="N39" i="35"/>
  <c r="M39" i="35"/>
  <c r="L39" i="35"/>
  <c r="K39" i="35"/>
  <c r="J39" i="35"/>
  <c r="I39" i="35"/>
  <c r="H39" i="35"/>
  <c r="G39" i="35"/>
  <c r="F39" i="35"/>
  <c r="E39" i="35"/>
  <c r="D39" i="35"/>
  <c r="AA38" i="35"/>
  <c r="Z38" i="35"/>
  <c r="Y38" i="35"/>
  <c r="X38" i="35"/>
  <c r="W38" i="35"/>
  <c r="V38" i="35"/>
  <c r="U38" i="35"/>
  <c r="T38" i="35"/>
  <c r="S38" i="35"/>
  <c r="R38" i="35"/>
  <c r="Q38" i="35"/>
  <c r="P38" i="35"/>
  <c r="O38" i="35"/>
  <c r="N38" i="35"/>
  <c r="M38" i="35"/>
  <c r="L38" i="35"/>
  <c r="K38" i="35"/>
  <c r="J38" i="35"/>
  <c r="I38" i="35"/>
  <c r="H38" i="35"/>
  <c r="G38" i="35"/>
  <c r="F38" i="35"/>
  <c r="E38" i="35"/>
  <c r="AA37" i="35"/>
  <c r="Z37" i="35"/>
  <c r="Y37" i="35"/>
  <c r="X37" i="35"/>
  <c r="W37" i="35"/>
  <c r="V37" i="35"/>
  <c r="U37" i="35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G37" i="35"/>
  <c r="F37" i="35"/>
  <c r="E37" i="35"/>
  <c r="D37" i="35"/>
  <c r="AA36" i="35"/>
  <c r="Z36" i="35"/>
  <c r="Y36" i="35"/>
  <c r="X36" i="35"/>
  <c r="W36" i="35"/>
  <c r="V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G36" i="35"/>
  <c r="F36" i="35"/>
  <c r="E36" i="35"/>
  <c r="D36" i="35"/>
  <c r="AA35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H35" i="35"/>
  <c r="G35" i="35"/>
  <c r="F35" i="35"/>
  <c r="E35" i="35"/>
  <c r="D35" i="35"/>
  <c r="AA34" i="35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H34" i="35"/>
  <c r="G34" i="35"/>
  <c r="F34" i="35"/>
  <c r="E34" i="35"/>
  <c r="AA33" i="35"/>
  <c r="Z33" i="35"/>
  <c r="Y33" i="35"/>
  <c r="X33" i="35"/>
  <c r="W33" i="35"/>
  <c r="V33" i="35"/>
  <c r="U33" i="35"/>
  <c r="T33" i="35"/>
  <c r="S33" i="35"/>
  <c r="R33" i="35"/>
  <c r="Q33" i="35"/>
  <c r="P33" i="35"/>
  <c r="O33" i="35"/>
  <c r="N33" i="35"/>
  <c r="M33" i="35"/>
  <c r="L33" i="35"/>
  <c r="K33" i="35"/>
  <c r="J33" i="35"/>
  <c r="I33" i="35"/>
  <c r="H33" i="35"/>
  <c r="G33" i="35"/>
  <c r="F33" i="35"/>
  <c r="E33" i="35"/>
  <c r="D33" i="35"/>
  <c r="AA32" i="35"/>
  <c r="Z32" i="35"/>
  <c r="Y32" i="35"/>
  <c r="X32" i="35"/>
  <c r="W32" i="35"/>
  <c r="V32" i="35"/>
  <c r="U32" i="35"/>
  <c r="T32" i="35"/>
  <c r="S32" i="35"/>
  <c r="R32" i="35"/>
  <c r="Q32" i="35"/>
  <c r="P32" i="35"/>
  <c r="O32" i="35"/>
  <c r="N32" i="35"/>
  <c r="M32" i="35"/>
  <c r="L32" i="35"/>
  <c r="K32" i="35"/>
  <c r="J32" i="35"/>
  <c r="I32" i="35"/>
  <c r="H32" i="35"/>
  <c r="G32" i="35"/>
  <c r="F32" i="35"/>
  <c r="E32" i="35"/>
  <c r="D32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R6" i="30"/>
  <c r="S6" i="30"/>
  <c r="T6" i="30"/>
  <c r="U6" i="30"/>
  <c r="V6" i="30"/>
  <c r="W6" i="30"/>
  <c r="X6" i="30"/>
  <c r="Y6" i="30"/>
  <c r="Z6" i="30"/>
  <c r="AA6" i="30"/>
  <c r="D7" i="30"/>
  <c r="E7" i="30"/>
  <c r="F7" i="30"/>
  <c r="G7" i="30"/>
  <c r="H7" i="30"/>
  <c r="I7" i="30"/>
  <c r="J7" i="30"/>
  <c r="K7" i="30"/>
  <c r="L7" i="30"/>
  <c r="M7" i="30"/>
  <c r="N7" i="30"/>
  <c r="O7" i="30"/>
  <c r="P7" i="30"/>
  <c r="Q7" i="30"/>
  <c r="R7" i="30"/>
  <c r="S7" i="30"/>
  <c r="T7" i="30"/>
  <c r="U7" i="30"/>
  <c r="V7" i="30"/>
  <c r="W7" i="30"/>
  <c r="X7" i="30"/>
  <c r="Y7" i="30"/>
  <c r="Z7" i="30"/>
  <c r="AA7" i="30"/>
  <c r="D8" i="30"/>
  <c r="E8" i="30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W8" i="30"/>
  <c r="X8" i="30"/>
  <c r="Y8" i="30"/>
  <c r="Z8" i="30"/>
  <c r="AA8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U9" i="30"/>
  <c r="V9" i="30"/>
  <c r="W9" i="30"/>
  <c r="X9" i="30"/>
  <c r="Y9" i="30"/>
  <c r="Z9" i="30"/>
  <c r="AA9" i="30"/>
  <c r="D10" i="30"/>
  <c r="E10" i="30"/>
  <c r="F10" i="30"/>
  <c r="G10" i="30"/>
  <c r="H10" i="30"/>
  <c r="I10" i="30"/>
  <c r="J10" i="30"/>
  <c r="K10" i="30"/>
  <c r="L10" i="30"/>
  <c r="M10" i="30"/>
  <c r="N10" i="30"/>
  <c r="O10" i="30"/>
  <c r="P10" i="30"/>
  <c r="Q10" i="30"/>
  <c r="R10" i="30"/>
  <c r="S10" i="30"/>
  <c r="T10" i="30"/>
  <c r="U10" i="30"/>
  <c r="V10" i="30"/>
  <c r="W10" i="30"/>
  <c r="X10" i="30"/>
  <c r="Y10" i="30"/>
  <c r="Z10" i="30"/>
  <c r="AA10" i="30"/>
  <c r="D11" i="30"/>
  <c r="E11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X11" i="30"/>
  <c r="Y11" i="30"/>
  <c r="Z11" i="30"/>
  <c r="AA11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W12" i="30"/>
  <c r="X12" i="30"/>
  <c r="Y12" i="30"/>
  <c r="Z12" i="30"/>
  <c r="AA12" i="30"/>
  <c r="D13" i="30"/>
  <c r="E13" i="30"/>
  <c r="F13" i="30"/>
  <c r="G13" i="30"/>
  <c r="H13" i="30"/>
  <c r="I13" i="30"/>
  <c r="J13" i="30"/>
  <c r="K13" i="30"/>
  <c r="L13" i="30"/>
  <c r="M13" i="30"/>
  <c r="N13" i="30"/>
  <c r="O13" i="30"/>
  <c r="P13" i="30"/>
  <c r="Q13" i="30"/>
  <c r="R13" i="30"/>
  <c r="S13" i="30"/>
  <c r="T13" i="30"/>
  <c r="U13" i="30"/>
  <c r="V13" i="30"/>
  <c r="W13" i="30"/>
  <c r="X13" i="30"/>
  <c r="Y13" i="30"/>
  <c r="Z13" i="30"/>
  <c r="AA13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R14" i="30"/>
  <c r="S14" i="30"/>
  <c r="T14" i="30"/>
  <c r="U14" i="30"/>
  <c r="V14" i="30"/>
  <c r="W14" i="30"/>
  <c r="X14" i="30"/>
  <c r="Y14" i="30"/>
  <c r="Z14" i="30"/>
  <c r="AA14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R15" i="30"/>
  <c r="S15" i="30"/>
  <c r="T15" i="30"/>
  <c r="U15" i="30"/>
  <c r="V15" i="30"/>
  <c r="W15" i="30"/>
  <c r="X15" i="30"/>
  <c r="Y15" i="30"/>
  <c r="Z15" i="30"/>
  <c r="AA15" i="30"/>
  <c r="D16" i="30"/>
  <c r="E16" i="30"/>
  <c r="F16" i="30"/>
  <c r="G16" i="30"/>
  <c r="H16" i="30"/>
  <c r="I16" i="30"/>
  <c r="J16" i="30"/>
  <c r="K16" i="30"/>
  <c r="L16" i="30"/>
  <c r="M16" i="30"/>
  <c r="N16" i="30"/>
  <c r="O16" i="30"/>
  <c r="P16" i="30"/>
  <c r="Q16" i="30"/>
  <c r="R16" i="30"/>
  <c r="S16" i="30"/>
  <c r="T16" i="30"/>
  <c r="U16" i="30"/>
  <c r="V16" i="30"/>
  <c r="W16" i="30"/>
  <c r="X16" i="30"/>
  <c r="Y16" i="30"/>
  <c r="Z16" i="30"/>
  <c r="AA16" i="30"/>
  <c r="D17" i="30"/>
  <c r="E17" i="30"/>
  <c r="F17" i="30"/>
  <c r="G17" i="30"/>
  <c r="H17" i="30"/>
  <c r="I17" i="30"/>
  <c r="J17" i="30"/>
  <c r="K17" i="30"/>
  <c r="L17" i="30"/>
  <c r="M17" i="30"/>
  <c r="N17" i="30"/>
  <c r="O17" i="30"/>
  <c r="P17" i="30"/>
  <c r="Q17" i="30"/>
  <c r="R17" i="30"/>
  <c r="S17" i="30"/>
  <c r="T17" i="30"/>
  <c r="U17" i="30"/>
  <c r="V17" i="30"/>
  <c r="W17" i="30"/>
  <c r="X17" i="30"/>
  <c r="Y17" i="30"/>
  <c r="Z17" i="30"/>
  <c r="AA17" i="30"/>
  <c r="D18" i="30"/>
  <c r="E18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X18" i="30"/>
  <c r="Y18" i="30"/>
  <c r="Z18" i="30"/>
  <c r="AA18" i="30"/>
  <c r="D19" i="30"/>
  <c r="E19" i="30"/>
  <c r="F19" i="30"/>
  <c r="G19" i="30"/>
  <c r="H19" i="30"/>
  <c r="I19" i="30"/>
  <c r="J19" i="30"/>
  <c r="K19" i="30"/>
  <c r="L19" i="30"/>
  <c r="M19" i="30"/>
  <c r="N19" i="30"/>
  <c r="O19" i="30"/>
  <c r="P19" i="30"/>
  <c r="Q19" i="30"/>
  <c r="R19" i="30"/>
  <c r="S19" i="30"/>
  <c r="T19" i="30"/>
  <c r="U19" i="30"/>
  <c r="V19" i="30"/>
  <c r="W19" i="30"/>
  <c r="X19" i="30"/>
  <c r="Y19" i="30"/>
  <c r="Z19" i="30"/>
  <c r="AA19" i="30"/>
  <c r="D20" i="30"/>
  <c r="E20" i="30"/>
  <c r="F20" i="30"/>
  <c r="G20" i="30"/>
  <c r="H20" i="30"/>
  <c r="I20" i="30"/>
  <c r="J20" i="30"/>
  <c r="K20" i="30"/>
  <c r="L20" i="30"/>
  <c r="M20" i="30"/>
  <c r="N20" i="30"/>
  <c r="O20" i="30"/>
  <c r="P20" i="30"/>
  <c r="Q20" i="30"/>
  <c r="R20" i="30"/>
  <c r="S20" i="30"/>
  <c r="T20" i="30"/>
  <c r="U20" i="30"/>
  <c r="V20" i="30"/>
  <c r="W20" i="30"/>
  <c r="X20" i="30"/>
  <c r="Y20" i="30"/>
  <c r="Z20" i="30"/>
  <c r="AA20" i="30"/>
  <c r="D21" i="30"/>
  <c r="E21" i="30"/>
  <c r="F21" i="30"/>
  <c r="G21" i="30"/>
  <c r="H21" i="30"/>
  <c r="I21" i="30"/>
  <c r="J21" i="30"/>
  <c r="K21" i="30"/>
  <c r="L21" i="30"/>
  <c r="M21" i="30"/>
  <c r="N21" i="30"/>
  <c r="O21" i="30"/>
  <c r="P21" i="30"/>
  <c r="Q21" i="30"/>
  <c r="R21" i="30"/>
  <c r="S21" i="30"/>
  <c r="T21" i="30"/>
  <c r="U21" i="30"/>
  <c r="V21" i="30"/>
  <c r="W21" i="30"/>
  <c r="X21" i="30"/>
  <c r="Y21" i="30"/>
  <c r="Z21" i="30"/>
  <c r="AA21" i="30"/>
  <c r="D22" i="30"/>
  <c r="E22" i="30"/>
  <c r="F22" i="30"/>
  <c r="G22" i="30"/>
  <c r="H22" i="30"/>
  <c r="I22" i="30"/>
  <c r="J22" i="30"/>
  <c r="K22" i="30"/>
  <c r="L22" i="30"/>
  <c r="M22" i="30"/>
  <c r="N22" i="30"/>
  <c r="O22" i="30"/>
  <c r="P22" i="30"/>
  <c r="Q22" i="30"/>
  <c r="R22" i="30"/>
  <c r="S22" i="30"/>
  <c r="T22" i="30"/>
  <c r="U22" i="30"/>
  <c r="V22" i="30"/>
  <c r="W22" i="30"/>
  <c r="X22" i="30"/>
  <c r="Y22" i="30"/>
  <c r="Z22" i="30"/>
  <c r="AA22" i="30"/>
  <c r="D23" i="30"/>
  <c r="E23" i="30"/>
  <c r="F23" i="30"/>
  <c r="G23" i="30"/>
  <c r="H23" i="30"/>
  <c r="I23" i="30"/>
  <c r="J23" i="30"/>
  <c r="K23" i="30"/>
  <c r="L23" i="30"/>
  <c r="M23" i="30"/>
  <c r="N23" i="30"/>
  <c r="O23" i="30"/>
  <c r="P23" i="30"/>
  <c r="Q23" i="30"/>
  <c r="R23" i="30"/>
  <c r="S23" i="30"/>
  <c r="T23" i="30"/>
  <c r="U23" i="30"/>
  <c r="V23" i="30"/>
  <c r="W23" i="30"/>
  <c r="X23" i="30"/>
  <c r="Y23" i="30"/>
  <c r="Z23" i="30"/>
  <c r="AA23" i="30"/>
  <c r="D24" i="30"/>
  <c r="E24" i="30"/>
  <c r="F24" i="30"/>
  <c r="G24" i="30"/>
  <c r="H24" i="30"/>
  <c r="I24" i="30"/>
  <c r="J24" i="30"/>
  <c r="K24" i="30"/>
  <c r="L24" i="30"/>
  <c r="M24" i="30"/>
  <c r="N24" i="30"/>
  <c r="O24" i="30"/>
  <c r="P24" i="30"/>
  <c r="Q24" i="30"/>
  <c r="R24" i="30"/>
  <c r="S24" i="30"/>
  <c r="T24" i="30"/>
  <c r="U24" i="30"/>
  <c r="V24" i="30"/>
  <c r="W24" i="30"/>
  <c r="X24" i="30"/>
  <c r="Y24" i="30"/>
  <c r="Z24" i="30"/>
  <c r="AA24" i="30"/>
  <c r="D25" i="30"/>
  <c r="E25" i="30"/>
  <c r="F25" i="30"/>
  <c r="G25" i="30"/>
  <c r="H25" i="30"/>
  <c r="I25" i="30"/>
  <c r="J25" i="30"/>
  <c r="K25" i="30"/>
  <c r="L25" i="30"/>
  <c r="M25" i="30"/>
  <c r="N25" i="30"/>
  <c r="O25" i="30"/>
  <c r="P25" i="30"/>
  <c r="Q25" i="30"/>
  <c r="R25" i="30"/>
  <c r="S25" i="30"/>
  <c r="T25" i="30"/>
  <c r="U25" i="30"/>
  <c r="V25" i="30"/>
  <c r="W25" i="30"/>
  <c r="X25" i="30"/>
  <c r="Y25" i="30"/>
  <c r="Z25" i="30"/>
  <c r="AA25" i="30"/>
  <c r="D26" i="30"/>
  <c r="E26" i="30"/>
  <c r="F26" i="30"/>
  <c r="G26" i="30"/>
  <c r="H26" i="30"/>
  <c r="I26" i="30"/>
  <c r="J26" i="30"/>
  <c r="K26" i="30"/>
  <c r="L26" i="30"/>
  <c r="M26" i="30"/>
  <c r="N26" i="30"/>
  <c r="O26" i="30"/>
  <c r="P26" i="30"/>
  <c r="Q26" i="30"/>
  <c r="R26" i="30"/>
  <c r="S26" i="30"/>
  <c r="T26" i="30"/>
  <c r="U26" i="30"/>
  <c r="V26" i="30"/>
  <c r="W26" i="30"/>
  <c r="X26" i="30"/>
  <c r="Y26" i="30"/>
  <c r="Z26" i="30"/>
  <c r="AA26" i="30"/>
  <c r="D27" i="30"/>
  <c r="E27" i="30"/>
  <c r="F27" i="30"/>
  <c r="G27" i="30"/>
  <c r="H27" i="30"/>
  <c r="I27" i="30"/>
  <c r="J27" i="30"/>
  <c r="K27" i="30"/>
  <c r="L27" i="30"/>
  <c r="M27" i="30"/>
  <c r="N27" i="30"/>
  <c r="O27" i="30"/>
  <c r="P27" i="30"/>
  <c r="Q27" i="30"/>
  <c r="R27" i="30"/>
  <c r="S27" i="30"/>
  <c r="T27" i="30"/>
  <c r="U27" i="30"/>
  <c r="V27" i="30"/>
  <c r="W27" i="30"/>
  <c r="X27" i="30"/>
  <c r="Y27" i="30"/>
  <c r="Z27" i="30"/>
  <c r="AA27" i="30"/>
  <c r="D28" i="30"/>
  <c r="E28" i="30"/>
  <c r="F28" i="30"/>
  <c r="G28" i="30"/>
  <c r="H28" i="30"/>
  <c r="I28" i="30"/>
  <c r="J28" i="30"/>
  <c r="K28" i="30"/>
  <c r="L28" i="30"/>
  <c r="M28" i="30"/>
  <c r="N28" i="30"/>
  <c r="O28" i="30"/>
  <c r="P28" i="30"/>
  <c r="Q28" i="30"/>
  <c r="R28" i="30"/>
  <c r="S28" i="30"/>
  <c r="T28" i="30"/>
  <c r="U28" i="30"/>
  <c r="V28" i="30"/>
  <c r="W28" i="30"/>
  <c r="X28" i="30"/>
  <c r="Y28" i="30"/>
  <c r="Z28" i="30"/>
  <c r="AA28" i="30"/>
  <c r="D29" i="30"/>
  <c r="E29" i="30"/>
  <c r="F29" i="30"/>
  <c r="G29" i="30"/>
  <c r="H29" i="30"/>
  <c r="I29" i="30"/>
  <c r="J29" i="30"/>
  <c r="K29" i="30"/>
  <c r="L29" i="30"/>
  <c r="M29" i="30"/>
  <c r="N29" i="30"/>
  <c r="O29" i="30"/>
  <c r="P29" i="30"/>
  <c r="Q29" i="30"/>
  <c r="R29" i="30"/>
  <c r="S29" i="30"/>
  <c r="T29" i="30"/>
  <c r="U29" i="30"/>
  <c r="V29" i="30"/>
  <c r="W29" i="30"/>
  <c r="X29" i="30"/>
  <c r="Y29" i="30"/>
  <c r="Z29" i="30"/>
  <c r="AA29" i="30"/>
  <c r="D30" i="30"/>
  <c r="E30" i="30"/>
  <c r="F30" i="30"/>
  <c r="G30" i="30"/>
  <c r="H30" i="30"/>
  <c r="I30" i="30"/>
  <c r="J30" i="30"/>
  <c r="K30" i="30"/>
  <c r="L30" i="30"/>
  <c r="M30" i="30"/>
  <c r="N30" i="30"/>
  <c r="O30" i="30"/>
  <c r="P30" i="30"/>
  <c r="Q30" i="30"/>
  <c r="R30" i="30"/>
  <c r="S30" i="30"/>
  <c r="T30" i="30"/>
  <c r="U30" i="30"/>
  <c r="V30" i="30"/>
  <c r="W30" i="30"/>
  <c r="X30" i="30"/>
  <c r="Y30" i="30"/>
  <c r="Z30" i="30"/>
  <c r="AA30" i="30"/>
  <c r="D31" i="30"/>
  <c r="E31" i="30"/>
  <c r="F31" i="30"/>
  <c r="G31" i="30"/>
  <c r="H31" i="30"/>
  <c r="I31" i="30"/>
  <c r="J31" i="30"/>
  <c r="K31" i="30"/>
  <c r="L31" i="30"/>
  <c r="M31" i="30"/>
  <c r="N31" i="30"/>
  <c r="O31" i="30"/>
  <c r="P31" i="30"/>
  <c r="Q31" i="30"/>
  <c r="R31" i="30"/>
  <c r="S31" i="30"/>
  <c r="T31" i="30"/>
  <c r="U31" i="30"/>
  <c r="V31" i="30"/>
  <c r="W31" i="30"/>
  <c r="X31" i="30"/>
  <c r="Y31" i="30"/>
  <c r="Z31" i="30"/>
  <c r="AA31" i="30"/>
  <c r="D32" i="30"/>
  <c r="E32" i="30"/>
  <c r="F32" i="30"/>
  <c r="G32" i="30"/>
  <c r="H32" i="30"/>
  <c r="I32" i="30"/>
  <c r="J32" i="30"/>
  <c r="K32" i="30"/>
  <c r="L32" i="30"/>
  <c r="M32" i="30"/>
  <c r="N32" i="30"/>
  <c r="O32" i="30"/>
  <c r="P32" i="30"/>
  <c r="Q32" i="30"/>
  <c r="R32" i="30"/>
  <c r="S32" i="30"/>
  <c r="T32" i="30"/>
  <c r="U32" i="30"/>
  <c r="V32" i="30"/>
  <c r="W32" i="30"/>
  <c r="X32" i="30"/>
  <c r="Y32" i="30"/>
  <c r="Z32" i="30"/>
  <c r="AA32" i="30"/>
  <c r="D33" i="30"/>
  <c r="E33" i="30"/>
  <c r="F33" i="30"/>
  <c r="G33" i="30"/>
  <c r="H33" i="30"/>
  <c r="I33" i="30"/>
  <c r="J33" i="30"/>
  <c r="K33" i="30"/>
  <c r="L33" i="30"/>
  <c r="M33" i="30"/>
  <c r="N33" i="30"/>
  <c r="O33" i="30"/>
  <c r="P33" i="30"/>
  <c r="Q33" i="30"/>
  <c r="R33" i="30"/>
  <c r="S33" i="30"/>
  <c r="T33" i="30"/>
  <c r="U33" i="30"/>
  <c r="V33" i="30"/>
  <c r="W33" i="30"/>
  <c r="X33" i="30"/>
  <c r="Y33" i="30"/>
  <c r="Z33" i="30"/>
  <c r="AA33" i="30"/>
  <c r="D34" i="30"/>
  <c r="E34" i="30"/>
  <c r="F34" i="30"/>
  <c r="G34" i="30"/>
  <c r="H34" i="30"/>
  <c r="I34" i="30"/>
  <c r="J34" i="30"/>
  <c r="K34" i="30"/>
  <c r="L34" i="30"/>
  <c r="M34" i="30"/>
  <c r="N34" i="30"/>
  <c r="O34" i="30"/>
  <c r="P34" i="30"/>
  <c r="Q34" i="30"/>
  <c r="R34" i="30"/>
  <c r="S34" i="30"/>
  <c r="T34" i="30"/>
  <c r="U34" i="30"/>
  <c r="V34" i="30"/>
  <c r="W34" i="30"/>
  <c r="X34" i="30"/>
  <c r="Y34" i="30"/>
  <c r="Z34" i="30"/>
  <c r="AA34" i="30"/>
  <c r="D35" i="30"/>
  <c r="E35" i="30"/>
  <c r="F35" i="30"/>
  <c r="G35" i="30"/>
  <c r="H35" i="30"/>
  <c r="I35" i="30"/>
  <c r="J35" i="30"/>
  <c r="K35" i="30"/>
  <c r="L35" i="30"/>
  <c r="M35" i="30"/>
  <c r="N35" i="30"/>
  <c r="O35" i="30"/>
  <c r="P35" i="30"/>
  <c r="Q35" i="30"/>
  <c r="R35" i="30"/>
  <c r="S35" i="30"/>
  <c r="T35" i="30"/>
  <c r="U35" i="30"/>
  <c r="V35" i="30"/>
  <c r="W35" i="30"/>
  <c r="X35" i="30"/>
  <c r="Y35" i="30"/>
  <c r="Z35" i="30"/>
  <c r="AA35" i="30"/>
  <c r="D36" i="30"/>
  <c r="E36" i="30"/>
  <c r="F36" i="30"/>
  <c r="G36" i="30"/>
  <c r="H36" i="30"/>
  <c r="I36" i="30"/>
  <c r="J36" i="30"/>
  <c r="K36" i="30"/>
  <c r="L36" i="30"/>
  <c r="M36" i="30"/>
  <c r="N36" i="30"/>
  <c r="O36" i="30"/>
  <c r="P36" i="30"/>
  <c r="Q36" i="30"/>
  <c r="R36" i="30"/>
  <c r="S36" i="30"/>
  <c r="T36" i="30"/>
  <c r="U36" i="30"/>
  <c r="V36" i="30"/>
  <c r="W36" i="30"/>
  <c r="X36" i="30"/>
  <c r="Y36" i="30"/>
  <c r="Z36" i="30"/>
  <c r="AA36" i="30"/>
  <c r="D37" i="30"/>
  <c r="E37" i="30"/>
  <c r="F37" i="30"/>
  <c r="G37" i="30"/>
  <c r="H37" i="30"/>
  <c r="I37" i="30"/>
  <c r="J37" i="30"/>
  <c r="K37" i="30"/>
  <c r="L37" i="30"/>
  <c r="M37" i="30"/>
  <c r="N37" i="30"/>
  <c r="O37" i="30"/>
  <c r="P37" i="30"/>
  <c r="Q37" i="30"/>
  <c r="R37" i="30"/>
  <c r="S37" i="30"/>
  <c r="T37" i="30"/>
  <c r="U37" i="30"/>
  <c r="V37" i="30"/>
  <c r="W37" i="30"/>
  <c r="X37" i="30"/>
  <c r="Y37" i="30"/>
  <c r="Z37" i="30"/>
  <c r="AA37" i="30"/>
  <c r="D38" i="30"/>
  <c r="E38" i="30"/>
  <c r="F38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S38" i="30"/>
  <c r="T38" i="30"/>
  <c r="U38" i="30"/>
  <c r="V38" i="30"/>
  <c r="W38" i="30"/>
  <c r="X38" i="30"/>
  <c r="Y38" i="30"/>
  <c r="Z38" i="30"/>
  <c r="AA38" i="30"/>
  <c r="D39" i="30"/>
  <c r="E39" i="30"/>
  <c r="F39" i="30"/>
  <c r="G39" i="30"/>
  <c r="H39" i="30"/>
  <c r="I39" i="30"/>
  <c r="J39" i="30"/>
  <c r="K39" i="30"/>
  <c r="L39" i="30"/>
  <c r="M39" i="30"/>
  <c r="N39" i="30"/>
  <c r="O39" i="30"/>
  <c r="P39" i="30"/>
  <c r="Q39" i="30"/>
  <c r="R39" i="30"/>
  <c r="S39" i="30"/>
  <c r="T39" i="30"/>
  <c r="U39" i="30"/>
  <c r="V39" i="30"/>
  <c r="W39" i="30"/>
  <c r="X39" i="30"/>
  <c r="Y39" i="30"/>
  <c r="Z39" i="30"/>
  <c r="AA39" i="30"/>
  <c r="D40" i="30"/>
  <c r="E40" i="30"/>
  <c r="F40" i="30"/>
  <c r="G40" i="30"/>
  <c r="H40" i="30"/>
  <c r="I40" i="30"/>
  <c r="J40" i="30"/>
  <c r="K40" i="30"/>
  <c r="L40" i="30"/>
  <c r="M40" i="30"/>
  <c r="N40" i="30"/>
  <c r="O40" i="30"/>
  <c r="P40" i="30"/>
  <c r="Q40" i="30"/>
  <c r="R40" i="30"/>
  <c r="S40" i="30"/>
  <c r="T40" i="30"/>
  <c r="U40" i="30"/>
  <c r="V40" i="30"/>
  <c r="W40" i="30"/>
  <c r="X40" i="30"/>
  <c r="Y40" i="30"/>
  <c r="Z40" i="30"/>
  <c r="AA40" i="30"/>
  <c r="D41" i="30"/>
  <c r="E41" i="30"/>
  <c r="F41" i="30"/>
  <c r="G41" i="30"/>
  <c r="H41" i="30"/>
  <c r="I41" i="30"/>
  <c r="J41" i="30"/>
  <c r="K41" i="30"/>
  <c r="L41" i="30"/>
  <c r="M41" i="30"/>
  <c r="N41" i="30"/>
  <c r="O41" i="30"/>
  <c r="P41" i="30"/>
  <c r="Q41" i="30"/>
  <c r="R41" i="30"/>
  <c r="S41" i="30"/>
  <c r="T41" i="30"/>
  <c r="U41" i="30"/>
  <c r="V41" i="30"/>
  <c r="W41" i="30"/>
  <c r="X41" i="30"/>
  <c r="Y41" i="30"/>
  <c r="Z41" i="30"/>
  <c r="AA41" i="30"/>
  <c r="D42" i="30"/>
  <c r="E42" i="30"/>
  <c r="F42" i="30"/>
  <c r="G42" i="30"/>
  <c r="H42" i="30"/>
  <c r="I42" i="30"/>
  <c r="J42" i="30"/>
  <c r="K42" i="30"/>
  <c r="L42" i="30"/>
  <c r="M42" i="30"/>
  <c r="N42" i="30"/>
  <c r="O42" i="30"/>
  <c r="P42" i="30"/>
  <c r="Q42" i="30"/>
  <c r="R42" i="30"/>
  <c r="S42" i="30"/>
  <c r="T42" i="30"/>
  <c r="U42" i="30"/>
  <c r="V42" i="30"/>
  <c r="W42" i="30"/>
  <c r="X42" i="30"/>
  <c r="Y42" i="30"/>
  <c r="Z42" i="30"/>
  <c r="AA42" i="30"/>
  <c r="D43" i="30"/>
  <c r="E43" i="30"/>
  <c r="F43" i="30"/>
  <c r="G43" i="30"/>
  <c r="H43" i="30"/>
  <c r="I43" i="30"/>
  <c r="J43" i="30"/>
  <c r="K43" i="30"/>
  <c r="L43" i="30"/>
  <c r="M43" i="30"/>
  <c r="N43" i="30"/>
  <c r="O43" i="30"/>
  <c r="P43" i="30"/>
  <c r="Q43" i="30"/>
  <c r="R43" i="30"/>
  <c r="S43" i="30"/>
  <c r="T43" i="30"/>
  <c r="U43" i="30"/>
  <c r="V43" i="30"/>
  <c r="W43" i="30"/>
  <c r="X43" i="30"/>
  <c r="Y43" i="30"/>
  <c r="Z43" i="30"/>
  <c r="AA43" i="30"/>
  <c r="D44" i="30"/>
  <c r="E44" i="30"/>
  <c r="F44" i="30"/>
  <c r="G44" i="30"/>
  <c r="H44" i="30"/>
  <c r="I44" i="30"/>
  <c r="J44" i="30"/>
  <c r="K44" i="30"/>
  <c r="L44" i="30"/>
  <c r="M44" i="30"/>
  <c r="N44" i="30"/>
  <c r="O44" i="30"/>
  <c r="P44" i="30"/>
  <c r="Q44" i="30"/>
  <c r="R44" i="30"/>
  <c r="S44" i="30"/>
  <c r="T44" i="30"/>
  <c r="U44" i="30"/>
  <c r="V44" i="30"/>
  <c r="W44" i="30"/>
  <c r="X44" i="30"/>
  <c r="Y44" i="30"/>
  <c r="Z44" i="30"/>
  <c r="AA44" i="30"/>
  <c r="D45" i="30"/>
  <c r="E45" i="30"/>
  <c r="F45" i="30"/>
  <c r="G45" i="30"/>
  <c r="H45" i="30"/>
  <c r="I45" i="30"/>
  <c r="J45" i="30"/>
  <c r="K45" i="30"/>
  <c r="L45" i="30"/>
  <c r="M45" i="30"/>
  <c r="N45" i="30"/>
  <c r="O45" i="30"/>
  <c r="P45" i="30"/>
  <c r="Q45" i="30"/>
  <c r="R45" i="30"/>
  <c r="S45" i="30"/>
  <c r="T45" i="30"/>
  <c r="U45" i="30"/>
  <c r="V45" i="30"/>
  <c r="W45" i="30"/>
  <c r="X45" i="30"/>
  <c r="Y45" i="30"/>
  <c r="Z45" i="30"/>
  <c r="AA45" i="30"/>
  <c r="D46" i="30"/>
  <c r="E46" i="30"/>
  <c r="F46" i="30"/>
  <c r="G46" i="30"/>
  <c r="H46" i="30"/>
  <c r="I46" i="30"/>
  <c r="J46" i="30"/>
  <c r="K46" i="30"/>
  <c r="L46" i="30"/>
  <c r="M46" i="30"/>
  <c r="N46" i="30"/>
  <c r="O46" i="30"/>
  <c r="P46" i="30"/>
  <c r="Q46" i="30"/>
  <c r="R46" i="30"/>
  <c r="S46" i="30"/>
  <c r="T46" i="30"/>
  <c r="U46" i="30"/>
  <c r="V46" i="30"/>
  <c r="W46" i="30"/>
  <c r="X46" i="30"/>
  <c r="Y46" i="30"/>
  <c r="Z46" i="30"/>
  <c r="AA46" i="30"/>
  <c r="D47" i="30"/>
  <c r="E47" i="30"/>
  <c r="F47" i="30"/>
  <c r="G47" i="30"/>
  <c r="H47" i="30"/>
  <c r="I47" i="30"/>
  <c r="J47" i="30"/>
  <c r="K47" i="30"/>
  <c r="L47" i="30"/>
  <c r="M47" i="30"/>
  <c r="N47" i="30"/>
  <c r="O47" i="30"/>
  <c r="P47" i="30"/>
  <c r="Q47" i="30"/>
  <c r="R47" i="30"/>
  <c r="S47" i="30"/>
  <c r="T47" i="30"/>
  <c r="U47" i="30"/>
  <c r="V47" i="30"/>
  <c r="W47" i="30"/>
  <c r="X47" i="30"/>
  <c r="Y47" i="30"/>
  <c r="Z47" i="30"/>
  <c r="AA47" i="30"/>
  <c r="D48" i="30"/>
  <c r="E48" i="30"/>
  <c r="F48" i="30"/>
  <c r="G48" i="30"/>
  <c r="H48" i="30"/>
  <c r="I48" i="30"/>
  <c r="J48" i="30"/>
  <c r="K48" i="30"/>
  <c r="L48" i="30"/>
  <c r="M48" i="30"/>
  <c r="N48" i="30"/>
  <c r="O48" i="30"/>
  <c r="P48" i="30"/>
  <c r="Q48" i="30"/>
  <c r="R48" i="30"/>
  <c r="S48" i="30"/>
  <c r="T48" i="30"/>
  <c r="U48" i="30"/>
  <c r="V48" i="30"/>
  <c r="W48" i="30"/>
  <c r="X48" i="30"/>
  <c r="Y48" i="30"/>
  <c r="Z48" i="30"/>
  <c r="AA48" i="30"/>
  <c r="D49" i="30"/>
  <c r="E49" i="30"/>
  <c r="F49" i="30"/>
  <c r="G49" i="30"/>
  <c r="H49" i="30"/>
  <c r="I49" i="30"/>
  <c r="J49" i="30"/>
  <c r="K49" i="30"/>
  <c r="L49" i="30"/>
  <c r="M49" i="30"/>
  <c r="N49" i="30"/>
  <c r="O49" i="30"/>
  <c r="P49" i="30"/>
  <c r="Q49" i="30"/>
  <c r="R49" i="30"/>
  <c r="S49" i="30"/>
  <c r="T49" i="30"/>
  <c r="U49" i="30"/>
  <c r="V49" i="30"/>
  <c r="W49" i="30"/>
  <c r="X49" i="30"/>
  <c r="Y49" i="30"/>
  <c r="Z49" i="30"/>
  <c r="AA49" i="30"/>
  <c r="D50" i="30"/>
  <c r="E50" i="30"/>
  <c r="F50" i="30"/>
  <c r="G50" i="30"/>
  <c r="H50" i="30"/>
  <c r="I50" i="30"/>
  <c r="J50" i="30"/>
  <c r="K50" i="30"/>
  <c r="L50" i="30"/>
  <c r="M50" i="30"/>
  <c r="N50" i="30"/>
  <c r="O50" i="30"/>
  <c r="P50" i="30"/>
  <c r="Q50" i="30"/>
  <c r="R50" i="30"/>
  <c r="S50" i="30"/>
  <c r="T50" i="30"/>
  <c r="U50" i="30"/>
  <c r="V50" i="30"/>
  <c r="W50" i="30"/>
  <c r="X50" i="30"/>
  <c r="Y50" i="30"/>
  <c r="Z50" i="30"/>
  <c r="AA50" i="30"/>
  <c r="D51" i="30"/>
  <c r="E51" i="30"/>
  <c r="F51" i="30"/>
  <c r="G51" i="30"/>
  <c r="H51" i="30"/>
  <c r="I51" i="30"/>
  <c r="J51" i="30"/>
  <c r="K51" i="30"/>
  <c r="L51" i="30"/>
  <c r="M51" i="30"/>
  <c r="N51" i="30"/>
  <c r="O51" i="30"/>
  <c r="P51" i="30"/>
  <c r="Q51" i="30"/>
  <c r="R51" i="30"/>
  <c r="S51" i="30"/>
  <c r="T51" i="30"/>
  <c r="U51" i="30"/>
  <c r="V51" i="30"/>
  <c r="W51" i="30"/>
  <c r="X51" i="30"/>
  <c r="Y51" i="30"/>
  <c r="Z51" i="30"/>
  <c r="AA51" i="30"/>
  <c r="D52" i="30"/>
  <c r="E52" i="30"/>
  <c r="F52" i="30"/>
  <c r="G52" i="30"/>
  <c r="H52" i="30"/>
  <c r="I52" i="30"/>
  <c r="J52" i="30"/>
  <c r="K52" i="30"/>
  <c r="L52" i="30"/>
  <c r="M52" i="30"/>
  <c r="N52" i="30"/>
  <c r="O52" i="30"/>
  <c r="P52" i="30"/>
  <c r="Q52" i="30"/>
  <c r="R52" i="30"/>
  <c r="S52" i="30"/>
  <c r="T52" i="30"/>
  <c r="U52" i="30"/>
  <c r="V52" i="30"/>
  <c r="W52" i="30"/>
  <c r="X52" i="30"/>
  <c r="Y52" i="30"/>
  <c r="Z52" i="30"/>
  <c r="AA52" i="30"/>
  <c r="D53" i="30"/>
  <c r="E53" i="30"/>
  <c r="F53" i="30"/>
  <c r="G53" i="30"/>
  <c r="H53" i="30"/>
  <c r="I53" i="30"/>
  <c r="J53" i="30"/>
  <c r="K53" i="30"/>
  <c r="L53" i="30"/>
  <c r="M53" i="30"/>
  <c r="N53" i="30"/>
  <c r="O53" i="30"/>
  <c r="P53" i="30"/>
  <c r="Q53" i="30"/>
  <c r="R53" i="30"/>
  <c r="S53" i="30"/>
  <c r="T53" i="30"/>
  <c r="U53" i="30"/>
  <c r="V53" i="30"/>
  <c r="W53" i="30"/>
  <c r="X53" i="30"/>
  <c r="Y53" i="30"/>
  <c r="Z53" i="30"/>
  <c r="AA53" i="30"/>
  <c r="AB44" i="44" l="1"/>
  <c r="AB14" i="44"/>
  <c r="AB45" i="44"/>
  <c r="AB43" i="44"/>
  <c r="AB13" i="44"/>
  <c r="AB10" i="44"/>
  <c r="AB38" i="44"/>
  <c r="AB11" i="44"/>
  <c r="AB12" i="44"/>
  <c r="AB46" i="44"/>
  <c r="AB47" i="44"/>
  <c r="AB48" i="44"/>
  <c r="AB49" i="44"/>
  <c r="AB39" i="44"/>
  <c r="AB40" i="44"/>
  <c r="AB41" i="44"/>
  <c r="AB27" i="44"/>
  <c r="AB28" i="44"/>
  <c r="AB29" i="44"/>
  <c r="AB26" i="44"/>
  <c r="AB51" i="44"/>
  <c r="AB52" i="44"/>
  <c r="AB53" i="44"/>
  <c r="AB50" i="44"/>
  <c r="AB42" i="44"/>
  <c r="AB35" i="44"/>
  <c r="AB36" i="44"/>
  <c r="AB37" i="44"/>
  <c r="AB34" i="44"/>
  <c r="AB31" i="44"/>
  <c r="AB32" i="44"/>
  <c r="AB33" i="44"/>
  <c r="AB30" i="44"/>
  <c r="AB23" i="44"/>
  <c r="AB24" i="44"/>
  <c r="AB25" i="44"/>
  <c r="AB22" i="44"/>
  <c r="AB15" i="44"/>
  <c r="AB16" i="44"/>
  <c r="AB17" i="44"/>
  <c r="AB19" i="44"/>
  <c r="AB20" i="44"/>
  <c r="AB21" i="44"/>
  <c r="AB18" i="44"/>
  <c r="AD42" i="44" l="1"/>
  <c r="AE15" i="44" s="1"/>
  <c r="D18" i="45" s="1"/>
  <c r="AB6" i="44"/>
  <c r="AB7" i="44"/>
  <c r="AB9" i="44"/>
  <c r="AD10" i="44"/>
  <c r="AE7" i="44" s="1"/>
  <c r="D10" i="45" s="1"/>
  <c r="AD14" i="44"/>
  <c r="AE8" i="44" s="1"/>
  <c r="D11" i="45" s="1"/>
  <c r="AB8" i="44"/>
  <c r="AD46" i="44"/>
  <c r="AE16" i="44" s="1"/>
  <c r="D19" i="45" s="1"/>
  <c r="AD34" i="44"/>
  <c r="AE13" i="44" s="1"/>
  <c r="D16" i="45" s="1"/>
  <c r="AD38" i="44"/>
  <c r="AE14" i="44" s="1"/>
  <c r="D17" i="45" s="1"/>
  <c r="AD26" i="44"/>
  <c r="AE11" i="44" s="1"/>
  <c r="D14" i="45" s="1"/>
  <c r="AD22" i="44"/>
  <c r="AE10" i="44" s="1"/>
  <c r="D13" i="45" s="1"/>
  <c r="AD18" i="44"/>
  <c r="AE9" i="44" s="1"/>
  <c r="D12" i="45" s="1"/>
  <c r="AD50" i="44"/>
  <c r="AE17" i="44" s="1"/>
  <c r="D20" i="45" s="1"/>
  <c r="AD30" i="44"/>
  <c r="AE12" i="44" s="1"/>
  <c r="D15" i="45" s="1"/>
  <c r="AD6" i="44" l="1"/>
  <c r="AE6" i="44" s="1"/>
  <c r="D9" i="45" s="1"/>
  <c r="AD54" i="44" l="1"/>
  <c r="D21" i="45"/>
  <c r="H9" i="45"/>
  <c r="B11" i="43" l="1"/>
  <c r="B12" i="43" s="1"/>
  <c r="B13" i="43" s="1"/>
  <c r="B14" i="43" s="1"/>
  <c r="B15" i="43" s="1"/>
  <c r="B16" i="43" s="1"/>
  <c r="B17" i="43" s="1"/>
  <c r="B18" i="43" s="1"/>
  <c r="B19" i="43" s="1"/>
  <c r="B20" i="43" s="1"/>
  <c r="B10" i="43"/>
  <c r="AB7" i="42" l="1"/>
  <c r="AB8" i="42"/>
  <c r="AB9" i="42"/>
  <c r="AB10" i="42"/>
  <c r="AB11" i="42"/>
  <c r="AB12" i="42"/>
  <c r="AB13" i="42"/>
  <c r="AB14" i="42"/>
  <c r="AB15" i="42"/>
  <c r="AB16" i="42"/>
  <c r="AB17" i="42"/>
  <c r="AB18" i="42"/>
  <c r="AB19" i="42"/>
  <c r="AB20" i="42"/>
  <c r="AB21" i="42"/>
  <c r="AB22" i="42"/>
  <c r="AD22" i="42" s="1"/>
  <c r="AE10" i="42" s="1"/>
  <c r="D13" i="43" s="1"/>
  <c r="AB23" i="42"/>
  <c r="AB24" i="42"/>
  <c r="AB25" i="42"/>
  <c r="AB26" i="42"/>
  <c r="AB27" i="42"/>
  <c r="AB28" i="42"/>
  <c r="AB29" i="42"/>
  <c r="AB30" i="42"/>
  <c r="AD30" i="42" s="1"/>
  <c r="AE12" i="42" s="1"/>
  <c r="D15" i="43" s="1"/>
  <c r="AB31" i="42"/>
  <c r="AB32" i="42"/>
  <c r="AB33" i="42"/>
  <c r="AB34" i="42"/>
  <c r="AB35" i="42"/>
  <c r="AB36" i="42"/>
  <c r="AB37" i="42"/>
  <c r="AB38" i="42"/>
  <c r="AD38" i="42" s="1"/>
  <c r="AE14" i="42" s="1"/>
  <c r="D17" i="43" s="1"/>
  <c r="AB39" i="42"/>
  <c r="AB40" i="42"/>
  <c r="AB41" i="42"/>
  <c r="AB42" i="42"/>
  <c r="AB43" i="42"/>
  <c r="AB44" i="42"/>
  <c r="AB45" i="42"/>
  <c r="AB46" i="42"/>
  <c r="AD46" i="42" s="1"/>
  <c r="AE16" i="42" s="1"/>
  <c r="D19" i="43" s="1"/>
  <c r="AB47" i="42"/>
  <c r="AB48" i="42"/>
  <c r="AB49" i="42"/>
  <c r="AB50" i="42"/>
  <c r="AB51" i="42"/>
  <c r="AB52" i="42"/>
  <c r="AB53" i="42"/>
  <c r="AB6" i="42"/>
  <c r="AD6" i="42" s="1"/>
  <c r="AE6" i="42" s="1"/>
  <c r="D9" i="43" s="1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J6" i="38"/>
  <c r="I6" i="38"/>
  <c r="H6" i="38"/>
  <c r="G6" i="38"/>
  <c r="F6" i="38"/>
  <c r="E6" i="38"/>
  <c r="AA53" i="38"/>
  <c r="Z53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AA52" i="38"/>
  <c r="Z52" i="38"/>
  <c r="Y52" i="38"/>
  <c r="X52" i="38"/>
  <c r="W52" i="38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AA51" i="38"/>
  <c r="Z51" i="38"/>
  <c r="Y51" i="38"/>
  <c r="X51" i="38"/>
  <c r="W51" i="38"/>
  <c r="V51" i="38"/>
  <c r="U51" i="38"/>
  <c r="T51" i="38"/>
  <c r="S51" i="38"/>
  <c r="R51" i="38"/>
  <c r="Q51" i="38"/>
  <c r="P51" i="38"/>
  <c r="O51" i="38"/>
  <c r="N51" i="38"/>
  <c r="M51" i="38"/>
  <c r="L51" i="38"/>
  <c r="K51" i="38"/>
  <c r="J51" i="38"/>
  <c r="I51" i="38"/>
  <c r="H51" i="38"/>
  <c r="G51" i="38"/>
  <c r="F51" i="38"/>
  <c r="E51" i="38"/>
  <c r="D51" i="38"/>
  <c r="AA50" i="38"/>
  <c r="Z50" i="38"/>
  <c r="Y50" i="38"/>
  <c r="X50" i="38"/>
  <c r="W50" i="38"/>
  <c r="V50" i="38"/>
  <c r="U50" i="38"/>
  <c r="T50" i="38"/>
  <c r="S50" i="38"/>
  <c r="R50" i="38"/>
  <c r="Q50" i="38"/>
  <c r="P50" i="38"/>
  <c r="O50" i="38"/>
  <c r="N50" i="38"/>
  <c r="M50" i="38"/>
  <c r="L50" i="38"/>
  <c r="K50" i="38"/>
  <c r="J50" i="38"/>
  <c r="I50" i="38"/>
  <c r="H50" i="38"/>
  <c r="G50" i="38"/>
  <c r="F50" i="38"/>
  <c r="E50" i="38"/>
  <c r="D50" i="38"/>
  <c r="AA49" i="38"/>
  <c r="Z49" i="38"/>
  <c r="Y49" i="38"/>
  <c r="X49" i="38"/>
  <c r="W49" i="38"/>
  <c r="V49" i="38"/>
  <c r="U49" i="38"/>
  <c r="T49" i="38"/>
  <c r="S49" i="38"/>
  <c r="R49" i="38"/>
  <c r="Q49" i="38"/>
  <c r="P49" i="38"/>
  <c r="O49" i="38"/>
  <c r="N49" i="38"/>
  <c r="M49" i="38"/>
  <c r="L49" i="38"/>
  <c r="K49" i="38"/>
  <c r="J49" i="38"/>
  <c r="I49" i="38"/>
  <c r="H49" i="38"/>
  <c r="G49" i="38"/>
  <c r="F49" i="38"/>
  <c r="E49" i="38"/>
  <c r="D49" i="38"/>
  <c r="AA48" i="38"/>
  <c r="Z48" i="38"/>
  <c r="Y48" i="38"/>
  <c r="X48" i="38"/>
  <c r="W48" i="38"/>
  <c r="V48" i="38"/>
  <c r="U48" i="38"/>
  <c r="T48" i="38"/>
  <c r="S48" i="38"/>
  <c r="R48" i="38"/>
  <c r="Q48" i="38"/>
  <c r="P48" i="38"/>
  <c r="O48" i="38"/>
  <c r="N48" i="38"/>
  <c r="M48" i="38"/>
  <c r="L48" i="38"/>
  <c r="K48" i="38"/>
  <c r="J48" i="38"/>
  <c r="I48" i="38"/>
  <c r="H48" i="38"/>
  <c r="G48" i="38"/>
  <c r="F48" i="38"/>
  <c r="E48" i="38"/>
  <c r="D48" i="38"/>
  <c r="AA47" i="38"/>
  <c r="Z47" i="38"/>
  <c r="Y47" i="38"/>
  <c r="X47" i="38"/>
  <c r="W47" i="38"/>
  <c r="V47" i="38"/>
  <c r="U47" i="38"/>
  <c r="T47" i="38"/>
  <c r="S47" i="38"/>
  <c r="R47" i="38"/>
  <c r="Q47" i="38"/>
  <c r="P47" i="38"/>
  <c r="O47" i="38"/>
  <c r="N47" i="38"/>
  <c r="M47" i="38"/>
  <c r="L47" i="38"/>
  <c r="K47" i="38"/>
  <c r="J47" i="38"/>
  <c r="I47" i="38"/>
  <c r="H47" i="38"/>
  <c r="G47" i="38"/>
  <c r="F47" i="38"/>
  <c r="E47" i="38"/>
  <c r="D47" i="38"/>
  <c r="AA46" i="38"/>
  <c r="Z46" i="38"/>
  <c r="Y46" i="38"/>
  <c r="X46" i="38"/>
  <c r="W46" i="38"/>
  <c r="V46" i="38"/>
  <c r="U46" i="38"/>
  <c r="T46" i="38"/>
  <c r="S46" i="38"/>
  <c r="R46" i="38"/>
  <c r="Q46" i="38"/>
  <c r="P46" i="38"/>
  <c r="O46" i="38"/>
  <c r="N46" i="38"/>
  <c r="M46" i="38"/>
  <c r="L46" i="38"/>
  <c r="K46" i="38"/>
  <c r="J46" i="38"/>
  <c r="I46" i="38"/>
  <c r="H46" i="38"/>
  <c r="G46" i="38"/>
  <c r="F46" i="38"/>
  <c r="E46" i="38"/>
  <c r="D46" i="38"/>
  <c r="AA45" i="38"/>
  <c r="Z45" i="38"/>
  <c r="Y45" i="38"/>
  <c r="X45" i="38"/>
  <c r="W45" i="38"/>
  <c r="V45" i="38"/>
  <c r="U45" i="38"/>
  <c r="T45" i="38"/>
  <c r="S45" i="38"/>
  <c r="R45" i="38"/>
  <c r="Q45" i="38"/>
  <c r="P45" i="38"/>
  <c r="O45" i="38"/>
  <c r="N45" i="38"/>
  <c r="M45" i="38"/>
  <c r="L45" i="38"/>
  <c r="K45" i="38"/>
  <c r="J45" i="38"/>
  <c r="I45" i="38"/>
  <c r="H45" i="38"/>
  <c r="G45" i="38"/>
  <c r="F45" i="38"/>
  <c r="E45" i="38"/>
  <c r="D45" i="38"/>
  <c r="AA44" i="38"/>
  <c r="Z44" i="38"/>
  <c r="Y44" i="38"/>
  <c r="X44" i="38"/>
  <c r="W44" i="38"/>
  <c r="V44" i="38"/>
  <c r="U44" i="38"/>
  <c r="T44" i="38"/>
  <c r="S44" i="38"/>
  <c r="R44" i="38"/>
  <c r="Q44" i="38"/>
  <c r="P44" i="38"/>
  <c r="O44" i="38"/>
  <c r="N44" i="38"/>
  <c r="M44" i="38"/>
  <c r="L44" i="38"/>
  <c r="K44" i="38"/>
  <c r="J44" i="38"/>
  <c r="I44" i="38"/>
  <c r="H44" i="38"/>
  <c r="G44" i="38"/>
  <c r="F44" i="38"/>
  <c r="E44" i="38"/>
  <c r="D44" i="38"/>
  <c r="AA43" i="38"/>
  <c r="Z43" i="38"/>
  <c r="Y43" i="38"/>
  <c r="X43" i="38"/>
  <c r="W43" i="38"/>
  <c r="V43" i="38"/>
  <c r="U43" i="38"/>
  <c r="T43" i="38"/>
  <c r="S43" i="38"/>
  <c r="R43" i="38"/>
  <c r="Q43" i="38"/>
  <c r="P43" i="38"/>
  <c r="O43" i="38"/>
  <c r="N43" i="38"/>
  <c r="M43" i="38"/>
  <c r="L43" i="38"/>
  <c r="K43" i="38"/>
  <c r="J43" i="38"/>
  <c r="I43" i="38"/>
  <c r="H43" i="38"/>
  <c r="G43" i="38"/>
  <c r="F43" i="38"/>
  <c r="E43" i="38"/>
  <c r="D43" i="38"/>
  <c r="AA42" i="38"/>
  <c r="Z42" i="38"/>
  <c r="Y42" i="38"/>
  <c r="X42" i="38"/>
  <c r="W42" i="38"/>
  <c r="V42" i="38"/>
  <c r="U42" i="38"/>
  <c r="T42" i="38"/>
  <c r="S42" i="38"/>
  <c r="R42" i="38"/>
  <c r="Q42" i="38"/>
  <c r="P42" i="38"/>
  <c r="O42" i="38"/>
  <c r="N42" i="38"/>
  <c r="M42" i="38"/>
  <c r="L42" i="38"/>
  <c r="K42" i="38"/>
  <c r="J42" i="38"/>
  <c r="I42" i="38"/>
  <c r="H42" i="38"/>
  <c r="G42" i="38"/>
  <c r="F42" i="38"/>
  <c r="E42" i="38"/>
  <c r="D42" i="38"/>
  <c r="AA41" i="38"/>
  <c r="Z41" i="38"/>
  <c r="Y41" i="38"/>
  <c r="X41" i="38"/>
  <c r="W41" i="38"/>
  <c r="V41" i="38"/>
  <c r="U41" i="38"/>
  <c r="T41" i="38"/>
  <c r="S41" i="38"/>
  <c r="R41" i="38"/>
  <c r="Q41" i="38"/>
  <c r="P41" i="38"/>
  <c r="O41" i="38"/>
  <c r="N41" i="38"/>
  <c r="M41" i="38"/>
  <c r="L41" i="38"/>
  <c r="K41" i="38"/>
  <c r="J41" i="38"/>
  <c r="I41" i="38"/>
  <c r="H41" i="38"/>
  <c r="G41" i="38"/>
  <c r="F41" i="38"/>
  <c r="E41" i="38"/>
  <c r="D41" i="38"/>
  <c r="AA40" i="38"/>
  <c r="Z40" i="38"/>
  <c r="Y40" i="38"/>
  <c r="X40" i="38"/>
  <c r="W40" i="38"/>
  <c r="V40" i="38"/>
  <c r="U40" i="38"/>
  <c r="T40" i="38"/>
  <c r="S40" i="38"/>
  <c r="R40" i="38"/>
  <c r="Q40" i="38"/>
  <c r="P40" i="38"/>
  <c r="O40" i="38"/>
  <c r="N40" i="38"/>
  <c r="M40" i="38"/>
  <c r="L40" i="38"/>
  <c r="K40" i="38"/>
  <c r="J40" i="38"/>
  <c r="I40" i="38"/>
  <c r="H40" i="38"/>
  <c r="G40" i="38"/>
  <c r="F40" i="38"/>
  <c r="E40" i="38"/>
  <c r="D40" i="38"/>
  <c r="AA39" i="38"/>
  <c r="Z39" i="38"/>
  <c r="Y39" i="38"/>
  <c r="X39" i="38"/>
  <c r="W39" i="38"/>
  <c r="V39" i="38"/>
  <c r="U39" i="38"/>
  <c r="T39" i="38"/>
  <c r="S39" i="38"/>
  <c r="R39" i="38"/>
  <c r="Q39" i="38"/>
  <c r="P39" i="38"/>
  <c r="O39" i="38"/>
  <c r="N39" i="38"/>
  <c r="M39" i="38"/>
  <c r="L39" i="38"/>
  <c r="K39" i="38"/>
  <c r="J39" i="38"/>
  <c r="I39" i="38"/>
  <c r="H39" i="38"/>
  <c r="G39" i="38"/>
  <c r="F39" i="38"/>
  <c r="E39" i="38"/>
  <c r="D39" i="38"/>
  <c r="AA38" i="38"/>
  <c r="Z38" i="38"/>
  <c r="Y38" i="38"/>
  <c r="X38" i="38"/>
  <c r="W38" i="38"/>
  <c r="V38" i="38"/>
  <c r="U38" i="38"/>
  <c r="T38" i="38"/>
  <c r="S38" i="38"/>
  <c r="R38" i="38"/>
  <c r="Q38" i="38"/>
  <c r="P38" i="38"/>
  <c r="O38" i="38"/>
  <c r="N38" i="38"/>
  <c r="M38" i="38"/>
  <c r="L38" i="38"/>
  <c r="K38" i="38"/>
  <c r="J38" i="38"/>
  <c r="I38" i="38"/>
  <c r="H38" i="38"/>
  <c r="G38" i="38"/>
  <c r="F38" i="38"/>
  <c r="E38" i="38"/>
  <c r="D38" i="38"/>
  <c r="AA37" i="38"/>
  <c r="Z37" i="38"/>
  <c r="Y37" i="38"/>
  <c r="X37" i="38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G37" i="38"/>
  <c r="F37" i="38"/>
  <c r="E37" i="38"/>
  <c r="D37" i="38"/>
  <c r="AA36" i="38"/>
  <c r="Z36" i="38"/>
  <c r="Y36" i="38"/>
  <c r="X36" i="38"/>
  <c r="W36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G36" i="38"/>
  <c r="F36" i="38"/>
  <c r="E36" i="38"/>
  <c r="D36" i="38"/>
  <c r="AA35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H35" i="38"/>
  <c r="G35" i="38"/>
  <c r="F35" i="38"/>
  <c r="E35" i="38"/>
  <c r="D35" i="38"/>
  <c r="AA34" i="38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G34" i="38"/>
  <c r="F34" i="38"/>
  <c r="E34" i="38"/>
  <c r="D34" i="38"/>
  <c r="AA33" i="38"/>
  <c r="Z33" i="38"/>
  <c r="Y33" i="38"/>
  <c r="X33" i="38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H33" i="38"/>
  <c r="G33" i="38"/>
  <c r="F33" i="38"/>
  <c r="E33" i="38"/>
  <c r="D33" i="38"/>
  <c r="AA32" i="38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H32" i="38"/>
  <c r="G32" i="38"/>
  <c r="F32" i="38"/>
  <c r="E32" i="38"/>
  <c r="D32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G31" i="38"/>
  <c r="F31" i="38"/>
  <c r="E31" i="38"/>
  <c r="D31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E30" i="38"/>
  <c r="D30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G21" i="38"/>
  <c r="F21" i="38"/>
  <c r="E21" i="38"/>
  <c r="D21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G20" i="38"/>
  <c r="F20" i="38"/>
  <c r="E20" i="38"/>
  <c r="D20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H19" i="38"/>
  <c r="G19" i="38"/>
  <c r="F19" i="38"/>
  <c r="E19" i="38"/>
  <c r="D19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H18" i="38"/>
  <c r="G18" i="38"/>
  <c r="F18" i="38"/>
  <c r="E18" i="38"/>
  <c r="D18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H17" i="38"/>
  <c r="G17" i="38"/>
  <c r="F17" i="38"/>
  <c r="E17" i="38"/>
  <c r="D17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G15" i="38"/>
  <c r="F15" i="38"/>
  <c r="E15" i="38"/>
  <c r="D15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G14" i="38"/>
  <c r="F14" i="38"/>
  <c r="E14" i="38"/>
  <c r="D14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G13" i="38"/>
  <c r="F13" i="38"/>
  <c r="E13" i="38"/>
  <c r="D13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G12" i="38"/>
  <c r="F12" i="38"/>
  <c r="E12" i="38"/>
  <c r="D12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H11" i="38"/>
  <c r="G11" i="38"/>
  <c r="F11" i="38"/>
  <c r="E11" i="38"/>
  <c r="D11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I10" i="38"/>
  <c r="H10" i="38"/>
  <c r="G10" i="38"/>
  <c r="F10" i="38"/>
  <c r="E10" i="38"/>
  <c r="D10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H9" i="38"/>
  <c r="G9" i="38"/>
  <c r="F9" i="38"/>
  <c r="E9" i="38"/>
  <c r="D9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H8" i="38"/>
  <c r="G8" i="38"/>
  <c r="F8" i="38"/>
  <c r="E8" i="38"/>
  <c r="D8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I7" i="38"/>
  <c r="H7" i="38"/>
  <c r="G7" i="38"/>
  <c r="F7" i="38"/>
  <c r="E7" i="38"/>
  <c r="D7" i="38"/>
  <c r="AD14" i="42" l="1"/>
  <c r="AE8" i="42" s="1"/>
  <c r="D11" i="43" s="1"/>
  <c r="AD50" i="42"/>
  <c r="AE17" i="42" s="1"/>
  <c r="D20" i="43" s="1"/>
  <c r="AD42" i="42"/>
  <c r="AE15" i="42" s="1"/>
  <c r="D18" i="43" s="1"/>
  <c r="AD34" i="42"/>
  <c r="AE13" i="42" s="1"/>
  <c r="D16" i="43" s="1"/>
  <c r="AD26" i="42"/>
  <c r="AE11" i="42" s="1"/>
  <c r="D14" i="43" s="1"/>
  <c r="AD18" i="42"/>
  <c r="AE9" i="42" s="1"/>
  <c r="D12" i="43" s="1"/>
  <c r="AD10" i="42"/>
  <c r="AE7" i="42" s="1"/>
  <c r="D10" i="43" s="1"/>
  <c r="D21" i="43" l="1"/>
  <c r="AD54" i="42"/>
  <c r="B10" i="39" l="1"/>
  <c r="B11" i="39" s="1"/>
  <c r="B12" i="39" s="1"/>
  <c r="B13" i="39" s="1"/>
  <c r="B14" i="39" s="1"/>
  <c r="B15" i="39" s="1"/>
  <c r="B16" i="39" s="1"/>
  <c r="B17" i="39" s="1"/>
  <c r="B18" i="39" s="1"/>
  <c r="B19" i="39" s="1"/>
  <c r="B20" i="39" s="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9" i="32"/>
  <c r="D48" i="32"/>
  <c r="D47" i="32"/>
  <c r="AB6" i="38"/>
  <c r="AB7" i="38"/>
  <c r="AB8" i="38"/>
  <c r="AB9" i="38"/>
  <c r="AB10" i="38"/>
  <c r="AB11" i="38"/>
  <c r="AB12" i="38"/>
  <c r="AB13" i="38"/>
  <c r="AB14" i="38"/>
  <c r="AB15" i="38"/>
  <c r="AB16" i="38"/>
  <c r="AB17" i="38"/>
  <c r="AB18" i="38"/>
  <c r="AB19" i="38"/>
  <c r="AB20" i="38"/>
  <c r="AB21" i="38"/>
  <c r="AB22" i="38"/>
  <c r="AB23" i="38"/>
  <c r="AB24" i="38"/>
  <c r="AB25" i="38"/>
  <c r="AB26" i="38"/>
  <c r="AB27" i="38"/>
  <c r="AB28" i="38"/>
  <c r="AB29" i="38"/>
  <c r="AB30" i="38"/>
  <c r="AB31" i="38"/>
  <c r="AB32" i="38"/>
  <c r="AB33" i="38"/>
  <c r="AB34" i="38"/>
  <c r="AB35" i="38"/>
  <c r="AB36" i="38"/>
  <c r="AB37" i="38"/>
  <c r="AB38" i="38"/>
  <c r="AB39" i="38"/>
  <c r="AB40" i="38"/>
  <c r="AB41" i="38"/>
  <c r="AB42" i="38"/>
  <c r="AB43" i="38"/>
  <c r="AB44" i="38"/>
  <c r="AB45" i="38"/>
  <c r="AB46" i="38"/>
  <c r="AB47" i="38"/>
  <c r="AB48" i="38"/>
  <c r="AB49" i="38"/>
  <c r="AB50" i="38"/>
  <c r="AB51" i="38"/>
  <c r="AB52" i="38"/>
  <c r="AB53" i="38"/>
  <c r="AD26" i="38" l="1"/>
  <c r="AE11" i="38" s="1"/>
  <c r="AD50" i="38"/>
  <c r="AE17" i="38" s="1"/>
  <c r="AD34" i="38"/>
  <c r="AE13" i="38" s="1"/>
  <c r="AD18" i="38"/>
  <c r="AE9" i="38" s="1"/>
  <c r="AD30" i="38"/>
  <c r="AE12" i="38" s="1"/>
  <c r="AD22" i="38"/>
  <c r="AE10" i="38" s="1"/>
  <c r="AD6" i="38"/>
  <c r="AE6" i="38" s="1"/>
  <c r="AD38" i="38"/>
  <c r="AE14" i="38" s="1"/>
  <c r="AD10" i="38"/>
  <c r="AE7" i="38" s="1"/>
  <c r="AD42" i="38"/>
  <c r="AE15" i="38" s="1"/>
  <c r="AD14" i="38"/>
  <c r="AE8" i="38" s="1"/>
  <c r="AD46" i="38"/>
  <c r="AE16" i="38" s="1"/>
  <c r="D15" i="39" l="1"/>
  <c r="F15" i="39" s="1"/>
  <c r="D17" i="39"/>
  <c r="F17" i="39" s="1"/>
  <c r="D9" i="39"/>
  <c r="F9" i="39" s="1"/>
  <c r="D11" i="39"/>
  <c r="F11" i="39" s="1"/>
  <c r="D13" i="39"/>
  <c r="F13" i="39" s="1"/>
  <c r="D19" i="39"/>
  <c r="F19" i="39" s="1"/>
  <c r="D12" i="39"/>
  <c r="F12" i="39" s="1"/>
  <c r="D16" i="39"/>
  <c r="F16" i="39" s="1"/>
  <c r="D18" i="39"/>
  <c r="F18" i="39" s="1"/>
  <c r="D20" i="39"/>
  <c r="F20" i="39" s="1"/>
  <c r="D10" i="39"/>
  <c r="F10" i="39" s="1"/>
  <c r="D14" i="39"/>
  <c r="F14" i="39" s="1"/>
  <c r="AD54" i="38"/>
  <c r="D21" i="39" l="1"/>
  <c r="AB6" i="35"/>
  <c r="AB7" i="35"/>
  <c r="AB8" i="35"/>
  <c r="AB9" i="35"/>
  <c r="AB10" i="35"/>
  <c r="AB11" i="35"/>
  <c r="AB12" i="35"/>
  <c r="AB13" i="35"/>
  <c r="AB14" i="35"/>
  <c r="AB15" i="35"/>
  <c r="AB16" i="35"/>
  <c r="AB17" i="35"/>
  <c r="AB18" i="35"/>
  <c r="AB19" i="35"/>
  <c r="AB20" i="35"/>
  <c r="AB21" i="35"/>
  <c r="AB22" i="35"/>
  <c r="AB23" i="35"/>
  <c r="AB24" i="35"/>
  <c r="AB25" i="35"/>
  <c r="AB26" i="35"/>
  <c r="AB27" i="35"/>
  <c r="AB28" i="35"/>
  <c r="AB29" i="35"/>
  <c r="AB30" i="35"/>
  <c r="AB31" i="35"/>
  <c r="AB32" i="35"/>
  <c r="AB33" i="35"/>
  <c r="AB34" i="35"/>
  <c r="AB35" i="35"/>
  <c r="AB36" i="35"/>
  <c r="AB37" i="35"/>
  <c r="AB38" i="35"/>
  <c r="AB39" i="35"/>
  <c r="AB40" i="35"/>
  <c r="AB41" i="35"/>
  <c r="AB42" i="35"/>
  <c r="AB43" i="35"/>
  <c r="AB44" i="35"/>
  <c r="AB45" i="35"/>
  <c r="AB46" i="35"/>
  <c r="AB47" i="35"/>
  <c r="AB48" i="35"/>
  <c r="AB49" i="35"/>
  <c r="AB50" i="35"/>
  <c r="AB51" i="35"/>
  <c r="AB52" i="35"/>
  <c r="AB53" i="35"/>
  <c r="D20" i="34"/>
  <c r="D19" i="34"/>
  <c r="D18" i="34"/>
  <c r="D17" i="34"/>
  <c r="D16" i="34"/>
  <c r="D15" i="34"/>
  <c r="D14" i="34"/>
  <c r="D13" i="34"/>
  <c r="D12" i="34"/>
  <c r="D11" i="34"/>
  <c r="D53" i="32"/>
  <c r="D52" i="32"/>
  <c r="D51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AB53" i="32" s="1"/>
  <c r="F53" i="32"/>
  <c r="E53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AB51" i="32" s="1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AE53" i="32"/>
  <c r="AE52" i="32"/>
  <c r="AE51" i="32"/>
  <c r="AE50" i="32"/>
  <c r="AE49" i="32"/>
  <c r="AB49" i="32"/>
  <c r="AE48" i="32"/>
  <c r="AB48" i="32"/>
  <c r="AE47" i="32"/>
  <c r="AB47" i="32"/>
  <c r="AE46" i="32"/>
  <c r="AB46" i="32"/>
  <c r="AE45" i="32"/>
  <c r="AB45" i="32"/>
  <c r="AE44" i="32"/>
  <c r="AB44" i="32"/>
  <c r="AE43" i="32"/>
  <c r="AB43" i="32"/>
  <c r="AE42" i="32"/>
  <c r="AB42" i="32"/>
  <c r="AD42" i="32" s="1"/>
  <c r="AE15" i="32" s="1"/>
  <c r="AE41" i="32"/>
  <c r="AB41" i="32"/>
  <c r="AE40" i="32"/>
  <c r="AB40" i="32"/>
  <c r="AE39" i="32"/>
  <c r="AB39" i="32"/>
  <c r="AE38" i="32"/>
  <c r="AB38" i="32"/>
  <c r="AD38" i="32" s="1"/>
  <c r="AE14" i="32" s="1"/>
  <c r="AE37" i="32"/>
  <c r="AB37" i="32"/>
  <c r="AE36" i="32"/>
  <c r="AB36" i="32"/>
  <c r="AE35" i="32"/>
  <c r="AB35" i="32"/>
  <c r="AE34" i="32"/>
  <c r="AB34" i="32"/>
  <c r="AD34" i="32" s="1"/>
  <c r="AE13" i="32" s="1"/>
  <c r="AE33" i="32"/>
  <c r="AB33" i="32"/>
  <c r="AE32" i="32"/>
  <c r="AB32" i="32"/>
  <c r="AE31" i="32"/>
  <c r="AB31" i="32"/>
  <c r="AE30" i="32"/>
  <c r="AB30" i="32"/>
  <c r="AD30" i="32" s="1"/>
  <c r="AE12" i="32" s="1"/>
  <c r="AE29" i="32"/>
  <c r="AB29" i="32"/>
  <c r="AE28" i="32"/>
  <c r="AB28" i="32"/>
  <c r="AE27" i="32"/>
  <c r="AB27" i="32"/>
  <c r="AE26" i="32"/>
  <c r="AB26" i="32"/>
  <c r="AD26" i="32" s="1"/>
  <c r="AE11" i="32" s="1"/>
  <c r="AE25" i="32"/>
  <c r="AB25" i="32"/>
  <c r="AE24" i="32"/>
  <c r="AB24" i="32"/>
  <c r="AE23" i="32"/>
  <c r="AB23" i="32"/>
  <c r="AE22" i="32"/>
  <c r="AB22" i="32"/>
  <c r="AD22" i="32" s="1"/>
  <c r="AE10" i="32" s="1"/>
  <c r="AE21" i="32"/>
  <c r="AB21" i="32"/>
  <c r="AE20" i="32"/>
  <c r="AB20" i="32"/>
  <c r="AE19" i="32"/>
  <c r="AB19" i="32"/>
  <c r="AE18" i="32"/>
  <c r="AB18" i="32"/>
  <c r="AD18" i="32" s="1"/>
  <c r="AE9" i="32" s="1"/>
  <c r="AB17" i="32"/>
  <c r="AB16" i="32"/>
  <c r="AB15" i="32"/>
  <c r="AB14" i="32"/>
  <c r="AD14" i="32" s="1"/>
  <c r="AE8" i="32" s="1"/>
  <c r="AB13" i="32"/>
  <c r="AB12" i="32"/>
  <c r="AB11" i="32"/>
  <c r="AD10" i="32"/>
  <c r="AE7" i="32" s="1"/>
  <c r="AB10" i="32"/>
  <c r="AB9" i="32"/>
  <c r="AB8" i="32"/>
  <c r="AB7" i="32"/>
  <c r="AB6" i="32"/>
  <c r="AD6" i="32" s="1"/>
  <c r="AB389" i="30"/>
  <c r="AB388" i="30"/>
  <c r="AB387" i="30"/>
  <c r="AB386" i="30"/>
  <c r="AB385" i="30"/>
  <c r="AB384" i="30"/>
  <c r="AB383" i="30"/>
  <c r="AB382" i="30"/>
  <c r="AB381" i="30"/>
  <c r="AB380" i="30"/>
  <c r="AB379" i="30"/>
  <c r="AB378" i="30"/>
  <c r="AB377" i="30"/>
  <c r="AB376" i="30"/>
  <c r="AB375" i="30"/>
  <c r="AB374" i="30"/>
  <c r="AB373" i="30"/>
  <c r="AB372" i="30"/>
  <c r="AB371" i="30"/>
  <c r="AB370" i="30"/>
  <c r="AB369" i="30"/>
  <c r="AB368" i="30"/>
  <c r="AB367" i="30"/>
  <c r="AB366" i="30"/>
  <c r="AB365" i="30"/>
  <c r="AB364" i="30"/>
  <c r="AB363" i="30"/>
  <c r="AB362" i="30"/>
  <c r="AB361" i="30"/>
  <c r="AB360" i="30"/>
  <c r="AB359" i="30"/>
  <c r="AB358" i="30"/>
  <c r="AB357" i="30"/>
  <c r="AB356" i="30"/>
  <c r="AB355" i="30"/>
  <c r="AB354" i="30"/>
  <c r="AB353" i="30"/>
  <c r="AB352" i="30"/>
  <c r="AB351" i="30"/>
  <c r="AB350" i="30"/>
  <c r="AB349" i="30"/>
  <c r="AB348" i="30"/>
  <c r="AB347" i="30"/>
  <c r="AB346" i="30"/>
  <c r="AB345" i="30"/>
  <c r="AB344" i="30"/>
  <c r="AB343" i="30"/>
  <c r="AB342" i="30"/>
  <c r="AB341" i="30"/>
  <c r="AB340" i="30"/>
  <c r="AB339" i="30"/>
  <c r="AB338" i="30"/>
  <c r="AB337" i="30"/>
  <c r="AB336" i="30"/>
  <c r="AB335" i="30"/>
  <c r="AB334" i="30"/>
  <c r="AB333" i="30"/>
  <c r="AB332" i="30"/>
  <c r="AB331" i="30"/>
  <c r="AB330" i="30"/>
  <c r="AB329" i="30"/>
  <c r="AB328" i="30"/>
  <c r="AB327" i="30"/>
  <c r="AB326" i="30"/>
  <c r="AB325" i="30"/>
  <c r="AB324" i="30"/>
  <c r="AB323" i="30"/>
  <c r="AB322" i="30"/>
  <c r="AB321" i="30"/>
  <c r="AB320" i="30"/>
  <c r="AB319" i="30"/>
  <c r="AB318" i="30"/>
  <c r="AB317" i="30"/>
  <c r="AB316" i="30"/>
  <c r="AB315" i="30"/>
  <c r="AB314" i="30"/>
  <c r="AB313" i="30"/>
  <c r="AB312" i="30"/>
  <c r="AB311" i="30"/>
  <c r="AB310" i="30"/>
  <c r="AB309" i="30"/>
  <c r="AB308" i="30"/>
  <c r="AB307" i="30"/>
  <c r="AB306" i="30"/>
  <c r="AB305" i="30"/>
  <c r="AB304" i="30"/>
  <c r="AB303" i="30"/>
  <c r="AB302" i="30"/>
  <c r="AB301" i="30"/>
  <c r="AB300" i="30"/>
  <c r="AB299" i="30"/>
  <c r="AB298" i="30"/>
  <c r="AB297" i="30"/>
  <c r="AB296" i="30"/>
  <c r="AB295" i="30"/>
  <c r="AB294" i="30"/>
  <c r="AB293" i="30"/>
  <c r="AB292" i="30"/>
  <c r="AB291" i="30"/>
  <c r="AB290" i="30"/>
  <c r="AB289" i="30"/>
  <c r="AB288" i="30"/>
  <c r="AB287" i="30"/>
  <c r="AB286" i="30"/>
  <c r="AB285" i="30"/>
  <c r="AB284" i="30"/>
  <c r="AB283" i="30"/>
  <c r="AB282" i="30"/>
  <c r="AB281" i="30"/>
  <c r="AB280" i="30"/>
  <c r="AB279" i="30"/>
  <c r="AB278" i="30"/>
  <c r="AB277" i="30"/>
  <c r="AB276" i="30"/>
  <c r="AB275" i="30"/>
  <c r="AB274" i="30"/>
  <c r="AB273" i="30"/>
  <c r="AB272" i="30"/>
  <c r="AB271" i="30"/>
  <c r="AB270" i="30"/>
  <c r="AB269" i="30"/>
  <c r="AB268" i="30"/>
  <c r="AB267" i="30"/>
  <c r="AB266" i="30"/>
  <c r="AB265" i="30"/>
  <c r="AB264" i="30"/>
  <c r="AB263" i="30"/>
  <c r="AB262" i="30"/>
  <c r="AB261" i="30"/>
  <c r="AB260" i="30"/>
  <c r="AB259" i="30"/>
  <c r="AB258" i="30"/>
  <c r="AB257" i="30"/>
  <c r="AB256" i="30"/>
  <c r="AB255" i="30"/>
  <c r="AB254" i="30"/>
  <c r="AB253" i="30"/>
  <c r="AB252" i="30"/>
  <c r="AB251" i="30"/>
  <c r="AB250" i="30"/>
  <c r="AB249" i="30"/>
  <c r="AB248" i="30"/>
  <c r="AB247" i="30"/>
  <c r="AB246" i="30"/>
  <c r="AB245" i="30"/>
  <c r="AB244" i="30"/>
  <c r="AB243" i="30"/>
  <c r="AB242" i="30"/>
  <c r="AB241" i="30"/>
  <c r="AB240" i="30"/>
  <c r="AB239" i="30"/>
  <c r="AB238" i="30"/>
  <c r="AB237" i="30"/>
  <c r="AB236" i="30"/>
  <c r="AB235" i="30"/>
  <c r="AB234" i="30"/>
  <c r="AB233" i="30"/>
  <c r="AB232" i="30"/>
  <c r="AB231" i="30"/>
  <c r="AB230" i="30"/>
  <c r="AB229" i="30"/>
  <c r="AB228" i="30"/>
  <c r="AB227" i="30"/>
  <c r="AB226" i="30"/>
  <c r="AB225" i="30"/>
  <c r="AB224" i="30"/>
  <c r="AB223" i="30"/>
  <c r="AB222" i="30"/>
  <c r="AB221" i="30"/>
  <c r="AB220" i="30"/>
  <c r="AB219" i="30"/>
  <c r="AB218" i="30"/>
  <c r="AB217" i="30"/>
  <c r="AB216" i="30"/>
  <c r="AB215" i="30"/>
  <c r="AB214" i="30"/>
  <c r="AB213" i="30"/>
  <c r="AB212" i="30"/>
  <c r="AB211" i="30"/>
  <c r="AB210" i="30"/>
  <c r="AB209" i="30"/>
  <c r="AB208" i="30"/>
  <c r="AB207" i="30"/>
  <c r="AB206" i="30"/>
  <c r="AB205" i="30"/>
  <c r="AB204" i="30"/>
  <c r="AB203" i="30"/>
  <c r="AB202" i="30"/>
  <c r="AB201" i="30"/>
  <c r="AB200" i="30"/>
  <c r="AB199" i="30"/>
  <c r="AB198" i="30"/>
  <c r="AB197" i="30"/>
  <c r="AB196" i="30"/>
  <c r="AB195" i="30"/>
  <c r="AB194" i="30"/>
  <c r="AB193" i="30"/>
  <c r="AB192" i="30"/>
  <c r="AB191" i="30"/>
  <c r="AB190" i="30"/>
  <c r="AB189" i="30"/>
  <c r="AB188" i="30"/>
  <c r="AB187" i="30"/>
  <c r="AB186" i="30"/>
  <c r="AB185" i="30"/>
  <c r="AB184" i="30"/>
  <c r="AB183" i="30"/>
  <c r="AB182" i="30"/>
  <c r="AB181" i="30"/>
  <c r="AB180" i="30"/>
  <c r="AB179" i="30"/>
  <c r="AB178" i="30"/>
  <c r="AB177" i="30"/>
  <c r="AB176" i="30"/>
  <c r="AB175" i="30"/>
  <c r="AB174" i="30"/>
  <c r="AB173" i="30"/>
  <c r="AB172" i="30"/>
  <c r="AB171" i="30"/>
  <c r="AB170" i="30"/>
  <c r="AB169" i="30"/>
  <c r="AB168" i="30"/>
  <c r="AB167" i="30"/>
  <c r="AB166" i="30"/>
  <c r="AB165" i="30"/>
  <c r="AB164" i="30"/>
  <c r="AB163" i="30"/>
  <c r="AB162" i="30"/>
  <c r="AB161" i="30"/>
  <c r="AB160" i="30"/>
  <c r="AB159" i="30"/>
  <c r="AB158" i="30"/>
  <c r="AB157" i="30"/>
  <c r="AB156" i="30"/>
  <c r="AB155" i="30"/>
  <c r="AB154" i="30"/>
  <c r="AB153" i="30"/>
  <c r="AB152" i="30"/>
  <c r="AB151" i="30"/>
  <c r="AB150" i="30"/>
  <c r="AB149" i="30"/>
  <c r="AB148" i="30"/>
  <c r="AB147" i="30"/>
  <c r="AB146" i="30"/>
  <c r="AB145" i="30"/>
  <c r="AB144" i="30"/>
  <c r="AB143" i="30"/>
  <c r="AB142" i="30"/>
  <c r="AB141" i="30"/>
  <c r="AB140" i="30"/>
  <c r="AB139" i="30"/>
  <c r="AB138" i="30"/>
  <c r="AB137" i="30"/>
  <c r="AB136" i="30"/>
  <c r="AB135" i="30"/>
  <c r="AB134" i="30"/>
  <c r="AB133" i="30"/>
  <c r="AB132" i="30"/>
  <c r="AB131" i="30"/>
  <c r="AB130" i="30"/>
  <c r="AB129" i="30"/>
  <c r="AB128" i="30"/>
  <c r="AB127" i="30"/>
  <c r="AB126" i="30"/>
  <c r="AB125" i="30"/>
  <c r="AB124" i="30"/>
  <c r="AB123" i="30"/>
  <c r="AB122" i="30"/>
  <c r="AB121" i="30"/>
  <c r="AB120" i="30"/>
  <c r="AB119" i="30"/>
  <c r="AB118" i="30"/>
  <c r="AB117" i="30"/>
  <c r="AB116" i="30"/>
  <c r="AB115" i="30"/>
  <c r="AB114" i="30"/>
  <c r="AB113" i="30"/>
  <c r="AB112" i="30"/>
  <c r="AB111" i="30"/>
  <c r="AB110" i="30"/>
  <c r="AB109" i="30"/>
  <c r="AB108" i="30"/>
  <c r="AB107" i="30"/>
  <c r="AB106" i="30"/>
  <c r="AB105" i="30"/>
  <c r="AB104" i="30"/>
  <c r="AB103" i="30"/>
  <c r="AB102" i="30"/>
  <c r="AB101" i="30"/>
  <c r="AB100" i="30"/>
  <c r="AB99" i="30"/>
  <c r="AB98" i="30"/>
  <c r="AB97" i="30"/>
  <c r="AB96" i="30"/>
  <c r="AB95" i="30"/>
  <c r="AB94" i="30"/>
  <c r="AB93" i="30"/>
  <c r="AB92" i="30"/>
  <c r="AB91" i="30"/>
  <c r="AB90" i="30"/>
  <c r="AB89" i="30"/>
  <c r="AB88" i="30"/>
  <c r="AB87" i="30"/>
  <c r="AB86" i="30"/>
  <c r="AB85" i="30"/>
  <c r="AB84" i="30"/>
  <c r="AB83" i="30"/>
  <c r="AB82" i="30"/>
  <c r="AB81" i="30"/>
  <c r="AB80" i="30"/>
  <c r="AB79" i="30"/>
  <c r="AB78" i="30"/>
  <c r="AB77" i="30"/>
  <c r="AB76" i="30"/>
  <c r="AB75" i="30"/>
  <c r="AB74" i="30"/>
  <c r="AB73" i="30"/>
  <c r="AB72" i="30"/>
  <c r="AB71" i="30"/>
  <c r="AB70" i="30"/>
  <c r="AB69" i="30"/>
  <c r="AB68" i="30"/>
  <c r="AB67" i="30"/>
  <c r="AB66" i="30"/>
  <c r="AB65" i="30"/>
  <c r="AB64" i="30"/>
  <c r="AB63" i="30"/>
  <c r="AB62" i="30"/>
  <c r="AB61" i="30"/>
  <c r="AB60" i="30"/>
  <c r="AB59" i="30"/>
  <c r="AB58" i="30"/>
  <c r="AB57" i="30"/>
  <c r="AB56" i="30"/>
  <c r="AB55" i="30"/>
  <c r="AB54" i="30"/>
  <c r="AB53" i="30"/>
  <c r="AB52" i="30"/>
  <c r="AB51" i="30"/>
  <c r="AB50" i="30"/>
  <c r="AB49" i="30"/>
  <c r="AB48" i="30"/>
  <c r="AB47" i="30"/>
  <c r="AB46" i="30"/>
  <c r="AB45" i="30"/>
  <c r="AB44" i="30"/>
  <c r="AB43" i="30"/>
  <c r="AB42" i="30"/>
  <c r="AB41" i="30"/>
  <c r="AB40" i="30"/>
  <c r="AB39" i="30"/>
  <c r="AB38" i="30"/>
  <c r="AB37" i="30"/>
  <c r="AB36" i="30"/>
  <c r="AB35" i="30"/>
  <c r="AB34" i="30"/>
  <c r="AB33" i="30"/>
  <c r="AB32" i="30"/>
  <c r="AB31" i="30"/>
  <c r="AB30" i="30"/>
  <c r="AB29" i="30"/>
  <c r="AB28" i="30"/>
  <c r="AB27" i="30"/>
  <c r="AB26" i="30"/>
  <c r="AB25" i="30"/>
  <c r="AB24" i="30"/>
  <c r="AB23" i="30"/>
  <c r="AB22" i="30"/>
  <c r="AB21" i="30"/>
  <c r="AB20" i="30"/>
  <c r="AB19" i="30"/>
  <c r="AB18" i="30"/>
  <c r="AD18" i="30" s="1"/>
  <c r="AE9" i="30" s="1"/>
  <c r="D14" i="31" s="1"/>
  <c r="AB17" i="30"/>
  <c r="AB16" i="30"/>
  <c r="AB15" i="30"/>
  <c r="AB14" i="30"/>
  <c r="AB13" i="30"/>
  <c r="AB12" i="30"/>
  <c r="AB11" i="30"/>
  <c r="AB10" i="30"/>
  <c r="AD10" i="30" s="1"/>
  <c r="AE7" i="30" s="1"/>
  <c r="D12" i="31" s="1"/>
  <c r="AB9" i="30"/>
  <c r="AB8" i="30"/>
  <c r="AB7" i="30"/>
  <c r="AB6" i="30"/>
  <c r="AD14" i="30" l="1"/>
  <c r="AE8" i="30" s="1"/>
  <c r="D13" i="31" s="1"/>
  <c r="AD102" i="30"/>
  <c r="AD262" i="30"/>
  <c r="AD270" i="30"/>
  <c r="AD278" i="30"/>
  <c r="AD286" i="30"/>
  <c r="AD318" i="30"/>
  <c r="AD326" i="30"/>
  <c r="AD334" i="30"/>
  <c r="AD342" i="30"/>
  <c r="AD374" i="30"/>
  <c r="AD6" i="30"/>
  <c r="AE6" i="30" s="1"/>
  <c r="D11" i="31" s="1"/>
  <c r="AB52" i="32"/>
  <c r="AD50" i="30"/>
  <c r="AE17" i="30" s="1"/>
  <c r="D22" i="31" s="1"/>
  <c r="AD154" i="30"/>
  <c r="AD162" i="30"/>
  <c r="AD266" i="30"/>
  <c r="AD282" i="30"/>
  <c r="AD290" i="30"/>
  <c r="AD298" i="30"/>
  <c r="AD330" i="30"/>
  <c r="AD386" i="30"/>
  <c r="AD338" i="30"/>
  <c r="AD354" i="30"/>
  <c r="AD46" i="32"/>
  <c r="AE16" i="32" s="1"/>
  <c r="D21" i="34" s="1"/>
  <c r="AD34" i="35"/>
  <c r="AE13" i="35" s="1"/>
  <c r="D16" i="36" s="1"/>
  <c r="AD10" i="35"/>
  <c r="AE7" i="35" s="1"/>
  <c r="D10" i="36" s="1"/>
  <c r="AD38" i="35"/>
  <c r="AE14" i="35" s="1"/>
  <c r="D17" i="36" s="1"/>
  <c r="AD50" i="35"/>
  <c r="AE17" i="35" s="1"/>
  <c r="D20" i="36" s="1"/>
  <c r="AD42" i="35"/>
  <c r="AE15" i="35" s="1"/>
  <c r="D18" i="36" s="1"/>
  <c r="AD46" i="35"/>
  <c r="AE16" i="35" s="1"/>
  <c r="D19" i="36" s="1"/>
  <c r="AD26" i="35"/>
  <c r="AE11" i="35" s="1"/>
  <c r="D14" i="36" s="1"/>
  <c r="AD14" i="35"/>
  <c r="AE8" i="35" s="1"/>
  <c r="D11" i="36" s="1"/>
  <c r="AD30" i="35"/>
  <c r="AE12" i="35" s="1"/>
  <c r="D15" i="36" s="1"/>
  <c r="AD18" i="35"/>
  <c r="AE9" i="35" s="1"/>
  <c r="D12" i="36" s="1"/>
  <c r="AD22" i="35"/>
  <c r="AE10" i="35" s="1"/>
  <c r="D13" i="36" s="1"/>
  <c r="AD6" i="35"/>
  <c r="AE6" i="35" s="1"/>
  <c r="D9" i="36" s="1"/>
  <c r="AD214" i="30"/>
  <c r="AB50" i="32"/>
  <c r="AD50" i="32" s="1"/>
  <c r="AE6" i="32"/>
  <c r="AD370" i="30"/>
  <c r="AD206" i="30"/>
  <c r="AD82" i="30"/>
  <c r="AD178" i="30"/>
  <c r="AD166" i="30"/>
  <c r="AD142" i="30"/>
  <c r="AD114" i="30"/>
  <c r="AD94" i="30"/>
  <c r="AD350" i="30"/>
  <c r="AD358" i="30"/>
  <c r="AD366" i="30"/>
  <c r="AD382" i="30"/>
  <c r="AD346" i="30"/>
  <c r="AD362" i="30"/>
  <c r="AD378" i="30"/>
  <c r="AD294" i="30"/>
  <c r="AD302" i="30"/>
  <c r="AD310" i="30"/>
  <c r="AD322" i="30"/>
  <c r="AD306" i="30"/>
  <c r="AD314" i="30"/>
  <c r="AD250" i="30"/>
  <c r="AD258" i="30"/>
  <c r="AD274" i="30"/>
  <c r="AD246" i="30"/>
  <c r="AD254" i="30"/>
  <c r="AD238" i="30"/>
  <c r="AD202" i="30"/>
  <c r="AD210" i="30"/>
  <c r="AD218" i="30"/>
  <c r="AD226" i="30"/>
  <c r="AD234" i="30"/>
  <c r="AD242" i="30"/>
  <c r="AD222" i="30"/>
  <c r="AD230" i="30"/>
  <c r="AD198" i="30"/>
  <c r="AD186" i="30"/>
  <c r="AD194" i="30"/>
  <c r="AD150" i="30"/>
  <c r="AD158" i="30"/>
  <c r="AD170" i="30"/>
  <c r="AD174" i="30"/>
  <c r="AD182" i="30"/>
  <c r="AD190" i="30"/>
  <c r="AD110" i="30"/>
  <c r="AD118" i="30"/>
  <c r="AD126" i="30"/>
  <c r="AD134" i="30"/>
  <c r="AD106" i="30"/>
  <c r="AD122" i="30"/>
  <c r="AD130" i="30"/>
  <c r="AD138" i="30"/>
  <c r="AD146" i="30"/>
  <c r="AD58" i="30"/>
  <c r="AD66" i="30"/>
  <c r="AD74" i="30"/>
  <c r="AD86" i="30"/>
  <c r="AD90" i="30"/>
  <c r="AD98" i="30"/>
  <c r="AD70" i="30"/>
  <c r="AD78" i="30"/>
  <c r="AD62" i="30"/>
  <c r="AD54" i="30"/>
  <c r="AD22" i="30"/>
  <c r="AE10" i="30" s="1"/>
  <c r="D15" i="31" s="1"/>
  <c r="AD30" i="30"/>
  <c r="AE12" i="30" s="1"/>
  <c r="D17" i="31" s="1"/>
  <c r="AD38" i="30"/>
  <c r="AE14" i="30" s="1"/>
  <c r="D19" i="31" s="1"/>
  <c r="AD46" i="30"/>
  <c r="AE16" i="30" s="1"/>
  <c r="D21" i="31" s="1"/>
  <c r="AD26" i="30"/>
  <c r="AE11" i="30" s="1"/>
  <c r="D16" i="31" s="1"/>
  <c r="AD34" i="30"/>
  <c r="AE13" i="30" s="1"/>
  <c r="D18" i="31" s="1"/>
  <c r="AD42" i="30"/>
  <c r="AE15" i="30" s="1"/>
  <c r="D20" i="31" s="1"/>
  <c r="H9" i="36" l="1"/>
  <c r="AD54" i="35"/>
  <c r="D21" i="36"/>
  <c r="D107" i="31"/>
  <c r="AE17" i="32"/>
  <c r="D22" i="34" s="1"/>
  <c r="AD54" i="32"/>
  <c r="AD390" i="30"/>
  <c r="D23" i="34" l="1"/>
  <c r="I23" i="34" s="1"/>
  <c r="H22" i="34"/>
  <c r="I22" i="34" s="1"/>
  <c r="I35" i="31"/>
  <c r="I11" i="31"/>
  <c r="I83" i="31"/>
  <c r="I71" i="31"/>
  <c r="I59" i="31"/>
  <c r="I47" i="31"/>
  <c r="I23" i="31"/>
  <c r="I95" i="31"/>
  <c r="AB53" i="18"/>
  <c r="AB52" i="18"/>
  <c r="AB51" i="18"/>
  <c r="AB50" i="18"/>
  <c r="AB49" i="18"/>
  <c r="AB48" i="18"/>
  <c r="AB47" i="18"/>
  <c r="AB46" i="18"/>
  <c r="AB45" i="18"/>
  <c r="AB44" i="18"/>
  <c r="AB43" i="18"/>
  <c r="AB42" i="18"/>
  <c r="AB41" i="18"/>
  <c r="AB40" i="18"/>
  <c r="AB39" i="18"/>
  <c r="AB38" i="18"/>
  <c r="AB37" i="18"/>
  <c r="AB36" i="18"/>
  <c r="AB35" i="18"/>
  <c r="AB34" i="18"/>
  <c r="AB33" i="18"/>
  <c r="AB32" i="18"/>
  <c r="AB31" i="18"/>
  <c r="AB30" i="18"/>
  <c r="AB29" i="18"/>
  <c r="AB28" i="18"/>
  <c r="AB27" i="18"/>
  <c r="AB26" i="18"/>
  <c r="AB25" i="18"/>
  <c r="AB24" i="18"/>
  <c r="AB23" i="18"/>
  <c r="AB22" i="18"/>
  <c r="AB21" i="18"/>
  <c r="AB20" i="18"/>
  <c r="AB19" i="18"/>
  <c r="AB18" i="18"/>
  <c r="AB17" i="18"/>
  <c r="AB16" i="18"/>
  <c r="AB15" i="18"/>
  <c r="AB14" i="18"/>
  <c r="AB13" i="18"/>
  <c r="AB12" i="18"/>
  <c r="AB11" i="18"/>
  <c r="AB10" i="18"/>
  <c r="AB9" i="18"/>
  <c r="AB8" i="18"/>
  <c r="AB7" i="18"/>
  <c r="AB6" i="18"/>
  <c r="AD38" i="18" l="1"/>
  <c r="AE14" i="18" s="1"/>
  <c r="AD34" i="18"/>
  <c r="AE13" i="18" s="1"/>
  <c r="AD6" i="18"/>
  <c r="AE6" i="18" s="1"/>
  <c r="AD30" i="18"/>
  <c r="AE12" i="18" s="1"/>
  <c r="AD14" i="18"/>
  <c r="AE8" i="18" s="1"/>
  <c r="AD22" i="18"/>
  <c r="AE10" i="18" s="1"/>
  <c r="AD46" i="18"/>
  <c r="AE16" i="18" s="1"/>
  <c r="AD10" i="18"/>
  <c r="AE7" i="18" s="1"/>
  <c r="AD18" i="18"/>
  <c r="AE9" i="18" s="1"/>
  <c r="AD26" i="18"/>
  <c r="AE11" i="18" s="1"/>
  <c r="AD42" i="18"/>
  <c r="AE15" i="18" s="1"/>
  <c r="AD50" i="18"/>
  <c r="AE17" i="18" s="1"/>
  <c r="D22" i="21" l="1"/>
  <c r="D20" i="21"/>
  <c r="D13" i="21"/>
  <c r="D16" i="21"/>
  <c r="D14" i="21"/>
  <c r="D12" i="21"/>
  <c r="D21" i="21"/>
  <c r="D15" i="21"/>
  <c r="D17" i="21"/>
  <c r="D18" i="21"/>
  <c r="D19" i="21"/>
  <c r="D11" i="21"/>
  <c r="AD54" i="18"/>
  <c r="D23" i="21" l="1"/>
  <c r="I23" i="21" s="1"/>
  <c r="H22" i="21"/>
  <c r="I22" i="21" s="1"/>
</calcChain>
</file>

<file path=xl/sharedStrings.xml><?xml version="1.0" encoding="utf-8"?>
<sst xmlns="http://schemas.openxmlformats.org/spreadsheetml/2006/main" count="980" uniqueCount="67">
  <si>
    <t>ANEXO 1 - CANTIDADES DE  ENERGÍA SOLICITADA EN kWh</t>
  </si>
  <si>
    <t>DIA</t>
  </si>
  <si>
    <t>Total</t>
  </si>
  <si>
    <t>No. DÍAS</t>
  </si>
  <si>
    <t>domingo</t>
  </si>
  <si>
    <t>Hábil</t>
  </si>
  <si>
    <t>Sábado</t>
  </si>
  <si>
    <t>Domingo</t>
  </si>
  <si>
    <t>Festivo</t>
  </si>
  <si>
    <t>NOMBRE DEL OFERENTE</t>
  </si>
  <si>
    <t xml:space="preserve"> PRECIOS Y CANTIDADES DE ENERGIA OFERTADA</t>
  </si>
  <si>
    <t>PRODUCTO  1</t>
  </si>
  <si>
    <t>AÑO</t>
  </si>
  <si>
    <t>MES</t>
  </si>
  <si>
    <t>E. Solicitada
[kWh]</t>
  </si>
  <si>
    <t>% E. Ofertado</t>
  </si>
  <si>
    <t>E. Ofertada
[kWh]</t>
  </si>
  <si>
    <t>$/kWh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</si>
  <si>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</si>
  <si>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</si>
  <si>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</si>
  <si>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</si>
  <si>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</si>
  <si>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</si>
  <si>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</si>
  <si>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</si>
  <si>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</si>
  <si>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</si>
  <si>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</si>
  <si>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</si>
  <si>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E. Solicitada = Energía solicitada por RUITOQUE para el producto.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</si>
  <si>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</si>
  <si>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</si>
  <si>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mes.</t>
  </si>
  <si>
    <t>PRODUCTO 1</t>
  </si>
  <si>
    <t>Total Producto 1</t>
  </si>
  <si>
    <t>ANEXO 2 - OFERTA PRODUCTO 1</t>
  </si>
  <si>
    <t>PRODUCTO  2</t>
  </si>
  <si>
    <t>PERIODO 2026</t>
  </si>
  <si>
    <t>EN PESOS DE MARZO 2026</t>
  </si>
  <si>
    <t>PERIODO 02 DE JULIO DEL 2026 A DICIEMBRE 31 DE 2026</t>
  </si>
  <si>
    <t>PRODUCTO 2</t>
  </si>
  <si>
    <t>ANEXO 2 - OFERTA PRODUCTO 2</t>
  </si>
  <si>
    <t>PRODUCTO 3</t>
  </si>
  <si>
    <t>PRODUCTO  3</t>
  </si>
  <si>
    <t>ANEXO 2 - OFERTA PRODUCTO 3</t>
  </si>
  <si>
    <t>Total Producto 3</t>
  </si>
  <si>
    <t>Total Producto 2</t>
  </si>
  <si>
    <t>PRODUCTO  4</t>
  </si>
  <si>
    <t>Total Producto 4</t>
  </si>
  <si>
    <t>PRODUCTO 4</t>
  </si>
  <si>
    <t>PERIODO  01 DE ENERO DEL 2027 A DICIEMBRE 31 DE 2027</t>
  </si>
  <si>
    <t>ANEXO 2 - OFERTA PRODUCTO 4</t>
  </si>
  <si>
    <t>PERIODO  01 DE ENERO DEL 2028 A DICIEMBRE 31 DE 2028</t>
  </si>
  <si>
    <t>PRODUCTO 5</t>
  </si>
  <si>
    <t>ANEXO 2 - OFERTA PRODUCTO 5</t>
  </si>
  <si>
    <t>Total Producto 5</t>
  </si>
  <si>
    <t>PERIODO  01 DE ENERO DEL 2029 A DICIEMBRE 31 DE 2036</t>
  </si>
  <si>
    <t>PERIODO 2029 - 2036</t>
  </si>
  <si>
    <t>PERIODO 01 DE NOVIEMBRE DEL 2026 A DICIEMBRE 31 DE 2026</t>
  </si>
  <si>
    <t>PRODUCTO  5</t>
  </si>
  <si>
    <t>PRODUCTO 6</t>
  </si>
  <si>
    <t>Total Producto 6</t>
  </si>
  <si>
    <t>ANEXO 2 - OFERTA PRODUCTO 6</t>
  </si>
  <si>
    <t>ANEXO 2 - OFERTA PRODUCTO 7</t>
  </si>
  <si>
    <t>Total Producto 7</t>
  </si>
  <si>
    <t>PRODUCTO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</si>
</sst>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6" formatCode="_-* #,##0.00_-;\-* #,##0.00_-;_-* &quot;-&quot;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name val="DIN-Regular"/>
      <family val="2"/>
    </font>
    <font>
      <b/>
      <sz val="10"/>
      <color theme="0"/>
      <name val="DIN-Regular"/>
    </font>
    <font>
      <sz val="10"/>
      <name val="DIN-Regular"/>
      <family val="2"/>
    </font>
    <font>
      <b/>
      <sz val="10"/>
      <color theme="1"/>
      <name val="DIN-Regula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DIN-Regular"/>
    </font>
    <font>
      <sz val="10"/>
      <name val="DIN-Regula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6">
    <xf numFmtId="0" fontId="0" fillId="0" borderId="0" xfId="0"/>
    <xf numFmtId="41" fontId="0" fillId="0" borderId="1" xfId="1" applyFont="1" applyBorder="1"/>
    <xf numFmtId="41" fontId="0" fillId="0" borderId="4" xfId="1" applyFont="1" applyBorder="1"/>
    <xf numFmtId="41" fontId="0" fillId="0" borderId="11" xfId="1" applyFont="1" applyBorder="1"/>
    <xf numFmtId="41" fontId="0" fillId="0" borderId="3" xfId="1" applyFont="1" applyBorder="1"/>
    <xf numFmtId="41" fontId="0" fillId="0" borderId="7" xfId="1" applyFont="1" applyBorder="1"/>
    <xf numFmtId="41" fontId="0" fillId="0" borderId="10" xfId="1" applyFont="1" applyBorder="1"/>
    <xf numFmtId="3" fontId="2" fillId="0" borderId="13" xfId="0" applyNumberFormat="1" applyFont="1" applyBorder="1"/>
    <xf numFmtId="0" fontId="0" fillId="8" borderId="0" xfId="0" applyFill="1"/>
    <xf numFmtId="0" fontId="5" fillId="0" borderId="24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7" fillId="0" borderId="32" xfId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1" fontId="7" fillId="0" borderId="35" xfId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1" fontId="7" fillId="0" borderId="37" xfId="1" applyFont="1" applyBorder="1" applyAlignment="1">
      <alignment horizontal="center" vertical="center"/>
    </xf>
    <xf numFmtId="41" fontId="2" fillId="0" borderId="28" xfId="1" applyFont="1" applyBorder="1"/>
    <xf numFmtId="164" fontId="0" fillId="8" borderId="0" xfId="9" applyNumberFormat="1" applyFont="1" applyFill="1"/>
    <xf numFmtId="0" fontId="9" fillId="0" borderId="0" xfId="0" applyFont="1"/>
    <xf numFmtId="3" fontId="9" fillId="0" borderId="0" xfId="0" applyNumberFormat="1" applyFont="1"/>
    <xf numFmtId="164" fontId="9" fillId="0" borderId="0" xfId="9" applyNumberFormat="1" applyFont="1"/>
    <xf numFmtId="0" fontId="9" fillId="8" borderId="0" xfId="0" applyFont="1" applyFill="1"/>
    <xf numFmtId="164" fontId="9" fillId="8" borderId="0" xfId="9" applyNumberFormat="1" applyFont="1" applyFill="1"/>
    <xf numFmtId="41" fontId="0" fillId="8" borderId="0" xfId="0" applyNumberFormat="1" applyFill="1"/>
    <xf numFmtId="41" fontId="9" fillId="0" borderId="0" xfId="0" applyNumberFormat="1" applyFont="1"/>
    <xf numFmtId="43" fontId="0" fillId="0" borderId="0" xfId="9" applyFont="1"/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1" fontId="12" fillId="0" borderId="37" xfId="1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1" fontId="12" fillId="0" borderId="32" xfId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41" fontId="12" fillId="0" borderId="35" xfId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4" fontId="0" fillId="8" borderId="0" xfId="0" applyNumberFormat="1" applyFill="1"/>
    <xf numFmtId="3" fontId="0" fillId="8" borderId="0" xfId="0" applyNumberFormat="1" applyFill="1"/>
    <xf numFmtId="9" fontId="0" fillId="8" borderId="0" xfId="8" applyFont="1" applyFill="1"/>
    <xf numFmtId="9" fontId="0" fillId="8" borderId="0" xfId="0" applyNumberFormat="1" applyFill="1"/>
    <xf numFmtId="0" fontId="12" fillId="0" borderId="37" xfId="0" applyFont="1" applyBorder="1" applyAlignment="1">
      <alignment horizontal="center" vertical="center"/>
    </xf>
    <xf numFmtId="3" fontId="12" fillId="0" borderId="34" xfId="0" applyNumberFormat="1" applyFont="1" applyBorder="1" applyAlignment="1">
      <alignment horizontal="right" vertical="center"/>
    </xf>
    <xf numFmtId="3" fontId="12" fillId="0" borderId="36" xfId="0" applyNumberFormat="1" applyFont="1" applyBorder="1" applyAlignment="1">
      <alignment horizontal="right" vertical="center"/>
    </xf>
    <xf numFmtId="3" fontId="10" fillId="0" borderId="0" xfId="0" applyNumberFormat="1" applyFont="1"/>
    <xf numFmtId="43" fontId="12" fillId="0" borderId="4" xfId="0" applyNumberFormat="1" applyFont="1" applyBorder="1" applyAlignment="1">
      <alignment horizontal="center" vertical="center"/>
    </xf>
    <xf numFmtId="43" fontId="12" fillId="0" borderId="1" xfId="0" applyNumberFormat="1" applyFont="1" applyBorder="1" applyAlignment="1">
      <alignment horizontal="center" vertical="center"/>
    </xf>
    <xf numFmtId="43" fontId="12" fillId="0" borderId="11" xfId="0" applyNumberFormat="1" applyFont="1" applyBorder="1" applyAlignment="1">
      <alignment horizontal="center" vertical="center"/>
    </xf>
    <xf numFmtId="9" fontId="8" fillId="10" borderId="17" xfId="8" applyFont="1" applyFill="1" applyBorder="1" applyAlignment="1">
      <alignment vertical="center"/>
    </xf>
    <xf numFmtId="9" fontId="8" fillId="10" borderId="0" xfId="8" applyFont="1" applyFill="1" applyBorder="1" applyAlignment="1">
      <alignment vertical="center"/>
    </xf>
    <xf numFmtId="9" fontId="8" fillId="10" borderId="22" xfId="8" applyFont="1" applyFill="1" applyBorder="1" applyAlignment="1">
      <alignment vertical="center"/>
    </xf>
    <xf numFmtId="17" fontId="11" fillId="0" borderId="21" xfId="0" applyNumberFormat="1" applyFont="1" applyBorder="1" applyAlignment="1">
      <alignment horizontal="center" vertical="center"/>
    </xf>
    <xf numFmtId="17" fontId="11" fillId="0" borderId="2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33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11" fillId="8" borderId="33" xfId="0" applyFont="1" applyFill="1" applyBorder="1" applyAlignment="1">
      <alignment horizontal="center"/>
    </xf>
    <xf numFmtId="0" fontId="11" fillId="8" borderId="21" xfId="0" applyFont="1" applyFill="1" applyBorder="1" applyAlignment="1">
      <alignment horizontal="center"/>
    </xf>
    <xf numFmtId="0" fontId="11" fillId="8" borderId="28" xfId="0" applyFont="1" applyFill="1" applyBorder="1" applyAlignment="1">
      <alignment horizontal="center"/>
    </xf>
    <xf numFmtId="0" fontId="6" fillId="11" borderId="24" xfId="0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17" fontId="5" fillId="0" borderId="21" xfId="0" applyNumberFormat="1" applyFont="1" applyBorder="1" applyAlignment="1">
      <alignment horizontal="center" vertical="center"/>
    </xf>
    <xf numFmtId="17" fontId="5" fillId="0" borderId="22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20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20" xfId="0" applyFont="1" applyFill="1" applyBorder="1" applyAlignment="1">
      <alignment horizontal="center"/>
    </xf>
    <xf numFmtId="0" fontId="5" fillId="8" borderId="21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/>
    </xf>
    <xf numFmtId="0" fontId="5" fillId="8" borderId="23" xfId="0" applyFont="1" applyFill="1" applyBorder="1" applyAlignment="1">
      <alignment horizontal="center"/>
    </xf>
    <xf numFmtId="0" fontId="6" fillId="11" borderId="25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9" fontId="8" fillId="10" borderId="33" xfId="8" applyFont="1" applyFill="1" applyBorder="1" applyAlignment="1">
      <alignment horizontal="center" vertical="center"/>
    </xf>
    <xf numFmtId="9" fontId="8" fillId="10" borderId="28" xfId="8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0" fontId="5" fillId="9" borderId="33" xfId="0" applyFont="1" applyFill="1" applyBorder="1" applyAlignment="1">
      <alignment horizontal="center"/>
    </xf>
    <xf numFmtId="0" fontId="5" fillId="8" borderId="33" xfId="0" applyFont="1" applyFill="1" applyBorder="1" applyAlignment="1">
      <alignment horizontal="center"/>
    </xf>
    <xf numFmtId="0" fontId="5" fillId="8" borderId="28" xfId="0" applyFont="1" applyFill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11" fillId="9" borderId="20" xfId="0" applyFont="1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11" fillId="8" borderId="20" xfId="0" applyFont="1" applyFill="1" applyBorder="1" applyAlignment="1">
      <alignment horizontal="center"/>
    </xf>
    <xf numFmtId="0" fontId="11" fillId="8" borderId="22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6" fillId="11" borderId="17" xfId="0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center" vertical="center"/>
    </xf>
    <xf numFmtId="0" fontId="0" fillId="0" borderId="0" xfId="0" applyFont="1"/>
    <xf numFmtId="0" fontId="13" fillId="0" borderId="0" xfId="0" applyFont="1"/>
    <xf numFmtId="41" fontId="0" fillId="0" borderId="0" xfId="0" applyNumberFormat="1" applyFont="1"/>
    <xf numFmtId="2" fontId="0" fillId="0" borderId="0" xfId="0" applyNumberFormat="1" applyFont="1"/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14" fillId="2" borderId="14" xfId="0" applyNumberFormat="1" applyFont="1" applyFill="1" applyBorder="1" applyAlignment="1">
      <alignment horizontal="center" vertical="center"/>
    </xf>
    <xf numFmtId="4" fontId="14" fillId="2" borderId="15" xfId="0" applyNumberFormat="1" applyFont="1" applyFill="1" applyBorder="1" applyAlignment="1">
      <alignment horizontal="center" vertical="center"/>
    </xf>
    <xf numFmtId="3" fontId="14" fillId="3" borderId="15" xfId="0" applyNumberFormat="1" applyFont="1" applyFill="1" applyBorder="1" applyAlignment="1">
      <alignment horizontal="center" vertical="center"/>
    </xf>
    <xf numFmtId="3" fontId="15" fillId="4" borderId="15" xfId="0" applyNumberFormat="1" applyFont="1" applyFill="1" applyBorder="1" applyAlignment="1">
      <alignment horizontal="center" vertical="center"/>
    </xf>
    <xf numFmtId="3" fontId="15" fillId="5" borderId="15" xfId="0" applyNumberFormat="1" applyFont="1" applyFill="1" applyBorder="1" applyAlignment="1">
      <alignment horizontal="center" vertical="center"/>
    </xf>
    <xf numFmtId="3" fontId="14" fillId="3" borderId="38" xfId="0" applyNumberFormat="1" applyFont="1" applyFill="1" applyBorder="1" applyAlignment="1">
      <alignment horizontal="center" vertical="center"/>
    </xf>
    <xf numFmtId="3" fontId="14" fillId="6" borderId="14" xfId="0" applyNumberFormat="1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17" fontId="14" fillId="0" borderId="2" xfId="0" applyNumberFormat="1" applyFont="1" applyBorder="1" applyAlignment="1">
      <alignment horizontal="center" vertical="center" wrapText="1"/>
    </xf>
    <xf numFmtId="17" fontId="14" fillId="0" borderId="4" xfId="0" applyNumberFormat="1" applyFont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3" fontId="14" fillId="7" borderId="5" xfId="0" applyNumberFormat="1" applyFont="1" applyFill="1" applyBorder="1" applyAlignment="1">
      <alignment horizontal="center" vertical="center"/>
    </xf>
    <xf numFmtId="17" fontId="14" fillId="0" borderId="6" xfId="0" applyNumberFormat="1" applyFont="1" applyBorder="1" applyAlignment="1">
      <alignment horizontal="center" vertical="center" wrapText="1"/>
    </xf>
    <xf numFmtId="17" fontId="14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14" fillId="7" borderId="8" xfId="0" applyNumberFormat="1" applyFont="1" applyFill="1" applyBorder="1" applyAlignment="1">
      <alignment horizontal="center" vertical="center"/>
    </xf>
    <xf numFmtId="17" fontId="14" fillId="0" borderId="9" xfId="0" applyNumberFormat="1" applyFont="1" applyBorder="1" applyAlignment="1">
      <alignment horizontal="center" vertical="center" wrapText="1"/>
    </xf>
    <xf numFmtId="17" fontId="14" fillId="0" borderId="11" xfId="0" applyNumberFormat="1" applyFont="1" applyBorder="1" applyAlignment="1">
      <alignment horizontal="center" vertical="center"/>
    </xf>
    <xf numFmtId="3" fontId="13" fillId="0" borderId="11" xfId="0" applyNumberFormat="1" applyFont="1" applyBorder="1" applyAlignment="1">
      <alignment horizontal="center" vertical="center"/>
    </xf>
    <xf numFmtId="3" fontId="14" fillId="7" borderId="12" xfId="0" applyNumberFormat="1" applyFont="1" applyFill="1" applyBorder="1" applyAlignment="1">
      <alignment horizontal="center" vertical="center"/>
    </xf>
    <xf numFmtId="3" fontId="10" fillId="7" borderId="0" xfId="0" applyNumberFormat="1" applyFont="1" applyFill="1" applyAlignment="1">
      <alignment vertical="center"/>
    </xf>
    <xf numFmtId="166" fontId="0" fillId="0" borderId="0" xfId="0" applyNumberFormat="1" applyFont="1"/>
    <xf numFmtId="41" fontId="0" fillId="0" borderId="40" xfId="1" applyFont="1" applyBorder="1"/>
    <xf numFmtId="3" fontId="13" fillId="0" borderId="40" xfId="0" applyNumberFormat="1" applyFont="1" applyBorder="1" applyAlignment="1">
      <alignment horizontal="center" vertical="center"/>
    </xf>
    <xf numFmtId="41" fontId="0" fillId="0" borderId="42" xfId="1" applyFont="1" applyBorder="1"/>
    <xf numFmtId="3" fontId="13" fillId="0" borderId="42" xfId="0" applyNumberFormat="1" applyFont="1" applyBorder="1" applyAlignment="1">
      <alignment horizontal="center" vertical="center"/>
    </xf>
    <xf numFmtId="0" fontId="9" fillId="0" borderId="0" xfId="0" applyFont="1" applyBorder="1"/>
    <xf numFmtId="3" fontId="9" fillId="0" borderId="0" xfId="0" applyNumberFormat="1" applyFont="1" applyBorder="1"/>
    <xf numFmtId="4" fontId="14" fillId="2" borderId="16" xfId="0" applyNumberFormat="1" applyFont="1" applyFill="1" applyBorder="1" applyAlignment="1">
      <alignment horizontal="center" vertical="center"/>
    </xf>
    <xf numFmtId="17" fontId="14" fillId="0" borderId="43" xfId="0" applyNumberFormat="1" applyFont="1" applyBorder="1" applyAlignment="1">
      <alignment horizontal="center" vertical="center" wrapText="1"/>
    </xf>
    <xf numFmtId="17" fontId="14" fillId="0" borderId="44" xfId="0" applyNumberFormat="1" applyFont="1" applyBorder="1" applyAlignment="1">
      <alignment horizontal="center" vertical="center" wrapText="1"/>
    </xf>
    <xf numFmtId="17" fontId="14" fillId="0" borderId="45" xfId="0" applyNumberFormat="1" applyFont="1" applyBorder="1" applyAlignment="1">
      <alignment horizontal="center" vertical="center" wrapText="1"/>
    </xf>
    <xf numFmtId="17" fontId="14" fillId="0" borderId="46" xfId="0" applyNumberFormat="1" applyFont="1" applyBorder="1" applyAlignment="1">
      <alignment horizontal="center" vertical="center" wrapText="1"/>
    </xf>
    <xf numFmtId="17" fontId="14" fillId="0" borderId="47" xfId="0" applyNumberFormat="1" applyFont="1" applyBorder="1" applyAlignment="1">
      <alignment horizontal="center" vertical="center" wrapText="1"/>
    </xf>
    <xf numFmtId="17" fontId="14" fillId="0" borderId="2" xfId="0" applyNumberFormat="1" applyFont="1" applyBorder="1" applyAlignment="1">
      <alignment horizontal="center" vertical="center"/>
    </xf>
    <xf numFmtId="17" fontId="14" fillId="0" borderId="6" xfId="0" applyNumberFormat="1" applyFont="1" applyBorder="1" applyAlignment="1">
      <alignment horizontal="center" vertical="center"/>
    </xf>
    <xf numFmtId="17" fontId="14" fillId="0" borderId="39" xfId="0" applyNumberFormat="1" applyFont="1" applyBorder="1" applyAlignment="1">
      <alignment horizontal="center" vertical="center"/>
    </xf>
    <xf numFmtId="17" fontId="14" fillId="0" borderId="9" xfId="0" applyNumberFormat="1" applyFont="1" applyBorder="1" applyAlignment="1">
      <alignment horizontal="center" vertical="center"/>
    </xf>
    <xf numFmtId="17" fontId="14" fillId="0" borderId="41" xfId="0" applyNumberFormat="1" applyFont="1" applyBorder="1" applyAlignment="1">
      <alignment horizontal="center" vertical="center"/>
    </xf>
    <xf numFmtId="3" fontId="0" fillId="0" borderId="0" xfId="0" applyNumberFormat="1" applyFont="1"/>
    <xf numFmtId="9" fontId="8" fillId="10" borderId="14" xfId="8" applyFont="1" applyFill="1" applyBorder="1" applyAlignment="1">
      <alignment horizontal="center" vertical="center"/>
    </xf>
    <xf numFmtId="9" fontId="8" fillId="10" borderId="48" xfId="8" applyFont="1" applyFill="1" applyBorder="1" applyAlignment="1">
      <alignment horizontal="center" vertical="center"/>
    </xf>
    <xf numFmtId="9" fontId="8" fillId="10" borderId="49" xfId="8" applyFont="1" applyFill="1" applyBorder="1" applyAlignment="1">
      <alignment horizontal="center" vertical="center"/>
    </xf>
    <xf numFmtId="43" fontId="0" fillId="8" borderId="0" xfId="0" applyNumberFormat="1" applyFont="1" applyFill="1"/>
    <xf numFmtId="9" fontId="13" fillId="8" borderId="0" xfId="8" applyFont="1" applyFill="1"/>
    <xf numFmtId="0" fontId="6" fillId="11" borderId="27" xfId="0" applyFont="1" applyFill="1" applyBorder="1" applyAlignment="1">
      <alignment horizontal="center" vertical="center"/>
    </xf>
    <xf numFmtId="43" fontId="7" fillId="0" borderId="34" xfId="9" applyFont="1" applyBorder="1" applyAlignment="1">
      <alignment horizontal="center" vertical="center"/>
    </xf>
    <xf numFmtId="43" fontId="7" fillId="0" borderId="36" xfId="9" applyFont="1" applyBorder="1" applyAlignment="1">
      <alignment horizontal="center" vertical="center"/>
    </xf>
    <xf numFmtId="164" fontId="7" fillId="0" borderId="34" xfId="9" applyNumberFormat="1" applyFont="1" applyBorder="1" applyAlignment="1">
      <alignment horizontal="center" vertical="center"/>
    </xf>
    <xf numFmtId="164" fontId="7" fillId="0" borderId="36" xfId="9" applyNumberFormat="1" applyFont="1" applyBorder="1" applyAlignment="1">
      <alignment horizontal="center" vertical="center"/>
    </xf>
  </cellXfs>
  <cellStyles count="11">
    <cellStyle name="Millares" xfId="9" builtinId="3"/>
    <cellStyle name="Millares [0]" xfId="1" builtinId="6"/>
    <cellStyle name="Millares [0] 2" xfId="2" xr:uid="{93D7F860-1C75-4263-816A-682942E58CDA}"/>
    <cellStyle name="Millares [0] 7" xfId="6" xr:uid="{BE9FF9FF-1DFD-4DF0-A618-BAF44101473C}"/>
    <cellStyle name="Millares 2" xfId="4" xr:uid="{35D2CDD0-437D-4DCC-A7AB-A40A1DEC75AF}"/>
    <cellStyle name="Moneda 2" xfId="10" xr:uid="{2AA553C9-4FC6-45EB-AA21-F42F23335B5E}"/>
    <cellStyle name="Normal" xfId="0" builtinId="0"/>
    <cellStyle name="Normal 2" xfId="3" xr:uid="{A42F6DA4-C1E6-4FB1-818D-8A2216579E1C}"/>
    <cellStyle name="Normal 2 2" xfId="7" xr:uid="{3AD0BB55-2400-427C-878A-EDFD953A55F8}"/>
    <cellStyle name="Normal 8" xfId="5" xr:uid="{A206338F-67B4-40FF-B862-7F1FD294666E}"/>
    <cellStyle name="Porcentaje" xfId="8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67732</xdr:rowOff>
    </xdr:to>
    <xdr:pic>
      <xdr:nvPicPr>
        <xdr:cNvPr id="4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B8CCD243-25BF-BAFF-19FC-9E9D975E84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28947" cy="61700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67732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0C91B48C-22F6-4D4B-9BF7-52A3DEE027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32122" cy="62335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67732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5CEF5AD3-DE4B-4925-885F-191BBE710A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32122" cy="62018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67732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EE94BD75-DBD3-41F5-A31D-01F4A163E5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32122" cy="62335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64557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FD6D3507-6FCC-456D-890E-22010B2D76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32122" cy="62335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67732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FD74E4EF-6199-4588-9B43-BB5D8B0ADF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32122" cy="62335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67732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56754B7D-C8B2-43F4-B959-77CB925D2A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32122" cy="62653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2768-C87A-4B8F-8A46-5C28EF066F4A}">
  <dimension ref="B2:BH54"/>
  <sheetViews>
    <sheetView showGridLines="0" tabSelected="1" zoomScale="90" zoomScaleNormal="90" workbookViewId="0">
      <pane ySplit="5" topLeftCell="A6" activePane="bottomLeft" state="frozen"/>
      <selection activeCell="M103" sqref="M103"/>
      <selection pane="bottomLeft" activeCell="D1" sqref="D1"/>
    </sheetView>
  </sheetViews>
  <sheetFormatPr baseColWidth="10" defaultRowHeight="14.5"/>
  <cols>
    <col min="1" max="1" width="1.81640625" style="109" customWidth="1"/>
    <col min="2" max="2" width="10" style="109" customWidth="1"/>
    <col min="3" max="27" width="8.81640625" style="109" bestFit="1" customWidth="1"/>
    <col min="28" max="28" width="8.453125" style="109" bestFit="1" customWidth="1"/>
    <col min="29" max="29" width="7.453125" style="109" customWidth="1"/>
    <col min="30" max="30" width="19.1796875" style="109" customWidth="1"/>
    <col min="31" max="31" width="14.90625" style="26" customWidth="1"/>
    <col min="32" max="32" width="17.453125" style="109" bestFit="1" customWidth="1"/>
    <col min="33" max="249" width="10.90625" style="109"/>
    <col min="250" max="250" width="1.81640625" style="109" customWidth="1"/>
    <col min="251" max="251" width="8" style="109" customWidth="1"/>
    <col min="252" max="252" width="8" style="109" bestFit="1" customWidth="1"/>
    <col min="253" max="253" width="9" style="109" bestFit="1" customWidth="1"/>
    <col min="254" max="254" width="12" style="109" bestFit="1" customWidth="1"/>
    <col min="255" max="276" width="9" style="109" bestFit="1" customWidth="1"/>
    <col min="277" max="277" width="7.81640625" style="109" bestFit="1" customWidth="1"/>
    <col min="278" max="278" width="4.54296875" style="109" bestFit="1" customWidth="1"/>
    <col min="279" max="279" width="14.1796875" style="109" bestFit="1" customWidth="1"/>
    <col min="280" max="505" width="10.90625" style="109"/>
    <col min="506" max="506" width="1.81640625" style="109" customWidth="1"/>
    <col min="507" max="507" width="8" style="109" customWidth="1"/>
    <col min="508" max="508" width="8" style="109" bestFit="1" customWidth="1"/>
    <col min="509" max="509" width="9" style="109" bestFit="1" customWidth="1"/>
    <col min="510" max="510" width="12" style="109" bestFit="1" customWidth="1"/>
    <col min="511" max="532" width="9" style="109" bestFit="1" customWidth="1"/>
    <col min="533" max="533" width="7.81640625" style="109" bestFit="1" customWidth="1"/>
    <col min="534" max="534" width="4.54296875" style="109" bestFit="1" customWidth="1"/>
    <col min="535" max="535" width="14.1796875" style="109" bestFit="1" customWidth="1"/>
    <col min="536" max="761" width="10.90625" style="109"/>
    <col min="762" max="762" width="1.81640625" style="109" customWidth="1"/>
    <col min="763" max="763" width="8" style="109" customWidth="1"/>
    <col min="764" max="764" width="8" style="109" bestFit="1" customWidth="1"/>
    <col min="765" max="765" width="9" style="109" bestFit="1" customWidth="1"/>
    <col min="766" max="766" width="12" style="109" bestFit="1" customWidth="1"/>
    <col min="767" max="788" width="9" style="109" bestFit="1" customWidth="1"/>
    <col min="789" max="789" width="7.81640625" style="109" bestFit="1" customWidth="1"/>
    <col min="790" max="790" width="4.54296875" style="109" bestFit="1" customWidth="1"/>
    <col min="791" max="791" width="14.1796875" style="109" bestFit="1" customWidth="1"/>
    <col min="792" max="1017" width="10.90625" style="109"/>
    <col min="1018" max="1018" width="1.81640625" style="109" customWidth="1"/>
    <col min="1019" max="1019" width="8" style="109" customWidth="1"/>
    <col min="1020" max="1020" width="8" style="109" bestFit="1" customWidth="1"/>
    <col min="1021" max="1021" width="9" style="109" bestFit="1" customWidth="1"/>
    <col min="1022" max="1022" width="12" style="109" bestFit="1" customWidth="1"/>
    <col min="1023" max="1044" width="9" style="109" bestFit="1" customWidth="1"/>
    <col min="1045" max="1045" width="7.81640625" style="109" bestFit="1" customWidth="1"/>
    <col min="1046" max="1046" width="4.54296875" style="109" bestFit="1" customWidth="1"/>
    <col min="1047" max="1047" width="14.1796875" style="109" bestFit="1" customWidth="1"/>
    <col min="1048" max="1273" width="10.90625" style="109"/>
    <col min="1274" max="1274" width="1.81640625" style="109" customWidth="1"/>
    <col min="1275" max="1275" width="8" style="109" customWidth="1"/>
    <col min="1276" max="1276" width="8" style="109" bestFit="1" customWidth="1"/>
    <col min="1277" max="1277" width="9" style="109" bestFit="1" customWidth="1"/>
    <col min="1278" max="1278" width="12" style="109" bestFit="1" customWidth="1"/>
    <col min="1279" max="1300" width="9" style="109" bestFit="1" customWidth="1"/>
    <col min="1301" max="1301" width="7.81640625" style="109" bestFit="1" customWidth="1"/>
    <col min="1302" max="1302" width="4.54296875" style="109" bestFit="1" customWidth="1"/>
    <col min="1303" max="1303" width="14.1796875" style="109" bestFit="1" customWidth="1"/>
    <col min="1304" max="1529" width="10.90625" style="109"/>
    <col min="1530" max="1530" width="1.81640625" style="109" customWidth="1"/>
    <col min="1531" max="1531" width="8" style="109" customWidth="1"/>
    <col min="1532" max="1532" width="8" style="109" bestFit="1" customWidth="1"/>
    <col min="1533" max="1533" width="9" style="109" bestFit="1" customWidth="1"/>
    <col min="1534" max="1534" width="12" style="109" bestFit="1" customWidth="1"/>
    <col min="1535" max="1556" width="9" style="109" bestFit="1" customWidth="1"/>
    <col min="1557" max="1557" width="7.81640625" style="109" bestFit="1" customWidth="1"/>
    <col min="1558" max="1558" width="4.54296875" style="109" bestFit="1" customWidth="1"/>
    <col min="1559" max="1559" width="14.1796875" style="109" bestFit="1" customWidth="1"/>
    <col min="1560" max="1785" width="10.90625" style="109"/>
    <col min="1786" max="1786" width="1.81640625" style="109" customWidth="1"/>
    <col min="1787" max="1787" width="8" style="109" customWidth="1"/>
    <col min="1788" max="1788" width="8" style="109" bestFit="1" customWidth="1"/>
    <col min="1789" max="1789" width="9" style="109" bestFit="1" customWidth="1"/>
    <col min="1790" max="1790" width="12" style="109" bestFit="1" customWidth="1"/>
    <col min="1791" max="1812" width="9" style="109" bestFit="1" customWidth="1"/>
    <col min="1813" max="1813" width="7.81640625" style="109" bestFit="1" customWidth="1"/>
    <col min="1814" max="1814" width="4.54296875" style="109" bestFit="1" customWidth="1"/>
    <col min="1815" max="1815" width="14.1796875" style="109" bestFit="1" customWidth="1"/>
    <col min="1816" max="2041" width="10.90625" style="109"/>
    <col min="2042" max="2042" width="1.81640625" style="109" customWidth="1"/>
    <col min="2043" max="2043" width="8" style="109" customWidth="1"/>
    <col min="2044" max="2044" width="8" style="109" bestFit="1" customWidth="1"/>
    <col min="2045" max="2045" width="9" style="109" bestFit="1" customWidth="1"/>
    <col min="2046" max="2046" width="12" style="109" bestFit="1" customWidth="1"/>
    <col min="2047" max="2068" width="9" style="109" bestFit="1" customWidth="1"/>
    <col min="2069" max="2069" width="7.81640625" style="109" bestFit="1" customWidth="1"/>
    <col min="2070" max="2070" width="4.54296875" style="109" bestFit="1" customWidth="1"/>
    <col min="2071" max="2071" width="14.1796875" style="109" bestFit="1" customWidth="1"/>
    <col min="2072" max="2297" width="10.90625" style="109"/>
    <col min="2298" max="2298" width="1.81640625" style="109" customWidth="1"/>
    <col min="2299" max="2299" width="8" style="109" customWidth="1"/>
    <col min="2300" max="2300" width="8" style="109" bestFit="1" customWidth="1"/>
    <col min="2301" max="2301" width="9" style="109" bestFit="1" customWidth="1"/>
    <col min="2302" max="2302" width="12" style="109" bestFit="1" customWidth="1"/>
    <col min="2303" max="2324" width="9" style="109" bestFit="1" customWidth="1"/>
    <col min="2325" max="2325" width="7.81640625" style="109" bestFit="1" customWidth="1"/>
    <col min="2326" max="2326" width="4.54296875" style="109" bestFit="1" customWidth="1"/>
    <col min="2327" max="2327" width="14.1796875" style="109" bestFit="1" customWidth="1"/>
    <col min="2328" max="2553" width="10.90625" style="109"/>
    <col min="2554" max="2554" width="1.81640625" style="109" customWidth="1"/>
    <col min="2555" max="2555" width="8" style="109" customWidth="1"/>
    <col min="2556" max="2556" width="8" style="109" bestFit="1" customWidth="1"/>
    <col min="2557" max="2557" width="9" style="109" bestFit="1" customWidth="1"/>
    <col min="2558" max="2558" width="12" style="109" bestFit="1" customWidth="1"/>
    <col min="2559" max="2580" width="9" style="109" bestFit="1" customWidth="1"/>
    <col min="2581" max="2581" width="7.81640625" style="109" bestFit="1" customWidth="1"/>
    <col min="2582" max="2582" width="4.54296875" style="109" bestFit="1" customWidth="1"/>
    <col min="2583" max="2583" width="14.1796875" style="109" bestFit="1" customWidth="1"/>
    <col min="2584" max="2809" width="10.90625" style="109"/>
    <col min="2810" max="2810" width="1.81640625" style="109" customWidth="1"/>
    <col min="2811" max="2811" width="8" style="109" customWidth="1"/>
    <col min="2812" max="2812" width="8" style="109" bestFit="1" customWidth="1"/>
    <col min="2813" max="2813" width="9" style="109" bestFit="1" customWidth="1"/>
    <col min="2814" max="2814" width="12" style="109" bestFit="1" customWidth="1"/>
    <col min="2815" max="2836" width="9" style="109" bestFit="1" customWidth="1"/>
    <col min="2837" max="2837" width="7.81640625" style="109" bestFit="1" customWidth="1"/>
    <col min="2838" max="2838" width="4.54296875" style="109" bestFit="1" customWidth="1"/>
    <col min="2839" max="2839" width="14.1796875" style="109" bestFit="1" customWidth="1"/>
    <col min="2840" max="3065" width="10.90625" style="109"/>
    <col min="3066" max="3066" width="1.81640625" style="109" customWidth="1"/>
    <col min="3067" max="3067" width="8" style="109" customWidth="1"/>
    <col min="3068" max="3068" width="8" style="109" bestFit="1" customWidth="1"/>
    <col min="3069" max="3069" width="9" style="109" bestFit="1" customWidth="1"/>
    <col min="3070" max="3070" width="12" style="109" bestFit="1" customWidth="1"/>
    <col min="3071" max="3092" width="9" style="109" bestFit="1" customWidth="1"/>
    <col min="3093" max="3093" width="7.81640625" style="109" bestFit="1" customWidth="1"/>
    <col min="3094" max="3094" width="4.54296875" style="109" bestFit="1" customWidth="1"/>
    <col min="3095" max="3095" width="14.1796875" style="109" bestFit="1" customWidth="1"/>
    <col min="3096" max="3321" width="10.90625" style="109"/>
    <col min="3322" max="3322" width="1.81640625" style="109" customWidth="1"/>
    <col min="3323" max="3323" width="8" style="109" customWidth="1"/>
    <col min="3324" max="3324" width="8" style="109" bestFit="1" customWidth="1"/>
    <col min="3325" max="3325" width="9" style="109" bestFit="1" customWidth="1"/>
    <col min="3326" max="3326" width="12" style="109" bestFit="1" customWidth="1"/>
    <col min="3327" max="3348" width="9" style="109" bestFit="1" customWidth="1"/>
    <col min="3349" max="3349" width="7.81640625" style="109" bestFit="1" customWidth="1"/>
    <col min="3350" max="3350" width="4.54296875" style="109" bestFit="1" customWidth="1"/>
    <col min="3351" max="3351" width="14.1796875" style="109" bestFit="1" customWidth="1"/>
    <col min="3352" max="3577" width="10.90625" style="109"/>
    <col min="3578" max="3578" width="1.81640625" style="109" customWidth="1"/>
    <col min="3579" max="3579" width="8" style="109" customWidth="1"/>
    <col min="3580" max="3580" width="8" style="109" bestFit="1" customWidth="1"/>
    <col min="3581" max="3581" width="9" style="109" bestFit="1" customWidth="1"/>
    <col min="3582" max="3582" width="12" style="109" bestFit="1" customWidth="1"/>
    <col min="3583" max="3604" width="9" style="109" bestFit="1" customWidth="1"/>
    <col min="3605" max="3605" width="7.81640625" style="109" bestFit="1" customWidth="1"/>
    <col min="3606" max="3606" width="4.54296875" style="109" bestFit="1" customWidth="1"/>
    <col min="3607" max="3607" width="14.1796875" style="109" bestFit="1" customWidth="1"/>
    <col min="3608" max="3833" width="10.90625" style="109"/>
    <col min="3834" max="3834" width="1.81640625" style="109" customWidth="1"/>
    <col min="3835" max="3835" width="8" style="109" customWidth="1"/>
    <col min="3836" max="3836" width="8" style="109" bestFit="1" customWidth="1"/>
    <col min="3837" max="3837" width="9" style="109" bestFit="1" customWidth="1"/>
    <col min="3838" max="3838" width="12" style="109" bestFit="1" customWidth="1"/>
    <col min="3839" max="3860" width="9" style="109" bestFit="1" customWidth="1"/>
    <col min="3861" max="3861" width="7.81640625" style="109" bestFit="1" customWidth="1"/>
    <col min="3862" max="3862" width="4.54296875" style="109" bestFit="1" customWidth="1"/>
    <col min="3863" max="3863" width="14.1796875" style="109" bestFit="1" customWidth="1"/>
    <col min="3864" max="4089" width="10.90625" style="109"/>
    <col min="4090" max="4090" width="1.81640625" style="109" customWidth="1"/>
    <col min="4091" max="4091" width="8" style="109" customWidth="1"/>
    <col min="4092" max="4092" width="8" style="109" bestFit="1" customWidth="1"/>
    <col min="4093" max="4093" width="9" style="109" bestFit="1" customWidth="1"/>
    <col min="4094" max="4094" width="12" style="109" bestFit="1" customWidth="1"/>
    <col min="4095" max="4116" width="9" style="109" bestFit="1" customWidth="1"/>
    <col min="4117" max="4117" width="7.81640625" style="109" bestFit="1" customWidth="1"/>
    <col min="4118" max="4118" width="4.54296875" style="109" bestFit="1" customWidth="1"/>
    <col min="4119" max="4119" width="14.1796875" style="109" bestFit="1" customWidth="1"/>
    <col min="4120" max="4345" width="10.90625" style="109"/>
    <col min="4346" max="4346" width="1.81640625" style="109" customWidth="1"/>
    <col min="4347" max="4347" width="8" style="109" customWidth="1"/>
    <col min="4348" max="4348" width="8" style="109" bestFit="1" customWidth="1"/>
    <col min="4349" max="4349" width="9" style="109" bestFit="1" customWidth="1"/>
    <col min="4350" max="4350" width="12" style="109" bestFit="1" customWidth="1"/>
    <col min="4351" max="4372" width="9" style="109" bestFit="1" customWidth="1"/>
    <col min="4373" max="4373" width="7.81640625" style="109" bestFit="1" customWidth="1"/>
    <col min="4374" max="4374" width="4.54296875" style="109" bestFit="1" customWidth="1"/>
    <col min="4375" max="4375" width="14.1796875" style="109" bestFit="1" customWidth="1"/>
    <col min="4376" max="4601" width="10.90625" style="109"/>
    <col min="4602" max="4602" width="1.81640625" style="109" customWidth="1"/>
    <col min="4603" max="4603" width="8" style="109" customWidth="1"/>
    <col min="4604" max="4604" width="8" style="109" bestFit="1" customWidth="1"/>
    <col min="4605" max="4605" width="9" style="109" bestFit="1" customWidth="1"/>
    <col min="4606" max="4606" width="12" style="109" bestFit="1" customWidth="1"/>
    <col min="4607" max="4628" width="9" style="109" bestFit="1" customWidth="1"/>
    <col min="4629" max="4629" width="7.81640625" style="109" bestFit="1" customWidth="1"/>
    <col min="4630" max="4630" width="4.54296875" style="109" bestFit="1" customWidth="1"/>
    <col min="4631" max="4631" width="14.1796875" style="109" bestFit="1" customWidth="1"/>
    <col min="4632" max="4857" width="10.90625" style="109"/>
    <col min="4858" max="4858" width="1.81640625" style="109" customWidth="1"/>
    <col min="4859" max="4859" width="8" style="109" customWidth="1"/>
    <col min="4860" max="4860" width="8" style="109" bestFit="1" customWidth="1"/>
    <col min="4861" max="4861" width="9" style="109" bestFit="1" customWidth="1"/>
    <col min="4862" max="4862" width="12" style="109" bestFit="1" customWidth="1"/>
    <col min="4863" max="4884" width="9" style="109" bestFit="1" customWidth="1"/>
    <col min="4885" max="4885" width="7.81640625" style="109" bestFit="1" customWidth="1"/>
    <col min="4886" max="4886" width="4.54296875" style="109" bestFit="1" customWidth="1"/>
    <col min="4887" max="4887" width="14.1796875" style="109" bestFit="1" customWidth="1"/>
    <col min="4888" max="5113" width="10.90625" style="109"/>
    <col min="5114" max="5114" width="1.81640625" style="109" customWidth="1"/>
    <col min="5115" max="5115" width="8" style="109" customWidth="1"/>
    <col min="5116" max="5116" width="8" style="109" bestFit="1" customWidth="1"/>
    <col min="5117" max="5117" width="9" style="109" bestFit="1" customWidth="1"/>
    <col min="5118" max="5118" width="12" style="109" bestFit="1" customWidth="1"/>
    <col min="5119" max="5140" width="9" style="109" bestFit="1" customWidth="1"/>
    <col min="5141" max="5141" width="7.81640625" style="109" bestFit="1" customWidth="1"/>
    <col min="5142" max="5142" width="4.54296875" style="109" bestFit="1" customWidth="1"/>
    <col min="5143" max="5143" width="14.1796875" style="109" bestFit="1" customWidth="1"/>
    <col min="5144" max="5369" width="10.90625" style="109"/>
    <col min="5370" max="5370" width="1.81640625" style="109" customWidth="1"/>
    <col min="5371" max="5371" width="8" style="109" customWidth="1"/>
    <col min="5372" max="5372" width="8" style="109" bestFit="1" customWidth="1"/>
    <col min="5373" max="5373" width="9" style="109" bestFit="1" customWidth="1"/>
    <col min="5374" max="5374" width="12" style="109" bestFit="1" customWidth="1"/>
    <col min="5375" max="5396" width="9" style="109" bestFit="1" customWidth="1"/>
    <col min="5397" max="5397" width="7.81640625" style="109" bestFit="1" customWidth="1"/>
    <col min="5398" max="5398" width="4.54296875" style="109" bestFit="1" customWidth="1"/>
    <col min="5399" max="5399" width="14.1796875" style="109" bestFit="1" customWidth="1"/>
    <col min="5400" max="5625" width="10.90625" style="109"/>
    <col min="5626" max="5626" width="1.81640625" style="109" customWidth="1"/>
    <col min="5627" max="5627" width="8" style="109" customWidth="1"/>
    <col min="5628" max="5628" width="8" style="109" bestFit="1" customWidth="1"/>
    <col min="5629" max="5629" width="9" style="109" bestFit="1" customWidth="1"/>
    <col min="5630" max="5630" width="12" style="109" bestFit="1" customWidth="1"/>
    <col min="5631" max="5652" width="9" style="109" bestFit="1" customWidth="1"/>
    <col min="5653" max="5653" width="7.81640625" style="109" bestFit="1" customWidth="1"/>
    <col min="5654" max="5654" width="4.54296875" style="109" bestFit="1" customWidth="1"/>
    <col min="5655" max="5655" width="14.1796875" style="109" bestFit="1" customWidth="1"/>
    <col min="5656" max="5881" width="10.90625" style="109"/>
    <col min="5882" max="5882" width="1.81640625" style="109" customWidth="1"/>
    <col min="5883" max="5883" width="8" style="109" customWidth="1"/>
    <col min="5884" max="5884" width="8" style="109" bestFit="1" customWidth="1"/>
    <col min="5885" max="5885" width="9" style="109" bestFit="1" customWidth="1"/>
    <col min="5886" max="5886" width="12" style="109" bestFit="1" customWidth="1"/>
    <col min="5887" max="5908" width="9" style="109" bestFit="1" customWidth="1"/>
    <col min="5909" max="5909" width="7.81640625" style="109" bestFit="1" customWidth="1"/>
    <col min="5910" max="5910" width="4.54296875" style="109" bestFit="1" customWidth="1"/>
    <col min="5911" max="5911" width="14.1796875" style="109" bestFit="1" customWidth="1"/>
    <col min="5912" max="6137" width="10.90625" style="109"/>
    <col min="6138" max="6138" width="1.81640625" style="109" customWidth="1"/>
    <col min="6139" max="6139" width="8" style="109" customWidth="1"/>
    <col min="6140" max="6140" width="8" style="109" bestFit="1" customWidth="1"/>
    <col min="6141" max="6141" width="9" style="109" bestFit="1" customWidth="1"/>
    <col min="6142" max="6142" width="12" style="109" bestFit="1" customWidth="1"/>
    <col min="6143" max="6164" width="9" style="109" bestFit="1" customWidth="1"/>
    <col min="6165" max="6165" width="7.81640625" style="109" bestFit="1" customWidth="1"/>
    <col min="6166" max="6166" width="4.54296875" style="109" bestFit="1" customWidth="1"/>
    <col min="6167" max="6167" width="14.1796875" style="109" bestFit="1" customWidth="1"/>
    <col min="6168" max="6393" width="10.90625" style="109"/>
    <col min="6394" max="6394" width="1.81640625" style="109" customWidth="1"/>
    <col min="6395" max="6395" width="8" style="109" customWidth="1"/>
    <col min="6396" max="6396" width="8" style="109" bestFit="1" customWidth="1"/>
    <col min="6397" max="6397" width="9" style="109" bestFit="1" customWidth="1"/>
    <col min="6398" max="6398" width="12" style="109" bestFit="1" customWidth="1"/>
    <col min="6399" max="6420" width="9" style="109" bestFit="1" customWidth="1"/>
    <col min="6421" max="6421" width="7.81640625" style="109" bestFit="1" customWidth="1"/>
    <col min="6422" max="6422" width="4.54296875" style="109" bestFit="1" customWidth="1"/>
    <col min="6423" max="6423" width="14.1796875" style="109" bestFit="1" customWidth="1"/>
    <col min="6424" max="6649" width="10.90625" style="109"/>
    <col min="6650" max="6650" width="1.81640625" style="109" customWidth="1"/>
    <col min="6651" max="6651" width="8" style="109" customWidth="1"/>
    <col min="6652" max="6652" width="8" style="109" bestFit="1" customWidth="1"/>
    <col min="6653" max="6653" width="9" style="109" bestFit="1" customWidth="1"/>
    <col min="6654" max="6654" width="12" style="109" bestFit="1" customWidth="1"/>
    <col min="6655" max="6676" width="9" style="109" bestFit="1" customWidth="1"/>
    <col min="6677" max="6677" width="7.81640625" style="109" bestFit="1" customWidth="1"/>
    <col min="6678" max="6678" width="4.54296875" style="109" bestFit="1" customWidth="1"/>
    <col min="6679" max="6679" width="14.1796875" style="109" bestFit="1" customWidth="1"/>
    <col min="6680" max="6905" width="10.90625" style="109"/>
    <col min="6906" max="6906" width="1.81640625" style="109" customWidth="1"/>
    <col min="6907" max="6907" width="8" style="109" customWidth="1"/>
    <col min="6908" max="6908" width="8" style="109" bestFit="1" customWidth="1"/>
    <col min="6909" max="6909" width="9" style="109" bestFit="1" customWidth="1"/>
    <col min="6910" max="6910" width="12" style="109" bestFit="1" customWidth="1"/>
    <col min="6911" max="6932" width="9" style="109" bestFit="1" customWidth="1"/>
    <col min="6933" max="6933" width="7.81640625" style="109" bestFit="1" customWidth="1"/>
    <col min="6934" max="6934" width="4.54296875" style="109" bestFit="1" customWidth="1"/>
    <col min="6935" max="6935" width="14.1796875" style="109" bestFit="1" customWidth="1"/>
    <col min="6936" max="7161" width="10.90625" style="109"/>
    <col min="7162" max="7162" width="1.81640625" style="109" customWidth="1"/>
    <col min="7163" max="7163" width="8" style="109" customWidth="1"/>
    <col min="7164" max="7164" width="8" style="109" bestFit="1" customWidth="1"/>
    <col min="7165" max="7165" width="9" style="109" bestFit="1" customWidth="1"/>
    <col min="7166" max="7166" width="12" style="109" bestFit="1" customWidth="1"/>
    <col min="7167" max="7188" width="9" style="109" bestFit="1" customWidth="1"/>
    <col min="7189" max="7189" width="7.81640625" style="109" bestFit="1" customWidth="1"/>
    <col min="7190" max="7190" width="4.54296875" style="109" bestFit="1" customWidth="1"/>
    <col min="7191" max="7191" width="14.1796875" style="109" bestFit="1" customWidth="1"/>
    <col min="7192" max="7417" width="10.90625" style="109"/>
    <col min="7418" max="7418" width="1.81640625" style="109" customWidth="1"/>
    <col min="7419" max="7419" width="8" style="109" customWidth="1"/>
    <col min="7420" max="7420" width="8" style="109" bestFit="1" customWidth="1"/>
    <col min="7421" max="7421" width="9" style="109" bestFit="1" customWidth="1"/>
    <col min="7422" max="7422" width="12" style="109" bestFit="1" customWidth="1"/>
    <col min="7423" max="7444" width="9" style="109" bestFit="1" customWidth="1"/>
    <col min="7445" max="7445" width="7.81640625" style="109" bestFit="1" customWidth="1"/>
    <col min="7446" max="7446" width="4.54296875" style="109" bestFit="1" customWidth="1"/>
    <col min="7447" max="7447" width="14.1796875" style="109" bestFit="1" customWidth="1"/>
    <col min="7448" max="7673" width="10.90625" style="109"/>
    <col min="7674" max="7674" width="1.81640625" style="109" customWidth="1"/>
    <col min="7675" max="7675" width="8" style="109" customWidth="1"/>
    <col min="7676" max="7676" width="8" style="109" bestFit="1" customWidth="1"/>
    <col min="7677" max="7677" width="9" style="109" bestFit="1" customWidth="1"/>
    <col min="7678" max="7678" width="12" style="109" bestFit="1" customWidth="1"/>
    <col min="7679" max="7700" width="9" style="109" bestFit="1" customWidth="1"/>
    <col min="7701" max="7701" width="7.81640625" style="109" bestFit="1" customWidth="1"/>
    <col min="7702" max="7702" width="4.54296875" style="109" bestFit="1" customWidth="1"/>
    <col min="7703" max="7703" width="14.1796875" style="109" bestFit="1" customWidth="1"/>
    <col min="7704" max="7929" width="10.90625" style="109"/>
    <col min="7930" max="7930" width="1.81640625" style="109" customWidth="1"/>
    <col min="7931" max="7931" width="8" style="109" customWidth="1"/>
    <col min="7932" max="7932" width="8" style="109" bestFit="1" customWidth="1"/>
    <col min="7933" max="7933" width="9" style="109" bestFit="1" customWidth="1"/>
    <col min="7934" max="7934" width="12" style="109" bestFit="1" customWidth="1"/>
    <col min="7935" max="7956" width="9" style="109" bestFit="1" customWidth="1"/>
    <col min="7957" max="7957" width="7.81640625" style="109" bestFit="1" customWidth="1"/>
    <col min="7958" max="7958" width="4.54296875" style="109" bestFit="1" customWidth="1"/>
    <col min="7959" max="7959" width="14.1796875" style="109" bestFit="1" customWidth="1"/>
    <col min="7960" max="8185" width="10.90625" style="109"/>
    <col min="8186" max="8186" width="1.81640625" style="109" customWidth="1"/>
    <col min="8187" max="8187" width="8" style="109" customWidth="1"/>
    <col min="8188" max="8188" width="8" style="109" bestFit="1" customWidth="1"/>
    <col min="8189" max="8189" width="9" style="109" bestFit="1" customWidth="1"/>
    <col min="8190" max="8190" width="12" style="109" bestFit="1" customWidth="1"/>
    <col min="8191" max="8212" width="9" style="109" bestFit="1" customWidth="1"/>
    <col min="8213" max="8213" width="7.81640625" style="109" bestFit="1" customWidth="1"/>
    <col min="8214" max="8214" width="4.54296875" style="109" bestFit="1" customWidth="1"/>
    <col min="8215" max="8215" width="14.1796875" style="109" bestFit="1" customWidth="1"/>
    <col min="8216" max="8441" width="10.90625" style="109"/>
    <col min="8442" max="8442" width="1.81640625" style="109" customWidth="1"/>
    <col min="8443" max="8443" width="8" style="109" customWidth="1"/>
    <col min="8444" max="8444" width="8" style="109" bestFit="1" customWidth="1"/>
    <col min="8445" max="8445" width="9" style="109" bestFit="1" customWidth="1"/>
    <col min="8446" max="8446" width="12" style="109" bestFit="1" customWidth="1"/>
    <col min="8447" max="8468" width="9" style="109" bestFit="1" customWidth="1"/>
    <col min="8469" max="8469" width="7.81640625" style="109" bestFit="1" customWidth="1"/>
    <col min="8470" max="8470" width="4.54296875" style="109" bestFit="1" customWidth="1"/>
    <col min="8471" max="8471" width="14.1796875" style="109" bestFit="1" customWidth="1"/>
    <col min="8472" max="8697" width="10.90625" style="109"/>
    <col min="8698" max="8698" width="1.81640625" style="109" customWidth="1"/>
    <col min="8699" max="8699" width="8" style="109" customWidth="1"/>
    <col min="8700" max="8700" width="8" style="109" bestFit="1" customWidth="1"/>
    <col min="8701" max="8701" width="9" style="109" bestFit="1" customWidth="1"/>
    <col min="8702" max="8702" width="12" style="109" bestFit="1" customWidth="1"/>
    <col min="8703" max="8724" width="9" style="109" bestFit="1" customWidth="1"/>
    <col min="8725" max="8725" width="7.81640625" style="109" bestFit="1" customWidth="1"/>
    <col min="8726" max="8726" width="4.54296875" style="109" bestFit="1" customWidth="1"/>
    <col min="8727" max="8727" width="14.1796875" style="109" bestFit="1" customWidth="1"/>
    <col min="8728" max="8953" width="10.90625" style="109"/>
    <col min="8954" max="8954" width="1.81640625" style="109" customWidth="1"/>
    <col min="8955" max="8955" width="8" style="109" customWidth="1"/>
    <col min="8956" max="8956" width="8" style="109" bestFit="1" customWidth="1"/>
    <col min="8957" max="8957" width="9" style="109" bestFit="1" customWidth="1"/>
    <col min="8958" max="8958" width="12" style="109" bestFit="1" customWidth="1"/>
    <col min="8959" max="8980" width="9" style="109" bestFit="1" customWidth="1"/>
    <col min="8981" max="8981" width="7.81640625" style="109" bestFit="1" customWidth="1"/>
    <col min="8982" max="8982" width="4.54296875" style="109" bestFit="1" customWidth="1"/>
    <col min="8983" max="8983" width="14.1796875" style="109" bestFit="1" customWidth="1"/>
    <col min="8984" max="9209" width="10.90625" style="109"/>
    <col min="9210" max="9210" width="1.81640625" style="109" customWidth="1"/>
    <col min="9211" max="9211" width="8" style="109" customWidth="1"/>
    <col min="9212" max="9212" width="8" style="109" bestFit="1" customWidth="1"/>
    <col min="9213" max="9213" width="9" style="109" bestFit="1" customWidth="1"/>
    <col min="9214" max="9214" width="12" style="109" bestFit="1" customWidth="1"/>
    <col min="9215" max="9236" width="9" style="109" bestFit="1" customWidth="1"/>
    <col min="9237" max="9237" width="7.81640625" style="109" bestFit="1" customWidth="1"/>
    <col min="9238" max="9238" width="4.54296875" style="109" bestFit="1" customWidth="1"/>
    <col min="9239" max="9239" width="14.1796875" style="109" bestFit="1" customWidth="1"/>
    <col min="9240" max="9465" width="10.90625" style="109"/>
    <col min="9466" max="9466" width="1.81640625" style="109" customWidth="1"/>
    <col min="9467" max="9467" width="8" style="109" customWidth="1"/>
    <col min="9468" max="9468" width="8" style="109" bestFit="1" customWidth="1"/>
    <col min="9469" max="9469" width="9" style="109" bestFit="1" customWidth="1"/>
    <col min="9470" max="9470" width="12" style="109" bestFit="1" customWidth="1"/>
    <col min="9471" max="9492" width="9" style="109" bestFit="1" customWidth="1"/>
    <col min="9493" max="9493" width="7.81640625" style="109" bestFit="1" customWidth="1"/>
    <col min="9494" max="9494" width="4.54296875" style="109" bestFit="1" customWidth="1"/>
    <col min="9495" max="9495" width="14.1796875" style="109" bestFit="1" customWidth="1"/>
    <col min="9496" max="9721" width="10.90625" style="109"/>
    <col min="9722" max="9722" width="1.81640625" style="109" customWidth="1"/>
    <col min="9723" max="9723" width="8" style="109" customWidth="1"/>
    <col min="9724" max="9724" width="8" style="109" bestFit="1" customWidth="1"/>
    <col min="9725" max="9725" width="9" style="109" bestFit="1" customWidth="1"/>
    <col min="9726" max="9726" width="12" style="109" bestFit="1" customWidth="1"/>
    <col min="9727" max="9748" width="9" style="109" bestFit="1" customWidth="1"/>
    <col min="9749" max="9749" width="7.81640625" style="109" bestFit="1" customWidth="1"/>
    <col min="9750" max="9750" width="4.54296875" style="109" bestFit="1" customWidth="1"/>
    <col min="9751" max="9751" width="14.1796875" style="109" bestFit="1" customWidth="1"/>
    <col min="9752" max="9977" width="10.90625" style="109"/>
    <col min="9978" max="9978" width="1.81640625" style="109" customWidth="1"/>
    <col min="9979" max="9979" width="8" style="109" customWidth="1"/>
    <col min="9980" max="9980" width="8" style="109" bestFit="1" customWidth="1"/>
    <col min="9981" max="9981" width="9" style="109" bestFit="1" customWidth="1"/>
    <col min="9982" max="9982" width="12" style="109" bestFit="1" customWidth="1"/>
    <col min="9983" max="10004" width="9" style="109" bestFit="1" customWidth="1"/>
    <col min="10005" max="10005" width="7.81640625" style="109" bestFit="1" customWidth="1"/>
    <col min="10006" max="10006" width="4.54296875" style="109" bestFit="1" customWidth="1"/>
    <col min="10007" max="10007" width="14.1796875" style="109" bestFit="1" customWidth="1"/>
    <col min="10008" max="10233" width="10.90625" style="109"/>
    <col min="10234" max="10234" width="1.81640625" style="109" customWidth="1"/>
    <col min="10235" max="10235" width="8" style="109" customWidth="1"/>
    <col min="10236" max="10236" width="8" style="109" bestFit="1" customWidth="1"/>
    <col min="10237" max="10237" width="9" style="109" bestFit="1" customWidth="1"/>
    <col min="10238" max="10238" width="12" style="109" bestFit="1" customWidth="1"/>
    <col min="10239" max="10260" width="9" style="109" bestFit="1" customWidth="1"/>
    <col min="10261" max="10261" width="7.81640625" style="109" bestFit="1" customWidth="1"/>
    <col min="10262" max="10262" width="4.54296875" style="109" bestFit="1" customWidth="1"/>
    <col min="10263" max="10263" width="14.1796875" style="109" bestFit="1" customWidth="1"/>
    <col min="10264" max="10489" width="10.90625" style="109"/>
    <col min="10490" max="10490" width="1.81640625" style="109" customWidth="1"/>
    <col min="10491" max="10491" width="8" style="109" customWidth="1"/>
    <col min="10492" max="10492" width="8" style="109" bestFit="1" customWidth="1"/>
    <col min="10493" max="10493" width="9" style="109" bestFit="1" customWidth="1"/>
    <col min="10494" max="10494" width="12" style="109" bestFit="1" customWidth="1"/>
    <col min="10495" max="10516" width="9" style="109" bestFit="1" customWidth="1"/>
    <col min="10517" max="10517" width="7.81640625" style="109" bestFit="1" customWidth="1"/>
    <col min="10518" max="10518" width="4.54296875" style="109" bestFit="1" customWidth="1"/>
    <col min="10519" max="10519" width="14.1796875" style="109" bestFit="1" customWidth="1"/>
    <col min="10520" max="10745" width="10.90625" style="109"/>
    <col min="10746" max="10746" width="1.81640625" style="109" customWidth="1"/>
    <col min="10747" max="10747" width="8" style="109" customWidth="1"/>
    <col min="10748" max="10748" width="8" style="109" bestFit="1" customWidth="1"/>
    <col min="10749" max="10749" width="9" style="109" bestFit="1" customWidth="1"/>
    <col min="10750" max="10750" width="12" style="109" bestFit="1" customWidth="1"/>
    <col min="10751" max="10772" width="9" style="109" bestFit="1" customWidth="1"/>
    <col min="10773" max="10773" width="7.81640625" style="109" bestFit="1" customWidth="1"/>
    <col min="10774" max="10774" width="4.54296875" style="109" bestFit="1" customWidth="1"/>
    <col min="10775" max="10775" width="14.1796875" style="109" bestFit="1" customWidth="1"/>
    <col min="10776" max="11001" width="10.90625" style="109"/>
    <col min="11002" max="11002" width="1.81640625" style="109" customWidth="1"/>
    <col min="11003" max="11003" width="8" style="109" customWidth="1"/>
    <col min="11004" max="11004" width="8" style="109" bestFit="1" customWidth="1"/>
    <col min="11005" max="11005" width="9" style="109" bestFit="1" customWidth="1"/>
    <col min="11006" max="11006" width="12" style="109" bestFit="1" customWidth="1"/>
    <col min="11007" max="11028" width="9" style="109" bestFit="1" customWidth="1"/>
    <col min="11029" max="11029" width="7.81640625" style="109" bestFit="1" customWidth="1"/>
    <col min="11030" max="11030" width="4.54296875" style="109" bestFit="1" customWidth="1"/>
    <col min="11031" max="11031" width="14.1796875" style="109" bestFit="1" customWidth="1"/>
    <col min="11032" max="11257" width="10.90625" style="109"/>
    <col min="11258" max="11258" width="1.81640625" style="109" customWidth="1"/>
    <col min="11259" max="11259" width="8" style="109" customWidth="1"/>
    <col min="11260" max="11260" width="8" style="109" bestFit="1" customWidth="1"/>
    <col min="11261" max="11261" width="9" style="109" bestFit="1" customWidth="1"/>
    <col min="11262" max="11262" width="12" style="109" bestFit="1" customWidth="1"/>
    <col min="11263" max="11284" width="9" style="109" bestFit="1" customWidth="1"/>
    <col min="11285" max="11285" width="7.81640625" style="109" bestFit="1" customWidth="1"/>
    <col min="11286" max="11286" width="4.54296875" style="109" bestFit="1" customWidth="1"/>
    <col min="11287" max="11287" width="14.1796875" style="109" bestFit="1" customWidth="1"/>
    <col min="11288" max="11513" width="10.90625" style="109"/>
    <col min="11514" max="11514" width="1.81640625" style="109" customWidth="1"/>
    <col min="11515" max="11515" width="8" style="109" customWidth="1"/>
    <col min="11516" max="11516" width="8" style="109" bestFit="1" customWidth="1"/>
    <col min="11517" max="11517" width="9" style="109" bestFit="1" customWidth="1"/>
    <col min="11518" max="11518" width="12" style="109" bestFit="1" customWidth="1"/>
    <col min="11519" max="11540" width="9" style="109" bestFit="1" customWidth="1"/>
    <col min="11541" max="11541" width="7.81640625" style="109" bestFit="1" customWidth="1"/>
    <col min="11542" max="11542" width="4.54296875" style="109" bestFit="1" customWidth="1"/>
    <col min="11543" max="11543" width="14.1796875" style="109" bestFit="1" customWidth="1"/>
    <col min="11544" max="11769" width="10.90625" style="109"/>
    <col min="11770" max="11770" width="1.81640625" style="109" customWidth="1"/>
    <col min="11771" max="11771" width="8" style="109" customWidth="1"/>
    <col min="11772" max="11772" width="8" style="109" bestFit="1" customWidth="1"/>
    <col min="11773" max="11773" width="9" style="109" bestFit="1" customWidth="1"/>
    <col min="11774" max="11774" width="12" style="109" bestFit="1" customWidth="1"/>
    <col min="11775" max="11796" width="9" style="109" bestFit="1" customWidth="1"/>
    <col min="11797" max="11797" width="7.81640625" style="109" bestFit="1" customWidth="1"/>
    <col min="11798" max="11798" width="4.54296875" style="109" bestFit="1" customWidth="1"/>
    <col min="11799" max="11799" width="14.1796875" style="109" bestFit="1" customWidth="1"/>
    <col min="11800" max="12025" width="10.90625" style="109"/>
    <col min="12026" max="12026" width="1.81640625" style="109" customWidth="1"/>
    <col min="12027" max="12027" width="8" style="109" customWidth="1"/>
    <col min="12028" max="12028" width="8" style="109" bestFit="1" customWidth="1"/>
    <col min="12029" max="12029" width="9" style="109" bestFit="1" customWidth="1"/>
    <col min="12030" max="12030" width="12" style="109" bestFit="1" customWidth="1"/>
    <col min="12031" max="12052" width="9" style="109" bestFit="1" customWidth="1"/>
    <col min="12053" max="12053" width="7.81640625" style="109" bestFit="1" customWidth="1"/>
    <col min="12054" max="12054" width="4.54296875" style="109" bestFit="1" customWidth="1"/>
    <col min="12055" max="12055" width="14.1796875" style="109" bestFit="1" customWidth="1"/>
    <col min="12056" max="12281" width="10.90625" style="109"/>
    <col min="12282" max="12282" width="1.81640625" style="109" customWidth="1"/>
    <col min="12283" max="12283" width="8" style="109" customWidth="1"/>
    <col min="12284" max="12284" width="8" style="109" bestFit="1" customWidth="1"/>
    <col min="12285" max="12285" width="9" style="109" bestFit="1" customWidth="1"/>
    <col min="12286" max="12286" width="12" style="109" bestFit="1" customWidth="1"/>
    <col min="12287" max="12308" width="9" style="109" bestFit="1" customWidth="1"/>
    <col min="12309" max="12309" width="7.81640625" style="109" bestFit="1" customWidth="1"/>
    <col min="12310" max="12310" width="4.54296875" style="109" bestFit="1" customWidth="1"/>
    <col min="12311" max="12311" width="14.1796875" style="109" bestFit="1" customWidth="1"/>
    <col min="12312" max="12537" width="10.90625" style="109"/>
    <col min="12538" max="12538" width="1.81640625" style="109" customWidth="1"/>
    <col min="12539" max="12539" width="8" style="109" customWidth="1"/>
    <col min="12540" max="12540" width="8" style="109" bestFit="1" customWidth="1"/>
    <col min="12541" max="12541" width="9" style="109" bestFit="1" customWidth="1"/>
    <col min="12542" max="12542" width="12" style="109" bestFit="1" customWidth="1"/>
    <col min="12543" max="12564" width="9" style="109" bestFit="1" customWidth="1"/>
    <col min="12565" max="12565" width="7.81640625" style="109" bestFit="1" customWidth="1"/>
    <col min="12566" max="12566" width="4.54296875" style="109" bestFit="1" customWidth="1"/>
    <col min="12567" max="12567" width="14.1796875" style="109" bestFit="1" customWidth="1"/>
    <col min="12568" max="12793" width="10.90625" style="109"/>
    <col min="12794" max="12794" width="1.81640625" style="109" customWidth="1"/>
    <col min="12795" max="12795" width="8" style="109" customWidth="1"/>
    <col min="12796" max="12796" width="8" style="109" bestFit="1" customWidth="1"/>
    <col min="12797" max="12797" width="9" style="109" bestFit="1" customWidth="1"/>
    <col min="12798" max="12798" width="12" style="109" bestFit="1" customWidth="1"/>
    <col min="12799" max="12820" width="9" style="109" bestFit="1" customWidth="1"/>
    <col min="12821" max="12821" width="7.81640625" style="109" bestFit="1" customWidth="1"/>
    <col min="12822" max="12822" width="4.54296875" style="109" bestFit="1" customWidth="1"/>
    <col min="12823" max="12823" width="14.1796875" style="109" bestFit="1" customWidth="1"/>
    <col min="12824" max="13049" width="10.90625" style="109"/>
    <col min="13050" max="13050" width="1.81640625" style="109" customWidth="1"/>
    <col min="13051" max="13051" width="8" style="109" customWidth="1"/>
    <col min="13052" max="13052" width="8" style="109" bestFit="1" customWidth="1"/>
    <col min="13053" max="13053" width="9" style="109" bestFit="1" customWidth="1"/>
    <col min="13054" max="13054" width="12" style="109" bestFit="1" customWidth="1"/>
    <col min="13055" max="13076" width="9" style="109" bestFit="1" customWidth="1"/>
    <col min="13077" max="13077" width="7.81640625" style="109" bestFit="1" customWidth="1"/>
    <col min="13078" max="13078" width="4.54296875" style="109" bestFit="1" customWidth="1"/>
    <col min="13079" max="13079" width="14.1796875" style="109" bestFit="1" customWidth="1"/>
    <col min="13080" max="13305" width="10.90625" style="109"/>
    <col min="13306" max="13306" width="1.81640625" style="109" customWidth="1"/>
    <col min="13307" max="13307" width="8" style="109" customWidth="1"/>
    <col min="13308" max="13308" width="8" style="109" bestFit="1" customWidth="1"/>
    <col min="13309" max="13309" width="9" style="109" bestFit="1" customWidth="1"/>
    <col min="13310" max="13310" width="12" style="109" bestFit="1" customWidth="1"/>
    <col min="13311" max="13332" width="9" style="109" bestFit="1" customWidth="1"/>
    <col min="13333" max="13333" width="7.81640625" style="109" bestFit="1" customWidth="1"/>
    <col min="13334" max="13334" width="4.54296875" style="109" bestFit="1" customWidth="1"/>
    <col min="13335" max="13335" width="14.1796875" style="109" bestFit="1" customWidth="1"/>
    <col min="13336" max="13561" width="10.90625" style="109"/>
    <col min="13562" max="13562" width="1.81640625" style="109" customWidth="1"/>
    <col min="13563" max="13563" width="8" style="109" customWidth="1"/>
    <col min="13564" max="13564" width="8" style="109" bestFit="1" customWidth="1"/>
    <col min="13565" max="13565" width="9" style="109" bestFit="1" customWidth="1"/>
    <col min="13566" max="13566" width="12" style="109" bestFit="1" customWidth="1"/>
    <col min="13567" max="13588" width="9" style="109" bestFit="1" customWidth="1"/>
    <col min="13589" max="13589" width="7.81640625" style="109" bestFit="1" customWidth="1"/>
    <col min="13590" max="13590" width="4.54296875" style="109" bestFit="1" customWidth="1"/>
    <col min="13591" max="13591" width="14.1796875" style="109" bestFit="1" customWidth="1"/>
    <col min="13592" max="13817" width="10.90625" style="109"/>
    <col min="13818" max="13818" width="1.81640625" style="109" customWidth="1"/>
    <col min="13819" max="13819" width="8" style="109" customWidth="1"/>
    <col min="13820" max="13820" width="8" style="109" bestFit="1" customWidth="1"/>
    <col min="13821" max="13821" width="9" style="109" bestFit="1" customWidth="1"/>
    <col min="13822" max="13822" width="12" style="109" bestFit="1" customWidth="1"/>
    <col min="13823" max="13844" width="9" style="109" bestFit="1" customWidth="1"/>
    <col min="13845" max="13845" width="7.81640625" style="109" bestFit="1" customWidth="1"/>
    <col min="13846" max="13846" width="4.54296875" style="109" bestFit="1" customWidth="1"/>
    <col min="13847" max="13847" width="14.1796875" style="109" bestFit="1" customWidth="1"/>
    <col min="13848" max="14073" width="10.90625" style="109"/>
    <col min="14074" max="14074" width="1.81640625" style="109" customWidth="1"/>
    <col min="14075" max="14075" width="8" style="109" customWidth="1"/>
    <col min="14076" max="14076" width="8" style="109" bestFit="1" customWidth="1"/>
    <col min="14077" max="14077" width="9" style="109" bestFit="1" customWidth="1"/>
    <col min="14078" max="14078" width="12" style="109" bestFit="1" customWidth="1"/>
    <col min="14079" max="14100" width="9" style="109" bestFit="1" customWidth="1"/>
    <col min="14101" max="14101" width="7.81640625" style="109" bestFit="1" customWidth="1"/>
    <col min="14102" max="14102" width="4.54296875" style="109" bestFit="1" customWidth="1"/>
    <col min="14103" max="14103" width="14.1796875" style="109" bestFit="1" customWidth="1"/>
    <col min="14104" max="14329" width="10.90625" style="109"/>
    <col min="14330" max="14330" width="1.81640625" style="109" customWidth="1"/>
    <col min="14331" max="14331" width="8" style="109" customWidth="1"/>
    <col min="14332" max="14332" width="8" style="109" bestFit="1" customWidth="1"/>
    <col min="14333" max="14333" width="9" style="109" bestFit="1" customWidth="1"/>
    <col min="14334" max="14334" width="12" style="109" bestFit="1" customWidth="1"/>
    <col min="14335" max="14356" width="9" style="109" bestFit="1" customWidth="1"/>
    <col min="14357" max="14357" width="7.81640625" style="109" bestFit="1" customWidth="1"/>
    <col min="14358" max="14358" width="4.54296875" style="109" bestFit="1" customWidth="1"/>
    <col min="14359" max="14359" width="14.1796875" style="109" bestFit="1" customWidth="1"/>
    <col min="14360" max="14585" width="10.90625" style="109"/>
    <col min="14586" max="14586" width="1.81640625" style="109" customWidth="1"/>
    <col min="14587" max="14587" width="8" style="109" customWidth="1"/>
    <col min="14588" max="14588" width="8" style="109" bestFit="1" customWidth="1"/>
    <col min="14589" max="14589" width="9" style="109" bestFit="1" customWidth="1"/>
    <col min="14590" max="14590" width="12" style="109" bestFit="1" customWidth="1"/>
    <col min="14591" max="14612" width="9" style="109" bestFit="1" customWidth="1"/>
    <col min="14613" max="14613" width="7.81640625" style="109" bestFit="1" customWidth="1"/>
    <col min="14614" max="14614" width="4.54296875" style="109" bestFit="1" customWidth="1"/>
    <col min="14615" max="14615" width="14.1796875" style="109" bestFit="1" customWidth="1"/>
    <col min="14616" max="14841" width="10.90625" style="109"/>
    <col min="14842" max="14842" width="1.81640625" style="109" customWidth="1"/>
    <col min="14843" max="14843" width="8" style="109" customWidth="1"/>
    <col min="14844" max="14844" width="8" style="109" bestFit="1" customWidth="1"/>
    <col min="14845" max="14845" width="9" style="109" bestFit="1" customWidth="1"/>
    <col min="14846" max="14846" width="12" style="109" bestFit="1" customWidth="1"/>
    <col min="14847" max="14868" width="9" style="109" bestFit="1" customWidth="1"/>
    <col min="14869" max="14869" width="7.81640625" style="109" bestFit="1" customWidth="1"/>
    <col min="14870" max="14870" width="4.54296875" style="109" bestFit="1" customWidth="1"/>
    <col min="14871" max="14871" width="14.1796875" style="109" bestFit="1" customWidth="1"/>
    <col min="14872" max="15097" width="10.90625" style="109"/>
    <col min="15098" max="15098" width="1.81640625" style="109" customWidth="1"/>
    <col min="15099" max="15099" width="8" style="109" customWidth="1"/>
    <col min="15100" max="15100" width="8" style="109" bestFit="1" customWidth="1"/>
    <col min="15101" max="15101" width="9" style="109" bestFit="1" customWidth="1"/>
    <col min="15102" max="15102" width="12" style="109" bestFit="1" customWidth="1"/>
    <col min="15103" max="15124" width="9" style="109" bestFit="1" customWidth="1"/>
    <col min="15125" max="15125" width="7.81640625" style="109" bestFit="1" customWidth="1"/>
    <col min="15126" max="15126" width="4.54296875" style="109" bestFit="1" customWidth="1"/>
    <col min="15127" max="15127" width="14.1796875" style="109" bestFit="1" customWidth="1"/>
    <col min="15128" max="15353" width="10.90625" style="109"/>
    <col min="15354" max="15354" width="1.81640625" style="109" customWidth="1"/>
    <col min="15355" max="15355" width="8" style="109" customWidth="1"/>
    <col min="15356" max="15356" width="8" style="109" bestFit="1" customWidth="1"/>
    <col min="15357" max="15357" width="9" style="109" bestFit="1" customWidth="1"/>
    <col min="15358" max="15358" width="12" style="109" bestFit="1" customWidth="1"/>
    <col min="15359" max="15380" width="9" style="109" bestFit="1" customWidth="1"/>
    <col min="15381" max="15381" width="7.81640625" style="109" bestFit="1" customWidth="1"/>
    <col min="15382" max="15382" width="4.54296875" style="109" bestFit="1" customWidth="1"/>
    <col min="15383" max="15383" width="14.1796875" style="109" bestFit="1" customWidth="1"/>
    <col min="15384" max="15609" width="10.90625" style="109"/>
    <col min="15610" max="15610" width="1.81640625" style="109" customWidth="1"/>
    <col min="15611" max="15611" width="8" style="109" customWidth="1"/>
    <col min="15612" max="15612" width="8" style="109" bestFit="1" customWidth="1"/>
    <col min="15613" max="15613" width="9" style="109" bestFit="1" customWidth="1"/>
    <col min="15614" max="15614" width="12" style="109" bestFit="1" customWidth="1"/>
    <col min="15615" max="15636" width="9" style="109" bestFit="1" customWidth="1"/>
    <col min="15637" max="15637" width="7.81640625" style="109" bestFit="1" customWidth="1"/>
    <col min="15638" max="15638" width="4.54296875" style="109" bestFit="1" customWidth="1"/>
    <col min="15639" max="15639" width="14.1796875" style="109" bestFit="1" customWidth="1"/>
    <col min="15640" max="15865" width="10.90625" style="109"/>
    <col min="15866" max="15866" width="1.81640625" style="109" customWidth="1"/>
    <col min="15867" max="15867" width="8" style="109" customWidth="1"/>
    <col min="15868" max="15868" width="8" style="109" bestFit="1" customWidth="1"/>
    <col min="15869" max="15869" width="9" style="109" bestFit="1" customWidth="1"/>
    <col min="15870" max="15870" width="12" style="109" bestFit="1" customWidth="1"/>
    <col min="15871" max="15892" width="9" style="109" bestFit="1" customWidth="1"/>
    <col min="15893" max="15893" width="7.81640625" style="109" bestFit="1" customWidth="1"/>
    <col min="15894" max="15894" width="4.54296875" style="109" bestFit="1" customWidth="1"/>
    <col min="15895" max="15895" width="14.1796875" style="109" bestFit="1" customWidth="1"/>
    <col min="15896" max="16121" width="10.90625" style="109"/>
    <col min="16122" max="16122" width="1.81640625" style="109" customWidth="1"/>
    <col min="16123" max="16123" width="8" style="109" customWidth="1"/>
    <col min="16124" max="16124" width="8" style="109" bestFit="1" customWidth="1"/>
    <col min="16125" max="16125" width="9" style="109" bestFit="1" customWidth="1"/>
    <col min="16126" max="16126" width="12" style="109" bestFit="1" customWidth="1"/>
    <col min="16127" max="16148" width="9" style="109" bestFit="1" customWidth="1"/>
    <col min="16149" max="16149" width="7.81640625" style="109" bestFit="1" customWidth="1"/>
    <col min="16150" max="16150" width="4.54296875" style="109" bestFit="1" customWidth="1"/>
    <col min="16151" max="16151" width="14.1796875" style="109" bestFit="1" customWidth="1"/>
    <col min="16152" max="16384" width="10.90625" style="109"/>
  </cols>
  <sheetData>
    <row r="2" spans="2:60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</row>
    <row r="3" spans="2:60">
      <c r="B3" s="113" t="s">
        <v>34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</row>
    <row r="4" spans="2:60" ht="15" thickBot="1">
      <c r="B4" s="114" t="s">
        <v>40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 spans="2:60" ht="25.5" customHeight="1" thickBot="1">
      <c r="B5" s="115"/>
      <c r="C5" s="116" t="s">
        <v>1</v>
      </c>
      <c r="D5" s="117">
        <v>1</v>
      </c>
      <c r="E5" s="117">
        <v>2</v>
      </c>
      <c r="F5" s="117">
        <v>3</v>
      </c>
      <c r="G5" s="117">
        <v>4</v>
      </c>
      <c r="H5" s="117">
        <v>5</v>
      </c>
      <c r="I5" s="117">
        <v>6</v>
      </c>
      <c r="J5" s="118">
        <v>7</v>
      </c>
      <c r="K5" s="118">
        <v>8</v>
      </c>
      <c r="L5" s="118">
        <v>9</v>
      </c>
      <c r="M5" s="118">
        <v>10</v>
      </c>
      <c r="N5" s="118">
        <v>11</v>
      </c>
      <c r="O5" s="118">
        <v>12</v>
      </c>
      <c r="P5" s="118">
        <v>13</v>
      </c>
      <c r="Q5" s="118">
        <v>14</v>
      </c>
      <c r="R5" s="118">
        <v>15</v>
      </c>
      <c r="S5" s="118">
        <v>16</v>
      </c>
      <c r="T5" s="118">
        <v>17</v>
      </c>
      <c r="U5" s="118">
        <v>18</v>
      </c>
      <c r="V5" s="119">
        <v>19</v>
      </c>
      <c r="W5" s="119">
        <v>20</v>
      </c>
      <c r="X5" s="119">
        <v>21</v>
      </c>
      <c r="Y5" s="117">
        <v>22</v>
      </c>
      <c r="Z5" s="117">
        <v>23</v>
      </c>
      <c r="AA5" s="120">
        <v>24</v>
      </c>
      <c r="AB5" s="121" t="s">
        <v>2</v>
      </c>
      <c r="AC5" s="122" t="s">
        <v>3</v>
      </c>
      <c r="AD5" s="123" t="s">
        <v>2</v>
      </c>
    </row>
    <row r="6" spans="2:60">
      <c r="B6" s="124">
        <v>46023</v>
      </c>
      <c r="C6" s="125" t="s">
        <v>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4">
        <v>0</v>
      </c>
      <c r="AB6" s="126">
        <f t="shared" ref="AB6:AB53" si="0">(SUM(D6:AA6))</f>
        <v>0</v>
      </c>
      <c r="AC6" s="126">
        <v>20</v>
      </c>
      <c r="AD6" s="127">
        <f>(AB6*AC6)+(AB7*AC7)+(AB8*AC8)+(AB9*AC9)</f>
        <v>0</v>
      </c>
      <c r="AE6" s="27">
        <f>+AD6</f>
        <v>0</v>
      </c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</row>
    <row r="7" spans="2:60">
      <c r="B7" s="128"/>
      <c r="C7" s="129" t="s">
        <v>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5">
        <v>0</v>
      </c>
      <c r="AB7" s="130">
        <f t="shared" si="0"/>
        <v>0</v>
      </c>
      <c r="AC7" s="130">
        <v>5</v>
      </c>
      <c r="AD7" s="131"/>
      <c r="AE7" s="27">
        <f>+AD10</f>
        <v>0</v>
      </c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</row>
    <row r="8" spans="2:60">
      <c r="B8" s="128"/>
      <c r="C8" s="129" t="s">
        <v>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5">
        <v>0</v>
      </c>
      <c r="AB8" s="130">
        <f t="shared" si="0"/>
        <v>0</v>
      </c>
      <c r="AC8" s="130">
        <v>4</v>
      </c>
      <c r="AD8" s="131"/>
      <c r="AE8" s="27">
        <f>+AD14</f>
        <v>0</v>
      </c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</row>
    <row r="9" spans="2:60" ht="15" thickBot="1">
      <c r="B9" s="132"/>
      <c r="C9" s="133" t="s">
        <v>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6">
        <v>0</v>
      </c>
      <c r="AB9" s="134">
        <f t="shared" si="0"/>
        <v>0</v>
      </c>
      <c r="AC9" s="134">
        <v>2</v>
      </c>
      <c r="AD9" s="135"/>
      <c r="AE9" s="27">
        <f>+AD18</f>
        <v>0</v>
      </c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</row>
    <row r="10" spans="2:60">
      <c r="B10" s="124">
        <v>46054</v>
      </c>
      <c r="C10" s="125" t="s">
        <v>5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4">
        <v>0</v>
      </c>
      <c r="AB10" s="126">
        <f t="shared" si="0"/>
        <v>0</v>
      </c>
      <c r="AC10" s="126">
        <v>20</v>
      </c>
      <c r="AD10" s="127">
        <f>(AB10*AC10)+(AB11*AC11)+(AB12*AC12)+(AB13*AC13)</f>
        <v>0</v>
      </c>
      <c r="AE10" s="27">
        <f>+AD22</f>
        <v>0</v>
      </c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</row>
    <row r="11" spans="2:60">
      <c r="B11" s="128"/>
      <c r="C11" s="129" t="s">
        <v>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5">
        <v>0</v>
      </c>
      <c r="AB11" s="130">
        <f t="shared" si="0"/>
        <v>0</v>
      </c>
      <c r="AC11" s="130">
        <v>4</v>
      </c>
      <c r="AD11" s="131"/>
      <c r="AE11" s="27">
        <f>+AD26</f>
        <v>0</v>
      </c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</row>
    <row r="12" spans="2:60">
      <c r="B12" s="128"/>
      <c r="C12" s="129" t="s">
        <v>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5">
        <v>0</v>
      </c>
      <c r="AB12" s="130">
        <f t="shared" si="0"/>
        <v>0</v>
      </c>
      <c r="AC12" s="130">
        <v>4</v>
      </c>
      <c r="AD12" s="131"/>
      <c r="AE12" s="27">
        <f>+AD30</f>
        <v>3195152.6015416258</v>
      </c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</row>
    <row r="13" spans="2:60" ht="15" thickBot="1">
      <c r="B13" s="132"/>
      <c r="C13" s="133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6">
        <v>0</v>
      </c>
      <c r="AB13" s="134">
        <f t="shared" si="0"/>
        <v>0</v>
      </c>
      <c r="AC13" s="134">
        <v>0</v>
      </c>
      <c r="AD13" s="135"/>
      <c r="AE13" s="27">
        <f>+AD34</f>
        <v>3152670.34</v>
      </c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</row>
    <row r="14" spans="2:60">
      <c r="B14" s="124">
        <v>46082</v>
      </c>
      <c r="C14" s="125" t="s">
        <v>5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4">
        <v>0</v>
      </c>
      <c r="AB14" s="126">
        <f t="shared" si="0"/>
        <v>0</v>
      </c>
      <c r="AC14" s="126">
        <v>21</v>
      </c>
      <c r="AD14" s="127">
        <f>(AB14*AC14)+(AB15*AC15)+(AB16*AC16)+(AB17*AC17)</f>
        <v>0</v>
      </c>
      <c r="AE14" s="27">
        <f>+AD38</f>
        <v>3863338.96</v>
      </c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</row>
    <row r="15" spans="2:60">
      <c r="B15" s="128"/>
      <c r="C15" s="129" t="s">
        <v>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5">
        <v>0</v>
      </c>
      <c r="AB15" s="130">
        <f t="shared" si="0"/>
        <v>0</v>
      </c>
      <c r="AC15" s="130">
        <v>4</v>
      </c>
      <c r="AD15" s="131"/>
      <c r="AE15" s="27">
        <f>+AD42</f>
        <v>4394273.82</v>
      </c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</row>
    <row r="16" spans="2:60">
      <c r="B16" s="128"/>
      <c r="C16" s="129" t="s">
        <v>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5">
        <v>0</v>
      </c>
      <c r="AB16" s="130">
        <f t="shared" si="0"/>
        <v>0</v>
      </c>
      <c r="AC16" s="130">
        <v>5</v>
      </c>
      <c r="AD16" s="131"/>
      <c r="AE16" s="27">
        <f>+AD46</f>
        <v>3537054.8599999994</v>
      </c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</row>
    <row r="17" spans="2:60" ht="15" thickBot="1">
      <c r="B17" s="132"/>
      <c r="C17" s="133" t="s">
        <v>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6">
        <v>0</v>
      </c>
      <c r="AB17" s="134">
        <f t="shared" si="0"/>
        <v>0</v>
      </c>
      <c r="AC17" s="134">
        <v>1</v>
      </c>
      <c r="AD17" s="135"/>
      <c r="AE17" s="27">
        <f>+AD50</f>
        <v>4409114.6899999995</v>
      </c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</row>
    <row r="18" spans="2:60">
      <c r="B18" s="124">
        <v>46113</v>
      </c>
      <c r="C18" s="125" t="s">
        <v>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4">
        <v>0</v>
      </c>
      <c r="AB18" s="126">
        <f t="shared" si="0"/>
        <v>0</v>
      </c>
      <c r="AC18" s="126">
        <v>20</v>
      </c>
      <c r="AD18" s="127">
        <f>(AB18*AC18)+(AB19*AC19)+(AB20*AC20)+(AB21*AC21)</f>
        <v>0</v>
      </c>
      <c r="AE18" s="27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</row>
    <row r="19" spans="2:60">
      <c r="B19" s="128"/>
      <c r="C19" s="129" t="s">
        <v>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5">
        <v>0</v>
      </c>
      <c r="AB19" s="130">
        <f t="shared" si="0"/>
        <v>0</v>
      </c>
      <c r="AC19" s="130">
        <v>4</v>
      </c>
      <c r="AD19" s="131"/>
      <c r="AE19" s="27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</row>
    <row r="20" spans="2:60">
      <c r="B20" s="128"/>
      <c r="C20" s="129" t="s">
        <v>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5">
        <v>0</v>
      </c>
      <c r="AB20" s="130">
        <f t="shared" si="0"/>
        <v>0</v>
      </c>
      <c r="AC20" s="130">
        <v>4</v>
      </c>
      <c r="AD20" s="131"/>
      <c r="AE20" s="27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</row>
    <row r="21" spans="2:60" ht="15" thickBot="1">
      <c r="B21" s="132"/>
      <c r="C21" s="133" t="s">
        <v>8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6">
        <v>0</v>
      </c>
      <c r="AB21" s="134">
        <f t="shared" si="0"/>
        <v>0</v>
      </c>
      <c r="AC21" s="134">
        <v>2</v>
      </c>
      <c r="AD21" s="135"/>
      <c r="AE21" s="27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</row>
    <row r="22" spans="2:60">
      <c r="B22" s="124">
        <v>46143</v>
      </c>
      <c r="C22" s="125" t="s">
        <v>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4">
        <v>0</v>
      </c>
      <c r="AB22" s="126">
        <f t="shared" si="0"/>
        <v>0</v>
      </c>
      <c r="AC22" s="126">
        <v>19</v>
      </c>
      <c r="AD22" s="127">
        <f>(AB22*AC22)+(AB23*AC23)+(AB24*AC24)+(AB25*AC25)</f>
        <v>0</v>
      </c>
      <c r="AE22" s="27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</row>
    <row r="23" spans="2:60">
      <c r="B23" s="128"/>
      <c r="C23" s="129" t="s">
        <v>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5">
        <v>0</v>
      </c>
      <c r="AB23" s="130">
        <f t="shared" si="0"/>
        <v>0</v>
      </c>
      <c r="AC23" s="130">
        <v>5</v>
      </c>
      <c r="AD23" s="131"/>
      <c r="AE23" s="27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</row>
    <row r="24" spans="2:60">
      <c r="B24" s="128"/>
      <c r="C24" s="129" t="s">
        <v>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5">
        <v>0</v>
      </c>
      <c r="AB24" s="130">
        <f t="shared" si="0"/>
        <v>0</v>
      </c>
      <c r="AC24" s="130">
        <v>5</v>
      </c>
      <c r="AD24" s="131"/>
      <c r="AE24" s="27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</row>
    <row r="25" spans="2:60" ht="15" thickBot="1">
      <c r="B25" s="132"/>
      <c r="C25" s="133" t="s">
        <v>8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6">
        <v>0</v>
      </c>
      <c r="AB25" s="134">
        <f t="shared" si="0"/>
        <v>0</v>
      </c>
      <c r="AC25" s="134">
        <v>2</v>
      </c>
      <c r="AD25" s="135"/>
      <c r="AE25" s="27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</row>
    <row r="26" spans="2:60">
      <c r="B26" s="124">
        <v>46174</v>
      </c>
      <c r="C26" s="125" t="s">
        <v>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4">
        <v>0</v>
      </c>
      <c r="AB26" s="126">
        <f t="shared" si="0"/>
        <v>0</v>
      </c>
      <c r="AC26" s="126">
        <v>19</v>
      </c>
      <c r="AD26" s="127">
        <f>(AB26*AC26)+(AB27*AC27)+(AB28*AC28)+(AB29*AC29)</f>
        <v>0</v>
      </c>
      <c r="AE26" s="27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</row>
    <row r="27" spans="2:60">
      <c r="B27" s="128"/>
      <c r="C27" s="129" t="s">
        <v>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5">
        <v>0</v>
      </c>
      <c r="AB27" s="130">
        <f t="shared" si="0"/>
        <v>0</v>
      </c>
      <c r="AC27" s="130">
        <v>4</v>
      </c>
      <c r="AD27" s="131"/>
      <c r="AE27" s="27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</row>
    <row r="28" spans="2:60">
      <c r="B28" s="128"/>
      <c r="C28" s="129" t="s">
        <v>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5">
        <v>0</v>
      </c>
      <c r="AB28" s="130">
        <f t="shared" si="0"/>
        <v>0</v>
      </c>
      <c r="AC28" s="130">
        <v>4</v>
      </c>
      <c r="AD28" s="131"/>
      <c r="AE28" s="27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</row>
    <row r="29" spans="2:60" ht="15" thickBot="1">
      <c r="B29" s="132"/>
      <c r="C29" s="133" t="s">
        <v>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6">
        <v>0</v>
      </c>
      <c r="AB29" s="134">
        <f t="shared" si="0"/>
        <v>0</v>
      </c>
      <c r="AC29" s="134">
        <v>3</v>
      </c>
      <c r="AD29" s="135"/>
      <c r="AE29" s="27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</row>
    <row r="30" spans="2:60">
      <c r="B30" s="124">
        <v>46204</v>
      </c>
      <c r="C30" s="125" t="s">
        <v>5</v>
      </c>
      <c r="D30" s="2">
        <v>5576.6516278824165</v>
      </c>
      <c r="E30" s="2">
        <v>5090.2736196538499</v>
      </c>
      <c r="F30" s="2">
        <v>5090.2736196538499</v>
      </c>
      <c r="G30" s="2">
        <v>5090.2736196538499</v>
      </c>
      <c r="H30" s="2">
        <v>5576.6516278824165</v>
      </c>
      <c r="I30" s="2">
        <v>7035.7856525681236</v>
      </c>
      <c r="J30" s="2">
        <v>5670.5167353703</v>
      </c>
      <c r="K30" s="2">
        <v>3460.6634320211729</v>
      </c>
      <c r="L30" s="2">
        <v>2379.9816244907647</v>
      </c>
      <c r="M30" s="2">
        <v>1896.009863907901</v>
      </c>
      <c r="N30" s="2">
        <v>1441.550457918454</v>
      </c>
      <c r="O30" s="2">
        <v>1301.0174193548387</v>
      </c>
      <c r="P30" s="2">
        <v>1889.2876075537083</v>
      </c>
      <c r="Q30" s="2">
        <v>1301.0174193548387</v>
      </c>
      <c r="R30" s="2">
        <v>1301.0174193548387</v>
      </c>
      <c r="S30" s="2">
        <v>1301.0174193548387</v>
      </c>
      <c r="T30" s="2">
        <v>1301.0174193548387</v>
      </c>
      <c r="U30" s="2">
        <v>1301.0174193548387</v>
      </c>
      <c r="V30" s="2">
        <v>1301.0174193548387</v>
      </c>
      <c r="W30" s="2">
        <v>1620.6412262054723</v>
      </c>
      <c r="X30" s="2">
        <v>2873.821461216839</v>
      </c>
      <c r="Y30" s="2">
        <v>4480.435060346399</v>
      </c>
      <c r="Z30" s="2">
        <v>5652.129113591538</v>
      </c>
      <c r="AA30" s="4">
        <v>6269.4101729736758</v>
      </c>
      <c r="AB30" s="126">
        <f t="shared" si="0"/>
        <v>80201.478458374593</v>
      </c>
      <c r="AC30" s="126">
        <v>21</v>
      </c>
      <c r="AD30" s="127">
        <f>(AB30*AC30)+(AB31*AC31)+(AB32*AC32)+(AB33*AC33)</f>
        <v>3195152.6015416258</v>
      </c>
      <c r="AE30" s="27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</row>
    <row r="31" spans="2:60">
      <c r="B31" s="128"/>
      <c r="C31" s="129" t="s">
        <v>6</v>
      </c>
      <c r="D31" s="1">
        <v>7345.1281737178615</v>
      </c>
      <c r="E31" s="1">
        <v>6891.6013513046037</v>
      </c>
      <c r="F31" s="1">
        <v>6438.0745288913495</v>
      </c>
      <c r="G31" s="1">
        <v>5984.5477064780935</v>
      </c>
      <c r="H31" s="1">
        <v>6438.0745288913495</v>
      </c>
      <c r="I31" s="1">
        <v>6891.6013513046037</v>
      </c>
      <c r="J31" s="1">
        <v>6500.9487141799091</v>
      </c>
      <c r="K31" s="1">
        <v>5442.1868804308433</v>
      </c>
      <c r="L31" s="1">
        <v>5140.83348083897</v>
      </c>
      <c r="M31" s="1">
        <v>4737.7296179923069</v>
      </c>
      <c r="N31" s="1">
        <v>4061.2102197611989</v>
      </c>
      <c r="O31" s="1">
        <v>4438.3624222099879</v>
      </c>
      <c r="P31" s="1">
        <v>5397.8734207476755</v>
      </c>
      <c r="Q31" s="1">
        <v>5576.2918386572528</v>
      </c>
      <c r="R31" s="1">
        <v>5854.0496846629685</v>
      </c>
      <c r="S31" s="1">
        <v>5604.6301066834712</v>
      </c>
      <c r="T31" s="1">
        <v>5344.1235977880315</v>
      </c>
      <c r="U31" s="1">
        <v>2443.5125900582511</v>
      </c>
      <c r="V31" s="1">
        <v>2675.7097770950054</v>
      </c>
      <c r="W31" s="1">
        <v>3781.5879947667158</v>
      </c>
      <c r="X31" s="1">
        <v>5334.6582006438148</v>
      </c>
      <c r="Y31" s="1">
        <v>6542.6369643538856</v>
      </c>
      <c r="Z31" s="1">
        <v>7345.1281737178615</v>
      </c>
      <c r="AA31" s="5">
        <v>6891.6013513046037</v>
      </c>
      <c r="AB31" s="130">
        <f t="shared" si="0"/>
        <v>133102.10267648063</v>
      </c>
      <c r="AC31" s="130">
        <v>4</v>
      </c>
      <c r="AD31" s="131"/>
      <c r="AE31" s="27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</row>
    <row r="32" spans="2:60">
      <c r="B32" s="128"/>
      <c r="C32" s="129" t="s">
        <v>4</v>
      </c>
      <c r="D32" s="1">
        <v>7099.2413016322553</v>
      </c>
      <c r="E32" s="1">
        <v>6687.9899355170364</v>
      </c>
      <c r="F32" s="1">
        <v>6276.7385694018158</v>
      </c>
      <c r="G32" s="1">
        <v>6276.7385694018158</v>
      </c>
      <c r="H32" s="1">
        <v>6276.7385694018158</v>
      </c>
      <c r="I32" s="1">
        <v>5865.4872032866006</v>
      </c>
      <c r="J32" s="1">
        <v>6276.7385694018158</v>
      </c>
      <c r="K32" s="1">
        <v>7079.0809683938423</v>
      </c>
      <c r="L32" s="1">
        <v>7490.3323345090557</v>
      </c>
      <c r="M32" s="1">
        <v>8312.8350667394971</v>
      </c>
      <c r="N32" s="1">
        <v>8293.9320752509648</v>
      </c>
      <c r="O32" s="1">
        <v>8593.1684790620493</v>
      </c>
      <c r="P32" s="1">
        <v>9102.6107977399333</v>
      </c>
      <c r="Q32" s="1">
        <v>9200.1332604932231</v>
      </c>
      <c r="R32" s="1">
        <v>9487.6723717384739</v>
      </c>
      <c r="S32" s="1">
        <v>10390.122906613564</v>
      </c>
      <c r="T32" s="1">
        <v>10480.550391924486</v>
      </c>
      <c r="U32" s="1">
        <v>8800.8670502249443</v>
      </c>
      <c r="V32" s="1">
        <v>8946.1053940644852</v>
      </c>
      <c r="W32" s="1">
        <v>9407.210575336263</v>
      </c>
      <c r="X32" s="1">
        <v>10008.880017208447</v>
      </c>
      <c r="Y32" s="1">
        <v>9155.4981322083404</v>
      </c>
      <c r="Z32" s="1">
        <v>8332.99539997791</v>
      </c>
      <c r="AA32" s="5">
        <v>7510.4926677474705</v>
      </c>
      <c r="AB32" s="130">
        <f t="shared" si="0"/>
        <v>195352.16060727611</v>
      </c>
      <c r="AC32" s="130">
        <v>4</v>
      </c>
      <c r="AD32" s="131"/>
      <c r="AE32" s="27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</row>
    <row r="33" spans="2:60" ht="15" thickBot="1">
      <c r="B33" s="132"/>
      <c r="C33" s="133" t="s">
        <v>8</v>
      </c>
      <c r="D33" s="3">
        <v>7200.0264194525407</v>
      </c>
      <c r="E33" s="3">
        <v>6786.1228133946825</v>
      </c>
      <c r="F33" s="3">
        <v>6372.2192073368205</v>
      </c>
      <c r="G33" s="3">
        <v>5958.3156012789696</v>
      </c>
      <c r="H33" s="3">
        <v>5958.3156012789696</v>
      </c>
      <c r="I33" s="3">
        <v>5958.3156012789696</v>
      </c>
      <c r="J33" s="3">
        <v>6372.2192073368205</v>
      </c>
      <c r="K33" s="3">
        <v>6765.9624801562677</v>
      </c>
      <c r="L33" s="3">
        <v>7593.7696922719842</v>
      </c>
      <c r="M33" s="3">
        <v>8421.5769043877008</v>
      </c>
      <c r="N33" s="3">
        <v>9249.3841165034137</v>
      </c>
      <c r="O33" s="3">
        <v>9663.2877225612719</v>
      </c>
      <c r="P33" s="3">
        <v>9663.2877225612719</v>
      </c>
      <c r="Q33" s="3">
        <v>10077.19132861913</v>
      </c>
      <c r="R33" s="3">
        <v>10077.19132861913</v>
      </c>
      <c r="S33" s="3">
        <v>10491.094934676987</v>
      </c>
      <c r="T33" s="3">
        <v>10491.094934676987</v>
      </c>
      <c r="U33" s="3">
        <v>8533.0628829358247</v>
      </c>
      <c r="V33" s="3">
        <v>8287.5260118776823</v>
      </c>
      <c r="W33" s="3">
        <v>9096.6115214500423</v>
      </c>
      <c r="X33" s="3">
        <v>9590.520247314329</v>
      </c>
      <c r="Y33" s="3">
        <v>9269.5444497418266</v>
      </c>
      <c r="Z33" s="3">
        <v>8027.8336315682573</v>
      </c>
      <c r="AA33" s="6">
        <v>7200.0264194525407</v>
      </c>
      <c r="AB33" s="134">
        <f t="shared" si="0"/>
        <v>197104.50078073246</v>
      </c>
      <c r="AC33" s="134">
        <v>1</v>
      </c>
      <c r="AD33" s="135"/>
      <c r="AE33" s="27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</row>
    <row r="34" spans="2:60">
      <c r="B34" s="124">
        <v>46235</v>
      </c>
      <c r="C34" s="125" t="s">
        <v>5</v>
      </c>
      <c r="D34" s="2">
        <v>5211.0246744403157</v>
      </c>
      <c r="E34" s="2">
        <v>4727.6595736621148</v>
      </c>
      <c r="F34" s="2">
        <v>4727.6595736621148</v>
      </c>
      <c r="G34" s="2">
        <v>4727.6595736621148</v>
      </c>
      <c r="H34" s="2">
        <v>5211.0246744403157</v>
      </c>
      <c r="I34" s="2">
        <v>6661.1199767749131</v>
      </c>
      <c r="J34" s="2">
        <v>4774.5380670455615</v>
      </c>
      <c r="K34" s="2">
        <v>2460.5991860504969</v>
      </c>
      <c r="L34" s="2">
        <v>1336.9466265037995</v>
      </c>
      <c r="M34" s="2">
        <v>1032.2002150537633</v>
      </c>
      <c r="N34" s="2">
        <v>1032.2002150537633</v>
      </c>
      <c r="O34" s="2">
        <v>1032.2002150537633</v>
      </c>
      <c r="P34" s="2">
        <v>1032.2002150537633</v>
      </c>
      <c r="Q34" s="2">
        <v>1032.2002150537633</v>
      </c>
      <c r="R34" s="2">
        <v>1032.2002150537633</v>
      </c>
      <c r="S34" s="2">
        <v>1032.2002150537633</v>
      </c>
      <c r="T34" s="2">
        <v>1032.2002150537633</v>
      </c>
      <c r="U34" s="2">
        <v>1032.2002150537633</v>
      </c>
      <c r="V34" s="2">
        <v>1032.2002150537633</v>
      </c>
      <c r="W34" s="2">
        <v>1032.2002150537633</v>
      </c>
      <c r="X34" s="2">
        <v>1953.0134304770804</v>
      </c>
      <c r="Y34" s="2">
        <v>3609.550054793393</v>
      </c>
      <c r="Z34" s="2">
        <v>4818.1472312239966</v>
      </c>
      <c r="AA34" s="4">
        <v>5454.0036691453715</v>
      </c>
      <c r="AB34" s="126">
        <f t="shared" si="0"/>
        <v>67027.148677473015</v>
      </c>
      <c r="AC34" s="126">
        <v>19</v>
      </c>
      <c r="AD34" s="127">
        <f>(AB34*AC34)+(AB35*AC35)+(AB36*AC36)+(AB37*AC37)</f>
        <v>3152670.34</v>
      </c>
      <c r="AE34" s="27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</row>
    <row r="35" spans="2:60">
      <c r="B35" s="128"/>
      <c r="C35" s="129" t="s">
        <v>6</v>
      </c>
      <c r="D35" s="1">
        <v>6961.4784392470647</v>
      </c>
      <c r="E35" s="1">
        <v>6522.5738006497777</v>
      </c>
      <c r="F35" s="1">
        <v>6071.7168286269152</v>
      </c>
      <c r="G35" s="1">
        <v>5620.8598566040564</v>
      </c>
      <c r="H35" s="1">
        <v>6071.7168286269152</v>
      </c>
      <c r="I35" s="1">
        <v>6522.5738006497777</v>
      </c>
      <c r="J35" s="1">
        <v>5635.7624212689334</v>
      </c>
      <c r="K35" s="1">
        <v>4510.6262029382415</v>
      </c>
      <c r="L35" s="1">
        <v>4191.612655645311</v>
      </c>
      <c r="M35" s="1">
        <v>3769.146236737542</v>
      </c>
      <c r="N35" s="1">
        <v>3068.2752210543454</v>
      </c>
      <c r="O35" s="1">
        <v>3450.0276671752958</v>
      </c>
      <c r="P35" s="1">
        <v>4433.2396510244271</v>
      </c>
      <c r="Q35" s="1">
        <v>4625.4692717788275</v>
      </c>
      <c r="R35" s="1">
        <v>4919.9584529106014</v>
      </c>
      <c r="S35" s="1">
        <v>4673.513712018279</v>
      </c>
      <c r="T35" s="1">
        <v>4413.2974812746488</v>
      </c>
      <c r="U35" s="1">
        <v>1514.7124890384425</v>
      </c>
      <c r="V35" s="1">
        <v>1757.1617659706458</v>
      </c>
      <c r="W35" s="1">
        <v>2897.5786559066014</v>
      </c>
      <c r="X35" s="1">
        <v>4494.4549441444724</v>
      </c>
      <c r="Y35" s="1">
        <v>5739.5779164240121</v>
      </c>
      <c r="Z35" s="1">
        <v>6935.5739485902632</v>
      </c>
      <c r="AA35" s="5">
        <v>6522.5738006497777</v>
      </c>
      <c r="AB35" s="130">
        <f t="shared" si="0"/>
        <v>115323.48204895516</v>
      </c>
      <c r="AC35" s="130">
        <v>5</v>
      </c>
      <c r="AD35" s="131"/>
      <c r="AE35" s="27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</row>
    <row r="36" spans="2:60">
      <c r="B36" s="128"/>
      <c r="C36" s="129" t="s">
        <v>7</v>
      </c>
      <c r="D36" s="1">
        <v>6735.8691436181125</v>
      </c>
      <c r="E36" s="1">
        <v>6326.8577648879655</v>
      </c>
      <c r="F36" s="1">
        <v>5917.8463861578202</v>
      </c>
      <c r="G36" s="1">
        <v>5917.8463861578202</v>
      </c>
      <c r="H36" s="1">
        <v>5917.8463861578202</v>
      </c>
      <c r="I36" s="1">
        <v>5508.835007427675</v>
      </c>
      <c r="J36" s="1">
        <v>5917.8463861578202</v>
      </c>
      <c r="K36" s="1">
        <v>6715.7305205470075</v>
      </c>
      <c r="L36" s="1">
        <v>7124.7418992771527</v>
      </c>
      <c r="M36" s="1">
        <v>7942.7646567374504</v>
      </c>
      <c r="N36" s="1">
        <v>8019.3123974219343</v>
      </c>
      <c r="O36" s="1">
        <v>8316.4294400074305</v>
      </c>
      <c r="P36" s="1">
        <v>8760.7874141977372</v>
      </c>
      <c r="Q36" s="1">
        <v>8920.943475087377</v>
      </c>
      <c r="R36" s="1">
        <v>9206.3758216338738</v>
      </c>
      <c r="S36" s="1">
        <v>10104.260287915335</v>
      </c>
      <c r="T36" s="1">
        <v>10194.590394090104</v>
      </c>
      <c r="U36" s="1">
        <v>8078.7509111774016</v>
      </c>
      <c r="V36" s="1">
        <v>8226.9374224964995</v>
      </c>
      <c r="W36" s="1">
        <v>8702.0658189012829</v>
      </c>
      <c r="X36" s="1">
        <v>9321.5523189709529</v>
      </c>
      <c r="Y36" s="1">
        <v>8780.9260372688441</v>
      </c>
      <c r="Z36" s="1">
        <v>7962.9032798085555</v>
      </c>
      <c r="AA36" s="5">
        <v>7144.8805223482595</v>
      </c>
      <c r="AB36" s="130">
        <f t="shared" si="0"/>
        <v>185766.90007845225</v>
      </c>
      <c r="AC36" s="130">
        <v>5</v>
      </c>
      <c r="AD36" s="131"/>
      <c r="AE36" s="27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</row>
    <row r="37" spans="2:60" ht="15" thickBot="1">
      <c r="B37" s="132"/>
      <c r="C37" s="133" t="s">
        <v>8</v>
      </c>
      <c r="D37" s="3">
        <v>6835.8462123905356</v>
      </c>
      <c r="E37" s="3">
        <v>6424.2038581663783</v>
      </c>
      <c r="F37" s="3">
        <v>6012.5615039422173</v>
      </c>
      <c r="G37" s="3">
        <v>5600.9191497180618</v>
      </c>
      <c r="H37" s="3">
        <v>5600.9191497180618</v>
      </c>
      <c r="I37" s="3">
        <v>5600.9191497180618</v>
      </c>
      <c r="J37" s="3">
        <v>6012.5615039422173</v>
      </c>
      <c r="K37" s="3">
        <v>6404.0652350952696</v>
      </c>
      <c r="L37" s="3">
        <v>7227.3499435435879</v>
      </c>
      <c r="M37" s="3">
        <v>8050.6346519919043</v>
      </c>
      <c r="N37" s="3">
        <v>8873.9193604402171</v>
      </c>
      <c r="O37" s="3">
        <v>9285.5617146643781</v>
      </c>
      <c r="P37" s="3">
        <v>9285.5617146643781</v>
      </c>
      <c r="Q37" s="3">
        <v>9697.2040688885318</v>
      </c>
      <c r="R37" s="3">
        <v>9697.2040688885318</v>
      </c>
      <c r="S37" s="3">
        <v>10108.846423112689</v>
      </c>
      <c r="T37" s="3">
        <v>10108.846423112689</v>
      </c>
      <c r="U37" s="3">
        <v>7802.8155779193294</v>
      </c>
      <c r="V37" s="3">
        <v>7551.6928560226697</v>
      </c>
      <c r="W37" s="3">
        <v>8386.135879852045</v>
      </c>
      <c r="X37" s="3">
        <v>8894.4986829555419</v>
      </c>
      <c r="Y37" s="3">
        <v>8894.057983511324</v>
      </c>
      <c r="Z37" s="3">
        <v>7659.130920838852</v>
      </c>
      <c r="AA37" s="6">
        <v>6835.8462123905356</v>
      </c>
      <c r="AB37" s="134">
        <f t="shared" si="0"/>
        <v>186851.30224548804</v>
      </c>
      <c r="AC37" s="134">
        <v>2</v>
      </c>
      <c r="AD37" s="135"/>
      <c r="AE37" s="27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</row>
    <row r="38" spans="2:60">
      <c r="B38" s="124">
        <v>46266</v>
      </c>
      <c r="C38" s="125" t="s">
        <v>5</v>
      </c>
      <c r="D38" s="2">
        <v>6688.1548633954599</v>
      </c>
      <c r="E38" s="2">
        <v>6206.5787449252848</v>
      </c>
      <c r="F38" s="2">
        <v>6206.5787449252848</v>
      </c>
      <c r="G38" s="2">
        <v>6206.5787449252848</v>
      </c>
      <c r="H38" s="2">
        <v>6688.1548633954599</v>
      </c>
      <c r="I38" s="2">
        <v>8132.8832188059869</v>
      </c>
      <c r="J38" s="2">
        <v>6871.2695929826159</v>
      </c>
      <c r="K38" s="2">
        <v>4577.9213148081699</v>
      </c>
      <c r="L38" s="2">
        <v>3462.502957606016</v>
      </c>
      <c r="M38" s="2">
        <v>2961.0833280257239</v>
      </c>
      <c r="N38" s="2">
        <v>2491.4031737406713</v>
      </c>
      <c r="O38" s="2">
        <v>2301.9829567364304</v>
      </c>
      <c r="P38" s="2">
        <v>2940.1524082792694</v>
      </c>
      <c r="Q38" s="2">
        <v>2255.147724578992</v>
      </c>
      <c r="R38" s="2">
        <v>2077.4511111111105</v>
      </c>
      <c r="S38" s="2">
        <v>2077.4511111111105</v>
      </c>
      <c r="T38" s="2">
        <v>2077.4511111111105</v>
      </c>
      <c r="U38" s="2">
        <v>2077.4511111111105</v>
      </c>
      <c r="V38" s="2">
        <v>2077.4511111111105</v>
      </c>
      <c r="W38" s="2">
        <v>2765.5641097884891</v>
      </c>
      <c r="X38" s="2">
        <v>4050.8914090109838</v>
      </c>
      <c r="Y38" s="2">
        <v>5698.4872278387202</v>
      </c>
      <c r="Z38" s="2">
        <v>6900.4270743969437</v>
      </c>
      <c r="AA38" s="4">
        <v>7532.9859911705689</v>
      </c>
      <c r="AB38" s="126">
        <f t="shared" si="0"/>
        <v>105326.00400489189</v>
      </c>
      <c r="AC38" s="126">
        <v>22</v>
      </c>
      <c r="AD38" s="127">
        <f>(AB38*AC38)+(AB39*AC39)+(AB40*AC40)+(AB41*AC41)</f>
        <v>3863338.96</v>
      </c>
      <c r="AE38" s="27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</row>
    <row r="39" spans="2:60">
      <c r="B39" s="128"/>
      <c r="C39" s="129" t="s">
        <v>6</v>
      </c>
      <c r="D39" s="1">
        <v>8481.2595471894747</v>
      </c>
      <c r="E39" s="1">
        <v>8031.0077723486384</v>
      </c>
      <c r="F39" s="1">
        <v>7580.7559975078084</v>
      </c>
      <c r="G39" s="1">
        <v>7130.5042226669748</v>
      </c>
      <c r="H39" s="1">
        <v>7580.7559975078084</v>
      </c>
      <c r="I39" s="1">
        <v>8031.0077723486384</v>
      </c>
      <c r="J39" s="1">
        <v>7722.8628615678854</v>
      </c>
      <c r="K39" s="1">
        <v>6611.131348687607</v>
      </c>
      <c r="L39" s="1">
        <v>6295.647801513157</v>
      </c>
      <c r="M39" s="1">
        <v>5876.9463411445313</v>
      </c>
      <c r="N39" s="1">
        <v>5180.5152289538282</v>
      </c>
      <c r="O39" s="1">
        <v>5561.8722223912619</v>
      </c>
      <c r="P39" s="1">
        <v>6541.2970945760853</v>
      </c>
      <c r="Q39" s="1">
        <v>6730.6756763116309</v>
      </c>
      <c r="R39" s="1">
        <v>7021.8112852866388</v>
      </c>
      <c r="S39" s="1">
        <v>6774.2530952560146</v>
      </c>
      <c r="T39" s="1">
        <v>6513.5195097281403</v>
      </c>
      <c r="U39" s="1">
        <v>3609.551784859701</v>
      </c>
      <c r="V39" s="1">
        <v>3849.9262630645617</v>
      </c>
      <c r="W39" s="1">
        <v>4984.269836424578</v>
      </c>
      <c r="X39" s="1">
        <v>6573.8533710693528</v>
      </c>
      <c r="Y39" s="1">
        <v>7812.5588741447036</v>
      </c>
      <c r="Z39" s="1">
        <v>8481.2595471894747</v>
      </c>
      <c r="AA39" s="5">
        <v>8031.0077723486384</v>
      </c>
      <c r="AB39" s="130">
        <f t="shared" si="0"/>
        <v>161008.25122408714</v>
      </c>
      <c r="AC39" s="130">
        <v>4</v>
      </c>
      <c r="AD39" s="131"/>
      <c r="AE39" s="27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</row>
    <row r="40" spans="2:60">
      <c r="B40" s="128"/>
      <c r="C40" s="129" t="s">
        <v>7</v>
      </c>
      <c r="D40" s="1">
        <v>8296.410893425742</v>
      </c>
      <c r="E40" s="1">
        <v>7886.5697495924442</v>
      </c>
      <c r="F40" s="1">
        <v>7476.7286057591436</v>
      </c>
      <c r="G40" s="1">
        <v>7476.7286057591436</v>
      </c>
      <c r="H40" s="1">
        <v>7476.7286057591436</v>
      </c>
      <c r="I40" s="1">
        <v>7066.8874619258468</v>
      </c>
      <c r="J40" s="1">
        <v>7476.7286057591436</v>
      </c>
      <c r="K40" s="1">
        <v>8276.233176357553</v>
      </c>
      <c r="L40" s="1">
        <v>8686.0743201908517</v>
      </c>
      <c r="M40" s="1">
        <v>9505.7566078574528</v>
      </c>
      <c r="N40" s="1">
        <v>9639.9412284383397</v>
      </c>
      <c r="O40" s="1">
        <v>9937.6708218300992</v>
      </c>
      <c r="P40" s="1">
        <v>10325.43889552405</v>
      </c>
      <c r="Q40" s="1">
        <v>10543.394140525954</v>
      </c>
      <c r="R40" s="1">
        <v>10829.416355023423</v>
      </c>
      <c r="S40" s="1">
        <v>11729.115382637232</v>
      </c>
      <c r="T40" s="1">
        <v>11819.620841659853</v>
      </c>
      <c r="U40" s="1">
        <v>10125.078097898837</v>
      </c>
      <c r="V40" s="1">
        <v>10272.83878704008</v>
      </c>
      <c r="W40" s="1">
        <v>10745.770181745964</v>
      </c>
      <c r="X40" s="1">
        <v>11362.53240952007</v>
      </c>
      <c r="Y40" s="1">
        <v>10345.616612592243</v>
      </c>
      <c r="Z40" s="1">
        <v>9525.9343249256453</v>
      </c>
      <c r="AA40" s="5">
        <v>8706.2520372590443</v>
      </c>
      <c r="AB40" s="130">
        <f t="shared" si="0"/>
        <v>225533.46674900729</v>
      </c>
      <c r="AC40" s="130">
        <v>4</v>
      </c>
      <c r="AD40" s="131"/>
      <c r="AE40" s="27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</row>
    <row r="41" spans="2:60" ht="15" thickBot="1">
      <c r="B41" s="132"/>
      <c r="C41" s="133" t="s">
        <v>8</v>
      </c>
      <c r="D41" s="3">
        <v>2077.4511111111105</v>
      </c>
      <c r="E41" s="3">
        <v>2077.4511111111105</v>
      </c>
      <c r="F41" s="3">
        <v>2077.4511111111105</v>
      </c>
      <c r="G41" s="3">
        <v>2077.4511111111105</v>
      </c>
      <c r="H41" s="3">
        <v>2077.4511111111105</v>
      </c>
      <c r="I41" s="3">
        <v>2077.4511111111105</v>
      </c>
      <c r="J41" s="3">
        <v>2077.4511111111105</v>
      </c>
      <c r="K41" s="3">
        <v>2077.4511111111105</v>
      </c>
      <c r="L41" s="3">
        <v>2077.4511111111105</v>
      </c>
      <c r="M41" s="3">
        <v>2077.4511111111105</v>
      </c>
      <c r="N41" s="3">
        <v>2077.4511111111105</v>
      </c>
      <c r="O41" s="3">
        <v>2077.4511111111105</v>
      </c>
      <c r="P41" s="3">
        <v>2077.4511111111105</v>
      </c>
      <c r="Q41" s="3">
        <v>2077.4511111111105</v>
      </c>
      <c r="R41" s="3">
        <v>2077.4511111111105</v>
      </c>
      <c r="S41" s="3">
        <v>2077.4511111111105</v>
      </c>
      <c r="T41" s="3">
        <v>2077.4511111111105</v>
      </c>
      <c r="U41" s="3">
        <v>2077.4511111111105</v>
      </c>
      <c r="V41" s="3">
        <v>2077.4511111111105</v>
      </c>
      <c r="W41" s="3">
        <v>2077.4511111111105</v>
      </c>
      <c r="X41" s="3">
        <v>2077.4511111111105</v>
      </c>
      <c r="Y41" s="3">
        <v>2077.4511111111105</v>
      </c>
      <c r="Z41" s="3">
        <v>2077.4511111111105</v>
      </c>
      <c r="AA41" s="6">
        <v>2077.4511111111105</v>
      </c>
      <c r="AB41" s="134">
        <f t="shared" si="0"/>
        <v>49858.826666666668</v>
      </c>
      <c r="AC41" s="134">
        <v>0</v>
      </c>
      <c r="AD41" s="135"/>
      <c r="AE41" s="27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</row>
    <row r="42" spans="2:60">
      <c r="B42" s="124">
        <v>46296</v>
      </c>
      <c r="C42" s="125" t="s">
        <v>5</v>
      </c>
      <c r="D42" s="2">
        <v>7481.2913889669762</v>
      </c>
      <c r="E42" s="2">
        <v>6985.9398672554216</v>
      </c>
      <c r="F42" s="2">
        <v>6985.9398672554216</v>
      </c>
      <c r="G42" s="2">
        <v>6985.9398672554216</v>
      </c>
      <c r="H42" s="2">
        <v>7481.2913889669762</v>
      </c>
      <c r="I42" s="2">
        <v>8967.3459541016273</v>
      </c>
      <c r="J42" s="2">
        <v>6877.6555079794598</v>
      </c>
      <c r="K42" s="2">
        <v>4502.4549259998948</v>
      </c>
      <c r="L42" s="2">
        <v>3353.0329678288849</v>
      </c>
      <c r="M42" s="2">
        <v>2834.5285524631231</v>
      </c>
      <c r="N42" s="2">
        <v>2497.2539784946234</v>
      </c>
      <c r="O42" s="2">
        <v>2497.2539784946234</v>
      </c>
      <c r="P42" s="2">
        <v>2799.3505375191567</v>
      </c>
      <c r="Q42" s="2">
        <v>2497.2539784946234</v>
      </c>
      <c r="R42" s="2">
        <v>2497.2539784946234</v>
      </c>
      <c r="S42" s="2">
        <v>2497.2539784946234</v>
      </c>
      <c r="T42" s="2">
        <v>2497.2539784946234</v>
      </c>
      <c r="U42" s="2">
        <v>2497.2539784946234</v>
      </c>
      <c r="V42" s="2">
        <v>2497.2539784946234</v>
      </c>
      <c r="W42" s="2">
        <v>2718.4801224538392</v>
      </c>
      <c r="X42" s="2">
        <v>4035.0680119265576</v>
      </c>
      <c r="Y42" s="2">
        <v>5722.5420469782293</v>
      </c>
      <c r="Z42" s="2">
        <v>6953.9623763323725</v>
      </c>
      <c r="AA42" s="4">
        <v>7601.3853222050384</v>
      </c>
      <c r="AB42" s="126">
        <f t="shared" si="0"/>
        <v>112264.24053344541</v>
      </c>
      <c r="AC42" s="126">
        <v>21</v>
      </c>
      <c r="AD42" s="127">
        <f>(AB42*AC42)+(AB43*AC43)+(AB44*AC44)+(AB45*AC45)</f>
        <v>4394273.82</v>
      </c>
      <c r="AE42" s="27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</row>
    <row r="43" spans="2:60">
      <c r="B43" s="128"/>
      <c r="C43" s="129" t="s">
        <v>6</v>
      </c>
      <c r="D43" s="1">
        <v>9109.6347381313826</v>
      </c>
      <c r="E43" s="1">
        <v>8804.5050248125954</v>
      </c>
      <c r="F43" s="1">
        <v>8343.0812670043397</v>
      </c>
      <c r="G43" s="1">
        <v>7881.6575091960876</v>
      </c>
      <c r="H43" s="1">
        <v>8343.0812670043397</v>
      </c>
      <c r="I43" s="1">
        <v>8804.5050248125954</v>
      </c>
      <c r="J43" s="1">
        <v>7757.5051709122745</v>
      </c>
      <c r="K43" s="1">
        <v>6594.2985955271943</v>
      </c>
      <c r="L43" s="1">
        <v>6265.0997795998137</v>
      </c>
      <c r="M43" s="1">
        <v>5831.2600728422294</v>
      </c>
      <c r="N43" s="1">
        <v>5115.6031418821385</v>
      </c>
      <c r="O43" s="1">
        <v>5500.8580678474209</v>
      </c>
      <c r="P43" s="1">
        <v>6499.31727669457</v>
      </c>
      <c r="Q43" s="1">
        <v>6699.3497646498145</v>
      </c>
      <c r="R43" s="1">
        <v>7003.4666170693163</v>
      </c>
      <c r="S43" s="1">
        <v>6757.8840872132041</v>
      </c>
      <c r="T43" s="1">
        <v>6497.0804924386121</v>
      </c>
      <c r="U43" s="1">
        <v>3591.3210392123415</v>
      </c>
      <c r="V43" s="1">
        <v>3839.8426350298155</v>
      </c>
      <c r="W43" s="1">
        <v>5001.6462099066885</v>
      </c>
      <c r="X43" s="1">
        <v>6626.0793559088906</v>
      </c>
      <c r="Y43" s="1">
        <v>7894.2576078939674</v>
      </c>
      <c r="Z43" s="1">
        <v>9113.7698028846171</v>
      </c>
      <c r="AA43" s="5">
        <v>8804.5050248125954</v>
      </c>
      <c r="AB43" s="130">
        <f t="shared" si="0"/>
        <v>166679.60957328678</v>
      </c>
      <c r="AC43" s="130">
        <v>5</v>
      </c>
      <c r="AD43" s="131"/>
      <c r="AE43" s="27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</row>
    <row r="44" spans="2:60">
      <c r="B44" s="128"/>
      <c r="C44" s="129" t="s">
        <v>7</v>
      </c>
      <c r="D44" s="1">
        <v>8992.5738541049759</v>
      </c>
      <c r="E44" s="1">
        <v>8574.7718384530526</v>
      </c>
      <c r="F44" s="1">
        <v>8156.969822801133</v>
      </c>
      <c r="G44" s="1">
        <v>8156.969822801133</v>
      </c>
      <c r="H44" s="1">
        <v>8156.969822801133</v>
      </c>
      <c r="I44" s="1">
        <v>7739.167807149217</v>
      </c>
      <c r="J44" s="1">
        <v>8156.969822801133</v>
      </c>
      <c r="K44" s="1">
        <v>8972.3893971870821</v>
      </c>
      <c r="L44" s="1">
        <v>9390.1914128390035</v>
      </c>
      <c r="M44" s="1">
        <v>10225.79544414285</v>
      </c>
      <c r="N44" s="1">
        <v>10371.535528057106</v>
      </c>
      <c r="O44" s="1">
        <v>10677.188545274877</v>
      </c>
      <c r="P44" s="1">
        <v>11061.399475446695</v>
      </c>
      <c r="Q44" s="1">
        <v>11290.938165213958</v>
      </c>
      <c r="R44" s="1">
        <v>11584.879892987308</v>
      </c>
      <c r="S44" s="1">
        <v>12500.527391781368</v>
      </c>
      <c r="T44" s="1">
        <v>12591.063081835026</v>
      </c>
      <c r="U44" s="1">
        <v>10282.602376988141</v>
      </c>
      <c r="V44" s="1">
        <v>10432.757763581476</v>
      </c>
      <c r="W44" s="1">
        <v>10916.604055358619</v>
      </c>
      <c r="X44" s="1">
        <v>11547.212986576718</v>
      </c>
      <c r="Y44" s="1">
        <v>11081.583932364589</v>
      </c>
      <c r="Z44" s="1">
        <v>10245.979901060742</v>
      </c>
      <c r="AA44" s="5">
        <v>9410.3758697568956</v>
      </c>
      <c r="AB44" s="130">
        <f t="shared" si="0"/>
        <v>240517.41801136421</v>
      </c>
      <c r="AC44" s="130">
        <v>4</v>
      </c>
      <c r="AD44" s="131"/>
      <c r="AE44" s="27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</row>
    <row r="45" spans="2:60" ht="15" thickBot="1">
      <c r="B45" s="132"/>
      <c r="C45" s="133" t="s">
        <v>8</v>
      </c>
      <c r="D45" s="3">
        <v>9095.8378162402769</v>
      </c>
      <c r="E45" s="3">
        <v>8675.3183279005862</v>
      </c>
      <c r="F45" s="3">
        <v>8254.7988395608954</v>
      </c>
      <c r="G45" s="3">
        <v>7834.2793512212047</v>
      </c>
      <c r="H45" s="3">
        <v>7834.2793512212047</v>
      </c>
      <c r="I45" s="3">
        <v>7834.2793512212047</v>
      </c>
      <c r="J45" s="3">
        <v>8254.7988395608954</v>
      </c>
      <c r="K45" s="3">
        <v>8655.1338709826941</v>
      </c>
      <c r="L45" s="3">
        <v>9496.172847662081</v>
      </c>
      <c r="M45" s="3">
        <v>10337.211824341461</v>
      </c>
      <c r="N45" s="3">
        <v>11178.250801020849</v>
      </c>
      <c r="O45" s="3">
        <v>11598.770289360544</v>
      </c>
      <c r="P45" s="3">
        <v>11598.770289360544</v>
      </c>
      <c r="Q45" s="3">
        <v>12019.289777700231</v>
      </c>
      <c r="R45" s="3">
        <v>12019.289777700231</v>
      </c>
      <c r="S45" s="3">
        <v>12439.809266039923</v>
      </c>
      <c r="T45" s="3">
        <v>12439.809266039923</v>
      </c>
      <c r="U45" s="3">
        <v>10001.610591437358</v>
      </c>
      <c r="V45" s="3">
        <v>9746.8375680995869</v>
      </c>
      <c r="W45" s="3">
        <v>10596.974461216807</v>
      </c>
      <c r="X45" s="3">
        <v>11114.376510768636</v>
      </c>
      <c r="Y45" s="3">
        <v>11198.435257938741</v>
      </c>
      <c r="Z45" s="3">
        <v>9936.8767929196692</v>
      </c>
      <c r="AA45" s="6">
        <v>9095.8378162402769</v>
      </c>
      <c r="AB45" s="134">
        <f t="shared" si="0"/>
        <v>241257.04888575582</v>
      </c>
      <c r="AC45" s="134">
        <v>1</v>
      </c>
      <c r="AD45" s="135"/>
      <c r="AE45" s="27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</row>
    <row r="46" spans="2:60">
      <c r="B46" s="124">
        <v>46327</v>
      </c>
      <c r="C46" s="125" t="s">
        <v>5</v>
      </c>
      <c r="D46" s="2">
        <v>6259.9901284600337</v>
      </c>
      <c r="E46" s="2">
        <v>5782.6155025797862</v>
      </c>
      <c r="F46" s="2">
        <v>5782.6155025797862</v>
      </c>
      <c r="G46" s="2">
        <v>5782.6155025797862</v>
      </c>
      <c r="H46" s="2">
        <v>6259.9901284600337</v>
      </c>
      <c r="I46" s="2">
        <v>7692.1140061007654</v>
      </c>
      <c r="J46" s="2">
        <v>4853.7625025847037</v>
      </c>
      <c r="K46" s="2">
        <v>2326.1657459006137</v>
      </c>
      <c r="L46" s="2">
        <v>1799.6733333333323</v>
      </c>
      <c r="M46" s="2">
        <v>1799.6733333333323</v>
      </c>
      <c r="N46" s="2">
        <v>1799.6733333333323</v>
      </c>
      <c r="O46" s="2">
        <v>1799.6733333333323</v>
      </c>
      <c r="P46" s="2">
        <v>1799.6733333333323</v>
      </c>
      <c r="Q46" s="2">
        <v>1799.6733333333323</v>
      </c>
      <c r="R46" s="2">
        <v>1799.6733333333323</v>
      </c>
      <c r="S46" s="2">
        <v>1799.6733333333323</v>
      </c>
      <c r="T46" s="2">
        <v>1799.6733333333323</v>
      </c>
      <c r="U46" s="2">
        <v>1799.6733333333323</v>
      </c>
      <c r="V46" s="2">
        <v>1799.6733333333323</v>
      </c>
      <c r="W46" s="2">
        <v>1799.6733333333323</v>
      </c>
      <c r="X46" s="2">
        <v>1977.7002466067106</v>
      </c>
      <c r="Y46" s="2">
        <v>3737.6059476129549</v>
      </c>
      <c r="Z46" s="2">
        <v>5022.5641129311671</v>
      </c>
      <c r="AA46" s="4">
        <v>5696.9092855058925</v>
      </c>
      <c r="AB46" s="126">
        <f t="shared" si="0"/>
        <v>82770.728611902232</v>
      </c>
      <c r="AC46" s="126">
        <v>19</v>
      </c>
      <c r="AD46" s="127">
        <f>(AB46*AC46)+(AB47*AC47)+(AB48*AC48)+(AB49*AC49)</f>
        <v>3537054.8599999994</v>
      </c>
      <c r="AE46" s="27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</row>
    <row r="47" spans="2:60">
      <c r="B47" s="128"/>
      <c r="C47" s="129" t="s">
        <v>6</v>
      </c>
      <c r="D47" s="1">
        <v>7189.6887465741902</v>
      </c>
      <c r="E47" s="1">
        <v>7597.0902313944325</v>
      </c>
      <c r="F47" s="1">
        <v>7150.5912827632064</v>
      </c>
      <c r="G47" s="1">
        <v>6704.0923341319876</v>
      </c>
      <c r="H47" s="1">
        <v>7150.5912827632064</v>
      </c>
      <c r="I47" s="1">
        <v>7597.0902313944325</v>
      </c>
      <c r="J47" s="1">
        <v>5774.6518955090241</v>
      </c>
      <c r="K47" s="1">
        <v>4513.5122730889025</v>
      </c>
      <c r="L47" s="1">
        <v>4158.2771390354546</v>
      </c>
      <c r="M47" s="1">
        <v>3696.000191664195</v>
      </c>
      <c r="N47" s="1">
        <v>2944.7787637749061</v>
      </c>
      <c r="O47" s="1">
        <v>3336.4680080124008</v>
      </c>
      <c r="P47" s="1">
        <v>4369.1972673991286</v>
      </c>
      <c r="Q47" s="1">
        <v>4589.6692663732001</v>
      </c>
      <c r="R47" s="1">
        <v>4918.4668738030805</v>
      </c>
      <c r="S47" s="1">
        <v>4677.6283789384224</v>
      </c>
      <c r="T47" s="1">
        <v>4417.5689722623547</v>
      </c>
      <c r="U47" s="1">
        <v>1799.6733333333323</v>
      </c>
      <c r="V47" s="1">
        <v>1799.6733333333323</v>
      </c>
      <c r="W47" s="1">
        <v>2993.8748878024171</v>
      </c>
      <c r="X47" s="1">
        <v>4682.0074815239068</v>
      </c>
      <c r="Y47" s="1">
        <v>6004.2782797656409</v>
      </c>
      <c r="Z47" s="1">
        <v>7279.6004669071035</v>
      </c>
      <c r="AA47" s="5">
        <v>7597.0902313944325</v>
      </c>
      <c r="AB47" s="130">
        <f t="shared" si="0"/>
        <v>122941.56115294268</v>
      </c>
      <c r="AC47" s="130">
        <v>4</v>
      </c>
      <c r="AD47" s="131"/>
      <c r="AE47" s="27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</row>
    <row r="48" spans="2:60">
      <c r="B48" s="128"/>
      <c r="C48" s="129" t="s">
        <v>7</v>
      </c>
      <c r="D48" s="1">
        <v>7868.9012111297388</v>
      </c>
      <c r="E48" s="1">
        <v>7462.2492313087705</v>
      </c>
      <c r="F48" s="1">
        <v>7055.5972514878022</v>
      </c>
      <c r="G48" s="1">
        <v>7055.5972514878022</v>
      </c>
      <c r="H48" s="1">
        <v>7055.5972514878022</v>
      </c>
      <c r="I48" s="1">
        <v>6648.9452716668357</v>
      </c>
      <c r="J48" s="1">
        <v>7055.5972514878022</v>
      </c>
      <c r="K48" s="1">
        <v>7848.7740595970799</v>
      </c>
      <c r="L48" s="1">
        <v>8255.4260394180455</v>
      </c>
      <c r="M48" s="1">
        <v>9068.7299990599822</v>
      </c>
      <c r="N48" s="1">
        <v>9141.0946264236773</v>
      </c>
      <c r="O48" s="1">
        <v>9435.9160083295064</v>
      </c>
      <c r="P48" s="1">
        <v>9882.0339587019225</v>
      </c>
      <c r="Q48" s="1">
        <v>10037.959280568826</v>
      </c>
      <c r="R48" s="1">
        <v>10321.10262237431</v>
      </c>
      <c r="S48" s="1">
        <v>11214.222799312996</v>
      </c>
      <c r="T48" s="1">
        <v>11304.501450863372</v>
      </c>
      <c r="U48" s="1">
        <v>8498.9335852524855</v>
      </c>
      <c r="V48" s="1">
        <v>8653.3166679003953</v>
      </c>
      <c r="W48" s="1">
        <v>9157.7930069116737</v>
      </c>
      <c r="X48" s="1">
        <v>9814.6377373169998</v>
      </c>
      <c r="Y48" s="1">
        <v>9902.1611102345814</v>
      </c>
      <c r="Z48" s="1">
        <v>9088.8571505926448</v>
      </c>
      <c r="AA48" s="5">
        <v>8275.5531909507044</v>
      </c>
      <c r="AB48" s="130">
        <f t="shared" si="0"/>
        <v>210103.49801386581</v>
      </c>
      <c r="AC48" s="130">
        <v>5</v>
      </c>
      <c r="AD48" s="131"/>
      <c r="AE48" s="27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</row>
    <row r="49" spans="2:60" ht="15" thickBot="1">
      <c r="B49" s="132"/>
      <c r="C49" s="133" t="s">
        <v>8</v>
      </c>
      <c r="D49" s="3">
        <v>7966.0205106858239</v>
      </c>
      <c r="E49" s="3">
        <v>7556.8127598239016</v>
      </c>
      <c r="F49" s="3">
        <v>7147.6050089619848</v>
      </c>
      <c r="G49" s="3">
        <v>6738.3972581000698</v>
      </c>
      <c r="H49" s="3">
        <v>6738.3972581000698</v>
      </c>
      <c r="I49" s="3">
        <v>6738.3972581000698</v>
      </c>
      <c r="J49" s="3">
        <v>7147.6050089619848</v>
      </c>
      <c r="K49" s="3">
        <v>7536.6856082912427</v>
      </c>
      <c r="L49" s="3">
        <v>8355.101110015079</v>
      </c>
      <c r="M49" s="3">
        <v>9173.5166117389199</v>
      </c>
      <c r="N49" s="3">
        <v>9991.9321134627535</v>
      </c>
      <c r="O49" s="3">
        <v>10401.139864324668</v>
      </c>
      <c r="P49" s="3">
        <v>10401.139864324668</v>
      </c>
      <c r="Q49" s="3">
        <v>10810.347615186587</v>
      </c>
      <c r="R49" s="3">
        <v>10810.347615186587</v>
      </c>
      <c r="S49" s="3">
        <v>11219.555366048509</v>
      </c>
      <c r="T49" s="3">
        <v>11219.555366048509</v>
      </c>
      <c r="U49" s="3">
        <v>8205.98748020739</v>
      </c>
      <c r="V49" s="3">
        <v>7942.993284034289</v>
      </c>
      <c r="W49" s="3">
        <v>8830.4615094929868</v>
      </c>
      <c r="X49" s="3">
        <v>9369.1265871917349</v>
      </c>
      <c r="Y49" s="3">
        <v>10012.059264995412</v>
      </c>
      <c r="Z49" s="3">
        <v>8784.4360124096602</v>
      </c>
      <c r="AA49" s="6">
        <v>7966.0205106858239</v>
      </c>
      <c r="AB49" s="134">
        <f t="shared" si="0"/>
        <v>211063.64084637869</v>
      </c>
      <c r="AC49" s="134">
        <v>2</v>
      </c>
      <c r="AD49" s="135"/>
      <c r="AE49" s="27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</row>
    <row r="50" spans="2:60">
      <c r="B50" s="124">
        <v>46357</v>
      </c>
      <c r="C50" s="125" t="s">
        <v>5</v>
      </c>
      <c r="D50" s="2">
        <v>8774.740106573794</v>
      </c>
      <c r="E50" s="2">
        <v>9239.4621100439908</v>
      </c>
      <c r="F50" s="2">
        <v>9534.3053737690752</v>
      </c>
      <c r="G50" s="2">
        <v>9874.1025340382093</v>
      </c>
      <c r="H50" s="2">
        <v>9508.4278839356739</v>
      </c>
      <c r="I50" s="2">
        <v>8039.9543822627857</v>
      </c>
      <c r="J50" s="2">
        <v>4923.7929763869579</v>
      </c>
      <c r="K50" s="2">
        <v>2752.8053722629843</v>
      </c>
      <c r="L50" s="2">
        <v>2631.6625806451607</v>
      </c>
      <c r="M50" s="2">
        <v>2631.6625806451607</v>
      </c>
      <c r="N50" s="2">
        <v>2631.6625806451607</v>
      </c>
      <c r="O50" s="2">
        <v>2631.6625806451607</v>
      </c>
      <c r="P50" s="2">
        <v>2631.6625806451607</v>
      </c>
      <c r="Q50" s="2">
        <v>2631.6625806451607</v>
      </c>
      <c r="R50" s="2">
        <v>2631.6625806451607</v>
      </c>
      <c r="S50" s="2">
        <v>2631.6625806451607</v>
      </c>
      <c r="T50" s="2">
        <v>2631.6625806451607</v>
      </c>
      <c r="U50" s="2">
        <v>2631.6625806451607</v>
      </c>
      <c r="V50" s="2">
        <v>2631.6625806451607</v>
      </c>
      <c r="W50" s="2">
        <v>2631.6625806451607</v>
      </c>
      <c r="X50" s="2">
        <v>2631.6625806451607</v>
      </c>
      <c r="Y50" s="2">
        <v>3707.5039776057888</v>
      </c>
      <c r="Z50" s="2">
        <v>4869.2123768435085</v>
      </c>
      <c r="AA50" s="4">
        <v>5481.7361541711434</v>
      </c>
      <c r="AB50" s="126">
        <f t="shared" si="0"/>
        <v>110917.65679628104</v>
      </c>
      <c r="AC50" s="126">
        <v>21</v>
      </c>
      <c r="AD50" s="127">
        <f>(AB50*AC50)+(AB51*AC51)+(AB52*AC52)+(AB53*AC53)</f>
        <v>4409114.6899999995</v>
      </c>
      <c r="AE50" s="27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</row>
    <row r="51" spans="2:60">
      <c r="B51" s="128"/>
      <c r="C51" s="129" t="s">
        <v>6</v>
      </c>
      <c r="D51" s="1">
        <v>7014.5701528134796</v>
      </c>
      <c r="E51" s="1">
        <v>7466.8486844274885</v>
      </c>
      <c r="F51" s="1">
        <v>7908.1091320365667</v>
      </c>
      <c r="G51" s="1">
        <v>8372.7694389017197</v>
      </c>
      <c r="H51" s="1">
        <v>8196.7898050524745</v>
      </c>
      <c r="I51" s="1">
        <v>7704.5664009200445</v>
      </c>
      <c r="J51" s="1">
        <v>5744.4535164351782</v>
      </c>
      <c r="K51" s="1">
        <v>4713.9008100303217</v>
      </c>
      <c r="L51" s="1">
        <v>4419.8608046652826</v>
      </c>
      <c r="M51" s="1">
        <v>4024.0652960405873</v>
      </c>
      <c r="N51" s="1">
        <v>3355.0798575029035</v>
      </c>
      <c r="O51" s="1">
        <v>3733.2467615433175</v>
      </c>
      <c r="P51" s="1">
        <v>4688.3686243706143</v>
      </c>
      <c r="Q51" s="1">
        <v>4860.5081282334286</v>
      </c>
      <c r="R51" s="1">
        <v>5131.2616271628176</v>
      </c>
      <c r="S51" s="1">
        <v>4877.6756723945327</v>
      </c>
      <c r="T51" s="1">
        <v>4614.4539263664265</v>
      </c>
      <c r="U51" s="1">
        <v>2631.6625806451607</v>
      </c>
      <c r="V51" s="1">
        <v>2631.6625806451607</v>
      </c>
      <c r="W51" s="1">
        <v>3009.4435908951868</v>
      </c>
      <c r="X51" s="1">
        <v>4552.2499451464191</v>
      </c>
      <c r="Y51" s="1">
        <v>5750.4596827569258</v>
      </c>
      <c r="Z51" s="1">
        <v>6897.2383387770842</v>
      </c>
      <c r="AA51" s="5">
        <v>7505.7909779414367</v>
      </c>
      <c r="AB51" s="130">
        <f t="shared" si="0"/>
        <v>129805.03633570456</v>
      </c>
      <c r="AC51" s="130">
        <v>4</v>
      </c>
      <c r="AD51" s="131"/>
      <c r="AE51" s="27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</row>
    <row r="52" spans="2:60">
      <c r="B52" s="128"/>
      <c r="C52" s="129" t="s">
        <v>7</v>
      </c>
      <c r="D52" s="1">
        <v>9179.6158872475335</v>
      </c>
      <c r="E52" s="1">
        <v>9652.4807865248476</v>
      </c>
      <c r="F52" s="1">
        <v>10197.735157556304</v>
      </c>
      <c r="G52" s="1">
        <v>10587.153984583932</v>
      </c>
      <c r="H52" s="1">
        <v>10894.873238323655</v>
      </c>
      <c r="I52" s="1">
        <v>11508.432003908478</v>
      </c>
      <c r="J52" s="1">
        <v>12265.127006041079</v>
      </c>
      <c r="K52" s="1">
        <v>13174.603279509092</v>
      </c>
      <c r="L52" s="1">
        <v>13145.06448349014</v>
      </c>
      <c r="M52" s="1">
        <v>12444.340753313218</v>
      </c>
      <c r="N52" s="1">
        <v>11687.010030347492</v>
      </c>
      <c r="O52" s="1">
        <v>11310.253800527335</v>
      </c>
      <c r="P52" s="1">
        <v>11786.977740743927</v>
      </c>
      <c r="Q52" s="1">
        <v>11919.02147732788</v>
      </c>
      <c r="R52" s="1">
        <v>12420.371835149135</v>
      </c>
      <c r="S52" s="1">
        <v>11610.108757543281</v>
      </c>
      <c r="T52" s="1">
        <v>11420.963865290138</v>
      </c>
      <c r="U52" s="1">
        <v>7983.7374845613595</v>
      </c>
      <c r="V52" s="1">
        <v>8128.6812758606429</v>
      </c>
      <c r="W52" s="1">
        <v>8586.1469272256982</v>
      </c>
      <c r="X52" s="1">
        <v>9183.3480733824945</v>
      </c>
      <c r="Y52" s="1">
        <v>10033.735996084499</v>
      </c>
      <c r="Z52" s="1">
        <v>10391.470045349131</v>
      </c>
      <c r="AA52" s="5">
        <v>10797.893652002034</v>
      </c>
      <c r="AB52" s="130">
        <f t="shared" si="0"/>
        <v>260309.14754189327</v>
      </c>
      <c r="AC52" s="130">
        <v>4</v>
      </c>
      <c r="AD52" s="131"/>
      <c r="AE52" s="27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</row>
    <row r="53" spans="2:60" ht="15" thickBot="1">
      <c r="B53" s="132"/>
      <c r="C53" s="133" t="s">
        <v>8</v>
      </c>
      <c r="D53" s="3">
        <v>10469.447946376906</v>
      </c>
      <c r="E53" s="3">
        <v>11011.886391592674</v>
      </c>
      <c r="F53" s="3">
        <v>11441.170634457221</v>
      </c>
      <c r="G53" s="3">
        <v>11728.981050077322</v>
      </c>
      <c r="H53" s="3">
        <v>11695.329661118163</v>
      </c>
      <c r="I53" s="3">
        <v>12501.768449655934</v>
      </c>
      <c r="J53" s="3">
        <v>12097.434013950879</v>
      </c>
      <c r="K53" s="3">
        <v>12512.84808180049</v>
      </c>
      <c r="L53" s="3">
        <v>12380.342441669653</v>
      </c>
      <c r="M53" s="3">
        <v>12086.307828051175</v>
      </c>
      <c r="N53" s="3">
        <v>11536.167740209399</v>
      </c>
      <c r="O53" s="3">
        <v>11226.417879240587</v>
      </c>
      <c r="P53" s="3">
        <v>11592.315243596724</v>
      </c>
      <c r="Q53" s="3">
        <v>11535.924344164858</v>
      </c>
      <c r="R53" s="3">
        <v>11804.710781883337</v>
      </c>
      <c r="S53" s="3">
        <v>10927.672054924695</v>
      </c>
      <c r="T53" s="3">
        <v>10752.946359280539</v>
      </c>
      <c r="U53" s="3">
        <v>7718.0351757751741</v>
      </c>
      <c r="V53" s="3">
        <v>7473.3410422816214</v>
      </c>
      <c r="W53" s="3">
        <v>8275.6037772284926</v>
      </c>
      <c r="X53" s="3">
        <v>8765.9439493920872</v>
      </c>
      <c r="Y53" s="3">
        <v>9519.6552702950867</v>
      </c>
      <c r="Z53" s="3">
        <v>9971.0836812014313</v>
      </c>
      <c r="AA53" s="6">
        <v>10668.247085629033</v>
      </c>
      <c r="AB53" s="134">
        <f t="shared" si="0"/>
        <v>259693.58088385349</v>
      </c>
      <c r="AC53" s="134">
        <v>2</v>
      </c>
      <c r="AD53" s="135"/>
      <c r="AE53" s="27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</row>
    <row r="54" spans="2:60" ht="15" thickBot="1">
      <c r="AD54" s="7">
        <f>SUM(AD6:AD53)</f>
        <v>22551605.271541625</v>
      </c>
    </row>
  </sheetData>
  <mergeCells count="27">
    <mergeCell ref="B22:B25"/>
    <mergeCell ref="AD22:AD25"/>
    <mergeCell ref="B26:B29"/>
    <mergeCell ref="B10:B13"/>
    <mergeCell ref="AD10:AD13"/>
    <mergeCell ref="B14:B17"/>
    <mergeCell ref="AD14:AD17"/>
    <mergeCell ref="B18:B21"/>
    <mergeCell ref="AD18:AD21"/>
    <mergeCell ref="AD26:AD29"/>
    <mergeCell ref="B2:AB2"/>
    <mergeCell ref="B3:AB3"/>
    <mergeCell ref="B4:AB4"/>
    <mergeCell ref="B6:B9"/>
    <mergeCell ref="AD6:AD9"/>
    <mergeCell ref="B30:B33"/>
    <mergeCell ref="AD30:AD33"/>
    <mergeCell ref="B46:B49"/>
    <mergeCell ref="AD46:AD49"/>
    <mergeCell ref="B50:B53"/>
    <mergeCell ref="AD50:AD53"/>
    <mergeCell ref="B34:B37"/>
    <mergeCell ref="AD34:AD37"/>
    <mergeCell ref="B38:B41"/>
    <mergeCell ref="AD38:AD41"/>
    <mergeCell ref="B42:B45"/>
    <mergeCell ref="AD42:AD45"/>
  </mergeCells>
  <phoneticPr fontId="3" type="noConversion"/>
  <conditionalFormatting sqref="D6:AA53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DF29-3962-48C6-91B0-432C77D06C94}">
  <dimension ref="B3:I30"/>
  <sheetViews>
    <sheetView showGridLines="0" zoomScale="90" zoomScaleNormal="90" workbookViewId="0">
      <selection activeCell="F11" sqref="F11:F22"/>
    </sheetView>
  </sheetViews>
  <sheetFormatPr baseColWidth="10" defaultColWidth="11.453125" defaultRowHeight="14.5"/>
  <cols>
    <col min="1" max="3" width="11.453125" style="8"/>
    <col min="4" max="4" width="15.26953125" style="8" customWidth="1"/>
    <col min="5" max="5" width="11.453125" style="8"/>
    <col min="6" max="6" width="12.7265625" style="8" bestFit="1" customWidth="1"/>
    <col min="7" max="7" width="11.453125" style="8"/>
    <col min="8" max="8" width="14.1796875" style="28" bestFit="1" customWidth="1"/>
    <col min="9" max="9" width="11.453125" style="29"/>
    <col min="10" max="16384" width="11.453125" style="8"/>
  </cols>
  <sheetData>
    <row r="3" spans="2:7" ht="15" thickBot="1"/>
    <row r="4" spans="2:7">
      <c r="B4" s="74" t="s">
        <v>36</v>
      </c>
      <c r="C4" s="75"/>
      <c r="D4" s="75"/>
      <c r="E4" s="75"/>
      <c r="F4" s="75"/>
      <c r="G4" s="76"/>
    </row>
    <row r="5" spans="2:7">
      <c r="B5" s="77" t="s">
        <v>9</v>
      </c>
      <c r="C5" s="78"/>
      <c r="D5" s="78"/>
      <c r="E5" s="78"/>
      <c r="F5" s="78"/>
      <c r="G5" s="79"/>
    </row>
    <row r="6" spans="2:7">
      <c r="B6" s="80" t="s">
        <v>10</v>
      </c>
      <c r="C6" s="81"/>
      <c r="D6" s="81"/>
      <c r="E6" s="81"/>
      <c r="F6" s="81"/>
      <c r="G6" s="82"/>
    </row>
    <row r="7" spans="2:7" ht="15" thickBot="1">
      <c r="B7" s="83" t="s">
        <v>39</v>
      </c>
      <c r="C7" s="84"/>
      <c r="D7" s="84"/>
      <c r="E7" s="84"/>
      <c r="F7" s="84"/>
      <c r="G7" s="85"/>
    </row>
    <row r="8" spans="2:7" ht="15" thickBot="1">
      <c r="B8" s="69" t="s">
        <v>11</v>
      </c>
      <c r="C8" s="86"/>
      <c r="D8" s="86"/>
      <c r="E8" s="86"/>
      <c r="F8" s="86"/>
      <c r="G8" s="87"/>
    </row>
    <row r="9" spans="2:7" ht="15.75" customHeight="1" thickBot="1">
      <c r="B9" s="88" t="s">
        <v>12</v>
      </c>
      <c r="C9" s="88" t="s">
        <v>13</v>
      </c>
      <c r="D9" s="91" t="s">
        <v>38</v>
      </c>
      <c r="E9" s="91"/>
      <c r="F9" s="91"/>
      <c r="G9" s="92"/>
    </row>
    <row r="10" spans="2:7" ht="26.5" thickBot="1">
      <c r="B10" s="89"/>
      <c r="C10" s="90"/>
      <c r="D10" s="9" t="s">
        <v>14</v>
      </c>
      <c r="E10" s="11" t="s">
        <v>15</v>
      </c>
      <c r="F10" s="10" t="s">
        <v>16</v>
      </c>
      <c r="G10" s="12" t="s">
        <v>17</v>
      </c>
    </row>
    <row r="11" spans="2:7">
      <c r="B11" s="21">
        <v>2026</v>
      </c>
      <c r="C11" s="22" t="s">
        <v>25</v>
      </c>
      <c r="D11" s="23">
        <f>+'Producto 1 curvo 26'!AE6</f>
        <v>0</v>
      </c>
      <c r="E11" s="93"/>
      <c r="F11" s="162">
        <f>+$E$11*D11</f>
        <v>0</v>
      </c>
      <c r="G11" s="16"/>
    </row>
    <row r="12" spans="2:7">
      <c r="B12" s="13">
        <v>2026</v>
      </c>
      <c r="C12" s="14" t="s">
        <v>26</v>
      </c>
      <c r="D12" s="15">
        <f>+'Producto 1 curvo 26'!AE7</f>
        <v>0</v>
      </c>
      <c r="E12" s="93"/>
      <c r="F12" s="162">
        <f t="shared" ref="F12:F22" si="0">+$E$11*D12</f>
        <v>0</v>
      </c>
      <c r="G12" s="16"/>
    </row>
    <row r="13" spans="2:7">
      <c r="B13" s="13">
        <v>2026</v>
      </c>
      <c r="C13" s="14" t="s">
        <v>27</v>
      </c>
      <c r="D13" s="15">
        <f>+'Producto 1 curvo 26'!AE8</f>
        <v>0</v>
      </c>
      <c r="E13" s="93"/>
      <c r="F13" s="162">
        <f t="shared" si="0"/>
        <v>0</v>
      </c>
      <c r="G13" s="16"/>
    </row>
    <row r="14" spans="2:7">
      <c r="B14" s="13">
        <v>2026</v>
      </c>
      <c r="C14" s="14" t="s">
        <v>28</v>
      </c>
      <c r="D14" s="15">
        <f>+'Producto 1 curvo 26'!AE9</f>
        <v>0</v>
      </c>
      <c r="E14" s="93"/>
      <c r="F14" s="162">
        <f t="shared" si="0"/>
        <v>0</v>
      </c>
      <c r="G14" s="16"/>
    </row>
    <row r="15" spans="2:7">
      <c r="B15" s="13">
        <v>2026</v>
      </c>
      <c r="C15" s="14" t="s">
        <v>29</v>
      </c>
      <c r="D15" s="15">
        <f>+'Producto 1 curvo 26'!AE10</f>
        <v>0</v>
      </c>
      <c r="E15" s="93"/>
      <c r="F15" s="162">
        <f t="shared" si="0"/>
        <v>0</v>
      </c>
      <c r="G15" s="16"/>
    </row>
    <row r="16" spans="2:7">
      <c r="B16" s="13">
        <v>2026</v>
      </c>
      <c r="C16" s="14" t="s">
        <v>18</v>
      </c>
      <c r="D16" s="15">
        <f>+'Producto 1 curvo 26'!AE11</f>
        <v>0</v>
      </c>
      <c r="E16" s="93"/>
      <c r="F16" s="162">
        <f t="shared" si="0"/>
        <v>0</v>
      </c>
      <c r="G16" s="16"/>
    </row>
    <row r="17" spans="2:9">
      <c r="B17" s="13">
        <v>2026</v>
      </c>
      <c r="C17" s="14" t="s">
        <v>19</v>
      </c>
      <c r="D17" s="15">
        <f>+'Producto 1 curvo 26'!AE12</f>
        <v>3195152.6015416258</v>
      </c>
      <c r="E17" s="93"/>
      <c r="F17" s="162">
        <f t="shared" si="0"/>
        <v>0</v>
      </c>
      <c r="G17" s="16"/>
    </row>
    <row r="18" spans="2:9">
      <c r="B18" s="13">
        <v>2026</v>
      </c>
      <c r="C18" s="14" t="s">
        <v>20</v>
      </c>
      <c r="D18" s="15">
        <f>+'Producto 1 curvo 26'!AE13</f>
        <v>3152670.34</v>
      </c>
      <c r="E18" s="93"/>
      <c r="F18" s="162">
        <f t="shared" si="0"/>
        <v>0</v>
      </c>
      <c r="G18" s="16"/>
    </row>
    <row r="19" spans="2:9">
      <c r="B19" s="13">
        <v>2026</v>
      </c>
      <c r="C19" s="14" t="s">
        <v>21</v>
      </c>
      <c r="D19" s="15">
        <f>+'Producto 1 curvo 26'!AE14</f>
        <v>3863338.96</v>
      </c>
      <c r="E19" s="93"/>
      <c r="F19" s="162">
        <f t="shared" si="0"/>
        <v>0</v>
      </c>
      <c r="G19" s="16"/>
    </row>
    <row r="20" spans="2:9">
      <c r="B20" s="13">
        <v>2026</v>
      </c>
      <c r="C20" s="14" t="s">
        <v>22</v>
      </c>
      <c r="D20" s="15">
        <f>+'Producto 1 curvo 26'!AE15</f>
        <v>4394273.82</v>
      </c>
      <c r="E20" s="93"/>
      <c r="F20" s="162">
        <f t="shared" si="0"/>
        <v>0</v>
      </c>
      <c r="G20" s="16"/>
    </row>
    <row r="21" spans="2:9">
      <c r="B21" s="13">
        <v>2026</v>
      </c>
      <c r="C21" s="14" t="s">
        <v>23</v>
      </c>
      <c r="D21" s="15">
        <f>+'Producto 1 curvo 26'!AE16</f>
        <v>3537054.8599999994</v>
      </c>
      <c r="E21" s="93"/>
      <c r="F21" s="162">
        <f t="shared" si="0"/>
        <v>0</v>
      </c>
      <c r="G21" s="16"/>
    </row>
    <row r="22" spans="2:9" ht="15" thickBot="1">
      <c r="B22" s="17">
        <v>2026</v>
      </c>
      <c r="C22" s="18" t="s">
        <v>24</v>
      </c>
      <c r="D22" s="19">
        <f>+'Producto 1 curvo 26'!AE17</f>
        <v>4409114.6899999995</v>
      </c>
      <c r="E22" s="94"/>
      <c r="F22" s="163">
        <f t="shared" si="0"/>
        <v>0</v>
      </c>
      <c r="G22" s="20"/>
      <c r="H22" s="28">
        <f>SUM(D11:D22)</f>
        <v>22551605.271541625</v>
      </c>
      <c r="I22" s="30">
        <f>+H22/1000</f>
        <v>22551.605271541626</v>
      </c>
    </row>
    <row r="23" spans="2:9" ht="15" thickBot="1">
      <c r="B23" s="72" t="s">
        <v>35</v>
      </c>
      <c r="C23" s="73"/>
      <c r="D23" s="24">
        <f>+SUM(D11:D22)</f>
        <v>22551605.271541625</v>
      </c>
      <c r="I23" s="30">
        <f>+D23/1000</f>
        <v>22551.605271541626</v>
      </c>
    </row>
    <row r="25" spans="2:9">
      <c r="B25" s="8" t="s">
        <v>30</v>
      </c>
    </row>
    <row r="26" spans="2:9">
      <c r="B26" s="8" t="s">
        <v>31</v>
      </c>
    </row>
    <row r="27" spans="2:9">
      <c r="B27" s="8" t="s">
        <v>32</v>
      </c>
    </row>
    <row r="28" spans="2:9">
      <c r="B28" s="8" t="s">
        <v>33</v>
      </c>
    </row>
    <row r="30" spans="2:9">
      <c r="D30" s="25"/>
    </row>
  </sheetData>
  <mergeCells count="10">
    <mergeCell ref="B23:C23"/>
    <mergeCell ref="B4:G4"/>
    <mergeCell ref="B5:G5"/>
    <mergeCell ref="B6:G6"/>
    <mergeCell ref="B7:G7"/>
    <mergeCell ref="B8:G8"/>
    <mergeCell ref="B9:B10"/>
    <mergeCell ref="C9:C10"/>
    <mergeCell ref="D9:G9"/>
    <mergeCell ref="E11:E22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CCDE-C4FE-4972-BEB6-153683760E64}">
  <dimension ref="B2:BH61"/>
  <sheetViews>
    <sheetView showGridLines="0" zoomScale="90" zoomScaleNormal="90" workbookViewId="0">
      <pane ySplit="5" topLeftCell="A6" activePane="bottomLeft" state="frozen"/>
      <selection activeCell="M103" sqref="M103"/>
      <selection pane="bottomLeft" activeCell="B4" sqref="B4:AB4"/>
    </sheetView>
  </sheetViews>
  <sheetFormatPr baseColWidth="10" defaultRowHeight="14.5"/>
  <cols>
    <col min="1" max="1" width="1.81640625" style="109" customWidth="1"/>
    <col min="2" max="2" width="10" style="109" customWidth="1"/>
    <col min="3" max="27" width="8.81640625" style="109" bestFit="1" customWidth="1"/>
    <col min="28" max="28" width="8.453125" style="109" bestFit="1" customWidth="1"/>
    <col min="29" max="29" width="7.453125" style="109" customWidth="1"/>
    <col min="30" max="30" width="19.1796875" style="109" customWidth="1"/>
    <col min="31" max="31" width="14.90625" style="26" customWidth="1"/>
    <col min="32" max="32" width="17.453125" style="109" bestFit="1" customWidth="1"/>
    <col min="33" max="249" width="10.90625" style="109"/>
    <col min="250" max="250" width="1.81640625" style="109" customWidth="1"/>
    <col min="251" max="251" width="8" style="109" customWidth="1"/>
    <col min="252" max="252" width="8" style="109" bestFit="1" customWidth="1"/>
    <col min="253" max="253" width="9" style="109" bestFit="1" customWidth="1"/>
    <col min="254" max="254" width="12" style="109" bestFit="1" customWidth="1"/>
    <col min="255" max="276" width="9" style="109" bestFit="1" customWidth="1"/>
    <col min="277" max="277" width="7.81640625" style="109" bestFit="1" customWidth="1"/>
    <col min="278" max="278" width="4.54296875" style="109" bestFit="1" customWidth="1"/>
    <col min="279" max="279" width="14.1796875" style="109" bestFit="1" customWidth="1"/>
    <col min="280" max="505" width="10.90625" style="109"/>
    <col min="506" max="506" width="1.81640625" style="109" customWidth="1"/>
    <col min="507" max="507" width="8" style="109" customWidth="1"/>
    <col min="508" max="508" width="8" style="109" bestFit="1" customWidth="1"/>
    <col min="509" max="509" width="9" style="109" bestFit="1" customWidth="1"/>
    <col min="510" max="510" width="12" style="109" bestFit="1" customWidth="1"/>
    <col min="511" max="532" width="9" style="109" bestFit="1" customWidth="1"/>
    <col min="533" max="533" width="7.81640625" style="109" bestFit="1" customWidth="1"/>
    <col min="534" max="534" width="4.54296875" style="109" bestFit="1" customWidth="1"/>
    <col min="535" max="535" width="14.1796875" style="109" bestFit="1" customWidth="1"/>
    <col min="536" max="761" width="10.90625" style="109"/>
    <col min="762" max="762" width="1.81640625" style="109" customWidth="1"/>
    <col min="763" max="763" width="8" style="109" customWidth="1"/>
    <col min="764" max="764" width="8" style="109" bestFit="1" customWidth="1"/>
    <col min="765" max="765" width="9" style="109" bestFit="1" customWidth="1"/>
    <col min="766" max="766" width="12" style="109" bestFit="1" customWidth="1"/>
    <col min="767" max="788" width="9" style="109" bestFit="1" customWidth="1"/>
    <col min="789" max="789" width="7.81640625" style="109" bestFit="1" customWidth="1"/>
    <col min="790" max="790" width="4.54296875" style="109" bestFit="1" customWidth="1"/>
    <col min="791" max="791" width="14.1796875" style="109" bestFit="1" customWidth="1"/>
    <col min="792" max="1017" width="10.90625" style="109"/>
    <col min="1018" max="1018" width="1.81640625" style="109" customWidth="1"/>
    <col min="1019" max="1019" width="8" style="109" customWidth="1"/>
    <col min="1020" max="1020" width="8" style="109" bestFit="1" customWidth="1"/>
    <col min="1021" max="1021" width="9" style="109" bestFit="1" customWidth="1"/>
    <col min="1022" max="1022" width="12" style="109" bestFit="1" customWidth="1"/>
    <col min="1023" max="1044" width="9" style="109" bestFit="1" customWidth="1"/>
    <col min="1045" max="1045" width="7.81640625" style="109" bestFit="1" customWidth="1"/>
    <col min="1046" max="1046" width="4.54296875" style="109" bestFit="1" customWidth="1"/>
    <col min="1047" max="1047" width="14.1796875" style="109" bestFit="1" customWidth="1"/>
    <col min="1048" max="1273" width="10.90625" style="109"/>
    <col min="1274" max="1274" width="1.81640625" style="109" customWidth="1"/>
    <col min="1275" max="1275" width="8" style="109" customWidth="1"/>
    <col min="1276" max="1276" width="8" style="109" bestFit="1" customWidth="1"/>
    <col min="1277" max="1277" width="9" style="109" bestFit="1" customWidth="1"/>
    <col min="1278" max="1278" width="12" style="109" bestFit="1" customWidth="1"/>
    <col min="1279" max="1300" width="9" style="109" bestFit="1" customWidth="1"/>
    <col min="1301" max="1301" width="7.81640625" style="109" bestFit="1" customWidth="1"/>
    <col min="1302" max="1302" width="4.54296875" style="109" bestFit="1" customWidth="1"/>
    <col min="1303" max="1303" width="14.1796875" style="109" bestFit="1" customWidth="1"/>
    <col min="1304" max="1529" width="10.90625" style="109"/>
    <col min="1530" max="1530" width="1.81640625" style="109" customWidth="1"/>
    <col min="1531" max="1531" width="8" style="109" customWidth="1"/>
    <col min="1532" max="1532" width="8" style="109" bestFit="1" customWidth="1"/>
    <col min="1533" max="1533" width="9" style="109" bestFit="1" customWidth="1"/>
    <col min="1534" max="1534" width="12" style="109" bestFit="1" customWidth="1"/>
    <col min="1535" max="1556" width="9" style="109" bestFit="1" customWidth="1"/>
    <col min="1557" max="1557" width="7.81640625" style="109" bestFit="1" customWidth="1"/>
    <col min="1558" max="1558" width="4.54296875" style="109" bestFit="1" customWidth="1"/>
    <col min="1559" max="1559" width="14.1796875" style="109" bestFit="1" customWidth="1"/>
    <col min="1560" max="1785" width="10.90625" style="109"/>
    <col min="1786" max="1786" width="1.81640625" style="109" customWidth="1"/>
    <col min="1787" max="1787" width="8" style="109" customWidth="1"/>
    <col min="1788" max="1788" width="8" style="109" bestFit="1" customWidth="1"/>
    <col min="1789" max="1789" width="9" style="109" bestFit="1" customWidth="1"/>
    <col min="1790" max="1790" width="12" style="109" bestFit="1" customWidth="1"/>
    <col min="1791" max="1812" width="9" style="109" bestFit="1" customWidth="1"/>
    <col min="1813" max="1813" width="7.81640625" style="109" bestFit="1" customWidth="1"/>
    <col min="1814" max="1814" width="4.54296875" style="109" bestFit="1" customWidth="1"/>
    <col min="1815" max="1815" width="14.1796875" style="109" bestFit="1" customWidth="1"/>
    <col min="1816" max="2041" width="10.90625" style="109"/>
    <col min="2042" max="2042" width="1.81640625" style="109" customWidth="1"/>
    <col min="2043" max="2043" width="8" style="109" customWidth="1"/>
    <col min="2044" max="2044" width="8" style="109" bestFit="1" customWidth="1"/>
    <col min="2045" max="2045" width="9" style="109" bestFit="1" customWidth="1"/>
    <col min="2046" max="2046" width="12" style="109" bestFit="1" customWidth="1"/>
    <col min="2047" max="2068" width="9" style="109" bestFit="1" customWidth="1"/>
    <col min="2069" max="2069" width="7.81640625" style="109" bestFit="1" customWidth="1"/>
    <col min="2070" max="2070" width="4.54296875" style="109" bestFit="1" customWidth="1"/>
    <col min="2071" max="2071" width="14.1796875" style="109" bestFit="1" customWidth="1"/>
    <col min="2072" max="2297" width="10.90625" style="109"/>
    <col min="2298" max="2298" width="1.81640625" style="109" customWidth="1"/>
    <col min="2299" max="2299" width="8" style="109" customWidth="1"/>
    <col min="2300" max="2300" width="8" style="109" bestFit="1" customWidth="1"/>
    <col min="2301" max="2301" width="9" style="109" bestFit="1" customWidth="1"/>
    <col min="2302" max="2302" width="12" style="109" bestFit="1" customWidth="1"/>
    <col min="2303" max="2324" width="9" style="109" bestFit="1" customWidth="1"/>
    <col min="2325" max="2325" width="7.81640625" style="109" bestFit="1" customWidth="1"/>
    <col min="2326" max="2326" width="4.54296875" style="109" bestFit="1" customWidth="1"/>
    <col min="2327" max="2327" width="14.1796875" style="109" bestFit="1" customWidth="1"/>
    <col min="2328" max="2553" width="10.90625" style="109"/>
    <col min="2554" max="2554" width="1.81640625" style="109" customWidth="1"/>
    <col min="2555" max="2555" width="8" style="109" customWidth="1"/>
    <col min="2556" max="2556" width="8" style="109" bestFit="1" customWidth="1"/>
    <col min="2557" max="2557" width="9" style="109" bestFit="1" customWidth="1"/>
    <col min="2558" max="2558" width="12" style="109" bestFit="1" customWidth="1"/>
    <col min="2559" max="2580" width="9" style="109" bestFit="1" customWidth="1"/>
    <col min="2581" max="2581" width="7.81640625" style="109" bestFit="1" customWidth="1"/>
    <col min="2582" max="2582" width="4.54296875" style="109" bestFit="1" customWidth="1"/>
    <col min="2583" max="2583" width="14.1796875" style="109" bestFit="1" customWidth="1"/>
    <col min="2584" max="2809" width="10.90625" style="109"/>
    <col min="2810" max="2810" width="1.81640625" style="109" customWidth="1"/>
    <col min="2811" max="2811" width="8" style="109" customWidth="1"/>
    <col min="2812" max="2812" width="8" style="109" bestFit="1" customWidth="1"/>
    <col min="2813" max="2813" width="9" style="109" bestFit="1" customWidth="1"/>
    <col min="2814" max="2814" width="12" style="109" bestFit="1" customWidth="1"/>
    <col min="2815" max="2836" width="9" style="109" bestFit="1" customWidth="1"/>
    <col min="2837" max="2837" width="7.81640625" style="109" bestFit="1" customWidth="1"/>
    <col min="2838" max="2838" width="4.54296875" style="109" bestFit="1" customWidth="1"/>
    <col min="2839" max="2839" width="14.1796875" style="109" bestFit="1" customWidth="1"/>
    <col min="2840" max="3065" width="10.90625" style="109"/>
    <col min="3066" max="3066" width="1.81640625" style="109" customWidth="1"/>
    <col min="3067" max="3067" width="8" style="109" customWidth="1"/>
    <col min="3068" max="3068" width="8" style="109" bestFit="1" customWidth="1"/>
    <col min="3069" max="3069" width="9" style="109" bestFit="1" customWidth="1"/>
    <col min="3070" max="3070" width="12" style="109" bestFit="1" customWidth="1"/>
    <col min="3071" max="3092" width="9" style="109" bestFit="1" customWidth="1"/>
    <col min="3093" max="3093" width="7.81640625" style="109" bestFit="1" customWidth="1"/>
    <col min="3094" max="3094" width="4.54296875" style="109" bestFit="1" customWidth="1"/>
    <col min="3095" max="3095" width="14.1796875" style="109" bestFit="1" customWidth="1"/>
    <col min="3096" max="3321" width="10.90625" style="109"/>
    <col min="3322" max="3322" width="1.81640625" style="109" customWidth="1"/>
    <col min="3323" max="3323" width="8" style="109" customWidth="1"/>
    <col min="3324" max="3324" width="8" style="109" bestFit="1" customWidth="1"/>
    <col min="3325" max="3325" width="9" style="109" bestFit="1" customWidth="1"/>
    <col min="3326" max="3326" width="12" style="109" bestFit="1" customWidth="1"/>
    <col min="3327" max="3348" width="9" style="109" bestFit="1" customWidth="1"/>
    <col min="3349" max="3349" width="7.81640625" style="109" bestFit="1" customWidth="1"/>
    <col min="3350" max="3350" width="4.54296875" style="109" bestFit="1" customWidth="1"/>
    <col min="3351" max="3351" width="14.1796875" style="109" bestFit="1" customWidth="1"/>
    <col min="3352" max="3577" width="10.90625" style="109"/>
    <col min="3578" max="3578" width="1.81640625" style="109" customWidth="1"/>
    <col min="3579" max="3579" width="8" style="109" customWidth="1"/>
    <col min="3580" max="3580" width="8" style="109" bestFit="1" customWidth="1"/>
    <col min="3581" max="3581" width="9" style="109" bestFit="1" customWidth="1"/>
    <col min="3582" max="3582" width="12" style="109" bestFit="1" customWidth="1"/>
    <col min="3583" max="3604" width="9" style="109" bestFit="1" customWidth="1"/>
    <col min="3605" max="3605" width="7.81640625" style="109" bestFit="1" customWidth="1"/>
    <col min="3606" max="3606" width="4.54296875" style="109" bestFit="1" customWidth="1"/>
    <col min="3607" max="3607" width="14.1796875" style="109" bestFit="1" customWidth="1"/>
    <col min="3608" max="3833" width="10.90625" style="109"/>
    <col min="3834" max="3834" width="1.81640625" style="109" customWidth="1"/>
    <col min="3835" max="3835" width="8" style="109" customWidth="1"/>
    <col min="3836" max="3836" width="8" style="109" bestFit="1" customWidth="1"/>
    <col min="3837" max="3837" width="9" style="109" bestFit="1" customWidth="1"/>
    <col min="3838" max="3838" width="12" style="109" bestFit="1" customWidth="1"/>
    <col min="3839" max="3860" width="9" style="109" bestFit="1" customWidth="1"/>
    <col min="3861" max="3861" width="7.81640625" style="109" bestFit="1" customWidth="1"/>
    <col min="3862" max="3862" width="4.54296875" style="109" bestFit="1" customWidth="1"/>
    <col min="3863" max="3863" width="14.1796875" style="109" bestFit="1" customWidth="1"/>
    <col min="3864" max="4089" width="10.90625" style="109"/>
    <col min="4090" max="4090" width="1.81640625" style="109" customWidth="1"/>
    <col min="4091" max="4091" width="8" style="109" customWidth="1"/>
    <col min="4092" max="4092" width="8" style="109" bestFit="1" customWidth="1"/>
    <col min="4093" max="4093" width="9" style="109" bestFit="1" customWidth="1"/>
    <col min="4094" max="4094" width="12" style="109" bestFit="1" customWidth="1"/>
    <col min="4095" max="4116" width="9" style="109" bestFit="1" customWidth="1"/>
    <col min="4117" max="4117" width="7.81640625" style="109" bestFit="1" customWidth="1"/>
    <col min="4118" max="4118" width="4.54296875" style="109" bestFit="1" customWidth="1"/>
    <col min="4119" max="4119" width="14.1796875" style="109" bestFit="1" customWidth="1"/>
    <col min="4120" max="4345" width="10.90625" style="109"/>
    <col min="4346" max="4346" width="1.81640625" style="109" customWidth="1"/>
    <col min="4347" max="4347" width="8" style="109" customWidth="1"/>
    <col min="4348" max="4348" width="8" style="109" bestFit="1" customWidth="1"/>
    <col min="4349" max="4349" width="9" style="109" bestFit="1" customWidth="1"/>
    <col min="4350" max="4350" width="12" style="109" bestFit="1" customWidth="1"/>
    <col min="4351" max="4372" width="9" style="109" bestFit="1" customWidth="1"/>
    <col min="4373" max="4373" width="7.81640625" style="109" bestFit="1" customWidth="1"/>
    <col min="4374" max="4374" width="4.54296875" style="109" bestFit="1" customWidth="1"/>
    <col min="4375" max="4375" width="14.1796875" style="109" bestFit="1" customWidth="1"/>
    <col min="4376" max="4601" width="10.90625" style="109"/>
    <col min="4602" max="4602" width="1.81640625" style="109" customWidth="1"/>
    <col min="4603" max="4603" width="8" style="109" customWidth="1"/>
    <col min="4604" max="4604" width="8" style="109" bestFit="1" customWidth="1"/>
    <col min="4605" max="4605" width="9" style="109" bestFit="1" customWidth="1"/>
    <col min="4606" max="4606" width="12" style="109" bestFit="1" customWidth="1"/>
    <col min="4607" max="4628" width="9" style="109" bestFit="1" customWidth="1"/>
    <col min="4629" max="4629" width="7.81640625" style="109" bestFit="1" customWidth="1"/>
    <col min="4630" max="4630" width="4.54296875" style="109" bestFit="1" customWidth="1"/>
    <col min="4631" max="4631" width="14.1796875" style="109" bestFit="1" customWidth="1"/>
    <col min="4632" max="4857" width="10.90625" style="109"/>
    <col min="4858" max="4858" width="1.81640625" style="109" customWidth="1"/>
    <col min="4859" max="4859" width="8" style="109" customWidth="1"/>
    <col min="4860" max="4860" width="8" style="109" bestFit="1" customWidth="1"/>
    <col min="4861" max="4861" width="9" style="109" bestFit="1" customWidth="1"/>
    <col min="4862" max="4862" width="12" style="109" bestFit="1" customWidth="1"/>
    <col min="4863" max="4884" width="9" style="109" bestFit="1" customWidth="1"/>
    <col min="4885" max="4885" width="7.81640625" style="109" bestFit="1" customWidth="1"/>
    <col min="4886" max="4886" width="4.54296875" style="109" bestFit="1" customWidth="1"/>
    <col min="4887" max="4887" width="14.1796875" style="109" bestFit="1" customWidth="1"/>
    <col min="4888" max="5113" width="10.90625" style="109"/>
    <col min="5114" max="5114" width="1.81640625" style="109" customWidth="1"/>
    <col min="5115" max="5115" width="8" style="109" customWidth="1"/>
    <col min="5116" max="5116" width="8" style="109" bestFit="1" customWidth="1"/>
    <col min="5117" max="5117" width="9" style="109" bestFit="1" customWidth="1"/>
    <col min="5118" max="5118" width="12" style="109" bestFit="1" customWidth="1"/>
    <col min="5119" max="5140" width="9" style="109" bestFit="1" customWidth="1"/>
    <col min="5141" max="5141" width="7.81640625" style="109" bestFit="1" customWidth="1"/>
    <col min="5142" max="5142" width="4.54296875" style="109" bestFit="1" customWidth="1"/>
    <col min="5143" max="5143" width="14.1796875" style="109" bestFit="1" customWidth="1"/>
    <col min="5144" max="5369" width="10.90625" style="109"/>
    <col min="5370" max="5370" width="1.81640625" style="109" customWidth="1"/>
    <col min="5371" max="5371" width="8" style="109" customWidth="1"/>
    <col min="5372" max="5372" width="8" style="109" bestFit="1" customWidth="1"/>
    <col min="5373" max="5373" width="9" style="109" bestFit="1" customWidth="1"/>
    <col min="5374" max="5374" width="12" style="109" bestFit="1" customWidth="1"/>
    <col min="5375" max="5396" width="9" style="109" bestFit="1" customWidth="1"/>
    <col min="5397" max="5397" width="7.81640625" style="109" bestFit="1" customWidth="1"/>
    <col min="5398" max="5398" width="4.54296875" style="109" bestFit="1" customWidth="1"/>
    <col min="5399" max="5399" width="14.1796875" style="109" bestFit="1" customWidth="1"/>
    <col min="5400" max="5625" width="10.90625" style="109"/>
    <col min="5626" max="5626" width="1.81640625" style="109" customWidth="1"/>
    <col min="5627" max="5627" width="8" style="109" customWidth="1"/>
    <col min="5628" max="5628" width="8" style="109" bestFit="1" customWidth="1"/>
    <col min="5629" max="5629" width="9" style="109" bestFit="1" customWidth="1"/>
    <col min="5630" max="5630" width="12" style="109" bestFit="1" customWidth="1"/>
    <col min="5631" max="5652" width="9" style="109" bestFit="1" customWidth="1"/>
    <col min="5653" max="5653" width="7.81640625" style="109" bestFit="1" customWidth="1"/>
    <col min="5654" max="5654" width="4.54296875" style="109" bestFit="1" customWidth="1"/>
    <col min="5655" max="5655" width="14.1796875" style="109" bestFit="1" customWidth="1"/>
    <col min="5656" max="5881" width="10.90625" style="109"/>
    <col min="5882" max="5882" width="1.81640625" style="109" customWidth="1"/>
    <col min="5883" max="5883" width="8" style="109" customWidth="1"/>
    <col min="5884" max="5884" width="8" style="109" bestFit="1" customWidth="1"/>
    <col min="5885" max="5885" width="9" style="109" bestFit="1" customWidth="1"/>
    <col min="5886" max="5886" width="12" style="109" bestFit="1" customWidth="1"/>
    <col min="5887" max="5908" width="9" style="109" bestFit="1" customWidth="1"/>
    <col min="5909" max="5909" width="7.81640625" style="109" bestFit="1" customWidth="1"/>
    <col min="5910" max="5910" width="4.54296875" style="109" bestFit="1" customWidth="1"/>
    <col min="5911" max="5911" width="14.1796875" style="109" bestFit="1" customWidth="1"/>
    <col min="5912" max="6137" width="10.90625" style="109"/>
    <col min="6138" max="6138" width="1.81640625" style="109" customWidth="1"/>
    <col min="6139" max="6139" width="8" style="109" customWidth="1"/>
    <col min="6140" max="6140" width="8" style="109" bestFit="1" customWidth="1"/>
    <col min="6141" max="6141" width="9" style="109" bestFit="1" customWidth="1"/>
    <col min="6142" max="6142" width="12" style="109" bestFit="1" customWidth="1"/>
    <col min="6143" max="6164" width="9" style="109" bestFit="1" customWidth="1"/>
    <col min="6165" max="6165" width="7.81640625" style="109" bestFit="1" customWidth="1"/>
    <col min="6166" max="6166" width="4.54296875" style="109" bestFit="1" customWidth="1"/>
    <col min="6167" max="6167" width="14.1796875" style="109" bestFit="1" customWidth="1"/>
    <col min="6168" max="6393" width="10.90625" style="109"/>
    <col min="6394" max="6394" width="1.81640625" style="109" customWidth="1"/>
    <col min="6395" max="6395" width="8" style="109" customWidth="1"/>
    <col min="6396" max="6396" width="8" style="109" bestFit="1" customWidth="1"/>
    <col min="6397" max="6397" width="9" style="109" bestFit="1" customWidth="1"/>
    <col min="6398" max="6398" width="12" style="109" bestFit="1" customWidth="1"/>
    <col min="6399" max="6420" width="9" style="109" bestFit="1" customWidth="1"/>
    <col min="6421" max="6421" width="7.81640625" style="109" bestFit="1" customWidth="1"/>
    <col min="6422" max="6422" width="4.54296875" style="109" bestFit="1" customWidth="1"/>
    <col min="6423" max="6423" width="14.1796875" style="109" bestFit="1" customWidth="1"/>
    <col min="6424" max="6649" width="10.90625" style="109"/>
    <col min="6650" max="6650" width="1.81640625" style="109" customWidth="1"/>
    <col min="6651" max="6651" width="8" style="109" customWidth="1"/>
    <col min="6652" max="6652" width="8" style="109" bestFit="1" customWidth="1"/>
    <col min="6653" max="6653" width="9" style="109" bestFit="1" customWidth="1"/>
    <col min="6654" max="6654" width="12" style="109" bestFit="1" customWidth="1"/>
    <col min="6655" max="6676" width="9" style="109" bestFit="1" customWidth="1"/>
    <col min="6677" max="6677" width="7.81640625" style="109" bestFit="1" customWidth="1"/>
    <col min="6678" max="6678" width="4.54296875" style="109" bestFit="1" customWidth="1"/>
    <col min="6679" max="6679" width="14.1796875" style="109" bestFit="1" customWidth="1"/>
    <col min="6680" max="6905" width="10.90625" style="109"/>
    <col min="6906" max="6906" width="1.81640625" style="109" customWidth="1"/>
    <col min="6907" max="6907" width="8" style="109" customWidth="1"/>
    <col min="6908" max="6908" width="8" style="109" bestFit="1" customWidth="1"/>
    <col min="6909" max="6909" width="9" style="109" bestFit="1" customWidth="1"/>
    <col min="6910" max="6910" width="12" style="109" bestFit="1" customWidth="1"/>
    <col min="6911" max="6932" width="9" style="109" bestFit="1" customWidth="1"/>
    <col min="6933" max="6933" width="7.81640625" style="109" bestFit="1" customWidth="1"/>
    <col min="6934" max="6934" width="4.54296875" style="109" bestFit="1" customWidth="1"/>
    <col min="6935" max="6935" width="14.1796875" style="109" bestFit="1" customWidth="1"/>
    <col min="6936" max="7161" width="10.90625" style="109"/>
    <col min="7162" max="7162" width="1.81640625" style="109" customWidth="1"/>
    <col min="7163" max="7163" width="8" style="109" customWidth="1"/>
    <col min="7164" max="7164" width="8" style="109" bestFit="1" customWidth="1"/>
    <col min="7165" max="7165" width="9" style="109" bestFit="1" customWidth="1"/>
    <col min="7166" max="7166" width="12" style="109" bestFit="1" customWidth="1"/>
    <col min="7167" max="7188" width="9" style="109" bestFit="1" customWidth="1"/>
    <col min="7189" max="7189" width="7.81640625" style="109" bestFit="1" customWidth="1"/>
    <col min="7190" max="7190" width="4.54296875" style="109" bestFit="1" customWidth="1"/>
    <col min="7191" max="7191" width="14.1796875" style="109" bestFit="1" customWidth="1"/>
    <col min="7192" max="7417" width="10.90625" style="109"/>
    <col min="7418" max="7418" width="1.81640625" style="109" customWidth="1"/>
    <col min="7419" max="7419" width="8" style="109" customWidth="1"/>
    <col min="7420" max="7420" width="8" style="109" bestFit="1" customWidth="1"/>
    <col min="7421" max="7421" width="9" style="109" bestFit="1" customWidth="1"/>
    <col min="7422" max="7422" width="12" style="109" bestFit="1" customWidth="1"/>
    <col min="7423" max="7444" width="9" style="109" bestFit="1" customWidth="1"/>
    <col min="7445" max="7445" width="7.81640625" style="109" bestFit="1" customWidth="1"/>
    <col min="7446" max="7446" width="4.54296875" style="109" bestFit="1" customWidth="1"/>
    <col min="7447" max="7447" width="14.1796875" style="109" bestFit="1" customWidth="1"/>
    <col min="7448" max="7673" width="10.90625" style="109"/>
    <col min="7674" max="7674" width="1.81640625" style="109" customWidth="1"/>
    <col min="7675" max="7675" width="8" style="109" customWidth="1"/>
    <col min="7676" max="7676" width="8" style="109" bestFit="1" customWidth="1"/>
    <col min="7677" max="7677" width="9" style="109" bestFit="1" customWidth="1"/>
    <col min="7678" max="7678" width="12" style="109" bestFit="1" customWidth="1"/>
    <col min="7679" max="7700" width="9" style="109" bestFit="1" customWidth="1"/>
    <col min="7701" max="7701" width="7.81640625" style="109" bestFit="1" customWidth="1"/>
    <col min="7702" max="7702" width="4.54296875" style="109" bestFit="1" customWidth="1"/>
    <col min="7703" max="7703" width="14.1796875" style="109" bestFit="1" customWidth="1"/>
    <col min="7704" max="7929" width="10.90625" style="109"/>
    <col min="7930" max="7930" width="1.81640625" style="109" customWidth="1"/>
    <col min="7931" max="7931" width="8" style="109" customWidth="1"/>
    <col min="7932" max="7932" width="8" style="109" bestFit="1" customWidth="1"/>
    <col min="7933" max="7933" width="9" style="109" bestFit="1" customWidth="1"/>
    <col min="7934" max="7934" width="12" style="109" bestFit="1" customWidth="1"/>
    <col min="7935" max="7956" width="9" style="109" bestFit="1" customWidth="1"/>
    <col min="7957" max="7957" width="7.81640625" style="109" bestFit="1" customWidth="1"/>
    <col min="7958" max="7958" width="4.54296875" style="109" bestFit="1" customWidth="1"/>
    <col min="7959" max="7959" width="14.1796875" style="109" bestFit="1" customWidth="1"/>
    <col min="7960" max="8185" width="10.90625" style="109"/>
    <col min="8186" max="8186" width="1.81640625" style="109" customWidth="1"/>
    <col min="8187" max="8187" width="8" style="109" customWidth="1"/>
    <col min="8188" max="8188" width="8" style="109" bestFit="1" customWidth="1"/>
    <col min="8189" max="8189" width="9" style="109" bestFit="1" customWidth="1"/>
    <col min="8190" max="8190" width="12" style="109" bestFit="1" customWidth="1"/>
    <col min="8191" max="8212" width="9" style="109" bestFit="1" customWidth="1"/>
    <col min="8213" max="8213" width="7.81640625" style="109" bestFit="1" customWidth="1"/>
    <col min="8214" max="8214" width="4.54296875" style="109" bestFit="1" customWidth="1"/>
    <col min="8215" max="8215" width="14.1796875" style="109" bestFit="1" customWidth="1"/>
    <col min="8216" max="8441" width="10.90625" style="109"/>
    <col min="8442" max="8442" width="1.81640625" style="109" customWidth="1"/>
    <col min="8443" max="8443" width="8" style="109" customWidth="1"/>
    <col min="8444" max="8444" width="8" style="109" bestFit="1" customWidth="1"/>
    <col min="8445" max="8445" width="9" style="109" bestFit="1" customWidth="1"/>
    <col min="8446" max="8446" width="12" style="109" bestFit="1" customWidth="1"/>
    <col min="8447" max="8468" width="9" style="109" bestFit="1" customWidth="1"/>
    <col min="8469" max="8469" width="7.81640625" style="109" bestFit="1" customWidth="1"/>
    <col min="8470" max="8470" width="4.54296875" style="109" bestFit="1" customWidth="1"/>
    <col min="8471" max="8471" width="14.1796875" style="109" bestFit="1" customWidth="1"/>
    <col min="8472" max="8697" width="10.90625" style="109"/>
    <col min="8698" max="8698" width="1.81640625" style="109" customWidth="1"/>
    <col min="8699" max="8699" width="8" style="109" customWidth="1"/>
    <col min="8700" max="8700" width="8" style="109" bestFit="1" customWidth="1"/>
    <col min="8701" max="8701" width="9" style="109" bestFit="1" customWidth="1"/>
    <col min="8702" max="8702" width="12" style="109" bestFit="1" customWidth="1"/>
    <col min="8703" max="8724" width="9" style="109" bestFit="1" customWidth="1"/>
    <col min="8725" max="8725" width="7.81640625" style="109" bestFit="1" customWidth="1"/>
    <col min="8726" max="8726" width="4.54296875" style="109" bestFit="1" customWidth="1"/>
    <col min="8727" max="8727" width="14.1796875" style="109" bestFit="1" customWidth="1"/>
    <col min="8728" max="8953" width="10.90625" style="109"/>
    <col min="8954" max="8954" width="1.81640625" style="109" customWidth="1"/>
    <col min="8955" max="8955" width="8" style="109" customWidth="1"/>
    <col min="8956" max="8956" width="8" style="109" bestFit="1" customWidth="1"/>
    <col min="8957" max="8957" width="9" style="109" bestFit="1" customWidth="1"/>
    <col min="8958" max="8958" width="12" style="109" bestFit="1" customWidth="1"/>
    <col min="8959" max="8980" width="9" style="109" bestFit="1" customWidth="1"/>
    <col min="8981" max="8981" width="7.81640625" style="109" bestFit="1" customWidth="1"/>
    <col min="8982" max="8982" width="4.54296875" style="109" bestFit="1" customWidth="1"/>
    <col min="8983" max="8983" width="14.1796875" style="109" bestFit="1" customWidth="1"/>
    <col min="8984" max="9209" width="10.90625" style="109"/>
    <col min="9210" max="9210" width="1.81640625" style="109" customWidth="1"/>
    <col min="9211" max="9211" width="8" style="109" customWidth="1"/>
    <col min="9212" max="9212" width="8" style="109" bestFit="1" customWidth="1"/>
    <col min="9213" max="9213" width="9" style="109" bestFit="1" customWidth="1"/>
    <col min="9214" max="9214" width="12" style="109" bestFit="1" customWidth="1"/>
    <col min="9215" max="9236" width="9" style="109" bestFit="1" customWidth="1"/>
    <col min="9237" max="9237" width="7.81640625" style="109" bestFit="1" customWidth="1"/>
    <col min="9238" max="9238" width="4.54296875" style="109" bestFit="1" customWidth="1"/>
    <col min="9239" max="9239" width="14.1796875" style="109" bestFit="1" customWidth="1"/>
    <col min="9240" max="9465" width="10.90625" style="109"/>
    <col min="9466" max="9466" width="1.81640625" style="109" customWidth="1"/>
    <col min="9467" max="9467" width="8" style="109" customWidth="1"/>
    <col min="9468" max="9468" width="8" style="109" bestFit="1" customWidth="1"/>
    <col min="9469" max="9469" width="9" style="109" bestFit="1" customWidth="1"/>
    <col min="9470" max="9470" width="12" style="109" bestFit="1" customWidth="1"/>
    <col min="9471" max="9492" width="9" style="109" bestFit="1" customWidth="1"/>
    <col min="9493" max="9493" width="7.81640625" style="109" bestFit="1" customWidth="1"/>
    <col min="9494" max="9494" width="4.54296875" style="109" bestFit="1" customWidth="1"/>
    <col min="9495" max="9495" width="14.1796875" style="109" bestFit="1" customWidth="1"/>
    <col min="9496" max="9721" width="10.90625" style="109"/>
    <col min="9722" max="9722" width="1.81640625" style="109" customWidth="1"/>
    <col min="9723" max="9723" width="8" style="109" customWidth="1"/>
    <col min="9724" max="9724" width="8" style="109" bestFit="1" customWidth="1"/>
    <col min="9725" max="9725" width="9" style="109" bestFit="1" customWidth="1"/>
    <col min="9726" max="9726" width="12" style="109" bestFit="1" customWidth="1"/>
    <col min="9727" max="9748" width="9" style="109" bestFit="1" customWidth="1"/>
    <col min="9749" max="9749" width="7.81640625" style="109" bestFit="1" customWidth="1"/>
    <col min="9750" max="9750" width="4.54296875" style="109" bestFit="1" customWidth="1"/>
    <col min="9751" max="9751" width="14.1796875" style="109" bestFit="1" customWidth="1"/>
    <col min="9752" max="9977" width="10.90625" style="109"/>
    <col min="9978" max="9978" width="1.81640625" style="109" customWidth="1"/>
    <col min="9979" max="9979" width="8" style="109" customWidth="1"/>
    <col min="9980" max="9980" width="8" style="109" bestFit="1" customWidth="1"/>
    <col min="9981" max="9981" width="9" style="109" bestFit="1" customWidth="1"/>
    <col min="9982" max="9982" width="12" style="109" bestFit="1" customWidth="1"/>
    <col min="9983" max="10004" width="9" style="109" bestFit="1" customWidth="1"/>
    <col min="10005" max="10005" width="7.81640625" style="109" bestFit="1" customWidth="1"/>
    <col min="10006" max="10006" width="4.54296875" style="109" bestFit="1" customWidth="1"/>
    <col min="10007" max="10007" width="14.1796875" style="109" bestFit="1" customWidth="1"/>
    <col min="10008" max="10233" width="10.90625" style="109"/>
    <col min="10234" max="10234" width="1.81640625" style="109" customWidth="1"/>
    <col min="10235" max="10235" width="8" style="109" customWidth="1"/>
    <col min="10236" max="10236" width="8" style="109" bestFit="1" customWidth="1"/>
    <col min="10237" max="10237" width="9" style="109" bestFit="1" customWidth="1"/>
    <col min="10238" max="10238" width="12" style="109" bestFit="1" customWidth="1"/>
    <col min="10239" max="10260" width="9" style="109" bestFit="1" customWidth="1"/>
    <col min="10261" max="10261" width="7.81640625" style="109" bestFit="1" customWidth="1"/>
    <col min="10262" max="10262" width="4.54296875" style="109" bestFit="1" customWidth="1"/>
    <col min="10263" max="10263" width="14.1796875" style="109" bestFit="1" customWidth="1"/>
    <col min="10264" max="10489" width="10.90625" style="109"/>
    <col min="10490" max="10490" width="1.81640625" style="109" customWidth="1"/>
    <col min="10491" max="10491" width="8" style="109" customWidth="1"/>
    <col min="10492" max="10492" width="8" style="109" bestFit="1" customWidth="1"/>
    <col min="10493" max="10493" width="9" style="109" bestFit="1" customWidth="1"/>
    <col min="10494" max="10494" width="12" style="109" bestFit="1" customWidth="1"/>
    <col min="10495" max="10516" width="9" style="109" bestFit="1" customWidth="1"/>
    <col min="10517" max="10517" width="7.81640625" style="109" bestFit="1" customWidth="1"/>
    <col min="10518" max="10518" width="4.54296875" style="109" bestFit="1" customWidth="1"/>
    <col min="10519" max="10519" width="14.1796875" style="109" bestFit="1" customWidth="1"/>
    <col min="10520" max="10745" width="10.90625" style="109"/>
    <col min="10746" max="10746" width="1.81640625" style="109" customWidth="1"/>
    <col min="10747" max="10747" width="8" style="109" customWidth="1"/>
    <col min="10748" max="10748" width="8" style="109" bestFit="1" customWidth="1"/>
    <col min="10749" max="10749" width="9" style="109" bestFit="1" customWidth="1"/>
    <col min="10750" max="10750" width="12" style="109" bestFit="1" customWidth="1"/>
    <col min="10751" max="10772" width="9" style="109" bestFit="1" customWidth="1"/>
    <col min="10773" max="10773" width="7.81640625" style="109" bestFit="1" customWidth="1"/>
    <col min="10774" max="10774" width="4.54296875" style="109" bestFit="1" customWidth="1"/>
    <col min="10775" max="10775" width="14.1796875" style="109" bestFit="1" customWidth="1"/>
    <col min="10776" max="11001" width="10.90625" style="109"/>
    <col min="11002" max="11002" width="1.81640625" style="109" customWidth="1"/>
    <col min="11003" max="11003" width="8" style="109" customWidth="1"/>
    <col min="11004" max="11004" width="8" style="109" bestFit="1" customWidth="1"/>
    <col min="11005" max="11005" width="9" style="109" bestFit="1" customWidth="1"/>
    <col min="11006" max="11006" width="12" style="109" bestFit="1" customWidth="1"/>
    <col min="11007" max="11028" width="9" style="109" bestFit="1" customWidth="1"/>
    <col min="11029" max="11029" width="7.81640625" style="109" bestFit="1" customWidth="1"/>
    <col min="11030" max="11030" width="4.54296875" style="109" bestFit="1" customWidth="1"/>
    <col min="11031" max="11031" width="14.1796875" style="109" bestFit="1" customWidth="1"/>
    <col min="11032" max="11257" width="10.90625" style="109"/>
    <col min="11258" max="11258" width="1.81640625" style="109" customWidth="1"/>
    <col min="11259" max="11259" width="8" style="109" customWidth="1"/>
    <col min="11260" max="11260" width="8" style="109" bestFit="1" customWidth="1"/>
    <col min="11261" max="11261" width="9" style="109" bestFit="1" customWidth="1"/>
    <col min="11262" max="11262" width="12" style="109" bestFit="1" customWidth="1"/>
    <col min="11263" max="11284" width="9" style="109" bestFit="1" customWidth="1"/>
    <col min="11285" max="11285" width="7.81640625" style="109" bestFit="1" customWidth="1"/>
    <col min="11286" max="11286" width="4.54296875" style="109" bestFit="1" customWidth="1"/>
    <col min="11287" max="11287" width="14.1796875" style="109" bestFit="1" customWidth="1"/>
    <col min="11288" max="11513" width="10.90625" style="109"/>
    <col min="11514" max="11514" width="1.81640625" style="109" customWidth="1"/>
    <col min="11515" max="11515" width="8" style="109" customWidth="1"/>
    <col min="11516" max="11516" width="8" style="109" bestFit="1" customWidth="1"/>
    <col min="11517" max="11517" width="9" style="109" bestFit="1" customWidth="1"/>
    <col min="11518" max="11518" width="12" style="109" bestFit="1" customWidth="1"/>
    <col min="11519" max="11540" width="9" style="109" bestFit="1" customWidth="1"/>
    <col min="11541" max="11541" width="7.81640625" style="109" bestFit="1" customWidth="1"/>
    <col min="11542" max="11542" width="4.54296875" style="109" bestFit="1" customWidth="1"/>
    <col min="11543" max="11543" width="14.1796875" style="109" bestFit="1" customWidth="1"/>
    <col min="11544" max="11769" width="10.90625" style="109"/>
    <col min="11770" max="11770" width="1.81640625" style="109" customWidth="1"/>
    <col min="11771" max="11771" width="8" style="109" customWidth="1"/>
    <col min="11772" max="11772" width="8" style="109" bestFit="1" customWidth="1"/>
    <col min="11773" max="11773" width="9" style="109" bestFit="1" customWidth="1"/>
    <col min="11774" max="11774" width="12" style="109" bestFit="1" customWidth="1"/>
    <col min="11775" max="11796" width="9" style="109" bestFit="1" customWidth="1"/>
    <col min="11797" max="11797" width="7.81640625" style="109" bestFit="1" customWidth="1"/>
    <col min="11798" max="11798" width="4.54296875" style="109" bestFit="1" customWidth="1"/>
    <col min="11799" max="11799" width="14.1796875" style="109" bestFit="1" customWidth="1"/>
    <col min="11800" max="12025" width="10.90625" style="109"/>
    <col min="12026" max="12026" width="1.81640625" style="109" customWidth="1"/>
    <col min="12027" max="12027" width="8" style="109" customWidth="1"/>
    <col min="12028" max="12028" width="8" style="109" bestFit="1" customWidth="1"/>
    <col min="12029" max="12029" width="9" style="109" bestFit="1" customWidth="1"/>
    <col min="12030" max="12030" width="12" style="109" bestFit="1" customWidth="1"/>
    <col min="12031" max="12052" width="9" style="109" bestFit="1" customWidth="1"/>
    <col min="12053" max="12053" width="7.81640625" style="109" bestFit="1" customWidth="1"/>
    <col min="12054" max="12054" width="4.54296875" style="109" bestFit="1" customWidth="1"/>
    <col min="12055" max="12055" width="14.1796875" style="109" bestFit="1" customWidth="1"/>
    <col min="12056" max="12281" width="10.90625" style="109"/>
    <col min="12282" max="12282" width="1.81640625" style="109" customWidth="1"/>
    <col min="12283" max="12283" width="8" style="109" customWidth="1"/>
    <col min="12284" max="12284" width="8" style="109" bestFit="1" customWidth="1"/>
    <col min="12285" max="12285" width="9" style="109" bestFit="1" customWidth="1"/>
    <col min="12286" max="12286" width="12" style="109" bestFit="1" customWidth="1"/>
    <col min="12287" max="12308" width="9" style="109" bestFit="1" customWidth="1"/>
    <col min="12309" max="12309" width="7.81640625" style="109" bestFit="1" customWidth="1"/>
    <col min="12310" max="12310" width="4.54296875" style="109" bestFit="1" customWidth="1"/>
    <col min="12311" max="12311" width="14.1796875" style="109" bestFit="1" customWidth="1"/>
    <col min="12312" max="12537" width="10.90625" style="109"/>
    <col min="12538" max="12538" width="1.81640625" style="109" customWidth="1"/>
    <col min="12539" max="12539" width="8" style="109" customWidth="1"/>
    <col min="12540" max="12540" width="8" style="109" bestFit="1" customWidth="1"/>
    <col min="12541" max="12541" width="9" style="109" bestFit="1" customWidth="1"/>
    <col min="12542" max="12542" width="12" style="109" bestFit="1" customWidth="1"/>
    <col min="12543" max="12564" width="9" style="109" bestFit="1" customWidth="1"/>
    <col min="12565" max="12565" width="7.81640625" style="109" bestFit="1" customWidth="1"/>
    <col min="12566" max="12566" width="4.54296875" style="109" bestFit="1" customWidth="1"/>
    <col min="12567" max="12567" width="14.1796875" style="109" bestFit="1" customWidth="1"/>
    <col min="12568" max="12793" width="10.90625" style="109"/>
    <col min="12794" max="12794" width="1.81640625" style="109" customWidth="1"/>
    <col min="12795" max="12795" width="8" style="109" customWidth="1"/>
    <col min="12796" max="12796" width="8" style="109" bestFit="1" customWidth="1"/>
    <col min="12797" max="12797" width="9" style="109" bestFit="1" customWidth="1"/>
    <col min="12798" max="12798" width="12" style="109" bestFit="1" customWidth="1"/>
    <col min="12799" max="12820" width="9" style="109" bestFit="1" customWidth="1"/>
    <col min="12821" max="12821" width="7.81640625" style="109" bestFit="1" customWidth="1"/>
    <col min="12822" max="12822" width="4.54296875" style="109" bestFit="1" customWidth="1"/>
    <col min="12823" max="12823" width="14.1796875" style="109" bestFit="1" customWidth="1"/>
    <col min="12824" max="13049" width="10.90625" style="109"/>
    <col min="13050" max="13050" width="1.81640625" style="109" customWidth="1"/>
    <col min="13051" max="13051" width="8" style="109" customWidth="1"/>
    <col min="13052" max="13052" width="8" style="109" bestFit="1" customWidth="1"/>
    <col min="13053" max="13053" width="9" style="109" bestFit="1" customWidth="1"/>
    <col min="13054" max="13054" width="12" style="109" bestFit="1" customWidth="1"/>
    <col min="13055" max="13076" width="9" style="109" bestFit="1" customWidth="1"/>
    <col min="13077" max="13077" width="7.81640625" style="109" bestFit="1" customWidth="1"/>
    <col min="13078" max="13078" width="4.54296875" style="109" bestFit="1" customWidth="1"/>
    <col min="13079" max="13079" width="14.1796875" style="109" bestFit="1" customWidth="1"/>
    <col min="13080" max="13305" width="10.90625" style="109"/>
    <col min="13306" max="13306" width="1.81640625" style="109" customWidth="1"/>
    <col min="13307" max="13307" width="8" style="109" customWidth="1"/>
    <col min="13308" max="13308" width="8" style="109" bestFit="1" customWidth="1"/>
    <col min="13309" max="13309" width="9" style="109" bestFit="1" customWidth="1"/>
    <col min="13310" max="13310" width="12" style="109" bestFit="1" customWidth="1"/>
    <col min="13311" max="13332" width="9" style="109" bestFit="1" customWidth="1"/>
    <col min="13333" max="13333" width="7.81640625" style="109" bestFit="1" customWidth="1"/>
    <col min="13334" max="13334" width="4.54296875" style="109" bestFit="1" customWidth="1"/>
    <col min="13335" max="13335" width="14.1796875" style="109" bestFit="1" customWidth="1"/>
    <col min="13336" max="13561" width="10.90625" style="109"/>
    <col min="13562" max="13562" width="1.81640625" style="109" customWidth="1"/>
    <col min="13563" max="13563" width="8" style="109" customWidth="1"/>
    <col min="13564" max="13564" width="8" style="109" bestFit="1" customWidth="1"/>
    <col min="13565" max="13565" width="9" style="109" bestFit="1" customWidth="1"/>
    <col min="13566" max="13566" width="12" style="109" bestFit="1" customWidth="1"/>
    <col min="13567" max="13588" width="9" style="109" bestFit="1" customWidth="1"/>
    <col min="13589" max="13589" width="7.81640625" style="109" bestFit="1" customWidth="1"/>
    <col min="13590" max="13590" width="4.54296875" style="109" bestFit="1" customWidth="1"/>
    <col min="13591" max="13591" width="14.1796875" style="109" bestFit="1" customWidth="1"/>
    <col min="13592" max="13817" width="10.90625" style="109"/>
    <col min="13818" max="13818" width="1.81640625" style="109" customWidth="1"/>
    <col min="13819" max="13819" width="8" style="109" customWidth="1"/>
    <col min="13820" max="13820" width="8" style="109" bestFit="1" customWidth="1"/>
    <col min="13821" max="13821" width="9" style="109" bestFit="1" customWidth="1"/>
    <col min="13822" max="13822" width="12" style="109" bestFit="1" customWidth="1"/>
    <col min="13823" max="13844" width="9" style="109" bestFit="1" customWidth="1"/>
    <col min="13845" max="13845" width="7.81640625" style="109" bestFit="1" customWidth="1"/>
    <col min="13846" max="13846" width="4.54296875" style="109" bestFit="1" customWidth="1"/>
    <col min="13847" max="13847" width="14.1796875" style="109" bestFit="1" customWidth="1"/>
    <col min="13848" max="14073" width="10.90625" style="109"/>
    <col min="14074" max="14074" width="1.81640625" style="109" customWidth="1"/>
    <col min="14075" max="14075" width="8" style="109" customWidth="1"/>
    <col min="14076" max="14076" width="8" style="109" bestFit="1" customWidth="1"/>
    <col min="14077" max="14077" width="9" style="109" bestFit="1" customWidth="1"/>
    <col min="14078" max="14078" width="12" style="109" bestFit="1" customWidth="1"/>
    <col min="14079" max="14100" width="9" style="109" bestFit="1" customWidth="1"/>
    <col min="14101" max="14101" width="7.81640625" style="109" bestFit="1" customWidth="1"/>
    <col min="14102" max="14102" width="4.54296875" style="109" bestFit="1" customWidth="1"/>
    <col min="14103" max="14103" width="14.1796875" style="109" bestFit="1" customWidth="1"/>
    <col min="14104" max="14329" width="10.90625" style="109"/>
    <col min="14330" max="14330" width="1.81640625" style="109" customWidth="1"/>
    <col min="14331" max="14331" width="8" style="109" customWidth="1"/>
    <col min="14332" max="14332" width="8" style="109" bestFit="1" customWidth="1"/>
    <col min="14333" max="14333" width="9" style="109" bestFit="1" customWidth="1"/>
    <col min="14334" max="14334" width="12" style="109" bestFit="1" customWidth="1"/>
    <col min="14335" max="14356" width="9" style="109" bestFit="1" customWidth="1"/>
    <col min="14357" max="14357" width="7.81640625" style="109" bestFit="1" customWidth="1"/>
    <col min="14358" max="14358" width="4.54296875" style="109" bestFit="1" customWidth="1"/>
    <col min="14359" max="14359" width="14.1796875" style="109" bestFit="1" customWidth="1"/>
    <col min="14360" max="14585" width="10.90625" style="109"/>
    <col min="14586" max="14586" width="1.81640625" style="109" customWidth="1"/>
    <col min="14587" max="14587" width="8" style="109" customWidth="1"/>
    <col min="14588" max="14588" width="8" style="109" bestFit="1" customWidth="1"/>
    <col min="14589" max="14589" width="9" style="109" bestFit="1" customWidth="1"/>
    <col min="14590" max="14590" width="12" style="109" bestFit="1" customWidth="1"/>
    <col min="14591" max="14612" width="9" style="109" bestFit="1" customWidth="1"/>
    <col min="14613" max="14613" width="7.81640625" style="109" bestFit="1" customWidth="1"/>
    <col min="14614" max="14614" width="4.54296875" style="109" bestFit="1" customWidth="1"/>
    <col min="14615" max="14615" width="14.1796875" style="109" bestFit="1" customWidth="1"/>
    <col min="14616" max="14841" width="10.90625" style="109"/>
    <col min="14842" max="14842" width="1.81640625" style="109" customWidth="1"/>
    <col min="14843" max="14843" width="8" style="109" customWidth="1"/>
    <col min="14844" max="14844" width="8" style="109" bestFit="1" customWidth="1"/>
    <col min="14845" max="14845" width="9" style="109" bestFit="1" customWidth="1"/>
    <col min="14846" max="14846" width="12" style="109" bestFit="1" customWidth="1"/>
    <col min="14847" max="14868" width="9" style="109" bestFit="1" customWidth="1"/>
    <col min="14869" max="14869" width="7.81640625" style="109" bestFit="1" customWidth="1"/>
    <col min="14870" max="14870" width="4.54296875" style="109" bestFit="1" customWidth="1"/>
    <col min="14871" max="14871" width="14.1796875" style="109" bestFit="1" customWidth="1"/>
    <col min="14872" max="15097" width="10.90625" style="109"/>
    <col min="15098" max="15098" width="1.81640625" style="109" customWidth="1"/>
    <col min="15099" max="15099" width="8" style="109" customWidth="1"/>
    <col min="15100" max="15100" width="8" style="109" bestFit="1" customWidth="1"/>
    <col min="15101" max="15101" width="9" style="109" bestFit="1" customWidth="1"/>
    <col min="15102" max="15102" width="12" style="109" bestFit="1" customWidth="1"/>
    <col min="15103" max="15124" width="9" style="109" bestFit="1" customWidth="1"/>
    <col min="15125" max="15125" width="7.81640625" style="109" bestFit="1" customWidth="1"/>
    <col min="15126" max="15126" width="4.54296875" style="109" bestFit="1" customWidth="1"/>
    <col min="15127" max="15127" width="14.1796875" style="109" bestFit="1" customWidth="1"/>
    <col min="15128" max="15353" width="10.90625" style="109"/>
    <col min="15354" max="15354" width="1.81640625" style="109" customWidth="1"/>
    <col min="15355" max="15355" width="8" style="109" customWidth="1"/>
    <col min="15356" max="15356" width="8" style="109" bestFit="1" customWidth="1"/>
    <col min="15357" max="15357" width="9" style="109" bestFit="1" customWidth="1"/>
    <col min="15358" max="15358" width="12" style="109" bestFit="1" customWidth="1"/>
    <col min="15359" max="15380" width="9" style="109" bestFit="1" customWidth="1"/>
    <col min="15381" max="15381" width="7.81640625" style="109" bestFit="1" customWidth="1"/>
    <col min="15382" max="15382" width="4.54296875" style="109" bestFit="1" customWidth="1"/>
    <col min="15383" max="15383" width="14.1796875" style="109" bestFit="1" customWidth="1"/>
    <col min="15384" max="15609" width="10.90625" style="109"/>
    <col min="15610" max="15610" width="1.81640625" style="109" customWidth="1"/>
    <col min="15611" max="15611" width="8" style="109" customWidth="1"/>
    <col min="15612" max="15612" width="8" style="109" bestFit="1" customWidth="1"/>
    <col min="15613" max="15613" width="9" style="109" bestFit="1" customWidth="1"/>
    <col min="15614" max="15614" width="12" style="109" bestFit="1" customWidth="1"/>
    <col min="15615" max="15636" width="9" style="109" bestFit="1" customWidth="1"/>
    <col min="15637" max="15637" width="7.81640625" style="109" bestFit="1" customWidth="1"/>
    <col min="15638" max="15638" width="4.54296875" style="109" bestFit="1" customWidth="1"/>
    <col min="15639" max="15639" width="14.1796875" style="109" bestFit="1" customWidth="1"/>
    <col min="15640" max="15865" width="10.90625" style="109"/>
    <col min="15866" max="15866" width="1.81640625" style="109" customWidth="1"/>
    <col min="15867" max="15867" width="8" style="109" customWidth="1"/>
    <col min="15868" max="15868" width="8" style="109" bestFit="1" customWidth="1"/>
    <col min="15869" max="15869" width="9" style="109" bestFit="1" customWidth="1"/>
    <col min="15870" max="15870" width="12" style="109" bestFit="1" customWidth="1"/>
    <col min="15871" max="15892" width="9" style="109" bestFit="1" customWidth="1"/>
    <col min="15893" max="15893" width="7.81640625" style="109" bestFit="1" customWidth="1"/>
    <col min="15894" max="15894" width="4.54296875" style="109" bestFit="1" customWidth="1"/>
    <col min="15895" max="15895" width="14.1796875" style="109" bestFit="1" customWidth="1"/>
    <col min="15896" max="16121" width="10.90625" style="109"/>
    <col min="16122" max="16122" width="1.81640625" style="109" customWidth="1"/>
    <col min="16123" max="16123" width="8" style="109" customWidth="1"/>
    <col min="16124" max="16124" width="8" style="109" bestFit="1" customWidth="1"/>
    <col min="16125" max="16125" width="9" style="109" bestFit="1" customWidth="1"/>
    <col min="16126" max="16126" width="12" style="109" bestFit="1" customWidth="1"/>
    <col min="16127" max="16148" width="9" style="109" bestFit="1" customWidth="1"/>
    <col min="16149" max="16149" width="7.81640625" style="109" bestFit="1" customWidth="1"/>
    <col min="16150" max="16150" width="4.54296875" style="109" bestFit="1" customWidth="1"/>
    <col min="16151" max="16151" width="14.1796875" style="109" bestFit="1" customWidth="1"/>
    <col min="16152" max="16384" width="10.90625" style="109"/>
  </cols>
  <sheetData>
    <row r="2" spans="2:60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</row>
    <row r="3" spans="2:60">
      <c r="B3" s="113" t="s">
        <v>41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</row>
    <row r="4" spans="2:60" ht="15" thickBot="1">
      <c r="B4" s="114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 spans="2:60" ht="25.5" customHeight="1" thickBot="1">
      <c r="B5" s="115"/>
      <c r="C5" s="116" t="s">
        <v>1</v>
      </c>
      <c r="D5" s="117">
        <v>1</v>
      </c>
      <c r="E5" s="117">
        <v>2</v>
      </c>
      <c r="F5" s="117">
        <v>3</v>
      </c>
      <c r="G5" s="117">
        <v>4</v>
      </c>
      <c r="H5" s="117">
        <v>5</v>
      </c>
      <c r="I5" s="117">
        <v>6</v>
      </c>
      <c r="J5" s="118">
        <v>7</v>
      </c>
      <c r="K5" s="118">
        <v>8</v>
      </c>
      <c r="L5" s="118">
        <v>9</v>
      </c>
      <c r="M5" s="118">
        <v>10</v>
      </c>
      <c r="N5" s="118">
        <v>11</v>
      </c>
      <c r="O5" s="118">
        <v>12</v>
      </c>
      <c r="P5" s="118">
        <v>13</v>
      </c>
      <c r="Q5" s="118">
        <v>14</v>
      </c>
      <c r="R5" s="118">
        <v>15</v>
      </c>
      <c r="S5" s="118">
        <v>16</v>
      </c>
      <c r="T5" s="118">
        <v>17</v>
      </c>
      <c r="U5" s="118">
        <v>18</v>
      </c>
      <c r="V5" s="119">
        <v>19</v>
      </c>
      <c r="W5" s="119">
        <v>20</v>
      </c>
      <c r="X5" s="119">
        <v>21</v>
      </c>
      <c r="Y5" s="117">
        <v>22</v>
      </c>
      <c r="Z5" s="117">
        <v>23</v>
      </c>
      <c r="AA5" s="120">
        <v>24</v>
      </c>
      <c r="AB5" s="121" t="s">
        <v>2</v>
      </c>
      <c r="AC5" s="122" t="s">
        <v>3</v>
      </c>
      <c r="AD5" s="123" t="s">
        <v>2</v>
      </c>
    </row>
    <row r="6" spans="2:60">
      <c r="B6" s="124">
        <v>46023</v>
      </c>
      <c r="C6" s="125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4"/>
      <c r="AB6" s="126">
        <f t="shared" ref="AB6:AB53" si="0">(SUM(D6:AA6))</f>
        <v>0</v>
      </c>
      <c r="AC6" s="126">
        <v>20</v>
      </c>
      <c r="AD6" s="127">
        <f>(AB6*AC6)+(AB7*AC7)+(AB8*AC8)+(AB9*AC9)</f>
        <v>0</v>
      </c>
      <c r="AE6" s="27">
        <f>+AD6</f>
        <v>0</v>
      </c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</row>
    <row r="7" spans="2:60">
      <c r="B7" s="128"/>
      <c r="C7" s="129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5"/>
      <c r="AB7" s="130">
        <f t="shared" si="0"/>
        <v>0</v>
      </c>
      <c r="AC7" s="130">
        <v>5</v>
      </c>
      <c r="AD7" s="131"/>
      <c r="AE7" s="27">
        <f>+AD10</f>
        <v>0</v>
      </c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</row>
    <row r="8" spans="2:60">
      <c r="B8" s="128"/>
      <c r="C8" s="129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5"/>
      <c r="AB8" s="130">
        <f t="shared" si="0"/>
        <v>0</v>
      </c>
      <c r="AC8" s="130">
        <v>4</v>
      </c>
      <c r="AD8" s="131"/>
      <c r="AE8" s="27">
        <f>+AD14</f>
        <v>0</v>
      </c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</row>
    <row r="9" spans="2:60" ht="15" thickBot="1">
      <c r="B9" s="132"/>
      <c r="C9" s="133" t="s">
        <v>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6"/>
      <c r="AB9" s="134">
        <f t="shared" si="0"/>
        <v>0</v>
      </c>
      <c r="AC9" s="134">
        <v>2</v>
      </c>
      <c r="AD9" s="135"/>
      <c r="AE9" s="27">
        <f>+AD18</f>
        <v>0</v>
      </c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</row>
    <row r="10" spans="2:60">
      <c r="B10" s="124">
        <v>46054</v>
      </c>
      <c r="C10" s="125" t="s">
        <v>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4"/>
      <c r="AB10" s="126">
        <f t="shared" si="0"/>
        <v>0</v>
      </c>
      <c r="AC10" s="126">
        <v>20</v>
      </c>
      <c r="AD10" s="127">
        <f>(AB10*AC10)+(AB11*AC11)+(AB12*AC12)+(AB13*AC13)</f>
        <v>0</v>
      </c>
      <c r="AE10" s="27">
        <f>+AD22</f>
        <v>0</v>
      </c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</row>
    <row r="11" spans="2:60">
      <c r="B11" s="128"/>
      <c r="C11" s="129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5"/>
      <c r="AB11" s="130">
        <f t="shared" si="0"/>
        <v>0</v>
      </c>
      <c r="AC11" s="130">
        <v>4</v>
      </c>
      <c r="AD11" s="131"/>
      <c r="AE11" s="27">
        <f>+AD26</f>
        <v>0</v>
      </c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</row>
    <row r="12" spans="2:60">
      <c r="B12" s="128"/>
      <c r="C12" s="129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5"/>
      <c r="AB12" s="130">
        <f t="shared" si="0"/>
        <v>0</v>
      </c>
      <c r="AC12" s="130">
        <v>4</v>
      </c>
      <c r="AD12" s="131"/>
      <c r="AE12" s="27">
        <f>+AD30</f>
        <v>0</v>
      </c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</row>
    <row r="13" spans="2:60" ht="15" thickBot="1">
      <c r="B13" s="132"/>
      <c r="C13" s="133" t="s">
        <v>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6"/>
      <c r="AB13" s="134">
        <f t="shared" si="0"/>
        <v>0</v>
      </c>
      <c r="AC13" s="134">
        <v>0</v>
      </c>
      <c r="AD13" s="135"/>
      <c r="AE13" s="27">
        <f>+AD34</f>
        <v>0</v>
      </c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</row>
    <row r="14" spans="2:60">
      <c r="B14" s="124">
        <v>46082</v>
      </c>
      <c r="C14" s="125" t="s">
        <v>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4"/>
      <c r="AB14" s="126">
        <f t="shared" si="0"/>
        <v>0</v>
      </c>
      <c r="AC14" s="126">
        <v>21</v>
      </c>
      <c r="AD14" s="127">
        <f>(AB14*AC14)+(AB15*AC15)+(AB16*AC16)+(AB17*AC17)</f>
        <v>0</v>
      </c>
      <c r="AE14" s="27">
        <f>+AD38</f>
        <v>0</v>
      </c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</row>
    <row r="15" spans="2:60">
      <c r="B15" s="128"/>
      <c r="C15" s="129" t="s">
        <v>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5"/>
      <c r="AB15" s="130">
        <f t="shared" si="0"/>
        <v>0</v>
      </c>
      <c r="AC15" s="130">
        <v>4</v>
      </c>
      <c r="AD15" s="131"/>
      <c r="AE15" s="27">
        <f>+AD42</f>
        <v>0</v>
      </c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</row>
    <row r="16" spans="2:60">
      <c r="B16" s="128"/>
      <c r="C16" s="129" t="s">
        <v>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5"/>
      <c r="AB16" s="130">
        <f t="shared" si="0"/>
        <v>0</v>
      </c>
      <c r="AC16" s="130">
        <v>5</v>
      </c>
      <c r="AD16" s="131"/>
      <c r="AE16" s="27">
        <f>+AD46</f>
        <v>3500006.399999999</v>
      </c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</row>
    <row r="17" spans="2:60" ht="15" thickBot="1">
      <c r="B17" s="132"/>
      <c r="C17" s="133" t="s">
        <v>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6"/>
      <c r="AB17" s="134">
        <f t="shared" si="0"/>
        <v>0</v>
      </c>
      <c r="AC17" s="134">
        <v>1</v>
      </c>
      <c r="AD17" s="135"/>
      <c r="AE17" s="27">
        <f>+AD50</f>
        <v>7000005.8399999961</v>
      </c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</row>
    <row r="18" spans="2:60">
      <c r="B18" s="124">
        <v>46113</v>
      </c>
      <c r="C18" s="125" t="s">
        <v>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4"/>
      <c r="AB18" s="126">
        <f t="shared" si="0"/>
        <v>0</v>
      </c>
      <c r="AC18" s="126">
        <v>20</v>
      </c>
      <c r="AD18" s="127">
        <f>(AB18*AC18)+(AB19*AC19)+(AB20*AC20)+(AB21*AC21)</f>
        <v>0</v>
      </c>
      <c r="AE18" s="27" t="e">
        <f>+#REF!</f>
        <v>#REF!</v>
      </c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</row>
    <row r="19" spans="2:60">
      <c r="B19" s="128"/>
      <c r="C19" s="129" t="s">
        <v>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5"/>
      <c r="AB19" s="130">
        <f t="shared" si="0"/>
        <v>0</v>
      </c>
      <c r="AC19" s="130">
        <v>4</v>
      </c>
      <c r="AD19" s="131"/>
      <c r="AE19" s="27" t="e">
        <f>+#REF!</f>
        <v>#REF!</v>
      </c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</row>
    <row r="20" spans="2:60">
      <c r="B20" s="128"/>
      <c r="C20" s="129" t="s">
        <v>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130">
        <f t="shared" si="0"/>
        <v>0</v>
      </c>
      <c r="AC20" s="130">
        <v>4</v>
      </c>
      <c r="AD20" s="131"/>
      <c r="AE20" s="27" t="e">
        <f>+#REF!</f>
        <v>#REF!</v>
      </c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</row>
    <row r="21" spans="2:60" ht="15" thickBot="1">
      <c r="B21" s="132"/>
      <c r="C21" s="133" t="s">
        <v>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6"/>
      <c r="AB21" s="134">
        <f t="shared" si="0"/>
        <v>0</v>
      </c>
      <c r="AC21" s="134">
        <v>2</v>
      </c>
      <c r="AD21" s="135"/>
      <c r="AE21" s="27" t="e">
        <f>+#REF!</f>
        <v>#REF!</v>
      </c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</row>
    <row r="22" spans="2:60">
      <c r="B22" s="124">
        <v>46143</v>
      </c>
      <c r="C22" s="125" t="s">
        <v>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4"/>
      <c r="AB22" s="126">
        <f t="shared" si="0"/>
        <v>0</v>
      </c>
      <c r="AC22" s="126">
        <v>19</v>
      </c>
      <c r="AD22" s="127">
        <f>(AB22*AC22)+(AB23*AC23)+(AB24*AC24)+(AB25*AC25)</f>
        <v>0</v>
      </c>
      <c r="AE22" s="27" t="e">
        <f>+#REF!</f>
        <v>#REF!</v>
      </c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</row>
    <row r="23" spans="2:60">
      <c r="B23" s="128"/>
      <c r="C23" s="129" t="s">
        <v>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130">
        <f t="shared" si="0"/>
        <v>0</v>
      </c>
      <c r="AC23" s="130">
        <v>5</v>
      </c>
      <c r="AD23" s="131"/>
      <c r="AE23" s="27" t="e">
        <f>+#REF!</f>
        <v>#REF!</v>
      </c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</row>
    <row r="24" spans="2:60">
      <c r="B24" s="128"/>
      <c r="C24" s="129" t="s">
        <v>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5"/>
      <c r="AB24" s="130">
        <f t="shared" si="0"/>
        <v>0</v>
      </c>
      <c r="AC24" s="130">
        <v>5</v>
      </c>
      <c r="AD24" s="131"/>
      <c r="AE24" s="27" t="e">
        <f>+#REF!</f>
        <v>#REF!</v>
      </c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</row>
    <row r="25" spans="2:60" ht="15" thickBot="1">
      <c r="B25" s="132"/>
      <c r="C25" s="133" t="s">
        <v>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6"/>
      <c r="AB25" s="134">
        <f t="shared" si="0"/>
        <v>0</v>
      </c>
      <c r="AC25" s="134">
        <v>2</v>
      </c>
      <c r="AD25" s="135"/>
      <c r="AE25" s="27" t="e">
        <f>+#REF!</f>
        <v>#REF!</v>
      </c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</row>
    <row r="26" spans="2:60">
      <c r="B26" s="124">
        <v>46174</v>
      </c>
      <c r="C26" s="125" t="s">
        <v>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4"/>
      <c r="AB26" s="126">
        <f t="shared" si="0"/>
        <v>0</v>
      </c>
      <c r="AC26" s="126">
        <v>19</v>
      </c>
      <c r="AD26" s="127">
        <f>(AB26*AC26)+(AB27*AC27)+(AB28*AC28)+(AB29*AC29)</f>
        <v>0</v>
      </c>
      <c r="AE26" s="27" t="e">
        <f>+#REF!</f>
        <v>#REF!</v>
      </c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</row>
    <row r="27" spans="2:60">
      <c r="B27" s="128"/>
      <c r="C27" s="129" t="s">
        <v>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130">
        <f t="shared" si="0"/>
        <v>0</v>
      </c>
      <c r="AC27" s="130">
        <v>4</v>
      </c>
      <c r="AD27" s="131"/>
      <c r="AE27" s="27" t="e">
        <f>+#REF!</f>
        <v>#REF!</v>
      </c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</row>
    <row r="28" spans="2:60">
      <c r="B28" s="128"/>
      <c r="C28" s="129" t="s">
        <v>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130">
        <f t="shared" si="0"/>
        <v>0</v>
      </c>
      <c r="AC28" s="130">
        <v>4</v>
      </c>
      <c r="AD28" s="131"/>
      <c r="AE28" s="27" t="e">
        <f>+#REF!</f>
        <v>#REF!</v>
      </c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</row>
    <row r="29" spans="2:60" ht="15" thickBot="1">
      <c r="B29" s="132"/>
      <c r="C29" s="133" t="s">
        <v>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6"/>
      <c r="AB29" s="134">
        <f t="shared" si="0"/>
        <v>0</v>
      </c>
      <c r="AC29" s="134">
        <v>3</v>
      </c>
      <c r="AD29" s="135"/>
      <c r="AE29" s="27" t="e">
        <f>+#REF!</f>
        <v>#REF!</v>
      </c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</row>
    <row r="30" spans="2:60">
      <c r="B30" s="124">
        <v>46204</v>
      </c>
      <c r="C30" s="125" t="s">
        <v>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4"/>
      <c r="AB30" s="126">
        <f t="shared" si="0"/>
        <v>0</v>
      </c>
      <c r="AC30" s="126">
        <v>21</v>
      </c>
      <c r="AD30" s="127">
        <f>(AB30*AC30)+(AB31*AC31)+(AB32*AC32)+(AB33*AC33)</f>
        <v>0</v>
      </c>
      <c r="AE30" s="27" t="e">
        <f>+#REF!</f>
        <v>#REF!</v>
      </c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</row>
    <row r="31" spans="2:60">
      <c r="B31" s="128"/>
      <c r="C31" s="129" t="s">
        <v>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130">
        <f t="shared" si="0"/>
        <v>0</v>
      </c>
      <c r="AC31" s="130">
        <v>4</v>
      </c>
      <c r="AD31" s="131"/>
      <c r="AE31" s="27" t="e">
        <f>+#REF!</f>
        <v>#REF!</v>
      </c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</row>
    <row r="32" spans="2:60">
      <c r="B32" s="128"/>
      <c r="C32" s="129" t="s">
        <v>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130">
        <f t="shared" si="0"/>
        <v>0</v>
      </c>
      <c r="AC32" s="130">
        <v>4</v>
      </c>
      <c r="AD32" s="131"/>
      <c r="AE32" s="27" t="e">
        <f>+#REF!</f>
        <v>#REF!</v>
      </c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</row>
    <row r="33" spans="2:60" ht="15" thickBot="1">
      <c r="B33" s="132"/>
      <c r="C33" s="133" t="s">
        <v>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6"/>
      <c r="AB33" s="134">
        <f t="shared" si="0"/>
        <v>0</v>
      </c>
      <c r="AC33" s="134">
        <v>1</v>
      </c>
      <c r="AD33" s="135"/>
      <c r="AE33" s="27" t="e">
        <f>+#REF!</f>
        <v>#REF!</v>
      </c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</row>
    <row r="34" spans="2:60">
      <c r="B34" s="124">
        <v>46235</v>
      </c>
      <c r="C34" s="125" t="s">
        <v>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4"/>
      <c r="AB34" s="126">
        <f t="shared" si="0"/>
        <v>0</v>
      </c>
      <c r="AC34" s="126">
        <v>19</v>
      </c>
      <c r="AD34" s="127">
        <f>(AB34*AC34)+(AB35*AC35)+(AB36*AC36)+(AB37*AC37)</f>
        <v>0</v>
      </c>
      <c r="AE34" s="27" t="e">
        <f>+#REF!</f>
        <v>#REF!</v>
      </c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</row>
    <row r="35" spans="2:60">
      <c r="B35" s="128"/>
      <c r="C35" s="129" t="s">
        <v>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130">
        <f t="shared" si="0"/>
        <v>0</v>
      </c>
      <c r="AC35" s="130">
        <v>5</v>
      </c>
      <c r="AD35" s="131"/>
      <c r="AE35" s="27" t="e">
        <f>+#REF!</f>
        <v>#REF!</v>
      </c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</row>
    <row r="36" spans="2:60">
      <c r="B36" s="128"/>
      <c r="C36" s="129" t="s">
        <v>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130">
        <f t="shared" si="0"/>
        <v>0</v>
      </c>
      <c r="AC36" s="130">
        <v>5</v>
      </c>
      <c r="AD36" s="131"/>
      <c r="AE36" s="27" t="e">
        <f>+#REF!</f>
        <v>#REF!</v>
      </c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</row>
    <row r="37" spans="2:60" ht="15" thickBot="1">
      <c r="B37" s="132"/>
      <c r="C37" s="133" t="s">
        <v>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6"/>
      <c r="AB37" s="134">
        <f t="shared" si="0"/>
        <v>0</v>
      </c>
      <c r="AC37" s="134">
        <v>2</v>
      </c>
      <c r="AD37" s="135"/>
      <c r="AE37" s="27" t="e">
        <f>+#REF!</f>
        <v>#REF!</v>
      </c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</row>
    <row r="38" spans="2:60">
      <c r="B38" s="124">
        <v>46266</v>
      </c>
      <c r="C38" s="125" t="s">
        <v>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4"/>
      <c r="AB38" s="126">
        <f t="shared" si="0"/>
        <v>0</v>
      </c>
      <c r="AC38" s="126">
        <v>22</v>
      </c>
      <c r="AD38" s="127">
        <f>(AB38*AC38)+(AB39*AC39)+(AB40*AC40)+(AB41*AC41)</f>
        <v>0</v>
      </c>
      <c r="AE38" s="27" t="e">
        <f>+#REF!</f>
        <v>#REF!</v>
      </c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</row>
    <row r="39" spans="2:60">
      <c r="B39" s="128"/>
      <c r="C39" s="129" t="s">
        <v>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130">
        <f t="shared" si="0"/>
        <v>0</v>
      </c>
      <c r="AC39" s="130">
        <v>4</v>
      </c>
      <c r="AD39" s="131"/>
      <c r="AE39" s="27" t="e">
        <f>+#REF!</f>
        <v>#REF!</v>
      </c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</row>
    <row r="40" spans="2:60">
      <c r="B40" s="128"/>
      <c r="C40" s="129" t="s">
        <v>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130">
        <f t="shared" si="0"/>
        <v>0</v>
      </c>
      <c r="AC40" s="130">
        <v>4</v>
      </c>
      <c r="AD40" s="131"/>
      <c r="AE40" s="27" t="e">
        <f>+#REF!</f>
        <v>#REF!</v>
      </c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</row>
    <row r="41" spans="2:60" ht="15" thickBot="1">
      <c r="B41" s="132"/>
      <c r="C41" s="133" t="s">
        <v>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6"/>
      <c r="AB41" s="134">
        <f t="shared" si="0"/>
        <v>0</v>
      </c>
      <c r="AC41" s="134">
        <v>0</v>
      </c>
      <c r="AD41" s="135"/>
      <c r="AE41" s="27" t="e">
        <f>+#REF!</f>
        <v>#REF!</v>
      </c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</row>
    <row r="42" spans="2:60">
      <c r="B42" s="124">
        <v>46296</v>
      </c>
      <c r="C42" s="125" t="s">
        <v>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4"/>
      <c r="AB42" s="126">
        <f t="shared" si="0"/>
        <v>0</v>
      </c>
      <c r="AC42" s="126">
        <v>21</v>
      </c>
      <c r="AD42" s="127">
        <f>(AB42*AC42)+(AB43*AC43)+(AB44*AC44)+(AB45*AC45)</f>
        <v>0</v>
      </c>
      <c r="AE42" s="27" t="e">
        <f>+#REF!</f>
        <v>#REF!</v>
      </c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</row>
    <row r="43" spans="2:60">
      <c r="B43" s="128"/>
      <c r="C43" s="129" t="s">
        <v>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130">
        <f t="shared" si="0"/>
        <v>0</v>
      </c>
      <c r="AC43" s="130">
        <v>5</v>
      </c>
      <c r="AD43" s="131"/>
      <c r="AE43" s="27" t="e">
        <f>+#REF!</f>
        <v>#REF!</v>
      </c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</row>
    <row r="44" spans="2:60">
      <c r="B44" s="128"/>
      <c r="C44" s="129" t="s">
        <v>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130">
        <f t="shared" si="0"/>
        <v>0</v>
      </c>
      <c r="AC44" s="130">
        <v>4</v>
      </c>
      <c r="AD44" s="131"/>
      <c r="AE44" s="27" t="e">
        <f>+#REF!</f>
        <v>#REF!</v>
      </c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</row>
    <row r="45" spans="2:60" ht="15" thickBot="1">
      <c r="B45" s="132"/>
      <c r="C45" s="133" t="s">
        <v>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6"/>
      <c r="AB45" s="134">
        <f t="shared" si="0"/>
        <v>0</v>
      </c>
      <c r="AC45" s="134">
        <v>1</v>
      </c>
      <c r="AD45" s="135"/>
      <c r="AE45" s="27" t="e">
        <f>+#REF!</f>
        <v>#REF!</v>
      </c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</row>
    <row r="46" spans="2:60">
      <c r="B46" s="124">
        <v>46327</v>
      </c>
      <c r="C46" s="125" t="s">
        <v>5</v>
      </c>
      <c r="D46" s="2">
        <v>4861.12</v>
      </c>
      <c r="E46" s="2">
        <f t="shared" ref="E46:AA49" si="1">+$D$46</f>
        <v>4861.12</v>
      </c>
      <c r="F46" s="2">
        <f t="shared" si="1"/>
        <v>4861.12</v>
      </c>
      <c r="G46" s="2">
        <f t="shared" si="1"/>
        <v>4861.12</v>
      </c>
      <c r="H46" s="2">
        <f t="shared" si="1"/>
        <v>4861.12</v>
      </c>
      <c r="I46" s="2">
        <f t="shared" si="1"/>
        <v>4861.12</v>
      </c>
      <c r="J46" s="2">
        <f t="shared" si="1"/>
        <v>4861.12</v>
      </c>
      <c r="K46" s="2">
        <f t="shared" si="1"/>
        <v>4861.12</v>
      </c>
      <c r="L46" s="2">
        <f t="shared" si="1"/>
        <v>4861.12</v>
      </c>
      <c r="M46" s="2">
        <f t="shared" si="1"/>
        <v>4861.12</v>
      </c>
      <c r="N46" s="2">
        <f t="shared" si="1"/>
        <v>4861.12</v>
      </c>
      <c r="O46" s="2">
        <f t="shared" si="1"/>
        <v>4861.12</v>
      </c>
      <c r="P46" s="2">
        <f t="shared" si="1"/>
        <v>4861.12</v>
      </c>
      <c r="Q46" s="2">
        <f t="shared" si="1"/>
        <v>4861.12</v>
      </c>
      <c r="R46" s="2">
        <f t="shared" si="1"/>
        <v>4861.12</v>
      </c>
      <c r="S46" s="2">
        <f t="shared" si="1"/>
        <v>4861.12</v>
      </c>
      <c r="T46" s="2">
        <f t="shared" si="1"/>
        <v>4861.12</v>
      </c>
      <c r="U46" s="2">
        <f t="shared" si="1"/>
        <v>4861.12</v>
      </c>
      <c r="V46" s="2">
        <f t="shared" si="1"/>
        <v>4861.12</v>
      </c>
      <c r="W46" s="2">
        <f t="shared" si="1"/>
        <v>4861.12</v>
      </c>
      <c r="X46" s="2">
        <f t="shared" si="1"/>
        <v>4861.12</v>
      </c>
      <c r="Y46" s="2">
        <f t="shared" si="1"/>
        <v>4861.12</v>
      </c>
      <c r="Z46" s="2">
        <f t="shared" si="1"/>
        <v>4861.12</v>
      </c>
      <c r="AA46" s="4">
        <f t="shared" si="1"/>
        <v>4861.12</v>
      </c>
      <c r="AB46" s="126">
        <f t="shared" si="0"/>
        <v>116666.87999999996</v>
      </c>
      <c r="AC46" s="126">
        <v>19</v>
      </c>
      <c r="AD46" s="127">
        <f>(AB46*AC46)+(AB47*AC47)+(AB48*AC48)+(AB49*AC49)</f>
        <v>3500006.399999999</v>
      </c>
      <c r="AE46" s="27" t="e">
        <f>+#REF!</f>
        <v>#REF!</v>
      </c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</row>
    <row r="47" spans="2:60">
      <c r="B47" s="128"/>
      <c r="C47" s="129" t="s">
        <v>6</v>
      </c>
      <c r="D47" s="1">
        <f>+$D$46</f>
        <v>4861.12</v>
      </c>
      <c r="E47" s="1">
        <f t="shared" si="1"/>
        <v>4861.12</v>
      </c>
      <c r="F47" s="1">
        <f t="shared" si="1"/>
        <v>4861.12</v>
      </c>
      <c r="G47" s="1">
        <f t="shared" si="1"/>
        <v>4861.12</v>
      </c>
      <c r="H47" s="1">
        <f t="shared" si="1"/>
        <v>4861.12</v>
      </c>
      <c r="I47" s="1">
        <f t="shared" si="1"/>
        <v>4861.12</v>
      </c>
      <c r="J47" s="1">
        <f t="shared" si="1"/>
        <v>4861.12</v>
      </c>
      <c r="K47" s="1">
        <f t="shared" si="1"/>
        <v>4861.12</v>
      </c>
      <c r="L47" s="1">
        <f t="shared" si="1"/>
        <v>4861.12</v>
      </c>
      <c r="M47" s="1">
        <f t="shared" si="1"/>
        <v>4861.12</v>
      </c>
      <c r="N47" s="1">
        <f t="shared" si="1"/>
        <v>4861.12</v>
      </c>
      <c r="O47" s="1">
        <f t="shared" si="1"/>
        <v>4861.12</v>
      </c>
      <c r="P47" s="1">
        <f t="shared" si="1"/>
        <v>4861.12</v>
      </c>
      <c r="Q47" s="1">
        <f t="shared" si="1"/>
        <v>4861.12</v>
      </c>
      <c r="R47" s="1">
        <f t="shared" si="1"/>
        <v>4861.12</v>
      </c>
      <c r="S47" s="1">
        <f t="shared" si="1"/>
        <v>4861.12</v>
      </c>
      <c r="T47" s="1">
        <f t="shared" si="1"/>
        <v>4861.12</v>
      </c>
      <c r="U47" s="1">
        <f t="shared" si="1"/>
        <v>4861.12</v>
      </c>
      <c r="V47" s="1">
        <f t="shared" si="1"/>
        <v>4861.12</v>
      </c>
      <c r="W47" s="1">
        <f t="shared" si="1"/>
        <v>4861.12</v>
      </c>
      <c r="X47" s="1">
        <f t="shared" si="1"/>
        <v>4861.12</v>
      </c>
      <c r="Y47" s="1">
        <f t="shared" si="1"/>
        <v>4861.12</v>
      </c>
      <c r="Z47" s="1">
        <f t="shared" si="1"/>
        <v>4861.12</v>
      </c>
      <c r="AA47" s="5">
        <f t="shared" si="1"/>
        <v>4861.12</v>
      </c>
      <c r="AB47" s="130">
        <f t="shared" si="0"/>
        <v>116666.87999999996</v>
      </c>
      <c r="AC47" s="130">
        <v>4</v>
      </c>
      <c r="AD47" s="131"/>
      <c r="AE47" s="27" t="e">
        <f>+#REF!</f>
        <v>#REF!</v>
      </c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</row>
    <row r="48" spans="2:60">
      <c r="B48" s="128"/>
      <c r="C48" s="129" t="s">
        <v>7</v>
      </c>
      <c r="D48" s="1">
        <f t="shared" ref="D48:D49" si="2">+$D$46</f>
        <v>4861.12</v>
      </c>
      <c r="E48" s="1">
        <f t="shared" si="1"/>
        <v>4861.12</v>
      </c>
      <c r="F48" s="1">
        <f t="shared" si="1"/>
        <v>4861.12</v>
      </c>
      <c r="G48" s="1">
        <f t="shared" si="1"/>
        <v>4861.12</v>
      </c>
      <c r="H48" s="1">
        <f t="shared" si="1"/>
        <v>4861.12</v>
      </c>
      <c r="I48" s="1">
        <f t="shared" si="1"/>
        <v>4861.12</v>
      </c>
      <c r="J48" s="1">
        <f t="shared" si="1"/>
        <v>4861.12</v>
      </c>
      <c r="K48" s="1">
        <f t="shared" si="1"/>
        <v>4861.12</v>
      </c>
      <c r="L48" s="1">
        <f t="shared" si="1"/>
        <v>4861.12</v>
      </c>
      <c r="M48" s="1">
        <f t="shared" si="1"/>
        <v>4861.12</v>
      </c>
      <c r="N48" s="1">
        <f t="shared" si="1"/>
        <v>4861.12</v>
      </c>
      <c r="O48" s="1">
        <f t="shared" si="1"/>
        <v>4861.12</v>
      </c>
      <c r="P48" s="1">
        <f t="shared" si="1"/>
        <v>4861.12</v>
      </c>
      <c r="Q48" s="1">
        <f t="shared" si="1"/>
        <v>4861.12</v>
      </c>
      <c r="R48" s="1">
        <f t="shared" si="1"/>
        <v>4861.12</v>
      </c>
      <c r="S48" s="1">
        <f t="shared" si="1"/>
        <v>4861.12</v>
      </c>
      <c r="T48" s="1">
        <f t="shared" si="1"/>
        <v>4861.12</v>
      </c>
      <c r="U48" s="1">
        <f t="shared" si="1"/>
        <v>4861.12</v>
      </c>
      <c r="V48" s="1">
        <f t="shared" si="1"/>
        <v>4861.12</v>
      </c>
      <c r="W48" s="1">
        <f t="shared" si="1"/>
        <v>4861.12</v>
      </c>
      <c r="X48" s="1">
        <f t="shared" si="1"/>
        <v>4861.12</v>
      </c>
      <c r="Y48" s="1">
        <f t="shared" si="1"/>
        <v>4861.12</v>
      </c>
      <c r="Z48" s="1">
        <f t="shared" si="1"/>
        <v>4861.12</v>
      </c>
      <c r="AA48" s="5">
        <f t="shared" si="1"/>
        <v>4861.12</v>
      </c>
      <c r="AB48" s="130">
        <f t="shared" si="0"/>
        <v>116666.87999999996</v>
      </c>
      <c r="AC48" s="130">
        <v>5</v>
      </c>
      <c r="AD48" s="131"/>
      <c r="AE48" s="27" t="e">
        <f>+#REF!</f>
        <v>#REF!</v>
      </c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</row>
    <row r="49" spans="2:60" ht="15" thickBot="1">
      <c r="B49" s="132"/>
      <c r="C49" s="133" t="s">
        <v>8</v>
      </c>
      <c r="D49" s="3">
        <f t="shared" si="2"/>
        <v>4861.12</v>
      </c>
      <c r="E49" s="3">
        <f t="shared" si="1"/>
        <v>4861.12</v>
      </c>
      <c r="F49" s="3">
        <f t="shared" si="1"/>
        <v>4861.12</v>
      </c>
      <c r="G49" s="3">
        <f t="shared" si="1"/>
        <v>4861.12</v>
      </c>
      <c r="H49" s="3">
        <f t="shared" si="1"/>
        <v>4861.12</v>
      </c>
      <c r="I49" s="3">
        <f t="shared" si="1"/>
        <v>4861.12</v>
      </c>
      <c r="J49" s="3">
        <f t="shared" si="1"/>
        <v>4861.12</v>
      </c>
      <c r="K49" s="3">
        <f t="shared" si="1"/>
        <v>4861.12</v>
      </c>
      <c r="L49" s="3">
        <f t="shared" si="1"/>
        <v>4861.12</v>
      </c>
      <c r="M49" s="3">
        <f t="shared" si="1"/>
        <v>4861.12</v>
      </c>
      <c r="N49" s="3">
        <f t="shared" si="1"/>
        <v>4861.12</v>
      </c>
      <c r="O49" s="3">
        <f t="shared" si="1"/>
        <v>4861.12</v>
      </c>
      <c r="P49" s="3">
        <f t="shared" si="1"/>
        <v>4861.12</v>
      </c>
      <c r="Q49" s="3">
        <f t="shared" si="1"/>
        <v>4861.12</v>
      </c>
      <c r="R49" s="3">
        <f t="shared" si="1"/>
        <v>4861.12</v>
      </c>
      <c r="S49" s="3">
        <f t="shared" si="1"/>
        <v>4861.12</v>
      </c>
      <c r="T49" s="3">
        <f t="shared" si="1"/>
        <v>4861.12</v>
      </c>
      <c r="U49" s="3">
        <f t="shared" si="1"/>
        <v>4861.12</v>
      </c>
      <c r="V49" s="3">
        <f t="shared" si="1"/>
        <v>4861.12</v>
      </c>
      <c r="W49" s="3">
        <f t="shared" si="1"/>
        <v>4861.12</v>
      </c>
      <c r="X49" s="3">
        <f t="shared" si="1"/>
        <v>4861.12</v>
      </c>
      <c r="Y49" s="3">
        <f t="shared" si="1"/>
        <v>4861.12</v>
      </c>
      <c r="Z49" s="3">
        <f t="shared" si="1"/>
        <v>4861.12</v>
      </c>
      <c r="AA49" s="6">
        <f t="shared" si="1"/>
        <v>4861.12</v>
      </c>
      <c r="AB49" s="134">
        <f t="shared" si="0"/>
        <v>116666.87999999996</v>
      </c>
      <c r="AC49" s="134">
        <v>2</v>
      </c>
      <c r="AD49" s="135"/>
      <c r="AE49" s="27" t="e">
        <f>+#REF!</f>
        <v>#REF!</v>
      </c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</row>
    <row r="50" spans="2:60">
      <c r="B50" s="124">
        <v>46357</v>
      </c>
      <c r="C50" s="125" t="s">
        <v>5</v>
      </c>
      <c r="D50" s="2">
        <v>9408.61</v>
      </c>
      <c r="E50" s="2">
        <f>+$D$50</f>
        <v>9408.61</v>
      </c>
      <c r="F50" s="2">
        <f t="shared" ref="F50:U53" si="3">+$D$50</f>
        <v>9408.61</v>
      </c>
      <c r="G50" s="2">
        <f t="shared" si="3"/>
        <v>9408.61</v>
      </c>
      <c r="H50" s="2">
        <f t="shared" si="3"/>
        <v>9408.61</v>
      </c>
      <c r="I50" s="2">
        <f t="shared" si="3"/>
        <v>9408.61</v>
      </c>
      <c r="J50" s="2">
        <f t="shared" si="3"/>
        <v>9408.61</v>
      </c>
      <c r="K50" s="2">
        <f t="shared" si="3"/>
        <v>9408.61</v>
      </c>
      <c r="L50" s="2">
        <f t="shared" si="3"/>
        <v>9408.61</v>
      </c>
      <c r="M50" s="2">
        <f t="shared" si="3"/>
        <v>9408.61</v>
      </c>
      <c r="N50" s="2">
        <f t="shared" si="3"/>
        <v>9408.61</v>
      </c>
      <c r="O50" s="2">
        <f t="shared" si="3"/>
        <v>9408.61</v>
      </c>
      <c r="P50" s="2">
        <f t="shared" si="3"/>
        <v>9408.61</v>
      </c>
      <c r="Q50" s="2">
        <f t="shared" si="3"/>
        <v>9408.61</v>
      </c>
      <c r="R50" s="2">
        <f t="shared" si="3"/>
        <v>9408.61</v>
      </c>
      <c r="S50" s="2">
        <f t="shared" si="3"/>
        <v>9408.61</v>
      </c>
      <c r="T50" s="2">
        <f t="shared" si="3"/>
        <v>9408.61</v>
      </c>
      <c r="U50" s="2">
        <f t="shared" si="3"/>
        <v>9408.61</v>
      </c>
      <c r="V50" s="2">
        <f t="shared" ref="V50:AA53" si="4">+$D$50</f>
        <v>9408.61</v>
      </c>
      <c r="W50" s="2">
        <f t="shared" si="4"/>
        <v>9408.61</v>
      </c>
      <c r="X50" s="2">
        <f t="shared" si="4"/>
        <v>9408.61</v>
      </c>
      <c r="Y50" s="2">
        <f t="shared" si="4"/>
        <v>9408.61</v>
      </c>
      <c r="Z50" s="2">
        <f t="shared" si="4"/>
        <v>9408.61</v>
      </c>
      <c r="AA50" s="4">
        <f t="shared" si="4"/>
        <v>9408.61</v>
      </c>
      <c r="AB50" s="126">
        <f t="shared" si="0"/>
        <v>225806.6399999999</v>
      </c>
      <c r="AC50" s="126">
        <v>21</v>
      </c>
      <c r="AD50" s="127">
        <f>(AB50*AC50)+(AB51*AC51)+(AB52*AC52)+(AB53*AC53)</f>
        <v>7000005.8399999961</v>
      </c>
      <c r="AE50" s="27" t="e">
        <f>+#REF!</f>
        <v>#REF!</v>
      </c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</row>
    <row r="51" spans="2:60">
      <c r="B51" s="128"/>
      <c r="C51" s="129" t="s">
        <v>6</v>
      </c>
      <c r="D51" s="1">
        <f t="shared" ref="D51:E53" si="5">+$D$50</f>
        <v>9408.61</v>
      </c>
      <c r="E51" s="1">
        <f t="shared" si="5"/>
        <v>9408.61</v>
      </c>
      <c r="F51" s="1">
        <f t="shared" si="3"/>
        <v>9408.61</v>
      </c>
      <c r="G51" s="1">
        <f t="shared" si="3"/>
        <v>9408.61</v>
      </c>
      <c r="H51" s="1">
        <f t="shared" si="3"/>
        <v>9408.61</v>
      </c>
      <c r="I51" s="1">
        <f t="shared" si="3"/>
        <v>9408.61</v>
      </c>
      <c r="J51" s="1">
        <f t="shared" si="3"/>
        <v>9408.61</v>
      </c>
      <c r="K51" s="1">
        <f t="shared" si="3"/>
        <v>9408.61</v>
      </c>
      <c r="L51" s="1">
        <f t="shared" si="3"/>
        <v>9408.61</v>
      </c>
      <c r="M51" s="1">
        <f t="shared" si="3"/>
        <v>9408.61</v>
      </c>
      <c r="N51" s="1">
        <f t="shared" si="3"/>
        <v>9408.61</v>
      </c>
      <c r="O51" s="1">
        <f t="shared" si="3"/>
        <v>9408.61</v>
      </c>
      <c r="P51" s="1">
        <f t="shared" si="3"/>
        <v>9408.61</v>
      </c>
      <c r="Q51" s="1">
        <f t="shared" si="3"/>
        <v>9408.61</v>
      </c>
      <c r="R51" s="1">
        <f t="shared" si="3"/>
        <v>9408.61</v>
      </c>
      <c r="S51" s="1">
        <f t="shared" si="3"/>
        <v>9408.61</v>
      </c>
      <c r="T51" s="1">
        <f t="shared" si="3"/>
        <v>9408.61</v>
      </c>
      <c r="U51" s="1">
        <f t="shared" si="3"/>
        <v>9408.61</v>
      </c>
      <c r="V51" s="1">
        <f t="shared" si="4"/>
        <v>9408.61</v>
      </c>
      <c r="W51" s="1">
        <f t="shared" si="4"/>
        <v>9408.61</v>
      </c>
      <c r="X51" s="1">
        <f t="shared" si="4"/>
        <v>9408.61</v>
      </c>
      <c r="Y51" s="1">
        <f t="shared" si="4"/>
        <v>9408.61</v>
      </c>
      <c r="Z51" s="1">
        <f t="shared" si="4"/>
        <v>9408.61</v>
      </c>
      <c r="AA51" s="5">
        <f t="shared" si="4"/>
        <v>9408.61</v>
      </c>
      <c r="AB51" s="130">
        <f t="shared" si="0"/>
        <v>225806.6399999999</v>
      </c>
      <c r="AC51" s="130">
        <v>4</v>
      </c>
      <c r="AD51" s="131"/>
      <c r="AE51" s="27" t="e">
        <f>+#REF!</f>
        <v>#REF!</v>
      </c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</row>
    <row r="52" spans="2:60">
      <c r="B52" s="128"/>
      <c r="C52" s="129" t="s">
        <v>7</v>
      </c>
      <c r="D52" s="1">
        <f t="shared" si="5"/>
        <v>9408.61</v>
      </c>
      <c r="E52" s="1">
        <f t="shared" si="5"/>
        <v>9408.61</v>
      </c>
      <c r="F52" s="1">
        <f t="shared" si="3"/>
        <v>9408.61</v>
      </c>
      <c r="G52" s="1">
        <f t="shared" si="3"/>
        <v>9408.61</v>
      </c>
      <c r="H52" s="1">
        <f t="shared" si="3"/>
        <v>9408.61</v>
      </c>
      <c r="I52" s="1">
        <f t="shared" si="3"/>
        <v>9408.61</v>
      </c>
      <c r="J52" s="1">
        <f t="shared" si="3"/>
        <v>9408.61</v>
      </c>
      <c r="K52" s="1">
        <f t="shared" si="3"/>
        <v>9408.61</v>
      </c>
      <c r="L52" s="1">
        <f t="shared" si="3"/>
        <v>9408.61</v>
      </c>
      <c r="M52" s="1">
        <f t="shared" si="3"/>
        <v>9408.61</v>
      </c>
      <c r="N52" s="1">
        <f t="shared" si="3"/>
        <v>9408.61</v>
      </c>
      <c r="O52" s="1">
        <f t="shared" si="3"/>
        <v>9408.61</v>
      </c>
      <c r="P52" s="1">
        <f t="shared" si="3"/>
        <v>9408.61</v>
      </c>
      <c r="Q52" s="1">
        <f t="shared" si="3"/>
        <v>9408.61</v>
      </c>
      <c r="R52" s="1">
        <f t="shared" si="3"/>
        <v>9408.61</v>
      </c>
      <c r="S52" s="1">
        <f t="shared" si="3"/>
        <v>9408.61</v>
      </c>
      <c r="T52" s="1">
        <f t="shared" si="3"/>
        <v>9408.61</v>
      </c>
      <c r="U52" s="1">
        <f t="shared" si="3"/>
        <v>9408.61</v>
      </c>
      <c r="V52" s="1">
        <f t="shared" si="4"/>
        <v>9408.61</v>
      </c>
      <c r="W52" s="1">
        <f t="shared" si="4"/>
        <v>9408.61</v>
      </c>
      <c r="X52" s="1">
        <f t="shared" si="4"/>
        <v>9408.61</v>
      </c>
      <c r="Y52" s="1">
        <f t="shared" si="4"/>
        <v>9408.61</v>
      </c>
      <c r="Z52" s="1">
        <f t="shared" si="4"/>
        <v>9408.61</v>
      </c>
      <c r="AA52" s="5">
        <f t="shared" si="4"/>
        <v>9408.61</v>
      </c>
      <c r="AB52" s="130">
        <f t="shared" si="0"/>
        <v>225806.6399999999</v>
      </c>
      <c r="AC52" s="130">
        <v>4</v>
      </c>
      <c r="AD52" s="131"/>
      <c r="AE52" s="27" t="e">
        <f>+#REF!</f>
        <v>#REF!</v>
      </c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</row>
    <row r="53" spans="2:60" ht="15" thickBot="1">
      <c r="B53" s="132"/>
      <c r="C53" s="133" t="s">
        <v>8</v>
      </c>
      <c r="D53" s="3">
        <f t="shared" si="5"/>
        <v>9408.61</v>
      </c>
      <c r="E53" s="3">
        <f t="shared" si="5"/>
        <v>9408.61</v>
      </c>
      <c r="F53" s="3">
        <f t="shared" si="3"/>
        <v>9408.61</v>
      </c>
      <c r="G53" s="3">
        <f t="shared" si="3"/>
        <v>9408.61</v>
      </c>
      <c r="H53" s="3">
        <f t="shared" si="3"/>
        <v>9408.61</v>
      </c>
      <c r="I53" s="3">
        <f t="shared" si="3"/>
        <v>9408.61</v>
      </c>
      <c r="J53" s="3">
        <f t="shared" si="3"/>
        <v>9408.61</v>
      </c>
      <c r="K53" s="3">
        <f t="shared" si="3"/>
        <v>9408.61</v>
      </c>
      <c r="L53" s="3">
        <f t="shared" si="3"/>
        <v>9408.61</v>
      </c>
      <c r="M53" s="3">
        <f t="shared" si="3"/>
        <v>9408.61</v>
      </c>
      <c r="N53" s="3">
        <f t="shared" si="3"/>
        <v>9408.61</v>
      </c>
      <c r="O53" s="3">
        <f t="shared" si="3"/>
        <v>9408.61</v>
      </c>
      <c r="P53" s="3">
        <f t="shared" si="3"/>
        <v>9408.61</v>
      </c>
      <c r="Q53" s="3">
        <f t="shared" si="3"/>
        <v>9408.61</v>
      </c>
      <c r="R53" s="3">
        <f t="shared" si="3"/>
        <v>9408.61</v>
      </c>
      <c r="S53" s="3">
        <f t="shared" si="3"/>
        <v>9408.61</v>
      </c>
      <c r="T53" s="3">
        <f t="shared" si="3"/>
        <v>9408.61</v>
      </c>
      <c r="U53" s="3">
        <f t="shared" si="3"/>
        <v>9408.61</v>
      </c>
      <c r="V53" s="3">
        <f t="shared" si="4"/>
        <v>9408.61</v>
      </c>
      <c r="W53" s="3">
        <f t="shared" si="4"/>
        <v>9408.61</v>
      </c>
      <c r="X53" s="3">
        <f t="shared" si="4"/>
        <v>9408.61</v>
      </c>
      <c r="Y53" s="3">
        <f t="shared" si="4"/>
        <v>9408.61</v>
      </c>
      <c r="Z53" s="3">
        <f t="shared" si="4"/>
        <v>9408.61</v>
      </c>
      <c r="AA53" s="6">
        <f t="shared" si="4"/>
        <v>9408.61</v>
      </c>
      <c r="AB53" s="134">
        <f t="shared" si="0"/>
        <v>225806.6399999999</v>
      </c>
      <c r="AC53" s="134">
        <v>2</v>
      </c>
      <c r="AD53" s="135"/>
      <c r="AE53" s="27" t="e">
        <f>+#REF!</f>
        <v>#REF!</v>
      </c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</row>
    <row r="54" spans="2:60" ht="15" thickBot="1">
      <c r="AD54" s="7">
        <f>SUM(AD6:AD53)</f>
        <v>10500012.239999995</v>
      </c>
    </row>
    <row r="61" spans="2:60">
      <c r="AB61" s="112"/>
    </row>
  </sheetData>
  <mergeCells count="27">
    <mergeCell ref="B50:B53"/>
    <mergeCell ref="AD50:AD53"/>
    <mergeCell ref="B38:B41"/>
    <mergeCell ref="AD38:AD41"/>
    <mergeCell ref="B42:B45"/>
    <mergeCell ref="AD42:AD45"/>
    <mergeCell ref="B46:B49"/>
    <mergeCell ref="AD46:AD49"/>
    <mergeCell ref="B26:B29"/>
    <mergeCell ref="AD26:AD29"/>
    <mergeCell ref="B30:B33"/>
    <mergeCell ref="AD30:AD33"/>
    <mergeCell ref="B34:B37"/>
    <mergeCell ref="AD34:AD37"/>
    <mergeCell ref="B14:B17"/>
    <mergeCell ref="AD14:AD17"/>
    <mergeCell ref="B18:B21"/>
    <mergeCell ref="AD18:AD21"/>
    <mergeCell ref="B22:B25"/>
    <mergeCell ref="AD22:AD25"/>
    <mergeCell ref="B10:B13"/>
    <mergeCell ref="AD10:AD13"/>
    <mergeCell ref="B2:AB2"/>
    <mergeCell ref="B3:AB3"/>
    <mergeCell ref="B4:AB4"/>
    <mergeCell ref="B6:B9"/>
    <mergeCell ref="AD6:AD9"/>
  </mergeCells>
  <conditionalFormatting sqref="D6:AA53">
    <cfRule type="cellIs" dxfId="6" priority="1" operator="lessThan">
      <formula>0</formula>
    </cfRule>
  </conditionalFormatting>
  <pageMargins left="0.7" right="0.7" top="0.75" bottom="0.75" header="0.3" footer="0.3"/>
  <pageSetup orientation="portrait" r:id="rId1"/>
  <ignoredErrors>
    <ignoredError sqref="AE6:AE53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65C3-AA03-4BA6-B1A4-CA681B83A717}">
  <dimension ref="B3:I30"/>
  <sheetViews>
    <sheetView showGridLines="0" zoomScale="90" zoomScaleNormal="90" workbookViewId="0">
      <selection activeCell="E11" sqref="E11:E22"/>
    </sheetView>
  </sheetViews>
  <sheetFormatPr baseColWidth="10" defaultColWidth="11.453125" defaultRowHeight="14.5"/>
  <cols>
    <col min="1" max="3" width="11.453125" style="8"/>
    <col min="4" max="4" width="15.26953125" style="8" customWidth="1"/>
    <col min="5" max="5" width="11.453125" style="8"/>
    <col min="6" max="6" width="12.7265625" style="8" bestFit="1" customWidth="1"/>
    <col min="7" max="7" width="11.453125" style="8"/>
    <col min="8" max="8" width="14.1796875" style="28" bestFit="1" customWidth="1"/>
    <col min="9" max="9" width="11.453125" style="29"/>
    <col min="10" max="16384" width="11.453125" style="8"/>
  </cols>
  <sheetData>
    <row r="3" spans="2:7" ht="15" thickBot="1"/>
    <row r="4" spans="2:7">
      <c r="B4" s="74" t="s">
        <v>42</v>
      </c>
      <c r="C4" s="75"/>
      <c r="D4" s="75"/>
      <c r="E4" s="75"/>
      <c r="F4" s="75"/>
      <c r="G4" s="76"/>
    </row>
    <row r="5" spans="2:7">
      <c r="B5" s="77" t="s">
        <v>9</v>
      </c>
      <c r="C5" s="78"/>
      <c r="D5" s="78"/>
      <c r="E5" s="78"/>
      <c r="F5" s="78"/>
      <c r="G5" s="79"/>
    </row>
    <row r="6" spans="2:7">
      <c r="B6" s="80" t="s">
        <v>10</v>
      </c>
      <c r="C6" s="81"/>
      <c r="D6" s="81"/>
      <c r="E6" s="81"/>
      <c r="F6" s="81"/>
      <c r="G6" s="82"/>
    </row>
    <row r="7" spans="2:7" ht="15" thickBot="1">
      <c r="B7" s="83" t="s">
        <v>39</v>
      </c>
      <c r="C7" s="84"/>
      <c r="D7" s="84"/>
      <c r="E7" s="84"/>
      <c r="F7" s="84"/>
      <c r="G7" s="85"/>
    </row>
    <row r="8" spans="2:7" ht="15" thickBot="1">
      <c r="B8" s="69" t="s">
        <v>37</v>
      </c>
      <c r="C8" s="86"/>
      <c r="D8" s="86"/>
      <c r="E8" s="86"/>
      <c r="F8" s="86"/>
      <c r="G8" s="87"/>
    </row>
    <row r="9" spans="2:7" ht="15.75" customHeight="1" thickBot="1">
      <c r="B9" s="88" t="s">
        <v>12</v>
      </c>
      <c r="C9" s="88" t="s">
        <v>13</v>
      </c>
      <c r="D9" s="91" t="s">
        <v>38</v>
      </c>
      <c r="E9" s="91"/>
      <c r="F9" s="91"/>
      <c r="G9" s="92"/>
    </row>
    <row r="10" spans="2:7" ht="26.5" thickBot="1">
      <c r="B10" s="89"/>
      <c r="C10" s="90"/>
      <c r="D10" s="9" t="s">
        <v>14</v>
      </c>
      <c r="E10" s="11" t="s">
        <v>15</v>
      </c>
      <c r="F10" s="10" t="s">
        <v>16</v>
      </c>
      <c r="G10" s="12" t="s">
        <v>17</v>
      </c>
    </row>
    <row r="11" spans="2:7">
      <c r="B11" s="21">
        <v>2026</v>
      </c>
      <c r="C11" s="22" t="s">
        <v>25</v>
      </c>
      <c r="D11" s="23">
        <f>+'Producto 2 Plano 26'!AE6</f>
        <v>0</v>
      </c>
      <c r="E11" s="93"/>
      <c r="F11" s="164">
        <f>+$E$11*D11</f>
        <v>0</v>
      </c>
      <c r="G11" s="16"/>
    </row>
    <row r="12" spans="2:7">
      <c r="B12" s="13">
        <v>2026</v>
      </c>
      <c r="C12" s="14" t="s">
        <v>26</v>
      </c>
      <c r="D12" s="15">
        <f>+'Producto 2 Plano 26'!AE7</f>
        <v>0</v>
      </c>
      <c r="E12" s="93"/>
      <c r="F12" s="164">
        <f t="shared" ref="F12:F22" si="0">+$E$11*D12</f>
        <v>0</v>
      </c>
      <c r="G12" s="16"/>
    </row>
    <row r="13" spans="2:7">
      <c r="B13" s="13">
        <v>2026</v>
      </c>
      <c r="C13" s="14" t="s">
        <v>27</v>
      </c>
      <c r="D13" s="15">
        <f>+'Producto 2 Plano 26'!AE8</f>
        <v>0</v>
      </c>
      <c r="E13" s="93"/>
      <c r="F13" s="164">
        <f t="shared" si="0"/>
        <v>0</v>
      </c>
      <c r="G13" s="16"/>
    </row>
    <row r="14" spans="2:7">
      <c r="B14" s="13">
        <v>2026</v>
      </c>
      <c r="C14" s="14" t="s">
        <v>28</v>
      </c>
      <c r="D14" s="15">
        <f>+'Producto 2 Plano 26'!AE9</f>
        <v>0</v>
      </c>
      <c r="E14" s="93"/>
      <c r="F14" s="164">
        <f t="shared" si="0"/>
        <v>0</v>
      </c>
      <c r="G14" s="16"/>
    </row>
    <row r="15" spans="2:7">
      <c r="B15" s="13">
        <v>2026</v>
      </c>
      <c r="C15" s="14" t="s">
        <v>29</v>
      </c>
      <c r="D15" s="15">
        <f>+'Producto 2 Plano 26'!AE10</f>
        <v>0</v>
      </c>
      <c r="E15" s="93"/>
      <c r="F15" s="164">
        <f t="shared" si="0"/>
        <v>0</v>
      </c>
      <c r="G15" s="16"/>
    </row>
    <row r="16" spans="2:7">
      <c r="B16" s="13">
        <v>2026</v>
      </c>
      <c r="C16" s="14" t="s">
        <v>18</v>
      </c>
      <c r="D16" s="15">
        <f>+'Producto 2 Plano 26'!AE11</f>
        <v>0</v>
      </c>
      <c r="E16" s="93"/>
      <c r="F16" s="164">
        <f t="shared" si="0"/>
        <v>0</v>
      </c>
      <c r="G16" s="16"/>
    </row>
    <row r="17" spans="2:9">
      <c r="B17" s="13">
        <v>2026</v>
      </c>
      <c r="C17" s="14" t="s">
        <v>19</v>
      </c>
      <c r="D17" s="15">
        <f>+'Producto 2 Plano 26'!AE12</f>
        <v>0</v>
      </c>
      <c r="E17" s="93"/>
      <c r="F17" s="164">
        <f t="shared" si="0"/>
        <v>0</v>
      </c>
      <c r="G17" s="16"/>
    </row>
    <row r="18" spans="2:9">
      <c r="B18" s="13">
        <v>2026</v>
      </c>
      <c r="C18" s="14" t="s">
        <v>20</v>
      </c>
      <c r="D18" s="15">
        <f>+'Producto 2 Plano 26'!AE13</f>
        <v>0</v>
      </c>
      <c r="E18" s="93"/>
      <c r="F18" s="164">
        <f t="shared" si="0"/>
        <v>0</v>
      </c>
      <c r="G18" s="16"/>
    </row>
    <row r="19" spans="2:9">
      <c r="B19" s="13">
        <v>2026</v>
      </c>
      <c r="C19" s="14" t="s">
        <v>21</v>
      </c>
      <c r="D19" s="15">
        <f>+'Producto 2 Plano 26'!AE14</f>
        <v>0</v>
      </c>
      <c r="E19" s="93"/>
      <c r="F19" s="164">
        <f t="shared" si="0"/>
        <v>0</v>
      </c>
      <c r="G19" s="16"/>
    </row>
    <row r="20" spans="2:9">
      <c r="B20" s="13">
        <v>2026</v>
      </c>
      <c r="C20" s="14" t="s">
        <v>22</v>
      </c>
      <c r="D20" s="15">
        <f>+'Producto 2 Plano 26'!AE15</f>
        <v>0</v>
      </c>
      <c r="E20" s="93"/>
      <c r="F20" s="164">
        <f t="shared" si="0"/>
        <v>0</v>
      </c>
      <c r="G20" s="16"/>
    </row>
    <row r="21" spans="2:9">
      <c r="B21" s="13">
        <v>2026</v>
      </c>
      <c r="C21" s="14" t="s">
        <v>23</v>
      </c>
      <c r="D21" s="15">
        <f>+'Producto 2 Plano 26'!AE16</f>
        <v>3500006.399999999</v>
      </c>
      <c r="E21" s="93"/>
      <c r="F21" s="164">
        <f t="shared" si="0"/>
        <v>0</v>
      </c>
      <c r="G21" s="16"/>
    </row>
    <row r="22" spans="2:9" ht="15" thickBot="1">
      <c r="B22" s="17">
        <v>2026</v>
      </c>
      <c r="C22" s="18" t="s">
        <v>24</v>
      </c>
      <c r="D22" s="19">
        <f>+'Producto 2 Plano 26'!AE17</f>
        <v>7000005.8399999961</v>
      </c>
      <c r="E22" s="94"/>
      <c r="F22" s="165">
        <f t="shared" si="0"/>
        <v>0</v>
      </c>
      <c r="G22" s="20"/>
      <c r="H22" s="28">
        <f>SUM(D11:D22)</f>
        <v>10500012.239999995</v>
      </c>
      <c r="I22" s="30">
        <f>+H22/1000</f>
        <v>10500.012239999995</v>
      </c>
    </row>
    <row r="23" spans="2:9" ht="15" thickBot="1">
      <c r="B23" s="72" t="s">
        <v>47</v>
      </c>
      <c r="C23" s="73"/>
      <c r="D23" s="24">
        <f>+SUM(D11:D22)</f>
        <v>10500012.239999995</v>
      </c>
      <c r="I23" s="30">
        <f>+D23/1000</f>
        <v>10500.012239999995</v>
      </c>
    </row>
    <row r="25" spans="2:9">
      <c r="B25" s="8" t="s">
        <v>30</v>
      </c>
    </row>
    <row r="26" spans="2:9">
      <c r="B26" s="8" t="s">
        <v>31</v>
      </c>
    </row>
    <row r="27" spans="2:9">
      <c r="B27" s="8" t="s">
        <v>32</v>
      </c>
    </row>
    <row r="28" spans="2:9">
      <c r="B28" s="8" t="s">
        <v>33</v>
      </c>
    </row>
    <row r="30" spans="2:9">
      <c r="D30" s="25"/>
    </row>
  </sheetData>
  <mergeCells count="10">
    <mergeCell ref="E11:E22"/>
    <mergeCell ref="B23:C23"/>
    <mergeCell ref="B4:G4"/>
    <mergeCell ref="B5:G5"/>
    <mergeCell ref="B6:G6"/>
    <mergeCell ref="B7:G7"/>
    <mergeCell ref="B8:G8"/>
    <mergeCell ref="B9:B10"/>
    <mergeCell ref="C9:C10"/>
    <mergeCell ref="D9:G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5E00-24A1-4F1D-87AE-62B152F54887}">
  <dimension ref="B2:AE392"/>
  <sheetViews>
    <sheetView showGridLines="0" zoomScale="90" zoomScaleNormal="90" workbookViewId="0">
      <selection activeCell="L338" sqref="L338"/>
    </sheetView>
  </sheetViews>
  <sheetFormatPr baseColWidth="10" defaultRowHeight="14.5"/>
  <cols>
    <col min="1" max="1" width="1.81640625" style="109" customWidth="1"/>
    <col min="2" max="2" width="10" style="109" customWidth="1"/>
    <col min="3" max="27" width="8.81640625" style="109" bestFit="1" customWidth="1"/>
    <col min="28" max="28" width="8.453125" style="109" bestFit="1" customWidth="1"/>
    <col min="29" max="29" width="7.453125" style="109" customWidth="1"/>
    <col min="30" max="30" width="19.1796875" style="109" customWidth="1"/>
    <col min="31" max="31" width="14.90625" style="26" customWidth="1"/>
    <col min="32" max="32" width="17.453125" style="109" bestFit="1" customWidth="1"/>
    <col min="33" max="16384" width="10.90625" style="109"/>
  </cols>
  <sheetData>
    <row r="2" spans="2:31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</row>
    <row r="3" spans="2:31">
      <c r="B3" s="113" t="s">
        <v>43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</row>
    <row r="4" spans="2:31" ht="15" thickBot="1">
      <c r="B4" s="114" t="s">
        <v>57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 spans="2:31" ht="25.5" customHeight="1" thickBot="1">
      <c r="B5" s="115"/>
      <c r="C5" s="116" t="s">
        <v>1</v>
      </c>
      <c r="D5" s="117">
        <v>1</v>
      </c>
      <c r="E5" s="117">
        <v>2</v>
      </c>
      <c r="F5" s="117">
        <v>3</v>
      </c>
      <c r="G5" s="117">
        <v>4</v>
      </c>
      <c r="H5" s="117">
        <v>5</v>
      </c>
      <c r="I5" s="117">
        <v>6</v>
      </c>
      <c r="J5" s="118">
        <v>7</v>
      </c>
      <c r="K5" s="118">
        <v>8</v>
      </c>
      <c r="L5" s="118">
        <v>9</v>
      </c>
      <c r="M5" s="118">
        <v>10</v>
      </c>
      <c r="N5" s="118">
        <v>11</v>
      </c>
      <c r="O5" s="118">
        <v>12</v>
      </c>
      <c r="P5" s="118">
        <v>13</v>
      </c>
      <c r="Q5" s="118">
        <v>14</v>
      </c>
      <c r="R5" s="118">
        <v>15</v>
      </c>
      <c r="S5" s="118">
        <v>16</v>
      </c>
      <c r="T5" s="118">
        <v>17</v>
      </c>
      <c r="U5" s="118">
        <v>18</v>
      </c>
      <c r="V5" s="119">
        <v>19</v>
      </c>
      <c r="W5" s="119">
        <v>20</v>
      </c>
      <c r="X5" s="119">
        <v>21</v>
      </c>
      <c r="Y5" s="117">
        <v>22</v>
      </c>
      <c r="Z5" s="117">
        <v>23</v>
      </c>
      <c r="AA5" s="120">
        <v>24</v>
      </c>
      <c r="AB5" s="121" t="s">
        <v>2</v>
      </c>
      <c r="AC5" s="122" t="s">
        <v>3</v>
      </c>
      <c r="AD5" s="123" t="s">
        <v>2</v>
      </c>
    </row>
    <row r="6" spans="2:31">
      <c r="B6" s="124">
        <v>47119</v>
      </c>
      <c r="C6" s="125" t="s">
        <v>5</v>
      </c>
      <c r="D6" s="2">
        <v>19551.599999999999</v>
      </c>
      <c r="E6" s="2">
        <f t="shared" ref="E6:AA6" si="0">+$D$6</f>
        <v>19551.599999999999</v>
      </c>
      <c r="F6" s="2">
        <f t="shared" si="0"/>
        <v>19551.599999999999</v>
      </c>
      <c r="G6" s="2">
        <f t="shared" si="0"/>
        <v>19551.599999999999</v>
      </c>
      <c r="H6" s="2">
        <f t="shared" si="0"/>
        <v>19551.599999999999</v>
      </c>
      <c r="I6" s="2">
        <f t="shared" si="0"/>
        <v>19551.599999999999</v>
      </c>
      <c r="J6" s="2">
        <f t="shared" si="0"/>
        <v>19551.599999999999</v>
      </c>
      <c r="K6" s="2">
        <f t="shared" si="0"/>
        <v>19551.599999999999</v>
      </c>
      <c r="L6" s="2">
        <f t="shared" si="0"/>
        <v>19551.599999999999</v>
      </c>
      <c r="M6" s="2">
        <f t="shared" si="0"/>
        <v>19551.599999999999</v>
      </c>
      <c r="N6" s="2">
        <f t="shared" si="0"/>
        <v>19551.599999999999</v>
      </c>
      <c r="O6" s="2">
        <f t="shared" si="0"/>
        <v>19551.599999999999</v>
      </c>
      <c r="P6" s="2">
        <f t="shared" si="0"/>
        <v>19551.599999999999</v>
      </c>
      <c r="Q6" s="2">
        <f t="shared" si="0"/>
        <v>19551.599999999999</v>
      </c>
      <c r="R6" s="2">
        <f t="shared" si="0"/>
        <v>19551.599999999999</v>
      </c>
      <c r="S6" s="2">
        <f t="shared" si="0"/>
        <v>19551.599999999999</v>
      </c>
      <c r="T6" s="2">
        <f t="shared" si="0"/>
        <v>19551.599999999999</v>
      </c>
      <c r="U6" s="2">
        <f t="shared" si="0"/>
        <v>19551.599999999999</v>
      </c>
      <c r="V6" s="2">
        <f t="shared" si="0"/>
        <v>19551.599999999999</v>
      </c>
      <c r="W6" s="2">
        <f t="shared" si="0"/>
        <v>19551.599999999999</v>
      </c>
      <c r="X6" s="2">
        <f t="shared" si="0"/>
        <v>19551.599999999999</v>
      </c>
      <c r="Y6" s="2">
        <f t="shared" si="0"/>
        <v>19551.599999999999</v>
      </c>
      <c r="Z6" s="2">
        <f t="shared" si="0"/>
        <v>19551.599999999999</v>
      </c>
      <c r="AA6" s="4">
        <f t="shared" si="0"/>
        <v>19551.599999999999</v>
      </c>
      <c r="AB6" s="126">
        <f t="shared" ref="AB6:AB37" si="1">(SUM(D6:AA6))</f>
        <v>469238.39999999979</v>
      </c>
      <c r="AC6" s="126">
        <v>21</v>
      </c>
      <c r="AD6" s="127">
        <f>(AB6*AC6)+(AB7*AC7)+(AB8*AC8)+(AB9*AC9)</f>
        <v>14546390.399999993</v>
      </c>
      <c r="AE6" s="136">
        <f>+AD6</f>
        <v>14546390.399999993</v>
      </c>
    </row>
    <row r="7" spans="2:31">
      <c r="B7" s="128"/>
      <c r="C7" s="129" t="s">
        <v>6</v>
      </c>
      <c r="D7" s="1">
        <f>+$D$6</f>
        <v>19551.599999999999</v>
      </c>
      <c r="E7" s="1">
        <f t="shared" ref="E7:T22" si="2">+$D$6</f>
        <v>19551.599999999999</v>
      </c>
      <c r="F7" s="1">
        <f t="shared" si="2"/>
        <v>19551.599999999999</v>
      </c>
      <c r="G7" s="1">
        <f t="shared" si="2"/>
        <v>19551.599999999999</v>
      </c>
      <c r="H7" s="1">
        <f t="shared" si="2"/>
        <v>19551.599999999999</v>
      </c>
      <c r="I7" s="1">
        <f t="shared" si="2"/>
        <v>19551.599999999999</v>
      </c>
      <c r="J7" s="1">
        <f t="shared" si="2"/>
        <v>19551.599999999999</v>
      </c>
      <c r="K7" s="1">
        <f t="shared" si="2"/>
        <v>19551.599999999999</v>
      </c>
      <c r="L7" s="1">
        <f t="shared" si="2"/>
        <v>19551.599999999999</v>
      </c>
      <c r="M7" s="1">
        <f t="shared" si="2"/>
        <v>19551.599999999999</v>
      </c>
      <c r="N7" s="1">
        <f t="shared" si="2"/>
        <v>19551.599999999999</v>
      </c>
      <c r="O7" s="1">
        <f t="shared" si="2"/>
        <v>19551.599999999999</v>
      </c>
      <c r="P7" s="1">
        <f t="shared" si="2"/>
        <v>19551.599999999999</v>
      </c>
      <c r="Q7" s="1">
        <f t="shared" si="2"/>
        <v>19551.599999999999</v>
      </c>
      <c r="R7" s="1">
        <f t="shared" si="2"/>
        <v>19551.599999999999</v>
      </c>
      <c r="S7" s="1">
        <f t="shared" si="2"/>
        <v>19551.599999999999</v>
      </c>
      <c r="T7" s="1">
        <f t="shared" si="2"/>
        <v>19551.599999999999</v>
      </c>
      <c r="U7" s="1">
        <f t="shared" ref="U7:AA22" si="3">+$D$6</f>
        <v>19551.599999999999</v>
      </c>
      <c r="V7" s="1">
        <f t="shared" si="3"/>
        <v>19551.599999999999</v>
      </c>
      <c r="W7" s="1">
        <f t="shared" si="3"/>
        <v>19551.599999999999</v>
      </c>
      <c r="X7" s="1">
        <f t="shared" si="3"/>
        <v>19551.599999999999</v>
      </c>
      <c r="Y7" s="1">
        <f t="shared" si="3"/>
        <v>19551.599999999999</v>
      </c>
      <c r="Z7" s="1">
        <f t="shared" si="3"/>
        <v>19551.599999999999</v>
      </c>
      <c r="AA7" s="5">
        <f t="shared" si="3"/>
        <v>19551.599999999999</v>
      </c>
      <c r="AB7" s="130">
        <f t="shared" si="1"/>
        <v>469238.39999999979</v>
      </c>
      <c r="AC7" s="130">
        <v>4</v>
      </c>
      <c r="AD7" s="131"/>
      <c r="AE7" s="136">
        <f>+AD10</f>
        <v>13138675.199999996</v>
      </c>
    </row>
    <row r="8" spans="2:31">
      <c r="B8" s="128"/>
      <c r="C8" s="129" t="s">
        <v>7</v>
      </c>
      <c r="D8" s="1">
        <f t="shared" ref="D8:S23" si="4">+$D$6</f>
        <v>19551.599999999999</v>
      </c>
      <c r="E8" s="1">
        <f t="shared" si="2"/>
        <v>19551.599999999999</v>
      </c>
      <c r="F8" s="1">
        <f t="shared" si="2"/>
        <v>19551.599999999999</v>
      </c>
      <c r="G8" s="1">
        <f t="shared" si="2"/>
        <v>19551.599999999999</v>
      </c>
      <c r="H8" s="1">
        <f t="shared" si="2"/>
        <v>19551.599999999999</v>
      </c>
      <c r="I8" s="1">
        <f t="shared" si="2"/>
        <v>19551.599999999999</v>
      </c>
      <c r="J8" s="1">
        <f t="shared" si="2"/>
        <v>19551.599999999999</v>
      </c>
      <c r="K8" s="1">
        <f t="shared" si="2"/>
        <v>19551.599999999999</v>
      </c>
      <c r="L8" s="1">
        <f t="shared" si="2"/>
        <v>19551.599999999999</v>
      </c>
      <c r="M8" s="1">
        <f t="shared" si="2"/>
        <v>19551.599999999999</v>
      </c>
      <c r="N8" s="1">
        <f t="shared" si="2"/>
        <v>19551.599999999999</v>
      </c>
      <c r="O8" s="1">
        <f t="shared" si="2"/>
        <v>19551.599999999999</v>
      </c>
      <c r="P8" s="1">
        <f t="shared" si="2"/>
        <v>19551.599999999999</v>
      </c>
      <c r="Q8" s="1">
        <f t="shared" si="2"/>
        <v>19551.599999999999</v>
      </c>
      <c r="R8" s="1">
        <f t="shared" si="2"/>
        <v>19551.599999999999</v>
      </c>
      <c r="S8" s="1">
        <f t="shared" si="2"/>
        <v>19551.599999999999</v>
      </c>
      <c r="T8" s="1">
        <f t="shared" si="2"/>
        <v>19551.599999999999</v>
      </c>
      <c r="U8" s="1">
        <f t="shared" si="3"/>
        <v>19551.599999999999</v>
      </c>
      <c r="V8" s="1">
        <f t="shared" si="3"/>
        <v>19551.599999999999</v>
      </c>
      <c r="W8" s="1">
        <f t="shared" si="3"/>
        <v>19551.599999999999</v>
      </c>
      <c r="X8" s="1">
        <f t="shared" si="3"/>
        <v>19551.599999999999</v>
      </c>
      <c r="Y8" s="1">
        <f t="shared" si="3"/>
        <v>19551.599999999999</v>
      </c>
      <c r="Z8" s="1">
        <f t="shared" si="3"/>
        <v>19551.599999999999</v>
      </c>
      <c r="AA8" s="5">
        <f t="shared" si="3"/>
        <v>19551.599999999999</v>
      </c>
      <c r="AB8" s="130">
        <f t="shared" si="1"/>
        <v>469238.39999999979</v>
      </c>
      <c r="AC8" s="130">
        <v>4</v>
      </c>
      <c r="AD8" s="131"/>
      <c r="AE8" s="136">
        <f>+AD14</f>
        <v>14546390.399999993</v>
      </c>
    </row>
    <row r="9" spans="2:31" ht="15" thickBot="1">
      <c r="B9" s="132"/>
      <c r="C9" s="133" t="s">
        <v>8</v>
      </c>
      <c r="D9" s="3">
        <f t="shared" si="4"/>
        <v>19551.599999999999</v>
      </c>
      <c r="E9" s="3">
        <f t="shared" si="2"/>
        <v>19551.599999999999</v>
      </c>
      <c r="F9" s="3">
        <f t="shared" si="2"/>
        <v>19551.599999999999</v>
      </c>
      <c r="G9" s="3">
        <f t="shared" si="2"/>
        <v>19551.599999999999</v>
      </c>
      <c r="H9" s="3">
        <f t="shared" si="2"/>
        <v>19551.599999999999</v>
      </c>
      <c r="I9" s="3">
        <f t="shared" si="2"/>
        <v>19551.599999999999</v>
      </c>
      <c r="J9" s="3">
        <f t="shared" si="2"/>
        <v>19551.599999999999</v>
      </c>
      <c r="K9" s="3">
        <f t="shared" si="2"/>
        <v>19551.599999999999</v>
      </c>
      <c r="L9" s="3">
        <f t="shared" si="2"/>
        <v>19551.599999999999</v>
      </c>
      <c r="M9" s="3">
        <f t="shared" si="2"/>
        <v>19551.599999999999</v>
      </c>
      <c r="N9" s="3">
        <f t="shared" si="2"/>
        <v>19551.599999999999</v>
      </c>
      <c r="O9" s="3">
        <f t="shared" si="2"/>
        <v>19551.599999999999</v>
      </c>
      <c r="P9" s="3">
        <f t="shared" si="2"/>
        <v>19551.599999999999</v>
      </c>
      <c r="Q9" s="3">
        <f t="shared" si="2"/>
        <v>19551.599999999999</v>
      </c>
      <c r="R9" s="3">
        <f t="shared" si="2"/>
        <v>19551.599999999999</v>
      </c>
      <c r="S9" s="3">
        <f t="shared" si="2"/>
        <v>19551.599999999999</v>
      </c>
      <c r="T9" s="3">
        <f t="shared" si="2"/>
        <v>19551.599999999999</v>
      </c>
      <c r="U9" s="3">
        <f t="shared" si="3"/>
        <v>19551.599999999999</v>
      </c>
      <c r="V9" s="3">
        <f t="shared" si="3"/>
        <v>19551.599999999999</v>
      </c>
      <c r="W9" s="3">
        <f t="shared" si="3"/>
        <v>19551.599999999999</v>
      </c>
      <c r="X9" s="3">
        <f t="shared" si="3"/>
        <v>19551.599999999999</v>
      </c>
      <c r="Y9" s="3">
        <f t="shared" si="3"/>
        <v>19551.599999999999</v>
      </c>
      <c r="Z9" s="3">
        <f t="shared" si="3"/>
        <v>19551.599999999999</v>
      </c>
      <c r="AA9" s="6">
        <f t="shared" si="3"/>
        <v>19551.599999999999</v>
      </c>
      <c r="AB9" s="134">
        <f t="shared" si="1"/>
        <v>469238.39999999979</v>
      </c>
      <c r="AC9" s="134">
        <v>2</v>
      </c>
      <c r="AD9" s="135"/>
      <c r="AE9" s="136">
        <f>+AD18</f>
        <v>14077151.999999993</v>
      </c>
    </row>
    <row r="10" spans="2:31">
      <c r="B10" s="124">
        <v>47150</v>
      </c>
      <c r="C10" s="125" t="s">
        <v>5</v>
      </c>
      <c r="D10" s="2">
        <f t="shared" si="4"/>
        <v>19551.599999999999</v>
      </c>
      <c r="E10" s="2">
        <f t="shared" si="2"/>
        <v>19551.599999999999</v>
      </c>
      <c r="F10" s="2">
        <f t="shared" si="2"/>
        <v>19551.599999999999</v>
      </c>
      <c r="G10" s="2">
        <f t="shared" si="2"/>
        <v>19551.599999999999</v>
      </c>
      <c r="H10" s="2">
        <f t="shared" si="2"/>
        <v>19551.599999999999</v>
      </c>
      <c r="I10" s="2">
        <f t="shared" si="2"/>
        <v>19551.599999999999</v>
      </c>
      <c r="J10" s="2">
        <f t="shared" si="2"/>
        <v>19551.599999999999</v>
      </c>
      <c r="K10" s="2">
        <f t="shared" si="2"/>
        <v>19551.599999999999</v>
      </c>
      <c r="L10" s="2">
        <f t="shared" si="2"/>
        <v>19551.599999999999</v>
      </c>
      <c r="M10" s="2">
        <f t="shared" si="2"/>
        <v>19551.599999999999</v>
      </c>
      <c r="N10" s="2">
        <f t="shared" si="2"/>
        <v>19551.599999999999</v>
      </c>
      <c r="O10" s="2">
        <f t="shared" si="2"/>
        <v>19551.599999999999</v>
      </c>
      <c r="P10" s="2">
        <f t="shared" si="2"/>
        <v>19551.599999999999</v>
      </c>
      <c r="Q10" s="2">
        <f t="shared" si="2"/>
        <v>19551.599999999999</v>
      </c>
      <c r="R10" s="2">
        <f t="shared" si="2"/>
        <v>19551.599999999999</v>
      </c>
      <c r="S10" s="2">
        <f t="shared" si="2"/>
        <v>19551.599999999999</v>
      </c>
      <c r="T10" s="2">
        <f t="shared" si="2"/>
        <v>19551.599999999999</v>
      </c>
      <c r="U10" s="2">
        <f t="shared" si="3"/>
        <v>19551.599999999999</v>
      </c>
      <c r="V10" s="2">
        <f t="shared" si="3"/>
        <v>19551.599999999999</v>
      </c>
      <c r="W10" s="2">
        <f t="shared" si="3"/>
        <v>19551.599999999999</v>
      </c>
      <c r="X10" s="2">
        <f t="shared" si="3"/>
        <v>19551.599999999999</v>
      </c>
      <c r="Y10" s="2">
        <f t="shared" si="3"/>
        <v>19551.599999999999</v>
      </c>
      <c r="Z10" s="2">
        <f t="shared" si="3"/>
        <v>19551.599999999999</v>
      </c>
      <c r="AA10" s="4">
        <f t="shared" si="3"/>
        <v>19551.599999999999</v>
      </c>
      <c r="AB10" s="126">
        <f t="shared" si="1"/>
        <v>469238.39999999979</v>
      </c>
      <c r="AC10" s="126">
        <v>20</v>
      </c>
      <c r="AD10" s="127">
        <f>(AB10*AC10)+(AB11*AC11)+(AB12*AC12)+(AB13*AC13)</f>
        <v>13138675.199999996</v>
      </c>
      <c r="AE10" s="136">
        <f>+AD22</f>
        <v>14546390.399999993</v>
      </c>
    </row>
    <row r="11" spans="2:31">
      <c r="B11" s="128"/>
      <c r="C11" s="129" t="s">
        <v>6</v>
      </c>
      <c r="D11" s="1">
        <f t="shared" si="4"/>
        <v>19551.599999999999</v>
      </c>
      <c r="E11" s="1">
        <f t="shared" si="2"/>
        <v>19551.599999999999</v>
      </c>
      <c r="F11" s="1">
        <f t="shared" si="2"/>
        <v>19551.599999999999</v>
      </c>
      <c r="G11" s="1">
        <f t="shared" si="2"/>
        <v>19551.599999999999</v>
      </c>
      <c r="H11" s="1">
        <f t="shared" si="2"/>
        <v>19551.599999999999</v>
      </c>
      <c r="I11" s="1">
        <f t="shared" si="2"/>
        <v>19551.599999999999</v>
      </c>
      <c r="J11" s="1">
        <f t="shared" si="2"/>
        <v>19551.599999999999</v>
      </c>
      <c r="K11" s="1">
        <f t="shared" si="2"/>
        <v>19551.599999999999</v>
      </c>
      <c r="L11" s="1">
        <f t="shared" si="2"/>
        <v>19551.599999999999</v>
      </c>
      <c r="M11" s="1">
        <f t="shared" si="2"/>
        <v>19551.599999999999</v>
      </c>
      <c r="N11" s="1">
        <f t="shared" si="2"/>
        <v>19551.599999999999</v>
      </c>
      <c r="O11" s="1">
        <f t="shared" si="2"/>
        <v>19551.599999999999</v>
      </c>
      <c r="P11" s="1">
        <f t="shared" si="2"/>
        <v>19551.599999999999</v>
      </c>
      <c r="Q11" s="1">
        <f t="shared" si="2"/>
        <v>19551.599999999999</v>
      </c>
      <c r="R11" s="1">
        <f t="shared" si="2"/>
        <v>19551.599999999999</v>
      </c>
      <c r="S11" s="1">
        <f t="shared" si="2"/>
        <v>19551.599999999999</v>
      </c>
      <c r="T11" s="1">
        <f t="shared" si="2"/>
        <v>19551.599999999999</v>
      </c>
      <c r="U11" s="1">
        <f t="shared" si="3"/>
        <v>19551.599999999999</v>
      </c>
      <c r="V11" s="1">
        <f t="shared" si="3"/>
        <v>19551.599999999999</v>
      </c>
      <c r="W11" s="1">
        <f t="shared" si="3"/>
        <v>19551.599999999999</v>
      </c>
      <c r="X11" s="1">
        <f t="shared" si="3"/>
        <v>19551.599999999999</v>
      </c>
      <c r="Y11" s="1">
        <f t="shared" si="3"/>
        <v>19551.599999999999</v>
      </c>
      <c r="Z11" s="1">
        <f t="shared" si="3"/>
        <v>19551.599999999999</v>
      </c>
      <c r="AA11" s="5">
        <f t="shared" si="3"/>
        <v>19551.599999999999</v>
      </c>
      <c r="AB11" s="130">
        <f t="shared" si="1"/>
        <v>469238.39999999979</v>
      </c>
      <c r="AC11" s="130">
        <v>4</v>
      </c>
      <c r="AD11" s="131"/>
      <c r="AE11" s="136">
        <f>+AD26</f>
        <v>14077151.999999993</v>
      </c>
    </row>
    <row r="12" spans="2:31">
      <c r="B12" s="128"/>
      <c r="C12" s="129" t="s">
        <v>7</v>
      </c>
      <c r="D12" s="1">
        <f t="shared" si="4"/>
        <v>19551.599999999999</v>
      </c>
      <c r="E12" s="1">
        <f t="shared" si="2"/>
        <v>19551.599999999999</v>
      </c>
      <c r="F12" s="1">
        <f t="shared" si="2"/>
        <v>19551.599999999999</v>
      </c>
      <c r="G12" s="1">
        <f t="shared" si="2"/>
        <v>19551.599999999999</v>
      </c>
      <c r="H12" s="1">
        <f t="shared" si="2"/>
        <v>19551.599999999999</v>
      </c>
      <c r="I12" s="1">
        <f t="shared" si="2"/>
        <v>19551.599999999999</v>
      </c>
      <c r="J12" s="1">
        <f t="shared" si="2"/>
        <v>19551.599999999999</v>
      </c>
      <c r="K12" s="1">
        <f t="shared" si="2"/>
        <v>19551.599999999999</v>
      </c>
      <c r="L12" s="1">
        <f t="shared" si="2"/>
        <v>19551.599999999999</v>
      </c>
      <c r="M12" s="1">
        <f t="shared" si="2"/>
        <v>19551.599999999999</v>
      </c>
      <c r="N12" s="1">
        <f t="shared" si="2"/>
        <v>19551.599999999999</v>
      </c>
      <c r="O12" s="1">
        <f t="shared" si="2"/>
        <v>19551.599999999999</v>
      </c>
      <c r="P12" s="1">
        <f t="shared" si="2"/>
        <v>19551.599999999999</v>
      </c>
      <c r="Q12" s="1">
        <f t="shared" si="2"/>
        <v>19551.599999999999</v>
      </c>
      <c r="R12" s="1">
        <f t="shared" si="2"/>
        <v>19551.599999999999</v>
      </c>
      <c r="S12" s="1">
        <f t="shared" si="2"/>
        <v>19551.599999999999</v>
      </c>
      <c r="T12" s="1">
        <f t="shared" si="2"/>
        <v>19551.599999999999</v>
      </c>
      <c r="U12" s="1">
        <f t="shared" si="3"/>
        <v>19551.599999999999</v>
      </c>
      <c r="V12" s="1">
        <f t="shared" si="3"/>
        <v>19551.599999999999</v>
      </c>
      <c r="W12" s="1">
        <f t="shared" si="3"/>
        <v>19551.599999999999</v>
      </c>
      <c r="X12" s="1">
        <f t="shared" si="3"/>
        <v>19551.599999999999</v>
      </c>
      <c r="Y12" s="1">
        <f t="shared" si="3"/>
        <v>19551.599999999999</v>
      </c>
      <c r="Z12" s="1">
        <f t="shared" si="3"/>
        <v>19551.599999999999</v>
      </c>
      <c r="AA12" s="5">
        <f t="shared" si="3"/>
        <v>19551.599999999999</v>
      </c>
      <c r="AB12" s="130">
        <f t="shared" si="1"/>
        <v>469238.39999999979</v>
      </c>
      <c r="AC12" s="130">
        <v>4</v>
      </c>
      <c r="AD12" s="131"/>
      <c r="AE12" s="136">
        <f>+AD30</f>
        <v>14546390.399999993</v>
      </c>
    </row>
    <row r="13" spans="2:31" ht="15" thickBot="1">
      <c r="B13" s="132"/>
      <c r="C13" s="133" t="s">
        <v>8</v>
      </c>
      <c r="D13" s="3">
        <f t="shared" si="4"/>
        <v>19551.599999999999</v>
      </c>
      <c r="E13" s="3">
        <f t="shared" si="2"/>
        <v>19551.599999999999</v>
      </c>
      <c r="F13" s="3">
        <f t="shared" si="2"/>
        <v>19551.599999999999</v>
      </c>
      <c r="G13" s="3">
        <f t="shared" si="2"/>
        <v>19551.599999999999</v>
      </c>
      <c r="H13" s="3">
        <f t="shared" si="2"/>
        <v>19551.599999999999</v>
      </c>
      <c r="I13" s="3">
        <f t="shared" si="2"/>
        <v>19551.599999999999</v>
      </c>
      <c r="J13" s="3">
        <f t="shared" si="2"/>
        <v>19551.599999999999</v>
      </c>
      <c r="K13" s="3">
        <f t="shared" si="2"/>
        <v>19551.599999999999</v>
      </c>
      <c r="L13" s="3">
        <f t="shared" si="2"/>
        <v>19551.599999999999</v>
      </c>
      <c r="M13" s="3">
        <f t="shared" si="2"/>
        <v>19551.599999999999</v>
      </c>
      <c r="N13" s="3">
        <f t="shared" si="2"/>
        <v>19551.599999999999</v>
      </c>
      <c r="O13" s="3">
        <f t="shared" si="2"/>
        <v>19551.599999999999</v>
      </c>
      <c r="P13" s="3">
        <f t="shared" si="2"/>
        <v>19551.599999999999</v>
      </c>
      <c r="Q13" s="3">
        <f t="shared" si="2"/>
        <v>19551.599999999999</v>
      </c>
      <c r="R13" s="3">
        <f t="shared" si="2"/>
        <v>19551.599999999999</v>
      </c>
      <c r="S13" s="3">
        <f t="shared" si="2"/>
        <v>19551.599999999999</v>
      </c>
      <c r="T13" s="3">
        <f t="shared" si="2"/>
        <v>19551.599999999999</v>
      </c>
      <c r="U13" s="3">
        <f t="shared" si="3"/>
        <v>19551.599999999999</v>
      </c>
      <c r="V13" s="3">
        <f t="shared" si="3"/>
        <v>19551.599999999999</v>
      </c>
      <c r="W13" s="3">
        <f t="shared" si="3"/>
        <v>19551.599999999999</v>
      </c>
      <c r="X13" s="3">
        <f t="shared" si="3"/>
        <v>19551.599999999999</v>
      </c>
      <c r="Y13" s="3">
        <f t="shared" si="3"/>
        <v>19551.599999999999</v>
      </c>
      <c r="Z13" s="3">
        <f t="shared" si="3"/>
        <v>19551.599999999999</v>
      </c>
      <c r="AA13" s="6">
        <f t="shared" si="3"/>
        <v>19551.599999999999</v>
      </c>
      <c r="AB13" s="134">
        <f t="shared" si="1"/>
        <v>469238.39999999979</v>
      </c>
      <c r="AC13" s="134">
        <v>0</v>
      </c>
      <c r="AD13" s="135"/>
      <c r="AE13" s="136">
        <f>+AD34</f>
        <v>14546390.399999993</v>
      </c>
    </row>
    <row r="14" spans="2:31">
      <c r="B14" s="124">
        <v>47178</v>
      </c>
      <c r="C14" s="125" t="s">
        <v>5</v>
      </c>
      <c r="D14" s="2">
        <f t="shared" si="4"/>
        <v>19551.599999999999</v>
      </c>
      <c r="E14" s="2">
        <f t="shared" si="2"/>
        <v>19551.599999999999</v>
      </c>
      <c r="F14" s="2">
        <f t="shared" si="2"/>
        <v>19551.599999999999</v>
      </c>
      <c r="G14" s="2">
        <f t="shared" si="2"/>
        <v>19551.599999999999</v>
      </c>
      <c r="H14" s="2">
        <f t="shared" si="2"/>
        <v>19551.599999999999</v>
      </c>
      <c r="I14" s="2">
        <f t="shared" si="2"/>
        <v>19551.599999999999</v>
      </c>
      <c r="J14" s="2">
        <f t="shared" si="2"/>
        <v>19551.599999999999</v>
      </c>
      <c r="K14" s="2">
        <f t="shared" si="2"/>
        <v>19551.599999999999</v>
      </c>
      <c r="L14" s="2">
        <f t="shared" si="2"/>
        <v>19551.599999999999</v>
      </c>
      <c r="M14" s="2">
        <f t="shared" si="2"/>
        <v>19551.599999999999</v>
      </c>
      <c r="N14" s="2">
        <f t="shared" si="2"/>
        <v>19551.599999999999</v>
      </c>
      <c r="O14" s="2">
        <f t="shared" si="2"/>
        <v>19551.599999999999</v>
      </c>
      <c r="P14" s="2">
        <f t="shared" si="2"/>
        <v>19551.599999999999</v>
      </c>
      <c r="Q14" s="2">
        <f t="shared" si="2"/>
        <v>19551.599999999999</v>
      </c>
      <c r="R14" s="2">
        <f t="shared" si="2"/>
        <v>19551.599999999999</v>
      </c>
      <c r="S14" s="2">
        <f t="shared" si="2"/>
        <v>19551.599999999999</v>
      </c>
      <c r="T14" s="2">
        <f t="shared" si="2"/>
        <v>19551.599999999999</v>
      </c>
      <c r="U14" s="2">
        <f t="shared" si="3"/>
        <v>19551.599999999999</v>
      </c>
      <c r="V14" s="2">
        <f t="shared" si="3"/>
        <v>19551.599999999999</v>
      </c>
      <c r="W14" s="2">
        <f t="shared" si="3"/>
        <v>19551.599999999999</v>
      </c>
      <c r="X14" s="2">
        <f t="shared" si="3"/>
        <v>19551.599999999999</v>
      </c>
      <c r="Y14" s="2">
        <f t="shared" si="3"/>
        <v>19551.599999999999</v>
      </c>
      <c r="Z14" s="2">
        <f t="shared" si="3"/>
        <v>19551.599999999999</v>
      </c>
      <c r="AA14" s="4">
        <f t="shared" si="3"/>
        <v>19551.599999999999</v>
      </c>
      <c r="AB14" s="126">
        <f t="shared" si="1"/>
        <v>469238.39999999979</v>
      </c>
      <c r="AC14" s="126">
        <v>19</v>
      </c>
      <c r="AD14" s="127">
        <f>(AB14*AC14)+(AB15*AC15)+(AB16*AC16)+(AB17*AC17)</f>
        <v>14546390.399999993</v>
      </c>
      <c r="AE14" s="136">
        <f>+AD38</f>
        <v>14077151.999999996</v>
      </c>
    </row>
    <row r="15" spans="2:31">
      <c r="B15" s="128"/>
      <c r="C15" s="129" t="s">
        <v>6</v>
      </c>
      <c r="D15" s="1">
        <f t="shared" si="4"/>
        <v>19551.599999999999</v>
      </c>
      <c r="E15" s="1">
        <f t="shared" si="2"/>
        <v>19551.599999999999</v>
      </c>
      <c r="F15" s="1">
        <f t="shared" si="2"/>
        <v>19551.599999999999</v>
      </c>
      <c r="G15" s="1">
        <f t="shared" si="2"/>
        <v>19551.599999999999</v>
      </c>
      <c r="H15" s="1">
        <f t="shared" si="2"/>
        <v>19551.599999999999</v>
      </c>
      <c r="I15" s="1">
        <f t="shared" si="2"/>
        <v>19551.599999999999</v>
      </c>
      <c r="J15" s="1">
        <f t="shared" si="2"/>
        <v>19551.599999999999</v>
      </c>
      <c r="K15" s="1">
        <f t="shared" si="2"/>
        <v>19551.599999999999</v>
      </c>
      <c r="L15" s="1">
        <f t="shared" si="2"/>
        <v>19551.599999999999</v>
      </c>
      <c r="M15" s="1">
        <f t="shared" si="2"/>
        <v>19551.599999999999</v>
      </c>
      <c r="N15" s="1">
        <f t="shared" si="2"/>
        <v>19551.599999999999</v>
      </c>
      <c r="O15" s="1">
        <f t="shared" si="2"/>
        <v>19551.599999999999</v>
      </c>
      <c r="P15" s="1">
        <f t="shared" si="2"/>
        <v>19551.599999999999</v>
      </c>
      <c r="Q15" s="1">
        <f t="shared" si="2"/>
        <v>19551.599999999999</v>
      </c>
      <c r="R15" s="1">
        <f t="shared" si="2"/>
        <v>19551.599999999999</v>
      </c>
      <c r="S15" s="1">
        <f t="shared" si="2"/>
        <v>19551.599999999999</v>
      </c>
      <c r="T15" s="1">
        <f t="shared" si="2"/>
        <v>19551.599999999999</v>
      </c>
      <c r="U15" s="1">
        <f t="shared" si="3"/>
        <v>19551.599999999999</v>
      </c>
      <c r="V15" s="1">
        <f t="shared" si="3"/>
        <v>19551.599999999999</v>
      </c>
      <c r="W15" s="1">
        <f t="shared" si="3"/>
        <v>19551.599999999999</v>
      </c>
      <c r="X15" s="1">
        <f t="shared" si="3"/>
        <v>19551.599999999999</v>
      </c>
      <c r="Y15" s="1">
        <f t="shared" si="3"/>
        <v>19551.599999999999</v>
      </c>
      <c r="Z15" s="1">
        <f t="shared" si="3"/>
        <v>19551.599999999999</v>
      </c>
      <c r="AA15" s="5">
        <f t="shared" si="3"/>
        <v>19551.599999999999</v>
      </c>
      <c r="AB15" s="130">
        <f t="shared" si="1"/>
        <v>469238.39999999979</v>
      </c>
      <c r="AC15" s="130">
        <v>5</v>
      </c>
      <c r="AD15" s="131"/>
      <c r="AE15" s="136">
        <f>+AD42</f>
        <v>14546390.399999995</v>
      </c>
    </row>
    <row r="16" spans="2:31">
      <c r="B16" s="128"/>
      <c r="C16" s="129" t="s">
        <v>7</v>
      </c>
      <c r="D16" s="1">
        <f t="shared" si="4"/>
        <v>19551.599999999999</v>
      </c>
      <c r="E16" s="1">
        <f t="shared" si="2"/>
        <v>19551.599999999999</v>
      </c>
      <c r="F16" s="1">
        <f t="shared" si="2"/>
        <v>19551.599999999999</v>
      </c>
      <c r="G16" s="1">
        <f t="shared" si="2"/>
        <v>19551.599999999999</v>
      </c>
      <c r="H16" s="1">
        <f t="shared" si="2"/>
        <v>19551.599999999999</v>
      </c>
      <c r="I16" s="1">
        <f t="shared" si="2"/>
        <v>19551.599999999999</v>
      </c>
      <c r="J16" s="1">
        <f t="shared" si="2"/>
        <v>19551.599999999999</v>
      </c>
      <c r="K16" s="1">
        <f t="shared" si="2"/>
        <v>19551.599999999999</v>
      </c>
      <c r="L16" s="1">
        <f t="shared" si="2"/>
        <v>19551.599999999999</v>
      </c>
      <c r="M16" s="1">
        <f t="shared" si="2"/>
        <v>19551.599999999999</v>
      </c>
      <c r="N16" s="1">
        <f t="shared" si="2"/>
        <v>19551.599999999999</v>
      </c>
      <c r="O16" s="1">
        <f t="shared" si="2"/>
        <v>19551.599999999999</v>
      </c>
      <c r="P16" s="1">
        <f t="shared" si="2"/>
        <v>19551.599999999999</v>
      </c>
      <c r="Q16" s="1">
        <f t="shared" si="2"/>
        <v>19551.599999999999</v>
      </c>
      <c r="R16" s="1">
        <f t="shared" si="2"/>
        <v>19551.599999999999</v>
      </c>
      <c r="S16" s="1">
        <f t="shared" si="2"/>
        <v>19551.599999999999</v>
      </c>
      <c r="T16" s="1">
        <f t="shared" si="2"/>
        <v>19551.599999999999</v>
      </c>
      <c r="U16" s="1">
        <f t="shared" si="3"/>
        <v>19551.599999999999</v>
      </c>
      <c r="V16" s="1">
        <f t="shared" si="3"/>
        <v>19551.599999999999</v>
      </c>
      <c r="W16" s="1">
        <f t="shared" si="3"/>
        <v>19551.599999999999</v>
      </c>
      <c r="X16" s="1">
        <f t="shared" si="3"/>
        <v>19551.599999999999</v>
      </c>
      <c r="Y16" s="1">
        <f t="shared" si="3"/>
        <v>19551.599999999999</v>
      </c>
      <c r="Z16" s="1">
        <f t="shared" si="3"/>
        <v>19551.599999999999</v>
      </c>
      <c r="AA16" s="5">
        <f t="shared" si="3"/>
        <v>19551.599999999999</v>
      </c>
      <c r="AB16" s="130">
        <f t="shared" si="1"/>
        <v>469238.39999999979</v>
      </c>
      <c r="AC16" s="130">
        <v>4</v>
      </c>
      <c r="AD16" s="131"/>
      <c r="AE16" s="136">
        <f>+AD46</f>
        <v>14077151.999999994</v>
      </c>
    </row>
    <row r="17" spans="2:31" ht="15" thickBot="1">
      <c r="B17" s="132"/>
      <c r="C17" s="133" t="s">
        <v>8</v>
      </c>
      <c r="D17" s="3">
        <f t="shared" si="4"/>
        <v>19551.599999999999</v>
      </c>
      <c r="E17" s="3">
        <f t="shared" si="2"/>
        <v>19551.599999999999</v>
      </c>
      <c r="F17" s="3">
        <f t="shared" si="2"/>
        <v>19551.599999999999</v>
      </c>
      <c r="G17" s="3">
        <f t="shared" si="2"/>
        <v>19551.599999999999</v>
      </c>
      <c r="H17" s="3">
        <f t="shared" si="2"/>
        <v>19551.599999999999</v>
      </c>
      <c r="I17" s="3">
        <f t="shared" si="2"/>
        <v>19551.599999999999</v>
      </c>
      <c r="J17" s="3">
        <f t="shared" si="2"/>
        <v>19551.599999999999</v>
      </c>
      <c r="K17" s="3">
        <f t="shared" si="2"/>
        <v>19551.599999999999</v>
      </c>
      <c r="L17" s="3">
        <f t="shared" si="2"/>
        <v>19551.599999999999</v>
      </c>
      <c r="M17" s="3">
        <f t="shared" si="2"/>
        <v>19551.599999999999</v>
      </c>
      <c r="N17" s="3">
        <f t="shared" si="2"/>
        <v>19551.599999999999</v>
      </c>
      <c r="O17" s="3">
        <f t="shared" si="2"/>
        <v>19551.599999999999</v>
      </c>
      <c r="P17" s="3">
        <f t="shared" si="2"/>
        <v>19551.599999999999</v>
      </c>
      <c r="Q17" s="3">
        <f t="shared" si="2"/>
        <v>19551.599999999999</v>
      </c>
      <c r="R17" s="3">
        <f t="shared" si="2"/>
        <v>19551.599999999999</v>
      </c>
      <c r="S17" s="3">
        <f t="shared" si="2"/>
        <v>19551.599999999999</v>
      </c>
      <c r="T17" s="3">
        <f t="shared" si="2"/>
        <v>19551.599999999999</v>
      </c>
      <c r="U17" s="3">
        <f t="shared" si="3"/>
        <v>19551.599999999999</v>
      </c>
      <c r="V17" s="3">
        <f t="shared" si="3"/>
        <v>19551.599999999999</v>
      </c>
      <c r="W17" s="3">
        <f t="shared" si="3"/>
        <v>19551.599999999999</v>
      </c>
      <c r="X17" s="3">
        <f t="shared" si="3"/>
        <v>19551.599999999999</v>
      </c>
      <c r="Y17" s="3">
        <f t="shared" si="3"/>
        <v>19551.599999999999</v>
      </c>
      <c r="Z17" s="3">
        <f t="shared" si="3"/>
        <v>19551.599999999999</v>
      </c>
      <c r="AA17" s="6">
        <f t="shared" si="3"/>
        <v>19551.599999999999</v>
      </c>
      <c r="AB17" s="134">
        <f t="shared" si="1"/>
        <v>469238.39999999979</v>
      </c>
      <c r="AC17" s="134">
        <v>3</v>
      </c>
      <c r="AD17" s="135"/>
      <c r="AE17" s="136">
        <f>+AD50</f>
        <v>14546390.399999993</v>
      </c>
    </row>
    <row r="18" spans="2:31">
      <c r="B18" s="124">
        <v>47209</v>
      </c>
      <c r="C18" s="125" t="s">
        <v>5</v>
      </c>
      <c r="D18" s="2">
        <f t="shared" si="4"/>
        <v>19551.599999999999</v>
      </c>
      <c r="E18" s="2">
        <f t="shared" si="2"/>
        <v>19551.599999999999</v>
      </c>
      <c r="F18" s="2">
        <f t="shared" si="2"/>
        <v>19551.599999999999</v>
      </c>
      <c r="G18" s="2">
        <f t="shared" si="2"/>
        <v>19551.599999999999</v>
      </c>
      <c r="H18" s="2">
        <f t="shared" si="2"/>
        <v>19551.599999999999</v>
      </c>
      <c r="I18" s="2">
        <f t="shared" si="2"/>
        <v>19551.599999999999</v>
      </c>
      <c r="J18" s="2">
        <f t="shared" si="2"/>
        <v>19551.599999999999</v>
      </c>
      <c r="K18" s="2">
        <f t="shared" si="2"/>
        <v>19551.599999999999</v>
      </c>
      <c r="L18" s="2">
        <f t="shared" si="2"/>
        <v>19551.599999999999</v>
      </c>
      <c r="M18" s="2">
        <f t="shared" si="2"/>
        <v>19551.599999999999</v>
      </c>
      <c r="N18" s="2">
        <f t="shared" si="2"/>
        <v>19551.599999999999</v>
      </c>
      <c r="O18" s="2">
        <f t="shared" si="2"/>
        <v>19551.599999999999</v>
      </c>
      <c r="P18" s="2">
        <f t="shared" si="2"/>
        <v>19551.599999999999</v>
      </c>
      <c r="Q18" s="2">
        <f t="shared" si="2"/>
        <v>19551.599999999999</v>
      </c>
      <c r="R18" s="2">
        <f t="shared" si="2"/>
        <v>19551.599999999999</v>
      </c>
      <c r="S18" s="2">
        <f t="shared" si="2"/>
        <v>19551.599999999999</v>
      </c>
      <c r="T18" s="2">
        <f t="shared" si="2"/>
        <v>19551.599999999999</v>
      </c>
      <c r="U18" s="2">
        <f t="shared" si="3"/>
        <v>19551.599999999999</v>
      </c>
      <c r="V18" s="2">
        <f t="shared" si="3"/>
        <v>19551.599999999999</v>
      </c>
      <c r="W18" s="2">
        <f t="shared" si="3"/>
        <v>19551.599999999999</v>
      </c>
      <c r="X18" s="2">
        <f t="shared" si="3"/>
        <v>19551.599999999999</v>
      </c>
      <c r="Y18" s="2">
        <f t="shared" si="3"/>
        <v>19551.599999999999</v>
      </c>
      <c r="Z18" s="2">
        <f t="shared" si="3"/>
        <v>19551.599999999999</v>
      </c>
      <c r="AA18" s="4">
        <f t="shared" si="3"/>
        <v>19551.599999999999</v>
      </c>
      <c r="AB18" s="126">
        <f t="shared" si="1"/>
        <v>469238.39999999979</v>
      </c>
      <c r="AC18" s="126">
        <v>21</v>
      </c>
      <c r="AD18" s="127">
        <f>(AB18*AC18)+(AB19*AC19)+(AB20*AC20)+(AB21*AC21)</f>
        <v>14077151.999999993</v>
      </c>
      <c r="AE18" s="136">
        <v>11534886.720000003</v>
      </c>
    </row>
    <row r="19" spans="2:31">
      <c r="B19" s="128"/>
      <c r="C19" s="129" t="s">
        <v>6</v>
      </c>
      <c r="D19" s="1">
        <f t="shared" si="4"/>
        <v>19551.599999999999</v>
      </c>
      <c r="E19" s="1">
        <f t="shared" si="2"/>
        <v>19551.599999999999</v>
      </c>
      <c r="F19" s="1">
        <f t="shared" si="2"/>
        <v>19551.599999999999</v>
      </c>
      <c r="G19" s="1">
        <f t="shared" si="2"/>
        <v>19551.599999999999</v>
      </c>
      <c r="H19" s="1">
        <f t="shared" si="2"/>
        <v>19551.599999999999</v>
      </c>
      <c r="I19" s="1">
        <f t="shared" si="2"/>
        <v>19551.599999999999</v>
      </c>
      <c r="J19" s="1">
        <f t="shared" si="2"/>
        <v>19551.599999999999</v>
      </c>
      <c r="K19" s="1">
        <f t="shared" si="2"/>
        <v>19551.599999999999</v>
      </c>
      <c r="L19" s="1">
        <f t="shared" si="2"/>
        <v>19551.599999999999</v>
      </c>
      <c r="M19" s="1">
        <f t="shared" si="2"/>
        <v>19551.599999999999</v>
      </c>
      <c r="N19" s="1">
        <f t="shared" si="2"/>
        <v>19551.599999999999</v>
      </c>
      <c r="O19" s="1">
        <f t="shared" si="2"/>
        <v>19551.599999999999</v>
      </c>
      <c r="P19" s="1">
        <f t="shared" si="2"/>
        <v>19551.599999999999</v>
      </c>
      <c r="Q19" s="1">
        <f t="shared" si="2"/>
        <v>19551.599999999999</v>
      </c>
      <c r="R19" s="1">
        <f t="shared" si="2"/>
        <v>19551.599999999999</v>
      </c>
      <c r="S19" s="1">
        <f t="shared" si="2"/>
        <v>19551.599999999999</v>
      </c>
      <c r="T19" s="1">
        <f t="shared" si="2"/>
        <v>19551.599999999999</v>
      </c>
      <c r="U19" s="1">
        <f t="shared" si="3"/>
        <v>19551.599999999999</v>
      </c>
      <c r="V19" s="1">
        <f t="shared" si="3"/>
        <v>19551.599999999999</v>
      </c>
      <c r="W19" s="1">
        <f t="shared" si="3"/>
        <v>19551.599999999999</v>
      </c>
      <c r="X19" s="1">
        <f t="shared" si="3"/>
        <v>19551.599999999999</v>
      </c>
      <c r="Y19" s="1">
        <f t="shared" si="3"/>
        <v>19551.599999999999</v>
      </c>
      <c r="Z19" s="1">
        <f t="shared" si="3"/>
        <v>19551.599999999999</v>
      </c>
      <c r="AA19" s="5">
        <f t="shared" si="3"/>
        <v>19551.599999999999</v>
      </c>
      <c r="AB19" s="130">
        <f t="shared" si="1"/>
        <v>469238.39999999979</v>
      </c>
      <c r="AC19" s="130">
        <v>4</v>
      </c>
      <c r="AD19" s="131"/>
      <c r="AE19" s="136">
        <v>10418607.360000001</v>
      </c>
    </row>
    <row r="20" spans="2:31">
      <c r="B20" s="128"/>
      <c r="C20" s="129" t="s">
        <v>7</v>
      </c>
      <c r="D20" s="1">
        <f t="shared" si="4"/>
        <v>19551.599999999999</v>
      </c>
      <c r="E20" s="1">
        <f t="shared" si="2"/>
        <v>19551.599999999999</v>
      </c>
      <c r="F20" s="1">
        <f t="shared" si="2"/>
        <v>19551.599999999999</v>
      </c>
      <c r="G20" s="1">
        <f t="shared" si="2"/>
        <v>19551.599999999999</v>
      </c>
      <c r="H20" s="1">
        <f t="shared" si="2"/>
        <v>19551.599999999999</v>
      </c>
      <c r="I20" s="1">
        <f t="shared" si="2"/>
        <v>19551.599999999999</v>
      </c>
      <c r="J20" s="1">
        <f t="shared" si="2"/>
        <v>19551.599999999999</v>
      </c>
      <c r="K20" s="1">
        <f t="shared" si="2"/>
        <v>19551.599999999999</v>
      </c>
      <c r="L20" s="1">
        <f t="shared" si="2"/>
        <v>19551.599999999999</v>
      </c>
      <c r="M20" s="1">
        <f t="shared" si="2"/>
        <v>19551.599999999999</v>
      </c>
      <c r="N20" s="1">
        <f t="shared" si="2"/>
        <v>19551.599999999999</v>
      </c>
      <c r="O20" s="1">
        <f t="shared" si="2"/>
        <v>19551.599999999999</v>
      </c>
      <c r="P20" s="1">
        <f t="shared" si="2"/>
        <v>19551.599999999999</v>
      </c>
      <c r="Q20" s="1">
        <f t="shared" si="2"/>
        <v>19551.599999999999</v>
      </c>
      <c r="R20" s="1">
        <f t="shared" si="2"/>
        <v>19551.599999999999</v>
      </c>
      <c r="S20" s="1">
        <f t="shared" si="2"/>
        <v>19551.599999999999</v>
      </c>
      <c r="T20" s="1">
        <f t="shared" si="2"/>
        <v>19551.599999999999</v>
      </c>
      <c r="U20" s="1">
        <f t="shared" si="3"/>
        <v>19551.599999999999</v>
      </c>
      <c r="V20" s="1">
        <f t="shared" si="3"/>
        <v>19551.599999999999</v>
      </c>
      <c r="W20" s="1">
        <f t="shared" si="3"/>
        <v>19551.599999999999</v>
      </c>
      <c r="X20" s="1">
        <f t="shared" si="3"/>
        <v>19551.599999999999</v>
      </c>
      <c r="Y20" s="1">
        <f t="shared" si="3"/>
        <v>19551.599999999999</v>
      </c>
      <c r="Z20" s="1">
        <f t="shared" si="3"/>
        <v>19551.599999999999</v>
      </c>
      <c r="AA20" s="5">
        <f t="shared" si="3"/>
        <v>19551.599999999999</v>
      </c>
      <c r="AB20" s="130">
        <f t="shared" si="1"/>
        <v>469238.39999999979</v>
      </c>
      <c r="AC20" s="130">
        <v>5</v>
      </c>
      <c r="AD20" s="131"/>
      <c r="AE20" s="136">
        <v>11534886.720000001</v>
      </c>
    </row>
    <row r="21" spans="2:31" ht="15" thickBot="1">
      <c r="B21" s="132"/>
      <c r="C21" s="133" t="s">
        <v>8</v>
      </c>
      <c r="D21" s="3">
        <f t="shared" si="4"/>
        <v>19551.599999999999</v>
      </c>
      <c r="E21" s="3">
        <f t="shared" si="2"/>
        <v>19551.599999999999</v>
      </c>
      <c r="F21" s="3">
        <f t="shared" si="2"/>
        <v>19551.599999999999</v>
      </c>
      <c r="G21" s="3">
        <f t="shared" si="2"/>
        <v>19551.599999999999</v>
      </c>
      <c r="H21" s="3">
        <f t="shared" si="2"/>
        <v>19551.599999999999</v>
      </c>
      <c r="I21" s="3">
        <f t="shared" si="2"/>
        <v>19551.599999999999</v>
      </c>
      <c r="J21" s="3">
        <f t="shared" si="2"/>
        <v>19551.599999999999</v>
      </c>
      <c r="K21" s="3">
        <f t="shared" si="2"/>
        <v>19551.599999999999</v>
      </c>
      <c r="L21" s="3">
        <f t="shared" si="2"/>
        <v>19551.599999999999</v>
      </c>
      <c r="M21" s="3">
        <f t="shared" si="2"/>
        <v>19551.599999999999</v>
      </c>
      <c r="N21" s="3">
        <f t="shared" si="2"/>
        <v>19551.599999999999</v>
      </c>
      <c r="O21" s="3">
        <f t="shared" si="2"/>
        <v>19551.599999999999</v>
      </c>
      <c r="P21" s="3">
        <f t="shared" si="2"/>
        <v>19551.599999999999</v>
      </c>
      <c r="Q21" s="3">
        <f t="shared" si="2"/>
        <v>19551.599999999999</v>
      </c>
      <c r="R21" s="3">
        <f t="shared" si="2"/>
        <v>19551.599999999999</v>
      </c>
      <c r="S21" s="3">
        <f t="shared" si="2"/>
        <v>19551.599999999999</v>
      </c>
      <c r="T21" s="3">
        <f t="shared" si="2"/>
        <v>19551.599999999999</v>
      </c>
      <c r="U21" s="3">
        <f t="shared" si="3"/>
        <v>19551.599999999999</v>
      </c>
      <c r="V21" s="3">
        <f t="shared" si="3"/>
        <v>19551.599999999999</v>
      </c>
      <c r="W21" s="3">
        <f t="shared" si="3"/>
        <v>19551.599999999999</v>
      </c>
      <c r="X21" s="3">
        <f t="shared" si="3"/>
        <v>19551.599999999999</v>
      </c>
      <c r="Y21" s="3">
        <f t="shared" si="3"/>
        <v>19551.599999999999</v>
      </c>
      <c r="Z21" s="3">
        <f t="shared" si="3"/>
        <v>19551.599999999999</v>
      </c>
      <c r="AA21" s="6">
        <f t="shared" si="3"/>
        <v>19551.599999999999</v>
      </c>
      <c r="AB21" s="134">
        <f t="shared" si="1"/>
        <v>469238.39999999979</v>
      </c>
      <c r="AC21" s="134">
        <v>0</v>
      </c>
      <c r="AD21" s="135"/>
      <c r="AE21" s="136">
        <v>11162793.600000001</v>
      </c>
    </row>
    <row r="22" spans="2:31">
      <c r="B22" s="124">
        <v>47239</v>
      </c>
      <c r="C22" s="125" t="s">
        <v>5</v>
      </c>
      <c r="D22" s="2">
        <f t="shared" si="4"/>
        <v>19551.599999999999</v>
      </c>
      <c r="E22" s="2">
        <f t="shared" si="2"/>
        <v>19551.599999999999</v>
      </c>
      <c r="F22" s="2">
        <f t="shared" si="2"/>
        <v>19551.599999999999</v>
      </c>
      <c r="G22" s="2">
        <f t="shared" si="2"/>
        <v>19551.599999999999</v>
      </c>
      <c r="H22" s="2">
        <f t="shared" si="2"/>
        <v>19551.599999999999</v>
      </c>
      <c r="I22" s="2">
        <f t="shared" si="2"/>
        <v>19551.599999999999</v>
      </c>
      <c r="J22" s="2">
        <f t="shared" si="2"/>
        <v>19551.599999999999</v>
      </c>
      <c r="K22" s="2">
        <f t="shared" si="2"/>
        <v>19551.599999999999</v>
      </c>
      <c r="L22" s="2">
        <f t="shared" si="2"/>
        <v>19551.599999999999</v>
      </c>
      <c r="M22" s="2">
        <f t="shared" si="2"/>
        <v>19551.599999999999</v>
      </c>
      <c r="N22" s="2">
        <f t="shared" si="2"/>
        <v>19551.599999999999</v>
      </c>
      <c r="O22" s="2">
        <f t="shared" si="2"/>
        <v>19551.599999999999</v>
      </c>
      <c r="P22" s="2">
        <f t="shared" si="2"/>
        <v>19551.599999999999</v>
      </c>
      <c r="Q22" s="2">
        <f t="shared" si="2"/>
        <v>19551.599999999999</v>
      </c>
      <c r="R22" s="2">
        <f t="shared" si="2"/>
        <v>19551.599999999999</v>
      </c>
      <c r="S22" s="2">
        <f t="shared" si="2"/>
        <v>19551.599999999999</v>
      </c>
      <c r="T22" s="2">
        <f t="shared" ref="T22:AA37" si="5">+$D$6</f>
        <v>19551.599999999999</v>
      </c>
      <c r="U22" s="2">
        <f t="shared" si="3"/>
        <v>19551.599999999999</v>
      </c>
      <c r="V22" s="2">
        <f t="shared" si="3"/>
        <v>19551.599999999999</v>
      </c>
      <c r="W22" s="2">
        <f t="shared" si="3"/>
        <v>19551.599999999999</v>
      </c>
      <c r="X22" s="2">
        <f t="shared" si="3"/>
        <v>19551.599999999999</v>
      </c>
      <c r="Y22" s="2">
        <f t="shared" si="3"/>
        <v>19551.599999999999</v>
      </c>
      <c r="Z22" s="2">
        <f t="shared" si="3"/>
        <v>19551.599999999999</v>
      </c>
      <c r="AA22" s="4">
        <f t="shared" si="3"/>
        <v>19551.599999999999</v>
      </c>
      <c r="AB22" s="126">
        <f t="shared" si="1"/>
        <v>469238.39999999979</v>
      </c>
      <c r="AC22" s="126">
        <v>21</v>
      </c>
      <c r="AD22" s="127">
        <f>(AB22*AC22)+(AB23*AC23)+(AB24*AC24)+(AB25*AC25)</f>
        <v>14546390.399999993</v>
      </c>
      <c r="AE22" s="136">
        <v>11534886.720000001</v>
      </c>
    </row>
    <row r="23" spans="2:31">
      <c r="B23" s="128"/>
      <c r="C23" s="129" t="s">
        <v>6</v>
      </c>
      <c r="D23" s="1">
        <f t="shared" si="4"/>
        <v>19551.599999999999</v>
      </c>
      <c r="E23" s="1">
        <f t="shared" si="4"/>
        <v>19551.599999999999</v>
      </c>
      <c r="F23" s="1">
        <f t="shared" si="4"/>
        <v>19551.599999999999</v>
      </c>
      <c r="G23" s="1">
        <f t="shared" si="4"/>
        <v>19551.599999999999</v>
      </c>
      <c r="H23" s="1">
        <f t="shared" si="4"/>
        <v>19551.599999999999</v>
      </c>
      <c r="I23" s="1">
        <f t="shared" si="4"/>
        <v>19551.599999999999</v>
      </c>
      <c r="J23" s="1">
        <f t="shared" si="4"/>
        <v>19551.599999999999</v>
      </c>
      <c r="K23" s="1">
        <f t="shared" si="4"/>
        <v>19551.599999999999</v>
      </c>
      <c r="L23" s="1">
        <f t="shared" si="4"/>
        <v>19551.599999999999</v>
      </c>
      <c r="M23" s="1">
        <f t="shared" si="4"/>
        <v>19551.599999999999</v>
      </c>
      <c r="N23" s="1">
        <f t="shared" si="4"/>
        <v>19551.599999999999</v>
      </c>
      <c r="O23" s="1">
        <f t="shared" si="4"/>
        <v>19551.599999999999</v>
      </c>
      <c r="P23" s="1">
        <f t="shared" si="4"/>
        <v>19551.599999999999</v>
      </c>
      <c r="Q23" s="1">
        <f t="shared" si="4"/>
        <v>19551.599999999999</v>
      </c>
      <c r="R23" s="1">
        <f t="shared" si="4"/>
        <v>19551.599999999999</v>
      </c>
      <c r="S23" s="1">
        <f t="shared" si="4"/>
        <v>19551.599999999999</v>
      </c>
      <c r="T23" s="1">
        <f t="shared" si="5"/>
        <v>19551.599999999999</v>
      </c>
      <c r="U23" s="1">
        <f t="shared" si="5"/>
        <v>19551.599999999999</v>
      </c>
      <c r="V23" s="1">
        <f t="shared" si="5"/>
        <v>19551.599999999999</v>
      </c>
      <c r="W23" s="1">
        <f t="shared" si="5"/>
        <v>19551.599999999999</v>
      </c>
      <c r="X23" s="1">
        <f t="shared" si="5"/>
        <v>19551.599999999999</v>
      </c>
      <c r="Y23" s="1">
        <f t="shared" si="5"/>
        <v>19551.599999999999</v>
      </c>
      <c r="Z23" s="1">
        <f t="shared" si="5"/>
        <v>19551.599999999999</v>
      </c>
      <c r="AA23" s="5">
        <f t="shared" si="5"/>
        <v>19551.599999999999</v>
      </c>
      <c r="AB23" s="130">
        <f t="shared" si="1"/>
        <v>469238.39999999979</v>
      </c>
      <c r="AC23" s="130">
        <v>4</v>
      </c>
      <c r="AD23" s="131"/>
      <c r="AE23" s="136">
        <v>11162793.600000001</v>
      </c>
    </row>
    <row r="24" spans="2:31">
      <c r="B24" s="128"/>
      <c r="C24" s="129" t="s">
        <v>7</v>
      </c>
      <c r="D24" s="1">
        <f t="shared" ref="D24:S39" si="6">+$D$6</f>
        <v>19551.599999999999</v>
      </c>
      <c r="E24" s="1">
        <f t="shared" si="6"/>
        <v>19551.599999999999</v>
      </c>
      <c r="F24" s="1">
        <f t="shared" si="6"/>
        <v>19551.599999999999</v>
      </c>
      <c r="G24" s="1">
        <f t="shared" si="6"/>
        <v>19551.599999999999</v>
      </c>
      <c r="H24" s="1">
        <f t="shared" si="6"/>
        <v>19551.599999999999</v>
      </c>
      <c r="I24" s="1">
        <f t="shared" si="6"/>
        <v>19551.599999999999</v>
      </c>
      <c r="J24" s="1">
        <f t="shared" si="6"/>
        <v>19551.599999999999</v>
      </c>
      <c r="K24" s="1">
        <f t="shared" si="6"/>
        <v>19551.599999999999</v>
      </c>
      <c r="L24" s="1">
        <f t="shared" si="6"/>
        <v>19551.599999999999</v>
      </c>
      <c r="M24" s="1">
        <f t="shared" si="6"/>
        <v>19551.599999999999</v>
      </c>
      <c r="N24" s="1">
        <f t="shared" si="6"/>
        <v>19551.599999999999</v>
      </c>
      <c r="O24" s="1">
        <f t="shared" si="6"/>
        <v>19551.599999999999</v>
      </c>
      <c r="P24" s="1">
        <f t="shared" si="6"/>
        <v>19551.599999999999</v>
      </c>
      <c r="Q24" s="1">
        <f t="shared" si="6"/>
        <v>19551.599999999999</v>
      </c>
      <c r="R24" s="1">
        <f t="shared" si="6"/>
        <v>19551.599999999999</v>
      </c>
      <c r="S24" s="1">
        <f t="shared" si="6"/>
        <v>19551.599999999999</v>
      </c>
      <c r="T24" s="1">
        <f t="shared" si="5"/>
        <v>19551.599999999999</v>
      </c>
      <c r="U24" s="1">
        <f t="shared" si="5"/>
        <v>19551.599999999999</v>
      </c>
      <c r="V24" s="1">
        <f t="shared" si="5"/>
        <v>19551.599999999999</v>
      </c>
      <c r="W24" s="1">
        <f t="shared" si="5"/>
        <v>19551.599999999999</v>
      </c>
      <c r="X24" s="1">
        <f t="shared" si="5"/>
        <v>19551.599999999999</v>
      </c>
      <c r="Y24" s="1">
        <f t="shared" si="5"/>
        <v>19551.599999999999</v>
      </c>
      <c r="Z24" s="1">
        <f t="shared" si="5"/>
        <v>19551.599999999999</v>
      </c>
      <c r="AA24" s="5">
        <f t="shared" si="5"/>
        <v>19551.599999999999</v>
      </c>
      <c r="AB24" s="130">
        <f t="shared" si="1"/>
        <v>469238.39999999979</v>
      </c>
      <c r="AC24" s="130">
        <v>4</v>
      </c>
      <c r="AD24" s="131"/>
      <c r="AE24" s="136">
        <v>11534886.720000003</v>
      </c>
    </row>
    <row r="25" spans="2:31" ht="15" thickBot="1">
      <c r="B25" s="132"/>
      <c r="C25" s="133" t="s">
        <v>8</v>
      </c>
      <c r="D25" s="3">
        <f t="shared" si="6"/>
        <v>19551.599999999999</v>
      </c>
      <c r="E25" s="3">
        <f t="shared" si="6"/>
        <v>19551.599999999999</v>
      </c>
      <c r="F25" s="3">
        <f t="shared" si="6"/>
        <v>19551.599999999999</v>
      </c>
      <c r="G25" s="3">
        <f t="shared" si="6"/>
        <v>19551.599999999999</v>
      </c>
      <c r="H25" s="3">
        <f t="shared" si="6"/>
        <v>19551.599999999999</v>
      </c>
      <c r="I25" s="3">
        <f t="shared" si="6"/>
        <v>19551.599999999999</v>
      </c>
      <c r="J25" s="3">
        <f t="shared" si="6"/>
        <v>19551.599999999999</v>
      </c>
      <c r="K25" s="3">
        <f t="shared" si="6"/>
        <v>19551.599999999999</v>
      </c>
      <c r="L25" s="3">
        <f t="shared" si="6"/>
        <v>19551.599999999999</v>
      </c>
      <c r="M25" s="3">
        <f t="shared" si="6"/>
        <v>19551.599999999999</v>
      </c>
      <c r="N25" s="3">
        <f t="shared" si="6"/>
        <v>19551.599999999999</v>
      </c>
      <c r="O25" s="3">
        <f t="shared" si="6"/>
        <v>19551.599999999999</v>
      </c>
      <c r="P25" s="3">
        <f t="shared" si="6"/>
        <v>19551.599999999999</v>
      </c>
      <c r="Q25" s="3">
        <f t="shared" si="6"/>
        <v>19551.599999999999</v>
      </c>
      <c r="R25" s="3">
        <f t="shared" si="6"/>
        <v>19551.599999999999</v>
      </c>
      <c r="S25" s="3">
        <f t="shared" si="6"/>
        <v>19551.599999999999</v>
      </c>
      <c r="T25" s="3">
        <f t="shared" si="5"/>
        <v>19551.599999999999</v>
      </c>
      <c r="U25" s="3">
        <f t="shared" si="5"/>
        <v>19551.599999999999</v>
      </c>
      <c r="V25" s="3">
        <f t="shared" si="5"/>
        <v>19551.599999999999</v>
      </c>
      <c r="W25" s="3">
        <f t="shared" si="5"/>
        <v>19551.599999999999</v>
      </c>
      <c r="X25" s="3">
        <f t="shared" si="5"/>
        <v>19551.599999999999</v>
      </c>
      <c r="Y25" s="3">
        <f t="shared" si="5"/>
        <v>19551.599999999999</v>
      </c>
      <c r="Z25" s="3">
        <f t="shared" si="5"/>
        <v>19551.599999999999</v>
      </c>
      <c r="AA25" s="6">
        <f t="shared" si="5"/>
        <v>19551.599999999999</v>
      </c>
      <c r="AB25" s="134">
        <f t="shared" si="1"/>
        <v>469238.39999999979</v>
      </c>
      <c r="AC25" s="134">
        <v>2</v>
      </c>
      <c r="AD25" s="135"/>
      <c r="AE25" s="136">
        <v>11534886.720000003</v>
      </c>
    </row>
    <row r="26" spans="2:31">
      <c r="B26" s="124">
        <v>47270</v>
      </c>
      <c r="C26" s="125" t="s">
        <v>5</v>
      </c>
      <c r="D26" s="2">
        <f t="shared" si="6"/>
        <v>19551.599999999999</v>
      </c>
      <c r="E26" s="2">
        <f t="shared" si="6"/>
        <v>19551.599999999999</v>
      </c>
      <c r="F26" s="2">
        <f t="shared" si="6"/>
        <v>19551.599999999999</v>
      </c>
      <c r="G26" s="2">
        <f t="shared" si="6"/>
        <v>19551.599999999999</v>
      </c>
      <c r="H26" s="2">
        <f t="shared" si="6"/>
        <v>19551.599999999999</v>
      </c>
      <c r="I26" s="2">
        <f t="shared" si="6"/>
        <v>19551.599999999999</v>
      </c>
      <c r="J26" s="2">
        <f t="shared" si="6"/>
        <v>19551.599999999999</v>
      </c>
      <c r="K26" s="2">
        <f t="shared" si="6"/>
        <v>19551.599999999999</v>
      </c>
      <c r="L26" s="2">
        <f t="shared" si="6"/>
        <v>19551.599999999999</v>
      </c>
      <c r="M26" s="2">
        <f t="shared" si="6"/>
        <v>19551.599999999999</v>
      </c>
      <c r="N26" s="2">
        <f t="shared" si="6"/>
        <v>19551.599999999999</v>
      </c>
      <c r="O26" s="2">
        <f t="shared" si="6"/>
        <v>19551.599999999999</v>
      </c>
      <c r="P26" s="2">
        <f t="shared" si="6"/>
        <v>19551.599999999999</v>
      </c>
      <c r="Q26" s="2">
        <f t="shared" si="6"/>
        <v>19551.599999999999</v>
      </c>
      <c r="R26" s="2">
        <f t="shared" si="6"/>
        <v>19551.599999999999</v>
      </c>
      <c r="S26" s="2">
        <f t="shared" si="6"/>
        <v>19551.599999999999</v>
      </c>
      <c r="T26" s="2">
        <f t="shared" si="5"/>
        <v>19551.599999999999</v>
      </c>
      <c r="U26" s="2">
        <f t="shared" si="5"/>
        <v>19551.599999999999</v>
      </c>
      <c r="V26" s="2">
        <f t="shared" si="5"/>
        <v>19551.599999999999</v>
      </c>
      <c r="W26" s="2">
        <f t="shared" si="5"/>
        <v>19551.599999999999</v>
      </c>
      <c r="X26" s="2">
        <f t="shared" si="5"/>
        <v>19551.599999999999</v>
      </c>
      <c r="Y26" s="2">
        <f t="shared" si="5"/>
        <v>19551.599999999999</v>
      </c>
      <c r="Z26" s="2">
        <f t="shared" si="5"/>
        <v>19551.599999999999</v>
      </c>
      <c r="AA26" s="4">
        <f t="shared" si="5"/>
        <v>19551.599999999999</v>
      </c>
      <c r="AB26" s="126">
        <f t="shared" si="1"/>
        <v>469238.39999999979</v>
      </c>
      <c r="AC26" s="126">
        <v>19</v>
      </c>
      <c r="AD26" s="127">
        <f>(AB26*AC26)+(AB27*AC27)+(AB28*AC28)+(AB29*AC29)</f>
        <v>14077151.999999993</v>
      </c>
      <c r="AE26" s="136">
        <v>11162793.600000001</v>
      </c>
    </row>
    <row r="27" spans="2:31">
      <c r="B27" s="128"/>
      <c r="C27" s="129" t="s">
        <v>6</v>
      </c>
      <c r="D27" s="1">
        <f t="shared" si="6"/>
        <v>19551.599999999999</v>
      </c>
      <c r="E27" s="1">
        <f t="shared" si="6"/>
        <v>19551.599999999999</v>
      </c>
      <c r="F27" s="1">
        <f t="shared" si="6"/>
        <v>19551.599999999999</v>
      </c>
      <c r="G27" s="1">
        <f t="shared" si="6"/>
        <v>19551.599999999999</v>
      </c>
      <c r="H27" s="1">
        <f t="shared" si="6"/>
        <v>19551.599999999999</v>
      </c>
      <c r="I27" s="1">
        <f t="shared" si="6"/>
        <v>19551.599999999999</v>
      </c>
      <c r="J27" s="1">
        <f t="shared" si="6"/>
        <v>19551.599999999999</v>
      </c>
      <c r="K27" s="1">
        <f t="shared" si="6"/>
        <v>19551.599999999999</v>
      </c>
      <c r="L27" s="1">
        <f t="shared" si="6"/>
        <v>19551.599999999999</v>
      </c>
      <c r="M27" s="1">
        <f t="shared" si="6"/>
        <v>19551.599999999999</v>
      </c>
      <c r="N27" s="1">
        <f t="shared" si="6"/>
        <v>19551.599999999999</v>
      </c>
      <c r="O27" s="1">
        <f t="shared" si="6"/>
        <v>19551.599999999999</v>
      </c>
      <c r="P27" s="1">
        <f t="shared" si="6"/>
        <v>19551.599999999999</v>
      </c>
      <c r="Q27" s="1">
        <f t="shared" si="6"/>
        <v>19551.599999999999</v>
      </c>
      <c r="R27" s="1">
        <f t="shared" si="6"/>
        <v>19551.599999999999</v>
      </c>
      <c r="S27" s="1">
        <f t="shared" si="6"/>
        <v>19551.599999999999</v>
      </c>
      <c r="T27" s="1">
        <f t="shared" si="5"/>
        <v>19551.599999999999</v>
      </c>
      <c r="U27" s="1">
        <f t="shared" si="5"/>
        <v>19551.599999999999</v>
      </c>
      <c r="V27" s="1">
        <f t="shared" si="5"/>
        <v>19551.599999999999</v>
      </c>
      <c r="W27" s="1">
        <f t="shared" si="5"/>
        <v>19551.599999999999</v>
      </c>
      <c r="X27" s="1">
        <f t="shared" si="5"/>
        <v>19551.599999999999</v>
      </c>
      <c r="Y27" s="1">
        <f t="shared" si="5"/>
        <v>19551.599999999999</v>
      </c>
      <c r="Z27" s="1">
        <f t="shared" si="5"/>
        <v>19551.599999999999</v>
      </c>
      <c r="AA27" s="5">
        <f t="shared" si="5"/>
        <v>19551.599999999999</v>
      </c>
      <c r="AB27" s="130">
        <f t="shared" si="1"/>
        <v>469238.39999999979</v>
      </c>
      <c r="AC27" s="130">
        <v>5</v>
      </c>
      <c r="AD27" s="131"/>
      <c r="AE27" s="136">
        <v>11534886.720000001</v>
      </c>
    </row>
    <row r="28" spans="2:31">
      <c r="B28" s="128"/>
      <c r="C28" s="129" t="s">
        <v>7</v>
      </c>
      <c r="D28" s="1">
        <f t="shared" si="6"/>
        <v>19551.599999999999</v>
      </c>
      <c r="E28" s="1">
        <f t="shared" si="6"/>
        <v>19551.599999999999</v>
      </c>
      <c r="F28" s="1">
        <f t="shared" si="6"/>
        <v>19551.599999999999</v>
      </c>
      <c r="G28" s="1">
        <f t="shared" si="6"/>
        <v>19551.599999999999</v>
      </c>
      <c r="H28" s="1">
        <f t="shared" si="6"/>
        <v>19551.599999999999</v>
      </c>
      <c r="I28" s="1">
        <f t="shared" si="6"/>
        <v>19551.599999999999</v>
      </c>
      <c r="J28" s="1">
        <f t="shared" si="6"/>
        <v>19551.599999999999</v>
      </c>
      <c r="K28" s="1">
        <f t="shared" si="6"/>
        <v>19551.599999999999</v>
      </c>
      <c r="L28" s="1">
        <f t="shared" si="6"/>
        <v>19551.599999999999</v>
      </c>
      <c r="M28" s="1">
        <f t="shared" si="6"/>
        <v>19551.599999999999</v>
      </c>
      <c r="N28" s="1">
        <f t="shared" si="6"/>
        <v>19551.599999999999</v>
      </c>
      <c r="O28" s="1">
        <f t="shared" si="6"/>
        <v>19551.599999999999</v>
      </c>
      <c r="P28" s="1">
        <f t="shared" si="6"/>
        <v>19551.599999999999</v>
      </c>
      <c r="Q28" s="1">
        <f t="shared" si="6"/>
        <v>19551.599999999999</v>
      </c>
      <c r="R28" s="1">
        <f t="shared" si="6"/>
        <v>19551.599999999999</v>
      </c>
      <c r="S28" s="1">
        <f t="shared" si="6"/>
        <v>19551.599999999999</v>
      </c>
      <c r="T28" s="1">
        <f t="shared" si="5"/>
        <v>19551.599999999999</v>
      </c>
      <c r="U28" s="1">
        <f t="shared" si="5"/>
        <v>19551.599999999999</v>
      </c>
      <c r="V28" s="1">
        <f t="shared" si="5"/>
        <v>19551.599999999999</v>
      </c>
      <c r="W28" s="1">
        <f t="shared" si="5"/>
        <v>19551.599999999999</v>
      </c>
      <c r="X28" s="1">
        <f t="shared" si="5"/>
        <v>19551.599999999999</v>
      </c>
      <c r="Y28" s="1">
        <f t="shared" si="5"/>
        <v>19551.599999999999</v>
      </c>
      <c r="Z28" s="1">
        <f t="shared" si="5"/>
        <v>19551.599999999999</v>
      </c>
      <c r="AA28" s="5">
        <f t="shared" si="5"/>
        <v>19551.599999999999</v>
      </c>
      <c r="AB28" s="130">
        <f t="shared" si="1"/>
        <v>469238.39999999979</v>
      </c>
      <c r="AC28" s="130">
        <v>4</v>
      </c>
      <c r="AD28" s="131"/>
      <c r="AE28" s="136">
        <v>11162793.600000001</v>
      </c>
    </row>
    <row r="29" spans="2:31" ht="15" thickBot="1">
      <c r="B29" s="132"/>
      <c r="C29" s="133" t="s">
        <v>8</v>
      </c>
      <c r="D29" s="3">
        <f t="shared" si="6"/>
        <v>19551.599999999999</v>
      </c>
      <c r="E29" s="3">
        <f t="shared" si="6"/>
        <v>19551.599999999999</v>
      </c>
      <c r="F29" s="3">
        <f t="shared" si="6"/>
        <v>19551.599999999999</v>
      </c>
      <c r="G29" s="3">
        <f t="shared" si="6"/>
        <v>19551.599999999999</v>
      </c>
      <c r="H29" s="3">
        <f t="shared" si="6"/>
        <v>19551.599999999999</v>
      </c>
      <c r="I29" s="3">
        <f t="shared" si="6"/>
        <v>19551.599999999999</v>
      </c>
      <c r="J29" s="3">
        <f t="shared" si="6"/>
        <v>19551.599999999999</v>
      </c>
      <c r="K29" s="3">
        <f t="shared" si="6"/>
        <v>19551.599999999999</v>
      </c>
      <c r="L29" s="3">
        <f t="shared" si="6"/>
        <v>19551.599999999999</v>
      </c>
      <c r="M29" s="3">
        <f t="shared" si="6"/>
        <v>19551.599999999999</v>
      </c>
      <c r="N29" s="3">
        <f t="shared" si="6"/>
        <v>19551.599999999999</v>
      </c>
      <c r="O29" s="3">
        <f t="shared" si="6"/>
        <v>19551.599999999999</v>
      </c>
      <c r="P29" s="3">
        <f t="shared" si="6"/>
        <v>19551.599999999999</v>
      </c>
      <c r="Q29" s="3">
        <f t="shared" si="6"/>
        <v>19551.599999999999</v>
      </c>
      <c r="R29" s="3">
        <f t="shared" si="6"/>
        <v>19551.599999999999</v>
      </c>
      <c r="S29" s="3">
        <f t="shared" si="6"/>
        <v>19551.599999999999</v>
      </c>
      <c r="T29" s="3">
        <f t="shared" si="5"/>
        <v>19551.599999999999</v>
      </c>
      <c r="U29" s="3">
        <f t="shared" si="5"/>
        <v>19551.599999999999</v>
      </c>
      <c r="V29" s="3">
        <f t="shared" si="5"/>
        <v>19551.599999999999</v>
      </c>
      <c r="W29" s="3">
        <f t="shared" si="5"/>
        <v>19551.599999999999</v>
      </c>
      <c r="X29" s="3">
        <f t="shared" si="5"/>
        <v>19551.599999999999</v>
      </c>
      <c r="Y29" s="3">
        <f t="shared" si="5"/>
        <v>19551.599999999999</v>
      </c>
      <c r="Z29" s="3">
        <f t="shared" si="5"/>
        <v>19551.599999999999</v>
      </c>
      <c r="AA29" s="6">
        <f t="shared" si="5"/>
        <v>19551.599999999999</v>
      </c>
      <c r="AB29" s="134">
        <f t="shared" si="1"/>
        <v>469238.39999999979</v>
      </c>
      <c r="AC29" s="134">
        <v>2</v>
      </c>
      <c r="AD29" s="135"/>
      <c r="AE29" s="136">
        <v>11534886.720000003</v>
      </c>
    </row>
    <row r="30" spans="2:31">
      <c r="B30" s="124">
        <v>47300</v>
      </c>
      <c r="C30" s="125" t="s">
        <v>5</v>
      </c>
      <c r="D30" s="2">
        <f t="shared" si="6"/>
        <v>19551.599999999999</v>
      </c>
      <c r="E30" s="2">
        <f t="shared" si="6"/>
        <v>19551.599999999999</v>
      </c>
      <c r="F30" s="2">
        <f t="shared" si="6"/>
        <v>19551.599999999999</v>
      </c>
      <c r="G30" s="2">
        <f t="shared" si="6"/>
        <v>19551.599999999999</v>
      </c>
      <c r="H30" s="2">
        <f t="shared" si="6"/>
        <v>19551.599999999999</v>
      </c>
      <c r="I30" s="2">
        <f t="shared" si="6"/>
        <v>19551.599999999999</v>
      </c>
      <c r="J30" s="2">
        <f t="shared" si="6"/>
        <v>19551.599999999999</v>
      </c>
      <c r="K30" s="2">
        <f t="shared" si="6"/>
        <v>19551.599999999999</v>
      </c>
      <c r="L30" s="2">
        <f t="shared" si="6"/>
        <v>19551.599999999999</v>
      </c>
      <c r="M30" s="2">
        <f t="shared" si="6"/>
        <v>19551.599999999999</v>
      </c>
      <c r="N30" s="2">
        <f t="shared" si="6"/>
        <v>19551.599999999999</v>
      </c>
      <c r="O30" s="2">
        <f t="shared" si="6"/>
        <v>19551.599999999999</v>
      </c>
      <c r="P30" s="2">
        <f t="shared" si="6"/>
        <v>19551.599999999999</v>
      </c>
      <c r="Q30" s="2">
        <f t="shared" si="6"/>
        <v>19551.599999999999</v>
      </c>
      <c r="R30" s="2">
        <f t="shared" si="6"/>
        <v>19551.599999999999</v>
      </c>
      <c r="S30" s="2">
        <f t="shared" si="6"/>
        <v>19551.599999999999</v>
      </c>
      <c r="T30" s="2">
        <f t="shared" si="5"/>
        <v>19551.599999999999</v>
      </c>
      <c r="U30" s="2">
        <f t="shared" si="5"/>
        <v>19551.599999999999</v>
      </c>
      <c r="V30" s="2">
        <f t="shared" si="5"/>
        <v>19551.599999999999</v>
      </c>
      <c r="W30" s="2">
        <f t="shared" si="5"/>
        <v>19551.599999999999</v>
      </c>
      <c r="X30" s="2">
        <f t="shared" si="5"/>
        <v>19551.599999999999</v>
      </c>
      <c r="Y30" s="2">
        <f t="shared" si="5"/>
        <v>19551.599999999999</v>
      </c>
      <c r="Z30" s="2">
        <f t="shared" si="5"/>
        <v>19551.599999999999</v>
      </c>
      <c r="AA30" s="4">
        <f t="shared" si="5"/>
        <v>19551.599999999999</v>
      </c>
      <c r="AB30" s="126">
        <f t="shared" si="1"/>
        <v>469238.39999999979</v>
      </c>
      <c r="AC30" s="126">
        <v>20</v>
      </c>
      <c r="AD30" s="127">
        <f>(AB30*AC30)+(AB31*AC31)+(AB32*AC32)+(AB33*AC33)</f>
        <v>14546390.399999993</v>
      </c>
      <c r="AE30" s="136">
        <v>13229220.240000002</v>
      </c>
    </row>
    <row r="31" spans="2:31">
      <c r="B31" s="128"/>
      <c r="C31" s="129" t="s">
        <v>6</v>
      </c>
      <c r="D31" s="1">
        <f t="shared" si="6"/>
        <v>19551.599999999999</v>
      </c>
      <c r="E31" s="1">
        <f t="shared" si="6"/>
        <v>19551.599999999999</v>
      </c>
      <c r="F31" s="1">
        <f t="shared" si="6"/>
        <v>19551.599999999999</v>
      </c>
      <c r="G31" s="1">
        <f t="shared" si="6"/>
        <v>19551.599999999999</v>
      </c>
      <c r="H31" s="1">
        <f t="shared" si="6"/>
        <v>19551.599999999999</v>
      </c>
      <c r="I31" s="1">
        <f t="shared" si="6"/>
        <v>19551.599999999999</v>
      </c>
      <c r="J31" s="1">
        <f t="shared" si="6"/>
        <v>19551.599999999999</v>
      </c>
      <c r="K31" s="1">
        <f t="shared" si="6"/>
        <v>19551.599999999999</v>
      </c>
      <c r="L31" s="1">
        <f t="shared" si="6"/>
        <v>19551.599999999999</v>
      </c>
      <c r="M31" s="1">
        <f t="shared" si="6"/>
        <v>19551.599999999999</v>
      </c>
      <c r="N31" s="1">
        <f t="shared" si="6"/>
        <v>19551.599999999999</v>
      </c>
      <c r="O31" s="1">
        <f t="shared" si="6"/>
        <v>19551.599999999999</v>
      </c>
      <c r="P31" s="1">
        <f t="shared" si="6"/>
        <v>19551.599999999999</v>
      </c>
      <c r="Q31" s="1">
        <f t="shared" si="6"/>
        <v>19551.599999999999</v>
      </c>
      <c r="R31" s="1">
        <f t="shared" si="6"/>
        <v>19551.599999999999</v>
      </c>
      <c r="S31" s="1">
        <f t="shared" si="6"/>
        <v>19551.599999999999</v>
      </c>
      <c r="T31" s="1">
        <f t="shared" si="5"/>
        <v>19551.599999999999</v>
      </c>
      <c r="U31" s="1">
        <f t="shared" si="5"/>
        <v>19551.599999999999</v>
      </c>
      <c r="V31" s="1">
        <f t="shared" si="5"/>
        <v>19551.599999999999</v>
      </c>
      <c r="W31" s="1">
        <f t="shared" si="5"/>
        <v>19551.599999999999</v>
      </c>
      <c r="X31" s="1">
        <f t="shared" si="5"/>
        <v>19551.599999999999</v>
      </c>
      <c r="Y31" s="1">
        <f t="shared" si="5"/>
        <v>19551.599999999999</v>
      </c>
      <c r="Z31" s="1">
        <f t="shared" si="5"/>
        <v>19551.599999999999</v>
      </c>
      <c r="AA31" s="5">
        <f t="shared" si="5"/>
        <v>19551.599999999999</v>
      </c>
      <c r="AB31" s="130">
        <f t="shared" si="1"/>
        <v>469238.39999999979</v>
      </c>
      <c r="AC31" s="130">
        <v>4</v>
      </c>
      <c r="AD31" s="131"/>
      <c r="AE31" s="136">
        <v>11948973.120000003</v>
      </c>
    </row>
    <row r="32" spans="2:31">
      <c r="B32" s="128"/>
      <c r="C32" s="129" t="s">
        <v>4</v>
      </c>
      <c r="D32" s="1">
        <f t="shared" si="6"/>
        <v>19551.599999999999</v>
      </c>
      <c r="E32" s="1">
        <f t="shared" si="6"/>
        <v>19551.599999999999</v>
      </c>
      <c r="F32" s="1">
        <f t="shared" si="6"/>
        <v>19551.599999999999</v>
      </c>
      <c r="G32" s="1">
        <f t="shared" si="6"/>
        <v>19551.599999999999</v>
      </c>
      <c r="H32" s="1">
        <f t="shared" si="6"/>
        <v>19551.599999999999</v>
      </c>
      <c r="I32" s="1">
        <f t="shared" si="6"/>
        <v>19551.599999999999</v>
      </c>
      <c r="J32" s="1">
        <f t="shared" si="6"/>
        <v>19551.599999999999</v>
      </c>
      <c r="K32" s="1">
        <f t="shared" si="6"/>
        <v>19551.599999999999</v>
      </c>
      <c r="L32" s="1">
        <f t="shared" si="6"/>
        <v>19551.599999999999</v>
      </c>
      <c r="M32" s="1">
        <f t="shared" si="6"/>
        <v>19551.599999999999</v>
      </c>
      <c r="N32" s="1">
        <f t="shared" si="6"/>
        <v>19551.599999999999</v>
      </c>
      <c r="O32" s="1">
        <f t="shared" si="6"/>
        <v>19551.599999999999</v>
      </c>
      <c r="P32" s="1">
        <f t="shared" si="6"/>
        <v>19551.599999999999</v>
      </c>
      <c r="Q32" s="1">
        <f t="shared" si="6"/>
        <v>19551.599999999999</v>
      </c>
      <c r="R32" s="1">
        <f t="shared" si="6"/>
        <v>19551.599999999999</v>
      </c>
      <c r="S32" s="1">
        <f t="shared" si="6"/>
        <v>19551.599999999999</v>
      </c>
      <c r="T32" s="1">
        <f t="shared" si="5"/>
        <v>19551.599999999999</v>
      </c>
      <c r="U32" s="1">
        <f t="shared" si="5"/>
        <v>19551.599999999999</v>
      </c>
      <c r="V32" s="1">
        <f t="shared" si="5"/>
        <v>19551.599999999999</v>
      </c>
      <c r="W32" s="1">
        <f t="shared" si="5"/>
        <v>19551.599999999999</v>
      </c>
      <c r="X32" s="1">
        <f t="shared" si="5"/>
        <v>19551.599999999999</v>
      </c>
      <c r="Y32" s="1">
        <f t="shared" si="5"/>
        <v>19551.599999999999</v>
      </c>
      <c r="Z32" s="1">
        <f t="shared" si="5"/>
        <v>19551.599999999999</v>
      </c>
      <c r="AA32" s="5">
        <f t="shared" si="5"/>
        <v>19551.599999999999</v>
      </c>
      <c r="AB32" s="130">
        <f t="shared" si="1"/>
        <v>469238.39999999979</v>
      </c>
      <c r="AC32" s="130">
        <v>5</v>
      </c>
      <c r="AD32" s="131"/>
      <c r="AE32" s="136">
        <v>13229220.240000006</v>
      </c>
    </row>
    <row r="33" spans="2:31" ht="15" thickBot="1">
      <c r="B33" s="132"/>
      <c r="C33" s="133" t="s">
        <v>8</v>
      </c>
      <c r="D33" s="3">
        <f t="shared" si="6"/>
        <v>19551.599999999999</v>
      </c>
      <c r="E33" s="3">
        <f t="shared" si="6"/>
        <v>19551.599999999999</v>
      </c>
      <c r="F33" s="3">
        <f t="shared" si="6"/>
        <v>19551.599999999999</v>
      </c>
      <c r="G33" s="3">
        <f t="shared" si="6"/>
        <v>19551.599999999999</v>
      </c>
      <c r="H33" s="3">
        <f t="shared" si="6"/>
        <v>19551.599999999999</v>
      </c>
      <c r="I33" s="3">
        <f t="shared" si="6"/>
        <v>19551.599999999999</v>
      </c>
      <c r="J33" s="3">
        <f t="shared" si="6"/>
        <v>19551.599999999999</v>
      </c>
      <c r="K33" s="3">
        <f t="shared" si="6"/>
        <v>19551.599999999999</v>
      </c>
      <c r="L33" s="3">
        <f t="shared" si="6"/>
        <v>19551.599999999999</v>
      </c>
      <c r="M33" s="3">
        <f t="shared" si="6"/>
        <v>19551.599999999999</v>
      </c>
      <c r="N33" s="3">
        <f t="shared" si="6"/>
        <v>19551.599999999999</v>
      </c>
      <c r="O33" s="3">
        <f t="shared" si="6"/>
        <v>19551.599999999999</v>
      </c>
      <c r="P33" s="3">
        <f t="shared" si="6"/>
        <v>19551.599999999999</v>
      </c>
      <c r="Q33" s="3">
        <f t="shared" si="6"/>
        <v>19551.599999999999</v>
      </c>
      <c r="R33" s="3">
        <f t="shared" si="6"/>
        <v>19551.599999999999</v>
      </c>
      <c r="S33" s="3">
        <f t="shared" si="6"/>
        <v>19551.599999999999</v>
      </c>
      <c r="T33" s="3">
        <f t="shared" si="5"/>
        <v>19551.599999999999</v>
      </c>
      <c r="U33" s="3">
        <f t="shared" si="5"/>
        <v>19551.599999999999</v>
      </c>
      <c r="V33" s="3">
        <f t="shared" si="5"/>
        <v>19551.599999999999</v>
      </c>
      <c r="W33" s="3">
        <f t="shared" si="5"/>
        <v>19551.599999999999</v>
      </c>
      <c r="X33" s="3">
        <f t="shared" si="5"/>
        <v>19551.599999999999</v>
      </c>
      <c r="Y33" s="3">
        <f t="shared" si="5"/>
        <v>19551.599999999999</v>
      </c>
      <c r="Z33" s="3">
        <f t="shared" si="5"/>
        <v>19551.599999999999</v>
      </c>
      <c r="AA33" s="6">
        <f t="shared" si="5"/>
        <v>19551.599999999999</v>
      </c>
      <c r="AB33" s="134">
        <f t="shared" si="1"/>
        <v>469238.39999999979</v>
      </c>
      <c r="AC33" s="134">
        <v>2</v>
      </c>
      <c r="AD33" s="135"/>
      <c r="AE33" s="136">
        <v>12802471.200000003</v>
      </c>
    </row>
    <row r="34" spans="2:31">
      <c r="B34" s="124">
        <v>47331</v>
      </c>
      <c r="C34" s="125" t="s">
        <v>5</v>
      </c>
      <c r="D34" s="2">
        <f t="shared" si="6"/>
        <v>19551.599999999999</v>
      </c>
      <c r="E34" s="2">
        <f t="shared" si="6"/>
        <v>19551.599999999999</v>
      </c>
      <c r="F34" s="2">
        <f t="shared" si="6"/>
        <v>19551.599999999999</v>
      </c>
      <c r="G34" s="2">
        <f t="shared" si="6"/>
        <v>19551.599999999999</v>
      </c>
      <c r="H34" s="2">
        <f t="shared" si="6"/>
        <v>19551.599999999999</v>
      </c>
      <c r="I34" s="2">
        <f t="shared" si="6"/>
        <v>19551.599999999999</v>
      </c>
      <c r="J34" s="2">
        <f t="shared" si="6"/>
        <v>19551.599999999999</v>
      </c>
      <c r="K34" s="2">
        <f t="shared" si="6"/>
        <v>19551.599999999999</v>
      </c>
      <c r="L34" s="2">
        <f t="shared" si="6"/>
        <v>19551.599999999999</v>
      </c>
      <c r="M34" s="2">
        <f t="shared" si="6"/>
        <v>19551.599999999999</v>
      </c>
      <c r="N34" s="2">
        <f t="shared" si="6"/>
        <v>19551.599999999999</v>
      </c>
      <c r="O34" s="2">
        <f t="shared" si="6"/>
        <v>19551.599999999999</v>
      </c>
      <c r="P34" s="2">
        <f t="shared" si="6"/>
        <v>19551.599999999999</v>
      </c>
      <c r="Q34" s="2">
        <f t="shared" si="6"/>
        <v>19551.599999999999</v>
      </c>
      <c r="R34" s="2">
        <f t="shared" si="6"/>
        <v>19551.599999999999</v>
      </c>
      <c r="S34" s="2">
        <f t="shared" si="6"/>
        <v>19551.599999999999</v>
      </c>
      <c r="T34" s="2">
        <f t="shared" si="5"/>
        <v>19551.599999999999</v>
      </c>
      <c r="U34" s="2">
        <f t="shared" si="5"/>
        <v>19551.599999999999</v>
      </c>
      <c r="V34" s="2">
        <f t="shared" si="5"/>
        <v>19551.599999999999</v>
      </c>
      <c r="W34" s="2">
        <f t="shared" si="5"/>
        <v>19551.599999999999</v>
      </c>
      <c r="X34" s="2">
        <f t="shared" si="5"/>
        <v>19551.599999999999</v>
      </c>
      <c r="Y34" s="2">
        <f t="shared" si="5"/>
        <v>19551.599999999999</v>
      </c>
      <c r="Z34" s="2">
        <f t="shared" si="5"/>
        <v>19551.599999999999</v>
      </c>
      <c r="AA34" s="4">
        <f t="shared" si="5"/>
        <v>19551.599999999999</v>
      </c>
      <c r="AB34" s="126">
        <f t="shared" si="1"/>
        <v>469238.39999999979</v>
      </c>
      <c r="AC34" s="126">
        <v>21</v>
      </c>
      <c r="AD34" s="127">
        <f>(AB34*AC34)+(AB35*AC35)+(AB36*AC36)+(AB37*AC37)</f>
        <v>14546390.399999993</v>
      </c>
      <c r="AE34" s="136">
        <v>13229220.240000004</v>
      </c>
    </row>
    <row r="35" spans="2:31">
      <c r="B35" s="128"/>
      <c r="C35" s="129" t="s">
        <v>6</v>
      </c>
      <c r="D35" s="1">
        <f t="shared" si="6"/>
        <v>19551.599999999999</v>
      </c>
      <c r="E35" s="1">
        <f t="shared" si="6"/>
        <v>19551.599999999999</v>
      </c>
      <c r="F35" s="1">
        <f t="shared" si="6"/>
        <v>19551.599999999999</v>
      </c>
      <c r="G35" s="1">
        <f t="shared" si="6"/>
        <v>19551.599999999999</v>
      </c>
      <c r="H35" s="1">
        <f t="shared" si="6"/>
        <v>19551.599999999999</v>
      </c>
      <c r="I35" s="1">
        <f t="shared" si="6"/>
        <v>19551.599999999999</v>
      </c>
      <c r="J35" s="1">
        <f t="shared" si="6"/>
        <v>19551.599999999999</v>
      </c>
      <c r="K35" s="1">
        <f t="shared" si="6"/>
        <v>19551.599999999999</v>
      </c>
      <c r="L35" s="1">
        <f t="shared" si="6"/>
        <v>19551.599999999999</v>
      </c>
      <c r="M35" s="1">
        <f t="shared" si="6"/>
        <v>19551.599999999999</v>
      </c>
      <c r="N35" s="1">
        <f t="shared" si="6"/>
        <v>19551.599999999999</v>
      </c>
      <c r="O35" s="1">
        <f t="shared" si="6"/>
        <v>19551.599999999999</v>
      </c>
      <c r="P35" s="1">
        <f t="shared" si="6"/>
        <v>19551.599999999999</v>
      </c>
      <c r="Q35" s="1">
        <f t="shared" si="6"/>
        <v>19551.599999999999</v>
      </c>
      <c r="R35" s="1">
        <f t="shared" si="6"/>
        <v>19551.599999999999</v>
      </c>
      <c r="S35" s="1">
        <f t="shared" si="6"/>
        <v>19551.599999999999</v>
      </c>
      <c r="T35" s="1">
        <f t="shared" si="5"/>
        <v>19551.599999999999</v>
      </c>
      <c r="U35" s="1">
        <f t="shared" si="5"/>
        <v>19551.599999999999</v>
      </c>
      <c r="V35" s="1">
        <f t="shared" si="5"/>
        <v>19551.599999999999</v>
      </c>
      <c r="W35" s="1">
        <f t="shared" si="5"/>
        <v>19551.599999999999</v>
      </c>
      <c r="X35" s="1">
        <f t="shared" si="5"/>
        <v>19551.599999999999</v>
      </c>
      <c r="Y35" s="1">
        <f t="shared" si="5"/>
        <v>19551.599999999999</v>
      </c>
      <c r="Z35" s="1">
        <f t="shared" si="5"/>
        <v>19551.599999999999</v>
      </c>
      <c r="AA35" s="5">
        <f t="shared" si="5"/>
        <v>19551.599999999999</v>
      </c>
      <c r="AB35" s="130">
        <f t="shared" si="1"/>
        <v>469238.39999999979</v>
      </c>
      <c r="AC35" s="130">
        <v>4</v>
      </c>
      <c r="AD35" s="131"/>
      <c r="AE35" s="136">
        <v>12802471.200000005</v>
      </c>
    </row>
    <row r="36" spans="2:31">
      <c r="B36" s="128"/>
      <c r="C36" s="129" t="s">
        <v>7</v>
      </c>
      <c r="D36" s="1">
        <f t="shared" si="6"/>
        <v>19551.599999999999</v>
      </c>
      <c r="E36" s="1">
        <f t="shared" si="6"/>
        <v>19551.599999999999</v>
      </c>
      <c r="F36" s="1">
        <f t="shared" si="6"/>
        <v>19551.599999999999</v>
      </c>
      <c r="G36" s="1">
        <f t="shared" si="6"/>
        <v>19551.599999999999</v>
      </c>
      <c r="H36" s="1">
        <f t="shared" si="6"/>
        <v>19551.599999999999</v>
      </c>
      <c r="I36" s="1">
        <f t="shared" si="6"/>
        <v>19551.599999999999</v>
      </c>
      <c r="J36" s="1">
        <f t="shared" si="6"/>
        <v>19551.599999999999</v>
      </c>
      <c r="K36" s="1">
        <f t="shared" si="6"/>
        <v>19551.599999999999</v>
      </c>
      <c r="L36" s="1">
        <f t="shared" si="6"/>
        <v>19551.599999999999</v>
      </c>
      <c r="M36" s="1">
        <f t="shared" si="6"/>
        <v>19551.599999999999</v>
      </c>
      <c r="N36" s="1">
        <f t="shared" si="6"/>
        <v>19551.599999999999</v>
      </c>
      <c r="O36" s="1">
        <f t="shared" si="6"/>
        <v>19551.599999999999</v>
      </c>
      <c r="P36" s="1">
        <f t="shared" si="6"/>
        <v>19551.599999999999</v>
      </c>
      <c r="Q36" s="1">
        <f t="shared" si="6"/>
        <v>19551.599999999999</v>
      </c>
      <c r="R36" s="1">
        <f t="shared" si="6"/>
        <v>19551.599999999999</v>
      </c>
      <c r="S36" s="1">
        <f t="shared" si="6"/>
        <v>19551.599999999999</v>
      </c>
      <c r="T36" s="1">
        <f t="shared" si="5"/>
        <v>19551.599999999999</v>
      </c>
      <c r="U36" s="1">
        <f t="shared" si="5"/>
        <v>19551.599999999999</v>
      </c>
      <c r="V36" s="1">
        <f t="shared" si="5"/>
        <v>19551.599999999999</v>
      </c>
      <c r="W36" s="1">
        <f t="shared" si="5"/>
        <v>19551.599999999999</v>
      </c>
      <c r="X36" s="1">
        <f t="shared" si="5"/>
        <v>19551.599999999999</v>
      </c>
      <c r="Y36" s="1">
        <f t="shared" si="5"/>
        <v>19551.599999999999</v>
      </c>
      <c r="Z36" s="1">
        <f t="shared" si="5"/>
        <v>19551.599999999999</v>
      </c>
      <c r="AA36" s="5">
        <f t="shared" si="5"/>
        <v>19551.599999999999</v>
      </c>
      <c r="AB36" s="130">
        <f t="shared" si="1"/>
        <v>469238.39999999979</v>
      </c>
      <c r="AC36" s="130">
        <v>4</v>
      </c>
      <c r="AD36" s="131"/>
      <c r="AE36" s="136">
        <v>13229220.240000004</v>
      </c>
    </row>
    <row r="37" spans="2:31" ht="15" thickBot="1">
      <c r="B37" s="132"/>
      <c r="C37" s="133" t="s">
        <v>8</v>
      </c>
      <c r="D37" s="3">
        <f t="shared" si="6"/>
        <v>19551.599999999999</v>
      </c>
      <c r="E37" s="3">
        <f t="shared" si="6"/>
        <v>19551.599999999999</v>
      </c>
      <c r="F37" s="3">
        <f t="shared" si="6"/>
        <v>19551.599999999999</v>
      </c>
      <c r="G37" s="3">
        <f t="shared" si="6"/>
        <v>19551.599999999999</v>
      </c>
      <c r="H37" s="3">
        <f t="shared" si="6"/>
        <v>19551.599999999999</v>
      </c>
      <c r="I37" s="3">
        <f t="shared" si="6"/>
        <v>19551.599999999999</v>
      </c>
      <c r="J37" s="3">
        <f t="shared" si="6"/>
        <v>19551.599999999999</v>
      </c>
      <c r="K37" s="3">
        <f t="shared" si="6"/>
        <v>19551.599999999999</v>
      </c>
      <c r="L37" s="3">
        <f t="shared" si="6"/>
        <v>19551.599999999999</v>
      </c>
      <c r="M37" s="3">
        <f t="shared" si="6"/>
        <v>19551.599999999999</v>
      </c>
      <c r="N37" s="3">
        <f t="shared" si="6"/>
        <v>19551.599999999999</v>
      </c>
      <c r="O37" s="3">
        <f t="shared" si="6"/>
        <v>19551.599999999999</v>
      </c>
      <c r="P37" s="3">
        <f t="shared" si="6"/>
        <v>19551.599999999999</v>
      </c>
      <c r="Q37" s="3">
        <f t="shared" si="6"/>
        <v>19551.599999999999</v>
      </c>
      <c r="R37" s="3">
        <f t="shared" si="6"/>
        <v>19551.599999999999</v>
      </c>
      <c r="S37" s="3">
        <f t="shared" si="6"/>
        <v>19551.599999999999</v>
      </c>
      <c r="T37" s="3">
        <f t="shared" si="5"/>
        <v>19551.599999999999</v>
      </c>
      <c r="U37" s="3">
        <f t="shared" si="5"/>
        <v>19551.599999999999</v>
      </c>
      <c r="V37" s="3">
        <f t="shared" si="5"/>
        <v>19551.599999999999</v>
      </c>
      <c r="W37" s="3">
        <f t="shared" si="5"/>
        <v>19551.599999999999</v>
      </c>
      <c r="X37" s="3">
        <f t="shared" si="5"/>
        <v>19551.599999999999</v>
      </c>
      <c r="Y37" s="3">
        <f t="shared" si="5"/>
        <v>19551.599999999999</v>
      </c>
      <c r="Z37" s="3">
        <f t="shared" si="5"/>
        <v>19551.599999999999</v>
      </c>
      <c r="AA37" s="6">
        <f t="shared" si="5"/>
        <v>19551.599999999999</v>
      </c>
      <c r="AB37" s="134">
        <f t="shared" si="1"/>
        <v>469238.39999999979</v>
      </c>
      <c r="AC37" s="134">
        <v>2</v>
      </c>
      <c r="AD37" s="135"/>
      <c r="AE37" s="136">
        <v>13229220.240000004</v>
      </c>
    </row>
    <row r="38" spans="2:31">
      <c r="B38" s="124">
        <v>47362</v>
      </c>
      <c r="C38" s="125" t="s">
        <v>5</v>
      </c>
      <c r="D38" s="2">
        <f t="shared" si="6"/>
        <v>19551.599999999999</v>
      </c>
      <c r="E38" s="2">
        <f t="shared" si="6"/>
        <v>19551.599999999999</v>
      </c>
      <c r="F38" s="2">
        <f t="shared" si="6"/>
        <v>19551.599999999999</v>
      </c>
      <c r="G38" s="2">
        <f t="shared" si="6"/>
        <v>19551.599999999999</v>
      </c>
      <c r="H38" s="2">
        <f t="shared" si="6"/>
        <v>19551.599999999999</v>
      </c>
      <c r="I38" s="2">
        <f t="shared" si="6"/>
        <v>19551.599999999999</v>
      </c>
      <c r="J38" s="2">
        <f t="shared" si="6"/>
        <v>19551.599999999999</v>
      </c>
      <c r="K38" s="2">
        <f t="shared" si="6"/>
        <v>19551.599999999999</v>
      </c>
      <c r="L38" s="2">
        <f t="shared" si="6"/>
        <v>19551.599999999999</v>
      </c>
      <c r="M38" s="2">
        <f t="shared" si="6"/>
        <v>19551.599999999999</v>
      </c>
      <c r="N38" s="2">
        <f t="shared" si="6"/>
        <v>19551.599999999999</v>
      </c>
      <c r="O38" s="2">
        <f t="shared" si="6"/>
        <v>19551.599999999999</v>
      </c>
      <c r="P38" s="2">
        <f t="shared" si="6"/>
        <v>19551.599999999999</v>
      </c>
      <c r="Q38" s="2">
        <f t="shared" si="6"/>
        <v>19551.599999999999</v>
      </c>
      <c r="R38" s="2">
        <f t="shared" si="6"/>
        <v>19551.599999999999</v>
      </c>
      <c r="S38" s="2">
        <f t="shared" si="6"/>
        <v>19551.599999999999</v>
      </c>
      <c r="T38" s="2">
        <f t="shared" ref="T38:AA53" si="7">+$D$6</f>
        <v>19551.599999999999</v>
      </c>
      <c r="U38" s="2">
        <f t="shared" si="7"/>
        <v>19551.599999999999</v>
      </c>
      <c r="V38" s="2">
        <f t="shared" si="7"/>
        <v>19551.599999999999</v>
      </c>
      <c r="W38" s="2">
        <f t="shared" si="7"/>
        <v>19551.599999999999</v>
      </c>
      <c r="X38" s="2">
        <f t="shared" si="7"/>
        <v>19551.599999999999</v>
      </c>
      <c r="Y38" s="2">
        <f t="shared" si="7"/>
        <v>19551.599999999999</v>
      </c>
      <c r="Z38" s="2">
        <f t="shared" si="7"/>
        <v>19551.599999999999</v>
      </c>
      <c r="AA38" s="4">
        <f t="shared" si="7"/>
        <v>19551.599999999999</v>
      </c>
      <c r="AB38" s="126">
        <f t="shared" ref="AB38:AB101" si="8">(SUM(D38:AA38))</f>
        <v>469238.39999999979</v>
      </c>
      <c r="AC38" s="126">
        <v>20</v>
      </c>
      <c r="AD38" s="127">
        <f>(AB38*AC38)+(AB39*AC39)+(AB40*AC40)+(AB41*AC41)</f>
        <v>14077151.999999996</v>
      </c>
      <c r="AE38" s="136">
        <v>12802471.200000003</v>
      </c>
    </row>
    <row r="39" spans="2:31">
      <c r="B39" s="128"/>
      <c r="C39" s="129" t="s">
        <v>6</v>
      </c>
      <c r="D39" s="1">
        <f t="shared" si="6"/>
        <v>19551.599999999999</v>
      </c>
      <c r="E39" s="1">
        <f t="shared" si="6"/>
        <v>19551.599999999999</v>
      </c>
      <c r="F39" s="1">
        <f t="shared" si="6"/>
        <v>19551.599999999999</v>
      </c>
      <c r="G39" s="1">
        <f t="shared" si="6"/>
        <v>19551.599999999999</v>
      </c>
      <c r="H39" s="1">
        <f t="shared" si="6"/>
        <v>19551.599999999999</v>
      </c>
      <c r="I39" s="1">
        <f t="shared" si="6"/>
        <v>19551.599999999999</v>
      </c>
      <c r="J39" s="1">
        <f t="shared" si="6"/>
        <v>19551.599999999999</v>
      </c>
      <c r="K39" s="1">
        <f t="shared" si="6"/>
        <v>19551.599999999999</v>
      </c>
      <c r="L39" s="1">
        <f t="shared" si="6"/>
        <v>19551.599999999999</v>
      </c>
      <c r="M39" s="1">
        <f t="shared" si="6"/>
        <v>19551.599999999999</v>
      </c>
      <c r="N39" s="1">
        <f t="shared" si="6"/>
        <v>19551.599999999999</v>
      </c>
      <c r="O39" s="1">
        <f t="shared" si="6"/>
        <v>19551.599999999999</v>
      </c>
      <c r="P39" s="1">
        <f t="shared" si="6"/>
        <v>19551.599999999999</v>
      </c>
      <c r="Q39" s="1">
        <f t="shared" si="6"/>
        <v>19551.599999999999</v>
      </c>
      <c r="R39" s="1">
        <f t="shared" si="6"/>
        <v>19551.599999999999</v>
      </c>
      <c r="S39" s="1">
        <f t="shared" ref="S39:AA54" si="9">+$D$6</f>
        <v>19551.599999999999</v>
      </c>
      <c r="T39" s="1">
        <f t="shared" si="7"/>
        <v>19551.599999999999</v>
      </c>
      <c r="U39" s="1">
        <f t="shared" si="7"/>
        <v>19551.599999999999</v>
      </c>
      <c r="V39" s="1">
        <f t="shared" si="7"/>
        <v>19551.599999999999</v>
      </c>
      <c r="W39" s="1">
        <f t="shared" si="7"/>
        <v>19551.599999999999</v>
      </c>
      <c r="X39" s="1">
        <f t="shared" si="7"/>
        <v>19551.599999999999</v>
      </c>
      <c r="Y39" s="1">
        <f t="shared" si="7"/>
        <v>19551.599999999999</v>
      </c>
      <c r="Z39" s="1">
        <f t="shared" si="7"/>
        <v>19551.599999999999</v>
      </c>
      <c r="AA39" s="5">
        <f t="shared" si="7"/>
        <v>19551.599999999999</v>
      </c>
      <c r="AB39" s="130">
        <f t="shared" si="8"/>
        <v>469238.39999999979</v>
      </c>
      <c r="AC39" s="130">
        <v>5</v>
      </c>
      <c r="AD39" s="131"/>
      <c r="AE39" s="136">
        <v>13229220.240000004</v>
      </c>
    </row>
    <row r="40" spans="2:31">
      <c r="B40" s="128"/>
      <c r="C40" s="129" t="s">
        <v>7</v>
      </c>
      <c r="D40" s="1">
        <f t="shared" ref="D40:S55" si="10">+$D$6</f>
        <v>19551.599999999999</v>
      </c>
      <c r="E40" s="1">
        <f t="shared" si="10"/>
        <v>19551.599999999999</v>
      </c>
      <c r="F40" s="1">
        <f t="shared" si="10"/>
        <v>19551.599999999999</v>
      </c>
      <c r="G40" s="1">
        <f t="shared" si="10"/>
        <v>19551.599999999999</v>
      </c>
      <c r="H40" s="1">
        <f t="shared" si="10"/>
        <v>19551.599999999999</v>
      </c>
      <c r="I40" s="1">
        <f t="shared" si="10"/>
        <v>19551.599999999999</v>
      </c>
      <c r="J40" s="1">
        <f t="shared" si="10"/>
        <v>19551.599999999999</v>
      </c>
      <c r="K40" s="1">
        <f t="shared" si="10"/>
        <v>19551.599999999999</v>
      </c>
      <c r="L40" s="1">
        <f t="shared" si="10"/>
        <v>19551.599999999999</v>
      </c>
      <c r="M40" s="1">
        <f t="shared" si="10"/>
        <v>19551.599999999999</v>
      </c>
      <c r="N40" s="1">
        <f t="shared" si="10"/>
        <v>19551.599999999999</v>
      </c>
      <c r="O40" s="1">
        <f t="shared" si="10"/>
        <v>19551.599999999999</v>
      </c>
      <c r="P40" s="1">
        <f t="shared" si="10"/>
        <v>19551.599999999999</v>
      </c>
      <c r="Q40" s="1">
        <f t="shared" si="10"/>
        <v>19551.599999999999</v>
      </c>
      <c r="R40" s="1">
        <f t="shared" si="10"/>
        <v>19551.599999999999</v>
      </c>
      <c r="S40" s="1">
        <f t="shared" si="9"/>
        <v>19551.599999999999</v>
      </c>
      <c r="T40" s="1">
        <f t="shared" si="7"/>
        <v>19551.599999999999</v>
      </c>
      <c r="U40" s="1">
        <f t="shared" si="7"/>
        <v>19551.599999999999</v>
      </c>
      <c r="V40" s="1">
        <f t="shared" si="7"/>
        <v>19551.599999999999</v>
      </c>
      <c r="W40" s="1">
        <f t="shared" si="7"/>
        <v>19551.599999999999</v>
      </c>
      <c r="X40" s="1">
        <f t="shared" si="7"/>
        <v>19551.599999999999</v>
      </c>
      <c r="Y40" s="1">
        <f t="shared" si="7"/>
        <v>19551.599999999999</v>
      </c>
      <c r="Z40" s="1">
        <f t="shared" si="7"/>
        <v>19551.599999999999</v>
      </c>
      <c r="AA40" s="5">
        <f t="shared" si="7"/>
        <v>19551.599999999999</v>
      </c>
      <c r="AB40" s="130">
        <f t="shared" si="8"/>
        <v>469238.39999999979</v>
      </c>
      <c r="AC40" s="130">
        <v>5</v>
      </c>
      <c r="AD40" s="131"/>
      <c r="AE40" s="136">
        <v>12802471.200000003</v>
      </c>
    </row>
    <row r="41" spans="2:31" ht="15" thickBot="1">
      <c r="B41" s="132"/>
      <c r="C41" s="133" t="s">
        <v>8</v>
      </c>
      <c r="D41" s="3">
        <f t="shared" si="10"/>
        <v>19551.599999999999</v>
      </c>
      <c r="E41" s="3">
        <f t="shared" si="10"/>
        <v>19551.599999999999</v>
      </c>
      <c r="F41" s="3">
        <f t="shared" si="10"/>
        <v>19551.599999999999</v>
      </c>
      <c r="G41" s="3">
        <f t="shared" si="10"/>
        <v>19551.599999999999</v>
      </c>
      <c r="H41" s="3">
        <f t="shared" si="10"/>
        <v>19551.599999999999</v>
      </c>
      <c r="I41" s="3">
        <f t="shared" si="10"/>
        <v>19551.599999999999</v>
      </c>
      <c r="J41" s="3">
        <f t="shared" si="10"/>
        <v>19551.599999999999</v>
      </c>
      <c r="K41" s="3">
        <f t="shared" si="10"/>
        <v>19551.599999999999</v>
      </c>
      <c r="L41" s="3">
        <f t="shared" si="10"/>
        <v>19551.599999999999</v>
      </c>
      <c r="M41" s="3">
        <f t="shared" si="10"/>
        <v>19551.599999999999</v>
      </c>
      <c r="N41" s="3">
        <f t="shared" si="10"/>
        <v>19551.599999999999</v>
      </c>
      <c r="O41" s="3">
        <f t="shared" si="10"/>
        <v>19551.599999999999</v>
      </c>
      <c r="P41" s="3">
        <f t="shared" si="10"/>
        <v>19551.599999999999</v>
      </c>
      <c r="Q41" s="3">
        <f t="shared" si="10"/>
        <v>19551.599999999999</v>
      </c>
      <c r="R41" s="3">
        <f t="shared" si="10"/>
        <v>19551.599999999999</v>
      </c>
      <c r="S41" s="3">
        <f t="shared" si="9"/>
        <v>19551.599999999999</v>
      </c>
      <c r="T41" s="3">
        <f t="shared" si="7"/>
        <v>19551.599999999999</v>
      </c>
      <c r="U41" s="3">
        <f t="shared" si="7"/>
        <v>19551.599999999999</v>
      </c>
      <c r="V41" s="3">
        <f t="shared" si="7"/>
        <v>19551.599999999999</v>
      </c>
      <c r="W41" s="3">
        <f t="shared" si="7"/>
        <v>19551.599999999999</v>
      </c>
      <c r="X41" s="3">
        <f t="shared" si="7"/>
        <v>19551.599999999999</v>
      </c>
      <c r="Y41" s="3">
        <f t="shared" si="7"/>
        <v>19551.599999999999</v>
      </c>
      <c r="Z41" s="3">
        <f t="shared" si="7"/>
        <v>19551.599999999999</v>
      </c>
      <c r="AA41" s="6">
        <f t="shared" si="7"/>
        <v>19551.599999999999</v>
      </c>
      <c r="AB41" s="134">
        <f t="shared" si="8"/>
        <v>469238.39999999979</v>
      </c>
      <c r="AC41" s="134">
        <v>0</v>
      </c>
      <c r="AD41" s="135"/>
      <c r="AE41" s="136">
        <v>13229220.240000002</v>
      </c>
    </row>
    <row r="42" spans="2:31">
      <c r="B42" s="124">
        <v>47392</v>
      </c>
      <c r="C42" s="125" t="s">
        <v>5</v>
      </c>
      <c r="D42" s="2">
        <f t="shared" si="10"/>
        <v>19551.599999999999</v>
      </c>
      <c r="E42" s="2">
        <f t="shared" si="10"/>
        <v>19551.599999999999</v>
      </c>
      <c r="F42" s="2">
        <f t="shared" si="10"/>
        <v>19551.599999999999</v>
      </c>
      <c r="G42" s="2">
        <f t="shared" si="10"/>
        <v>19551.599999999999</v>
      </c>
      <c r="H42" s="2">
        <f t="shared" si="10"/>
        <v>19551.599999999999</v>
      </c>
      <c r="I42" s="2">
        <f t="shared" si="10"/>
        <v>19551.599999999999</v>
      </c>
      <c r="J42" s="2">
        <f t="shared" si="10"/>
        <v>19551.599999999999</v>
      </c>
      <c r="K42" s="2">
        <f t="shared" si="10"/>
        <v>19551.599999999999</v>
      </c>
      <c r="L42" s="2">
        <f t="shared" si="10"/>
        <v>19551.599999999999</v>
      </c>
      <c r="M42" s="2">
        <f t="shared" si="10"/>
        <v>19551.599999999999</v>
      </c>
      <c r="N42" s="2">
        <f t="shared" si="10"/>
        <v>19551.599999999999</v>
      </c>
      <c r="O42" s="2">
        <f t="shared" si="10"/>
        <v>19551.599999999999</v>
      </c>
      <c r="P42" s="2">
        <f t="shared" si="10"/>
        <v>19551.599999999999</v>
      </c>
      <c r="Q42" s="2">
        <f t="shared" si="10"/>
        <v>19551.599999999999</v>
      </c>
      <c r="R42" s="2">
        <f t="shared" si="10"/>
        <v>19551.599999999999</v>
      </c>
      <c r="S42" s="2">
        <f t="shared" si="9"/>
        <v>19551.599999999999</v>
      </c>
      <c r="T42" s="2">
        <f t="shared" si="7"/>
        <v>19551.599999999999</v>
      </c>
      <c r="U42" s="2">
        <f t="shared" si="7"/>
        <v>19551.599999999999</v>
      </c>
      <c r="V42" s="2">
        <f t="shared" si="7"/>
        <v>19551.599999999999</v>
      </c>
      <c r="W42" s="2">
        <f t="shared" si="7"/>
        <v>19551.599999999999</v>
      </c>
      <c r="X42" s="2">
        <f t="shared" si="7"/>
        <v>19551.599999999999</v>
      </c>
      <c r="Y42" s="2">
        <f t="shared" si="7"/>
        <v>19551.599999999999</v>
      </c>
      <c r="Z42" s="2">
        <f t="shared" si="7"/>
        <v>19551.599999999999</v>
      </c>
      <c r="AA42" s="4">
        <f t="shared" si="7"/>
        <v>19551.599999999999</v>
      </c>
      <c r="AB42" s="126">
        <f t="shared" si="8"/>
        <v>469238.39999999979</v>
      </c>
      <c r="AC42" s="126">
        <v>22</v>
      </c>
      <c r="AD42" s="127">
        <f>(AB42*AC42)+(AB43*AC43)+(AB44*AC44)+(AB45*AC45)</f>
        <v>14546390.399999995</v>
      </c>
      <c r="AE42" s="136">
        <v>13457114.880000003</v>
      </c>
    </row>
    <row r="43" spans="2:31">
      <c r="B43" s="128"/>
      <c r="C43" s="129" t="s">
        <v>6</v>
      </c>
      <c r="D43" s="1">
        <f t="shared" si="10"/>
        <v>19551.599999999999</v>
      </c>
      <c r="E43" s="1">
        <f t="shared" si="10"/>
        <v>19551.599999999999</v>
      </c>
      <c r="F43" s="1">
        <f t="shared" si="10"/>
        <v>19551.599999999999</v>
      </c>
      <c r="G43" s="1">
        <f t="shared" si="10"/>
        <v>19551.599999999999</v>
      </c>
      <c r="H43" s="1">
        <f t="shared" si="10"/>
        <v>19551.599999999999</v>
      </c>
      <c r="I43" s="1">
        <f t="shared" si="10"/>
        <v>19551.599999999999</v>
      </c>
      <c r="J43" s="1">
        <f t="shared" si="10"/>
        <v>19551.599999999999</v>
      </c>
      <c r="K43" s="1">
        <f t="shared" si="10"/>
        <v>19551.599999999999</v>
      </c>
      <c r="L43" s="1">
        <f t="shared" si="10"/>
        <v>19551.599999999999</v>
      </c>
      <c r="M43" s="1">
        <f t="shared" si="10"/>
        <v>19551.599999999999</v>
      </c>
      <c r="N43" s="1">
        <f t="shared" si="10"/>
        <v>19551.599999999999</v>
      </c>
      <c r="O43" s="1">
        <f t="shared" si="10"/>
        <v>19551.599999999999</v>
      </c>
      <c r="P43" s="1">
        <f t="shared" si="10"/>
        <v>19551.599999999999</v>
      </c>
      <c r="Q43" s="1">
        <f t="shared" si="10"/>
        <v>19551.599999999999</v>
      </c>
      <c r="R43" s="1">
        <f t="shared" si="10"/>
        <v>19551.599999999999</v>
      </c>
      <c r="S43" s="1">
        <f t="shared" si="9"/>
        <v>19551.599999999999</v>
      </c>
      <c r="T43" s="1">
        <f t="shared" si="7"/>
        <v>19551.599999999999</v>
      </c>
      <c r="U43" s="1">
        <f t="shared" si="7"/>
        <v>19551.599999999999</v>
      </c>
      <c r="V43" s="1">
        <f t="shared" si="7"/>
        <v>19551.599999999999</v>
      </c>
      <c r="W43" s="1">
        <f t="shared" si="7"/>
        <v>19551.599999999999</v>
      </c>
      <c r="X43" s="1">
        <f t="shared" si="7"/>
        <v>19551.599999999999</v>
      </c>
      <c r="Y43" s="1">
        <f t="shared" si="7"/>
        <v>19551.599999999999</v>
      </c>
      <c r="Z43" s="1">
        <f t="shared" si="7"/>
        <v>19551.599999999999</v>
      </c>
      <c r="AA43" s="5">
        <f t="shared" si="7"/>
        <v>19551.599999999999</v>
      </c>
      <c r="AB43" s="130">
        <f t="shared" si="8"/>
        <v>469238.39999999979</v>
      </c>
      <c r="AC43" s="130">
        <v>4</v>
      </c>
      <c r="AD43" s="131"/>
      <c r="AE43" s="136">
        <v>12588913.920000002</v>
      </c>
    </row>
    <row r="44" spans="2:31">
      <c r="B44" s="128"/>
      <c r="C44" s="129" t="s">
        <v>7</v>
      </c>
      <c r="D44" s="1">
        <f t="shared" si="10"/>
        <v>19551.599999999999</v>
      </c>
      <c r="E44" s="1">
        <f t="shared" si="10"/>
        <v>19551.599999999999</v>
      </c>
      <c r="F44" s="1">
        <f t="shared" si="10"/>
        <v>19551.599999999999</v>
      </c>
      <c r="G44" s="1">
        <f t="shared" si="10"/>
        <v>19551.599999999999</v>
      </c>
      <c r="H44" s="1">
        <f t="shared" si="10"/>
        <v>19551.599999999999</v>
      </c>
      <c r="I44" s="1">
        <f t="shared" si="10"/>
        <v>19551.599999999999</v>
      </c>
      <c r="J44" s="1">
        <f t="shared" si="10"/>
        <v>19551.599999999999</v>
      </c>
      <c r="K44" s="1">
        <f t="shared" si="10"/>
        <v>19551.599999999999</v>
      </c>
      <c r="L44" s="1">
        <f t="shared" si="10"/>
        <v>19551.599999999999</v>
      </c>
      <c r="M44" s="1">
        <f t="shared" si="10"/>
        <v>19551.599999999999</v>
      </c>
      <c r="N44" s="1">
        <f t="shared" si="10"/>
        <v>19551.599999999999</v>
      </c>
      <c r="O44" s="1">
        <f t="shared" si="10"/>
        <v>19551.599999999999</v>
      </c>
      <c r="P44" s="1">
        <f t="shared" si="10"/>
        <v>19551.599999999999</v>
      </c>
      <c r="Q44" s="1">
        <f t="shared" si="10"/>
        <v>19551.599999999999</v>
      </c>
      <c r="R44" s="1">
        <f t="shared" si="10"/>
        <v>19551.599999999999</v>
      </c>
      <c r="S44" s="1">
        <f t="shared" si="9"/>
        <v>19551.599999999999</v>
      </c>
      <c r="T44" s="1">
        <f t="shared" si="7"/>
        <v>19551.599999999999</v>
      </c>
      <c r="U44" s="1">
        <f t="shared" si="7"/>
        <v>19551.599999999999</v>
      </c>
      <c r="V44" s="1">
        <f t="shared" si="7"/>
        <v>19551.599999999999</v>
      </c>
      <c r="W44" s="1">
        <f t="shared" si="7"/>
        <v>19551.599999999999</v>
      </c>
      <c r="X44" s="1">
        <f t="shared" si="7"/>
        <v>19551.599999999999</v>
      </c>
      <c r="Y44" s="1">
        <f t="shared" si="7"/>
        <v>19551.599999999999</v>
      </c>
      <c r="Z44" s="1">
        <f t="shared" si="7"/>
        <v>19551.599999999999</v>
      </c>
      <c r="AA44" s="5">
        <f t="shared" si="7"/>
        <v>19551.599999999999</v>
      </c>
      <c r="AB44" s="130">
        <f t="shared" si="8"/>
        <v>469238.39999999979</v>
      </c>
      <c r="AC44" s="130">
        <v>4</v>
      </c>
      <c r="AD44" s="131"/>
      <c r="AE44" s="136">
        <v>13457114.880000003</v>
      </c>
    </row>
    <row r="45" spans="2:31" ht="15" thickBot="1">
      <c r="B45" s="132"/>
      <c r="C45" s="133" t="s">
        <v>8</v>
      </c>
      <c r="D45" s="3">
        <f t="shared" si="10"/>
        <v>19551.599999999999</v>
      </c>
      <c r="E45" s="3">
        <f t="shared" si="10"/>
        <v>19551.599999999999</v>
      </c>
      <c r="F45" s="3">
        <f t="shared" si="10"/>
        <v>19551.599999999999</v>
      </c>
      <c r="G45" s="3">
        <f t="shared" si="10"/>
        <v>19551.599999999999</v>
      </c>
      <c r="H45" s="3">
        <f t="shared" si="10"/>
        <v>19551.599999999999</v>
      </c>
      <c r="I45" s="3">
        <f t="shared" si="10"/>
        <v>19551.599999999999</v>
      </c>
      <c r="J45" s="3">
        <f t="shared" si="10"/>
        <v>19551.599999999999</v>
      </c>
      <c r="K45" s="3">
        <f t="shared" si="10"/>
        <v>19551.599999999999</v>
      </c>
      <c r="L45" s="3">
        <f t="shared" si="10"/>
        <v>19551.599999999999</v>
      </c>
      <c r="M45" s="3">
        <f t="shared" si="10"/>
        <v>19551.599999999999</v>
      </c>
      <c r="N45" s="3">
        <f t="shared" si="10"/>
        <v>19551.599999999999</v>
      </c>
      <c r="O45" s="3">
        <f t="shared" si="10"/>
        <v>19551.599999999999</v>
      </c>
      <c r="P45" s="3">
        <f t="shared" si="10"/>
        <v>19551.599999999999</v>
      </c>
      <c r="Q45" s="3">
        <f t="shared" si="10"/>
        <v>19551.599999999999</v>
      </c>
      <c r="R45" s="3">
        <f t="shared" si="10"/>
        <v>19551.599999999999</v>
      </c>
      <c r="S45" s="3">
        <f t="shared" si="9"/>
        <v>19551.599999999999</v>
      </c>
      <c r="T45" s="3">
        <f t="shared" si="7"/>
        <v>19551.599999999999</v>
      </c>
      <c r="U45" s="3">
        <f t="shared" si="7"/>
        <v>19551.599999999999</v>
      </c>
      <c r="V45" s="3">
        <f t="shared" si="7"/>
        <v>19551.599999999999</v>
      </c>
      <c r="W45" s="3">
        <f t="shared" si="7"/>
        <v>19551.599999999999</v>
      </c>
      <c r="X45" s="3">
        <f t="shared" si="7"/>
        <v>19551.599999999999</v>
      </c>
      <c r="Y45" s="3">
        <f t="shared" si="7"/>
        <v>19551.599999999999</v>
      </c>
      <c r="Z45" s="3">
        <f t="shared" si="7"/>
        <v>19551.599999999999</v>
      </c>
      <c r="AA45" s="6">
        <f t="shared" si="7"/>
        <v>19551.599999999999</v>
      </c>
      <c r="AB45" s="134">
        <f t="shared" si="8"/>
        <v>469238.39999999979</v>
      </c>
      <c r="AC45" s="134">
        <v>1</v>
      </c>
      <c r="AD45" s="135"/>
      <c r="AE45" s="136">
        <v>13023014.400000002</v>
      </c>
    </row>
    <row r="46" spans="2:31">
      <c r="B46" s="124">
        <v>47423</v>
      </c>
      <c r="C46" s="125" t="s">
        <v>5</v>
      </c>
      <c r="D46" s="2">
        <f t="shared" si="10"/>
        <v>19551.599999999999</v>
      </c>
      <c r="E46" s="2">
        <f t="shared" si="10"/>
        <v>19551.599999999999</v>
      </c>
      <c r="F46" s="2">
        <f t="shared" si="10"/>
        <v>19551.599999999999</v>
      </c>
      <c r="G46" s="2">
        <f t="shared" si="10"/>
        <v>19551.599999999999</v>
      </c>
      <c r="H46" s="2">
        <f t="shared" si="10"/>
        <v>19551.599999999999</v>
      </c>
      <c r="I46" s="2">
        <f t="shared" si="10"/>
        <v>19551.599999999999</v>
      </c>
      <c r="J46" s="2">
        <f t="shared" si="10"/>
        <v>19551.599999999999</v>
      </c>
      <c r="K46" s="2">
        <f t="shared" si="10"/>
        <v>19551.599999999999</v>
      </c>
      <c r="L46" s="2">
        <f t="shared" si="10"/>
        <v>19551.599999999999</v>
      </c>
      <c r="M46" s="2">
        <f t="shared" si="10"/>
        <v>19551.599999999999</v>
      </c>
      <c r="N46" s="2">
        <f t="shared" si="10"/>
        <v>19551.599999999999</v>
      </c>
      <c r="O46" s="2">
        <f t="shared" si="10"/>
        <v>19551.599999999999</v>
      </c>
      <c r="P46" s="2">
        <f t="shared" si="10"/>
        <v>19551.599999999999</v>
      </c>
      <c r="Q46" s="2">
        <f t="shared" si="10"/>
        <v>19551.599999999999</v>
      </c>
      <c r="R46" s="2">
        <f t="shared" si="10"/>
        <v>19551.599999999999</v>
      </c>
      <c r="S46" s="2">
        <f t="shared" si="9"/>
        <v>19551.599999999999</v>
      </c>
      <c r="T46" s="2">
        <f t="shared" si="7"/>
        <v>19551.599999999999</v>
      </c>
      <c r="U46" s="2">
        <f t="shared" si="7"/>
        <v>19551.599999999999</v>
      </c>
      <c r="V46" s="2">
        <f t="shared" si="7"/>
        <v>19551.599999999999</v>
      </c>
      <c r="W46" s="2">
        <f t="shared" si="7"/>
        <v>19551.599999999999</v>
      </c>
      <c r="X46" s="2">
        <f t="shared" si="7"/>
        <v>19551.599999999999</v>
      </c>
      <c r="Y46" s="2">
        <f t="shared" si="7"/>
        <v>19551.599999999999</v>
      </c>
      <c r="Z46" s="2">
        <f t="shared" si="7"/>
        <v>19551.599999999999</v>
      </c>
      <c r="AA46" s="4">
        <f t="shared" si="7"/>
        <v>19551.599999999999</v>
      </c>
      <c r="AB46" s="126">
        <f t="shared" si="8"/>
        <v>469238.39999999979</v>
      </c>
      <c r="AC46" s="126">
        <v>20</v>
      </c>
      <c r="AD46" s="127">
        <f>(AB46*AC46)+(AB47*AC47)+(AB48*AC48)+(AB49*AC49)</f>
        <v>14077151.999999994</v>
      </c>
      <c r="AE46" s="136">
        <v>13457114.880000003</v>
      </c>
    </row>
    <row r="47" spans="2:31">
      <c r="B47" s="128"/>
      <c r="C47" s="129" t="s">
        <v>6</v>
      </c>
      <c r="D47" s="1">
        <f t="shared" si="10"/>
        <v>19551.599999999999</v>
      </c>
      <c r="E47" s="1">
        <f t="shared" si="10"/>
        <v>19551.599999999999</v>
      </c>
      <c r="F47" s="1">
        <f t="shared" si="10"/>
        <v>19551.599999999999</v>
      </c>
      <c r="G47" s="1">
        <f t="shared" si="10"/>
        <v>19551.599999999999</v>
      </c>
      <c r="H47" s="1">
        <f t="shared" si="10"/>
        <v>19551.599999999999</v>
      </c>
      <c r="I47" s="1">
        <f t="shared" si="10"/>
        <v>19551.599999999999</v>
      </c>
      <c r="J47" s="1">
        <f t="shared" si="10"/>
        <v>19551.599999999999</v>
      </c>
      <c r="K47" s="1">
        <f t="shared" si="10"/>
        <v>19551.599999999999</v>
      </c>
      <c r="L47" s="1">
        <f t="shared" si="10"/>
        <v>19551.599999999999</v>
      </c>
      <c r="M47" s="1">
        <f t="shared" si="10"/>
        <v>19551.599999999999</v>
      </c>
      <c r="N47" s="1">
        <f t="shared" si="10"/>
        <v>19551.599999999999</v>
      </c>
      <c r="O47" s="1">
        <f t="shared" si="10"/>
        <v>19551.599999999999</v>
      </c>
      <c r="P47" s="1">
        <f t="shared" si="10"/>
        <v>19551.599999999999</v>
      </c>
      <c r="Q47" s="1">
        <f t="shared" si="10"/>
        <v>19551.599999999999</v>
      </c>
      <c r="R47" s="1">
        <f t="shared" si="10"/>
        <v>19551.599999999999</v>
      </c>
      <c r="S47" s="1">
        <f t="shared" si="9"/>
        <v>19551.599999999999</v>
      </c>
      <c r="T47" s="1">
        <f t="shared" si="7"/>
        <v>19551.599999999999</v>
      </c>
      <c r="U47" s="1">
        <f t="shared" si="7"/>
        <v>19551.599999999999</v>
      </c>
      <c r="V47" s="1">
        <f t="shared" si="7"/>
        <v>19551.599999999999</v>
      </c>
      <c r="W47" s="1">
        <f t="shared" si="7"/>
        <v>19551.599999999999</v>
      </c>
      <c r="X47" s="1">
        <f t="shared" si="7"/>
        <v>19551.599999999999</v>
      </c>
      <c r="Y47" s="1">
        <f t="shared" si="7"/>
        <v>19551.599999999999</v>
      </c>
      <c r="Z47" s="1">
        <f t="shared" si="7"/>
        <v>19551.599999999999</v>
      </c>
      <c r="AA47" s="5">
        <f t="shared" si="7"/>
        <v>19551.599999999999</v>
      </c>
      <c r="AB47" s="130">
        <f t="shared" si="8"/>
        <v>469238.39999999979</v>
      </c>
      <c r="AC47" s="130">
        <v>4</v>
      </c>
      <c r="AD47" s="131"/>
      <c r="AE47" s="136">
        <v>13023014.400000002</v>
      </c>
    </row>
    <row r="48" spans="2:31">
      <c r="B48" s="128"/>
      <c r="C48" s="129" t="s">
        <v>7</v>
      </c>
      <c r="D48" s="1">
        <f t="shared" si="10"/>
        <v>19551.599999999999</v>
      </c>
      <c r="E48" s="1">
        <f t="shared" si="10"/>
        <v>19551.599999999999</v>
      </c>
      <c r="F48" s="1">
        <f t="shared" si="10"/>
        <v>19551.599999999999</v>
      </c>
      <c r="G48" s="1">
        <f t="shared" si="10"/>
        <v>19551.599999999999</v>
      </c>
      <c r="H48" s="1">
        <f t="shared" si="10"/>
        <v>19551.599999999999</v>
      </c>
      <c r="I48" s="1">
        <f t="shared" si="10"/>
        <v>19551.599999999999</v>
      </c>
      <c r="J48" s="1">
        <f t="shared" si="10"/>
        <v>19551.599999999999</v>
      </c>
      <c r="K48" s="1">
        <f t="shared" si="10"/>
        <v>19551.599999999999</v>
      </c>
      <c r="L48" s="1">
        <f t="shared" si="10"/>
        <v>19551.599999999999</v>
      </c>
      <c r="M48" s="1">
        <f t="shared" si="10"/>
        <v>19551.599999999999</v>
      </c>
      <c r="N48" s="1">
        <f t="shared" si="10"/>
        <v>19551.599999999999</v>
      </c>
      <c r="O48" s="1">
        <f t="shared" si="10"/>
        <v>19551.599999999999</v>
      </c>
      <c r="P48" s="1">
        <f t="shared" si="10"/>
        <v>19551.599999999999</v>
      </c>
      <c r="Q48" s="1">
        <f t="shared" si="10"/>
        <v>19551.599999999999</v>
      </c>
      <c r="R48" s="1">
        <f t="shared" si="10"/>
        <v>19551.599999999999</v>
      </c>
      <c r="S48" s="1">
        <f t="shared" si="9"/>
        <v>19551.599999999999</v>
      </c>
      <c r="T48" s="1">
        <f t="shared" si="7"/>
        <v>19551.599999999999</v>
      </c>
      <c r="U48" s="1">
        <f t="shared" si="7"/>
        <v>19551.599999999999</v>
      </c>
      <c r="V48" s="1">
        <f t="shared" si="7"/>
        <v>19551.599999999999</v>
      </c>
      <c r="W48" s="1">
        <f t="shared" si="7"/>
        <v>19551.599999999999</v>
      </c>
      <c r="X48" s="1">
        <f t="shared" si="7"/>
        <v>19551.599999999999</v>
      </c>
      <c r="Y48" s="1">
        <f t="shared" si="7"/>
        <v>19551.599999999999</v>
      </c>
      <c r="Z48" s="1">
        <f t="shared" si="7"/>
        <v>19551.599999999999</v>
      </c>
      <c r="AA48" s="5">
        <f t="shared" si="7"/>
        <v>19551.599999999999</v>
      </c>
      <c r="AB48" s="130">
        <f t="shared" si="8"/>
        <v>469238.39999999979</v>
      </c>
      <c r="AC48" s="130">
        <v>4</v>
      </c>
      <c r="AD48" s="131"/>
      <c r="AE48" s="136">
        <v>13457114.880000003</v>
      </c>
    </row>
    <row r="49" spans="2:31" ht="15" thickBot="1">
      <c r="B49" s="132"/>
      <c r="C49" s="133" t="s">
        <v>8</v>
      </c>
      <c r="D49" s="3">
        <f t="shared" si="10"/>
        <v>19551.599999999999</v>
      </c>
      <c r="E49" s="3">
        <f t="shared" si="10"/>
        <v>19551.599999999999</v>
      </c>
      <c r="F49" s="3">
        <f t="shared" si="10"/>
        <v>19551.599999999999</v>
      </c>
      <c r="G49" s="3">
        <f t="shared" si="10"/>
        <v>19551.599999999999</v>
      </c>
      <c r="H49" s="3">
        <f t="shared" si="10"/>
        <v>19551.599999999999</v>
      </c>
      <c r="I49" s="3">
        <f t="shared" si="10"/>
        <v>19551.599999999999</v>
      </c>
      <c r="J49" s="3">
        <f t="shared" si="10"/>
        <v>19551.599999999999</v>
      </c>
      <c r="K49" s="3">
        <f t="shared" si="10"/>
        <v>19551.599999999999</v>
      </c>
      <c r="L49" s="3">
        <f t="shared" si="10"/>
        <v>19551.599999999999</v>
      </c>
      <c r="M49" s="3">
        <f t="shared" si="10"/>
        <v>19551.599999999999</v>
      </c>
      <c r="N49" s="3">
        <f t="shared" si="10"/>
        <v>19551.599999999999</v>
      </c>
      <c r="O49" s="3">
        <f t="shared" si="10"/>
        <v>19551.599999999999</v>
      </c>
      <c r="P49" s="3">
        <f t="shared" si="10"/>
        <v>19551.599999999999</v>
      </c>
      <c r="Q49" s="3">
        <f t="shared" si="10"/>
        <v>19551.599999999999</v>
      </c>
      <c r="R49" s="3">
        <f t="shared" si="10"/>
        <v>19551.599999999999</v>
      </c>
      <c r="S49" s="3">
        <f t="shared" si="9"/>
        <v>19551.599999999999</v>
      </c>
      <c r="T49" s="3">
        <f t="shared" si="7"/>
        <v>19551.599999999999</v>
      </c>
      <c r="U49" s="3">
        <f t="shared" si="7"/>
        <v>19551.599999999999</v>
      </c>
      <c r="V49" s="3">
        <f t="shared" si="7"/>
        <v>19551.599999999999</v>
      </c>
      <c r="W49" s="3">
        <f t="shared" si="7"/>
        <v>19551.599999999999</v>
      </c>
      <c r="X49" s="3">
        <f t="shared" si="7"/>
        <v>19551.599999999999</v>
      </c>
      <c r="Y49" s="3">
        <f t="shared" si="7"/>
        <v>19551.599999999999</v>
      </c>
      <c r="Z49" s="3">
        <f t="shared" si="7"/>
        <v>19551.599999999999</v>
      </c>
      <c r="AA49" s="6">
        <f t="shared" si="7"/>
        <v>19551.599999999999</v>
      </c>
      <c r="AB49" s="134">
        <f t="shared" si="8"/>
        <v>469238.39999999979</v>
      </c>
      <c r="AC49" s="134">
        <v>2</v>
      </c>
      <c r="AD49" s="135"/>
      <c r="AE49" s="136">
        <v>13457114.880000005</v>
      </c>
    </row>
    <row r="50" spans="2:31">
      <c r="B50" s="124">
        <v>47453</v>
      </c>
      <c r="C50" s="125" t="s">
        <v>5</v>
      </c>
      <c r="D50" s="2">
        <f t="shared" si="10"/>
        <v>19551.599999999999</v>
      </c>
      <c r="E50" s="2">
        <f t="shared" si="10"/>
        <v>19551.599999999999</v>
      </c>
      <c r="F50" s="2">
        <f t="shared" si="10"/>
        <v>19551.599999999999</v>
      </c>
      <c r="G50" s="2">
        <f t="shared" si="10"/>
        <v>19551.599999999999</v>
      </c>
      <c r="H50" s="2">
        <f t="shared" si="10"/>
        <v>19551.599999999999</v>
      </c>
      <c r="I50" s="2">
        <f t="shared" si="10"/>
        <v>19551.599999999999</v>
      </c>
      <c r="J50" s="2">
        <f t="shared" si="10"/>
        <v>19551.599999999999</v>
      </c>
      <c r="K50" s="2">
        <f t="shared" si="10"/>
        <v>19551.599999999999</v>
      </c>
      <c r="L50" s="2">
        <f t="shared" si="10"/>
        <v>19551.599999999999</v>
      </c>
      <c r="M50" s="2">
        <f t="shared" si="10"/>
        <v>19551.599999999999</v>
      </c>
      <c r="N50" s="2">
        <f t="shared" si="10"/>
        <v>19551.599999999999</v>
      </c>
      <c r="O50" s="2">
        <f t="shared" si="10"/>
        <v>19551.599999999999</v>
      </c>
      <c r="P50" s="2">
        <f t="shared" si="10"/>
        <v>19551.599999999999</v>
      </c>
      <c r="Q50" s="2">
        <f t="shared" si="10"/>
        <v>19551.599999999999</v>
      </c>
      <c r="R50" s="2">
        <f t="shared" si="10"/>
        <v>19551.599999999999</v>
      </c>
      <c r="S50" s="2">
        <f t="shared" si="9"/>
        <v>19551.599999999999</v>
      </c>
      <c r="T50" s="2">
        <f t="shared" si="7"/>
        <v>19551.599999999999</v>
      </c>
      <c r="U50" s="2">
        <f t="shared" si="7"/>
        <v>19551.599999999999</v>
      </c>
      <c r="V50" s="2">
        <f t="shared" si="7"/>
        <v>19551.599999999999</v>
      </c>
      <c r="W50" s="2">
        <f t="shared" si="7"/>
        <v>19551.599999999999</v>
      </c>
      <c r="X50" s="2">
        <f t="shared" si="7"/>
        <v>19551.599999999999</v>
      </c>
      <c r="Y50" s="2">
        <f t="shared" si="7"/>
        <v>19551.599999999999</v>
      </c>
      <c r="Z50" s="2">
        <f t="shared" si="7"/>
        <v>19551.599999999999</v>
      </c>
      <c r="AA50" s="4">
        <f t="shared" si="7"/>
        <v>19551.599999999999</v>
      </c>
      <c r="AB50" s="126">
        <f t="shared" si="8"/>
        <v>469238.39999999979</v>
      </c>
      <c r="AC50" s="126">
        <v>20</v>
      </c>
      <c r="AD50" s="127">
        <f>(AB50*AC50)+(AB51*AC51)+(AB52*AC52)+(AB53*AC53)</f>
        <v>14546390.399999993</v>
      </c>
      <c r="AE50" s="136">
        <v>13023014.400000002</v>
      </c>
    </row>
    <row r="51" spans="2:31">
      <c r="B51" s="128"/>
      <c r="C51" s="129" t="s">
        <v>6</v>
      </c>
      <c r="D51" s="1">
        <f t="shared" si="10"/>
        <v>19551.599999999999</v>
      </c>
      <c r="E51" s="1">
        <f t="shared" si="10"/>
        <v>19551.599999999999</v>
      </c>
      <c r="F51" s="1">
        <f t="shared" si="10"/>
        <v>19551.599999999999</v>
      </c>
      <c r="G51" s="1">
        <f t="shared" si="10"/>
        <v>19551.599999999999</v>
      </c>
      <c r="H51" s="1">
        <f t="shared" si="10"/>
        <v>19551.599999999999</v>
      </c>
      <c r="I51" s="1">
        <f t="shared" si="10"/>
        <v>19551.599999999999</v>
      </c>
      <c r="J51" s="1">
        <f t="shared" si="10"/>
        <v>19551.599999999999</v>
      </c>
      <c r="K51" s="1">
        <f t="shared" si="10"/>
        <v>19551.599999999999</v>
      </c>
      <c r="L51" s="1">
        <f t="shared" si="10"/>
        <v>19551.599999999999</v>
      </c>
      <c r="M51" s="1">
        <f t="shared" si="10"/>
        <v>19551.599999999999</v>
      </c>
      <c r="N51" s="1">
        <f t="shared" si="10"/>
        <v>19551.599999999999</v>
      </c>
      <c r="O51" s="1">
        <f t="shared" si="10"/>
        <v>19551.599999999999</v>
      </c>
      <c r="P51" s="1">
        <f t="shared" si="10"/>
        <v>19551.599999999999</v>
      </c>
      <c r="Q51" s="1">
        <f t="shared" si="10"/>
        <v>19551.599999999999</v>
      </c>
      <c r="R51" s="1">
        <f t="shared" si="10"/>
        <v>19551.599999999999</v>
      </c>
      <c r="S51" s="1">
        <f t="shared" si="9"/>
        <v>19551.599999999999</v>
      </c>
      <c r="T51" s="1">
        <f t="shared" si="7"/>
        <v>19551.599999999999</v>
      </c>
      <c r="U51" s="1">
        <f t="shared" si="7"/>
        <v>19551.599999999999</v>
      </c>
      <c r="V51" s="1">
        <f t="shared" si="7"/>
        <v>19551.599999999999</v>
      </c>
      <c r="W51" s="1">
        <f t="shared" si="7"/>
        <v>19551.599999999999</v>
      </c>
      <c r="X51" s="1">
        <f t="shared" si="7"/>
        <v>19551.599999999999</v>
      </c>
      <c r="Y51" s="1">
        <f t="shared" si="7"/>
        <v>19551.599999999999</v>
      </c>
      <c r="Z51" s="1">
        <f t="shared" si="7"/>
        <v>19551.599999999999</v>
      </c>
      <c r="AA51" s="5">
        <f t="shared" si="7"/>
        <v>19551.599999999999</v>
      </c>
      <c r="AB51" s="130">
        <f t="shared" si="8"/>
        <v>469238.39999999979</v>
      </c>
      <c r="AC51" s="130">
        <v>4</v>
      </c>
      <c r="AD51" s="131"/>
      <c r="AE51" s="136">
        <v>13457114.880000003</v>
      </c>
    </row>
    <row r="52" spans="2:31">
      <c r="B52" s="128"/>
      <c r="C52" s="129" t="s">
        <v>7</v>
      </c>
      <c r="D52" s="1">
        <f t="shared" si="10"/>
        <v>19551.599999999999</v>
      </c>
      <c r="E52" s="1">
        <f t="shared" si="10"/>
        <v>19551.599999999999</v>
      </c>
      <c r="F52" s="1">
        <f t="shared" si="10"/>
        <v>19551.599999999999</v>
      </c>
      <c r="G52" s="1">
        <f t="shared" si="10"/>
        <v>19551.599999999999</v>
      </c>
      <c r="H52" s="1">
        <f t="shared" si="10"/>
        <v>19551.599999999999</v>
      </c>
      <c r="I52" s="1">
        <f t="shared" si="10"/>
        <v>19551.599999999999</v>
      </c>
      <c r="J52" s="1">
        <f t="shared" si="10"/>
        <v>19551.599999999999</v>
      </c>
      <c r="K52" s="1">
        <f t="shared" si="10"/>
        <v>19551.599999999999</v>
      </c>
      <c r="L52" s="1">
        <f t="shared" si="10"/>
        <v>19551.599999999999</v>
      </c>
      <c r="M52" s="1">
        <f t="shared" si="10"/>
        <v>19551.599999999999</v>
      </c>
      <c r="N52" s="1">
        <f t="shared" si="10"/>
        <v>19551.599999999999</v>
      </c>
      <c r="O52" s="1">
        <f t="shared" si="10"/>
        <v>19551.599999999999</v>
      </c>
      <c r="P52" s="1">
        <f t="shared" si="10"/>
        <v>19551.599999999999</v>
      </c>
      <c r="Q52" s="1">
        <f t="shared" si="10"/>
        <v>19551.599999999999</v>
      </c>
      <c r="R52" s="1">
        <f t="shared" si="10"/>
        <v>19551.599999999999</v>
      </c>
      <c r="S52" s="1">
        <f t="shared" si="9"/>
        <v>19551.599999999999</v>
      </c>
      <c r="T52" s="1">
        <f t="shared" si="7"/>
        <v>19551.599999999999</v>
      </c>
      <c r="U52" s="1">
        <f t="shared" si="7"/>
        <v>19551.599999999999</v>
      </c>
      <c r="V52" s="1">
        <f t="shared" si="7"/>
        <v>19551.599999999999</v>
      </c>
      <c r="W52" s="1">
        <f t="shared" si="7"/>
        <v>19551.599999999999</v>
      </c>
      <c r="X52" s="1">
        <f t="shared" si="7"/>
        <v>19551.599999999999</v>
      </c>
      <c r="Y52" s="1">
        <f t="shared" si="7"/>
        <v>19551.599999999999</v>
      </c>
      <c r="Z52" s="1">
        <f t="shared" si="7"/>
        <v>19551.599999999999</v>
      </c>
      <c r="AA52" s="5">
        <f t="shared" si="7"/>
        <v>19551.599999999999</v>
      </c>
      <c r="AB52" s="130">
        <f t="shared" si="8"/>
        <v>469238.39999999979</v>
      </c>
      <c r="AC52" s="130">
        <v>5</v>
      </c>
      <c r="AD52" s="131"/>
      <c r="AE52" s="136">
        <v>13023014.400000002</v>
      </c>
    </row>
    <row r="53" spans="2:31" ht="15" thickBot="1">
      <c r="B53" s="132"/>
      <c r="C53" s="133" t="s">
        <v>8</v>
      </c>
      <c r="D53" s="3">
        <f t="shared" si="10"/>
        <v>19551.599999999999</v>
      </c>
      <c r="E53" s="3">
        <f t="shared" si="10"/>
        <v>19551.599999999999</v>
      </c>
      <c r="F53" s="3">
        <f t="shared" si="10"/>
        <v>19551.599999999999</v>
      </c>
      <c r="G53" s="3">
        <f t="shared" si="10"/>
        <v>19551.599999999999</v>
      </c>
      <c r="H53" s="3">
        <f t="shared" si="10"/>
        <v>19551.599999999999</v>
      </c>
      <c r="I53" s="3">
        <f t="shared" si="10"/>
        <v>19551.599999999999</v>
      </c>
      <c r="J53" s="3">
        <f t="shared" si="10"/>
        <v>19551.599999999999</v>
      </c>
      <c r="K53" s="3">
        <f t="shared" si="10"/>
        <v>19551.599999999999</v>
      </c>
      <c r="L53" s="3">
        <f t="shared" si="10"/>
        <v>19551.599999999999</v>
      </c>
      <c r="M53" s="3">
        <f t="shared" si="10"/>
        <v>19551.599999999999</v>
      </c>
      <c r="N53" s="3">
        <f t="shared" si="10"/>
        <v>19551.599999999999</v>
      </c>
      <c r="O53" s="3">
        <f t="shared" si="10"/>
        <v>19551.599999999999</v>
      </c>
      <c r="P53" s="3">
        <f t="shared" si="10"/>
        <v>19551.599999999999</v>
      </c>
      <c r="Q53" s="3">
        <f t="shared" si="10"/>
        <v>19551.599999999999</v>
      </c>
      <c r="R53" s="3">
        <f t="shared" si="10"/>
        <v>19551.599999999999</v>
      </c>
      <c r="S53" s="3">
        <f t="shared" si="9"/>
        <v>19551.599999999999</v>
      </c>
      <c r="T53" s="3">
        <f t="shared" si="7"/>
        <v>19551.599999999999</v>
      </c>
      <c r="U53" s="3">
        <f t="shared" si="7"/>
        <v>19551.599999999999</v>
      </c>
      <c r="V53" s="3">
        <f t="shared" si="7"/>
        <v>19551.599999999999</v>
      </c>
      <c r="W53" s="3">
        <f t="shared" si="7"/>
        <v>19551.599999999999</v>
      </c>
      <c r="X53" s="3">
        <f t="shared" si="7"/>
        <v>19551.599999999999</v>
      </c>
      <c r="Y53" s="3">
        <f t="shared" si="7"/>
        <v>19551.599999999999</v>
      </c>
      <c r="Z53" s="3">
        <f t="shared" si="7"/>
        <v>19551.599999999999</v>
      </c>
      <c r="AA53" s="6">
        <f t="shared" si="7"/>
        <v>19551.599999999999</v>
      </c>
      <c r="AB53" s="134">
        <f t="shared" si="8"/>
        <v>469238.39999999979</v>
      </c>
      <c r="AC53" s="134">
        <v>2</v>
      </c>
      <c r="AD53" s="135"/>
      <c r="AE53" s="136">
        <v>13457114.880000005</v>
      </c>
    </row>
    <row r="54" spans="2:31">
      <c r="B54" s="124">
        <v>47484</v>
      </c>
      <c r="C54" s="125" t="s">
        <v>5</v>
      </c>
      <c r="D54" s="2">
        <v>15503.88</v>
      </c>
      <c r="E54" s="2">
        <v>15503.88</v>
      </c>
      <c r="F54" s="2">
        <v>15503.88</v>
      </c>
      <c r="G54" s="2">
        <v>15503.88</v>
      </c>
      <c r="H54" s="2">
        <v>15503.88</v>
      </c>
      <c r="I54" s="2">
        <v>15503.88</v>
      </c>
      <c r="J54" s="2">
        <v>15503.88</v>
      </c>
      <c r="K54" s="2">
        <v>15503.88</v>
      </c>
      <c r="L54" s="2">
        <v>15503.88</v>
      </c>
      <c r="M54" s="2">
        <v>15503.88</v>
      </c>
      <c r="N54" s="2">
        <v>15503.88</v>
      </c>
      <c r="O54" s="2">
        <v>15503.88</v>
      </c>
      <c r="P54" s="2">
        <v>15503.88</v>
      </c>
      <c r="Q54" s="2">
        <v>15503.88</v>
      </c>
      <c r="R54" s="2">
        <v>15503.88</v>
      </c>
      <c r="S54" s="2">
        <v>15503.88</v>
      </c>
      <c r="T54" s="2">
        <v>15503.88</v>
      </c>
      <c r="U54" s="2">
        <v>15503.88</v>
      </c>
      <c r="V54" s="2">
        <v>15503.88</v>
      </c>
      <c r="W54" s="2">
        <v>15503.88</v>
      </c>
      <c r="X54" s="2">
        <v>15503.88</v>
      </c>
      <c r="Y54" s="2">
        <v>15503.88</v>
      </c>
      <c r="Z54" s="2">
        <v>15503.88</v>
      </c>
      <c r="AA54" s="4">
        <v>15503.88</v>
      </c>
      <c r="AB54" s="126">
        <f t="shared" si="8"/>
        <v>372093.12000000005</v>
      </c>
      <c r="AC54" s="126">
        <v>21</v>
      </c>
      <c r="AD54" s="127">
        <f>(AB54*AC54)+(AB55*AC55)+(AB56*AC56)+(AB57*AC57)</f>
        <v>11534886.720000003</v>
      </c>
      <c r="AE54" s="136">
        <v>13764044.640000002</v>
      </c>
    </row>
    <row r="55" spans="2:31">
      <c r="B55" s="128"/>
      <c r="C55" s="129" t="s">
        <v>6</v>
      </c>
      <c r="D55" s="1">
        <v>15503.88</v>
      </c>
      <c r="E55" s="1">
        <v>15503.88</v>
      </c>
      <c r="F55" s="1">
        <v>15503.88</v>
      </c>
      <c r="G55" s="1">
        <v>15503.88</v>
      </c>
      <c r="H55" s="1">
        <v>15503.88</v>
      </c>
      <c r="I55" s="1">
        <v>15503.88</v>
      </c>
      <c r="J55" s="1">
        <v>15503.88</v>
      </c>
      <c r="K55" s="1">
        <v>15503.88</v>
      </c>
      <c r="L55" s="1">
        <v>15503.88</v>
      </c>
      <c r="M55" s="1">
        <v>15503.88</v>
      </c>
      <c r="N55" s="1">
        <v>15503.88</v>
      </c>
      <c r="O55" s="1">
        <v>15503.88</v>
      </c>
      <c r="P55" s="1">
        <v>15503.88</v>
      </c>
      <c r="Q55" s="1">
        <v>15503.88</v>
      </c>
      <c r="R55" s="1">
        <v>15503.88</v>
      </c>
      <c r="S55" s="1">
        <v>15503.88</v>
      </c>
      <c r="T55" s="1">
        <v>15503.88</v>
      </c>
      <c r="U55" s="1">
        <v>15503.88</v>
      </c>
      <c r="V55" s="1">
        <v>15503.88</v>
      </c>
      <c r="W55" s="1">
        <v>15503.88</v>
      </c>
      <c r="X55" s="1">
        <v>15503.88</v>
      </c>
      <c r="Y55" s="1">
        <v>15503.88</v>
      </c>
      <c r="Z55" s="1">
        <v>15503.88</v>
      </c>
      <c r="AA55" s="5">
        <v>15503.88</v>
      </c>
      <c r="AB55" s="130">
        <f t="shared" si="8"/>
        <v>372093.12000000005</v>
      </c>
      <c r="AC55" s="130">
        <v>4</v>
      </c>
      <c r="AD55" s="131"/>
      <c r="AE55" s="136">
        <v>12432040.32</v>
      </c>
    </row>
    <row r="56" spans="2:31">
      <c r="B56" s="128"/>
      <c r="C56" s="129" t="s">
        <v>7</v>
      </c>
      <c r="D56" s="1">
        <v>15503.88</v>
      </c>
      <c r="E56" s="1">
        <v>15503.88</v>
      </c>
      <c r="F56" s="1">
        <v>15503.88</v>
      </c>
      <c r="G56" s="1">
        <v>15503.88</v>
      </c>
      <c r="H56" s="1">
        <v>15503.88</v>
      </c>
      <c r="I56" s="1">
        <v>15503.88</v>
      </c>
      <c r="J56" s="1">
        <v>15503.88</v>
      </c>
      <c r="K56" s="1">
        <v>15503.88</v>
      </c>
      <c r="L56" s="1">
        <v>15503.88</v>
      </c>
      <c r="M56" s="1">
        <v>15503.88</v>
      </c>
      <c r="N56" s="1">
        <v>15503.88</v>
      </c>
      <c r="O56" s="1">
        <v>15503.88</v>
      </c>
      <c r="P56" s="1">
        <v>15503.88</v>
      </c>
      <c r="Q56" s="1">
        <v>15503.88</v>
      </c>
      <c r="R56" s="1">
        <v>15503.88</v>
      </c>
      <c r="S56" s="1">
        <v>15503.88</v>
      </c>
      <c r="T56" s="1">
        <v>15503.88</v>
      </c>
      <c r="U56" s="1">
        <v>15503.88</v>
      </c>
      <c r="V56" s="1">
        <v>15503.88</v>
      </c>
      <c r="W56" s="1">
        <v>15503.88</v>
      </c>
      <c r="X56" s="1">
        <v>15503.88</v>
      </c>
      <c r="Y56" s="1">
        <v>15503.88</v>
      </c>
      <c r="Z56" s="1">
        <v>15503.88</v>
      </c>
      <c r="AA56" s="5">
        <v>15503.88</v>
      </c>
      <c r="AB56" s="130">
        <f t="shared" si="8"/>
        <v>372093.12000000005</v>
      </c>
      <c r="AC56" s="130">
        <v>4</v>
      </c>
      <c r="AD56" s="131"/>
      <c r="AE56" s="136">
        <v>13764044.639999999</v>
      </c>
    </row>
    <row r="57" spans="2:31" ht="15" thickBot="1">
      <c r="B57" s="132"/>
      <c r="C57" s="133" t="s">
        <v>8</v>
      </c>
      <c r="D57" s="3">
        <v>15503.88</v>
      </c>
      <c r="E57" s="3">
        <v>15503.88</v>
      </c>
      <c r="F57" s="3">
        <v>15503.88</v>
      </c>
      <c r="G57" s="3">
        <v>15503.88</v>
      </c>
      <c r="H57" s="3">
        <v>15503.88</v>
      </c>
      <c r="I57" s="3">
        <v>15503.88</v>
      </c>
      <c r="J57" s="3">
        <v>15503.88</v>
      </c>
      <c r="K57" s="3">
        <v>15503.88</v>
      </c>
      <c r="L57" s="3">
        <v>15503.88</v>
      </c>
      <c r="M57" s="3">
        <v>15503.88</v>
      </c>
      <c r="N57" s="3">
        <v>15503.88</v>
      </c>
      <c r="O57" s="3">
        <v>15503.88</v>
      </c>
      <c r="P57" s="3">
        <v>15503.88</v>
      </c>
      <c r="Q57" s="3">
        <v>15503.88</v>
      </c>
      <c r="R57" s="3">
        <v>15503.88</v>
      </c>
      <c r="S57" s="3">
        <v>15503.88</v>
      </c>
      <c r="T57" s="3">
        <v>15503.88</v>
      </c>
      <c r="U57" s="3">
        <v>15503.88</v>
      </c>
      <c r="V57" s="3">
        <v>15503.88</v>
      </c>
      <c r="W57" s="3">
        <v>15503.88</v>
      </c>
      <c r="X57" s="3">
        <v>15503.88</v>
      </c>
      <c r="Y57" s="3">
        <v>15503.88</v>
      </c>
      <c r="Z57" s="3">
        <v>15503.88</v>
      </c>
      <c r="AA57" s="6">
        <v>15503.88</v>
      </c>
      <c r="AB57" s="134">
        <f t="shared" si="8"/>
        <v>372093.12000000005</v>
      </c>
      <c r="AC57" s="134">
        <v>2</v>
      </c>
      <c r="AD57" s="135"/>
      <c r="AE57" s="136">
        <v>13320043.199999999</v>
      </c>
    </row>
    <row r="58" spans="2:31">
      <c r="B58" s="124">
        <v>47515</v>
      </c>
      <c r="C58" s="125" t="s">
        <v>5</v>
      </c>
      <c r="D58" s="2">
        <v>15503.88</v>
      </c>
      <c r="E58" s="2">
        <v>15503.88</v>
      </c>
      <c r="F58" s="2">
        <v>15503.88</v>
      </c>
      <c r="G58" s="2">
        <v>15503.88</v>
      </c>
      <c r="H58" s="2">
        <v>15503.88</v>
      </c>
      <c r="I58" s="2">
        <v>15503.88</v>
      </c>
      <c r="J58" s="2">
        <v>15503.88</v>
      </c>
      <c r="K58" s="2">
        <v>15503.88</v>
      </c>
      <c r="L58" s="2">
        <v>15503.88</v>
      </c>
      <c r="M58" s="2">
        <v>15503.88</v>
      </c>
      <c r="N58" s="2">
        <v>15503.88</v>
      </c>
      <c r="O58" s="2">
        <v>15503.88</v>
      </c>
      <c r="P58" s="2">
        <v>15503.88</v>
      </c>
      <c r="Q58" s="2">
        <v>15503.88</v>
      </c>
      <c r="R58" s="2">
        <v>15503.88</v>
      </c>
      <c r="S58" s="2">
        <v>15503.88</v>
      </c>
      <c r="T58" s="2">
        <v>15503.88</v>
      </c>
      <c r="U58" s="2">
        <v>15503.88</v>
      </c>
      <c r="V58" s="2">
        <v>15503.88</v>
      </c>
      <c r="W58" s="2">
        <v>15503.88</v>
      </c>
      <c r="X58" s="2">
        <v>15503.88</v>
      </c>
      <c r="Y58" s="2">
        <v>15503.88</v>
      </c>
      <c r="Z58" s="2">
        <v>15503.88</v>
      </c>
      <c r="AA58" s="4">
        <v>15503.88</v>
      </c>
      <c r="AB58" s="126">
        <f t="shared" si="8"/>
        <v>372093.12000000005</v>
      </c>
      <c r="AC58" s="126">
        <v>20</v>
      </c>
      <c r="AD58" s="127">
        <f>(AB58*AC58)+(AB59*AC59)+(AB60*AC60)+(AB61*AC61)</f>
        <v>10418607.360000001</v>
      </c>
      <c r="AE58" s="136">
        <v>13764044.640000001</v>
      </c>
    </row>
    <row r="59" spans="2:31">
      <c r="B59" s="128"/>
      <c r="C59" s="129" t="s">
        <v>6</v>
      </c>
      <c r="D59" s="1">
        <v>15503.88</v>
      </c>
      <c r="E59" s="1">
        <v>15503.88</v>
      </c>
      <c r="F59" s="1">
        <v>15503.88</v>
      </c>
      <c r="G59" s="1">
        <v>15503.88</v>
      </c>
      <c r="H59" s="1">
        <v>15503.88</v>
      </c>
      <c r="I59" s="1">
        <v>15503.88</v>
      </c>
      <c r="J59" s="1">
        <v>15503.88</v>
      </c>
      <c r="K59" s="1">
        <v>15503.88</v>
      </c>
      <c r="L59" s="1">
        <v>15503.88</v>
      </c>
      <c r="M59" s="1">
        <v>15503.88</v>
      </c>
      <c r="N59" s="1">
        <v>15503.88</v>
      </c>
      <c r="O59" s="1">
        <v>15503.88</v>
      </c>
      <c r="P59" s="1">
        <v>15503.88</v>
      </c>
      <c r="Q59" s="1">
        <v>15503.88</v>
      </c>
      <c r="R59" s="1">
        <v>15503.88</v>
      </c>
      <c r="S59" s="1">
        <v>15503.88</v>
      </c>
      <c r="T59" s="1">
        <v>15503.88</v>
      </c>
      <c r="U59" s="1">
        <v>15503.88</v>
      </c>
      <c r="V59" s="1">
        <v>15503.88</v>
      </c>
      <c r="W59" s="1">
        <v>15503.88</v>
      </c>
      <c r="X59" s="1">
        <v>15503.88</v>
      </c>
      <c r="Y59" s="1">
        <v>15503.88</v>
      </c>
      <c r="Z59" s="1">
        <v>15503.88</v>
      </c>
      <c r="AA59" s="5">
        <v>15503.88</v>
      </c>
      <c r="AB59" s="130">
        <f t="shared" si="8"/>
        <v>372093.12000000005</v>
      </c>
      <c r="AC59" s="130">
        <v>4</v>
      </c>
      <c r="AD59" s="131"/>
      <c r="AE59" s="136">
        <v>13320043.200000001</v>
      </c>
    </row>
    <row r="60" spans="2:31">
      <c r="B60" s="128"/>
      <c r="C60" s="129" t="s">
        <v>7</v>
      </c>
      <c r="D60" s="1">
        <v>15503.88</v>
      </c>
      <c r="E60" s="1">
        <v>15503.88</v>
      </c>
      <c r="F60" s="1">
        <v>15503.88</v>
      </c>
      <c r="G60" s="1">
        <v>15503.88</v>
      </c>
      <c r="H60" s="1">
        <v>15503.88</v>
      </c>
      <c r="I60" s="1">
        <v>15503.88</v>
      </c>
      <c r="J60" s="1">
        <v>15503.88</v>
      </c>
      <c r="K60" s="1">
        <v>15503.88</v>
      </c>
      <c r="L60" s="1">
        <v>15503.88</v>
      </c>
      <c r="M60" s="1">
        <v>15503.88</v>
      </c>
      <c r="N60" s="1">
        <v>15503.88</v>
      </c>
      <c r="O60" s="1">
        <v>15503.88</v>
      </c>
      <c r="P60" s="1">
        <v>15503.88</v>
      </c>
      <c r="Q60" s="1">
        <v>15503.88</v>
      </c>
      <c r="R60" s="1">
        <v>15503.88</v>
      </c>
      <c r="S60" s="1">
        <v>15503.88</v>
      </c>
      <c r="T60" s="1">
        <v>15503.88</v>
      </c>
      <c r="U60" s="1">
        <v>15503.88</v>
      </c>
      <c r="V60" s="1">
        <v>15503.88</v>
      </c>
      <c r="W60" s="1">
        <v>15503.88</v>
      </c>
      <c r="X60" s="1">
        <v>15503.88</v>
      </c>
      <c r="Y60" s="1">
        <v>15503.88</v>
      </c>
      <c r="Z60" s="1">
        <v>15503.88</v>
      </c>
      <c r="AA60" s="5">
        <v>15503.88</v>
      </c>
      <c r="AB60" s="130">
        <f t="shared" si="8"/>
        <v>372093.12000000005</v>
      </c>
      <c r="AC60" s="130">
        <v>4</v>
      </c>
      <c r="AD60" s="131"/>
      <c r="AE60" s="136">
        <v>13764044.639999999</v>
      </c>
    </row>
    <row r="61" spans="2:31" ht="15" thickBot="1">
      <c r="B61" s="132"/>
      <c r="C61" s="133" t="s">
        <v>8</v>
      </c>
      <c r="D61" s="3">
        <v>15503.88</v>
      </c>
      <c r="E61" s="3">
        <v>15503.88</v>
      </c>
      <c r="F61" s="3">
        <v>15503.88</v>
      </c>
      <c r="G61" s="3">
        <v>15503.88</v>
      </c>
      <c r="H61" s="3">
        <v>15503.88</v>
      </c>
      <c r="I61" s="3">
        <v>15503.88</v>
      </c>
      <c r="J61" s="3">
        <v>15503.88</v>
      </c>
      <c r="K61" s="3">
        <v>15503.88</v>
      </c>
      <c r="L61" s="3">
        <v>15503.88</v>
      </c>
      <c r="M61" s="3">
        <v>15503.88</v>
      </c>
      <c r="N61" s="3">
        <v>15503.88</v>
      </c>
      <c r="O61" s="3">
        <v>15503.88</v>
      </c>
      <c r="P61" s="3">
        <v>15503.88</v>
      </c>
      <c r="Q61" s="3">
        <v>15503.88</v>
      </c>
      <c r="R61" s="3">
        <v>15503.88</v>
      </c>
      <c r="S61" s="3">
        <v>15503.88</v>
      </c>
      <c r="T61" s="3">
        <v>15503.88</v>
      </c>
      <c r="U61" s="3">
        <v>15503.88</v>
      </c>
      <c r="V61" s="3">
        <v>15503.88</v>
      </c>
      <c r="W61" s="3">
        <v>15503.88</v>
      </c>
      <c r="X61" s="3">
        <v>15503.88</v>
      </c>
      <c r="Y61" s="3">
        <v>15503.88</v>
      </c>
      <c r="Z61" s="3">
        <v>15503.88</v>
      </c>
      <c r="AA61" s="6">
        <v>15503.88</v>
      </c>
      <c r="AB61" s="134">
        <f t="shared" si="8"/>
        <v>372093.12000000005</v>
      </c>
      <c r="AC61" s="134">
        <v>0</v>
      </c>
      <c r="AD61" s="135"/>
      <c r="AE61" s="136">
        <v>13764044.640000001</v>
      </c>
    </row>
    <row r="62" spans="2:31">
      <c r="B62" s="124">
        <v>47543</v>
      </c>
      <c r="C62" s="125" t="s">
        <v>5</v>
      </c>
      <c r="D62" s="2">
        <v>15503.88</v>
      </c>
      <c r="E62" s="2">
        <v>15503.88</v>
      </c>
      <c r="F62" s="2">
        <v>15503.88</v>
      </c>
      <c r="G62" s="2">
        <v>15503.88</v>
      </c>
      <c r="H62" s="2">
        <v>15503.88</v>
      </c>
      <c r="I62" s="2">
        <v>15503.88</v>
      </c>
      <c r="J62" s="2">
        <v>15503.88</v>
      </c>
      <c r="K62" s="2">
        <v>15503.88</v>
      </c>
      <c r="L62" s="2">
        <v>15503.88</v>
      </c>
      <c r="M62" s="2">
        <v>15503.88</v>
      </c>
      <c r="N62" s="2">
        <v>15503.88</v>
      </c>
      <c r="O62" s="2">
        <v>15503.88</v>
      </c>
      <c r="P62" s="2">
        <v>15503.88</v>
      </c>
      <c r="Q62" s="2">
        <v>15503.88</v>
      </c>
      <c r="R62" s="2">
        <v>15503.88</v>
      </c>
      <c r="S62" s="2">
        <v>15503.88</v>
      </c>
      <c r="T62" s="2">
        <v>15503.88</v>
      </c>
      <c r="U62" s="2">
        <v>15503.88</v>
      </c>
      <c r="V62" s="2">
        <v>15503.88</v>
      </c>
      <c r="W62" s="2">
        <v>15503.88</v>
      </c>
      <c r="X62" s="2">
        <v>15503.88</v>
      </c>
      <c r="Y62" s="2">
        <v>15503.88</v>
      </c>
      <c r="Z62" s="2">
        <v>15503.88</v>
      </c>
      <c r="AA62" s="4">
        <v>15503.88</v>
      </c>
      <c r="AB62" s="126">
        <f t="shared" si="8"/>
        <v>372093.12000000005</v>
      </c>
      <c r="AC62" s="126">
        <v>20</v>
      </c>
      <c r="AD62" s="127">
        <f>(AB62*AC62)+(AB63*AC63)+(AB64*AC64)+(AB65*AC65)</f>
        <v>11534886.720000001</v>
      </c>
      <c r="AE62" s="136">
        <v>13320043.199999999</v>
      </c>
    </row>
    <row r="63" spans="2:31">
      <c r="B63" s="128"/>
      <c r="C63" s="129" t="s">
        <v>6</v>
      </c>
      <c r="D63" s="1">
        <v>15503.88</v>
      </c>
      <c r="E63" s="1">
        <v>15503.88</v>
      </c>
      <c r="F63" s="1">
        <v>15503.88</v>
      </c>
      <c r="G63" s="1">
        <v>15503.88</v>
      </c>
      <c r="H63" s="1">
        <v>15503.88</v>
      </c>
      <c r="I63" s="1">
        <v>15503.88</v>
      </c>
      <c r="J63" s="1">
        <v>15503.88</v>
      </c>
      <c r="K63" s="1">
        <v>15503.88</v>
      </c>
      <c r="L63" s="1">
        <v>15503.88</v>
      </c>
      <c r="M63" s="1">
        <v>15503.88</v>
      </c>
      <c r="N63" s="1">
        <v>15503.88</v>
      </c>
      <c r="O63" s="1">
        <v>15503.88</v>
      </c>
      <c r="P63" s="1">
        <v>15503.88</v>
      </c>
      <c r="Q63" s="1">
        <v>15503.88</v>
      </c>
      <c r="R63" s="1">
        <v>15503.88</v>
      </c>
      <c r="S63" s="1">
        <v>15503.88</v>
      </c>
      <c r="T63" s="1">
        <v>15503.88</v>
      </c>
      <c r="U63" s="1">
        <v>15503.88</v>
      </c>
      <c r="V63" s="1">
        <v>15503.88</v>
      </c>
      <c r="W63" s="1">
        <v>15503.88</v>
      </c>
      <c r="X63" s="1">
        <v>15503.88</v>
      </c>
      <c r="Y63" s="1">
        <v>15503.88</v>
      </c>
      <c r="Z63" s="1">
        <v>15503.88</v>
      </c>
      <c r="AA63" s="5">
        <v>15503.88</v>
      </c>
      <c r="AB63" s="130">
        <f t="shared" si="8"/>
        <v>372093.12000000005</v>
      </c>
      <c r="AC63" s="130">
        <v>5</v>
      </c>
      <c r="AD63" s="131"/>
      <c r="AE63" s="136">
        <v>13764044.639999999</v>
      </c>
    </row>
    <row r="64" spans="2:31">
      <c r="B64" s="128"/>
      <c r="C64" s="129" t="s">
        <v>7</v>
      </c>
      <c r="D64" s="1">
        <v>15503.88</v>
      </c>
      <c r="E64" s="1">
        <v>15503.88</v>
      </c>
      <c r="F64" s="1">
        <v>15503.88</v>
      </c>
      <c r="G64" s="1">
        <v>15503.88</v>
      </c>
      <c r="H64" s="1">
        <v>15503.88</v>
      </c>
      <c r="I64" s="1">
        <v>15503.88</v>
      </c>
      <c r="J64" s="1">
        <v>15503.88</v>
      </c>
      <c r="K64" s="1">
        <v>15503.88</v>
      </c>
      <c r="L64" s="1">
        <v>15503.88</v>
      </c>
      <c r="M64" s="1">
        <v>15503.88</v>
      </c>
      <c r="N64" s="1">
        <v>15503.88</v>
      </c>
      <c r="O64" s="1">
        <v>15503.88</v>
      </c>
      <c r="P64" s="1">
        <v>15503.88</v>
      </c>
      <c r="Q64" s="1">
        <v>15503.88</v>
      </c>
      <c r="R64" s="1">
        <v>15503.88</v>
      </c>
      <c r="S64" s="1">
        <v>15503.88</v>
      </c>
      <c r="T64" s="1">
        <v>15503.88</v>
      </c>
      <c r="U64" s="1">
        <v>15503.88</v>
      </c>
      <c r="V64" s="1">
        <v>15503.88</v>
      </c>
      <c r="W64" s="1">
        <v>15503.88</v>
      </c>
      <c r="X64" s="1">
        <v>15503.88</v>
      </c>
      <c r="Y64" s="1">
        <v>15503.88</v>
      </c>
      <c r="Z64" s="1">
        <v>15503.88</v>
      </c>
      <c r="AA64" s="5">
        <v>15503.88</v>
      </c>
      <c r="AB64" s="130">
        <f t="shared" si="8"/>
        <v>372093.12000000005</v>
      </c>
      <c r="AC64" s="130">
        <v>5</v>
      </c>
      <c r="AD64" s="131"/>
      <c r="AE64" s="136">
        <v>13320043.200000001</v>
      </c>
    </row>
    <row r="65" spans="2:31" ht="15" thickBot="1">
      <c r="B65" s="132"/>
      <c r="C65" s="133" t="s">
        <v>8</v>
      </c>
      <c r="D65" s="3">
        <v>15503.88</v>
      </c>
      <c r="E65" s="3">
        <v>15503.88</v>
      </c>
      <c r="F65" s="3">
        <v>15503.88</v>
      </c>
      <c r="G65" s="3">
        <v>15503.88</v>
      </c>
      <c r="H65" s="3">
        <v>15503.88</v>
      </c>
      <c r="I65" s="3">
        <v>15503.88</v>
      </c>
      <c r="J65" s="3">
        <v>15503.88</v>
      </c>
      <c r="K65" s="3">
        <v>15503.88</v>
      </c>
      <c r="L65" s="3">
        <v>15503.88</v>
      </c>
      <c r="M65" s="3">
        <v>15503.88</v>
      </c>
      <c r="N65" s="3">
        <v>15503.88</v>
      </c>
      <c r="O65" s="3">
        <v>15503.88</v>
      </c>
      <c r="P65" s="3">
        <v>15503.88</v>
      </c>
      <c r="Q65" s="3">
        <v>15503.88</v>
      </c>
      <c r="R65" s="3">
        <v>15503.88</v>
      </c>
      <c r="S65" s="3">
        <v>15503.88</v>
      </c>
      <c r="T65" s="3">
        <v>15503.88</v>
      </c>
      <c r="U65" s="3">
        <v>15503.88</v>
      </c>
      <c r="V65" s="3">
        <v>15503.88</v>
      </c>
      <c r="W65" s="3">
        <v>15503.88</v>
      </c>
      <c r="X65" s="3">
        <v>15503.88</v>
      </c>
      <c r="Y65" s="3">
        <v>15503.88</v>
      </c>
      <c r="Z65" s="3">
        <v>15503.88</v>
      </c>
      <c r="AA65" s="6">
        <v>15503.88</v>
      </c>
      <c r="AB65" s="134">
        <f t="shared" si="8"/>
        <v>372093.12000000005</v>
      </c>
      <c r="AC65" s="134">
        <v>1</v>
      </c>
      <c r="AD65" s="135"/>
      <c r="AE65" s="136">
        <v>13764044.640000002</v>
      </c>
    </row>
    <row r="66" spans="2:31">
      <c r="B66" s="124">
        <v>47574</v>
      </c>
      <c r="C66" s="125" t="s">
        <v>5</v>
      </c>
      <c r="D66" s="2">
        <v>15503.88</v>
      </c>
      <c r="E66" s="2">
        <v>15503.88</v>
      </c>
      <c r="F66" s="2">
        <v>15503.88</v>
      </c>
      <c r="G66" s="2">
        <v>15503.88</v>
      </c>
      <c r="H66" s="2">
        <v>15503.88</v>
      </c>
      <c r="I66" s="2">
        <v>15503.88</v>
      </c>
      <c r="J66" s="2">
        <v>15503.88</v>
      </c>
      <c r="K66" s="2">
        <v>15503.88</v>
      </c>
      <c r="L66" s="2">
        <v>15503.88</v>
      </c>
      <c r="M66" s="2">
        <v>15503.88</v>
      </c>
      <c r="N66" s="2">
        <v>15503.88</v>
      </c>
      <c r="O66" s="2">
        <v>15503.88</v>
      </c>
      <c r="P66" s="2">
        <v>15503.88</v>
      </c>
      <c r="Q66" s="2">
        <v>15503.88</v>
      </c>
      <c r="R66" s="2">
        <v>15503.88</v>
      </c>
      <c r="S66" s="2">
        <v>15503.88</v>
      </c>
      <c r="T66" s="2">
        <v>15503.88</v>
      </c>
      <c r="U66" s="2">
        <v>15503.88</v>
      </c>
      <c r="V66" s="2">
        <v>15503.88</v>
      </c>
      <c r="W66" s="2">
        <v>15503.88</v>
      </c>
      <c r="X66" s="2">
        <v>15503.88</v>
      </c>
      <c r="Y66" s="2">
        <v>15503.88</v>
      </c>
      <c r="Z66" s="2">
        <v>15503.88</v>
      </c>
      <c r="AA66" s="4">
        <v>15503.88</v>
      </c>
      <c r="AB66" s="126">
        <f t="shared" si="8"/>
        <v>372093.12000000005</v>
      </c>
      <c r="AC66" s="126">
        <v>20</v>
      </c>
      <c r="AD66" s="127">
        <f>(AB66*AC66)+(AB67*AC67)+(AB68*AC68)+(AB69*AC69)</f>
        <v>11162793.600000001</v>
      </c>
      <c r="AE66" s="136">
        <v>14039510.640000001</v>
      </c>
    </row>
    <row r="67" spans="2:31">
      <c r="B67" s="128"/>
      <c r="C67" s="129" t="s">
        <v>6</v>
      </c>
      <c r="D67" s="1">
        <v>15503.88</v>
      </c>
      <c r="E67" s="1">
        <v>15503.88</v>
      </c>
      <c r="F67" s="1">
        <v>15503.88</v>
      </c>
      <c r="G67" s="1">
        <v>15503.88</v>
      </c>
      <c r="H67" s="1">
        <v>15503.88</v>
      </c>
      <c r="I67" s="1">
        <v>15503.88</v>
      </c>
      <c r="J67" s="1">
        <v>15503.88</v>
      </c>
      <c r="K67" s="1">
        <v>15503.88</v>
      </c>
      <c r="L67" s="1">
        <v>15503.88</v>
      </c>
      <c r="M67" s="1">
        <v>15503.88</v>
      </c>
      <c r="N67" s="1">
        <v>15503.88</v>
      </c>
      <c r="O67" s="1">
        <v>15503.88</v>
      </c>
      <c r="P67" s="1">
        <v>15503.88</v>
      </c>
      <c r="Q67" s="1">
        <v>15503.88</v>
      </c>
      <c r="R67" s="1">
        <v>15503.88</v>
      </c>
      <c r="S67" s="1">
        <v>15503.88</v>
      </c>
      <c r="T67" s="1">
        <v>15503.88</v>
      </c>
      <c r="U67" s="1">
        <v>15503.88</v>
      </c>
      <c r="V67" s="1">
        <v>15503.88</v>
      </c>
      <c r="W67" s="1">
        <v>15503.88</v>
      </c>
      <c r="X67" s="1">
        <v>15503.88</v>
      </c>
      <c r="Y67" s="1">
        <v>15503.88</v>
      </c>
      <c r="Z67" s="1">
        <v>15503.88</v>
      </c>
      <c r="AA67" s="5">
        <v>15503.88</v>
      </c>
      <c r="AB67" s="130">
        <f t="shared" si="8"/>
        <v>372093.12000000005</v>
      </c>
      <c r="AC67" s="130">
        <v>4</v>
      </c>
      <c r="AD67" s="131"/>
      <c r="AE67" s="136">
        <v>12680848.32</v>
      </c>
    </row>
    <row r="68" spans="2:31">
      <c r="B68" s="128"/>
      <c r="C68" s="129" t="s">
        <v>7</v>
      </c>
      <c r="D68" s="1">
        <v>15503.88</v>
      </c>
      <c r="E68" s="1">
        <v>15503.88</v>
      </c>
      <c r="F68" s="1">
        <v>15503.88</v>
      </c>
      <c r="G68" s="1">
        <v>15503.88</v>
      </c>
      <c r="H68" s="1">
        <v>15503.88</v>
      </c>
      <c r="I68" s="1">
        <v>15503.88</v>
      </c>
      <c r="J68" s="1">
        <v>15503.88</v>
      </c>
      <c r="K68" s="1">
        <v>15503.88</v>
      </c>
      <c r="L68" s="1">
        <v>15503.88</v>
      </c>
      <c r="M68" s="1">
        <v>15503.88</v>
      </c>
      <c r="N68" s="1">
        <v>15503.88</v>
      </c>
      <c r="O68" s="1">
        <v>15503.88</v>
      </c>
      <c r="P68" s="1">
        <v>15503.88</v>
      </c>
      <c r="Q68" s="1">
        <v>15503.88</v>
      </c>
      <c r="R68" s="1">
        <v>15503.88</v>
      </c>
      <c r="S68" s="1">
        <v>15503.88</v>
      </c>
      <c r="T68" s="1">
        <v>15503.88</v>
      </c>
      <c r="U68" s="1">
        <v>15503.88</v>
      </c>
      <c r="V68" s="1">
        <v>15503.88</v>
      </c>
      <c r="W68" s="1">
        <v>15503.88</v>
      </c>
      <c r="X68" s="1">
        <v>15503.88</v>
      </c>
      <c r="Y68" s="1">
        <v>15503.88</v>
      </c>
      <c r="Z68" s="1">
        <v>15503.88</v>
      </c>
      <c r="AA68" s="5">
        <v>15503.88</v>
      </c>
      <c r="AB68" s="130">
        <f t="shared" si="8"/>
        <v>372093.12000000005</v>
      </c>
      <c r="AC68" s="130">
        <v>4</v>
      </c>
      <c r="AD68" s="131"/>
      <c r="AE68" s="136">
        <v>14039510.639999999</v>
      </c>
    </row>
    <row r="69" spans="2:31" ht="15" thickBot="1">
      <c r="B69" s="132"/>
      <c r="C69" s="133" t="s">
        <v>8</v>
      </c>
      <c r="D69" s="3">
        <v>15503.88</v>
      </c>
      <c r="E69" s="3">
        <v>15503.88</v>
      </c>
      <c r="F69" s="3">
        <v>15503.88</v>
      </c>
      <c r="G69" s="3">
        <v>15503.88</v>
      </c>
      <c r="H69" s="3">
        <v>15503.88</v>
      </c>
      <c r="I69" s="3">
        <v>15503.88</v>
      </c>
      <c r="J69" s="3">
        <v>15503.88</v>
      </c>
      <c r="K69" s="3">
        <v>15503.88</v>
      </c>
      <c r="L69" s="3">
        <v>15503.88</v>
      </c>
      <c r="M69" s="3">
        <v>15503.88</v>
      </c>
      <c r="N69" s="3">
        <v>15503.88</v>
      </c>
      <c r="O69" s="3">
        <v>15503.88</v>
      </c>
      <c r="P69" s="3">
        <v>15503.88</v>
      </c>
      <c r="Q69" s="3">
        <v>15503.88</v>
      </c>
      <c r="R69" s="3">
        <v>15503.88</v>
      </c>
      <c r="S69" s="3">
        <v>15503.88</v>
      </c>
      <c r="T69" s="3">
        <v>15503.88</v>
      </c>
      <c r="U69" s="3">
        <v>15503.88</v>
      </c>
      <c r="V69" s="3">
        <v>15503.88</v>
      </c>
      <c r="W69" s="3">
        <v>15503.88</v>
      </c>
      <c r="X69" s="3">
        <v>15503.88</v>
      </c>
      <c r="Y69" s="3">
        <v>15503.88</v>
      </c>
      <c r="Z69" s="3">
        <v>15503.88</v>
      </c>
      <c r="AA69" s="6">
        <v>15503.88</v>
      </c>
      <c r="AB69" s="134">
        <f t="shared" si="8"/>
        <v>372093.12000000005</v>
      </c>
      <c r="AC69" s="134">
        <v>2</v>
      </c>
      <c r="AD69" s="135"/>
      <c r="AE69" s="136">
        <v>13586623.200000001</v>
      </c>
    </row>
    <row r="70" spans="2:31">
      <c r="B70" s="124">
        <v>47604</v>
      </c>
      <c r="C70" s="125" t="s">
        <v>5</v>
      </c>
      <c r="D70" s="2">
        <v>15503.88</v>
      </c>
      <c r="E70" s="2">
        <v>15503.88</v>
      </c>
      <c r="F70" s="2">
        <v>15503.88</v>
      </c>
      <c r="G70" s="2">
        <v>15503.88</v>
      </c>
      <c r="H70" s="2">
        <v>15503.88</v>
      </c>
      <c r="I70" s="2">
        <v>15503.88</v>
      </c>
      <c r="J70" s="2">
        <v>15503.88</v>
      </c>
      <c r="K70" s="2">
        <v>15503.88</v>
      </c>
      <c r="L70" s="2">
        <v>15503.88</v>
      </c>
      <c r="M70" s="2">
        <v>15503.88</v>
      </c>
      <c r="N70" s="2">
        <v>15503.88</v>
      </c>
      <c r="O70" s="2">
        <v>15503.88</v>
      </c>
      <c r="P70" s="2">
        <v>15503.88</v>
      </c>
      <c r="Q70" s="2">
        <v>15503.88</v>
      </c>
      <c r="R70" s="2">
        <v>15503.88</v>
      </c>
      <c r="S70" s="2">
        <v>15503.88</v>
      </c>
      <c r="T70" s="2">
        <v>15503.88</v>
      </c>
      <c r="U70" s="2">
        <v>15503.88</v>
      </c>
      <c r="V70" s="2">
        <v>15503.88</v>
      </c>
      <c r="W70" s="2">
        <v>15503.88</v>
      </c>
      <c r="X70" s="2">
        <v>15503.88</v>
      </c>
      <c r="Y70" s="2">
        <v>15503.88</v>
      </c>
      <c r="Z70" s="2">
        <v>15503.88</v>
      </c>
      <c r="AA70" s="4">
        <v>15503.88</v>
      </c>
      <c r="AB70" s="126">
        <f t="shared" si="8"/>
        <v>372093.12000000005</v>
      </c>
      <c r="AC70" s="126">
        <v>22</v>
      </c>
      <c r="AD70" s="127">
        <f>(AB70*AC70)+(AB71*AC71)+(AB72*AC72)+(AB73*AC73)</f>
        <v>11534886.720000001</v>
      </c>
      <c r="AE70" s="136">
        <v>14039510.640000001</v>
      </c>
    </row>
    <row r="71" spans="2:31">
      <c r="B71" s="128"/>
      <c r="C71" s="129" t="s">
        <v>6</v>
      </c>
      <c r="D71" s="1">
        <v>15503.88</v>
      </c>
      <c r="E71" s="1">
        <v>15503.88</v>
      </c>
      <c r="F71" s="1">
        <v>15503.88</v>
      </c>
      <c r="G71" s="1">
        <v>15503.88</v>
      </c>
      <c r="H71" s="1">
        <v>15503.88</v>
      </c>
      <c r="I71" s="1">
        <v>15503.88</v>
      </c>
      <c r="J71" s="1">
        <v>15503.88</v>
      </c>
      <c r="K71" s="1">
        <v>15503.88</v>
      </c>
      <c r="L71" s="1">
        <v>15503.88</v>
      </c>
      <c r="M71" s="1">
        <v>15503.88</v>
      </c>
      <c r="N71" s="1">
        <v>15503.88</v>
      </c>
      <c r="O71" s="1">
        <v>15503.88</v>
      </c>
      <c r="P71" s="1">
        <v>15503.88</v>
      </c>
      <c r="Q71" s="1">
        <v>15503.88</v>
      </c>
      <c r="R71" s="1">
        <v>15503.88</v>
      </c>
      <c r="S71" s="1">
        <v>15503.88</v>
      </c>
      <c r="T71" s="1">
        <v>15503.88</v>
      </c>
      <c r="U71" s="1">
        <v>15503.88</v>
      </c>
      <c r="V71" s="1">
        <v>15503.88</v>
      </c>
      <c r="W71" s="1">
        <v>15503.88</v>
      </c>
      <c r="X71" s="1">
        <v>15503.88</v>
      </c>
      <c r="Y71" s="1">
        <v>15503.88</v>
      </c>
      <c r="Z71" s="1">
        <v>15503.88</v>
      </c>
      <c r="AA71" s="5">
        <v>15503.88</v>
      </c>
      <c r="AB71" s="130">
        <f t="shared" si="8"/>
        <v>372093.12000000005</v>
      </c>
      <c r="AC71" s="130">
        <v>4</v>
      </c>
      <c r="AD71" s="131"/>
      <c r="AE71" s="136">
        <v>13586623.200000001</v>
      </c>
    </row>
    <row r="72" spans="2:31">
      <c r="B72" s="128"/>
      <c r="C72" s="129" t="s">
        <v>7</v>
      </c>
      <c r="D72" s="1">
        <v>15503.88</v>
      </c>
      <c r="E72" s="1">
        <v>15503.88</v>
      </c>
      <c r="F72" s="1">
        <v>15503.88</v>
      </c>
      <c r="G72" s="1">
        <v>15503.88</v>
      </c>
      <c r="H72" s="1">
        <v>15503.88</v>
      </c>
      <c r="I72" s="1">
        <v>15503.88</v>
      </c>
      <c r="J72" s="1">
        <v>15503.88</v>
      </c>
      <c r="K72" s="1">
        <v>15503.88</v>
      </c>
      <c r="L72" s="1">
        <v>15503.88</v>
      </c>
      <c r="M72" s="1">
        <v>15503.88</v>
      </c>
      <c r="N72" s="1">
        <v>15503.88</v>
      </c>
      <c r="O72" s="1">
        <v>15503.88</v>
      </c>
      <c r="P72" s="1">
        <v>15503.88</v>
      </c>
      <c r="Q72" s="1">
        <v>15503.88</v>
      </c>
      <c r="R72" s="1">
        <v>15503.88</v>
      </c>
      <c r="S72" s="1">
        <v>15503.88</v>
      </c>
      <c r="T72" s="1">
        <v>15503.88</v>
      </c>
      <c r="U72" s="1">
        <v>15503.88</v>
      </c>
      <c r="V72" s="1">
        <v>15503.88</v>
      </c>
      <c r="W72" s="1">
        <v>15503.88</v>
      </c>
      <c r="X72" s="1">
        <v>15503.88</v>
      </c>
      <c r="Y72" s="1">
        <v>15503.88</v>
      </c>
      <c r="Z72" s="1">
        <v>15503.88</v>
      </c>
      <c r="AA72" s="5">
        <v>15503.88</v>
      </c>
      <c r="AB72" s="130">
        <f t="shared" si="8"/>
        <v>372093.12000000005</v>
      </c>
      <c r="AC72" s="130">
        <v>4</v>
      </c>
      <c r="AD72" s="131"/>
      <c r="AE72" s="136">
        <v>14039510.639999999</v>
      </c>
    </row>
    <row r="73" spans="2:31" ht="15" thickBot="1">
      <c r="B73" s="132"/>
      <c r="C73" s="133" t="s">
        <v>8</v>
      </c>
      <c r="D73" s="3">
        <v>15503.88</v>
      </c>
      <c r="E73" s="3">
        <v>15503.88</v>
      </c>
      <c r="F73" s="3">
        <v>15503.88</v>
      </c>
      <c r="G73" s="3">
        <v>15503.88</v>
      </c>
      <c r="H73" s="3">
        <v>15503.88</v>
      </c>
      <c r="I73" s="3">
        <v>15503.88</v>
      </c>
      <c r="J73" s="3">
        <v>15503.88</v>
      </c>
      <c r="K73" s="3">
        <v>15503.88</v>
      </c>
      <c r="L73" s="3">
        <v>15503.88</v>
      </c>
      <c r="M73" s="3">
        <v>15503.88</v>
      </c>
      <c r="N73" s="3">
        <v>15503.88</v>
      </c>
      <c r="O73" s="3">
        <v>15503.88</v>
      </c>
      <c r="P73" s="3">
        <v>15503.88</v>
      </c>
      <c r="Q73" s="3">
        <v>15503.88</v>
      </c>
      <c r="R73" s="3">
        <v>15503.88</v>
      </c>
      <c r="S73" s="3">
        <v>15503.88</v>
      </c>
      <c r="T73" s="3">
        <v>15503.88</v>
      </c>
      <c r="U73" s="3">
        <v>15503.88</v>
      </c>
      <c r="V73" s="3">
        <v>15503.88</v>
      </c>
      <c r="W73" s="3">
        <v>15503.88</v>
      </c>
      <c r="X73" s="3">
        <v>15503.88</v>
      </c>
      <c r="Y73" s="3">
        <v>15503.88</v>
      </c>
      <c r="Z73" s="3">
        <v>15503.88</v>
      </c>
      <c r="AA73" s="6">
        <v>15503.88</v>
      </c>
      <c r="AB73" s="134">
        <f t="shared" si="8"/>
        <v>372093.12000000005</v>
      </c>
      <c r="AC73" s="134">
        <v>1</v>
      </c>
      <c r="AD73" s="135"/>
      <c r="AE73" s="136">
        <v>14039510.640000001</v>
      </c>
    </row>
    <row r="74" spans="2:31">
      <c r="B74" s="124">
        <v>47635</v>
      </c>
      <c r="C74" s="125" t="s">
        <v>5</v>
      </c>
      <c r="D74" s="2">
        <v>15503.88</v>
      </c>
      <c r="E74" s="2">
        <v>15503.88</v>
      </c>
      <c r="F74" s="2">
        <v>15503.88</v>
      </c>
      <c r="G74" s="2">
        <v>15503.88</v>
      </c>
      <c r="H74" s="2">
        <v>15503.88</v>
      </c>
      <c r="I74" s="2">
        <v>15503.88</v>
      </c>
      <c r="J74" s="2">
        <v>15503.88</v>
      </c>
      <c r="K74" s="2">
        <v>15503.88</v>
      </c>
      <c r="L74" s="2">
        <v>15503.88</v>
      </c>
      <c r="M74" s="2">
        <v>15503.88</v>
      </c>
      <c r="N74" s="2">
        <v>15503.88</v>
      </c>
      <c r="O74" s="2">
        <v>15503.88</v>
      </c>
      <c r="P74" s="2">
        <v>15503.88</v>
      </c>
      <c r="Q74" s="2">
        <v>15503.88</v>
      </c>
      <c r="R74" s="2">
        <v>15503.88</v>
      </c>
      <c r="S74" s="2">
        <v>15503.88</v>
      </c>
      <c r="T74" s="2">
        <v>15503.88</v>
      </c>
      <c r="U74" s="2">
        <v>15503.88</v>
      </c>
      <c r="V74" s="2">
        <v>15503.88</v>
      </c>
      <c r="W74" s="2">
        <v>15503.88</v>
      </c>
      <c r="X74" s="2">
        <v>15503.88</v>
      </c>
      <c r="Y74" s="2">
        <v>15503.88</v>
      </c>
      <c r="Z74" s="2">
        <v>15503.88</v>
      </c>
      <c r="AA74" s="4">
        <v>15503.88</v>
      </c>
      <c r="AB74" s="126">
        <f t="shared" si="8"/>
        <v>372093.12000000005</v>
      </c>
      <c r="AC74" s="126">
        <v>18</v>
      </c>
      <c r="AD74" s="127">
        <f>(AB74*AC74)+(AB75*AC75)+(AB76*AC76)+(AB77*AC77)</f>
        <v>11162793.600000001</v>
      </c>
      <c r="AE74" s="136">
        <v>13586623.200000001</v>
      </c>
    </row>
    <row r="75" spans="2:31">
      <c r="B75" s="128"/>
      <c r="C75" s="129" t="s">
        <v>6</v>
      </c>
      <c r="D75" s="1">
        <v>15503.88</v>
      </c>
      <c r="E75" s="1">
        <v>15503.88</v>
      </c>
      <c r="F75" s="1">
        <v>15503.88</v>
      </c>
      <c r="G75" s="1">
        <v>15503.88</v>
      </c>
      <c r="H75" s="1">
        <v>15503.88</v>
      </c>
      <c r="I75" s="1">
        <v>15503.88</v>
      </c>
      <c r="J75" s="1">
        <v>15503.88</v>
      </c>
      <c r="K75" s="1">
        <v>15503.88</v>
      </c>
      <c r="L75" s="1">
        <v>15503.88</v>
      </c>
      <c r="M75" s="1">
        <v>15503.88</v>
      </c>
      <c r="N75" s="1">
        <v>15503.88</v>
      </c>
      <c r="O75" s="1">
        <v>15503.88</v>
      </c>
      <c r="P75" s="1">
        <v>15503.88</v>
      </c>
      <c r="Q75" s="1">
        <v>15503.88</v>
      </c>
      <c r="R75" s="1">
        <v>15503.88</v>
      </c>
      <c r="S75" s="1">
        <v>15503.88</v>
      </c>
      <c r="T75" s="1">
        <v>15503.88</v>
      </c>
      <c r="U75" s="1">
        <v>15503.88</v>
      </c>
      <c r="V75" s="1">
        <v>15503.88</v>
      </c>
      <c r="W75" s="1">
        <v>15503.88</v>
      </c>
      <c r="X75" s="1">
        <v>15503.88</v>
      </c>
      <c r="Y75" s="1">
        <v>15503.88</v>
      </c>
      <c r="Z75" s="1">
        <v>15503.88</v>
      </c>
      <c r="AA75" s="5">
        <v>15503.88</v>
      </c>
      <c r="AB75" s="130">
        <f t="shared" si="8"/>
        <v>372093.12000000005</v>
      </c>
      <c r="AC75" s="130">
        <v>5</v>
      </c>
      <c r="AD75" s="131"/>
      <c r="AE75" s="136">
        <v>14039510.639999999</v>
      </c>
    </row>
    <row r="76" spans="2:31">
      <c r="B76" s="128"/>
      <c r="C76" s="129" t="s">
        <v>7</v>
      </c>
      <c r="D76" s="1">
        <v>15503.88</v>
      </c>
      <c r="E76" s="1">
        <v>15503.88</v>
      </c>
      <c r="F76" s="1">
        <v>15503.88</v>
      </c>
      <c r="G76" s="1">
        <v>15503.88</v>
      </c>
      <c r="H76" s="1">
        <v>15503.88</v>
      </c>
      <c r="I76" s="1">
        <v>15503.88</v>
      </c>
      <c r="J76" s="1">
        <v>15503.88</v>
      </c>
      <c r="K76" s="1">
        <v>15503.88</v>
      </c>
      <c r="L76" s="1">
        <v>15503.88</v>
      </c>
      <c r="M76" s="1">
        <v>15503.88</v>
      </c>
      <c r="N76" s="1">
        <v>15503.88</v>
      </c>
      <c r="O76" s="1">
        <v>15503.88</v>
      </c>
      <c r="P76" s="1">
        <v>15503.88</v>
      </c>
      <c r="Q76" s="1">
        <v>15503.88</v>
      </c>
      <c r="R76" s="1">
        <v>15503.88</v>
      </c>
      <c r="S76" s="1">
        <v>15503.88</v>
      </c>
      <c r="T76" s="1">
        <v>15503.88</v>
      </c>
      <c r="U76" s="1">
        <v>15503.88</v>
      </c>
      <c r="V76" s="1">
        <v>15503.88</v>
      </c>
      <c r="W76" s="1">
        <v>15503.88</v>
      </c>
      <c r="X76" s="1">
        <v>15503.88</v>
      </c>
      <c r="Y76" s="1">
        <v>15503.88</v>
      </c>
      <c r="Z76" s="1">
        <v>15503.88</v>
      </c>
      <c r="AA76" s="5">
        <v>15503.88</v>
      </c>
      <c r="AB76" s="130">
        <f t="shared" si="8"/>
        <v>372093.12000000005</v>
      </c>
      <c r="AC76" s="130">
        <v>5</v>
      </c>
      <c r="AD76" s="131"/>
      <c r="AE76" s="136">
        <v>13586623.200000001</v>
      </c>
    </row>
    <row r="77" spans="2:31" ht="15" thickBot="1">
      <c r="B77" s="132"/>
      <c r="C77" s="133" t="s">
        <v>8</v>
      </c>
      <c r="D77" s="3">
        <v>15503.88</v>
      </c>
      <c r="E77" s="3">
        <v>15503.88</v>
      </c>
      <c r="F77" s="3">
        <v>15503.88</v>
      </c>
      <c r="G77" s="3">
        <v>15503.88</v>
      </c>
      <c r="H77" s="3">
        <v>15503.88</v>
      </c>
      <c r="I77" s="3">
        <v>15503.88</v>
      </c>
      <c r="J77" s="3">
        <v>15503.88</v>
      </c>
      <c r="K77" s="3">
        <v>15503.88</v>
      </c>
      <c r="L77" s="3">
        <v>15503.88</v>
      </c>
      <c r="M77" s="3">
        <v>15503.88</v>
      </c>
      <c r="N77" s="3">
        <v>15503.88</v>
      </c>
      <c r="O77" s="3">
        <v>15503.88</v>
      </c>
      <c r="P77" s="3">
        <v>15503.88</v>
      </c>
      <c r="Q77" s="3">
        <v>15503.88</v>
      </c>
      <c r="R77" s="3">
        <v>15503.88</v>
      </c>
      <c r="S77" s="3">
        <v>15503.88</v>
      </c>
      <c r="T77" s="3">
        <v>15503.88</v>
      </c>
      <c r="U77" s="3">
        <v>15503.88</v>
      </c>
      <c r="V77" s="3">
        <v>15503.88</v>
      </c>
      <c r="W77" s="3">
        <v>15503.88</v>
      </c>
      <c r="X77" s="3">
        <v>15503.88</v>
      </c>
      <c r="Y77" s="3">
        <v>15503.88</v>
      </c>
      <c r="Z77" s="3">
        <v>15503.88</v>
      </c>
      <c r="AA77" s="6">
        <v>15503.88</v>
      </c>
      <c r="AB77" s="134">
        <f t="shared" si="8"/>
        <v>372093.12000000005</v>
      </c>
      <c r="AC77" s="134">
        <v>2</v>
      </c>
      <c r="AD77" s="135"/>
      <c r="AE77" s="136">
        <v>14039510.639999999</v>
      </c>
    </row>
    <row r="78" spans="2:31">
      <c r="B78" s="124">
        <v>47665</v>
      </c>
      <c r="C78" s="125" t="s">
        <v>5</v>
      </c>
      <c r="D78" s="2">
        <v>15503.88</v>
      </c>
      <c r="E78" s="2">
        <v>15503.88</v>
      </c>
      <c r="F78" s="2">
        <v>15503.88</v>
      </c>
      <c r="G78" s="2">
        <v>15503.88</v>
      </c>
      <c r="H78" s="2">
        <v>15503.88</v>
      </c>
      <c r="I78" s="2">
        <v>15503.88</v>
      </c>
      <c r="J78" s="2">
        <v>15503.88</v>
      </c>
      <c r="K78" s="2">
        <v>15503.88</v>
      </c>
      <c r="L78" s="2">
        <v>15503.88</v>
      </c>
      <c r="M78" s="2">
        <v>15503.88</v>
      </c>
      <c r="N78" s="2">
        <v>15503.88</v>
      </c>
      <c r="O78" s="2">
        <v>15503.88</v>
      </c>
      <c r="P78" s="2">
        <v>15503.88</v>
      </c>
      <c r="Q78" s="2">
        <v>15503.88</v>
      </c>
      <c r="R78" s="2">
        <v>15503.88</v>
      </c>
      <c r="S78" s="2">
        <v>15503.88</v>
      </c>
      <c r="T78" s="2">
        <v>15503.88</v>
      </c>
      <c r="U78" s="2">
        <v>15503.88</v>
      </c>
      <c r="V78" s="2">
        <v>15503.88</v>
      </c>
      <c r="W78" s="2">
        <v>15503.88</v>
      </c>
      <c r="X78" s="2">
        <v>15503.88</v>
      </c>
      <c r="Y78" s="2">
        <v>15503.88</v>
      </c>
      <c r="Z78" s="2">
        <v>15503.88</v>
      </c>
      <c r="AA78" s="4">
        <v>15503.88</v>
      </c>
      <c r="AB78" s="126">
        <f t="shared" si="8"/>
        <v>372093.12000000005</v>
      </c>
      <c r="AC78" s="126">
        <v>22</v>
      </c>
      <c r="AD78" s="127">
        <f>(AB78*AC78)+(AB79*AC79)+(AB80*AC80)+(AB81*AC81)</f>
        <v>11534886.720000003</v>
      </c>
      <c r="AE78" s="136">
        <v>14320482.240000004</v>
      </c>
    </row>
    <row r="79" spans="2:31">
      <c r="B79" s="128"/>
      <c r="C79" s="129" t="s">
        <v>6</v>
      </c>
      <c r="D79" s="1">
        <v>15503.88</v>
      </c>
      <c r="E79" s="1">
        <v>15503.88</v>
      </c>
      <c r="F79" s="1">
        <v>15503.88</v>
      </c>
      <c r="G79" s="1">
        <v>15503.88</v>
      </c>
      <c r="H79" s="1">
        <v>15503.88</v>
      </c>
      <c r="I79" s="1">
        <v>15503.88</v>
      </c>
      <c r="J79" s="1">
        <v>15503.88</v>
      </c>
      <c r="K79" s="1">
        <v>15503.88</v>
      </c>
      <c r="L79" s="1">
        <v>15503.88</v>
      </c>
      <c r="M79" s="1">
        <v>15503.88</v>
      </c>
      <c r="N79" s="1">
        <v>15503.88</v>
      </c>
      <c r="O79" s="1">
        <v>15503.88</v>
      </c>
      <c r="P79" s="1">
        <v>15503.88</v>
      </c>
      <c r="Q79" s="1">
        <v>15503.88</v>
      </c>
      <c r="R79" s="1">
        <v>15503.88</v>
      </c>
      <c r="S79" s="1">
        <v>15503.88</v>
      </c>
      <c r="T79" s="1">
        <v>15503.88</v>
      </c>
      <c r="U79" s="1">
        <v>15503.88</v>
      </c>
      <c r="V79" s="1">
        <v>15503.88</v>
      </c>
      <c r="W79" s="1">
        <v>15503.88</v>
      </c>
      <c r="X79" s="1">
        <v>15503.88</v>
      </c>
      <c r="Y79" s="1">
        <v>15503.88</v>
      </c>
      <c r="Z79" s="1">
        <v>15503.88</v>
      </c>
      <c r="AA79" s="5">
        <v>15503.88</v>
      </c>
      <c r="AB79" s="130">
        <f t="shared" si="8"/>
        <v>372093.12000000005</v>
      </c>
      <c r="AC79" s="130">
        <v>3</v>
      </c>
      <c r="AD79" s="131"/>
      <c r="AE79" s="136">
        <v>12934629.120000003</v>
      </c>
    </row>
    <row r="80" spans="2:31">
      <c r="B80" s="128"/>
      <c r="C80" s="129" t="s">
        <v>4</v>
      </c>
      <c r="D80" s="1">
        <v>15503.88</v>
      </c>
      <c r="E80" s="1">
        <v>15503.88</v>
      </c>
      <c r="F80" s="1">
        <v>15503.88</v>
      </c>
      <c r="G80" s="1">
        <v>15503.88</v>
      </c>
      <c r="H80" s="1">
        <v>15503.88</v>
      </c>
      <c r="I80" s="1">
        <v>15503.88</v>
      </c>
      <c r="J80" s="1">
        <v>15503.88</v>
      </c>
      <c r="K80" s="1">
        <v>15503.88</v>
      </c>
      <c r="L80" s="1">
        <v>15503.88</v>
      </c>
      <c r="M80" s="1">
        <v>15503.88</v>
      </c>
      <c r="N80" s="1">
        <v>15503.88</v>
      </c>
      <c r="O80" s="1">
        <v>15503.88</v>
      </c>
      <c r="P80" s="1">
        <v>15503.88</v>
      </c>
      <c r="Q80" s="1">
        <v>15503.88</v>
      </c>
      <c r="R80" s="1">
        <v>15503.88</v>
      </c>
      <c r="S80" s="1">
        <v>15503.88</v>
      </c>
      <c r="T80" s="1">
        <v>15503.88</v>
      </c>
      <c r="U80" s="1">
        <v>15503.88</v>
      </c>
      <c r="V80" s="1">
        <v>15503.88</v>
      </c>
      <c r="W80" s="1">
        <v>15503.88</v>
      </c>
      <c r="X80" s="1">
        <v>15503.88</v>
      </c>
      <c r="Y80" s="1">
        <v>15503.88</v>
      </c>
      <c r="Z80" s="1">
        <v>15503.88</v>
      </c>
      <c r="AA80" s="5">
        <v>15503.88</v>
      </c>
      <c r="AB80" s="130">
        <f t="shared" si="8"/>
        <v>372093.12000000005</v>
      </c>
      <c r="AC80" s="130">
        <v>4</v>
      </c>
      <c r="AD80" s="131"/>
      <c r="AE80" s="136">
        <v>14320482.240000006</v>
      </c>
    </row>
    <row r="81" spans="2:31" ht="15" thickBot="1">
      <c r="B81" s="132"/>
      <c r="C81" s="133" t="s">
        <v>8</v>
      </c>
      <c r="D81" s="3">
        <v>15503.88</v>
      </c>
      <c r="E81" s="3">
        <v>15503.88</v>
      </c>
      <c r="F81" s="3">
        <v>15503.88</v>
      </c>
      <c r="G81" s="3">
        <v>15503.88</v>
      </c>
      <c r="H81" s="3">
        <v>15503.88</v>
      </c>
      <c r="I81" s="3">
        <v>15503.88</v>
      </c>
      <c r="J81" s="3">
        <v>15503.88</v>
      </c>
      <c r="K81" s="3">
        <v>15503.88</v>
      </c>
      <c r="L81" s="3">
        <v>15503.88</v>
      </c>
      <c r="M81" s="3">
        <v>15503.88</v>
      </c>
      <c r="N81" s="3">
        <v>15503.88</v>
      </c>
      <c r="O81" s="3">
        <v>15503.88</v>
      </c>
      <c r="P81" s="3">
        <v>15503.88</v>
      </c>
      <c r="Q81" s="3">
        <v>15503.88</v>
      </c>
      <c r="R81" s="3">
        <v>15503.88</v>
      </c>
      <c r="S81" s="3">
        <v>15503.88</v>
      </c>
      <c r="T81" s="3">
        <v>15503.88</v>
      </c>
      <c r="U81" s="3">
        <v>15503.88</v>
      </c>
      <c r="V81" s="3">
        <v>15503.88</v>
      </c>
      <c r="W81" s="3">
        <v>15503.88</v>
      </c>
      <c r="X81" s="3">
        <v>15503.88</v>
      </c>
      <c r="Y81" s="3">
        <v>15503.88</v>
      </c>
      <c r="Z81" s="3">
        <v>15503.88</v>
      </c>
      <c r="AA81" s="6">
        <v>15503.88</v>
      </c>
      <c r="AB81" s="134">
        <f t="shared" si="8"/>
        <v>372093.12000000005</v>
      </c>
      <c r="AC81" s="134">
        <v>2</v>
      </c>
      <c r="AD81" s="135"/>
      <c r="AE81" s="136">
        <v>13858531.200000005</v>
      </c>
    </row>
    <row r="82" spans="2:31">
      <c r="B82" s="124">
        <v>47696</v>
      </c>
      <c r="C82" s="125" t="s">
        <v>5</v>
      </c>
      <c r="D82" s="2">
        <v>15503.88</v>
      </c>
      <c r="E82" s="2">
        <v>15503.88</v>
      </c>
      <c r="F82" s="2">
        <v>15503.88</v>
      </c>
      <c r="G82" s="2">
        <v>15503.88</v>
      </c>
      <c r="H82" s="2">
        <v>15503.88</v>
      </c>
      <c r="I82" s="2">
        <v>15503.88</v>
      </c>
      <c r="J82" s="2">
        <v>15503.88</v>
      </c>
      <c r="K82" s="2">
        <v>15503.88</v>
      </c>
      <c r="L82" s="2">
        <v>15503.88</v>
      </c>
      <c r="M82" s="2">
        <v>15503.88</v>
      </c>
      <c r="N82" s="2">
        <v>15503.88</v>
      </c>
      <c r="O82" s="2">
        <v>15503.88</v>
      </c>
      <c r="P82" s="2">
        <v>15503.88</v>
      </c>
      <c r="Q82" s="2">
        <v>15503.88</v>
      </c>
      <c r="R82" s="2">
        <v>15503.88</v>
      </c>
      <c r="S82" s="2">
        <v>15503.88</v>
      </c>
      <c r="T82" s="2">
        <v>15503.88</v>
      </c>
      <c r="U82" s="2">
        <v>15503.88</v>
      </c>
      <c r="V82" s="2">
        <v>15503.88</v>
      </c>
      <c r="W82" s="2">
        <v>15503.88</v>
      </c>
      <c r="X82" s="2">
        <v>15503.88</v>
      </c>
      <c r="Y82" s="2">
        <v>15503.88</v>
      </c>
      <c r="Z82" s="2">
        <v>15503.88</v>
      </c>
      <c r="AA82" s="4">
        <v>15503.88</v>
      </c>
      <c r="AB82" s="126">
        <f t="shared" si="8"/>
        <v>372093.12000000005</v>
      </c>
      <c r="AC82" s="126">
        <v>20</v>
      </c>
      <c r="AD82" s="127">
        <f>(AB82*AC82)+(AB83*AC83)+(AB84*AC84)+(AB85*AC85)</f>
        <v>11534886.720000003</v>
      </c>
      <c r="AE82" s="136">
        <v>14320482.240000004</v>
      </c>
    </row>
    <row r="83" spans="2:31">
      <c r="B83" s="128"/>
      <c r="C83" s="129" t="s">
        <v>6</v>
      </c>
      <c r="D83" s="1">
        <v>15503.88</v>
      </c>
      <c r="E83" s="1">
        <v>15503.88</v>
      </c>
      <c r="F83" s="1">
        <v>15503.88</v>
      </c>
      <c r="G83" s="1">
        <v>15503.88</v>
      </c>
      <c r="H83" s="1">
        <v>15503.88</v>
      </c>
      <c r="I83" s="1">
        <v>15503.88</v>
      </c>
      <c r="J83" s="1">
        <v>15503.88</v>
      </c>
      <c r="K83" s="1">
        <v>15503.88</v>
      </c>
      <c r="L83" s="1">
        <v>15503.88</v>
      </c>
      <c r="M83" s="1">
        <v>15503.88</v>
      </c>
      <c r="N83" s="1">
        <v>15503.88</v>
      </c>
      <c r="O83" s="1">
        <v>15503.88</v>
      </c>
      <c r="P83" s="1">
        <v>15503.88</v>
      </c>
      <c r="Q83" s="1">
        <v>15503.88</v>
      </c>
      <c r="R83" s="1">
        <v>15503.88</v>
      </c>
      <c r="S83" s="1">
        <v>15503.88</v>
      </c>
      <c r="T83" s="1">
        <v>15503.88</v>
      </c>
      <c r="U83" s="1">
        <v>15503.88</v>
      </c>
      <c r="V83" s="1">
        <v>15503.88</v>
      </c>
      <c r="W83" s="1">
        <v>15503.88</v>
      </c>
      <c r="X83" s="1">
        <v>15503.88</v>
      </c>
      <c r="Y83" s="1">
        <v>15503.88</v>
      </c>
      <c r="Z83" s="1">
        <v>15503.88</v>
      </c>
      <c r="AA83" s="5">
        <v>15503.88</v>
      </c>
      <c r="AB83" s="130">
        <f t="shared" si="8"/>
        <v>372093.12000000005</v>
      </c>
      <c r="AC83" s="130">
        <v>5</v>
      </c>
      <c r="AD83" s="131"/>
      <c r="AE83" s="136">
        <v>13858531.200000005</v>
      </c>
    </row>
    <row r="84" spans="2:31">
      <c r="B84" s="128"/>
      <c r="C84" s="129" t="s">
        <v>7</v>
      </c>
      <c r="D84" s="1">
        <v>15503.88</v>
      </c>
      <c r="E84" s="1">
        <v>15503.88</v>
      </c>
      <c r="F84" s="1">
        <v>15503.88</v>
      </c>
      <c r="G84" s="1">
        <v>15503.88</v>
      </c>
      <c r="H84" s="1">
        <v>15503.88</v>
      </c>
      <c r="I84" s="1">
        <v>15503.88</v>
      </c>
      <c r="J84" s="1">
        <v>15503.88</v>
      </c>
      <c r="K84" s="1">
        <v>15503.88</v>
      </c>
      <c r="L84" s="1">
        <v>15503.88</v>
      </c>
      <c r="M84" s="1">
        <v>15503.88</v>
      </c>
      <c r="N84" s="1">
        <v>15503.88</v>
      </c>
      <c r="O84" s="1">
        <v>15503.88</v>
      </c>
      <c r="P84" s="1">
        <v>15503.88</v>
      </c>
      <c r="Q84" s="1">
        <v>15503.88</v>
      </c>
      <c r="R84" s="1">
        <v>15503.88</v>
      </c>
      <c r="S84" s="1">
        <v>15503.88</v>
      </c>
      <c r="T84" s="1">
        <v>15503.88</v>
      </c>
      <c r="U84" s="1">
        <v>15503.88</v>
      </c>
      <c r="V84" s="1">
        <v>15503.88</v>
      </c>
      <c r="W84" s="1">
        <v>15503.88</v>
      </c>
      <c r="X84" s="1">
        <v>15503.88</v>
      </c>
      <c r="Y84" s="1">
        <v>15503.88</v>
      </c>
      <c r="Z84" s="1">
        <v>15503.88</v>
      </c>
      <c r="AA84" s="5">
        <v>15503.88</v>
      </c>
      <c r="AB84" s="130">
        <f t="shared" si="8"/>
        <v>372093.12000000005</v>
      </c>
      <c r="AC84" s="130">
        <v>4</v>
      </c>
      <c r="AD84" s="131"/>
      <c r="AE84" s="136">
        <v>14320482.240000004</v>
      </c>
    </row>
    <row r="85" spans="2:31" ht="15" thickBot="1">
      <c r="B85" s="132"/>
      <c r="C85" s="133" t="s">
        <v>8</v>
      </c>
      <c r="D85" s="3">
        <v>15503.88</v>
      </c>
      <c r="E85" s="3">
        <v>15503.88</v>
      </c>
      <c r="F85" s="3">
        <v>15503.88</v>
      </c>
      <c r="G85" s="3">
        <v>15503.88</v>
      </c>
      <c r="H85" s="3">
        <v>15503.88</v>
      </c>
      <c r="I85" s="3">
        <v>15503.88</v>
      </c>
      <c r="J85" s="3">
        <v>15503.88</v>
      </c>
      <c r="K85" s="3">
        <v>15503.88</v>
      </c>
      <c r="L85" s="3">
        <v>15503.88</v>
      </c>
      <c r="M85" s="3">
        <v>15503.88</v>
      </c>
      <c r="N85" s="3">
        <v>15503.88</v>
      </c>
      <c r="O85" s="3">
        <v>15503.88</v>
      </c>
      <c r="P85" s="3">
        <v>15503.88</v>
      </c>
      <c r="Q85" s="3">
        <v>15503.88</v>
      </c>
      <c r="R85" s="3">
        <v>15503.88</v>
      </c>
      <c r="S85" s="3">
        <v>15503.88</v>
      </c>
      <c r="T85" s="3">
        <v>15503.88</v>
      </c>
      <c r="U85" s="3">
        <v>15503.88</v>
      </c>
      <c r="V85" s="3">
        <v>15503.88</v>
      </c>
      <c r="W85" s="3">
        <v>15503.88</v>
      </c>
      <c r="X85" s="3">
        <v>15503.88</v>
      </c>
      <c r="Y85" s="3">
        <v>15503.88</v>
      </c>
      <c r="Z85" s="3">
        <v>15503.88</v>
      </c>
      <c r="AA85" s="6">
        <v>15503.88</v>
      </c>
      <c r="AB85" s="134">
        <f t="shared" si="8"/>
        <v>372093.12000000005</v>
      </c>
      <c r="AC85" s="134">
        <v>2</v>
      </c>
      <c r="AD85" s="135"/>
      <c r="AE85" s="136">
        <v>14320482.240000004</v>
      </c>
    </row>
    <row r="86" spans="2:31">
      <c r="B86" s="124">
        <v>47727</v>
      </c>
      <c r="C86" s="125" t="s">
        <v>5</v>
      </c>
      <c r="D86" s="2">
        <v>15503.88</v>
      </c>
      <c r="E86" s="2">
        <v>15503.88</v>
      </c>
      <c r="F86" s="2">
        <v>15503.88</v>
      </c>
      <c r="G86" s="2">
        <v>15503.88</v>
      </c>
      <c r="H86" s="2">
        <v>15503.88</v>
      </c>
      <c r="I86" s="2">
        <v>15503.88</v>
      </c>
      <c r="J86" s="2">
        <v>15503.88</v>
      </c>
      <c r="K86" s="2">
        <v>15503.88</v>
      </c>
      <c r="L86" s="2">
        <v>15503.88</v>
      </c>
      <c r="M86" s="2">
        <v>15503.88</v>
      </c>
      <c r="N86" s="2">
        <v>15503.88</v>
      </c>
      <c r="O86" s="2">
        <v>15503.88</v>
      </c>
      <c r="P86" s="2">
        <v>15503.88</v>
      </c>
      <c r="Q86" s="2">
        <v>15503.88</v>
      </c>
      <c r="R86" s="2">
        <v>15503.88</v>
      </c>
      <c r="S86" s="2">
        <v>15503.88</v>
      </c>
      <c r="T86" s="2">
        <v>15503.88</v>
      </c>
      <c r="U86" s="2">
        <v>15503.88</v>
      </c>
      <c r="V86" s="2">
        <v>15503.88</v>
      </c>
      <c r="W86" s="2">
        <v>15503.88</v>
      </c>
      <c r="X86" s="2">
        <v>15503.88</v>
      </c>
      <c r="Y86" s="2">
        <v>15503.88</v>
      </c>
      <c r="Z86" s="2">
        <v>15503.88</v>
      </c>
      <c r="AA86" s="4">
        <v>15503.88</v>
      </c>
      <c r="AB86" s="126">
        <f t="shared" si="8"/>
        <v>372093.12000000005</v>
      </c>
      <c r="AC86" s="126">
        <v>21</v>
      </c>
      <c r="AD86" s="127">
        <f>(AB86*AC86)+(AB87*AC87)+(AB88*AC88)+(AB89*AC89)</f>
        <v>11162793.600000001</v>
      </c>
      <c r="AE86" s="136">
        <v>13858531.200000005</v>
      </c>
    </row>
    <row r="87" spans="2:31">
      <c r="B87" s="128"/>
      <c r="C87" s="129" t="s">
        <v>6</v>
      </c>
      <c r="D87" s="1">
        <v>15503.88</v>
      </c>
      <c r="E87" s="1">
        <v>15503.88</v>
      </c>
      <c r="F87" s="1">
        <v>15503.88</v>
      </c>
      <c r="G87" s="1">
        <v>15503.88</v>
      </c>
      <c r="H87" s="1">
        <v>15503.88</v>
      </c>
      <c r="I87" s="1">
        <v>15503.88</v>
      </c>
      <c r="J87" s="1">
        <v>15503.88</v>
      </c>
      <c r="K87" s="1">
        <v>15503.88</v>
      </c>
      <c r="L87" s="1">
        <v>15503.88</v>
      </c>
      <c r="M87" s="1">
        <v>15503.88</v>
      </c>
      <c r="N87" s="1">
        <v>15503.88</v>
      </c>
      <c r="O87" s="1">
        <v>15503.88</v>
      </c>
      <c r="P87" s="1">
        <v>15503.88</v>
      </c>
      <c r="Q87" s="1">
        <v>15503.88</v>
      </c>
      <c r="R87" s="1">
        <v>15503.88</v>
      </c>
      <c r="S87" s="1">
        <v>15503.88</v>
      </c>
      <c r="T87" s="1">
        <v>15503.88</v>
      </c>
      <c r="U87" s="1">
        <v>15503.88</v>
      </c>
      <c r="V87" s="1">
        <v>15503.88</v>
      </c>
      <c r="W87" s="1">
        <v>15503.88</v>
      </c>
      <c r="X87" s="1">
        <v>15503.88</v>
      </c>
      <c r="Y87" s="1">
        <v>15503.88</v>
      </c>
      <c r="Z87" s="1">
        <v>15503.88</v>
      </c>
      <c r="AA87" s="5">
        <v>15503.88</v>
      </c>
      <c r="AB87" s="130">
        <f t="shared" si="8"/>
        <v>372093.12000000005</v>
      </c>
      <c r="AC87" s="130">
        <v>4</v>
      </c>
      <c r="AD87" s="131"/>
      <c r="AE87" s="136">
        <v>14320482.240000004</v>
      </c>
    </row>
    <row r="88" spans="2:31">
      <c r="B88" s="128"/>
      <c r="C88" s="129" t="s">
        <v>7</v>
      </c>
      <c r="D88" s="1">
        <v>15503.88</v>
      </c>
      <c r="E88" s="1">
        <v>15503.88</v>
      </c>
      <c r="F88" s="1">
        <v>15503.88</v>
      </c>
      <c r="G88" s="1">
        <v>15503.88</v>
      </c>
      <c r="H88" s="1">
        <v>15503.88</v>
      </c>
      <c r="I88" s="1">
        <v>15503.88</v>
      </c>
      <c r="J88" s="1">
        <v>15503.88</v>
      </c>
      <c r="K88" s="1">
        <v>15503.88</v>
      </c>
      <c r="L88" s="1">
        <v>15503.88</v>
      </c>
      <c r="M88" s="1">
        <v>15503.88</v>
      </c>
      <c r="N88" s="1">
        <v>15503.88</v>
      </c>
      <c r="O88" s="1">
        <v>15503.88</v>
      </c>
      <c r="P88" s="1">
        <v>15503.88</v>
      </c>
      <c r="Q88" s="1">
        <v>15503.88</v>
      </c>
      <c r="R88" s="1">
        <v>15503.88</v>
      </c>
      <c r="S88" s="1">
        <v>15503.88</v>
      </c>
      <c r="T88" s="1">
        <v>15503.88</v>
      </c>
      <c r="U88" s="1">
        <v>15503.88</v>
      </c>
      <c r="V88" s="1">
        <v>15503.88</v>
      </c>
      <c r="W88" s="1">
        <v>15503.88</v>
      </c>
      <c r="X88" s="1">
        <v>15503.88</v>
      </c>
      <c r="Y88" s="1">
        <v>15503.88</v>
      </c>
      <c r="Z88" s="1">
        <v>15503.88</v>
      </c>
      <c r="AA88" s="5">
        <v>15503.88</v>
      </c>
      <c r="AB88" s="130">
        <f t="shared" si="8"/>
        <v>372093.12000000005</v>
      </c>
      <c r="AC88" s="130">
        <v>5</v>
      </c>
      <c r="AD88" s="131"/>
      <c r="AE88" s="136">
        <v>13858531.200000003</v>
      </c>
    </row>
    <row r="89" spans="2:31" ht="15" thickBot="1">
      <c r="B89" s="132"/>
      <c r="C89" s="133" t="s">
        <v>8</v>
      </c>
      <c r="D89" s="3">
        <v>15503.88</v>
      </c>
      <c r="E89" s="3">
        <v>15503.88</v>
      </c>
      <c r="F89" s="3">
        <v>15503.88</v>
      </c>
      <c r="G89" s="3">
        <v>15503.88</v>
      </c>
      <c r="H89" s="3">
        <v>15503.88</v>
      </c>
      <c r="I89" s="3">
        <v>15503.88</v>
      </c>
      <c r="J89" s="3">
        <v>15503.88</v>
      </c>
      <c r="K89" s="3">
        <v>15503.88</v>
      </c>
      <c r="L89" s="3">
        <v>15503.88</v>
      </c>
      <c r="M89" s="3">
        <v>15503.88</v>
      </c>
      <c r="N89" s="3">
        <v>15503.88</v>
      </c>
      <c r="O89" s="3">
        <v>15503.88</v>
      </c>
      <c r="P89" s="3">
        <v>15503.88</v>
      </c>
      <c r="Q89" s="3">
        <v>15503.88</v>
      </c>
      <c r="R89" s="3">
        <v>15503.88</v>
      </c>
      <c r="S89" s="3">
        <v>15503.88</v>
      </c>
      <c r="T89" s="3">
        <v>15503.88</v>
      </c>
      <c r="U89" s="3">
        <v>15503.88</v>
      </c>
      <c r="V89" s="3">
        <v>15503.88</v>
      </c>
      <c r="W89" s="3">
        <v>15503.88</v>
      </c>
      <c r="X89" s="3">
        <v>15503.88</v>
      </c>
      <c r="Y89" s="3">
        <v>15503.88</v>
      </c>
      <c r="Z89" s="3">
        <v>15503.88</v>
      </c>
      <c r="AA89" s="6">
        <v>15503.88</v>
      </c>
      <c r="AB89" s="134">
        <f t="shared" si="8"/>
        <v>372093.12000000005</v>
      </c>
      <c r="AC89" s="134">
        <v>0</v>
      </c>
      <c r="AD89" s="135"/>
      <c r="AE89" s="136">
        <v>14320482.240000004</v>
      </c>
    </row>
    <row r="90" spans="2:31">
      <c r="B90" s="124">
        <v>47757</v>
      </c>
      <c r="C90" s="125" t="s">
        <v>5</v>
      </c>
      <c r="D90" s="2">
        <v>15503.88</v>
      </c>
      <c r="E90" s="2">
        <v>15503.88</v>
      </c>
      <c r="F90" s="2">
        <v>15503.88</v>
      </c>
      <c r="G90" s="2">
        <v>15503.88</v>
      </c>
      <c r="H90" s="2">
        <v>15503.88</v>
      </c>
      <c r="I90" s="2">
        <v>15503.88</v>
      </c>
      <c r="J90" s="2">
        <v>15503.88</v>
      </c>
      <c r="K90" s="2">
        <v>15503.88</v>
      </c>
      <c r="L90" s="2">
        <v>15503.88</v>
      </c>
      <c r="M90" s="2">
        <v>15503.88</v>
      </c>
      <c r="N90" s="2">
        <v>15503.88</v>
      </c>
      <c r="O90" s="2">
        <v>15503.88</v>
      </c>
      <c r="P90" s="2">
        <v>15503.88</v>
      </c>
      <c r="Q90" s="2">
        <v>15503.88</v>
      </c>
      <c r="R90" s="2">
        <v>15503.88</v>
      </c>
      <c r="S90" s="2">
        <v>15503.88</v>
      </c>
      <c r="T90" s="2">
        <v>15503.88</v>
      </c>
      <c r="U90" s="2">
        <v>15503.88</v>
      </c>
      <c r="V90" s="2">
        <v>15503.88</v>
      </c>
      <c r="W90" s="2">
        <v>15503.88</v>
      </c>
      <c r="X90" s="2">
        <v>15503.88</v>
      </c>
      <c r="Y90" s="2">
        <v>15503.88</v>
      </c>
      <c r="Z90" s="2">
        <v>15503.88</v>
      </c>
      <c r="AA90" s="4">
        <v>15503.88</v>
      </c>
      <c r="AB90" s="126">
        <f t="shared" si="8"/>
        <v>372093.12000000005</v>
      </c>
      <c r="AC90" s="126">
        <v>22</v>
      </c>
      <c r="AD90" s="127">
        <f>(AB90*AC90)+(AB91*AC91)+(AB92*AC92)+(AB93*AC93)</f>
        <v>11534886.720000001</v>
      </c>
      <c r="AE90" s="136">
        <v>14567162.880000005</v>
      </c>
    </row>
    <row r="91" spans="2:31">
      <c r="B91" s="128"/>
      <c r="C91" s="129" t="s">
        <v>6</v>
      </c>
      <c r="D91" s="1">
        <v>15503.88</v>
      </c>
      <c r="E91" s="1">
        <v>15503.88</v>
      </c>
      <c r="F91" s="1">
        <v>15503.88</v>
      </c>
      <c r="G91" s="1">
        <v>15503.88</v>
      </c>
      <c r="H91" s="1">
        <v>15503.88</v>
      </c>
      <c r="I91" s="1">
        <v>15503.88</v>
      </c>
      <c r="J91" s="1">
        <v>15503.88</v>
      </c>
      <c r="K91" s="1">
        <v>15503.88</v>
      </c>
      <c r="L91" s="1">
        <v>15503.88</v>
      </c>
      <c r="M91" s="1">
        <v>15503.88</v>
      </c>
      <c r="N91" s="1">
        <v>15503.88</v>
      </c>
      <c r="O91" s="1">
        <v>15503.88</v>
      </c>
      <c r="P91" s="1">
        <v>15503.88</v>
      </c>
      <c r="Q91" s="1">
        <v>15503.88</v>
      </c>
      <c r="R91" s="1">
        <v>15503.88</v>
      </c>
      <c r="S91" s="1">
        <v>15503.88</v>
      </c>
      <c r="T91" s="1">
        <v>15503.88</v>
      </c>
      <c r="U91" s="1">
        <v>15503.88</v>
      </c>
      <c r="V91" s="1">
        <v>15503.88</v>
      </c>
      <c r="W91" s="1">
        <v>15503.88</v>
      </c>
      <c r="X91" s="1">
        <v>15503.88</v>
      </c>
      <c r="Y91" s="1">
        <v>15503.88</v>
      </c>
      <c r="Z91" s="1">
        <v>15503.88</v>
      </c>
      <c r="AA91" s="5">
        <v>15503.88</v>
      </c>
      <c r="AB91" s="130">
        <f t="shared" si="8"/>
        <v>372093.12000000005</v>
      </c>
      <c r="AC91" s="130">
        <v>4</v>
      </c>
      <c r="AD91" s="131"/>
      <c r="AE91" s="136">
        <v>13627345.920000004</v>
      </c>
    </row>
    <row r="92" spans="2:31">
      <c r="B92" s="128"/>
      <c r="C92" s="129" t="s">
        <v>7</v>
      </c>
      <c r="D92" s="1">
        <v>15503.88</v>
      </c>
      <c r="E92" s="1">
        <v>15503.88</v>
      </c>
      <c r="F92" s="1">
        <v>15503.88</v>
      </c>
      <c r="G92" s="1">
        <v>15503.88</v>
      </c>
      <c r="H92" s="1">
        <v>15503.88</v>
      </c>
      <c r="I92" s="1">
        <v>15503.88</v>
      </c>
      <c r="J92" s="1">
        <v>15503.88</v>
      </c>
      <c r="K92" s="1">
        <v>15503.88</v>
      </c>
      <c r="L92" s="1">
        <v>15503.88</v>
      </c>
      <c r="M92" s="1">
        <v>15503.88</v>
      </c>
      <c r="N92" s="1">
        <v>15503.88</v>
      </c>
      <c r="O92" s="1">
        <v>15503.88</v>
      </c>
      <c r="P92" s="1">
        <v>15503.88</v>
      </c>
      <c r="Q92" s="1">
        <v>15503.88</v>
      </c>
      <c r="R92" s="1">
        <v>15503.88</v>
      </c>
      <c r="S92" s="1">
        <v>15503.88</v>
      </c>
      <c r="T92" s="1">
        <v>15503.88</v>
      </c>
      <c r="U92" s="1">
        <v>15503.88</v>
      </c>
      <c r="V92" s="1">
        <v>15503.88</v>
      </c>
      <c r="W92" s="1">
        <v>15503.88</v>
      </c>
      <c r="X92" s="1">
        <v>15503.88</v>
      </c>
      <c r="Y92" s="1">
        <v>15503.88</v>
      </c>
      <c r="Z92" s="1">
        <v>15503.88</v>
      </c>
      <c r="AA92" s="5">
        <v>15503.88</v>
      </c>
      <c r="AB92" s="130">
        <f t="shared" si="8"/>
        <v>372093.12000000005</v>
      </c>
      <c r="AC92" s="130">
        <v>4</v>
      </c>
      <c r="AD92" s="131"/>
      <c r="AE92" s="136">
        <v>14567162.880000005</v>
      </c>
    </row>
    <row r="93" spans="2:31" ht="15" thickBot="1">
      <c r="B93" s="132"/>
      <c r="C93" s="133" t="s">
        <v>8</v>
      </c>
      <c r="D93" s="3">
        <v>15503.88</v>
      </c>
      <c r="E93" s="3">
        <v>15503.88</v>
      </c>
      <c r="F93" s="3">
        <v>15503.88</v>
      </c>
      <c r="G93" s="3">
        <v>15503.88</v>
      </c>
      <c r="H93" s="3">
        <v>15503.88</v>
      </c>
      <c r="I93" s="3">
        <v>15503.88</v>
      </c>
      <c r="J93" s="3">
        <v>15503.88</v>
      </c>
      <c r="K93" s="3">
        <v>15503.88</v>
      </c>
      <c r="L93" s="3">
        <v>15503.88</v>
      </c>
      <c r="M93" s="3">
        <v>15503.88</v>
      </c>
      <c r="N93" s="3">
        <v>15503.88</v>
      </c>
      <c r="O93" s="3">
        <v>15503.88</v>
      </c>
      <c r="P93" s="3">
        <v>15503.88</v>
      </c>
      <c r="Q93" s="3">
        <v>15503.88</v>
      </c>
      <c r="R93" s="3">
        <v>15503.88</v>
      </c>
      <c r="S93" s="3">
        <v>15503.88</v>
      </c>
      <c r="T93" s="3">
        <v>15503.88</v>
      </c>
      <c r="U93" s="3">
        <v>15503.88</v>
      </c>
      <c r="V93" s="3">
        <v>15503.88</v>
      </c>
      <c r="W93" s="3">
        <v>15503.88</v>
      </c>
      <c r="X93" s="3">
        <v>15503.88</v>
      </c>
      <c r="Y93" s="3">
        <v>15503.88</v>
      </c>
      <c r="Z93" s="3">
        <v>15503.88</v>
      </c>
      <c r="AA93" s="6">
        <v>15503.88</v>
      </c>
      <c r="AB93" s="134">
        <f t="shared" si="8"/>
        <v>372093.12000000005</v>
      </c>
      <c r="AC93" s="134">
        <v>1</v>
      </c>
      <c r="AD93" s="135"/>
      <c r="AE93" s="136">
        <v>14097254.400000004</v>
      </c>
    </row>
    <row r="94" spans="2:31">
      <c r="B94" s="124">
        <v>47788</v>
      </c>
      <c r="C94" s="125" t="s">
        <v>5</v>
      </c>
      <c r="D94" s="2">
        <v>15503.88</v>
      </c>
      <c r="E94" s="2">
        <v>15503.88</v>
      </c>
      <c r="F94" s="2">
        <v>15503.88</v>
      </c>
      <c r="G94" s="2">
        <v>15503.88</v>
      </c>
      <c r="H94" s="2">
        <v>15503.88</v>
      </c>
      <c r="I94" s="2">
        <v>15503.88</v>
      </c>
      <c r="J94" s="2">
        <v>15503.88</v>
      </c>
      <c r="K94" s="2">
        <v>15503.88</v>
      </c>
      <c r="L94" s="2">
        <v>15503.88</v>
      </c>
      <c r="M94" s="2">
        <v>15503.88</v>
      </c>
      <c r="N94" s="2">
        <v>15503.88</v>
      </c>
      <c r="O94" s="2">
        <v>15503.88</v>
      </c>
      <c r="P94" s="2">
        <v>15503.88</v>
      </c>
      <c r="Q94" s="2">
        <v>15503.88</v>
      </c>
      <c r="R94" s="2">
        <v>15503.88</v>
      </c>
      <c r="S94" s="2">
        <v>15503.88</v>
      </c>
      <c r="T94" s="2">
        <v>15503.88</v>
      </c>
      <c r="U94" s="2">
        <v>15503.88</v>
      </c>
      <c r="V94" s="2">
        <v>15503.88</v>
      </c>
      <c r="W94" s="2">
        <v>15503.88</v>
      </c>
      <c r="X94" s="2">
        <v>15503.88</v>
      </c>
      <c r="Y94" s="2">
        <v>15503.88</v>
      </c>
      <c r="Z94" s="2">
        <v>15503.88</v>
      </c>
      <c r="AA94" s="4">
        <v>15503.88</v>
      </c>
      <c r="AB94" s="126">
        <f t="shared" si="8"/>
        <v>372093.12000000005</v>
      </c>
      <c r="AC94" s="126">
        <v>19</v>
      </c>
      <c r="AD94" s="127">
        <f>(AB94*AC94)+(AB95*AC95)+(AB96*AC96)+(AB97*AC97)</f>
        <v>11162793.600000001</v>
      </c>
      <c r="AE94" s="136">
        <v>14567162.880000005</v>
      </c>
    </row>
    <row r="95" spans="2:31">
      <c r="B95" s="128"/>
      <c r="C95" s="129" t="s">
        <v>6</v>
      </c>
      <c r="D95" s="1">
        <v>15503.88</v>
      </c>
      <c r="E95" s="1">
        <v>15503.88</v>
      </c>
      <c r="F95" s="1">
        <v>15503.88</v>
      </c>
      <c r="G95" s="1">
        <v>15503.88</v>
      </c>
      <c r="H95" s="1">
        <v>15503.88</v>
      </c>
      <c r="I95" s="1">
        <v>15503.88</v>
      </c>
      <c r="J95" s="1">
        <v>15503.88</v>
      </c>
      <c r="K95" s="1">
        <v>15503.88</v>
      </c>
      <c r="L95" s="1">
        <v>15503.88</v>
      </c>
      <c r="M95" s="1">
        <v>15503.88</v>
      </c>
      <c r="N95" s="1">
        <v>15503.88</v>
      </c>
      <c r="O95" s="1">
        <v>15503.88</v>
      </c>
      <c r="P95" s="1">
        <v>15503.88</v>
      </c>
      <c r="Q95" s="1">
        <v>15503.88</v>
      </c>
      <c r="R95" s="1">
        <v>15503.88</v>
      </c>
      <c r="S95" s="1">
        <v>15503.88</v>
      </c>
      <c r="T95" s="1">
        <v>15503.88</v>
      </c>
      <c r="U95" s="1">
        <v>15503.88</v>
      </c>
      <c r="V95" s="1">
        <v>15503.88</v>
      </c>
      <c r="W95" s="1">
        <v>15503.88</v>
      </c>
      <c r="X95" s="1">
        <v>15503.88</v>
      </c>
      <c r="Y95" s="1">
        <v>15503.88</v>
      </c>
      <c r="Z95" s="1">
        <v>15503.88</v>
      </c>
      <c r="AA95" s="5">
        <v>15503.88</v>
      </c>
      <c r="AB95" s="130">
        <f t="shared" si="8"/>
        <v>372093.12000000005</v>
      </c>
      <c r="AC95" s="130">
        <v>5</v>
      </c>
      <c r="AD95" s="131"/>
      <c r="AE95" s="136">
        <v>14097254.400000002</v>
      </c>
    </row>
    <row r="96" spans="2:31">
      <c r="B96" s="128"/>
      <c r="C96" s="129" t="s">
        <v>7</v>
      </c>
      <c r="D96" s="1">
        <v>15503.88</v>
      </c>
      <c r="E96" s="1">
        <v>15503.88</v>
      </c>
      <c r="F96" s="1">
        <v>15503.88</v>
      </c>
      <c r="G96" s="1">
        <v>15503.88</v>
      </c>
      <c r="H96" s="1">
        <v>15503.88</v>
      </c>
      <c r="I96" s="1">
        <v>15503.88</v>
      </c>
      <c r="J96" s="1">
        <v>15503.88</v>
      </c>
      <c r="K96" s="1">
        <v>15503.88</v>
      </c>
      <c r="L96" s="1">
        <v>15503.88</v>
      </c>
      <c r="M96" s="1">
        <v>15503.88</v>
      </c>
      <c r="N96" s="1">
        <v>15503.88</v>
      </c>
      <c r="O96" s="1">
        <v>15503.88</v>
      </c>
      <c r="P96" s="1">
        <v>15503.88</v>
      </c>
      <c r="Q96" s="1">
        <v>15503.88</v>
      </c>
      <c r="R96" s="1">
        <v>15503.88</v>
      </c>
      <c r="S96" s="1">
        <v>15503.88</v>
      </c>
      <c r="T96" s="1">
        <v>15503.88</v>
      </c>
      <c r="U96" s="1">
        <v>15503.88</v>
      </c>
      <c r="V96" s="1">
        <v>15503.88</v>
      </c>
      <c r="W96" s="1">
        <v>15503.88</v>
      </c>
      <c r="X96" s="1">
        <v>15503.88</v>
      </c>
      <c r="Y96" s="1">
        <v>15503.88</v>
      </c>
      <c r="Z96" s="1">
        <v>15503.88</v>
      </c>
      <c r="AA96" s="5">
        <v>15503.88</v>
      </c>
      <c r="AB96" s="130">
        <f t="shared" si="8"/>
        <v>372093.12000000005</v>
      </c>
      <c r="AC96" s="130">
        <v>4</v>
      </c>
      <c r="AD96" s="131"/>
      <c r="AE96" s="136">
        <v>14567162.880000003</v>
      </c>
    </row>
    <row r="97" spans="2:31" ht="15" thickBot="1">
      <c r="B97" s="132"/>
      <c r="C97" s="133" t="s">
        <v>8</v>
      </c>
      <c r="D97" s="3">
        <v>15503.88</v>
      </c>
      <c r="E97" s="3">
        <v>15503.88</v>
      </c>
      <c r="F97" s="3">
        <v>15503.88</v>
      </c>
      <c r="G97" s="3">
        <v>15503.88</v>
      </c>
      <c r="H97" s="3">
        <v>15503.88</v>
      </c>
      <c r="I97" s="3">
        <v>15503.88</v>
      </c>
      <c r="J97" s="3">
        <v>15503.88</v>
      </c>
      <c r="K97" s="3">
        <v>15503.88</v>
      </c>
      <c r="L97" s="3">
        <v>15503.88</v>
      </c>
      <c r="M97" s="3">
        <v>15503.88</v>
      </c>
      <c r="N97" s="3">
        <v>15503.88</v>
      </c>
      <c r="O97" s="3">
        <v>15503.88</v>
      </c>
      <c r="P97" s="3">
        <v>15503.88</v>
      </c>
      <c r="Q97" s="3">
        <v>15503.88</v>
      </c>
      <c r="R97" s="3">
        <v>15503.88</v>
      </c>
      <c r="S97" s="3">
        <v>15503.88</v>
      </c>
      <c r="T97" s="3">
        <v>15503.88</v>
      </c>
      <c r="U97" s="3">
        <v>15503.88</v>
      </c>
      <c r="V97" s="3">
        <v>15503.88</v>
      </c>
      <c r="W97" s="3">
        <v>15503.88</v>
      </c>
      <c r="X97" s="3">
        <v>15503.88</v>
      </c>
      <c r="Y97" s="3">
        <v>15503.88</v>
      </c>
      <c r="Z97" s="3">
        <v>15503.88</v>
      </c>
      <c r="AA97" s="6">
        <v>15503.88</v>
      </c>
      <c r="AB97" s="134">
        <f t="shared" si="8"/>
        <v>372093.12000000005</v>
      </c>
      <c r="AC97" s="134">
        <v>2</v>
      </c>
      <c r="AD97" s="135"/>
      <c r="AE97" s="136">
        <v>14567162.880000005</v>
      </c>
    </row>
    <row r="98" spans="2:31">
      <c r="B98" s="124">
        <v>47818</v>
      </c>
      <c r="C98" s="125" t="s">
        <v>5</v>
      </c>
      <c r="D98" s="2">
        <v>15503.88</v>
      </c>
      <c r="E98" s="2">
        <v>15503.88</v>
      </c>
      <c r="F98" s="2">
        <v>15503.88</v>
      </c>
      <c r="G98" s="2">
        <v>15503.88</v>
      </c>
      <c r="H98" s="2">
        <v>15503.88</v>
      </c>
      <c r="I98" s="2">
        <v>15503.88</v>
      </c>
      <c r="J98" s="2">
        <v>15503.88</v>
      </c>
      <c r="K98" s="2">
        <v>15503.88</v>
      </c>
      <c r="L98" s="2">
        <v>15503.88</v>
      </c>
      <c r="M98" s="2">
        <v>15503.88</v>
      </c>
      <c r="N98" s="2">
        <v>15503.88</v>
      </c>
      <c r="O98" s="2">
        <v>15503.88</v>
      </c>
      <c r="P98" s="2">
        <v>15503.88</v>
      </c>
      <c r="Q98" s="2">
        <v>15503.88</v>
      </c>
      <c r="R98" s="2">
        <v>15503.88</v>
      </c>
      <c r="S98" s="2">
        <v>15503.88</v>
      </c>
      <c r="T98" s="2">
        <v>15503.88</v>
      </c>
      <c r="U98" s="2">
        <v>15503.88</v>
      </c>
      <c r="V98" s="2">
        <v>15503.88</v>
      </c>
      <c r="W98" s="2">
        <v>15503.88</v>
      </c>
      <c r="X98" s="2">
        <v>15503.88</v>
      </c>
      <c r="Y98" s="2">
        <v>15503.88</v>
      </c>
      <c r="Z98" s="2">
        <v>15503.88</v>
      </c>
      <c r="AA98" s="4">
        <v>15503.88</v>
      </c>
      <c r="AB98" s="126">
        <f t="shared" si="8"/>
        <v>372093.12000000005</v>
      </c>
      <c r="AC98" s="126">
        <v>21</v>
      </c>
      <c r="AD98" s="127">
        <f>(AB98*AC98)+(AB99*AC99)+(AB100*AC100)+(AB101*AC101)</f>
        <v>11534886.720000003</v>
      </c>
      <c r="AE98" s="136">
        <v>14097254.400000004</v>
      </c>
    </row>
    <row r="99" spans="2:31">
      <c r="B99" s="128"/>
      <c r="C99" s="129" t="s">
        <v>6</v>
      </c>
      <c r="D99" s="1">
        <v>15503.88</v>
      </c>
      <c r="E99" s="1">
        <v>15503.88</v>
      </c>
      <c r="F99" s="1">
        <v>15503.88</v>
      </c>
      <c r="G99" s="1">
        <v>15503.88</v>
      </c>
      <c r="H99" s="1">
        <v>15503.88</v>
      </c>
      <c r="I99" s="1">
        <v>15503.88</v>
      </c>
      <c r="J99" s="1">
        <v>15503.88</v>
      </c>
      <c r="K99" s="1">
        <v>15503.88</v>
      </c>
      <c r="L99" s="1">
        <v>15503.88</v>
      </c>
      <c r="M99" s="1">
        <v>15503.88</v>
      </c>
      <c r="N99" s="1">
        <v>15503.88</v>
      </c>
      <c r="O99" s="1">
        <v>15503.88</v>
      </c>
      <c r="P99" s="1">
        <v>15503.88</v>
      </c>
      <c r="Q99" s="1">
        <v>15503.88</v>
      </c>
      <c r="R99" s="1">
        <v>15503.88</v>
      </c>
      <c r="S99" s="1">
        <v>15503.88</v>
      </c>
      <c r="T99" s="1">
        <v>15503.88</v>
      </c>
      <c r="U99" s="1">
        <v>15503.88</v>
      </c>
      <c r="V99" s="1">
        <v>15503.88</v>
      </c>
      <c r="W99" s="1">
        <v>15503.88</v>
      </c>
      <c r="X99" s="1">
        <v>15503.88</v>
      </c>
      <c r="Y99" s="1">
        <v>15503.88</v>
      </c>
      <c r="Z99" s="1">
        <v>15503.88</v>
      </c>
      <c r="AA99" s="5">
        <v>15503.88</v>
      </c>
      <c r="AB99" s="130">
        <f t="shared" si="8"/>
        <v>372093.12000000005</v>
      </c>
      <c r="AC99" s="130">
        <v>4</v>
      </c>
      <c r="AD99" s="131"/>
      <c r="AE99" s="136">
        <v>14567162.880000005</v>
      </c>
    </row>
    <row r="100" spans="2:31">
      <c r="B100" s="128"/>
      <c r="C100" s="129" t="s">
        <v>7</v>
      </c>
      <c r="D100" s="1">
        <v>15503.88</v>
      </c>
      <c r="E100" s="1">
        <v>15503.88</v>
      </c>
      <c r="F100" s="1">
        <v>15503.88</v>
      </c>
      <c r="G100" s="1">
        <v>15503.88</v>
      </c>
      <c r="H100" s="1">
        <v>15503.88</v>
      </c>
      <c r="I100" s="1">
        <v>15503.88</v>
      </c>
      <c r="J100" s="1">
        <v>15503.88</v>
      </c>
      <c r="K100" s="1">
        <v>15503.88</v>
      </c>
      <c r="L100" s="1">
        <v>15503.88</v>
      </c>
      <c r="M100" s="1">
        <v>15503.88</v>
      </c>
      <c r="N100" s="1">
        <v>15503.88</v>
      </c>
      <c r="O100" s="1">
        <v>15503.88</v>
      </c>
      <c r="P100" s="1">
        <v>15503.88</v>
      </c>
      <c r="Q100" s="1">
        <v>15503.88</v>
      </c>
      <c r="R100" s="1">
        <v>15503.88</v>
      </c>
      <c r="S100" s="1">
        <v>15503.88</v>
      </c>
      <c r="T100" s="1">
        <v>15503.88</v>
      </c>
      <c r="U100" s="1">
        <v>15503.88</v>
      </c>
      <c r="V100" s="1">
        <v>15503.88</v>
      </c>
      <c r="W100" s="1">
        <v>15503.88</v>
      </c>
      <c r="X100" s="1">
        <v>15503.88</v>
      </c>
      <c r="Y100" s="1">
        <v>15503.88</v>
      </c>
      <c r="Z100" s="1">
        <v>15503.88</v>
      </c>
      <c r="AA100" s="5">
        <v>15503.88</v>
      </c>
      <c r="AB100" s="130">
        <f t="shared" si="8"/>
        <v>372093.12000000005</v>
      </c>
      <c r="AC100" s="130">
        <v>4</v>
      </c>
      <c r="AD100" s="131"/>
      <c r="AE100" s="136">
        <v>14097254.400000004</v>
      </c>
    </row>
    <row r="101" spans="2:31" ht="15" thickBot="1">
      <c r="B101" s="132"/>
      <c r="C101" s="133" t="s">
        <v>8</v>
      </c>
      <c r="D101" s="3">
        <v>15503.88</v>
      </c>
      <c r="E101" s="3">
        <v>15503.88</v>
      </c>
      <c r="F101" s="3">
        <v>15503.88</v>
      </c>
      <c r="G101" s="3">
        <v>15503.88</v>
      </c>
      <c r="H101" s="3">
        <v>15503.88</v>
      </c>
      <c r="I101" s="3">
        <v>15503.88</v>
      </c>
      <c r="J101" s="3">
        <v>15503.88</v>
      </c>
      <c r="K101" s="3">
        <v>15503.88</v>
      </c>
      <c r="L101" s="3">
        <v>15503.88</v>
      </c>
      <c r="M101" s="3">
        <v>15503.88</v>
      </c>
      <c r="N101" s="3">
        <v>15503.88</v>
      </c>
      <c r="O101" s="3">
        <v>15503.88</v>
      </c>
      <c r="P101" s="3">
        <v>15503.88</v>
      </c>
      <c r="Q101" s="3">
        <v>15503.88</v>
      </c>
      <c r="R101" s="3">
        <v>15503.88</v>
      </c>
      <c r="S101" s="3">
        <v>15503.88</v>
      </c>
      <c r="T101" s="3">
        <v>15503.88</v>
      </c>
      <c r="U101" s="3">
        <v>15503.88</v>
      </c>
      <c r="V101" s="3">
        <v>15503.88</v>
      </c>
      <c r="W101" s="3">
        <v>15503.88</v>
      </c>
      <c r="X101" s="3">
        <v>15503.88</v>
      </c>
      <c r="Y101" s="3">
        <v>15503.88</v>
      </c>
      <c r="Z101" s="3">
        <v>15503.88</v>
      </c>
      <c r="AA101" s="6">
        <v>15503.88</v>
      </c>
      <c r="AB101" s="134">
        <f t="shared" si="8"/>
        <v>372093.12000000005</v>
      </c>
      <c r="AC101" s="134">
        <v>2</v>
      </c>
      <c r="AD101" s="135"/>
      <c r="AE101" s="136">
        <v>14567162.880000005</v>
      </c>
    </row>
    <row r="102" spans="2:31">
      <c r="B102" s="124">
        <v>47849</v>
      </c>
      <c r="C102" s="125" t="s">
        <v>5</v>
      </c>
      <c r="D102" s="2">
        <v>17781.21</v>
      </c>
      <c r="E102" s="2">
        <v>17781.21</v>
      </c>
      <c r="F102" s="2">
        <v>17781.21</v>
      </c>
      <c r="G102" s="2">
        <v>17781.21</v>
      </c>
      <c r="H102" s="2">
        <v>17781.21</v>
      </c>
      <c r="I102" s="2">
        <v>17781.21</v>
      </c>
      <c r="J102" s="2">
        <v>17781.21</v>
      </c>
      <c r="K102" s="2">
        <v>17781.21</v>
      </c>
      <c r="L102" s="2">
        <v>17781.21</v>
      </c>
      <c r="M102" s="2">
        <v>17781.21</v>
      </c>
      <c r="N102" s="2">
        <v>17781.21</v>
      </c>
      <c r="O102" s="2">
        <v>17781.21</v>
      </c>
      <c r="P102" s="2">
        <v>17781.21</v>
      </c>
      <c r="Q102" s="2">
        <v>17781.21</v>
      </c>
      <c r="R102" s="2">
        <v>17781.21</v>
      </c>
      <c r="S102" s="2">
        <v>17781.21</v>
      </c>
      <c r="T102" s="2">
        <v>17781.21</v>
      </c>
      <c r="U102" s="2">
        <v>17781.21</v>
      </c>
      <c r="V102" s="2">
        <v>17781.21</v>
      </c>
      <c r="W102" s="2">
        <v>17781.21</v>
      </c>
      <c r="X102" s="2">
        <v>17781.21</v>
      </c>
      <c r="Y102" s="2">
        <v>17781.21</v>
      </c>
      <c r="Z102" s="2">
        <v>17781.21</v>
      </c>
      <c r="AA102" s="4">
        <v>17781.21</v>
      </c>
      <c r="AB102" s="126">
        <f t="shared" ref="AB102:AB149" si="11">(SUM(D102:AA102))</f>
        <v>426749.0400000001</v>
      </c>
      <c r="AC102" s="126">
        <v>21</v>
      </c>
      <c r="AD102" s="127">
        <f>(AB102*AC102)+(AB103*AC103)+(AB104*AC104)+(AB105*AC105)</f>
        <v>13229220.240000002</v>
      </c>
      <c r="AE102" s="52"/>
    </row>
    <row r="103" spans="2:31">
      <c r="B103" s="128"/>
      <c r="C103" s="129" t="s">
        <v>6</v>
      </c>
      <c r="D103" s="1">
        <v>17781.21</v>
      </c>
      <c r="E103" s="1">
        <v>17781.21</v>
      </c>
      <c r="F103" s="1">
        <v>17781.21</v>
      </c>
      <c r="G103" s="1">
        <v>17781.21</v>
      </c>
      <c r="H103" s="1">
        <v>17781.21</v>
      </c>
      <c r="I103" s="1">
        <v>17781.21</v>
      </c>
      <c r="J103" s="1">
        <v>17781.21</v>
      </c>
      <c r="K103" s="1">
        <v>17781.21</v>
      </c>
      <c r="L103" s="1">
        <v>17781.21</v>
      </c>
      <c r="M103" s="1">
        <v>17781.21</v>
      </c>
      <c r="N103" s="1">
        <v>17781.21</v>
      </c>
      <c r="O103" s="1">
        <v>17781.21</v>
      </c>
      <c r="P103" s="1">
        <v>17781.21</v>
      </c>
      <c r="Q103" s="1">
        <v>17781.21</v>
      </c>
      <c r="R103" s="1">
        <v>17781.21</v>
      </c>
      <c r="S103" s="1">
        <v>17781.21</v>
      </c>
      <c r="T103" s="1">
        <v>17781.21</v>
      </c>
      <c r="U103" s="1">
        <v>17781.21</v>
      </c>
      <c r="V103" s="1">
        <v>17781.21</v>
      </c>
      <c r="W103" s="1">
        <v>17781.21</v>
      </c>
      <c r="X103" s="1">
        <v>17781.21</v>
      </c>
      <c r="Y103" s="1">
        <v>17781.21</v>
      </c>
      <c r="Z103" s="1">
        <v>17781.21</v>
      </c>
      <c r="AA103" s="5">
        <v>17781.21</v>
      </c>
      <c r="AB103" s="130">
        <f t="shared" si="11"/>
        <v>426749.0400000001</v>
      </c>
      <c r="AC103" s="130">
        <v>4</v>
      </c>
      <c r="AD103" s="131"/>
    </row>
    <row r="104" spans="2:31">
      <c r="B104" s="128"/>
      <c r="C104" s="129" t="s">
        <v>7</v>
      </c>
      <c r="D104" s="1">
        <v>17781.21</v>
      </c>
      <c r="E104" s="1">
        <v>17781.21</v>
      </c>
      <c r="F104" s="1">
        <v>17781.21</v>
      </c>
      <c r="G104" s="1">
        <v>17781.21</v>
      </c>
      <c r="H104" s="1">
        <v>17781.21</v>
      </c>
      <c r="I104" s="1">
        <v>17781.21</v>
      </c>
      <c r="J104" s="1">
        <v>17781.21</v>
      </c>
      <c r="K104" s="1">
        <v>17781.21</v>
      </c>
      <c r="L104" s="1">
        <v>17781.21</v>
      </c>
      <c r="M104" s="1">
        <v>17781.21</v>
      </c>
      <c r="N104" s="1">
        <v>17781.21</v>
      </c>
      <c r="O104" s="1">
        <v>17781.21</v>
      </c>
      <c r="P104" s="1">
        <v>17781.21</v>
      </c>
      <c r="Q104" s="1">
        <v>17781.21</v>
      </c>
      <c r="R104" s="1">
        <v>17781.21</v>
      </c>
      <c r="S104" s="1">
        <v>17781.21</v>
      </c>
      <c r="T104" s="1">
        <v>17781.21</v>
      </c>
      <c r="U104" s="1">
        <v>17781.21</v>
      </c>
      <c r="V104" s="1">
        <v>17781.21</v>
      </c>
      <c r="W104" s="1">
        <v>17781.21</v>
      </c>
      <c r="X104" s="1">
        <v>17781.21</v>
      </c>
      <c r="Y104" s="1">
        <v>17781.21</v>
      </c>
      <c r="Z104" s="1">
        <v>17781.21</v>
      </c>
      <c r="AA104" s="5">
        <v>17781.21</v>
      </c>
      <c r="AB104" s="130">
        <f t="shared" si="11"/>
        <v>426749.0400000001</v>
      </c>
      <c r="AC104" s="130">
        <v>4</v>
      </c>
      <c r="AD104" s="131"/>
    </row>
    <row r="105" spans="2:31" ht="15" thickBot="1">
      <c r="B105" s="132"/>
      <c r="C105" s="133" t="s">
        <v>8</v>
      </c>
      <c r="D105" s="3">
        <v>17781.21</v>
      </c>
      <c r="E105" s="3">
        <v>17781.21</v>
      </c>
      <c r="F105" s="3">
        <v>17781.21</v>
      </c>
      <c r="G105" s="3">
        <v>17781.21</v>
      </c>
      <c r="H105" s="3">
        <v>17781.21</v>
      </c>
      <c r="I105" s="3">
        <v>17781.21</v>
      </c>
      <c r="J105" s="3">
        <v>17781.21</v>
      </c>
      <c r="K105" s="3">
        <v>17781.21</v>
      </c>
      <c r="L105" s="3">
        <v>17781.21</v>
      </c>
      <c r="M105" s="3">
        <v>17781.21</v>
      </c>
      <c r="N105" s="3">
        <v>17781.21</v>
      </c>
      <c r="O105" s="3">
        <v>17781.21</v>
      </c>
      <c r="P105" s="3">
        <v>17781.21</v>
      </c>
      <c r="Q105" s="3">
        <v>17781.21</v>
      </c>
      <c r="R105" s="3">
        <v>17781.21</v>
      </c>
      <c r="S105" s="3">
        <v>17781.21</v>
      </c>
      <c r="T105" s="3">
        <v>17781.21</v>
      </c>
      <c r="U105" s="3">
        <v>17781.21</v>
      </c>
      <c r="V105" s="3">
        <v>17781.21</v>
      </c>
      <c r="W105" s="3">
        <v>17781.21</v>
      </c>
      <c r="X105" s="3">
        <v>17781.21</v>
      </c>
      <c r="Y105" s="3">
        <v>17781.21</v>
      </c>
      <c r="Z105" s="3">
        <v>17781.21</v>
      </c>
      <c r="AA105" s="6">
        <v>17781.21</v>
      </c>
      <c r="AB105" s="134">
        <f t="shared" si="11"/>
        <v>426749.0400000001</v>
      </c>
      <c r="AC105" s="134">
        <v>2</v>
      </c>
      <c r="AD105" s="135"/>
    </row>
    <row r="106" spans="2:31">
      <c r="B106" s="124">
        <v>47880</v>
      </c>
      <c r="C106" s="125" t="s">
        <v>5</v>
      </c>
      <c r="D106" s="2">
        <v>17781.21</v>
      </c>
      <c r="E106" s="2">
        <v>17781.21</v>
      </c>
      <c r="F106" s="2">
        <v>17781.21</v>
      </c>
      <c r="G106" s="2">
        <v>17781.21</v>
      </c>
      <c r="H106" s="2">
        <v>17781.21</v>
      </c>
      <c r="I106" s="2">
        <v>17781.21</v>
      </c>
      <c r="J106" s="2">
        <v>17781.21</v>
      </c>
      <c r="K106" s="2">
        <v>17781.21</v>
      </c>
      <c r="L106" s="2">
        <v>17781.21</v>
      </c>
      <c r="M106" s="2">
        <v>17781.21</v>
      </c>
      <c r="N106" s="2">
        <v>17781.21</v>
      </c>
      <c r="O106" s="2">
        <v>17781.21</v>
      </c>
      <c r="P106" s="2">
        <v>17781.21</v>
      </c>
      <c r="Q106" s="2">
        <v>17781.21</v>
      </c>
      <c r="R106" s="2">
        <v>17781.21</v>
      </c>
      <c r="S106" s="2">
        <v>17781.21</v>
      </c>
      <c r="T106" s="2">
        <v>17781.21</v>
      </c>
      <c r="U106" s="2">
        <v>17781.21</v>
      </c>
      <c r="V106" s="2">
        <v>17781.21</v>
      </c>
      <c r="W106" s="2">
        <v>17781.21</v>
      </c>
      <c r="X106" s="2">
        <v>17781.21</v>
      </c>
      <c r="Y106" s="2">
        <v>17781.21</v>
      </c>
      <c r="Z106" s="2">
        <v>17781.21</v>
      </c>
      <c r="AA106" s="4">
        <v>17781.21</v>
      </c>
      <c r="AB106" s="126">
        <f t="shared" si="11"/>
        <v>426749.0400000001</v>
      </c>
      <c r="AC106" s="126">
        <v>20</v>
      </c>
      <c r="AD106" s="127">
        <f>(AB106*AC106)+(AB107*AC107)+(AB108*AC108)+(AB109*AC109)</f>
        <v>11948973.120000003</v>
      </c>
    </row>
    <row r="107" spans="2:31">
      <c r="B107" s="128"/>
      <c r="C107" s="129" t="s">
        <v>6</v>
      </c>
      <c r="D107" s="1">
        <v>17781.21</v>
      </c>
      <c r="E107" s="1">
        <v>17781.21</v>
      </c>
      <c r="F107" s="1">
        <v>17781.21</v>
      </c>
      <c r="G107" s="1">
        <v>17781.21</v>
      </c>
      <c r="H107" s="1">
        <v>17781.21</v>
      </c>
      <c r="I107" s="1">
        <v>17781.21</v>
      </c>
      <c r="J107" s="1">
        <v>17781.21</v>
      </c>
      <c r="K107" s="1">
        <v>17781.21</v>
      </c>
      <c r="L107" s="1">
        <v>17781.21</v>
      </c>
      <c r="M107" s="1">
        <v>17781.21</v>
      </c>
      <c r="N107" s="1">
        <v>17781.21</v>
      </c>
      <c r="O107" s="1">
        <v>17781.21</v>
      </c>
      <c r="P107" s="1">
        <v>17781.21</v>
      </c>
      <c r="Q107" s="1">
        <v>17781.21</v>
      </c>
      <c r="R107" s="1">
        <v>17781.21</v>
      </c>
      <c r="S107" s="1">
        <v>17781.21</v>
      </c>
      <c r="T107" s="1">
        <v>17781.21</v>
      </c>
      <c r="U107" s="1">
        <v>17781.21</v>
      </c>
      <c r="V107" s="1">
        <v>17781.21</v>
      </c>
      <c r="W107" s="1">
        <v>17781.21</v>
      </c>
      <c r="X107" s="1">
        <v>17781.21</v>
      </c>
      <c r="Y107" s="1">
        <v>17781.21</v>
      </c>
      <c r="Z107" s="1">
        <v>17781.21</v>
      </c>
      <c r="AA107" s="5">
        <v>17781.21</v>
      </c>
      <c r="AB107" s="130">
        <f t="shared" si="11"/>
        <v>426749.0400000001</v>
      </c>
      <c r="AC107" s="130">
        <v>4</v>
      </c>
      <c r="AD107" s="131"/>
    </row>
    <row r="108" spans="2:31">
      <c r="B108" s="128"/>
      <c r="C108" s="129" t="s">
        <v>7</v>
      </c>
      <c r="D108" s="1">
        <v>17781.21</v>
      </c>
      <c r="E108" s="1">
        <v>17781.21</v>
      </c>
      <c r="F108" s="1">
        <v>17781.21</v>
      </c>
      <c r="G108" s="1">
        <v>17781.21</v>
      </c>
      <c r="H108" s="1">
        <v>17781.21</v>
      </c>
      <c r="I108" s="1">
        <v>17781.21</v>
      </c>
      <c r="J108" s="1">
        <v>17781.21</v>
      </c>
      <c r="K108" s="1">
        <v>17781.21</v>
      </c>
      <c r="L108" s="1">
        <v>17781.21</v>
      </c>
      <c r="M108" s="1">
        <v>17781.21</v>
      </c>
      <c r="N108" s="1">
        <v>17781.21</v>
      </c>
      <c r="O108" s="1">
        <v>17781.21</v>
      </c>
      <c r="P108" s="1">
        <v>17781.21</v>
      </c>
      <c r="Q108" s="1">
        <v>17781.21</v>
      </c>
      <c r="R108" s="1">
        <v>17781.21</v>
      </c>
      <c r="S108" s="1">
        <v>17781.21</v>
      </c>
      <c r="T108" s="1">
        <v>17781.21</v>
      </c>
      <c r="U108" s="1">
        <v>17781.21</v>
      </c>
      <c r="V108" s="1">
        <v>17781.21</v>
      </c>
      <c r="W108" s="1">
        <v>17781.21</v>
      </c>
      <c r="X108" s="1">
        <v>17781.21</v>
      </c>
      <c r="Y108" s="1">
        <v>17781.21</v>
      </c>
      <c r="Z108" s="1">
        <v>17781.21</v>
      </c>
      <c r="AA108" s="5">
        <v>17781.21</v>
      </c>
      <c r="AB108" s="130">
        <f t="shared" si="11"/>
        <v>426749.0400000001</v>
      </c>
      <c r="AC108" s="130">
        <v>4</v>
      </c>
      <c r="AD108" s="131"/>
    </row>
    <row r="109" spans="2:31" ht="15" thickBot="1">
      <c r="B109" s="132"/>
      <c r="C109" s="133" t="s">
        <v>8</v>
      </c>
      <c r="D109" s="3">
        <v>17781.21</v>
      </c>
      <c r="E109" s="3">
        <v>17781.21</v>
      </c>
      <c r="F109" s="3">
        <v>17781.21</v>
      </c>
      <c r="G109" s="3">
        <v>17781.21</v>
      </c>
      <c r="H109" s="3">
        <v>17781.21</v>
      </c>
      <c r="I109" s="3">
        <v>17781.21</v>
      </c>
      <c r="J109" s="3">
        <v>17781.21</v>
      </c>
      <c r="K109" s="3">
        <v>17781.21</v>
      </c>
      <c r="L109" s="3">
        <v>17781.21</v>
      </c>
      <c r="M109" s="3">
        <v>17781.21</v>
      </c>
      <c r="N109" s="3">
        <v>17781.21</v>
      </c>
      <c r="O109" s="3">
        <v>17781.21</v>
      </c>
      <c r="P109" s="3">
        <v>17781.21</v>
      </c>
      <c r="Q109" s="3">
        <v>17781.21</v>
      </c>
      <c r="R109" s="3">
        <v>17781.21</v>
      </c>
      <c r="S109" s="3">
        <v>17781.21</v>
      </c>
      <c r="T109" s="3">
        <v>17781.21</v>
      </c>
      <c r="U109" s="3">
        <v>17781.21</v>
      </c>
      <c r="V109" s="3">
        <v>17781.21</v>
      </c>
      <c r="W109" s="3">
        <v>17781.21</v>
      </c>
      <c r="X109" s="3">
        <v>17781.21</v>
      </c>
      <c r="Y109" s="3">
        <v>17781.21</v>
      </c>
      <c r="Z109" s="3">
        <v>17781.21</v>
      </c>
      <c r="AA109" s="6">
        <v>17781.21</v>
      </c>
      <c r="AB109" s="134">
        <f t="shared" si="11"/>
        <v>426749.0400000001</v>
      </c>
      <c r="AC109" s="134">
        <v>0</v>
      </c>
      <c r="AD109" s="135"/>
    </row>
    <row r="110" spans="2:31">
      <c r="B110" s="124">
        <v>47908</v>
      </c>
      <c r="C110" s="125" t="s">
        <v>5</v>
      </c>
      <c r="D110" s="2">
        <v>17781.21</v>
      </c>
      <c r="E110" s="2">
        <v>17781.21</v>
      </c>
      <c r="F110" s="2">
        <v>17781.21</v>
      </c>
      <c r="G110" s="2">
        <v>17781.21</v>
      </c>
      <c r="H110" s="2">
        <v>17781.21</v>
      </c>
      <c r="I110" s="2">
        <v>17781.21</v>
      </c>
      <c r="J110" s="2">
        <v>17781.21</v>
      </c>
      <c r="K110" s="2">
        <v>17781.21</v>
      </c>
      <c r="L110" s="2">
        <v>17781.21</v>
      </c>
      <c r="M110" s="2">
        <v>17781.21</v>
      </c>
      <c r="N110" s="2">
        <v>17781.21</v>
      </c>
      <c r="O110" s="2">
        <v>17781.21</v>
      </c>
      <c r="P110" s="2">
        <v>17781.21</v>
      </c>
      <c r="Q110" s="2">
        <v>17781.21</v>
      </c>
      <c r="R110" s="2">
        <v>17781.21</v>
      </c>
      <c r="S110" s="2">
        <v>17781.21</v>
      </c>
      <c r="T110" s="2">
        <v>17781.21</v>
      </c>
      <c r="U110" s="2">
        <v>17781.21</v>
      </c>
      <c r="V110" s="2">
        <v>17781.21</v>
      </c>
      <c r="W110" s="2">
        <v>17781.21</v>
      </c>
      <c r="X110" s="2">
        <v>17781.21</v>
      </c>
      <c r="Y110" s="2">
        <v>17781.21</v>
      </c>
      <c r="Z110" s="2">
        <v>17781.21</v>
      </c>
      <c r="AA110" s="4">
        <v>17781.21</v>
      </c>
      <c r="AB110" s="126">
        <f t="shared" si="11"/>
        <v>426749.0400000001</v>
      </c>
      <c r="AC110" s="126">
        <v>20</v>
      </c>
      <c r="AD110" s="127">
        <f>(AB110*AC110)+(AB111*AC111)+(AB112*AC112)+(AB113*AC113)</f>
        <v>13229220.240000006</v>
      </c>
    </row>
    <row r="111" spans="2:31">
      <c r="B111" s="128"/>
      <c r="C111" s="129" t="s">
        <v>6</v>
      </c>
      <c r="D111" s="1">
        <v>17781.21</v>
      </c>
      <c r="E111" s="1">
        <v>17781.21</v>
      </c>
      <c r="F111" s="1">
        <v>17781.21</v>
      </c>
      <c r="G111" s="1">
        <v>17781.21</v>
      </c>
      <c r="H111" s="1">
        <v>17781.21</v>
      </c>
      <c r="I111" s="1">
        <v>17781.21</v>
      </c>
      <c r="J111" s="1">
        <v>17781.21</v>
      </c>
      <c r="K111" s="1">
        <v>17781.21</v>
      </c>
      <c r="L111" s="1">
        <v>17781.21</v>
      </c>
      <c r="M111" s="1">
        <v>17781.21</v>
      </c>
      <c r="N111" s="1">
        <v>17781.21</v>
      </c>
      <c r="O111" s="1">
        <v>17781.21</v>
      </c>
      <c r="P111" s="1">
        <v>17781.21</v>
      </c>
      <c r="Q111" s="1">
        <v>17781.21</v>
      </c>
      <c r="R111" s="1">
        <v>17781.21</v>
      </c>
      <c r="S111" s="1">
        <v>17781.21</v>
      </c>
      <c r="T111" s="1">
        <v>17781.21</v>
      </c>
      <c r="U111" s="1">
        <v>17781.21</v>
      </c>
      <c r="V111" s="1">
        <v>17781.21</v>
      </c>
      <c r="W111" s="1">
        <v>17781.21</v>
      </c>
      <c r="X111" s="1">
        <v>17781.21</v>
      </c>
      <c r="Y111" s="1">
        <v>17781.21</v>
      </c>
      <c r="Z111" s="1">
        <v>17781.21</v>
      </c>
      <c r="AA111" s="5">
        <v>17781.21</v>
      </c>
      <c r="AB111" s="130">
        <f t="shared" si="11"/>
        <v>426749.0400000001</v>
      </c>
      <c r="AC111" s="130">
        <v>5</v>
      </c>
      <c r="AD111" s="131"/>
    </row>
    <row r="112" spans="2:31">
      <c r="B112" s="128"/>
      <c r="C112" s="129" t="s">
        <v>7</v>
      </c>
      <c r="D112" s="1">
        <v>17781.21</v>
      </c>
      <c r="E112" s="1">
        <v>17781.21</v>
      </c>
      <c r="F112" s="1">
        <v>17781.21</v>
      </c>
      <c r="G112" s="1">
        <v>17781.21</v>
      </c>
      <c r="H112" s="1">
        <v>17781.21</v>
      </c>
      <c r="I112" s="1">
        <v>17781.21</v>
      </c>
      <c r="J112" s="1">
        <v>17781.21</v>
      </c>
      <c r="K112" s="1">
        <v>17781.21</v>
      </c>
      <c r="L112" s="1">
        <v>17781.21</v>
      </c>
      <c r="M112" s="1">
        <v>17781.21</v>
      </c>
      <c r="N112" s="1">
        <v>17781.21</v>
      </c>
      <c r="O112" s="1">
        <v>17781.21</v>
      </c>
      <c r="P112" s="1">
        <v>17781.21</v>
      </c>
      <c r="Q112" s="1">
        <v>17781.21</v>
      </c>
      <c r="R112" s="1">
        <v>17781.21</v>
      </c>
      <c r="S112" s="1">
        <v>17781.21</v>
      </c>
      <c r="T112" s="1">
        <v>17781.21</v>
      </c>
      <c r="U112" s="1">
        <v>17781.21</v>
      </c>
      <c r="V112" s="1">
        <v>17781.21</v>
      </c>
      <c r="W112" s="1">
        <v>17781.21</v>
      </c>
      <c r="X112" s="1">
        <v>17781.21</v>
      </c>
      <c r="Y112" s="1">
        <v>17781.21</v>
      </c>
      <c r="Z112" s="1">
        <v>17781.21</v>
      </c>
      <c r="AA112" s="5">
        <v>17781.21</v>
      </c>
      <c r="AB112" s="130">
        <f t="shared" si="11"/>
        <v>426749.0400000001</v>
      </c>
      <c r="AC112" s="130">
        <v>5</v>
      </c>
      <c r="AD112" s="131"/>
    </row>
    <row r="113" spans="2:30" ht="15" thickBot="1">
      <c r="B113" s="132"/>
      <c r="C113" s="133" t="s">
        <v>8</v>
      </c>
      <c r="D113" s="3">
        <v>17781.21</v>
      </c>
      <c r="E113" s="3">
        <v>17781.21</v>
      </c>
      <c r="F113" s="3">
        <v>17781.21</v>
      </c>
      <c r="G113" s="3">
        <v>17781.21</v>
      </c>
      <c r="H113" s="3">
        <v>17781.21</v>
      </c>
      <c r="I113" s="3">
        <v>17781.21</v>
      </c>
      <c r="J113" s="3">
        <v>17781.21</v>
      </c>
      <c r="K113" s="3">
        <v>17781.21</v>
      </c>
      <c r="L113" s="3">
        <v>17781.21</v>
      </c>
      <c r="M113" s="3">
        <v>17781.21</v>
      </c>
      <c r="N113" s="3">
        <v>17781.21</v>
      </c>
      <c r="O113" s="3">
        <v>17781.21</v>
      </c>
      <c r="P113" s="3">
        <v>17781.21</v>
      </c>
      <c r="Q113" s="3">
        <v>17781.21</v>
      </c>
      <c r="R113" s="3">
        <v>17781.21</v>
      </c>
      <c r="S113" s="3">
        <v>17781.21</v>
      </c>
      <c r="T113" s="3">
        <v>17781.21</v>
      </c>
      <c r="U113" s="3">
        <v>17781.21</v>
      </c>
      <c r="V113" s="3">
        <v>17781.21</v>
      </c>
      <c r="W113" s="3">
        <v>17781.21</v>
      </c>
      <c r="X113" s="3">
        <v>17781.21</v>
      </c>
      <c r="Y113" s="3">
        <v>17781.21</v>
      </c>
      <c r="Z113" s="3">
        <v>17781.21</v>
      </c>
      <c r="AA113" s="6">
        <v>17781.21</v>
      </c>
      <c r="AB113" s="134">
        <f t="shared" si="11"/>
        <v>426749.0400000001</v>
      </c>
      <c r="AC113" s="134">
        <v>1</v>
      </c>
      <c r="AD113" s="135"/>
    </row>
    <row r="114" spans="2:30">
      <c r="B114" s="124">
        <v>47939</v>
      </c>
      <c r="C114" s="125" t="s">
        <v>5</v>
      </c>
      <c r="D114" s="2">
        <v>17781.21</v>
      </c>
      <c r="E114" s="2">
        <v>17781.21</v>
      </c>
      <c r="F114" s="2">
        <v>17781.21</v>
      </c>
      <c r="G114" s="2">
        <v>17781.21</v>
      </c>
      <c r="H114" s="2">
        <v>17781.21</v>
      </c>
      <c r="I114" s="2">
        <v>17781.21</v>
      </c>
      <c r="J114" s="2">
        <v>17781.21</v>
      </c>
      <c r="K114" s="2">
        <v>17781.21</v>
      </c>
      <c r="L114" s="2">
        <v>17781.21</v>
      </c>
      <c r="M114" s="2">
        <v>17781.21</v>
      </c>
      <c r="N114" s="2">
        <v>17781.21</v>
      </c>
      <c r="O114" s="2">
        <v>17781.21</v>
      </c>
      <c r="P114" s="2">
        <v>17781.21</v>
      </c>
      <c r="Q114" s="2">
        <v>17781.21</v>
      </c>
      <c r="R114" s="2">
        <v>17781.21</v>
      </c>
      <c r="S114" s="2">
        <v>17781.21</v>
      </c>
      <c r="T114" s="2">
        <v>17781.21</v>
      </c>
      <c r="U114" s="2">
        <v>17781.21</v>
      </c>
      <c r="V114" s="2">
        <v>17781.21</v>
      </c>
      <c r="W114" s="2">
        <v>17781.21</v>
      </c>
      <c r="X114" s="2">
        <v>17781.21</v>
      </c>
      <c r="Y114" s="2">
        <v>17781.21</v>
      </c>
      <c r="Z114" s="2">
        <v>17781.21</v>
      </c>
      <c r="AA114" s="4">
        <v>17781.21</v>
      </c>
      <c r="AB114" s="126">
        <f t="shared" si="11"/>
        <v>426749.0400000001</v>
      </c>
      <c r="AC114" s="126">
        <v>20</v>
      </c>
      <c r="AD114" s="127">
        <f>(AB114*AC114)+(AB115*AC115)+(AB116*AC116)+(AB117*AC117)</f>
        <v>12802471.200000003</v>
      </c>
    </row>
    <row r="115" spans="2:30">
      <c r="B115" s="128"/>
      <c r="C115" s="129" t="s">
        <v>6</v>
      </c>
      <c r="D115" s="1">
        <v>17781.21</v>
      </c>
      <c r="E115" s="1">
        <v>17781.21</v>
      </c>
      <c r="F115" s="1">
        <v>17781.21</v>
      </c>
      <c r="G115" s="1">
        <v>17781.21</v>
      </c>
      <c r="H115" s="1">
        <v>17781.21</v>
      </c>
      <c r="I115" s="1">
        <v>17781.21</v>
      </c>
      <c r="J115" s="1">
        <v>17781.21</v>
      </c>
      <c r="K115" s="1">
        <v>17781.21</v>
      </c>
      <c r="L115" s="1">
        <v>17781.21</v>
      </c>
      <c r="M115" s="1">
        <v>17781.21</v>
      </c>
      <c r="N115" s="1">
        <v>17781.21</v>
      </c>
      <c r="O115" s="1">
        <v>17781.21</v>
      </c>
      <c r="P115" s="1">
        <v>17781.21</v>
      </c>
      <c r="Q115" s="1">
        <v>17781.21</v>
      </c>
      <c r="R115" s="1">
        <v>17781.21</v>
      </c>
      <c r="S115" s="1">
        <v>17781.21</v>
      </c>
      <c r="T115" s="1">
        <v>17781.21</v>
      </c>
      <c r="U115" s="1">
        <v>17781.21</v>
      </c>
      <c r="V115" s="1">
        <v>17781.21</v>
      </c>
      <c r="W115" s="1">
        <v>17781.21</v>
      </c>
      <c r="X115" s="1">
        <v>17781.21</v>
      </c>
      <c r="Y115" s="1">
        <v>17781.21</v>
      </c>
      <c r="Z115" s="1">
        <v>17781.21</v>
      </c>
      <c r="AA115" s="5">
        <v>17781.21</v>
      </c>
      <c r="AB115" s="130">
        <f t="shared" si="11"/>
        <v>426749.0400000001</v>
      </c>
      <c r="AC115" s="130">
        <v>4</v>
      </c>
      <c r="AD115" s="131"/>
    </row>
    <row r="116" spans="2:30">
      <c r="B116" s="128"/>
      <c r="C116" s="129" t="s">
        <v>7</v>
      </c>
      <c r="D116" s="1">
        <v>17781.21</v>
      </c>
      <c r="E116" s="1">
        <v>17781.21</v>
      </c>
      <c r="F116" s="1">
        <v>17781.21</v>
      </c>
      <c r="G116" s="1">
        <v>17781.21</v>
      </c>
      <c r="H116" s="1">
        <v>17781.21</v>
      </c>
      <c r="I116" s="1">
        <v>17781.21</v>
      </c>
      <c r="J116" s="1">
        <v>17781.21</v>
      </c>
      <c r="K116" s="1">
        <v>17781.21</v>
      </c>
      <c r="L116" s="1">
        <v>17781.21</v>
      </c>
      <c r="M116" s="1">
        <v>17781.21</v>
      </c>
      <c r="N116" s="1">
        <v>17781.21</v>
      </c>
      <c r="O116" s="1">
        <v>17781.21</v>
      </c>
      <c r="P116" s="1">
        <v>17781.21</v>
      </c>
      <c r="Q116" s="1">
        <v>17781.21</v>
      </c>
      <c r="R116" s="1">
        <v>17781.21</v>
      </c>
      <c r="S116" s="1">
        <v>17781.21</v>
      </c>
      <c r="T116" s="1">
        <v>17781.21</v>
      </c>
      <c r="U116" s="1">
        <v>17781.21</v>
      </c>
      <c r="V116" s="1">
        <v>17781.21</v>
      </c>
      <c r="W116" s="1">
        <v>17781.21</v>
      </c>
      <c r="X116" s="1">
        <v>17781.21</v>
      </c>
      <c r="Y116" s="1">
        <v>17781.21</v>
      </c>
      <c r="Z116" s="1">
        <v>17781.21</v>
      </c>
      <c r="AA116" s="5">
        <v>17781.21</v>
      </c>
      <c r="AB116" s="130">
        <f t="shared" si="11"/>
        <v>426749.0400000001</v>
      </c>
      <c r="AC116" s="130">
        <v>4</v>
      </c>
      <c r="AD116" s="131"/>
    </row>
    <row r="117" spans="2:30" ht="15" thickBot="1">
      <c r="B117" s="132"/>
      <c r="C117" s="133" t="s">
        <v>8</v>
      </c>
      <c r="D117" s="3">
        <v>17781.21</v>
      </c>
      <c r="E117" s="3">
        <v>17781.21</v>
      </c>
      <c r="F117" s="3">
        <v>17781.21</v>
      </c>
      <c r="G117" s="3">
        <v>17781.21</v>
      </c>
      <c r="H117" s="3">
        <v>17781.21</v>
      </c>
      <c r="I117" s="3">
        <v>17781.21</v>
      </c>
      <c r="J117" s="3">
        <v>17781.21</v>
      </c>
      <c r="K117" s="3">
        <v>17781.21</v>
      </c>
      <c r="L117" s="3">
        <v>17781.21</v>
      </c>
      <c r="M117" s="3">
        <v>17781.21</v>
      </c>
      <c r="N117" s="3">
        <v>17781.21</v>
      </c>
      <c r="O117" s="3">
        <v>17781.21</v>
      </c>
      <c r="P117" s="3">
        <v>17781.21</v>
      </c>
      <c r="Q117" s="3">
        <v>17781.21</v>
      </c>
      <c r="R117" s="3">
        <v>17781.21</v>
      </c>
      <c r="S117" s="3">
        <v>17781.21</v>
      </c>
      <c r="T117" s="3">
        <v>17781.21</v>
      </c>
      <c r="U117" s="3">
        <v>17781.21</v>
      </c>
      <c r="V117" s="3">
        <v>17781.21</v>
      </c>
      <c r="W117" s="3">
        <v>17781.21</v>
      </c>
      <c r="X117" s="3">
        <v>17781.21</v>
      </c>
      <c r="Y117" s="3">
        <v>17781.21</v>
      </c>
      <c r="Z117" s="3">
        <v>17781.21</v>
      </c>
      <c r="AA117" s="6">
        <v>17781.21</v>
      </c>
      <c r="AB117" s="134">
        <f t="shared" si="11"/>
        <v>426749.0400000001</v>
      </c>
      <c r="AC117" s="134">
        <v>2</v>
      </c>
      <c r="AD117" s="135"/>
    </row>
    <row r="118" spans="2:30">
      <c r="B118" s="124">
        <v>47969</v>
      </c>
      <c r="C118" s="125" t="s">
        <v>5</v>
      </c>
      <c r="D118" s="2">
        <v>17781.21</v>
      </c>
      <c r="E118" s="2">
        <v>17781.21</v>
      </c>
      <c r="F118" s="2">
        <v>17781.21</v>
      </c>
      <c r="G118" s="2">
        <v>17781.21</v>
      </c>
      <c r="H118" s="2">
        <v>17781.21</v>
      </c>
      <c r="I118" s="2">
        <v>17781.21</v>
      </c>
      <c r="J118" s="2">
        <v>17781.21</v>
      </c>
      <c r="K118" s="2">
        <v>17781.21</v>
      </c>
      <c r="L118" s="2">
        <v>17781.21</v>
      </c>
      <c r="M118" s="2">
        <v>17781.21</v>
      </c>
      <c r="N118" s="2">
        <v>17781.21</v>
      </c>
      <c r="O118" s="2">
        <v>17781.21</v>
      </c>
      <c r="P118" s="2">
        <v>17781.21</v>
      </c>
      <c r="Q118" s="2">
        <v>17781.21</v>
      </c>
      <c r="R118" s="2">
        <v>17781.21</v>
      </c>
      <c r="S118" s="2">
        <v>17781.21</v>
      </c>
      <c r="T118" s="2">
        <v>17781.21</v>
      </c>
      <c r="U118" s="2">
        <v>17781.21</v>
      </c>
      <c r="V118" s="2">
        <v>17781.21</v>
      </c>
      <c r="W118" s="2">
        <v>17781.21</v>
      </c>
      <c r="X118" s="2">
        <v>17781.21</v>
      </c>
      <c r="Y118" s="2">
        <v>17781.21</v>
      </c>
      <c r="Z118" s="2">
        <v>17781.21</v>
      </c>
      <c r="AA118" s="4">
        <v>17781.21</v>
      </c>
      <c r="AB118" s="126">
        <f t="shared" si="11"/>
        <v>426749.0400000001</v>
      </c>
      <c r="AC118" s="126">
        <v>20</v>
      </c>
      <c r="AD118" s="127">
        <f>(AB118*AC118)+(AB119*AC119)+(AB120*AC120)+(AB121*AC121)</f>
        <v>13229220.240000004</v>
      </c>
    </row>
    <row r="119" spans="2:30">
      <c r="B119" s="128"/>
      <c r="C119" s="129" t="s">
        <v>6</v>
      </c>
      <c r="D119" s="1">
        <v>17781.21</v>
      </c>
      <c r="E119" s="1">
        <v>17781.21</v>
      </c>
      <c r="F119" s="1">
        <v>17781.21</v>
      </c>
      <c r="G119" s="1">
        <v>17781.21</v>
      </c>
      <c r="H119" s="1">
        <v>17781.21</v>
      </c>
      <c r="I119" s="1">
        <v>17781.21</v>
      </c>
      <c r="J119" s="1">
        <v>17781.21</v>
      </c>
      <c r="K119" s="1">
        <v>17781.21</v>
      </c>
      <c r="L119" s="1">
        <v>17781.21</v>
      </c>
      <c r="M119" s="1">
        <v>17781.21</v>
      </c>
      <c r="N119" s="1">
        <v>17781.21</v>
      </c>
      <c r="O119" s="1">
        <v>17781.21</v>
      </c>
      <c r="P119" s="1">
        <v>17781.21</v>
      </c>
      <c r="Q119" s="1">
        <v>17781.21</v>
      </c>
      <c r="R119" s="1">
        <v>17781.21</v>
      </c>
      <c r="S119" s="1">
        <v>17781.21</v>
      </c>
      <c r="T119" s="1">
        <v>17781.21</v>
      </c>
      <c r="U119" s="1">
        <v>17781.21</v>
      </c>
      <c r="V119" s="1">
        <v>17781.21</v>
      </c>
      <c r="W119" s="1">
        <v>17781.21</v>
      </c>
      <c r="X119" s="1">
        <v>17781.21</v>
      </c>
      <c r="Y119" s="1">
        <v>17781.21</v>
      </c>
      <c r="Z119" s="1">
        <v>17781.21</v>
      </c>
      <c r="AA119" s="5">
        <v>17781.21</v>
      </c>
      <c r="AB119" s="130">
        <f t="shared" si="11"/>
        <v>426749.0400000001</v>
      </c>
      <c r="AC119" s="130">
        <v>5</v>
      </c>
      <c r="AD119" s="131"/>
    </row>
    <row r="120" spans="2:30">
      <c r="B120" s="128"/>
      <c r="C120" s="129" t="s">
        <v>7</v>
      </c>
      <c r="D120" s="1">
        <v>17781.21</v>
      </c>
      <c r="E120" s="1">
        <v>17781.21</v>
      </c>
      <c r="F120" s="1">
        <v>17781.21</v>
      </c>
      <c r="G120" s="1">
        <v>17781.21</v>
      </c>
      <c r="H120" s="1">
        <v>17781.21</v>
      </c>
      <c r="I120" s="1">
        <v>17781.21</v>
      </c>
      <c r="J120" s="1">
        <v>17781.21</v>
      </c>
      <c r="K120" s="1">
        <v>17781.21</v>
      </c>
      <c r="L120" s="1">
        <v>17781.21</v>
      </c>
      <c r="M120" s="1">
        <v>17781.21</v>
      </c>
      <c r="N120" s="1">
        <v>17781.21</v>
      </c>
      <c r="O120" s="1">
        <v>17781.21</v>
      </c>
      <c r="P120" s="1">
        <v>17781.21</v>
      </c>
      <c r="Q120" s="1">
        <v>17781.21</v>
      </c>
      <c r="R120" s="1">
        <v>17781.21</v>
      </c>
      <c r="S120" s="1">
        <v>17781.21</v>
      </c>
      <c r="T120" s="1">
        <v>17781.21</v>
      </c>
      <c r="U120" s="1">
        <v>17781.21</v>
      </c>
      <c r="V120" s="1">
        <v>17781.21</v>
      </c>
      <c r="W120" s="1">
        <v>17781.21</v>
      </c>
      <c r="X120" s="1">
        <v>17781.21</v>
      </c>
      <c r="Y120" s="1">
        <v>17781.21</v>
      </c>
      <c r="Z120" s="1">
        <v>17781.21</v>
      </c>
      <c r="AA120" s="5">
        <v>17781.21</v>
      </c>
      <c r="AB120" s="130">
        <f t="shared" si="11"/>
        <v>426749.0400000001</v>
      </c>
      <c r="AC120" s="130">
        <v>4</v>
      </c>
      <c r="AD120" s="131"/>
    </row>
    <row r="121" spans="2:30" ht="15" thickBot="1">
      <c r="B121" s="132"/>
      <c r="C121" s="133" t="s">
        <v>8</v>
      </c>
      <c r="D121" s="3">
        <v>17781.21</v>
      </c>
      <c r="E121" s="3">
        <v>17781.21</v>
      </c>
      <c r="F121" s="3">
        <v>17781.21</v>
      </c>
      <c r="G121" s="3">
        <v>17781.21</v>
      </c>
      <c r="H121" s="3">
        <v>17781.21</v>
      </c>
      <c r="I121" s="3">
        <v>17781.21</v>
      </c>
      <c r="J121" s="3">
        <v>17781.21</v>
      </c>
      <c r="K121" s="3">
        <v>17781.21</v>
      </c>
      <c r="L121" s="3">
        <v>17781.21</v>
      </c>
      <c r="M121" s="3">
        <v>17781.21</v>
      </c>
      <c r="N121" s="3">
        <v>17781.21</v>
      </c>
      <c r="O121" s="3">
        <v>17781.21</v>
      </c>
      <c r="P121" s="3">
        <v>17781.21</v>
      </c>
      <c r="Q121" s="3">
        <v>17781.21</v>
      </c>
      <c r="R121" s="3">
        <v>17781.21</v>
      </c>
      <c r="S121" s="3">
        <v>17781.21</v>
      </c>
      <c r="T121" s="3">
        <v>17781.21</v>
      </c>
      <c r="U121" s="3">
        <v>17781.21</v>
      </c>
      <c r="V121" s="3">
        <v>17781.21</v>
      </c>
      <c r="W121" s="3">
        <v>17781.21</v>
      </c>
      <c r="X121" s="3">
        <v>17781.21</v>
      </c>
      <c r="Y121" s="3">
        <v>17781.21</v>
      </c>
      <c r="Z121" s="3">
        <v>17781.21</v>
      </c>
      <c r="AA121" s="6">
        <v>17781.21</v>
      </c>
      <c r="AB121" s="134">
        <f t="shared" si="11"/>
        <v>426749.0400000001</v>
      </c>
      <c r="AC121" s="134">
        <v>2</v>
      </c>
      <c r="AD121" s="135"/>
    </row>
    <row r="122" spans="2:30">
      <c r="B122" s="124">
        <v>48000</v>
      </c>
      <c r="C122" s="125" t="s">
        <v>5</v>
      </c>
      <c r="D122" s="2">
        <v>17781.21</v>
      </c>
      <c r="E122" s="2">
        <v>17781.21</v>
      </c>
      <c r="F122" s="2">
        <v>17781.21</v>
      </c>
      <c r="G122" s="2">
        <v>17781.21</v>
      </c>
      <c r="H122" s="2">
        <v>17781.21</v>
      </c>
      <c r="I122" s="2">
        <v>17781.21</v>
      </c>
      <c r="J122" s="2">
        <v>17781.21</v>
      </c>
      <c r="K122" s="2">
        <v>17781.21</v>
      </c>
      <c r="L122" s="2">
        <v>17781.21</v>
      </c>
      <c r="M122" s="2">
        <v>17781.21</v>
      </c>
      <c r="N122" s="2">
        <v>17781.21</v>
      </c>
      <c r="O122" s="2">
        <v>17781.21</v>
      </c>
      <c r="P122" s="2">
        <v>17781.21</v>
      </c>
      <c r="Q122" s="2">
        <v>17781.21</v>
      </c>
      <c r="R122" s="2">
        <v>17781.21</v>
      </c>
      <c r="S122" s="2">
        <v>17781.21</v>
      </c>
      <c r="T122" s="2">
        <v>17781.21</v>
      </c>
      <c r="U122" s="2">
        <v>17781.21</v>
      </c>
      <c r="V122" s="2">
        <v>17781.21</v>
      </c>
      <c r="W122" s="2">
        <v>17781.21</v>
      </c>
      <c r="X122" s="2">
        <v>17781.21</v>
      </c>
      <c r="Y122" s="2">
        <v>17781.21</v>
      </c>
      <c r="Z122" s="2">
        <v>17781.21</v>
      </c>
      <c r="AA122" s="4">
        <v>17781.21</v>
      </c>
      <c r="AB122" s="126">
        <f t="shared" si="11"/>
        <v>426749.0400000001</v>
      </c>
      <c r="AC122" s="126">
        <v>18</v>
      </c>
      <c r="AD122" s="127">
        <f>(AB122*AC122)+(AB123*AC123)+(AB124*AC124)+(AB125*AC125)</f>
        <v>12802471.200000005</v>
      </c>
    </row>
    <row r="123" spans="2:30">
      <c r="B123" s="128"/>
      <c r="C123" s="129" t="s">
        <v>6</v>
      </c>
      <c r="D123" s="1">
        <v>17781.21</v>
      </c>
      <c r="E123" s="1">
        <v>17781.21</v>
      </c>
      <c r="F123" s="1">
        <v>17781.21</v>
      </c>
      <c r="G123" s="1">
        <v>17781.21</v>
      </c>
      <c r="H123" s="1">
        <v>17781.21</v>
      </c>
      <c r="I123" s="1">
        <v>17781.21</v>
      </c>
      <c r="J123" s="1">
        <v>17781.21</v>
      </c>
      <c r="K123" s="1">
        <v>17781.21</v>
      </c>
      <c r="L123" s="1">
        <v>17781.21</v>
      </c>
      <c r="M123" s="1">
        <v>17781.21</v>
      </c>
      <c r="N123" s="1">
        <v>17781.21</v>
      </c>
      <c r="O123" s="1">
        <v>17781.21</v>
      </c>
      <c r="P123" s="1">
        <v>17781.21</v>
      </c>
      <c r="Q123" s="1">
        <v>17781.21</v>
      </c>
      <c r="R123" s="1">
        <v>17781.21</v>
      </c>
      <c r="S123" s="1">
        <v>17781.21</v>
      </c>
      <c r="T123" s="1">
        <v>17781.21</v>
      </c>
      <c r="U123" s="1">
        <v>17781.21</v>
      </c>
      <c r="V123" s="1">
        <v>17781.21</v>
      </c>
      <c r="W123" s="1">
        <v>17781.21</v>
      </c>
      <c r="X123" s="1">
        <v>17781.21</v>
      </c>
      <c r="Y123" s="1">
        <v>17781.21</v>
      </c>
      <c r="Z123" s="1">
        <v>17781.21</v>
      </c>
      <c r="AA123" s="5">
        <v>17781.21</v>
      </c>
      <c r="AB123" s="130">
        <f t="shared" si="11"/>
        <v>426749.0400000001</v>
      </c>
      <c r="AC123" s="130">
        <v>4</v>
      </c>
      <c r="AD123" s="131"/>
    </row>
    <row r="124" spans="2:30">
      <c r="B124" s="128"/>
      <c r="C124" s="129" t="s">
        <v>7</v>
      </c>
      <c r="D124" s="1">
        <v>17781.21</v>
      </c>
      <c r="E124" s="1">
        <v>17781.21</v>
      </c>
      <c r="F124" s="1">
        <v>17781.21</v>
      </c>
      <c r="G124" s="1">
        <v>17781.21</v>
      </c>
      <c r="H124" s="1">
        <v>17781.21</v>
      </c>
      <c r="I124" s="1">
        <v>17781.21</v>
      </c>
      <c r="J124" s="1">
        <v>17781.21</v>
      </c>
      <c r="K124" s="1">
        <v>17781.21</v>
      </c>
      <c r="L124" s="1">
        <v>17781.21</v>
      </c>
      <c r="M124" s="1">
        <v>17781.21</v>
      </c>
      <c r="N124" s="1">
        <v>17781.21</v>
      </c>
      <c r="O124" s="1">
        <v>17781.21</v>
      </c>
      <c r="P124" s="1">
        <v>17781.21</v>
      </c>
      <c r="Q124" s="1">
        <v>17781.21</v>
      </c>
      <c r="R124" s="1">
        <v>17781.21</v>
      </c>
      <c r="S124" s="1">
        <v>17781.21</v>
      </c>
      <c r="T124" s="1">
        <v>17781.21</v>
      </c>
      <c r="U124" s="1">
        <v>17781.21</v>
      </c>
      <c r="V124" s="1">
        <v>17781.21</v>
      </c>
      <c r="W124" s="1">
        <v>17781.21</v>
      </c>
      <c r="X124" s="1">
        <v>17781.21</v>
      </c>
      <c r="Y124" s="1">
        <v>17781.21</v>
      </c>
      <c r="Z124" s="1">
        <v>17781.21</v>
      </c>
      <c r="AA124" s="5">
        <v>17781.21</v>
      </c>
      <c r="AB124" s="130">
        <f t="shared" si="11"/>
        <v>426749.0400000001</v>
      </c>
      <c r="AC124" s="130">
        <v>5</v>
      </c>
      <c r="AD124" s="131"/>
    </row>
    <row r="125" spans="2:30" ht="15" thickBot="1">
      <c r="B125" s="132"/>
      <c r="C125" s="133" t="s">
        <v>8</v>
      </c>
      <c r="D125" s="3">
        <v>17781.21</v>
      </c>
      <c r="E125" s="3">
        <v>17781.21</v>
      </c>
      <c r="F125" s="3">
        <v>17781.21</v>
      </c>
      <c r="G125" s="3">
        <v>17781.21</v>
      </c>
      <c r="H125" s="3">
        <v>17781.21</v>
      </c>
      <c r="I125" s="3">
        <v>17781.21</v>
      </c>
      <c r="J125" s="3">
        <v>17781.21</v>
      </c>
      <c r="K125" s="3">
        <v>17781.21</v>
      </c>
      <c r="L125" s="3">
        <v>17781.21</v>
      </c>
      <c r="M125" s="3">
        <v>17781.21</v>
      </c>
      <c r="N125" s="3">
        <v>17781.21</v>
      </c>
      <c r="O125" s="3">
        <v>17781.21</v>
      </c>
      <c r="P125" s="3">
        <v>17781.21</v>
      </c>
      <c r="Q125" s="3">
        <v>17781.21</v>
      </c>
      <c r="R125" s="3">
        <v>17781.21</v>
      </c>
      <c r="S125" s="3">
        <v>17781.21</v>
      </c>
      <c r="T125" s="3">
        <v>17781.21</v>
      </c>
      <c r="U125" s="3">
        <v>17781.21</v>
      </c>
      <c r="V125" s="3">
        <v>17781.21</v>
      </c>
      <c r="W125" s="3">
        <v>17781.21</v>
      </c>
      <c r="X125" s="3">
        <v>17781.21</v>
      </c>
      <c r="Y125" s="3">
        <v>17781.21</v>
      </c>
      <c r="Z125" s="3">
        <v>17781.21</v>
      </c>
      <c r="AA125" s="6">
        <v>17781.21</v>
      </c>
      <c r="AB125" s="134">
        <f t="shared" si="11"/>
        <v>426749.0400000001</v>
      </c>
      <c r="AC125" s="134">
        <v>3</v>
      </c>
      <c r="AD125" s="135"/>
    </row>
    <row r="126" spans="2:30">
      <c r="B126" s="124">
        <v>48030</v>
      </c>
      <c r="C126" s="125" t="s">
        <v>5</v>
      </c>
      <c r="D126" s="2">
        <v>17781.21</v>
      </c>
      <c r="E126" s="2">
        <v>17781.21</v>
      </c>
      <c r="F126" s="2">
        <v>17781.21</v>
      </c>
      <c r="G126" s="2">
        <v>17781.21</v>
      </c>
      <c r="H126" s="2">
        <v>17781.21</v>
      </c>
      <c r="I126" s="2">
        <v>17781.21</v>
      </c>
      <c r="J126" s="2">
        <v>17781.21</v>
      </c>
      <c r="K126" s="2">
        <v>17781.21</v>
      </c>
      <c r="L126" s="2">
        <v>17781.21</v>
      </c>
      <c r="M126" s="2">
        <v>17781.21</v>
      </c>
      <c r="N126" s="2">
        <v>17781.21</v>
      </c>
      <c r="O126" s="2">
        <v>17781.21</v>
      </c>
      <c r="P126" s="2">
        <v>17781.21</v>
      </c>
      <c r="Q126" s="2">
        <v>17781.21</v>
      </c>
      <c r="R126" s="2">
        <v>17781.21</v>
      </c>
      <c r="S126" s="2">
        <v>17781.21</v>
      </c>
      <c r="T126" s="2">
        <v>17781.21</v>
      </c>
      <c r="U126" s="2">
        <v>17781.21</v>
      </c>
      <c r="V126" s="2">
        <v>17781.21</v>
      </c>
      <c r="W126" s="2">
        <v>17781.21</v>
      </c>
      <c r="X126" s="2">
        <v>17781.21</v>
      </c>
      <c r="Y126" s="2">
        <v>17781.21</v>
      </c>
      <c r="Z126" s="2">
        <v>17781.21</v>
      </c>
      <c r="AA126" s="4">
        <v>17781.21</v>
      </c>
      <c r="AB126" s="126">
        <f t="shared" si="11"/>
        <v>426749.0400000001</v>
      </c>
      <c r="AC126" s="126">
        <v>23</v>
      </c>
      <c r="AD126" s="127">
        <f>(AB126*AC126)+(AB127*AC127)+(AB128*AC128)+(AB129*AC129)</f>
        <v>13229220.240000004</v>
      </c>
    </row>
    <row r="127" spans="2:30">
      <c r="B127" s="128"/>
      <c r="C127" s="129" t="s">
        <v>6</v>
      </c>
      <c r="D127" s="1">
        <v>17781.21</v>
      </c>
      <c r="E127" s="1">
        <v>17781.21</v>
      </c>
      <c r="F127" s="1">
        <v>17781.21</v>
      </c>
      <c r="G127" s="1">
        <v>17781.21</v>
      </c>
      <c r="H127" s="1">
        <v>17781.21</v>
      </c>
      <c r="I127" s="1">
        <v>17781.21</v>
      </c>
      <c r="J127" s="1">
        <v>17781.21</v>
      </c>
      <c r="K127" s="1">
        <v>17781.21</v>
      </c>
      <c r="L127" s="1">
        <v>17781.21</v>
      </c>
      <c r="M127" s="1">
        <v>17781.21</v>
      </c>
      <c r="N127" s="1">
        <v>17781.21</v>
      </c>
      <c r="O127" s="1">
        <v>17781.21</v>
      </c>
      <c r="P127" s="1">
        <v>17781.21</v>
      </c>
      <c r="Q127" s="1">
        <v>17781.21</v>
      </c>
      <c r="R127" s="1">
        <v>17781.21</v>
      </c>
      <c r="S127" s="1">
        <v>17781.21</v>
      </c>
      <c r="T127" s="1">
        <v>17781.21</v>
      </c>
      <c r="U127" s="1">
        <v>17781.21</v>
      </c>
      <c r="V127" s="1">
        <v>17781.21</v>
      </c>
      <c r="W127" s="1">
        <v>17781.21</v>
      </c>
      <c r="X127" s="1">
        <v>17781.21</v>
      </c>
      <c r="Y127" s="1">
        <v>17781.21</v>
      </c>
      <c r="Z127" s="1">
        <v>17781.21</v>
      </c>
      <c r="AA127" s="5">
        <v>17781.21</v>
      </c>
      <c r="AB127" s="130">
        <f t="shared" si="11"/>
        <v>426749.0400000001</v>
      </c>
      <c r="AC127" s="130">
        <v>4</v>
      </c>
      <c r="AD127" s="131"/>
    </row>
    <row r="128" spans="2:30">
      <c r="B128" s="128"/>
      <c r="C128" s="129" t="s">
        <v>4</v>
      </c>
      <c r="D128" s="1">
        <v>17781.21</v>
      </c>
      <c r="E128" s="1">
        <v>17781.21</v>
      </c>
      <c r="F128" s="1">
        <v>17781.21</v>
      </c>
      <c r="G128" s="1">
        <v>17781.21</v>
      </c>
      <c r="H128" s="1">
        <v>17781.21</v>
      </c>
      <c r="I128" s="1">
        <v>17781.21</v>
      </c>
      <c r="J128" s="1">
        <v>17781.21</v>
      </c>
      <c r="K128" s="1">
        <v>17781.21</v>
      </c>
      <c r="L128" s="1">
        <v>17781.21</v>
      </c>
      <c r="M128" s="1">
        <v>17781.21</v>
      </c>
      <c r="N128" s="1">
        <v>17781.21</v>
      </c>
      <c r="O128" s="1">
        <v>17781.21</v>
      </c>
      <c r="P128" s="1">
        <v>17781.21</v>
      </c>
      <c r="Q128" s="1">
        <v>17781.21</v>
      </c>
      <c r="R128" s="1">
        <v>17781.21</v>
      </c>
      <c r="S128" s="1">
        <v>17781.21</v>
      </c>
      <c r="T128" s="1">
        <v>17781.21</v>
      </c>
      <c r="U128" s="1">
        <v>17781.21</v>
      </c>
      <c r="V128" s="1">
        <v>17781.21</v>
      </c>
      <c r="W128" s="1">
        <v>17781.21</v>
      </c>
      <c r="X128" s="1">
        <v>17781.21</v>
      </c>
      <c r="Y128" s="1">
        <v>17781.21</v>
      </c>
      <c r="Z128" s="1">
        <v>17781.21</v>
      </c>
      <c r="AA128" s="5">
        <v>17781.21</v>
      </c>
      <c r="AB128" s="130">
        <f t="shared" si="11"/>
        <v>426749.0400000001</v>
      </c>
      <c r="AC128" s="130">
        <v>3</v>
      </c>
      <c r="AD128" s="131"/>
    </row>
    <row r="129" spans="2:30" ht="15" thickBot="1">
      <c r="B129" s="132"/>
      <c r="C129" s="133" t="s">
        <v>8</v>
      </c>
      <c r="D129" s="3">
        <v>17781.21</v>
      </c>
      <c r="E129" s="3">
        <v>17781.21</v>
      </c>
      <c r="F129" s="3">
        <v>17781.21</v>
      </c>
      <c r="G129" s="3">
        <v>17781.21</v>
      </c>
      <c r="H129" s="3">
        <v>17781.21</v>
      </c>
      <c r="I129" s="3">
        <v>17781.21</v>
      </c>
      <c r="J129" s="3">
        <v>17781.21</v>
      </c>
      <c r="K129" s="3">
        <v>17781.21</v>
      </c>
      <c r="L129" s="3">
        <v>17781.21</v>
      </c>
      <c r="M129" s="3">
        <v>17781.21</v>
      </c>
      <c r="N129" s="3">
        <v>17781.21</v>
      </c>
      <c r="O129" s="3">
        <v>17781.21</v>
      </c>
      <c r="P129" s="3">
        <v>17781.21</v>
      </c>
      <c r="Q129" s="3">
        <v>17781.21</v>
      </c>
      <c r="R129" s="3">
        <v>17781.21</v>
      </c>
      <c r="S129" s="3">
        <v>17781.21</v>
      </c>
      <c r="T129" s="3">
        <v>17781.21</v>
      </c>
      <c r="U129" s="3">
        <v>17781.21</v>
      </c>
      <c r="V129" s="3">
        <v>17781.21</v>
      </c>
      <c r="W129" s="3">
        <v>17781.21</v>
      </c>
      <c r="X129" s="3">
        <v>17781.21</v>
      </c>
      <c r="Y129" s="3">
        <v>17781.21</v>
      </c>
      <c r="Z129" s="3">
        <v>17781.21</v>
      </c>
      <c r="AA129" s="6">
        <v>17781.21</v>
      </c>
      <c r="AB129" s="134">
        <f t="shared" si="11"/>
        <v>426749.0400000001</v>
      </c>
      <c r="AC129" s="134">
        <v>1</v>
      </c>
      <c r="AD129" s="135"/>
    </row>
    <row r="130" spans="2:30">
      <c r="B130" s="124">
        <v>48061</v>
      </c>
      <c r="C130" s="125" t="s">
        <v>5</v>
      </c>
      <c r="D130" s="2">
        <v>17781.21</v>
      </c>
      <c r="E130" s="2">
        <v>17781.21</v>
      </c>
      <c r="F130" s="2">
        <v>17781.21</v>
      </c>
      <c r="G130" s="2">
        <v>17781.21</v>
      </c>
      <c r="H130" s="2">
        <v>17781.21</v>
      </c>
      <c r="I130" s="2">
        <v>17781.21</v>
      </c>
      <c r="J130" s="2">
        <v>17781.21</v>
      </c>
      <c r="K130" s="2">
        <v>17781.21</v>
      </c>
      <c r="L130" s="2">
        <v>17781.21</v>
      </c>
      <c r="M130" s="2">
        <v>17781.21</v>
      </c>
      <c r="N130" s="2">
        <v>17781.21</v>
      </c>
      <c r="O130" s="2">
        <v>17781.21</v>
      </c>
      <c r="P130" s="2">
        <v>17781.21</v>
      </c>
      <c r="Q130" s="2">
        <v>17781.21</v>
      </c>
      <c r="R130" s="2">
        <v>17781.21</v>
      </c>
      <c r="S130" s="2">
        <v>17781.21</v>
      </c>
      <c r="T130" s="2">
        <v>17781.21</v>
      </c>
      <c r="U130" s="2">
        <v>17781.21</v>
      </c>
      <c r="V130" s="2">
        <v>17781.21</v>
      </c>
      <c r="W130" s="2">
        <v>17781.21</v>
      </c>
      <c r="X130" s="2">
        <v>17781.21</v>
      </c>
      <c r="Y130" s="2">
        <v>17781.21</v>
      </c>
      <c r="Z130" s="2">
        <v>17781.21</v>
      </c>
      <c r="AA130" s="4">
        <v>17781.21</v>
      </c>
      <c r="AB130" s="126">
        <f t="shared" si="11"/>
        <v>426749.0400000001</v>
      </c>
      <c r="AC130" s="126">
        <v>19</v>
      </c>
      <c r="AD130" s="127">
        <f>(AB130*AC130)+(AB131*AC131)+(AB132*AC132)+(AB133*AC133)</f>
        <v>13229220.240000004</v>
      </c>
    </row>
    <row r="131" spans="2:30">
      <c r="B131" s="128"/>
      <c r="C131" s="129" t="s">
        <v>6</v>
      </c>
      <c r="D131" s="1">
        <v>17781.21</v>
      </c>
      <c r="E131" s="1">
        <v>17781.21</v>
      </c>
      <c r="F131" s="1">
        <v>17781.21</v>
      </c>
      <c r="G131" s="1">
        <v>17781.21</v>
      </c>
      <c r="H131" s="1">
        <v>17781.21</v>
      </c>
      <c r="I131" s="1">
        <v>17781.21</v>
      </c>
      <c r="J131" s="1">
        <v>17781.21</v>
      </c>
      <c r="K131" s="1">
        <v>17781.21</v>
      </c>
      <c r="L131" s="1">
        <v>17781.21</v>
      </c>
      <c r="M131" s="1">
        <v>17781.21</v>
      </c>
      <c r="N131" s="1">
        <v>17781.21</v>
      </c>
      <c r="O131" s="1">
        <v>17781.21</v>
      </c>
      <c r="P131" s="1">
        <v>17781.21</v>
      </c>
      <c r="Q131" s="1">
        <v>17781.21</v>
      </c>
      <c r="R131" s="1">
        <v>17781.21</v>
      </c>
      <c r="S131" s="1">
        <v>17781.21</v>
      </c>
      <c r="T131" s="1">
        <v>17781.21</v>
      </c>
      <c r="U131" s="1">
        <v>17781.21</v>
      </c>
      <c r="V131" s="1">
        <v>17781.21</v>
      </c>
      <c r="W131" s="1">
        <v>17781.21</v>
      </c>
      <c r="X131" s="1">
        <v>17781.21</v>
      </c>
      <c r="Y131" s="1">
        <v>17781.21</v>
      </c>
      <c r="Z131" s="1">
        <v>17781.21</v>
      </c>
      <c r="AA131" s="5">
        <v>17781.21</v>
      </c>
      <c r="AB131" s="130">
        <f t="shared" si="11"/>
        <v>426749.0400000001</v>
      </c>
      <c r="AC131" s="130">
        <v>5</v>
      </c>
      <c r="AD131" s="131"/>
    </row>
    <row r="132" spans="2:30">
      <c r="B132" s="128"/>
      <c r="C132" s="129" t="s">
        <v>7</v>
      </c>
      <c r="D132" s="1">
        <v>17781.21</v>
      </c>
      <c r="E132" s="1">
        <v>17781.21</v>
      </c>
      <c r="F132" s="1">
        <v>17781.21</v>
      </c>
      <c r="G132" s="1">
        <v>17781.21</v>
      </c>
      <c r="H132" s="1">
        <v>17781.21</v>
      </c>
      <c r="I132" s="1">
        <v>17781.21</v>
      </c>
      <c r="J132" s="1">
        <v>17781.21</v>
      </c>
      <c r="K132" s="1">
        <v>17781.21</v>
      </c>
      <c r="L132" s="1">
        <v>17781.21</v>
      </c>
      <c r="M132" s="1">
        <v>17781.21</v>
      </c>
      <c r="N132" s="1">
        <v>17781.21</v>
      </c>
      <c r="O132" s="1">
        <v>17781.21</v>
      </c>
      <c r="P132" s="1">
        <v>17781.21</v>
      </c>
      <c r="Q132" s="1">
        <v>17781.21</v>
      </c>
      <c r="R132" s="1">
        <v>17781.21</v>
      </c>
      <c r="S132" s="1">
        <v>17781.21</v>
      </c>
      <c r="T132" s="1">
        <v>17781.21</v>
      </c>
      <c r="U132" s="1">
        <v>17781.21</v>
      </c>
      <c r="V132" s="1">
        <v>17781.21</v>
      </c>
      <c r="W132" s="1">
        <v>17781.21</v>
      </c>
      <c r="X132" s="1">
        <v>17781.21</v>
      </c>
      <c r="Y132" s="1">
        <v>17781.21</v>
      </c>
      <c r="Z132" s="1">
        <v>17781.21</v>
      </c>
      <c r="AA132" s="5">
        <v>17781.21</v>
      </c>
      <c r="AB132" s="130">
        <f t="shared" si="11"/>
        <v>426749.0400000001</v>
      </c>
      <c r="AC132" s="130">
        <v>5</v>
      </c>
      <c r="AD132" s="131"/>
    </row>
    <row r="133" spans="2:30" ht="15" thickBot="1">
      <c r="B133" s="132"/>
      <c r="C133" s="133" t="s">
        <v>8</v>
      </c>
      <c r="D133" s="3">
        <v>17781.21</v>
      </c>
      <c r="E133" s="3">
        <v>17781.21</v>
      </c>
      <c r="F133" s="3">
        <v>17781.21</v>
      </c>
      <c r="G133" s="3">
        <v>17781.21</v>
      </c>
      <c r="H133" s="3">
        <v>17781.21</v>
      </c>
      <c r="I133" s="3">
        <v>17781.21</v>
      </c>
      <c r="J133" s="3">
        <v>17781.21</v>
      </c>
      <c r="K133" s="3">
        <v>17781.21</v>
      </c>
      <c r="L133" s="3">
        <v>17781.21</v>
      </c>
      <c r="M133" s="3">
        <v>17781.21</v>
      </c>
      <c r="N133" s="3">
        <v>17781.21</v>
      </c>
      <c r="O133" s="3">
        <v>17781.21</v>
      </c>
      <c r="P133" s="3">
        <v>17781.21</v>
      </c>
      <c r="Q133" s="3">
        <v>17781.21</v>
      </c>
      <c r="R133" s="3">
        <v>17781.21</v>
      </c>
      <c r="S133" s="3">
        <v>17781.21</v>
      </c>
      <c r="T133" s="3">
        <v>17781.21</v>
      </c>
      <c r="U133" s="3">
        <v>17781.21</v>
      </c>
      <c r="V133" s="3">
        <v>17781.21</v>
      </c>
      <c r="W133" s="3">
        <v>17781.21</v>
      </c>
      <c r="X133" s="3">
        <v>17781.21</v>
      </c>
      <c r="Y133" s="3">
        <v>17781.21</v>
      </c>
      <c r="Z133" s="3">
        <v>17781.21</v>
      </c>
      <c r="AA133" s="6">
        <v>17781.21</v>
      </c>
      <c r="AB133" s="134">
        <f t="shared" si="11"/>
        <v>426749.0400000001</v>
      </c>
      <c r="AC133" s="134">
        <v>2</v>
      </c>
      <c r="AD133" s="135"/>
    </row>
    <row r="134" spans="2:30">
      <c r="B134" s="124">
        <v>48092</v>
      </c>
      <c r="C134" s="125" t="s">
        <v>5</v>
      </c>
      <c r="D134" s="2">
        <v>17781.21</v>
      </c>
      <c r="E134" s="2">
        <v>17781.21</v>
      </c>
      <c r="F134" s="2">
        <v>17781.21</v>
      </c>
      <c r="G134" s="2">
        <v>17781.21</v>
      </c>
      <c r="H134" s="2">
        <v>17781.21</v>
      </c>
      <c r="I134" s="2">
        <v>17781.21</v>
      </c>
      <c r="J134" s="2">
        <v>17781.21</v>
      </c>
      <c r="K134" s="2">
        <v>17781.21</v>
      </c>
      <c r="L134" s="2">
        <v>17781.21</v>
      </c>
      <c r="M134" s="2">
        <v>17781.21</v>
      </c>
      <c r="N134" s="2">
        <v>17781.21</v>
      </c>
      <c r="O134" s="2">
        <v>17781.21</v>
      </c>
      <c r="P134" s="2">
        <v>17781.21</v>
      </c>
      <c r="Q134" s="2">
        <v>17781.21</v>
      </c>
      <c r="R134" s="2">
        <v>17781.21</v>
      </c>
      <c r="S134" s="2">
        <v>17781.21</v>
      </c>
      <c r="T134" s="2">
        <v>17781.21</v>
      </c>
      <c r="U134" s="2">
        <v>17781.21</v>
      </c>
      <c r="V134" s="2">
        <v>17781.21</v>
      </c>
      <c r="W134" s="2">
        <v>17781.21</v>
      </c>
      <c r="X134" s="2">
        <v>17781.21</v>
      </c>
      <c r="Y134" s="2">
        <v>17781.21</v>
      </c>
      <c r="Z134" s="2">
        <v>17781.21</v>
      </c>
      <c r="AA134" s="4">
        <v>17781.21</v>
      </c>
      <c r="AB134" s="126">
        <f t="shared" si="11"/>
        <v>426749.0400000001</v>
      </c>
      <c r="AC134" s="126">
        <v>22</v>
      </c>
      <c r="AD134" s="127">
        <f>(AB134*AC134)+(AB135*AC135)+(AB136*AC136)+(AB137*AC137)</f>
        <v>12802471.200000003</v>
      </c>
    </row>
    <row r="135" spans="2:30">
      <c r="B135" s="128"/>
      <c r="C135" s="129" t="s">
        <v>6</v>
      </c>
      <c r="D135" s="1">
        <v>17781.21</v>
      </c>
      <c r="E135" s="1">
        <v>17781.21</v>
      </c>
      <c r="F135" s="1">
        <v>17781.21</v>
      </c>
      <c r="G135" s="1">
        <v>17781.21</v>
      </c>
      <c r="H135" s="1">
        <v>17781.21</v>
      </c>
      <c r="I135" s="1">
        <v>17781.21</v>
      </c>
      <c r="J135" s="1">
        <v>17781.21</v>
      </c>
      <c r="K135" s="1">
        <v>17781.21</v>
      </c>
      <c r="L135" s="1">
        <v>17781.21</v>
      </c>
      <c r="M135" s="1">
        <v>17781.21</v>
      </c>
      <c r="N135" s="1">
        <v>17781.21</v>
      </c>
      <c r="O135" s="1">
        <v>17781.21</v>
      </c>
      <c r="P135" s="1">
        <v>17781.21</v>
      </c>
      <c r="Q135" s="1">
        <v>17781.21</v>
      </c>
      <c r="R135" s="1">
        <v>17781.21</v>
      </c>
      <c r="S135" s="1">
        <v>17781.21</v>
      </c>
      <c r="T135" s="1">
        <v>17781.21</v>
      </c>
      <c r="U135" s="1">
        <v>17781.21</v>
      </c>
      <c r="V135" s="1">
        <v>17781.21</v>
      </c>
      <c r="W135" s="1">
        <v>17781.21</v>
      </c>
      <c r="X135" s="1">
        <v>17781.21</v>
      </c>
      <c r="Y135" s="1">
        <v>17781.21</v>
      </c>
      <c r="Z135" s="1">
        <v>17781.21</v>
      </c>
      <c r="AA135" s="5">
        <v>17781.21</v>
      </c>
      <c r="AB135" s="130">
        <f t="shared" si="11"/>
        <v>426749.0400000001</v>
      </c>
      <c r="AC135" s="130">
        <v>4</v>
      </c>
      <c r="AD135" s="131"/>
    </row>
    <row r="136" spans="2:30">
      <c r="B136" s="128"/>
      <c r="C136" s="129" t="s">
        <v>7</v>
      </c>
      <c r="D136" s="1">
        <v>17781.21</v>
      </c>
      <c r="E136" s="1">
        <v>17781.21</v>
      </c>
      <c r="F136" s="1">
        <v>17781.21</v>
      </c>
      <c r="G136" s="1">
        <v>17781.21</v>
      </c>
      <c r="H136" s="1">
        <v>17781.21</v>
      </c>
      <c r="I136" s="1">
        <v>17781.21</v>
      </c>
      <c r="J136" s="1">
        <v>17781.21</v>
      </c>
      <c r="K136" s="1">
        <v>17781.21</v>
      </c>
      <c r="L136" s="1">
        <v>17781.21</v>
      </c>
      <c r="M136" s="1">
        <v>17781.21</v>
      </c>
      <c r="N136" s="1">
        <v>17781.21</v>
      </c>
      <c r="O136" s="1">
        <v>17781.21</v>
      </c>
      <c r="P136" s="1">
        <v>17781.21</v>
      </c>
      <c r="Q136" s="1">
        <v>17781.21</v>
      </c>
      <c r="R136" s="1">
        <v>17781.21</v>
      </c>
      <c r="S136" s="1">
        <v>17781.21</v>
      </c>
      <c r="T136" s="1">
        <v>17781.21</v>
      </c>
      <c r="U136" s="1">
        <v>17781.21</v>
      </c>
      <c r="V136" s="1">
        <v>17781.21</v>
      </c>
      <c r="W136" s="1">
        <v>17781.21</v>
      </c>
      <c r="X136" s="1">
        <v>17781.21</v>
      </c>
      <c r="Y136" s="1">
        <v>17781.21</v>
      </c>
      <c r="Z136" s="1">
        <v>17781.21</v>
      </c>
      <c r="AA136" s="5">
        <v>17781.21</v>
      </c>
      <c r="AB136" s="130">
        <f t="shared" si="11"/>
        <v>426749.0400000001</v>
      </c>
      <c r="AC136" s="130">
        <v>4</v>
      </c>
      <c r="AD136" s="131"/>
    </row>
    <row r="137" spans="2:30" ht="15" thickBot="1">
      <c r="B137" s="132"/>
      <c r="C137" s="133" t="s">
        <v>8</v>
      </c>
      <c r="D137" s="3">
        <v>17781.21</v>
      </c>
      <c r="E137" s="3">
        <v>17781.21</v>
      </c>
      <c r="F137" s="3">
        <v>17781.21</v>
      </c>
      <c r="G137" s="3">
        <v>17781.21</v>
      </c>
      <c r="H137" s="3">
        <v>17781.21</v>
      </c>
      <c r="I137" s="3">
        <v>17781.21</v>
      </c>
      <c r="J137" s="3">
        <v>17781.21</v>
      </c>
      <c r="K137" s="3">
        <v>17781.21</v>
      </c>
      <c r="L137" s="3">
        <v>17781.21</v>
      </c>
      <c r="M137" s="3">
        <v>17781.21</v>
      </c>
      <c r="N137" s="3">
        <v>17781.21</v>
      </c>
      <c r="O137" s="3">
        <v>17781.21</v>
      </c>
      <c r="P137" s="3">
        <v>17781.21</v>
      </c>
      <c r="Q137" s="3">
        <v>17781.21</v>
      </c>
      <c r="R137" s="3">
        <v>17781.21</v>
      </c>
      <c r="S137" s="3">
        <v>17781.21</v>
      </c>
      <c r="T137" s="3">
        <v>17781.21</v>
      </c>
      <c r="U137" s="3">
        <v>17781.21</v>
      </c>
      <c r="V137" s="3">
        <v>17781.21</v>
      </c>
      <c r="W137" s="3">
        <v>17781.21</v>
      </c>
      <c r="X137" s="3">
        <v>17781.21</v>
      </c>
      <c r="Y137" s="3">
        <v>17781.21</v>
      </c>
      <c r="Z137" s="3">
        <v>17781.21</v>
      </c>
      <c r="AA137" s="6">
        <v>17781.21</v>
      </c>
      <c r="AB137" s="134">
        <f t="shared" si="11"/>
        <v>426749.0400000001</v>
      </c>
      <c r="AC137" s="134">
        <v>0</v>
      </c>
      <c r="AD137" s="135"/>
    </row>
    <row r="138" spans="2:30">
      <c r="B138" s="124">
        <v>48122</v>
      </c>
      <c r="C138" s="125" t="s">
        <v>5</v>
      </c>
      <c r="D138" s="2">
        <v>17781.21</v>
      </c>
      <c r="E138" s="2">
        <v>17781.21</v>
      </c>
      <c r="F138" s="2">
        <v>17781.21</v>
      </c>
      <c r="G138" s="2">
        <v>17781.21</v>
      </c>
      <c r="H138" s="2">
        <v>17781.21</v>
      </c>
      <c r="I138" s="2">
        <v>17781.21</v>
      </c>
      <c r="J138" s="2">
        <v>17781.21</v>
      </c>
      <c r="K138" s="2">
        <v>17781.21</v>
      </c>
      <c r="L138" s="2">
        <v>17781.21</v>
      </c>
      <c r="M138" s="2">
        <v>17781.21</v>
      </c>
      <c r="N138" s="2">
        <v>17781.21</v>
      </c>
      <c r="O138" s="2">
        <v>17781.21</v>
      </c>
      <c r="P138" s="2">
        <v>17781.21</v>
      </c>
      <c r="Q138" s="2">
        <v>17781.21</v>
      </c>
      <c r="R138" s="2">
        <v>17781.21</v>
      </c>
      <c r="S138" s="2">
        <v>17781.21</v>
      </c>
      <c r="T138" s="2">
        <v>17781.21</v>
      </c>
      <c r="U138" s="2">
        <v>17781.21</v>
      </c>
      <c r="V138" s="2">
        <v>17781.21</v>
      </c>
      <c r="W138" s="2">
        <v>17781.21</v>
      </c>
      <c r="X138" s="2">
        <v>17781.21</v>
      </c>
      <c r="Y138" s="2">
        <v>17781.21</v>
      </c>
      <c r="Z138" s="2">
        <v>17781.21</v>
      </c>
      <c r="AA138" s="4">
        <v>17781.21</v>
      </c>
      <c r="AB138" s="126">
        <f t="shared" si="11"/>
        <v>426749.0400000001</v>
      </c>
      <c r="AC138" s="126">
        <v>22</v>
      </c>
      <c r="AD138" s="127">
        <f>(AB138*AC138)+(AB139*AC139)+(AB140*AC140)+(AB141*AC141)</f>
        <v>13229220.240000004</v>
      </c>
    </row>
    <row r="139" spans="2:30">
      <c r="B139" s="128"/>
      <c r="C139" s="129" t="s">
        <v>6</v>
      </c>
      <c r="D139" s="1">
        <v>17781.21</v>
      </c>
      <c r="E139" s="1">
        <v>17781.21</v>
      </c>
      <c r="F139" s="1">
        <v>17781.21</v>
      </c>
      <c r="G139" s="1">
        <v>17781.21</v>
      </c>
      <c r="H139" s="1">
        <v>17781.21</v>
      </c>
      <c r="I139" s="1">
        <v>17781.21</v>
      </c>
      <c r="J139" s="1">
        <v>17781.21</v>
      </c>
      <c r="K139" s="1">
        <v>17781.21</v>
      </c>
      <c r="L139" s="1">
        <v>17781.21</v>
      </c>
      <c r="M139" s="1">
        <v>17781.21</v>
      </c>
      <c r="N139" s="1">
        <v>17781.21</v>
      </c>
      <c r="O139" s="1">
        <v>17781.21</v>
      </c>
      <c r="P139" s="1">
        <v>17781.21</v>
      </c>
      <c r="Q139" s="1">
        <v>17781.21</v>
      </c>
      <c r="R139" s="1">
        <v>17781.21</v>
      </c>
      <c r="S139" s="1">
        <v>17781.21</v>
      </c>
      <c r="T139" s="1">
        <v>17781.21</v>
      </c>
      <c r="U139" s="1">
        <v>17781.21</v>
      </c>
      <c r="V139" s="1">
        <v>17781.21</v>
      </c>
      <c r="W139" s="1">
        <v>17781.21</v>
      </c>
      <c r="X139" s="1">
        <v>17781.21</v>
      </c>
      <c r="Y139" s="1">
        <v>17781.21</v>
      </c>
      <c r="Z139" s="1">
        <v>17781.21</v>
      </c>
      <c r="AA139" s="5">
        <v>17781.21</v>
      </c>
      <c r="AB139" s="130">
        <f t="shared" si="11"/>
        <v>426749.0400000001</v>
      </c>
      <c r="AC139" s="130">
        <v>4</v>
      </c>
      <c r="AD139" s="131"/>
    </row>
    <row r="140" spans="2:30">
      <c r="B140" s="128"/>
      <c r="C140" s="129" t="s">
        <v>7</v>
      </c>
      <c r="D140" s="1">
        <v>17781.21</v>
      </c>
      <c r="E140" s="1">
        <v>17781.21</v>
      </c>
      <c r="F140" s="1">
        <v>17781.21</v>
      </c>
      <c r="G140" s="1">
        <v>17781.21</v>
      </c>
      <c r="H140" s="1">
        <v>17781.21</v>
      </c>
      <c r="I140" s="1">
        <v>17781.21</v>
      </c>
      <c r="J140" s="1">
        <v>17781.21</v>
      </c>
      <c r="K140" s="1">
        <v>17781.21</v>
      </c>
      <c r="L140" s="1">
        <v>17781.21</v>
      </c>
      <c r="M140" s="1">
        <v>17781.21</v>
      </c>
      <c r="N140" s="1">
        <v>17781.21</v>
      </c>
      <c r="O140" s="1">
        <v>17781.21</v>
      </c>
      <c r="P140" s="1">
        <v>17781.21</v>
      </c>
      <c r="Q140" s="1">
        <v>17781.21</v>
      </c>
      <c r="R140" s="1">
        <v>17781.21</v>
      </c>
      <c r="S140" s="1">
        <v>17781.21</v>
      </c>
      <c r="T140" s="1">
        <v>17781.21</v>
      </c>
      <c r="U140" s="1">
        <v>17781.21</v>
      </c>
      <c r="V140" s="1">
        <v>17781.21</v>
      </c>
      <c r="W140" s="1">
        <v>17781.21</v>
      </c>
      <c r="X140" s="1">
        <v>17781.21</v>
      </c>
      <c r="Y140" s="1">
        <v>17781.21</v>
      </c>
      <c r="Z140" s="1">
        <v>17781.21</v>
      </c>
      <c r="AA140" s="5">
        <v>17781.21</v>
      </c>
      <c r="AB140" s="130">
        <f t="shared" si="11"/>
        <v>426749.0400000001</v>
      </c>
      <c r="AC140" s="130">
        <v>4</v>
      </c>
      <c r="AD140" s="131"/>
    </row>
    <row r="141" spans="2:30" ht="15" thickBot="1">
      <c r="B141" s="132"/>
      <c r="C141" s="133" t="s">
        <v>8</v>
      </c>
      <c r="D141" s="3">
        <v>17781.21</v>
      </c>
      <c r="E141" s="3">
        <v>17781.21</v>
      </c>
      <c r="F141" s="3">
        <v>17781.21</v>
      </c>
      <c r="G141" s="3">
        <v>17781.21</v>
      </c>
      <c r="H141" s="3">
        <v>17781.21</v>
      </c>
      <c r="I141" s="3">
        <v>17781.21</v>
      </c>
      <c r="J141" s="3">
        <v>17781.21</v>
      </c>
      <c r="K141" s="3">
        <v>17781.21</v>
      </c>
      <c r="L141" s="3">
        <v>17781.21</v>
      </c>
      <c r="M141" s="3">
        <v>17781.21</v>
      </c>
      <c r="N141" s="3">
        <v>17781.21</v>
      </c>
      <c r="O141" s="3">
        <v>17781.21</v>
      </c>
      <c r="P141" s="3">
        <v>17781.21</v>
      </c>
      <c r="Q141" s="3">
        <v>17781.21</v>
      </c>
      <c r="R141" s="3">
        <v>17781.21</v>
      </c>
      <c r="S141" s="3">
        <v>17781.21</v>
      </c>
      <c r="T141" s="3">
        <v>17781.21</v>
      </c>
      <c r="U141" s="3">
        <v>17781.21</v>
      </c>
      <c r="V141" s="3">
        <v>17781.21</v>
      </c>
      <c r="W141" s="3">
        <v>17781.21</v>
      </c>
      <c r="X141" s="3">
        <v>17781.21</v>
      </c>
      <c r="Y141" s="3">
        <v>17781.21</v>
      </c>
      <c r="Z141" s="3">
        <v>17781.21</v>
      </c>
      <c r="AA141" s="6">
        <v>17781.21</v>
      </c>
      <c r="AB141" s="134">
        <f t="shared" si="11"/>
        <v>426749.0400000001</v>
      </c>
      <c r="AC141" s="134">
        <v>1</v>
      </c>
      <c r="AD141" s="135"/>
    </row>
    <row r="142" spans="2:30">
      <c r="B142" s="124">
        <v>48153</v>
      </c>
      <c r="C142" s="125" t="s">
        <v>5</v>
      </c>
      <c r="D142" s="2">
        <v>17781.21</v>
      </c>
      <c r="E142" s="2">
        <v>17781.21</v>
      </c>
      <c r="F142" s="2">
        <v>17781.21</v>
      </c>
      <c r="G142" s="2">
        <v>17781.21</v>
      </c>
      <c r="H142" s="2">
        <v>17781.21</v>
      </c>
      <c r="I142" s="2">
        <v>17781.21</v>
      </c>
      <c r="J142" s="2">
        <v>17781.21</v>
      </c>
      <c r="K142" s="2">
        <v>17781.21</v>
      </c>
      <c r="L142" s="2">
        <v>17781.21</v>
      </c>
      <c r="M142" s="2">
        <v>17781.21</v>
      </c>
      <c r="N142" s="2">
        <v>17781.21</v>
      </c>
      <c r="O142" s="2">
        <v>17781.21</v>
      </c>
      <c r="P142" s="2">
        <v>17781.21</v>
      </c>
      <c r="Q142" s="2">
        <v>17781.21</v>
      </c>
      <c r="R142" s="2">
        <v>17781.21</v>
      </c>
      <c r="S142" s="2">
        <v>17781.21</v>
      </c>
      <c r="T142" s="2">
        <v>17781.21</v>
      </c>
      <c r="U142" s="2">
        <v>17781.21</v>
      </c>
      <c r="V142" s="2">
        <v>17781.21</v>
      </c>
      <c r="W142" s="2">
        <v>17781.21</v>
      </c>
      <c r="X142" s="2">
        <v>17781.21</v>
      </c>
      <c r="Y142" s="2">
        <v>17781.21</v>
      </c>
      <c r="Z142" s="2">
        <v>17781.21</v>
      </c>
      <c r="AA142" s="4">
        <v>17781.21</v>
      </c>
      <c r="AB142" s="126">
        <f t="shared" si="11"/>
        <v>426749.0400000001</v>
      </c>
      <c r="AC142" s="126">
        <v>18</v>
      </c>
      <c r="AD142" s="127">
        <f>(AB142*AC142)+(AB143*AC143)+(AB144*AC144)+(AB145*AC145)</f>
        <v>12802471.200000003</v>
      </c>
    </row>
    <row r="143" spans="2:30">
      <c r="B143" s="128"/>
      <c r="C143" s="129" t="s">
        <v>6</v>
      </c>
      <c r="D143" s="1">
        <v>17781.21</v>
      </c>
      <c r="E143" s="1">
        <v>17781.21</v>
      </c>
      <c r="F143" s="1">
        <v>17781.21</v>
      </c>
      <c r="G143" s="1">
        <v>17781.21</v>
      </c>
      <c r="H143" s="1">
        <v>17781.21</v>
      </c>
      <c r="I143" s="1">
        <v>17781.21</v>
      </c>
      <c r="J143" s="1">
        <v>17781.21</v>
      </c>
      <c r="K143" s="1">
        <v>17781.21</v>
      </c>
      <c r="L143" s="1">
        <v>17781.21</v>
      </c>
      <c r="M143" s="1">
        <v>17781.21</v>
      </c>
      <c r="N143" s="1">
        <v>17781.21</v>
      </c>
      <c r="O143" s="1">
        <v>17781.21</v>
      </c>
      <c r="P143" s="1">
        <v>17781.21</v>
      </c>
      <c r="Q143" s="1">
        <v>17781.21</v>
      </c>
      <c r="R143" s="1">
        <v>17781.21</v>
      </c>
      <c r="S143" s="1">
        <v>17781.21</v>
      </c>
      <c r="T143" s="1">
        <v>17781.21</v>
      </c>
      <c r="U143" s="1">
        <v>17781.21</v>
      </c>
      <c r="V143" s="1">
        <v>17781.21</v>
      </c>
      <c r="W143" s="1">
        <v>17781.21</v>
      </c>
      <c r="X143" s="1">
        <v>17781.21</v>
      </c>
      <c r="Y143" s="1">
        <v>17781.21</v>
      </c>
      <c r="Z143" s="1">
        <v>17781.21</v>
      </c>
      <c r="AA143" s="5">
        <v>17781.21</v>
      </c>
      <c r="AB143" s="130">
        <f t="shared" si="11"/>
        <v>426749.0400000001</v>
      </c>
      <c r="AC143" s="130">
        <v>5</v>
      </c>
      <c r="AD143" s="131"/>
    </row>
    <row r="144" spans="2:30">
      <c r="B144" s="128"/>
      <c r="C144" s="129" t="s">
        <v>7</v>
      </c>
      <c r="D144" s="1">
        <v>17781.21</v>
      </c>
      <c r="E144" s="1">
        <v>17781.21</v>
      </c>
      <c r="F144" s="1">
        <v>17781.21</v>
      </c>
      <c r="G144" s="1">
        <v>17781.21</v>
      </c>
      <c r="H144" s="1">
        <v>17781.21</v>
      </c>
      <c r="I144" s="1">
        <v>17781.21</v>
      </c>
      <c r="J144" s="1">
        <v>17781.21</v>
      </c>
      <c r="K144" s="1">
        <v>17781.21</v>
      </c>
      <c r="L144" s="1">
        <v>17781.21</v>
      </c>
      <c r="M144" s="1">
        <v>17781.21</v>
      </c>
      <c r="N144" s="1">
        <v>17781.21</v>
      </c>
      <c r="O144" s="1">
        <v>17781.21</v>
      </c>
      <c r="P144" s="1">
        <v>17781.21</v>
      </c>
      <c r="Q144" s="1">
        <v>17781.21</v>
      </c>
      <c r="R144" s="1">
        <v>17781.21</v>
      </c>
      <c r="S144" s="1">
        <v>17781.21</v>
      </c>
      <c r="T144" s="1">
        <v>17781.21</v>
      </c>
      <c r="U144" s="1">
        <v>17781.21</v>
      </c>
      <c r="V144" s="1">
        <v>17781.21</v>
      </c>
      <c r="W144" s="1">
        <v>17781.21</v>
      </c>
      <c r="X144" s="1">
        <v>17781.21</v>
      </c>
      <c r="Y144" s="1">
        <v>17781.21</v>
      </c>
      <c r="Z144" s="1">
        <v>17781.21</v>
      </c>
      <c r="AA144" s="5">
        <v>17781.21</v>
      </c>
      <c r="AB144" s="130">
        <f t="shared" si="11"/>
        <v>426749.0400000001</v>
      </c>
      <c r="AC144" s="130">
        <v>5</v>
      </c>
      <c r="AD144" s="131"/>
    </row>
    <row r="145" spans="2:30" ht="15" thickBot="1">
      <c r="B145" s="132"/>
      <c r="C145" s="133" t="s">
        <v>8</v>
      </c>
      <c r="D145" s="3">
        <v>17781.21</v>
      </c>
      <c r="E145" s="3">
        <v>17781.21</v>
      </c>
      <c r="F145" s="3">
        <v>17781.21</v>
      </c>
      <c r="G145" s="3">
        <v>17781.21</v>
      </c>
      <c r="H145" s="3">
        <v>17781.21</v>
      </c>
      <c r="I145" s="3">
        <v>17781.21</v>
      </c>
      <c r="J145" s="3">
        <v>17781.21</v>
      </c>
      <c r="K145" s="3">
        <v>17781.21</v>
      </c>
      <c r="L145" s="3">
        <v>17781.21</v>
      </c>
      <c r="M145" s="3">
        <v>17781.21</v>
      </c>
      <c r="N145" s="3">
        <v>17781.21</v>
      </c>
      <c r="O145" s="3">
        <v>17781.21</v>
      </c>
      <c r="P145" s="3">
        <v>17781.21</v>
      </c>
      <c r="Q145" s="3">
        <v>17781.21</v>
      </c>
      <c r="R145" s="3">
        <v>17781.21</v>
      </c>
      <c r="S145" s="3">
        <v>17781.21</v>
      </c>
      <c r="T145" s="3">
        <v>17781.21</v>
      </c>
      <c r="U145" s="3">
        <v>17781.21</v>
      </c>
      <c r="V145" s="3">
        <v>17781.21</v>
      </c>
      <c r="W145" s="3">
        <v>17781.21</v>
      </c>
      <c r="X145" s="3">
        <v>17781.21</v>
      </c>
      <c r="Y145" s="3">
        <v>17781.21</v>
      </c>
      <c r="Z145" s="3">
        <v>17781.21</v>
      </c>
      <c r="AA145" s="6">
        <v>17781.21</v>
      </c>
      <c r="AB145" s="134">
        <f t="shared" si="11"/>
        <v>426749.0400000001</v>
      </c>
      <c r="AC145" s="134">
        <v>2</v>
      </c>
      <c r="AD145" s="135"/>
    </row>
    <row r="146" spans="2:30">
      <c r="B146" s="124">
        <v>48183</v>
      </c>
      <c r="C146" s="125" t="s">
        <v>5</v>
      </c>
      <c r="D146" s="2">
        <v>17781.21</v>
      </c>
      <c r="E146" s="2">
        <v>17781.21</v>
      </c>
      <c r="F146" s="2">
        <v>17781.21</v>
      </c>
      <c r="G146" s="2">
        <v>17781.21</v>
      </c>
      <c r="H146" s="2">
        <v>17781.21</v>
      </c>
      <c r="I146" s="2">
        <v>17781.21</v>
      </c>
      <c r="J146" s="2">
        <v>17781.21</v>
      </c>
      <c r="K146" s="2">
        <v>17781.21</v>
      </c>
      <c r="L146" s="2">
        <v>17781.21</v>
      </c>
      <c r="M146" s="2">
        <v>17781.21</v>
      </c>
      <c r="N146" s="2">
        <v>17781.21</v>
      </c>
      <c r="O146" s="2">
        <v>17781.21</v>
      </c>
      <c r="P146" s="2">
        <v>17781.21</v>
      </c>
      <c r="Q146" s="2">
        <v>17781.21</v>
      </c>
      <c r="R146" s="2">
        <v>17781.21</v>
      </c>
      <c r="S146" s="2">
        <v>17781.21</v>
      </c>
      <c r="T146" s="2">
        <v>17781.21</v>
      </c>
      <c r="U146" s="2">
        <v>17781.21</v>
      </c>
      <c r="V146" s="2">
        <v>17781.21</v>
      </c>
      <c r="W146" s="2">
        <v>17781.21</v>
      </c>
      <c r="X146" s="2">
        <v>17781.21</v>
      </c>
      <c r="Y146" s="2">
        <v>17781.21</v>
      </c>
      <c r="Z146" s="2">
        <v>17781.21</v>
      </c>
      <c r="AA146" s="4">
        <v>17781.21</v>
      </c>
      <c r="AB146" s="126">
        <f t="shared" si="11"/>
        <v>426749.0400000001</v>
      </c>
      <c r="AC146" s="126">
        <v>21</v>
      </c>
      <c r="AD146" s="127">
        <f>(AB146*AC146)+(AB147*AC147)+(AB148*AC148)+(AB149*AC149)</f>
        <v>13229220.240000002</v>
      </c>
    </row>
    <row r="147" spans="2:30">
      <c r="B147" s="128"/>
      <c r="C147" s="129" t="s">
        <v>6</v>
      </c>
      <c r="D147" s="1">
        <v>17781.21</v>
      </c>
      <c r="E147" s="1">
        <v>17781.21</v>
      </c>
      <c r="F147" s="1">
        <v>17781.21</v>
      </c>
      <c r="G147" s="1">
        <v>17781.21</v>
      </c>
      <c r="H147" s="1">
        <v>17781.21</v>
      </c>
      <c r="I147" s="1">
        <v>17781.21</v>
      </c>
      <c r="J147" s="1">
        <v>17781.21</v>
      </c>
      <c r="K147" s="1">
        <v>17781.21</v>
      </c>
      <c r="L147" s="1">
        <v>17781.21</v>
      </c>
      <c r="M147" s="1">
        <v>17781.21</v>
      </c>
      <c r="N147" s="1">
        <v>17781.21</v>
      </c>
      <c r="O147" s="1">
        <v>17781.21</v>
      </c>
      <c r="P147" s="1">
        <v>17781.21</v>
      </c>
      <c r="Q147" s="1">
        <v>17781.21</v>
      </c>
      <c r="R147" s="1">
        <v>17781.21</v>
      </c>
      <c r="S147" s="1">
        <v>17781.21</v>
      </c>
      <c r="T147" s="1">
        <v>17781.21</v>
      </c>
      <c r="U147" s="1">
        <v>17781.21</v>
      </c>
      <c r="V147" s="1">
        <v>17781.21</v>
      </c>
      <c r="W147" s="1">
        <v>17781.21</v>
      </c>
      <c r="X147" s="1">
        <v>17781.21</v>
      </c>
      <c r="Y147" s="1">
        <v>17781.21</v>
      </c>
      <c r="Z147" s="1">
        <v>17781.21</v>
      </c>
      <c r="AA147" s="5">
        <v>17781.21</v>
      </c>
      <c r="AB147" s="130">
        <f t="shared" si="11"/>
        <v>426749.0400000001</v>
      </c>
      <c r="AC147" s="130">
        <v>4</v>
      </c>
      <c r="AD147" s="131"/>
    </row>
    <row r="148" spans="2:30">
      <c r="B148" s="128"/>
      <c r="C148" s="129" t="s">
        <v>7</v>
      </c>
      <c r="D148" s="1">
        <v>17781.21</v>
      </c>
      <c r="E148" s="1">
        <v>17781.21</v>
      </c>
      <c r="F148" s="1">
        <v>17781.21</v>
      </c>
      <c r="G148" s="1">
        <v>17781.21</v>
      </c>
      <c r="H148" s="1">
        <v>17781.21</v>
      </c>
      <c r="I148" s="1">
        <v>17781.21</v>
      </c>
      <c r="J148" s="1">
        <v>17781.21</v>
      </c>
      <c r="K148" s="1">
        <v>17781.21</v>
      </c>
      <c r="L148" s="1">
        <v>17781.21</v>
      </c>
      <c r="M148" s="1">
        <v>17781.21</v>
      </c>
      <c r="N148" s="1">
        <v>17781.21</v>
      </c>
      <c r="O148" s="1">
        <v>17781.21</v>
      </c>
      <c r="P148" s="1">
        <v>17781.21</v>
      </c>
      <c r="Q148" s="1">
        <v>17781.21</v>
      </c>
      <c r="R148" s="1">
        <v>17781.21</v>
      </c>
      <c r="S148" s="1">
        <v>17781.21</v>
      </c>
      <c r="T148" s="1">
        <v>17781.21</v>
      </c>
      <c r="U148" s="1">
        <v>17781.21</v>
      </c>
      <c r="V148" s="1">
        <v>17781.21</v>
      </c>
      <c r="W148" s="1">
        <v>17781.21</v>
      </c>
      <c r="X148" s="1">
        <v>17781.21</v>
      </c>
      <c r="Y148" s="1">
        <v>17781.21</v>
      </c>
      <c r="Z148" s="1">
        <v>17781.21</v>
      </c>
      <c r="AA148" s="5">
        <v>17781.21</v>
      </c>
      <c r="AB148" s="130">
        <f t="shared" si="11"/>
        <v>426749.0400000001</v>
      </c>
      <c r="AC148" s="130">
        <v>4</v>
      </c>
      <c r="AD148" s="131"/>
    </row>
    <row r="149" spans="2:30" ht="15" thickBot="1">
      <c r="B149" s="132"/>
      <c r="C149" s="133" t="s">
        <v>8</v>
      </c>
      <c r="D149" s="3">
        <v>17781.21</v>
      </c>
      <c r="E149" s="3">
        <v>17781.21</v>
      </c>
      <c r="F149" s="3">
        <v>17781.21</v>
      </c>
      <c r="G149" s="3">
        <v>17781.21</v>
      </c>
      <c r="H149" s="3">
        <v>17781.21</v>
      </c>
      <c r="I149" s="3">
        <v>17781.21</v>
      </c>
      <c r="J149" s="3">
        <v>17781.21</v>
      </c>
      <c r="K149" s="3">
        <v>17781.21</v>
      </c>
      <c r="L149" s="3">
        <v>17781.21</v>
      </c>
      <c r="M149" s="3">
        <v>17781.21</v>
      </c>
      <c r="N149" s="3">
        <v>17781.21</v>
      </c>
      <c r="O149" s="3">
        <v>17781.21</v>
      </c>
      <c r="P149" s="3">
        <v>17781.21</v>
      </c>
      <c r="Q149" s="3">
        <v>17781.21</v>
      </c>
      <c r="R149" s="3">
        <v>17781.21</v>
      </c>
      <c r="S149" s="3">
        <v>17781.21</v>
      </c>
      <c r="T149" s="3">
        <v>17781.21</v>
      </c>
      <c r="U149" s="3">
        <v>17781.21</v>
      </c>
      <c r="V149" s="3">
        <v>17781.21</v>
      </c>
      <c r="W149" s="3">
        <v>17781.21</v>
      </c>
      <c r="X149" s="3">
        <v>17781.21</v>
      </c>
      <c r="Y149" s="3">
        <v>17781.21</v>
      </c>
      <c r="Z149" s="3">
        <v>17781.21</v>
      </c>
      <c r="AA149" s="6">
        <v>17781.21</v>
      </c>
      <c r="AB149" s="134">
        <f t="shared" si="11"/>
        <v>426749.0400000001</v>
      </c>
      <c r="AC149" s="134">
        <v>2</v>
      </c>
      <c r="AD149" s="135"/>
    </row>
    <row r="150" spans="2:30">
      <c r="B150" s="124">
        <v>48214</v>
      </c>
      <c r="C150" s="125" t="s">
        <v>5</v>
      </c>
      <c r="D150" s="2">
        <v>18087.52</v>
      </c>
      <c r="E150" s="2">
        <v>18087.52</v>
      </c>
      <c r="F150" s="2">
        <v>18087.52</v>
      </c>
      <c r="G150" s="2">
        <v>18087.52</v>
      </c>
      <c r="H150" s="2">
        <v>18087.52</v>
      </c>
      <c r="I150" s="2">
        <v>18087.52</v>
      </c>
      <c r="J150" s="2">
        <v>18087.52</v>
      </c>
      <c r="K150" s="2">
        <v>18087.52</v>
      </c>
      <c r="L150" s="2">
        <v>18087.52</v>
      </c>
      <c r="M150" s="2">
        <v>18087.52</v>
      </c>
      <c r="N150" s="2">
        <v>18087.52</v>
      </c>
      <c r="O150" s="2">
        <v>18087.52</v>
      </c>
      <c r="P150" s="2">
        <v>18087.52</v>
      </c>
      <c r="Q150" s="2">
        <v>18087.52</v>
      </c>
      <c r="R150" s="2">
        <v>18087.52</v>
      </c>
      <c r="S150" s="2">
        <v>18087.52</v>
      </c>
      <c r="T150" s="2">
        <v>18087.52</v>
      </c>
      <c r="U150" s="2">
        <v>18087.52</v>
      </c>
      <c r="V150" s="2">
        <v>18087.52</v>
      </c>
      <c r="W150" s="2">
        <v>18087.52</v>
      </c>
      <c r="X150" s="2">
        <v>18087.52</v>
      </c>
      <c r="Y150" s="2">
        <v>18087.52</v>
      </c>
      <c r="Z150" s="2">
        <v>18087.52</v>
      </c>
      <c r="AA150" s="4">
        <v>18087.52</v>
      </c>
      <c r="AB150" s="126">
        <f t="shared" ref="AB150:AB197" si="12">(SUM(D150:AA150))</f>
        <v>434100.4800000001</v>
      </c>
      <c r="AC150" s="126">
        <v>20</v>
      </c>
      <c r="AD150" s="127">
        <f>(AB150*AC150)+(AB151*AC151)+(AB152*AC152)+(AB153*AC153)</f>
        <v>13457114.880000003</v>
      </c>
    </row>
    <row r="151" spans="2:30">
      <c r="B151" s="128"/>
      <c r="C151" s="129" t="s">
        <v>6</v>
      </c>
      <c r="D151" s="1">
        <v>18087.52</v>
      </c>
      <c r="E151" s="1">
        <v>18087.52</v>
      </c>
      <c r="F151" s="1">
        <v>18087.52</v>
      </c>
      <c r="G151" s="1">
        <v>18087.52</v>
      </c>
      <c r="H151" s="1">
        <v>18087.52</v>
      </c>
      <c r="I151" s="1">
        <v>18087.52</v>
      </c>
      <c r="J151" s="1">
        <v>18087.52</v>
      </c>
      <c r="K151" s="1">
        <v>18087.52</v>
      </c>
      <c r="L151" s="1">
        <v>18087.52</v>
      </c>
      <c r="M151" s="1">
        <v>18087.52</v>
      </c>
      <c r="N151" s="1">
        <v>18087.52</v>
      </c>
      <c r="O151" s="1">
        <v>18087.52</v>
      </c>
      <c r="P151" s="1">
        <v>18087.52</v>
      </c>
      <c r="Q151" s="1">
        <v>18087.52</v>
      </c>
      <c r="R151" s="1">
        <v>18087.52</v>
      </c>
      <c r="S151" s="1">
        <v>18087.52</v>
      </c>
      <c r="T151" s="1">
        <v>18087.52</v>
      </c>
      <c r="U151" s="1">
        <v>18087.52</v>
      </c>
      <c r="V151" s="1">
        <v>18087.52</v>
      </c>
      <c r="W151" s="1">
        <v>18087.52</v>
      </c>
      <c r="X151" s="1">
        <v>18087.52</v>
      </c>
      <c r="Y151" s="1">
        <v>18087.52</v>
      </c>
      <c r="Z151" s="1">
        <v>18087.52</v>
      </c>
      <c r="AA151" s="5">
        <v>18087.52</v>
      </c>
      <c r="AB151" s="130">
        <f t="shared" si="12"/>
        <v>434100.4800000001</v>
      </c>
      <c r="AC151" s="130">
        <v>5</v>
      </c>
      <c r="AD151" s="131"/>
    </row>
    <row r="152" spans="2:30">
      <c r="B152" s="128"/>
      <c r="C152" s="129" t="s">
        <v>7</v>
      </c>
      <c r="D152" s="1">
        <v>18087.52</v>
      </c>
      <c r="E152" s="1">
        <v>18087.52</v>
      </c>
      <c r="F152" s="1">
        <v>18087.52</v>
      </c>
      <c r="G152" s="1">
        <v>18087.52</v>
      </c>
      <c r="H152" s="1">
        <v>18087.52</v>
      </c>
      <c r="I152" s="1">
        <v>18087.52</v>
      </c>
      <c r="J152" s="1">
        <v>18087.52</v>
      </c>
      <c r="K152" s="1">
        <v>18087.52</v>
      </c>
      <c r="L152" s="1">
        <v>18087.52</v>
      </c>
      <c r="M152" s="1">
        <v>18087.52</v>
      </c>
      <c r="N152" s="1">
        <v>18087.52</v>
      </c>
      <c r="O152" s="1">
        <v>18087.52</v>
      </c>
      <c r="P152" s="1">
        <v>18087.52</v>
      </c>
      <c r="Q152" s="1">
        <v>18087.52</v>
      </c>
      <c r="R152" s="1">
        <v>18087.52</v>
      </c>
      <c r="S152" s="1">
        <v>18087.52</v>
      </c>
      <c r="T152" s="1">
        <v>18087.52</v>
      </c>
      <c r="U152" s="1">
        <v>18087.52</v>
      </c>
      <c r="V152" s="1">
        <v>18087.52</v>
      </c>
      <c r="W152" s="1">
        <v>18087.52</v>
      </c>
      <c r="X152" s="1">
        <v>18087.52</v>
      </c>
      <c r="Y152" s="1">
        <v>18087.52</v>
      </c>
      <c r="Z152" s="1">
        <v>18087.52</v>
      </c>
      <c r="AA152" s="5">
        <v>18087.52</v>
      </c>
      <c r="AB152" s="130">
        <f t="shared" si="12"/>
        <v>434100.4800000001</v>
      </c>
      <c r="AC152" s="130">
        <v>4</v>
      </c>
      <c r="AD152" s="131"/>
    </row>
    <row r="153" spans="2:30" ht="15" thickBot="1">
      <c r="B153" s="132"/>
      <c r="C153" s="133" t="s">
        <v>8</v>
      </c>
      <c r="D153" s="3">
        <v>18087.52</v>
      </c>
      <c r="E153" s="3">
        <v>18087.52</v>
      </c>
      <c r="F153" s="3">
        <v>18087.52</v>
      </c>
      <c r="G153" s="3">
        <v>18087.52</v>
      </c>
      <c r="H153" s="3">
        <v>18087.52</v>
      </c>
      <c r="I153" s="3">
        <v>18087.52</v>
      </c>
      <c r="J153" s="3">
        <v>18087.52</v>
      </c>
      <c r="K153" s="3">
        <v>18087.52</v>
      </c>
      <c r="L153" s="3">
        <v>18087.52</v>
      </c>
      <c r="M153" s="3">
        <v>18087.52</v>
      </c>
      <c r="N153" s="3">
        <v>18087.52</v>
      </c>
      <c r="O153" s="3">
        <v>18087.52</v>
      </c>
      <c r="P153" s="3">
        <v>18087.52</v>
      </c>
      <c r="Q153" s="3">
        <v>18087.52</v>
      </c>
      <c r="R153" s="3">
        <v>18087.52</v>
      </c>
      <c r="S153" s="3">
        <v>18087.52</v>
      </c>
      <c r="T153" s="3">
        <v>18087.52</v>
      </c>
      <c r="U153" s="3">
        <v>18087.52</v>
      </c>
      <c r="V153" s="3">
        <v>18087.52</v>
      </c>
      <c r="W153" s="3">
        <v>18087.52</v>
      </c>
      <c r="X153" s="3">
        <v>18087.52</v>
      </c>
      <c r="Y153" s="3">
        <v>18087.52</v>
      </c>
      <c r="Z153" s="3">
        <v>18087.52</v>
      </c>
      <c r="AA153" s="6">
        <v>18087.52</v>
      </c>
      <c r="AB153" s="134">
        <f t="shared" si="12"/>
        <v>434100.4800000001</v>
      </c>
      <c r="AC153" s="134">
        <v>2</v>
      </c>
      <c r="AD153" s="135"/>
    </row>
    <row r="154" spans="2:30">
      <c r="B154" s="124">
        <v>48245</v>
      </c>
      <c r="C154" s="125" t="s">
        <v>5</v>
      </c>
      <c r="D154" s="2">
        <v>18087.52</v>
      </c>
      <c r="E154" s="2">
        <v>18087.52</v>
      </c>
      <c r="F154" s="2">
        <v>18087.52</v>
      </c>
      <c r="G154" s="2">
        <v>18087.52</v>
      </c>
      <c r="H154" s="2">
        <v>18087.52</v>
      </c>
      <c r="I154" s="2">
        <v>18087.52</v>
      </c>
      <c r="J154" s="2">
        <v>18087.52</v>
      </c>
      <c r="K154" s="2">
        <v>18087.52</v>
      </c>
      <c r="L154" s="2">
        <v>18087.52</v>
      </c>
      <c r="M154" s="2">
        <v>18087.52</v>
      </c>
      <c r="N154" s="2">
        <v>18087.52</v>
      </c>
      <c r="O154" s="2">
        <v>18087.52</v>
      </c>
      <c r="P154" s="2">
        <v>18087.52</v>
      </c>
      <c r="Q154" s="2">
        <v>18087.52</v>
      </c>
      <c r="R154" s="2">
        <v>18087.52</v>
      </c>
      <c r="S154" s="2">
        <v>18087.52</v>
      </c>
      <c r="T154" s="2">
        <v>18087.52</v>
      </c>
      <c r="U154" s="2">
        <v>18087.52</v>
      </c>
      <c r="V154" s="2">
        <v>18087.52</v>
      </c>
      <c r="W154" s="2">
        <v>18087.52</v>
      </c>
      <c r="X154" s="2">
        <v>18087.52</v>
      </c>
      <c r="Y154" s="2">
        <v>18087.52</v>
      </c>
      <c r="Z154" s="2">
        <v>18087.52</v>
      </c>
      <c r="AA154" s="4">
        <v>18087.52</v>
      </c>
      <c r="AB154" s="126">
        <f t="shared" si="12"/>
        <v>434100.4800000001</v>
      </c>
      <c r="AC154" s="126">
        <v>20</v>
      </c>
      <c r="AD154" s="127">
        <f>(AB154*AC154)+(AB155*AC155)+(AB156*AC156)+(AB157*AC157)</f>
        <v>12588913.920000002</v>
      </c>
    </row>
    <row r="155" spans="2:30">
      <c r="B155" s="128"/>
      <c r="C155" s="129" t="s">
        <v>6</v>
      </c>
      <c r="D155" s="1">
        <v>18087.52</v>
      </c>
      <c r="E155" s="1">
        <v>18087.52</v>
      </c>
      <c r="F155" s="1">
        <v>18087.52</v>
      </c>
      <c r="G155" s="1">
        <v>18087.52</v>
      </c>
      <c r="H155" s="1">
        <v>18087.52</v>
      </c>
      <c r="I155" s="1">
        <v>18087.52</v>
      </c>
      <c r="J155" s="1">
        <v>18087.52</v>
      </c>
      <c r="K155" s="1">
        <v>18087.52</v>
      </c>
      <c r="L155" s="1">
        <v>18087.52</v>
      </c>
      <c r="M155" s="1">
        <v>18087.52</v>
      </c>
      <c r="N155" s="1">
        <v>18087.52</v>
      </c>
      <c r="O155" s="1">
        <v>18087.52</v>
      </c>
      <c r="P155" s="1">
        <v>18087.52</v>
      </c>
      <c r="Q155" s="1">
        <v>18087.52</v>
      </c>
      <c r="R155" s="1">
        <v>18087.52</v>
      </c>
      <c r="S155" s="1">
        <v>18087.52</v>
      </c>
      <c r="T155" s="1">
        <v>18087.52</v>
      </c>
      <c r="U155" s="1">
        <v>18087.52</v>
      </c>
      <c r="V155" s="1">
        <v>18087.52</v>
      </c>
      <c r="W155" s="1">
        <v>18087.52</v>
      </c>
      <c r="X155" s="1">
        <v>18087.52</v>
      </c>
      <c r="Y155" s="1">
        <v>18087.52</v>
      </c>
      <c r="Z155" s="1">
        <v>18087.52</v>
      </c>
      <c r="AA155" s="5">
        <v>18087.52</v>
      </c>
      <c r="AB155" s="130">
        <f t="shared" si="12"/>
        <v>434100.4800000001</v>
      </c>
      <c r="AC155" s="130">
        <v>4</v>
      </c>
      <c r="AD155" s="131"/>
    </row>
    <row r="156" spans="2:30">
      <c r="B156" s="128"/>
      <c r="C156" s="129" t="s">
        <v>7</v>
      </c>
      <c r="D156" s="1">
        <v>18087.52</v>
      </c>
      <c r="E156" s="1">
        <v>18087.52</v>
      </c>
      <c r="F156" s="1">
        <v>18087.52</v>
      </c>
      <c r="G156" s="1">
        <v>18087.52</v>
      </c>
      <c r="H156" s="1">
        <v>18087.52</v>
      </c>
      <c r="I156" s="1">
        <v>18087.52</v>
      </c>
      <c r="J156" s="1">
        <v>18087.52</v>
      </c>
      <c r="K156" s="1">
        <v>18087.52</v>
      </c>
      <c r="L156" s="1">
        <v>18087.52</v>
      </c>
      <c r="M156" s="1">
        <v>18087.52</v>
      </c>
      <c r="N156" s="1">
        <v>18087.52</v>
      </c>
      <c r="O156" s="1">
        <v>18087.52</v>
      </c>
      <c r="P156" s="1">
        <v>18087.52</v>
      </c>
      <c r="Q156" s="1">
        <v>18087.52</v>
      </c>
      <c r="R156" s="1">
        <v>18087.52</v>
      </c>
      <c r="S156" s="1">
        <v>18087.52</v>
      </c>
      <c r="T156" s="1">
        <v>18087.52</v>
      </c>
      <c r="U156" s="1">
        <v>18087.52</v>
      </c>
      <c r="V156" s="1">
        <v>18087.52</v>
      </c>
      <c r="W156" s="1">
        <v>18087.52</v>
      </c>
      <c r="X156" s="1">
        <v>18087.52</v>
      </c>
      <c r="Y156" s="1">
        <v>18087.52</v>
      </c>
      <c r="Z156" s="1">
        <v>18087.52</v>
      </c>
      <c r="AA156" s="5">
        <v>18087.52</v>
      </c>
      <c r="AB156" s="130">
        <f t="shared" si="12"/>
        <v>434100.4800000001</v>
      </c>
      <c r="AC156" s="130">
        <v>5</v>
      </c>
      <c r="AD156" s="131"/>
    </row>
    <row r="157" spans="2:30" ht="15" thickBot="1">
      <c r="B157" s="132"/>
      <c r="C157" s="133" t="s">
        <v>8</v>
      </c>
      <c r="D157" s="3">
        <v>18087.52</v>
      </c>
      <c r="E157" s="3">
        <v>18087.52</v>
      </c>
      <c r="F157" s="3">
        <v>18087.52</v>
      </c>
      <c r="G157" s="3">
        <v>18087.52</v>
      </c>
      <c r="H157" s="3">
        <v>18087.52</v>
      </c>
      <c r="I157" s="3">
        <v>18087.52</v>
      </c>
      <c r="J157" s="3">
        <v>18087.52</v>
      </c>
      <c r="K157" s="3">
        <v>18087.52</v>
      </c>
      <c r="L157" s="3">
        <v>18087.52</v>
      </c>
      <c r="M157" s="3">
        <v>18087.52</v>
      </c>
      <c r="N157" s="3">
        <v>18087.52</v>
      </c>
      <c r="O157" s="3">
        <v>18087.52</v>
      </c>
      <c r="P157" s="3">
        <v>18087.52</v>
      </c>
      <c r="Q157" s="3">
        <v>18087.52</v>
      </c>
      <c r="R157" s="3">
        <v>18087.52</v>
      </c>
      <c r="S157" s="3">
        <v>18087.52</v>
      </c>
      <c r="T157" s="3">
        <v>18087.52</v>
      </c>
      <c r="U157" s="3">
        <v>18087.52</v>
      </c>
      <c r="V157" s="3">
        <v>18087.52</v>
      </c>
      <c r="W157" s="3">
        <v>18087.52</v>
      </c>
      <c r="X157" s="3">
        <v>18087.52</v>
      </c>
      <c r="Y157" s="3">
        <v>18087.52</v>
      </c>
      <c r="Z157" s="3">
        <v>18087.52</v>
      </c>
      <c r="AA157" s="6">
        <v>18087.52</v>
      </c>
      <c r="AB157" s="134">
        <f t="shared" si="12"/>
        <v>434100.4800000001</v>
      </c>
      <c r="AC157" s="134">
        <v>0</v>
      </c>
      <c r="AD157" s="135"/>
    </row>
    <row r="158" spans="2:30">
      <c r="B158" s="124">
        <v>48274</v>
      </c>
      <c r="C158" s="125" t="s">
        <v>5</v>
      </c>
      <c r="D158" s="2">
        <v>18087.52</v>
      </c>
      <c r="E158" s="2">
        <v>18087.52</v>
      </c>
      <c r="F158" s="2">
        <v>18087.52</v>
      </c>
      <c r="G158" s="2">
        <v>18087.52</v>
      </c>
      <c r="H158" s="2">
        <v>18087.52</v>
      </c>
      <c r="I158" s="2">
        <v>18087.52</v>
      </c>
      <c r="J158" s="2">
        <v>18087.52</v>
      </c>
      <c r="K158" s="2">
        <v>18087.52</v>
      </c>
      <c r="L158" s="2">
        <v>18087.52</v>
      </c>
      <c r="M158" s="2">
        <v>18087.52</v>
      </c>
      <c r="N158" s="2">
        <v>18087.52</v>
      </c>
      <c r="O158" s="2">
        <v>18087.52</v>
      </c>
      <c r="P158" s="2">
        <v>18087.52</v>
      </c>
      <c r="Q158" s="2">
        <v>18087.52</v>
      </c>
      <c r="R158" s="2">
        <v>18087.52</v>
      </c>
      <c r="S158" s="2">
        <v>18087.52</v>
      </c>
      <c r="T158" s="2">
        <v>18087.52</v>
      </c>
      <c r="U158" s="2">
        <v>18087.52</v>
      </c>
      <c r="V158" s="2">
        <v>18087.52</v>
      </c>
      <c r="W158" s="2">
        <v>18087.52</v>
      </c>
      <c r="X158" s="2">
        <v>18087.52</v>
      </c>
      <c r="Y158" s="2">
        <v>18087.52</v>
      </c>
      <c r="Z158" s="2">
        <v>18087.52</v>
      </c>
      <c r="AA158" s="4">
        <v>18087.52</v>
      </c>
      <c r="AB158" s="126">
        <f t="shared" si="12"/>
        <v>434100.4800000001</v>
      </c>
      <c r="AC158" s="126">
        <v>20</v>
      </c>
      <c r="AD158" s="127">
        <f>(AB158*AC158)+(AB159*AC159)+(AB160*AC160)+(AB161*AC161)</f>
        <v>13457114.880000003</v>
      </c>
    </row>
    <row r="159" spans="2:30">
      <c r="B159" s="128"/>
      <c r="C159" s="129" t="s">
        <v>6</v>
      </c>
      <c r="D159" s="1">
        <v>18087.52</v>
      </c>
      <c r="E159" s="1">
        <v>18087.52</v>
      </c>
      <c r="F159" s="1">
        <v>18087.52</v>
      </c>
      <c r="G159" s="1">
        <v>18087.52</v>
      </c>
      <c r="H159" s="1">
        <v>18087.52</v>
      </c>
      <c r="I159" s="1">
        <v>18087.52</v>
      </c>
      <c r="J159" s="1">
        <v>18087.52</v>
      </c>
      <c r="K159" s="1">
        <v>18087.52</v>
      </c>
      <c r="L159" s="1">
        <v>18087.52</v>
      </c>
      <c r="M159" s="1">
        <v>18087.52</v>
      </c>
      <c r="N159" s="1">
        <v>18087.52</v>
      </c>
      <c r="O159" s="1">
        <v>18087.52</v>
      </c>
      <c r="P159" s="1">
        <v>18087.52</v>
      </c>
      <c r="Q159" s="1">
        <v>18087.52</v>
      </c>
      <c r="R159" s="1">
        <v>18087.52</v>
      </c>
      <c r="S159" s="1">
        <v>18087.52</v>
      </c>
      <c r="T159" s="1">
        <v>18087.52</v>
      </c>
      <c r="U159" s="1">
        <v>18087.52</v>
      </c>
      <c r="V159" s="1">
        <v>18087.52</v>
      </c>
      <c r="W159" s="1">
        <v>18087.52</v>
      </c>
      <c r="X159" s="1">
        <v>18087.52</v>
      </c>
      <c r="Y159" s="1">
        <v>18087.52</v>
      </c>
      <c r="Z159" s="1">
        <v>18087.52</v>
      </c>
      <c r="AA159" s="5">
        <v>18087.52</v>
      </c>
      <c r="AB159" s="130">
        <f t="shared" si="12"/>
        <v>434100.4800000001</v>
      </c>
      <c r="AC159" s="130">
        <v>4</v>
      </c>
      <c r="AD159" s="131"/>
    </row>
    <row r="160" spans="2:30">
      <c r="B160" s="128"/>
      <c r="C160" s="129" t="s">
        <v>7</v>
      </c>
      <c r="D160" s="1">
        <v>18087.52</v>
      </c>
      <c r="E160" s="1">
        <v>18087.52</v>
      </c>
      <c r="F160" s="1">
        <v>18087.52</v>
      </c>
      <c r="G160" s="1">
        <v>18087.52</v>
      </c>
      <c r="H160" s="1">
        <v>18087.52</v>
      </c>
      <c r="I160" s="1">
        <v>18087.52</v>
      </c>
      <c r="J160" s="1">
        <v>18087.52</v>
      </c>
      <c r="K160" s="1">
        <v>18087.52</v>
      </c>
      <c r="L160" s="1">
        <v>18087.52</v>
      </c>
      <c r="M160" s="1">
        <v>18087.52</v>
      </c>
      <c r="N160" s="1">
        <v>18087.52</v>
      </c>
      <c r="O160" s="1">
        <v>18087.52</v>
      </c>
      <c r="P160" s="1">
        <v>18087.52</v>
      </c>
      <c r="Q160" s="1">
        <v>18087.52</v>
      </c>
      <c r="R160" s="1">
        <v>18087.52</v>
      </c>
      <c r="S160" s="1">
        <v>18087.52</v>
      </c>
      <c r="T160" s="1">
        <v>18087.52</v>
      </c>
      <c r="U160" s="1">
        <v>18087.52</v>
      </c>
      <c r="V160" s="1">
        <v>18087.52</v>
      </c>
      <c r="W160" s="1">
        <v>18087.52</v>
      </c>
      <c r="X160" s="1">
        <v>18087.52</v>
      </c>
      <c r="Y160" s="1">
        <v>18087.52</v>
      </c>
      <c r="Z160" s="1">
        <v>18087.52</v>
      </c>
      <c r="AA160" s="5">
        <v>18087.52</v>
      </c>
      <c r="AB160" s="130">
        <f t="shared" si="12"/>
        <v>434100.4800000001</v>
      </c>
      <c r="AC160" s="130">
        <v>4</v>
      </c>
      <c r="AD160" s="131"/>
    </row>
    <row r="161" spans="2:30" ht="15" thickBot="1">
      <c r="B161" s="132"/>
      <c r="C161" s="133" t="s">
        <v>8</v>
      </c>
      <c r="D161" s="3">
        <v>18087.52</v>
      </c>
      <c r="E161" s="3">
        <v>18087.52</v>
      </c>
      <c r="F161" s="3">
        <v>18087.52</v>
      </c>
      <c r="G161" s="3">
        <v>18087.52</v>
      </c>
      <c r="H161" s="3">
        <v>18087.52</v>
      </c>
      <c r="I161" s="3">
        <v>18087.52</v>
      </c>
      <c r="J161" s="3">
        <v>18087.52</v>
      </c>
      <c r="K161" s="3">
        <v>18087.52</v>
      </c>
      <c r="L161" s="3">
        <v>18087.52</v>
      </c>
      <c r="M161" s="3">
        <v>18087.52</v>
      </c>
      <c r="N161" s="3">
        <v>18087.52</v>
      </c>
      <c r="O161" s="3">
        <v>18087.52</v>
      </c>
      <c r="P161" s="3">
        <v>18087.52</v>
      </c>
      <c r="Q161" s="3">
        <v>18087.52</v>
      </c>
      <c r="R161" s="3">
        <v>18087.52</v>
      </c>
      <c r="S161" s="3">
        <v>18087.52</v>
      </c>
      <c r="T161" s="3">
        <v>18087.52</v>
      </c>
      <c r="U161" s="3">
        <v>18087.52</v>
      </c>
      <c r="V161" s="3">
        <v>18087.52</v>
      </c>
      <c r="W161" s="3">
        <v>18087.52</v>
      </c>
      <c r="X161" s="3">
        <v>18087.52</v>
      </c>
      <c r="Y161" s="3">
        <v>18087.52</v>
      </c>
      <c r="Z161" s="3">
        <v>18087.52</v>
      </c>
      <c r="AA161" s="6">
        <v>18087.52</v>
      </c>
      <c r="AB161" s="134">
        <f t="shared" si="12"/>
        <v>434100.4800000001</v>
      </c>
      <c r="AC161" s="134">
        <v>3</v>
      </c>
      <c r="AD161" s="135"/>
    </row>
    <row r="162" spans="2:30">
      <c r="B162" s="124">
        <v>48305</v>
      </c>
      <c r="C162" s="125" t="s">
        <v>5</v>
      </c>
      <c r="D162" s="2">
        <v>18087.52</v>
      </c>
      <c r="E162" s="2">
        <v>18087.52</v>
      </c>
      <c r="F162" s="2">
        <v>18087.52</v>
      </c>
      <c r="G162" s="2">
        <v>18087.52</v>
      </c>
      <c r="H162" s="2">
        <v>18087.52</v>
      </c>
      <c r="I162" s="2">
        <v>18087.52</v>
      </c>
      <c r="J162" s="2">
        <v>18087.52</v>
      </c>
      <c r="K162" s="2">
        <v>18087.52</v>
      </c>
      <c r="L162" s="2">
        <v>18087.52</v>
      </c>
      <c r="M162" s="2">
        <v>18087.52</v>
      </c>
      <c r="N162" s="2">
        <v>18087.52</v>
      </c>
      <c r="O162" s="2">
        <v>18087.52</v>
      </c>
      <c r="P162" s="2">
        <v>18087.52</v>
      </c>
      <c r="Q162" s="2">
        <v>18087.52</v>
      </c>
      <c r="R162" s="2">
        <v>18087.52</v>
      </c>
      <c r="S162" s="2">
        <v>18087.52</v>
      </c>
      <c r="T162" s="2">
        <v>18087.52</v>
      </c>
      <c r="U162" s="2">
        <v>18087.52</v>
      </c>
      <c r="V162" s="2">
        <v>18087.52</v>
      </c>
      <c r="W162" s="2">
        <v>18087.52</v>
      </c>
      <c r="X162" s="2">
        <v>18087.52</v>
      </c>
      <c r="Y162" s="2">
        <v>18087.52</v>
      </c>
      <c r="Z162" s="2">
        <v>18087.52</v>
      </c>
      <c r="AA162" s="4">
        <v>18087.52</v>
      </c>
      <c r="AB162" s="126">
        <f t="shared" si="12"/>
        <v>434100.4800000001</v>
      </c>
      <c r="AC162" s="126">
        <v>22</v>
      </c>
      <c r="AD162" s="127">
        <f>(AB162*AC162)+(AB163*AC163)+(AB164*AC164)+(AB165*AC165)</f>
        <v>13023014.400000002</v>
      </c>
    </row>
    <row r="163" spans="2:30">
      <c r="B163" s="128"/>
      <c r="C163" s="129" t="s">
        <v>6</v>
      </c>
      <c r="D163" s="1">
        <v>18087.52</v>
      </c>
      <c r="E163" s="1">
        <v>18087.52</v>
      </c>
      <c r="F163" s="1">
        <v>18087.52</v>
      </c>
      <c r="G163" s="1">
        <v>18087.52</v>
      </c>
      <c r="H163" s="1">
        <v>18087.52</v>
      </c>
      <c r="I163" s="1">
        <v>18087.52</v>
      </c>
      <c r="J163" s="1">
        <v>18087.52</v>
      </c>
      <c r="K163" s="1">
        <v>18087.52</v>
      </c>
      <c r="L163" s="1">
        <v>18087.52</v>
      </c>
      <c r="M163" s="1">
        <v>18087.52</v>
      </c>
      <c r="N163" s="1">
        <v>18087.52</v>
      </c>
      <c r="O163" s="1">
        <v>18087.52</v>
      </c>
      <c r="P163" s="1">
        <v>18087.52</v>
      </c>
      <c r="Q163" s="1">
        <v>18087.52</v>
      </c>
      <c r="R163" s="1">
        <v>18087.52</v>
      </c>
      <c r="S163" s="1">
        <v>18087.52</v>
      </c>
      <c r="T163" s="1">
        <v>18087.52</v>
      </c>
      <c r="U163" s="1">
        <v>18087.52</v>
      </c>
      <c r="V163" s="1">
        <v>18087.52</v>
      </c>
      <c r="W163" s="1">
        <v>18087.52</v>
      </c>
      <c r="X163" s="1">
        <v>18087.52</v>
      </c>
      <c r="Y163" s="1">
        <v>18087.52</v>
      </c>
      <c r="Z163" s="1">
        <v>18087.52</v>
      </c>
      <c r="AA163" s="5">
        <v>18087.52</v>
      </c>
      <c r="AB163" s="130">
        <f t="shared" si="12"/>
        <v>434100.4800000001</v>
      </c>
      <c r="AC163" s="130">
        <v>4</v>
      </c>
      <c r="AD163" s="131"/>
    </row>
    <row r="164" spans="2:30">
      <c r="B164" s="128"/>
      <c r="C164" s="129" t="s">
        <v>7</v>
      </c>
      <c r="D164" s="1">
        <v>18087.52</v>
      </c>
      <c r="E164" s="1">
        <v>18087.52</v>
      </c>
      <c r="F164" s="1">
        <v>18087.52</v>
      </c>
      <c r="G164" s="1">
        <v>18087.52</v>
      </c>
      <c r="H164" s="1">
        <v>18087.52</v>
      </c>
      <c r="I164" s="1">
        <v>18087.52</v>
      </c>
      <c r="J164" s="1">
        <v>18087.52</v>
      </c>
      <c r="K164" s="1">
        <v>18087.52</v>
      </c>
      <c r="L164" s="1">
        <v>18087.52</v>
      </c>
      <c r="M164" s="1">
        <v>18087.52</v>
      </c>
      <c r="N164" s="1">
        <v>18087.52</v>
      </c>
      <c r="O164" s="1">
        <v>18087.52</v>
      </c>
      <c r="P164" s="1">
        <v>18087.52</v>
      </c>
      <c r="Q164" s="1">
        <v>18087.52</v>
      </c>
      <c r="R164" s="1">
        <v>18087.52</v>
      </c>
      <c r="S164" s="1">
        <v>18087.52</v>
      </c>
      <c r="T164" s="1">
        <v>18087.52</v>
      </c>
      <c r="U164" s="1">
        <v>18087.52</v>
      </c>
      <c r="V164" s="1">
        <v>18087.52</v>
      </c>
      <c r="W164" s="1">
        <v>18087.52</v>
      </c>
      <c r="X164" s="1">
        <v>18087.52</v>
      </c>
      <c r="Y164" s="1">
        <v>18087.52</v>
      </c>
      <c r="Z164" s="1">
        <v>18087.52</v>
      </c>
      <c r="AA164" s="5">
        <v>18087.52</v>
      </c>
      <c r="AB164" s="130">
        <f t="shared" si="12"/>
        <v>434100.4800000001</v>
      </c>
      <c r="AC164" s="130">
        <v>4</v>
      </c>
      <c r="AD164" s="131"/>
    </row>
    <row r="165" spans="2:30" ht="15" thickBot="1">
      <c r="B165" s="132"/>
      <c r="C165" s="133" t="s">
        <v>8</v>
      </c>
      <c r="D165" s="3">
        <v>18087.52</v>
      </c>
      <c r="E165" s="3">
        <v>18087.52</v>
      </c>
      <c r="F165" s="3">
        <v>18087.52</v>
      </c>
      <c r="G165" s="3">
        <v>18087.52</v>
      </c>
      <c r="H165" s="3">
        <v>18087.52</v>
      </c>
      <c r="I165" s="3">
        <v>18087.52</v>
      </c>
      <c r="J165" s="3">
        <v>18087.52</v>
      </c>
      <c r="K165" s="3">
        <v>18087.52</v>
      </c>
      <c r="L165" s="3">
        <v>18087.52</v>
      </c>
      <c r="M165" s="3">
        <v>18087.52</v>
      </c>
      <c r="N165" s="3">
        <v>18087.52</v>
      </c>
      <c r="O165" s="3">
        <v>18087.52</v>
      </c>
      <c r="P165" s="3">
        <v>18087.52</v>
      </c>
      <c r="Q165" s="3">
        <v>18087.52</v>
      </c>
      <c r="R165" s="3">
        <v>18087.52</v>
      </c>
      <c r="S165" s="3">
        <v>18087.52</v>
      </c>
      <c r="T165" s="3">
        <v>18087.52</v>
      </c>
      <c r="U165" s="3">
        <v>18087.52</v>
      </c>
      <c r="V165" s="3">
        <v>18087.52</v>
      </c>
      <c r="W165" s="3">
        <v>18087.52</v>
      </c>
      <c r="X165" s="3">
        <v>18087.52</v>
      </c>
      <c r="Y165" s="3">
        <v>18087.52</v>
      </c>
      <c r="Z165" s="3">
        <v>18087.52</v>
      </c>
      <c r="AA165" s="6">
        <v>18087.52</v>
      </c>
      <c r="AB165" s="134">
        <f t="shared" si="12"/>
        <v>434100.4800000001</v>
      </c>
      <c r="AC165" s="134">
        <v>0</v>
      </c>
      <c r="AD165" s="135"/>
    </row>
    <row r="166" spans="2:30">
      <c r="B166" s="124">
        <v>48335</v>
      </c>
      <c r="C166" s="125" t="s">
        <v>5</v>
      </c>
      <c r="D166" s="2">
        <v>18087.52</v>
      </c>
      <c r="E166" s="2">
        <v>18087.52</v>
      </c>
      <c r="F166" s="2">
        <v>18087.52</v>
      </c>
      <c r="G166" s="2">
        <v>18087.52</v>
      </c>
      <c r="H166" s="2">
        <v>18087.52</v>
      </c>
      <c r="I166" s="2">
        <v>18087.52</v>
      </c>
      <c r="J166" s="2">
        <v>18087.52</v>
      </c>
      <c r="K166" s="2">
        <v>18087.52</v>
      </c>
      <c r="L166" s="2">
        <v>18087.52</v>
      </c>
      <c r="M166" s="2">
        <v>18087.52</v>
      </c>
      <c r="N166" s="2">
        <v>18087.52</v>
      </c>
      <c r="O166" s="2">
        <v>18087.52</v>
      </c>
      <c r="P166" s="2">
        <v>18087.52</v>
      </c>
      <c r="Q166" s="2">
        <v>18087.52</v>
      </c>
      <c r="R166" s="2">
        <v>18087.52</v>
      </c>
      <c r="S166" s="2">
        <v>18087.52</v>
      </c>
      <c r="T166" s="2">
        <v>18087.52</v>
      </c>
      <c r="U166" s="2">
        <v>18087.52</v>
      </c>
      <c r="V166" s="2">
        <v>18087.52</v>
      </c>
      <c r="W166" s="2">
        <v>18087.52</v>
      </c>
      <c r="X166" s="2">
        <v>18087.52</v>
      </c>
      <c r="Y166" s="2">
        <v>18087.52</v>
      </c>
      <c r="Z166" s="2">
        <v>18087.52</v>
      </c>
      <c r="AA166" s="4">
        <v>18087.52</v>
      </c>
      <c r="AB166" s="126">
        <f t="shared" si="12"/>
        <v>434100.4800000001</v>
      </c>
      <c r="AC166" s="126">
        <v>19</v>
      </c>
      <c r="AD166" s="127">
        <f>(AB166*AC166)+(AB167*AC167)+(AB168*AC168)+(AB169*AC169)</f>
        <v>13457114.880000003</v>
      </c>
    </row>
    <row r="167" spans="2:30">
      <c r="B167" s="128"/>
      <c r="C167" s="129" t="s">
        <v>6</v>
      </c>
      <c r="D167" s="1">
        <v>18087.52</v>
      </c>
      <c r="E167" s="1">
        <v>18087.52</v>
      </c>
      <c r="F167" s="1">
        <v>18087.52</v>
      </c>
      <c r="G167" s="1">
        <v>18087.52</v>
      </c>
      <c r="H167" s="1">
        <v>18087.52</v>
      </c>
      <c r="I167" s="1">
        <v>18087.52</v>
      </c>
      <c r="J167" s="1">
        <v>18087.52</v>
      </c>
      <c r="K167" s="1">
        <v>18087.52</v>
      </c>
      <c r="L167" s="1">
        <v>18087.52</v>
      </c>
      <c r="M167" s="1">
        <v>18087.52</v>
      </c>
      <c r="N167" s="1">
        <v>18087.52</v>
      </c>
      <c r="O167" s="1">
        <v>18087.52</v>
      </c>
      <c r="P167" s="1">
        <v>18087.52</v>
      </c>
      <c r="Q167" s="1">
        <v>18087.52</v>
      </c>
      <c r="R167" s="1">
        <v>18087.52</v>
      </c>
      <c r="S167" s="1">
        <v>18087.52</v>
      </c>
      <c r="T167" s="1">
        <v>18087.52</v>
      </c>
      <c r="U167" s="1">
        <v>18087.52</v>
      </c>
      <c r="V167" s="1">
        <v>18087.52</v>
      </c>
      <c r="W167" s="1">
        <v>18087.52</v>
      </c>
      <c r="X167" s="1">
        <v>18087.52</v>
      </c>
      <c r="Y167" s="1">
        <v>18087.52</v>
      </c>
      <c r="Z167" s="1">
        <v>18087.52</v>
      </c>
      <c r="AA167" s="5">
        <v>18087.52</v>
      </c>
      <c r="AB167" s="130">
        <f t="shared" si="12"/>
        <v>434100.4800000001</v>
      </c>
      <c r="AC167" s="130">
        <v>4</v>
      </c>
      <c r="AD167" s="131"/>
    </row>
    <row r="168" spans="2:30">
      <c r="B168" s="128"/>
      <c r="C168" s="129" t="s">
        <v>7</v>
      </c>
      <c r="D168" s="1">
        <v>18087.52</v>
      </c>
      <c r="E168" s="1">
        <v>18087.52</v>
      </c>
      <c r="F168" s="1">
        <v>18087.52</v>
      </c>
      <c r="G168" s="1">
        <v>18087.52</v>
      </c>
      <c r="H168" s="1">
        <v>18087.52</v>
      </c>
      <c r="I168" s="1">
        <v>18087.52</v>
      </c>
      <c r="J168" s="1">
        <v>18087.52</v>
      </c>
      <c r="K168" s="1">
        <v>18087.52</v>
      </c>
      <c r="L168" s="1">
        <v>18087.52</v>
      </c>
      <c r="M168" s="1">
        <v>18087.52</v>
      </c>
      <c r="N168" s="1">
        <v>18087.52</v>
      </c>
      <c r="O168" s="1">
        <v>18087.52</v>
      </c>
      <c r="P168" s="1">
        <v>18087.52</v>
      </c>
      <c r="Q168" s="1">
        <v>18087.52</v>
      </c>
      <c r="R168" s="1">
        <v>18087.52</v>
      </c>
      <c r="S168" s="1">
        <v>18087.52</v>
      </c>
      <c r="T168" s="1">
        <v>18087.52</v>
      </c>
      <c r="U168" s="1">
        <v>18087.52</v>
      </c>
      <c r="V168" s="1">
        <v>18087.52</v>
      </c>
      <c r="W168" s="1">
        <v>18087.52</v>
      </c>
      <c r="X168" s="1">
        <v>18087.52</v>
      </c>
      <c r="Y168" s="1">
        <v>18087.52</v>
      </c>
      <c r="Z168" s="1">
        <v>18087.52</v>
      </c>
      <c r="AA168" s="5">
        <v>18087.52</v>
      </c>
      <c r="AB168" s="130">
        <f t="shared" si="12"/>
        <v>434100.4800000001</v>
      </c>
      <c r="AC168" s="130">
        <v>5</v>
      </c>
      <c r="AD168" s="131"/>
    </row>
    <row r="169" spans="2:30" ht="15" thickBot="1">
      <c r="B169" s="132"/>
      <c r="C169" s="133" t="s">
        <v>8</v>
      </c>
      <c r="D169" s="3">
        <v>18087.52</v>
      </c>
      <c r="E169" s="3">
        <v>18087.52</v>
      </c>
      <c r="F169" s="3">
        <v>18087.52</v>
      </c>
      <c r="G169" s="3">
        <v>18087.52</v>
      </c>
      <c r="H169" s="3">
        <v>18087.52</v>
      </c>
      <c r="I169" s="3">
        <v>18087.52</v>
      </c>
      <c r="J169" s="3">
        <v>18087.52</v>
      </c>
      <c r="K169" s="3">
        <v>18087.52</v>
      </c>
      <c r="L169" s="3">
        <v>18087.52</v>
      </c>
      <c r="M169" s="3">
        <v>18087.52</v>
      </c>
      <c r="N169" s="3">
        <v>18087.52</v>
      </c>
      <c r="O169" s="3">
        <v>18087.52</v>
      </c>
      <c r="P169" s="3">
        <v>18087.52</v>
      </c>
      <c r="Q169" s="3">
        <v>18087.52</v>
      </c>
      <c r="R169" s="3">
        <v>18087.52</v>
      </c>
      <c r="S169" s="3">
        <v>18087.52</v>
      </c>
      <c r="T169" s="3">
        <v>18087.52</v>
      </c>
      <c r="U169" s="3">
        <v>18087.52</v>
      </c>
      <c r="V169" s="3">
        <v>18087.52</v>
      </c>
      <c r="W169" s="3">
        <v>18087.52</v>
      </c>
      <c r="X169" s="3">
        <v>18087.52</v>
      </c>
      <c r="Y169" s="3">
        <v>18087.52</v>
      </c>
      <c r="Z169" s="3">
        <v>18087.52</v>
      </c>
      <c r="AA169" s="6">
        <v>18087.52</v>
      </c>
      <c r="AB169" s="134">
        <f t="shared" si="12"/>
        <v>434100.4800000001</v>
      </c>
      <c r="AC169" s="134">
        <v>3</v>
      </c>
      <c r="AD169" s="135"/>
    </row>
    <row r="170" spans="2:30">
      <c r="B170" s="124">
        <v>48366</v>
      </c>
      <c r="C170" s="125" t="s">
        <v>5</v>
      </c>
      <c r="D170" s="2">
        <v>18087.52</v>
      </c>
      <c r="E170" s="2">
        <v>18087.52</v>
      </c>
      <c r="F170" s="2">
        <v>18087.52</v>
      </c>
      <c r="G170" s="2">
        <v>18087.52</v>
      </c>
      <c r="H170" s="2">
        <v>18087.52</v>
      </c>
      <c r="I170" s="2">
        <v>18087.52</v>
      </c>
      <c r="J170" s="2">
        <v>18087.52</v>
      </c>
      <c r="K170" s="2">
        <v>18087.52</v>
      </c>
      <c r="L170" s="2">
        <v>18087.52</v>
      </c>
      <c r="M170" s="2">
        <v>18087.52</v>
      </c>
      <c r="N170" s="2">
        <v>18087.52</v>
      </c>
      <c r="O170" s="2">
        <v>18087.52</v>
      </c>
      <c r="P170" s="2">
        <v>18087.52</v>
      </c>
      <c r="Q170" s="2">
        <v>18087.52</v>
      </c>
      <c r="R170" s="2">
        <v>18087.52</v>
      </c>
      <c r="S170" s="2">
        <v>18087.52</v>
      </c>
      <c r="T170" s="2">
        <v>18087.52</v>
      </c>
      <c r="U170" s="2">
        <v>18087.52</v>
      </c>
      <c r="V170" s="2">
        <v>18087.52</v>
      </c>
      <c r="W170" s="2">
        <v>18087.52</v>
      </c>
      <c r="X170" s="2">
        <v>18087.52</v>
      </c>
      <c r="Y170" s="2">
        <v>18087.52</v>
      </c>
      <c r="Z170" s="2">
        <v>18087.52</v>
      </c>
      <c r="AA170" s="4">
        <v>18087.52</v>
      </c>
      <c r="AB170" s="126">
        <f t="shared" si="12"/>
        <v>434100.4800000001</v>
      </c>
      <c r="AC170" s="126">
        <v>21</v>
      </c>
      <c r="AD170" s="127">
        <f>(AB170*AC170)+(AB171*AC171)+(AB172*AC172)+(AB173*AC173)</f>
        <v>13023014.400000002</v>
      </c>
    </row>
    <row r="171" spans="2:30">
      <c r="B171" s="128"/>
      <c r="C171" s="129" t="s">
        <v>6</v>
      </c>
      <c r="D171" s="1">
        <v>18087.52</v>
      </c>
      <c r="E171" s="1">
        <v>18087.52</v>
      </c>
      <c r="F171" s="1">
        <v>18087.52</v>
      </c>
      <c r="G171" s="1">
        <v>18087.52</v>
      </c>
      <c r="H171" s="1">
        <v>18087.52</v>
      </c>
      <c r="I171" s="1">
        <v>18087.52</v>
      </c>
      <c r="J171" s="1">
        <v>18087.52</v>
      </c>
      <c r="K171" s="1">
        <v>18087.52</v>
      </c>
      <c r="L171" s="1">
        <v>18087.52</v>
      </c>
      <c r="M171" s="1">
        <v>18087.52</v>
      </c>
      <c r="N171" s="1">
        <v>18087.52</v>
      </c>
      <c r="O171" s="1">
        <v>18087.52</v>
      </c>
      <c r="P171" s="1">
        <v>18087.52</v>
      </c>
      <c r="Q171" s="1">
        <v>18087.52</v>
      </c>
      <c r="R171" s="1">
        <v>18087.52</v>
      </c>
      <c r="S171" s="1">
        <v>18087.52</v>
      </c>
      <c r="T171" s="1">
        <v>18087.52</v>
      </c>
      <c r="U171" s="1">
        <v>18087.52</v>
      </c>
      <c r="V171" s="1">
        <v>18087.52</v>
      </c>
      <c r="W171" s="1">
        <v>18087.52</v>
      </c>
      <c r="X171" s="1">
        <v>18087.52</v>
      </c>
      <c r="Y171" s="1">
        <v>18087.52</v>
      </c>
      <c r="Z171" s="1">
        <v>18087.52</v>
      </c>
      <c r="AA171" s="5">
        <v>18087.52</v>
      </c>
      <c r="AB171" s="130">
        <f t="shared" si="12"/>
        <v>434100.4800000001</v>
      </c>
      <c r="AC171" s="130">
        <v>4</v>
      </c>
      <c r="AD171" s="131"/>
    </row>
    <row r="172" spans="2:30">
      <c r="B172" s="128"/>
      <c r="C172" s="129" t="s">
        <v>7</v>
      </c>
      <c r="D172" s="1">
        <v>18087.52</v>
      </c>
      <c r="E172" s="1">
        <v>18087.52</v>
      </c>
      <c r="F172" s="1">
        <v>18087.52</v>
      </c>
      <c r="G172" s="1">
        <v>18087.52</v>
      </c>
      <c r="H172" s="1">
        <v>18087.52</v>
      </c>
      <c r="I172" s="1">
        <v>18087.52</v>
      </c>
      <c r="J172" s="1">
        <v>18087.52</v>
      </c>
      <c r="K172" s="1">
        <v>18087.52</v>
      </c>
      <c r="L172" s="1">
        <v>18087.52</v>
      </c>
      <c r="M172" s="1">
        <v>18087.52</v>
      </c>
      <c r="N172" s="1">
        <v>18087.52</v>
      </c>
      <c r="O172" s="1">
        <v>18087.52</v>
      </c>
      <c r="P172" s="1">
        <v>18087.52</v>
      </c>
      <c r="Q172" s="1">
        <v>18087.52</v>
      </c>
      <c r="R172" s="1">
        <v>18087.52</v>
      </c>
      <c r="S172" s="1">
        <v>18087.52</v>
      </c>
      <c r="T172" s="1">
        <v>18087.52</v>
      </c>
      <c r="U172" s="1">
        <v>18087.52</v>
      </c>
      <c r="V172" s="1">
        <v>18087.52</v>
      </c>
      <c r="W172" s="1">
        <v>18087.52</v>
      </c>
      <c r="X172" s="1">
        <v>18087.52</v>
      </c>
      <c r="Y172" s="1">
        <v>18087.52</v>
      </c>
      <c r="Z172" s="1">
        <v>18087.52</v>
      </c>
      <c r="AA172" s="5">
        <v>18087.52</v>
      </c>
      <c r="AB172" s="130">
        <f t="shared" si="12"/>
        <v>434100.4800000001</v>
      </c>
      <c r="AC172" s="130">
        <v>4</v>
      </c>
      <c r="AD172" s="131"/>
    </row>
    <row r="173" spans="2:30" ht="15" thickBot="1">
      <c r="B173" s="132"/>
      <c r="C173" s="133" t="s">
        <v>8</v>
      </c>
      <c r="D173" s="3">
        <v>18087.52</v>
      </c>
      <c r="E173" s="3">
        <v>18087.52</v>
      </c>
      <c r="F173" s="3">
        <v>18087.52</v>
      </c>
      <c r="G173" s="3">
        <v>18087.52</v>
      </c>
      <c r="H173" s="3">
        <v>18087.52</v>
      </c>
      <c r="I173" s="3">
        <v>18087.52</v>
      </c>
      <c r="J173" s="3">
        <v>18087.52</v>
      </c>
      <c r="K173" s="3">
        <v>18087.52</v>
      </c>
      <c r="L173" s="3">
        <v>18087.52</v>
      </c>
      <c r="M173" s="3">
        <v>18087.52</v>
      </c>
      <c r="N173" s="3">
        <v>18087.52</v>
      </c>
      <c r="O173" s="3">
        <v>18087.52</v>
      </c>
      <c r="P173" s="3">
        <v>18087.52</v>
      </c>
      <c r="Q173" s="3">
        <v>18087.52</v>
      </c>
      <c r="R173" s="3">
        <v>18087.52</v>
      </c>
      <c r="S173" s="3">
        <v>18087.52</v>
      </c>
      <c r="T173" s="3">
        <v>18087.52</v>
      </c>
      <c r="U173" s="3">
        <v>18087.52</v>
      </c>
      <c r="V173" s="3">
        <v>18087.52</v>
      </c>
      <c r="W173" s="3">
        <v>18087.52</v>
      </c>
      <c r="X173" s="3">
        <v>18087.52</v>
      </c>
      <c r="Y173" s="3">
        <v>18087.52</v>
      </c>
      <c r="Z173" s="3">
        <v>18087.52</v>
      </c>
      <c r="AA173" s="6">
        <v>18087.52</v>
      </c>
      <c r="AB173" s="134">
        <f t="shared" si="12"/>
        <v>434100.4800000001</v>
      </c>
      <c r="AC173" s="134">
        <v>1</v>
      </c>
      <c r="AD173" s="135"/>
    </row>
    <row r="174" spans="2:30">
      <c r="B174" s="124">
        <v>48396</v>
      </c>
      <c r="C174" s="125" t="s">
        <v>5</v>
      </c>
      <c r="D174" s="2">
        <v>18087.52</v>
      </c>
      <c r="E174" s="2">
        <v>18087.52</v>
      </c>
      <c r="F174" s="2">
        <v>18087.52</v>
      </c>
      <c r="G174" s="2">
        <v>18087.52</v>
      </c>
      <c r="H174" s="2">
        <v>18087.52</v>
      </c>
      <c r="I174" s="2">
        <v>18087.52</v>
      </c>
      <c r="J174" s="2">
        <v>18087.52</v>
      </c>
      <c r="K174" s="2">
        <v>18087.52</v>
      </c>
      <c r="L174" s="2">
        <v>18087.52</v>
      </c>
      <c r="M174" s="2">
        <v>18087.52</v>
      </c>
      <c r="N174" s="2">
        <v>18087.52</v>
      </c>
      <c r="O174" s="2">
        <v>18087.52</v>
      </c>
      <c r="P174" s="2">
        <v>18087.52</v>
      </c>
      <c r="Q174" s="2">
        <v>18087.52</v>
      </c>
      <c r="R174" s="2">
        <v>18087.52</v>
      </c>
      <c r="S174" s="2">
        <v>18087.52</v>
      </c>
      <c r="T174" s="2">
        <v>18087.52</v>
      </c>
      <c r="U174" s="2">
        <v>18087.52</v>
      </c>
      <c r="V174" s="2">
        <v>18087.52</v>
      </c>
      <c r="W174" s="2">
        <v>18087.52</v>
      </c>
      <c r="X174" s="2">
        <v>18087.52</v>
      </c>
      <c r="Y174" s="2">
        <v>18087.52</v>
      </c>
      <c r="Z174" s="2">
        <v>18087.52</v>
      </c>
      <c r="AA174" s="4">
        <v>18087.52</v>
      </c>
      <c r="AB174" s="126">
        <f t="shared" si="12"/>
        <v>434100.4800000001</v>
      </c>
      <c r="AC174" s="126">
        <v>20</v>
      </c>
      <c r="AD174" s="127">
        <f>(AB174*AC174)+(AB175*AC175)+(AB176*AC176)+(AB177*AC177)</f>
        <v>13457114.880000003</v>
      </c>
    </row>
    <row r="175" spans="2:30">
      <c r="B175" s="128"/>
      <c r="C175" s="129" t="s">
        <v>6</v>
      </c>
      <c r="D175" s="1">
        <v>18087.52</v>
      </c>
      <c r="E175" s="1">
        <v>18087.52</v>
      </c>
      <c r="F175" s="1">
        <v>18087.52</v>
      </c>
      <c r="G175" s="1">
        <v>18087.52</v>
      </c>
      <c r="H175" s="1">
        <v>18087.52</v>
      </c>
      <c r="I175" s="1">
        <v>18087.52</v>
      </c>
      <c r="J175" s="1">
        <v>18087.52</v>
      </c>
      <c r="K175" s="1">
        <v>18087.52</v>
      </c>
      <c r="L175" s="1">
        <v>18087.52</v>
      </c>
      <c r="M175" s="1">
        <v>18087.52</v>
      </c>
      <c r="N175" s="1">
        <v>18087.52</v>
      </c>
      <c r="O175" s="1">
        <v>18087.52</v>
      </c>
      <c r="P175" s="1">
        <v>18087.52</v>
      </c>
      <c r="Q175" s="1">
        <v>18087.52</v>
      </c>
      <c r="R175" s="1">
        <v>18087.52</v>
      </c>
      <c r="S175" s="1">
        <v>18087.52</v>
      </c>
      <c r="T175" s="1">
        <v>18087.52</v>
      </c>
      <c r="U175" s="1">
        <v>18087.52</v>
      </c>
      <c r="V175" s="1">
        <v>18087.52</v>
      </c>
      <c r="W175" s="1">
        <v>18087.52</v>
      </c>
      <c r="X175" s="1">
        <v>18087.52</v>
      </c>
      <c r="Y175" s="1">
        <v>18087.52</v>
      </c>
      <c r="Z175" s="1">
        <v>18087.52</v>
      </c>
      <c r="AA175" s="5">
        <v>18087.52</v>
      </c>
      <c r="AB175" s="130">
        <f t="shared" si="12"/>
        <v>434100.4800000001</v>
      </c>
      <c r="AC175" s="130">
        <v>5</v>
      </c>
      <c r="AD175" s="131"/>
    </row>
    <row r="176" spans="2:30">
      <c r="B176" s="128"/>
      <c r="C176" s="129" t="s">
        <v>4</v>
      </c>
      <c r="D176" s="1">
        <v>18087.52</v>
      </c>
      <c r="E176" s="1">
        <v>18087.52</v>
      </c>
      <c r="F176" s="1">
        <v>18087.52</v>
      </c>
      <c r="G176" s="1">
        <v>18087.52</v>
      </c>
      <c r="H176" s="1">
        <v>18087.52</v>
      </c>
      <c r="I176" s="1">
        <v>18087.52</v>
      </c>
      <c r="J176" s="1">
        <v>18087.52</v>
      </c>
      <c r="K176" s="1">
        <v>18087.52</v>
      </c>
      <c r="L176" s="1">
        <v>18087.52</v>
      </c>
      <c r="M176" s="1">
        <v>18087.52</v>
      </c>
      <c r="N176" s="1">
        <v>18087.52</v>
      </c>
      <c r="O176" s="1">
        <v>18087.52</v>
      </c>
      <c r="P176" s="1">
        <v>18087.52</v>
      </c>
      <c r="Q176" s="1">
        <v>18087.52</v>
      </c>
      <c r="R176" s="1">
        <v>18087.52</v>
      </c>
      <c r="S176" s="1">
        <v>18087.52</v>
      </c>
      <c r="T176" s="1">
        <v>18087.52</v>
      </c>
      <c r="U176" s="1">
        <v>18087.52</v>
      </c>
      <c r="V176" s="1">
        <v>18087.52</v>
      </c>
      <c r="W176" s="1">
        <v>18087.52</v>
      </c>
      <c r="X176" s="1">
        <v>18087.52</v>
      </c>
      <c r="Y176" s="1">
        <v>18087.52</v>
      </c>
      <c r="Z176" s="1">
        <v>18087.52</v>
      </c>
      <c r="AA176" s="5">
        <v>18087.52</v>
      </c>
      <c r="AB176" s="130">
        <f t="shared" si="12"/>
        <v>434100.4800000001</v>
      </c>
      <c r="AC176" s="130">
        <v>4</v>
      </c>
      <c r="AD176" s="131"/>
    </row>
    <row r="177" spans="2:30" ht="15" thickBot="1">
      <c r="B177" s="132"/>
      <c r="C177" s="133" t="s">
        <v>8</v>
      </c>
      <c r="D177" s="3">
        <v>18087.52</v>
      </c>
      <c r="E177" s="3">
        <v>18087.52</v>
      </c>
      <c r="F177" s="3">
        <v>18087.52</v>
      </c>
      <c r="G177" s="3">
        <v>18087.52</v>
      </c>
      <c r="H177" s="3">
        <v>18087.52</v>
      </c>
      <c r="I177" s="3">
        <v>18087.52</v>
      </c>
      <c r="J177" s="3">
        <v>18087.52</v>
      </c>
      <c r="K177" s="3">
        <v>18087.52</v>
      </c>
      <c r="L177" s="3">
        <v>18087.52</v>
      </c>
      <c r="M177" s="3">
        <v>18087.52</v>
      </c>
      <c r="N177" s="3">
        <v>18087.52</v>
      </c>
      <c r="O177" s="3">
        <v>18087.52</v>
      </c>
      <c r="P177" s="3">
        <v>18087.52</v>
      </c>
      <c r="Q177" s="3">
        <v>18087.52</v>
      </c>
      <c r="R177" s="3">
        <v>18087.52</v>
      </c>
      <c r="S177" s="3">
        <v>18087.52</v>
      </c>
      <c r="T177" s="3">
        <v>18087.52</v>
      </c>
      <c r="U177" s="3">
        <v>18087.52</v>
      </c>
      <c r="V177" s="3">
        <v>18087.52</v>
      </c>
      <c r="W177" s="3">
        <v>18087.52</v>
      </c>
      <c r="X177" s="3">
        <v>18087.52</v>
      </c>
      <c r="Y177" s="3">
        <v>18087.52</v>
      </c>
      <c r="Z177" s="3">
        <v>18087.52</v>
      </c>
      <c r="AA177" s="6">
        <v>18087.52</v>
      </c>
      <c r="AB177" s="134">
        <f t="shared" si="12"/>
        <v>434100.4800000001</v>
      </c>
      <c r="AC177" s="134">
        <v>2</v>
      </c>
      <c r="AD177" s="135"/>
    </row>
    <row r="178" spans="2:30">
      <c r="B178" s="124">
        <v>48427</v>
      </c>
      <c r="C178" s="125" t="s">
        <v>5</v>
      </c>
      <c r="D178" s="2">
        <v>18087.52</v>
      </c>
      <c r="E178" s="2">
        <v>18087.52</v>
      </c>
      <c r="F178" s="2">
        <v>18087.52</v>
      </c>
      <c r="G178" s="2">
        <v>18087.52</v>
      </c>
      <c r="H178" s="2">
        <v>18087.52</v>
      </c>
      <c r="I178" s="2">
        <v>18087.52</v>
      </c>
      <c r="J178" s="2">
        <v>18087.52</v>
      </c>
      <c r="K178" s="2">
        <v>18087.52</v>
      </c>
      <c r="L178" s="2">
        <v>18087.52</v>
      </c>
      <c r="M178" s="2">
        <v>18087.52</v>
      </c>
      <c r="N178" s="2">
        <v>18087.52</v>
      </c>
      <c r="O178" s="2">
        <v>18087.52</v>
      </c>
      <c r="P178" s="2">
        <v>18087.52</v>
      </c>
      <c r="Q178" s="2">
        <v>18087.52</v>
      </c>
      <c r="R178" s="2">
        <v>18087.52</v>
      </c>
      <c r="S178" s="2">
        <v>18087.52</v>
      </c>
      <c r="T178" s="2">
        <v>18087.52</v>
      </c>
      <c r="U178" s="2">
        <v>18087.52</v>
      </c>
      <c r="V178" s="2">
        <v>18087.52</v>
      </c>
      <c r="W178" s="2">
        <v>18087.52</v>
      </c>
      <c r="X178" s="2">
        <v>18087.52</v>
      </c>
      <c r="Y178" s="2">
        <v>18087.52</v>
      </c>
      <c r="Z178" s="2">
        <v>18087.52</v>
      </c>
      <c r="AA178" s="4">
        <v>18087.52</v>
      </c>
      <c r="AB178" s="126">
        <f t="shared" si="12"/>
        <v>434100.4800000001</v>
      </c>
      <c r="AC178" s="126">
        <v>21</v>
      </c>
      <c r="AD178" s="127">
        <f>(AB178*AC178)+(AB179*AC179)+(AB180*AC180)+(AB181*AC181)</f>
        <v>13457114.880000005</v>
      </c>
    </row>
    <row r="179" spans="2:30">
      <c r="B179" s="128"/>
      <c r="C179" s="129" t="s">
        <v>6</v>
      </c>
      <c r="D179" s="1">
        <v>18087.52</v>
      </c>
      <c r="E179" s="1">
        <v>18087.52</v>
      </c>
      <c r="F179" s="1">
        <v>18087.52</v>
      </c>
      <c r="G179" s="1">
        <v>18087.52</v>
      </c>
      <c r="H179" s="1">
        <v>18087.52</v>
      </c>
      <c r="I179" s="1">
        <v>18087.52</v>
      </c>
      <c r="J179" s="1">
        <v>18087.52</v>
      </c>
      <c r="K179" s="1">
        <v>18087.52</v>
      </c>
      <c r="L179" s="1">
        <v>18087.52</v>
      </c>
      <c r="M179" s="1">
        <v>18087.52</v>
      </c>
      <c r="N179" s="1">
        <v>18087.52</v>
      </c>
      <c r="O179" s="1">
        <v>18087.52</v>
      </c>
      <c r="P179" s="1">
        <v>18087.52</v>
      </c>
      <c r="Q179" s="1">
        <v>18087.52</v>
      </c>
      <c r="R179" s="1">
        <v>18087.52</v>
      </c>
      <c r="S179" s="1">
        <v>18087.52</v>
      </c>
      <c r="T179" s="1">
        <v>18087.52</v>
      </c>
      <c r="U179" s="1">
        <v>18087.52</v>
      </c>
      <c r="V179" s="1">
        <v>18087.52</v>
      </c>
      <c r="W179" s="1">
        <v>18087.52</v>
      </c>
      <c r="X179" s="1">
        <v>18087.52</v>
      </c>
      <c r="Y179" s="1">
        <v>18087.52</v>
      </c>
      <c r="Z179" s="1">
        <v>18087.52</v>
      </c>
      <c r="AA179" s="5">
        <v>18087.52</v>
      </c>
      <c r="AB179" s="130">
        <f t="shared" si="12"/>
        <v>434100.4800000001</v>
      </c>
      <c r="AC179" s="130">
        <v>3</v>
      </c>
      <c r="AD179" s="131"/>
    </row>
    <row r="180" spans="2:30">
      <c r="B180" s="128"/>
      <c r="C180" s="129" t="s">
        <v>7</v>
      </c>
      <c r="D180" s="1">
        <v>18087.52</v>
      </c>
      <c r="E180" s="1">
        <v>18087.52</v>
      </c>
      <c r="F180" s="1">
        <v>18087.52</v>
      </c>
      <c r="G180" s="1">
        <v>18087.52</v>
      </c>
      <c r="H180" s="1">
        <v>18087.52</v>
      </c>
      <c r="I180" s="1">
        <v>18087.52</v>
      </c>
      <c r="J180" s="1">
        <v>18087.52</v>
      </c>
      <c r="K180" s="1">
        <v>18087.52</v>
      </c>
      <c r="L180" s="1">
        <v>18087.52</v>
      </c>
      <c r="M180" s="1">
        <v>18087.52</v>
      </c>
      <c r="N180" s="1">
        <v>18087.52</v>
      </c>
      <c r="O180" s="1">
        <v>18087.52</v>
      </c>
      <c r="P180" s="1">
        <v>18087.52</v>
      </c>
      <c r="Q180" s="1">
        <v>18087.52</v>
      </c>
      <c r="R180" s="1">
        <v>18087.52</v>
      </c>
      <c r="S180" s="1">
        <v>18087.52</v>
      </c>
      <c r="T180" s="1">
        <v>18087.52</v>
      </c>
      <c r="U180" s="1">
        <v>18087.52</v>
      </c>
      <c r="V180" s="1">
        <v>18087.52</v>
      </c>
      <c r="W180" s="1">
        <v>18087.52</v>
      </c>
      <c r="X180" s="1">
        <v>18087.52</v>
      </c>
      <c r="Y180" s="1">
        <v>18087.52</v>
      </c>
      <c r="Z180" s="1">
        <v>18087.52</v>
      </c>
      <c r="AA180" s="5">
        <v>18087.52</v>
      </c>
      <c r="AB180" s="130">
        <f t="shared" si="12"/>
        <v>434100.4800000001</v>
      </c>
      <c r="AC180" s="130">
        <v>5</v>
      </c>
      <c r="AD180" s="131"/>
    </row>
    <row r="181" spans="2:30" ht="15" thickBot="1">
      <c r="B181" s="132"/>
      <c r="C181" s="133" t="s">
        <v>8</v>
      </c>
      <c r="D181" s="3">
        <v>18087.52</v>
      </c>
      <c r="E181" s="3">
        <v>18087.52</v>
      </c>
      <c r="F181" s="3">
        <v>18087.52</v>
      </c>
      <c r="G181" s="3">
        <v>18087.52</v>
      </c>
      <c r="H181" s="3">
        <v>18087.52</v>
      </c>
      <c r="I181" s="3">
        <v>18087.52</v>
      </c>
      <c r="J181" s="3">
        <v>18087.52</v>
      </c>
      <c r="K181" s="3">
        <v>18087.52</v>
      </c>
      <c r="L181" s="3">
        <v>18087.52</v>
      </c>
      <c r="M181" s="3">
        <v>18087.52</v>
      </c>
      <c r="N181" s="3">
        <v>18087.52</v>
      </c>
      <c r="O181" s="3">
        <v>18087.52</v>
      </c>
      <c r="P181" s="3">
        <v>18087.52</v>
      </c>
      <c r="Q181" s="3">
        <v>18087.52</v>
      </c>
      <c r="R181" s="3">
        <v>18087.52</v>
      </c>
      <c r="S181" s="3">
        <v>18087.52</v>
      </c>
      <c r="T181" s="3">
        <v>18087.52</v>
      </c>
      <c r="U181" s="3">
        <v>18087.52</v>
      </c>
      <c r="V181" s="3">
        <v>18087.52</v>
      </c>
      <c r="W181" s="3">
        <v>18087.52</v>
      </c>
      <c r="X181" s="3">
        <v>18087.52</v>
      </c>
      <c r="Y181" s="3">
        <v>18087.52</v>
      </c>
      <c r="Z181" s="3">
        <v>18087.52</v>
      </c>
      <c r="AA181" s="6">
        <v>18087.52</v>
      </c>
      <c r="AB181" s="134">
        <f t="shared" si="12"/>
        <v>434100.4800000001</v>
      </c>
      <c r="AC181" s="134">
        <v>2</v>
      </c>
      <c r="AD181" s="135"/>
    </row>
    <row r="182" spans="2:30">
      <c r="B182" s="124">
        <v>48458</v>
      </c>
      <c r="C182" s="125" t="s">
        <v>5</v>
      </c>
      <c r="D182" s="2">
        <v>18087.52</v>
      </c>
      <c r="E182" s="2">
        <v>18087.52</v>
      </c>
      <c r="F182" s="2">
        <v>18087.52</v>
      </c>
      <c r="G182" s="2">
        <v>18087.52</v>
      </c>
      <c r="H182" s="2">
        <v>18087.52</v>
      </c>
      <c r="I182" s="2">
        <v>18087.52</v>
      </c>
      <c r="J182" s="2">
        <v>18087.52</v>
      </c>
      <c r="K182" s="2">
        <v>18087.52</v>
      </c>
      <c r="L182" s="2">
        <v>18087.52</v>
      </c>
      <c r="M182" s="2">
        <v>18087.52</v>
      </c>
      <c r="N182" s="2">
        <v>18087.52</v>
      </c>
      <c r="O182" s="2">
        <v>18087.52</v>
      </c>
      <c r="P182" s="2">
        <v>18087.52</v>
      </c>
      <c r="Q182" s="2">
        <v>18087.52</v>
      </c>
      <c r="R182" s="2">
        <v>18087.52</v>
      </c>
      <c r="S182" s="2">
        <v>18087.52</v>
      </c>
      <c r="T182" s="2">
        <v>18087.52</v>
      </c>
      <c r="U182" s="2">
        <v>18087.52</v>
      </c>
      <c r="V182" s="2">
        <v>18087.52</v>
      </c>
      <c r="W182" s="2">
        <v>18087.52</v>
      </c>
      <c r="X182" s="2">
        <v>18087.52</v>
      </c>
      <c r="Y182" s="2">
        <v>18087.52</v>
      </c>
      <c r="Z182" s="2">
        <v>18087.52</v>
      </c>
      <c r="AA182" s="4">
        <v>18087.52</v>
      </c>
      <c r="AB182" s="126">
        <f t="shared" si="12"/>
        <v>434100.4800000001</v>
      </c>
      <c r="AC182" s="126">
        <v>22</v>
      </c>
      <c r="AD182" s="127">
        <f>(AB182*AC182)+(AB183*AC183)+(AB184*AC184)+(AB185*AC185)</f>
        <v>13023014.400000002</v>
      </c>
    </row>
    <row r="183" spans="2:30">
      <c r="B183" s="128"/>
      <c r="C183" s="129" t="s">
        <v>6</v>
      </c>
      <c r="D183" s="1">
        <v>18087.52</v>
      </c>
      <c r="E183" s="1">
        <v>18087.52</v>
      </c>
      <c r="F183" s="1">
        <v>18087.52</v>
      </c>
      <c r="G183" s="1">
        <v>18087.52</v>
      </c>
      <c r="H183" s="1">
        <v>18087.52</v>
      </c>
      <c r="I183" s="1">
        <v>18087.52</v>
      </c>
      <c r="J183" s="1">
        <v>18087.52</v>
      </c>
      <c r="K183" s="1">
        <v>18087.52</v>
      </c>
      <c r="L183" s="1">
        <v>18087.52</v>
      </c>
      <c r="M183" s="1">
        <v>18087.52</v>
      </c>
      <c r="N183" s="1">
        <v>18087.52</v>
      </c>
      <c r="O183" s="1">
        <v>18087.52</v>
      </c>
      <c r="P183" s="1">
        <v>18087.52</v>
      </c>
      <c r="Q183" s="1">
        <v>18087.52</v>
      </c>
      <c r="R183" s="1">
        <v>18087.52</v>
      </c>
      <c r="S183" s="1">
        <v>18087.52</v>
      </c>
      <c r="T183" s="1">
        <v>18087.52</v>
      </c>
      <c r="U183" s="1">
        <v>18087.52</v>
      </c>
      <c r="V183" s="1">
        <v>18087.52</v>
      </c>
      <c r="W183" s="1">
        <v>18087.52</v>
      </c>
      <c r="X183" s="1">
        <v>18087.52</v>
      </c>
      <c r="Y183" s="1">
        <v>18087.52</v>
      </c>
      <c r="Z183" s="1">
        <v>18087.52</v>
      </c>
      <c r="AA183" s="5">
        <v>18087.52</v>
      </c>
      <c r="AB183" s="130">
        <f t="shared" si="12"/>
        <v>434100.4800000001</v>
      </c>
      <c r="AC183" s="130">
        <v>4</v>
      </c>
      <c r="AD183" s="131"/>
    </row>
    <row r="184" spans="2:30">
      <c r="B184" s="128"/>
      <c r="C184" s="129" t="s">
        <v>7</v>
      </c>
      <c r="D184" s="1">
        <v>18087.52</v>
      </c>
      <c r="E184" s="1">
        <v>18087.52</v>
      </c>
      <c r="F184" s="1">
        <v>18087.52</v>
      </c>
      <c r="G184" s="1">
        <v>18087.52</v>
      </c>
      <c r="H184" s="1">
        <v>18087.52</v>
      </c>
      <c r="I184" s="1">
        <v>18087.52</v>
      </c>
      <c r="J184" s="1">
        <v>18087.52</v>
      </c>
      <c r="K184" s="1">
        <v>18087.52</v>
      </c>
      <c r="L184" s="1">
        <v>18087.52</v>
      </c>
      <c r="M184" s="1">
        <v>18087.52</v>
      </c>
      <c r="N184" s="1">
        <v>18087.52</v>
      </c>
      <c r="O184" s="1">
        <v>18087.52</v>
      </c>
      <c r="P184" s="1">
        <v>18087.52</v>
      </c>
      <c r="Q184" s="1">
        <v>18087.52</v>
      </c>
      <c r="R184" s="1">
        <v>18087.52</v>
      </c>
      <c r="S184" s="1">
        <v>18087.52</v>
      </c>
      <c r="T184" s="1">
        <v>18087.52</v>
      </c>
      <c r="U184" s="1">
        <v>18087.52</v>
      </c>
      <c r="V184" s="1">
        <v>18087.52</v>
      </c>
      <c r="W184" s="1">
        <v>18087.52</v>
      </c>
      <c r="X184" s="1">
        <v>18087.52</v>
      </c>
      <c r="Y184" s="1">
        <v>18087.52</v>
      </c>
      <c r="Z184" s="1">
        <v>18087.52</v>
      </c>
      <c r="AA184" s="5">
        <v>18087.52</v>
      </c>
      <c r="AB184" s="130">
        <f t="shared" si="12"/>
        <v>434100.4800000001</v>
      </c>
      <c r="AC184" s="130">
        <v>4</v>
      </c>
      <c r="AD184" s="131"/>
    </row>
    <row r="185" spans="2:30" ht="15" thickBot="1">
      <c r="B185" s="132"/>
      <c r="C185" s="133" t="s">
        <v>8</v>
      </c>
      <c r="D185" s="3">
        <v>18087.52</v>
      </c>
      <c r="E185" s="3">
        <v>18087.52</v>
      </c>
      <c r="F185" s="3">
        <v>18087.52</v>
      </c>
      <c r="G185" s="3">
        <v>18087.52</v>
      </c>
      <c r="H185" s="3">
        <v>18087.52</v>
      </c>
      <c r="I185" s="3">
        <v>18087.52</v>
      </c>
      <c r="J185" s="3">
        <v>18087.52</v>
      </c>
      <c r="K185" s="3">
        <v>18087.52</v>
      </c>
      <c r="L185" s="3">
        <v>18087.52</v>
      </c>
      <c r="M185" s="3">
        <v>18087.52</v>
      </c>
      <c r="N185" s="3">
        <v>18087.52</v>
      </c>
      <c r="O185" s="3">
        <v>18087.52</v>
      </c>
      <c r="P185" s="3">
        <v>18087.52</v>
      </c>
      <c r="Q185" s="3">
        <v>18087.52</v>
      </c>
      <c r="R185" s="3">
        <v>18087.52</v>
      </c>
      <c r="S185" s="3">
        <v>18087.52</v>
      </c>
      <c r="T185" s="3">
        <v>18087.52</v>
      </c>
      <c r="U185" s="3">
        <v>18087.52</v>
      </c>
      <c r="V185" s="3">
        <v>18087.52</v>
      </c>
      <c r="W185" s="3">
        <v>18087.52</v>
      </c>
      <c r="X185" s="3">
        <v>18087.52</v>
      </c>
      <c r="Y185" s="3">
        <v>18087.52</v>
      </c>
      <c r="Z185" s="3">
        <v>18087.52</v>
      </c>
      <c r="AA185" s="6">
        <v>18087.52</v>
      </c>
      <c r="AB185" s="134">
        <f t="shared" si="12"/>
        <v>434100.4800000001</v>
      </c>
      <c r="AC185" s="134">
        <v>0</v>
      </c>
      <c r="AD185" s="135"/>
    </row>
    <row r="186" spans="2:30">
      <c r="B186" s="124">
        <v>48488</v>
      </c>
      <c r="C186" s="125" t="s">
        <v>5</v>
      </c>
      <c r="D186" s="2">
        <v>18087.52</v>
      </c>
      <c r="E186" s="2">
        <v>18087.52</v>
      </c>
      <c r="F186" s="2">
        <v>18087.52</v>
      </c>
      <c r="G186" s="2">
        <v>18087.52</v>
      </c>
      <c r="H186" s="2">
        <v>18087.52</v>
      </c>
      <c r="I186" s="2">
        <v>18087.52</v>
      </c>
      <c r="J186" s="2">
        <v>18087.52</v>
      </c>
      <c r="K186" s="2">
        <v>18087.52</v>
      </c>
      <c r="L186" s="2">
        <v>18087.52</v>
      </c>
      <c r="M186" s="2">
        <v>18087.52</v>
      </c>
      <c r="N186" s="2">
        <v>18087.52</v>
      </c>
      <c r="O186" s="2">
        <v>18087.52</v>
      </c>
      <c r="P186" s="2">
        <v>18087.52</v>
      </c>
      <c r="Q186" s="2">
        <v>18087.52</v>
      </c>
      <c r="R186" s="2">
        <v>18087.52</v>
      </c>
      <c r="S186" s="2">
        <v>18087.52</v>
      </c>
      <c r="T186" s="2">
        <v>18087.52</v>
      </c>
      <c r="U186" s="2">
        <v>18087.52</v>
      </c>
      <c r="V186" s="2">
        <v>18087.52</v>
      </c>
      <c r="W186" s="2">
        <v>18087.52</v>
      </c>
      <c r="X186" s="2">
        <v>18087.52</v>
      </c>
      <c r="Y186" s="2">
        <v>18087.52</v>
      </c>
      <c r="Z186" s="2">
        <v>18087.52</v>
      </c>
      <c r="AA186" s="4">
        <v>18087.52</v>
      </c>
      <c r="AB186" s="126">
        <f t="shared" si="12"/>
        <v>434100.4800000001</v>
      </c>
      <c r="AC186" s="126">
        <v>20</v>
      </c>
      <c r="AD186" s="127">
        <f>(AB186*AC186)+(AB187*AC187)+(AB188*AC188)+(AB189*AC189)</f>
        <v>13457114.880000003</v>
      </c>
    </row>
    <row r="187" spans="2:30">
      <c r="B187" s="128"/>
      <c r="C187" s="129" t="s">
        <v>6</v>
      </c>
      <c r="D187" s="1">
        <v>18087.52</v>
      </c>
      <c r="E187" s="1">
        <v>18087.52</v>
      </c>
      <c r="F187" s="1">
        <v>18087.52</v>
      </c>
      <c r="G187" s="1">
        <v>18087.52</v>
      </c>
      <c r="H187" s="1">
        <v>18087.52</v>
      </c>
      <c r="I187" s="1">
        <v>18087.52</v>
      </c>
      <c r="J187" s="1">
        <v>18087.52</v>
      </c>
      <c r="K187" s="1">
        <v>18087.52</v>
      </c>
      <c r="L187" s="1">
        <v>18087.52</v>
      </c>
      <c r="M187" s="1">
        <v>18087.52</v>
      </c>
      <c r="N187" s="1">
        <v>18087.52</v>
      </c>
      <c r="O187" s="1">
        <v>18087.52</v>
      </c>
      <c r="P187" s="1">
        <v>18087.52</v>
      </c>
      <c r="Q187" s="1">
        <v>18087.52</v>
      </c>
      <c r="R187" s="1">
        <v>18087.52</v>
      </c>
      <c r="S187" s="1">
        <v>18087.52</v>
      </c>
      <c r="T187" s="1">
        <v>18087.52</v>
      </c>
      <c r="U187" s="1">
        <v>18087.52</v>
      </c>
      <c r="V187" s="1">
        <v>18087.52</v>
      </c>
      <c r="W187" s="1">
        <v>18087.52</v>
      </c>
      <c r="X187" s="1">
        <v>18087.52</v>
      </c>
      <c r="Y187" s="1">
        <v>18087.52</v>
      </c>
      <c r="Z187" s="1">
        <v>18087.52</v>
      </c>
      <c r="AA187" s="5">
        <v>18087.52</v>
      </c>
      <c r="AB187" s="130">
        <f t="shared" si="12"/>
        <v>434100.4800000001</v>
      </c>
      <c r="AC187" s="130">
        <v>5</v>
      </c>
      <c r="AD187" s="131"/>
    </row>
    <row r="188" spans="2:30">
      <c r="B188" s="128"/>
      <c r="C188" s="129" t="s">
        <v>7</v>
      </c>
      <c r="D188" s="1">
        <v>18087.52</v>
      </c>
      <c r="E188" s="1">
        <v>18087.52</v>
      </c>
      <c r="F188" s="1">
        <v>18087.52</v>
      </c>
      <c r="G188" s="1">
        <v>18087.52</v>
      </c>
      <c r="H188" s="1">
        <v>18087.52</v>
      </c>
      <c r="I188" s="1">
        <v>18087.52</v>
      </c>
      <c r="J188" s="1">
        <v>18087.52</v>
      </c>
      <c r="K188" s="1">
        <v>18087.52</v>
      </c>
      <c r="L188" s="1">
        <v>18087.52</v>
      </c>
      <c r="M188" s="1">
        <v>18087.52</v>
      </c>
      <c r="N188" s="1">
        <v>18087.52</v>
      </c>
      <c r="O188" s="1">
        <v>18087.52</v>
      </c>
      <c r="P188" s="1">
        <v>18087.52</v>
      </c>
      <c r="Q188" s="1">
        <v>18087.52</v>
      </c>
      <c r="R188" s="1">
        <v>18087.52</v>
      </c>
      <c r="S188" s="1">
        <v>18087.52</v>
      </c>
      <c r="T188" s="1">
        <v>18087.52</v>
      </c>
      <c r="U188" s="1">
        <v>18087.52</v>
      </c>
      <c r="V188" s="1">
        <v>18087.52</v>
      </c>
      <c r="W188" s="1">
        <v>18087.52</v>
      </c>
      <c r="X188" s="1">
        <v>18087.52</v>
      </c>
      <c r="Y188" s="1">
        <v>18087.52</v>
      </c>
      <c r="Z188" s="1">
        <v>18087.52</v>
      </c>
      <c r="AA188" s="5">
        <v>18087.52</v>
      </c>
      <c r="AB188" s="130">
        <f t="shared" si="12"/>
        <v>434100.4800000001</v>
      </c>
      <c r="AC188" s="130">
        <v>5</v>
      </c>
      <c r="AD188" s="131"/>
    </row>
    <row r="189" spans="2:30" ht="15" thickBot="1">
      <c r="B189" s="132"/>
      <c r="C189" s="133" t="s">
        <v>8</v>
      </c>
      <c r="D189" s="3">
        <v>18087.52</v>
      </c>
      <c r="E189" s="3">
        <v>18087.52</v>
      </c>
      <c r="F189" s="3">
        <v>18087.52</v>
      </c>
      <c r="G189" s="3">
        <v>18087.52</v>
      </c>
      <c r="H189" s="3">
        <v>18087.52</v>
      </c>
      <c r="I189" s="3">
        <v>18087.52</v>
      </c>
      <c r="J189" s="3">
        <v>18087.52</v>
      </c>
      <c r="K189" s="3">
        <v>18087.52</v>
      </c>
      <c r="L189" s="3">
        <v>18087.52</v>
      </c>
      <c r="M189" s="3">
        <v>18087.52</v>
      </c>
      <c r="N189" s="3">
        <v>18087.52</v>
      </c>
      <c r="O189" s="3">
        <v>18087.52</v>
      </c>
      <c r="P189" s="3">
        <v>18087.52</v>
      </c>
      <c r="Q189" s="3">
        <v>18087.52</v>
      </c>
      <c r="R189" s="3">
        <v>18087.52</v>
      </c>
      <c r="S189" s="3">
        <v>18087.52</v>
      </c>
      <c r="T189" s="3">
        <v>18087.52</v>
      </c>
      <c r="U189" s="3">
        <v>18087.52</v>
      </c>
      <c r="V189" s="3">
        <v>18087.52</v>
      </c>
      <c r="W189" s="3">
        <v>18087.52</v>
      </c>
      <c r="X189" s="3">
        <v>18087.52</v>
      </c>
      <c r="Y189" s="3">
        <v>18087.52</v>
      </c>
      <c r="Z189" s="3">
        <v>18087.52</v>
      </c>
      <c r="AA189" s="6">
        <v>18087.52</v>
      </c>
      <c r="AB189" s="134">
        <f t="shared" si="12"/>
        <v>434100.4800000001</v>
      </c>
      <c r="AC189" s="134">
        <v>1</v>
      </c>
      <c r="AD189" s="135"/>
    </row>
    <row r="190" spans="2:30">
      <c r="B190" s="124">
        <v>48519</v>
      </c>
      <c r="C190" s="125" t="s">
        <v>5</v>
      </c>
      <c r="D190" s="2">
        <v>18087.52</v>
      </c>
      <c r="E190" s="2">
        <v>18087.52</v>
      </c>
      <c r="F190" s="2">
        <v>18087.52</v>
      </c>
      <c r="G190" s="2">
        <v>18087.52</v>
      </c>
      <c r="H190" s="2">
        <v>18087.52</v>
      </c>
      <c r="I190" s="2">
        <v>18087.52</v>
      </c>
      <c r="J190" s="2">
        <v>18087.52</v>
      </c>
      <c r="K190" s="2">
        <v>18087.52</v>
      </c>
      <c r="L190" s="2">
        <v>18087.52</v>
      </c>
      <c r="M190" s="2">
        <v>18087.52</v>
      </c>
      <c r="N190" s="2">
        <v>18087.52</v>
      </c>
      <c r="O190" s="2">
        <v>18087.52</v>
      </c>
      <c r="P190" s="2">
        <v>18087.52</v>
      </c>
      <c r="Q190" s="2">
        <v>18087.52</v>
      </c>
      <c r="R190" s="2">
        <v>18087.52</v>
      </c>
      <c r="S190" s="2">
        <v>18087.52</v>
      </c>
      <c r="T190" s="2">
        <v>18087.52</v>
      </c>
      <c r="U190" s="2">
        <v>18087.52</v>
      </c>
      <c r="V190" s="2">
        <v>18087.52</v>
      </c>
      <c r="W190" s="2">
        <v>18087.52</v>
      </c>
      <c r="X190" s="2">
        <v>18087.52</v>
      </c>
      <c r="Y190" s="2">
        <v>18087.52</v>
      </c>
      <c r="Z190" s="2">
        <v>18087.52</v>
      </c>
      <c r="AA190" s="4">
        <v>18087.52</v>
      </c>
      <c r="AB190" s="126">
        <f t="shared" si="12"/>
        <v>434100.4800000001</v>
      </c>
      <c r="AC190" s="126">
        <v>20</v>
      </c>
      <c r="AD190" s="127">
        <f>(AB190*AC190)+(AB191*AC191)+(AB192*AC192)+(AB193*AC193)</f>
        <v>13023014.400000002</v>
      </c>
    </row>
    <row r="191" spans="2:30">
      <c r="B191" s="128"/>
      <c r="C191" s="129" t="s">
        <v>6</v>
      </c>
      <c r="D191" s="1">
        <v>18087.52</v>
      </c>
      <c r="E191" s="1">
        <v>18087.52</v>
      </c>
      <c r="F191" s="1">
        <v>18087.52</v>
      </c>
      <c r="G191" s="1">
        <v>18087.52</v>
      </c>
      <c r="H191" s="1">
        <v>18087.52</v>
      </c>
      <c r="I191" s="1">
        <v>18087.52</v>
      </c>
      <c r="J191" s="1">
        <v>18087.52</v>
      </c>
      <c r="K191" s="1">
        <v>18087.52</v>
      </c>
      <c r="L191" s="1">
        <v>18087.52</v>
      </c>
      <c r="M191" s="1">
        <v>18087.52</v>
      </c>
      <c r="N191" s="1">
        <v>18087.52</v>
      </c>
      <c r="O191" s="1">
        <v>18087.52</v>
      </c>
      <c r="P191" s="1">
        <v>18087.52</v>
      </c>
      <c r="Q191" s="1">
        <v>18087.52</v>
      </c>
      <c r="R191" s="1">
        <v>18087.52</v>
      </c>
      <c r="S191" s="1">
        <v>18087.52</v>
      </c>
      <c r="T191" s="1">
        <v>18087.52</v>
      </c>
      <c r="U191" s="1">
        <v>18087.52</v>
      </c>
      <c r="V191" s="1">
        <v>18087.52</v>
      </c>
      <c r="W191" s="1">
        <v>18087.52</v>
      </c>
      <c r="X191" s="1">
        <v>18087.52</v>
      </c>
      <c r="Y191" s="1">
        <v>18087.52</v>
      </c>
      <c r="Z191" s="1">
        <v>18087.52</v>
      </c>
      <c r="AA191" s="5">
        <v>18087.52</v>
      </c>
      <c r="AB191" s="130">
        <f t="shared" si="12"/>
        <v>434100.4800000001</v>
      </c>
      <c r="AC191" s="130">
        <v>4</v>
      </c>
      <c r="AD191" s="131"/>
    </row>
    <row r="192" spans="2:30">
      <c r="B192" s="128"/>
      <c r="C192" s="129" t="s">
        <v>7</v>
      </c>
      <c r="D192" s="1">
        <v>18087.52</v>
      </c>
      <c r="E192" s="1">
        <v>18087.52</v>
      </c>
      <c r="F192" s="1">
        <v>18087.52</v>
      </c>
      <c r="G192" s="1">
        <v>18087.52</v>
      </c>
      <c r="H192" s="1">
        <v>18087.52</v>
      </c>
      <c r="I192" s="1">
        <v>18087.52</v>
      </c>
      <c r="J192" s="1">
        <v>18087.52</v>
      </c>
      <c r="K192" s="1">
        <v>18087.52</v>
      </c>
      <c r="L192" s="1">
        <v>18087.52</v>
      </c>
      <c r="M192" s="1">
        <v>18087.52</v>
      </c>
      <c r="N192" s="1">
        <v>18087.52</v>
      </c>
      <c r="O192" s="1">
        <v>18087.52</v>
      </c>
      <c r="P192" s="1">
        <v>18087.52</v>
      </c>
      <c r="Q192" s="1">
        <v>18087.52</v>
      </c>
      <c r="R192" s="1">
        <v>18087.52</v>
      </c>
      <c r="S192" s="1">
        <v>18087.52</v>
      </c>
      <c r="T192" s="1">
        <v>18087.52</v>
      </c>
      <c r="U192" s="1">
        <v>18087.52</v>
      </c>
      <c r="V192" s="1">
        <v>18087.52</v>
      </c>
      <c r="W192" s="1">
        <v>18087.52</v>
      </c>
      <c r="X192" s="1">
        <v>18087.52</v>
      </c>
      <c r="Y192" s="1">
        <v>18087.52</v>
      </c>
      <c r="Z192" s="1">
        <v>18087.52</v>
      </c>
      <c r="AA192" s="5">
        <v>18087.52</v>
      </c>
      <c r="AB192" s="130">
        <f t="shared" si="12"/>
        <v>434100.4800000001</v>
      </c>
      <c r="AC192" s="130">
        <v>4</v>
      </c>
      <c r="AD192" s="131"/>
    </row>
    <row r="193" spans="2:30" ht="15" thickBot="1">
      <c r="B193" s="132"/>
      <c r="C193" s="133" t="s">
        <v>8</v>
      </c>
      <c r="D193" s="3">
        <v>18087.52</v>
      </c>
      <c r="E193" s="3">
        <v>18087.52</v>
      </c>
      <c r="F193" s="3">
        <v>18087.52</v>
      </c>
      <c r="G193" s="3">
        <v>18087.52</v>
      </c>
      <c r="H193" s="3">
        <v>18087.52</v>
      </c>
      <c r="I193" s="3">
        <v>18087.52</v>
      </c>
      <c r="J193" s="3">
        <v>18087.52</v>
      </c>
      <c r="K193" s="3">
        <v>18087.52</v>
      </c>
      <c r="L193" s="3">
        <v>18087.52</v>
      </c>
      <c r="M193" s="3">
        <v>18087.52</v>
      </c>
      <c r="N193" s="3">
        <v>18087.52</v>
      </c>
      <c r="O193" s="3">
        <v>18087.52</v>
      </c>
      <c r="P193" s="3">
        <v>18087.52</v>
      </c>
      <c r="Q193" s="3">
        <v>18087.52</v>
      </c>
      <c r="R193" s="3">
        <v>18087.52</v>
      </c>
      <c r="S193" s="3">
        <v>18087.52</v>
      </c>
      <c r="T193" s="3">
        <v>18087.52</v>
      </c>
      <c r="U193" s="3">
        <v>18087.52</v>
      </c>
      <c r="V193" s="3">
        <v>18087.52</v>
      </c>
      <c r="W193" s="3">
        <v>18087.52</v>
      </c>
      <c r="X193" s="3">
        <v>18087.52</v>
      </c>
      <c r="Y193" s="3">
        <v>18087.52</v>
      </c>
      <c r="Z193" s="3">
        <v>18087.52</v>
      </c>
      <c r="AA193" s="6">
        <v>18087.52</v>
      </c>
      <c r="AB193" s="134">
        <f t="shared" si="12"/>
        <v>434100.4800000001</v>
      </c>
      <c r="AC193" s="134">
        <v>2</v>
      </c>
      <c r="AD193" s="135"/>
    </row>
    <row r="194" spans="2:30">
      <c r="B194" s="124">
        <v>48549</v>
      </c>
      <c r="C194" s="125" t="s">
        <v>5</v>
      </c>
      <c r="D194" s="2">
        <v>18087.52</v>
      </c>
      <c r="E194" s="2">
        <v>18087.52</v>
      </c>
      <c r="F194" s="2">
        <v>18087.52</v>
      </c>
      <c r="G194" s="2">
        <v>18087.52</v>
      </c>
      <c r="H194" s="2">
        <v>18087.52</v>
      </c>
      <c r="I194" s="2">
        <v>18087.52</v>
      </c>
      <c r="J194" s="2">
        <v>18087.52</v>
      </c>
      <c r="K194" s="2">
        <v>18087.52</v>
      </c>
      <c r="L194" s="2">
        <v>18087.52</v>
      </c>
      <c r="M194" s="2">
        <v>18087.52</v>
      </c>
      <c r="N194" s="2">
        <v>18087.52</v>
      </c>
      <c r="O194" s="2">
        <v>18087.52</v>
      </c>
      <c r="P194" s="2">
        <v>18087.52</v>
      </c>
      <c r="Q194" s="2">
        <v>18087.52</v>
      </c>
      <c r="R194" s="2">
        <v>18087.52</v>
      </c>
      <c r="S194" s="2">
        <v>18087.52</v>
      </c>
      <c r="T194" s="2">
        <v>18087.52</v>
      </c>
      <c r="U194" s="2">
        <v>18087.52</v>
      </c>
      <c r="V194" s="2">
        <v>18087.52</v>
      </c>
      <c r="W194" s="2">
        <v>18087.52</v>
      </c>
      <c r="X194" s="2">
        <v>18087.52</v>
      </c>
      <c r="Y194" s="2">
        <v>18087.52</v>
      </c>
      <c r="Z194" s="2">
        <v>18087.52</v>
      </c>
      <c r="AA194" s="4">
        <v>18087.52</v>
      </c>
      <c r="AB194" s="126">
        <f t="shared" si="12"/>
        <v>434100.4800000001</v>
      </c>
      <c r="AC194" s="126">
        <v>22</v>
      </c>
      <c r="AD194" s="127">
        <f>(AB194*AC194)+(AB195*AC195)+(AB196*AC196)+(AB197*AC197)</f>
        <v>13457114.880000005</v>
      </c>
    </row>
    <row r="195" spans="2:30">
      <c r="B195" s="128"/>
      <c r="C195" s="129" t="s">
        <v>6</v>
      </c>
      <c r="D195" s="1">
        <v>18087.52</v>
      </c>
      <c r="E195" s="1">
        <v>18087.52</v>
      </c>
      <c r="F195" s="1">
        <v>18087.52</v>
      </c>
      <c r="G195" s="1">
        <v>18087.52</v>
      </c>
      <c r="H195" s="1">
        <v>18087.52</v>
      </c>
      <c r="I195" s="1">
        <v>18087.52</v>
      </c>
      <c r="J195" s="1">
        <v>18087.52</v>
      </c>
      <c r="K195" s="1">
        <v>18087.52</v>
      </c>
      <c r="L195" s="1">
        <v>18087.52</v>
      </c>
      <c r="M195" s="1">
        <v>18087.52</v>
      </c>
      <c r="N195" s="1">
        <v>18087.52</v>
      </c>
      <c r="O195" s="1">
        <v>18087.52</v>
      </c>
      <c r="P195" s="1">
        <v>18087.52</v>
      </c>
      <c r="Q195" s="1">
        <v>18087.52</v>
      </c>
      <c r="R195" s="1">
        <v>18087.52</v>
      </c>
      <c r="S195" s="1">
        <v>18087.52</v>
      </c>
      <c r="T195" s="1">
        <v>18087.52</v>
      </c>
      <c r="U195" s="1">
        <v>18087.52</v>
      </c>
      <c r="V195" s="1">
        <v>18087.52</v>
      </c>
      <c r="W195" s="1">
        <v>18087.52</v>
      </c>
      <c r="X195" s="1">
        <v>18087.52</v>
      </c>
      <c r="Y195" s="1">
        <v>18087.52</v>
      </c>
      <c r="Z195" s="1">
        <v>18087.52</v>
      </c>
      <c r="AA195" s="5">
        <v>18087.52</v>
      </c>
      <c r="AB195" s="130">
        <f t="shared" si="12"/>
        <v>434100.4800000001</v>
      </c>
      <c r="AC195" s="130">
        <v>3</v>
      </c>
      <c r="AD195" s="131"/>
    </row>
    <row r="196" spans="2:30">
      <c r="B196" s="128"/>
      <c r="C196" s="129" t="s">
        <v>7</v>
      </c>
      <c r="D196" s="1">
        <v>18087.52</v>
      </c>
      <c r="E196" s="1">
        <v>18087.52</v>
      </c>
      <c r="F196" s="1">
        <v>18087.52</v>
      </c>
      <c r="G196" s="1">
        <v>18087.52</v>
      </c>
      <c r="H196" s="1">
        <v>18087.52</v>
      </c>
      <c r="I196" s="1">
        <v>18087.52</v>
      </c>
      <c r="J196" s="1">
        <v>18087.52</v>
      </c>
      <c r="K196" s="1">
        <v>18087.52</v>
      </c>
      <c r="L196" s="1">
        <v>18087.52</v>
      </c>
      <c r="M196" s="1">
        <v>18087.52</v>
      </c>
      <c r="N196" s="1">
        <v>18087.52</v>
      </c>
      <c r="O196" s="1">
        <v>18087.52</v>
      </c>
      <c r="P196" s="1">
        <v>18087.52</v>
      </c>
      <c r="Q196" s="1">
        <v>18087.52</v>
      </c>
      <c r="R196" s="1">
        <v>18087.52</v>
      </c>
      <c r="S196" s="1">
        <v>18087.52</v>
      </c>
      <c r="T196" s="1">
        <v>18087.52</v>
      </c>
      <c r="U196" s="1">
        <v>18087.52</v>
      </c>
      <c r="V196" s="1">
        <v>18087.52</v>
      </c>
      <c r="W196" s="1">
        <v>18087.52</v>
      </c>
      <c r="X196" s="1">
        <v>18087.52</v>
      </c>
      <c r="Y196" s="1">
        <v>18087.52</v>
      </c>
      <c r="Z196" s="1">
        <v>18087.52</v>
      </c>
      <c r="AA196" s="5">
        <v>18087.52</v>
      </c>
      <c r="AB196" s="130">
        <f t="shared" si="12"/>
        <v>434100.4800000001</v>
      </c>
      <c r="AC196" s="130">
        <v>4</v>
      </c>
      <c r="AD196" s="131"/>
    </row>
    <row r="197" spans="2:30" ht="15" thickBot="1">
      <c r="B197" s="132"/>
      <c r="C197" s="133" t="s">
        <v>8</v>
      </c>
      <c r="D197" s="3">
        <v>18087.52</v>
      </c>
      <c r="E197" s="3">
        <v>18087.52</v>
      </c>
      <c r="F197" s="3">
        <v>18087.52</v>
      </c>
      <c r="G197" s="3">
        <v>18087.52</v>
      </c>
      <c r="H197" s="3">
        <v>18087.52</v>
      </c>
      <c r="I197" s="3">
        <v>18087.52</v>
      </c>
      <c r="J197" s="3">
        <v>18087.52</v>
      </c>
      <c r="K197" s="3">
        <v>18087.52</v>
      </c>
      <c r="L197" s="3">
        <v>18087.52</v>
      </c>
      <c r="M197" s="3">
        <v>18087.52</v>
      </c>
      <c r="N197" s="3">
        <v>18087.52</v>
      </c>
      <c r="O197" s="3">
        <v>18087.52</v>
      </c>
      <c r="P197" s="3">
        <v>18087.52</v>
      </c>
      <c r="Q197" s="3">
        <v>18087.52</v>
      </c>
      <c r="R197" s="3">
        <v>18087.52</v>
      </c>
      <c r="S197" s="3">
        <v>18087.52</v>
      </c>
      <c r="T197" s="3">
        <v>18087.52</v>
      </c>
      <c r="U197" s="3">
        <v>18087.52</v>
      </c>
      <c r="V197" s="3">
        <v>18087.52</v>
      </c>
      <c r="W197" s="3">
        <v>18087.52</v>
      </c>
      <c r="X197" s="3">
        <v>18087.52</v>
      </c>
      <c r="Y197" s="3">
        <v>18087.52</v>
      </c>
      <c r="Z197" s="3">
        <v>18087.52</v>
      </c>
      <c r="AA197" s="6">
        <v>18087.52</v>
      </c>
      <c r="AB197" s="134">
        <f t="shared" si="12"/>
        <v>434100.4800000001</v>
      </c>
      <c r="AC197" s="134">
        <v>2</v>
      </c>
      <c r="AD197" s="135"/>
    </row>
    <row r="198" spans="2:30">
      <c r="B198" s="124">
        <v>48580</v>
      </c>
      <c r="C198" s="125" t="s">
        <v>5</v>
      </c>
      <c r="D198" s="2">
        <v>18500.060000000001</v>
      </c>
      <c r="E198" s="2">
        <v>18500.060000000001</v>
      </c>
      <c r="F198" s="2">
        <v>18500.060000000001</v>
      </c>
      <c r="G198" s="2">
        <v>18500.060000000001</v>
      </c>
      <c r="H198" s="2">
        <v>18500.060000000001</v>
      </c>
      <c r="I198" s="2">
        <v>18500.060000000001</v>
      </c>
      <c r="J198" s="2">
        <v>18500.060000000001</v>
      </c>
      <c r="K198" s="2">
        <v>18500.060000000001</v>
      </c>
      <c r="L198" s="2">
        <v>18500.060000000001</v>
      </c>
      <c r="M198" s="2">
        <v>18500.060000000001</v>
      </c>
      <c r="N198" s="2">
        <v>18500.060000000001</v>
      </c>
      <c r="O198" s="2">
        <v>18500.060000000001</v>
      </c>
      <c r="P198" s="2">
        <v>18500.060000000001</v>
      </c>
      <c r="Q198" s="2">
        <v>18500.060000000001</v>
      </c>
      <c r="R198" s="2">
        <v>18500.060000000001</v>
      </c>
      <c r="S198" s="2">
        <v>18500.060000000001</v>
      </c>
      <c r="T198" s="2">
        <v>18500.060000000001</v>
      </c>
      <c r="U198" s="2">
        <v>18500.060000000001</v>
      </c>
      <c r="V198" s="2">
        <v>18500.060000000001</v>
      </c>
      <c r="W198" s="2">
        <v>18500.060000000001</v>
      </c>
      <c r="X198" s="2">
        <v>18500.060000000001</v>
      </c>
      <c r="Y198" s="2">
        <v>18500.060000000001</v>
      </c>
      <c r="Z198" s="2">
        <v>18500.060000000001</v>
      </c>
      <c r="AA198" s="4">
        <v>18500.060000000001</v>
      </c>
      <c r="AB198" s="126">
        <f t="shared" ref="AB198:AB245" si="13">(SUM(D198:AA198))</f>
        <v>444001.44</v>
      </c>
      <c r="AC198" s="126">
        <v>20</v>
      </c>
      <c r="AD198" s="127">
        <f>(AB198*AC198)+(AB199*AC199)+(AB200*AC200)+(AB201*AC201)</f>
        <v>13764044.640000002</v>
      </c>
    </row>
    <row r="199" spans="2:30">
      <c r="B199" s="128"/>
      <c r="C199" s="129" t="s">
        <v>6</v>
      </c>
      <c r="D199" s="1">
        <v>18500.060000000001</v>
      </c>
      <c r="E199" s="1">
        <v>18500.060000000001</v>
      </c>
      <c r="F199" s="1">
        <v>18500.060000000001</v>
      </c>
      <c r="G199" s="1">
        <v>18500.060000000001</v>
      </c>
      <c r="H199" s="1">
        <v>18500.060000000001</v>
      </c>
      <c r="I199" s="1">
        <v>18500.060000000001</v>
      </c>
      <c r="J199" s="1">
        <v>18500.060000000001</v>
      </c>
      <c r="K199" s="1">
        <v>18500.060000000001</v>
      </c>
      <c r="L199" s="1">
        <v>18500.060000000001</v>
      </c>
      <c r="M199" s="1">
        <v>18500.060000000001</v>
      </c>
      <c r="N199" s="1">
        <v>18500.060000000001</v>
      </c>
      <c r="O199" s="1">
        <v>18500.060000000001</v>
      </c>
      <c r="P199" s="1">
        <v>18500.060000000001</v>
      </c>
      <c r="Q199" s="1">
        <v>18500.060000000001</v>
      </c>
      <c r="R199" s="1">
        <v>18500.060000000001</v>
      </c>
      <c r="S199" s="1">
        <v>18500.060000000001</v>
      </c>
      <c r="T199" s="1">
        <v>18500.060000000001</v>
      </c>
      <c r="U199" s="1">
        <v>18500.060000000001</v>
      </c>
      <c r="V199" s="1">
        <v>18500.060000000001</v>
      </c>
      <c r="W199" s="1">
        <v>18500.060000000001</v>
      </c>
      <c r="X199" s="1">
        <v>18500.060000000001</v>
      </c>
      <c r="Y199" s="1">
        <v>18500.060000000001</v>
      </c>
      <c r="Z199" s="1">
        <v>18500.060000000001</v>
      </c>
      <c r="AA199" s="5">
        <v>18500.060000000001</v>
      </c>
      <c r="AB199" s="130">
        <f t="shared" si="13"/>
        <v>444001.44</v>
      </c>
      <c r="AC199" s="130">
        <v>4</v>
      </c>
      <c r="AD199" s="131"/>
    </row>
    <row r="200" spans="2:30">
      <c r="B200" s="128"/>
      <c r="C200" s="129" t="s">
        <v>7</v>
      </c>
      <c r="D200" s="1">
        <v>18500.060000000001</v>
      </c>
      <c r="E200" s="1">
        <v>18500.060000000001</v>
      </c>
      <c r="F200" s="1">
        <v>18500.060000000001</v>
      </c>
      <c r="G200" s="1">
        <v>18500.060000000001</v>
      </c>
      <c r="H200" s="1">
        <v>18500.060000000001</v>
      </c>
      <c r="I200" s="1">
        <v>18500.060000000001</v>
      </c>
      <c r="J200" s="1">
        <v>18500.060000000001</v>
      </c>
      <c r="K200" s="1">
        <v>18500.060000000001</v>
      </c>
      <c r="L200" s="1">
        <v>18500.060000000001</v>
      </c>
      <c r="M200" s="1">
        <v>18500.060000000001</v>
      </c>
      <c r="N200" s="1">
        <v>18500.060000000001</v>
      </c>
      <c r="O200" s="1">
        <v>18500.060000000001</v>
      </c>
      <c r="P200" s="1">
        <v>18500.060000000001</v>
      </c>
      <c r="Q200" s="1">
        <v>18500.060000000001</v>
      </c>
      <c r="R200" s="1">
        <v>18500.060000000001</v>
      </c>
      <c r="S200" s="1">
        <v>18500.060000000001</v>
      </c>
      <c r="T200" s="1">
        <v>18500.060000000001</v>
      </c>
      <c r="U200" s="1">
        <v>18500.060000000001</v>
      </c>
      <c r="V200" s="1">
        <v>18500.060000000001</v>
      </c>
      <c r="W200" s="1">
        <v>18500.060000000001</v>
      </c>
      <c r="X200" s="1">
        <v>18500.060000000001</v>
      </c>
      <c r="Y200" s="1">
        <v>18500.060000000001</v>
      </c>
      <c r="Z200" s="1">
        <v>18500.060000000001</v>
      </c>
      <c r="AA200" s="5">
        <v>18500.060000000001</v>
      </c>
      <c r="AB200" s="130">
        <f t="shared" si="13"/>
        <v>444001.44</v>
      </c>
      <c r="AC200" s="130">
        <v>5</v>
      </c>
      <c r="AD200" s="131"/>
    </row>
    <row r="201" spans="2:30" ht="15" thickBot="1">
      <c r="B201" s="132"/>
      <c r="C201" s="133" t="s">
        <v>8</v>
      </c>
      <c r="D201" s="3">
        <v>18500.060000000001</v>
      </c>
      <c r="E201" s="3">
        <v>18500.060000000001</v>
      </c>
      <c r="F201" s="3">
        <v>18500.060000000001</v>
      </c>
      <c r="G201" s="3">
        <v>18500.060000000001</v>
      </c>
      <c r="H201" s="3">
        <v>18500.060000000001</v>
      </c>
      <c r="I201" s="3">
        <v>18500.060000000001</v>
      </c>
      <c r="J201" s="3">
        <v>18500.060000000001</v>
      </c>
      <c r="K201" s="3">
        <v>18500.060000000001</v>
      </c>
      <c r="L201" s="3">
        <v>18500.060000000001</v>
      </c>
      <c r="M201" s="3">
        <v>18500.060000000001</v>
      </c>
      <c r="N201" s="3">
        <v>18500.060000000001</v>
      </c>
      <c r="O201" s="3">
        <v>18500.060000000001</v>
      </c>
      <c r="P201" s="3">
        <v>18500.060000000001</v>
      </c>
      <c r="Q201" s="3">
        <v>18500.060000000001</v>
      </c>
      <c r="R201" s="3">
        <v>18500.060000000001</v>
      </c>
      <c r="S201" s="3">
        <v>18500.060000000001</v>
      </c>
      <c r="T201" s="3">
        <v>18500.060000000001</v>
      </c>
      <c r="U201" s="3">
        <v>18500.060000000001</v>
      </c>
      <c r="V201" s="3">
        <v>18500.060000000001</v>
      </c>
      <c r="W201" s="3">
        <v>18500.060000000001</v>
      </c>
      <c r="X201" s="3">
        <v>18500.060000000001</v>
      </c>
      <c r="Y201" s="3">
        <v>18500.060000000001</v>
      </c>
      <c r="Z201" s="3">
        <v>18500.060000000001</v>
      </c>
      <c r="AA201" s="6">
        <v>18500.060000000001</v>
      </c>
      <c r="AB201" s="134">
        <f t="shared" si="13"/>
        <v>444001.44</v>
      </c>
      <c r="AC201" s="134">
        <v>2</v>
      </c>
      <c r="AD201" s="135"/>
    </row>
    <row r="202" spans="2:30">
      <c r="B202" s="124">
        <v>48611</v>
      </c>
      <c r="C202" s="125" t="s">
        <v>5</v>
      </c>
      <c r="D202" s="2">
        <v>18500.060000000001</v>
      </c>
      <c r="E202" s="2">
        <v>18500.060000000001</v>
      </c>
      <c r="F202" s="2">
        <v>18500.060000000001</v>
      </c>
      <c r="G202" s="2">
        <v>18500.060000000001</v>
      </c>
      <c r="H202" s="2">
        <v>18500.060000000001</v>
      </c>
      <c r="I202" s="2">
        <v>18500.060000000001</v>
      </c>
      <c r="J202" s="2">
        <v>18500.060000000001</v>
      </c>
      <c r="K202" s="2">
        <v>18500.060000000001</v>
      </c>
      <c r="L202" s="2">
        <v>18500.060000000001</v>
      </c>
      <c r="M202" s="2">
        <v>18500.060000000001</v>
      </c>
      <c r="N202" s="2">
        <v>18500.060000000001</v>
      </c>
      <c r="O202" s="2">
        <v>18500.060000000001</v>
      </c>
      <c r="P202" s="2">
        <v>18500.060000000001</v>
      </c>
      <c r="Q202" s="2">
        <v>18500.060000000001</v>
      </c>
      <c r="R202" s="2">
        <v>18500.060000000001</v>
      </c>
      <c r="S202" s="2">
        <v>18500.060000000001</v>
      </c>
      <c r="T202" s="2">
        <v>18500.060000000001</v>
      </c>
      <c r="U202" s="2">
        <v>18500.060000000001</v>
      </c>
      <c r="V202" s="2">
        <v>18500.060000000001</v>
      </c>
      <c r="W202" s="2">
        <v>18500.060000000001</v>
      </c>
      <c r="X202" s="2">
        <v>18500.060000000001</v>
      </c>
      <c r="Y202" s="2">
        <v>18500.060000000001</v>
      </c>
      <c r="Z202" s="2">
        <v>18500.060000000001</v>
      </c>
      <c r="AA202" s="4">
        <v>18500.060000000001</v>
      </c>
      <c r="AB202" s="126">
        <f t="shared" si="13"/>
        <v>444001.44</v>
      </c>
      <c r="AC202" s="126">
        <v>20</v>
      </c>
      <c r="AD202" s="127">
        <f>(AB202*AC202)+(AB203*AC203)+(AB204*AC204)+(AB205*AC205)</f>
        <v>12432040.32</v>
      </c>
    </row>
    <row r="203" spans="2:30">
      <c r="B203" s="128"/>
      <c r="C203" s="129" t="s">
        <v>6</v>
      </c>
      <c r="D203" s="1">
        <v>18500.060000000001</v>
      </c>
      <c r="E203" s="1">
        <v>18500.060000000001</v>
      </c>
      <c r="F203" s="1">
        <v>18500.060000000001</v>
      </c>
      <c r="G203" s="1">
        <v>18500.060000000001</v>
      </c>
      <c r="H203" s="1">
        <v>18500.060000000001</v>
      </c>
      <c r="I203" s="1">
        <v>18500.060000000001</v>
      </c>
      <c r="J203" s="1">
        <v>18500.060000000001</v>
      </c>
      <c r="K203" s="1">
        <v>18500.060000000001</v>
      </c>
      <c r="L203" s="1">
        <v>18500.060000000001</v>
      </c>
      <c r="M203" s="1">
        <v>18500.060000000001</v>
      </c>
      <c r="N203" s="1">
        <v>18500.060000000001</v>
      </c>
      <c r="O203" s="1">
        <v>18500.060000000001</v>
      </c>
      <c r="P203" s="1">
        <v>18500.060000000001</v>
      </c>
      <c r="Q203" s="1">
        <v>18500.060000000001</v>
      </c>
      <c r="R203" s="1">
        <v>18500.060000000001</v>
      </c>
      <c r="S203" s="1">
        <v>18500.060000000001</v>
      </c>
      <c r="T203" s="1">
        <v>18500.060000000001</v>
      </c>
      <c r="U203" s="1">
        <v>18500.060000000001</v>
      </c>
      <c r="V203" s="1">
        <v>18500.060000000001</v>
      </c>
      <c r="W203" s="1">
        <v>18500.060000000001</v>
      </c>
      <c r="X203" s="1">
        <v>18500.060000000001</v>
      </c>
      <c r="Y203" s="1">
        <v>18500.060000000001</v>
      </c>
      <c r="Z203" s="1">
        <v>18500.060000000001</v>
      </c>
      <c r="AA203" s="5">
        <v>18500.060000000001</v>
      </c>
      <c r="AB203" s="130">
        <f t="shared" si="13"/>
        <v>444001.44</v>
      </c>
      <c r="AC203" s="130">
        <v>4</v>
      </c>
      <c r="AD203" s="131"/>
    </row>
    <row r="204" spans="2:30">
      <c r="B204" s="128"/>
      <c r="C204" s="129" t="s">
        <v>7</v>
      </c>
      <c r="D204" s="1">
        <v>18500.060000000001</v>
      </c>
      <c r="E204" s="1">
        <v>18500.060000000001</v>
      </c>
      <c r="F204" s="1">
        <v>18500.060000000001</v>
      </c>
      <c r="G204" s="1">
        <v>18500.060000000001</v>
      </c>
      <c r="H204" s="1">
        <v>18500.060000000001</v>
      </c>
      <c r="I204" s="1">
        <v>18500.060000000001</v>
      </c>
      <c r="J204" s="1">
        <v>18500.060000000001</v>
      </c>
      <c r="K204" s="1">
        <v>18500.060000000001</v>
      </c>
      <c r="L204" s="1">
        <v>18500.060000000001</v>
      </c>
      <c r="M204" s="1">
        <v>18500.060000000001</v>
      </c>
      <c r="N204" s="1">
        <v>18500.060000000001</v>
      </c>
      <c r="O204" s="1">
        <v>18500.060000000001</v>
      </c>
      <c r="P204" s="1">
        <v>18500.060000000001</v>
      </c>
      <c r="Q204" s="1">
        <v>18500.060000000001</v>
      </c>
      <c r="R204" s="1">
        <v>18500.060000000001</v>
      </c>
      <c r="S204" s="1">
        <v>18500.060000000001</v>
      </c>
      <c r="T204" s="1">
        <v>18500.060000000001</v>
      </c>
      <c r="U204" s="1">
        <v>18500.060000000001</v>
      </c>
      <c r="V204" s="1">
        <v>18500.060000000001</v>
      </c>
      <c r="W204" s="1">
        <v>18500.060000000001</v>
      </c>
      <c r="X204" s="1">
        <v>18500.060000000001</v>
      </c>
      <c r="Y204" s="1">
        <v>18500.060000000001</v>
      </c>
      <c r="Z204" s="1">
        <v>18500.060000000001</v>
      </c>
      <c r="AA204" s="5">
        <v>18500.060000000001</v>
      </c>
      <c r="AB204" s="130">
        <f t="shared" si="13"/>
        <v>444001.44</v>
      </c>
      <c r="AC204" s="130">
        <v>4</v>
      </c>
      <c r="AD204" s="131"/>
    </row>
    <row r="205" spans="2:30" ht="15" thickBot="1">
      <c r="B205" s="132"/>
      <c r="C205" s="133" t="s">
        <v>8</v>
      </c>
      <c r="D205" s="3">
        <v>18500.060000000001</v>
      </c>
      <c r="E205" s="3">
        <v>18500.060000000001</v>
      </c>
      <c r="F205" s="3">
        <v>18500.060000000001</v>
      </c>
      <c r="G205" s="3">
        <v>18500.060000000001</v>
      </c>
      <c r="H205" s="3">
        <v>18500.060000000001</v>
      </c>
      <c r="I205" s="3">
        <v>18500.060000000001</v>
      </c>
      <c r="J205" s="3">
        <v>18500.060000000001</v>
      </c>
      <c r="K205" s="3">
        <v>18500.060000000001</v>
      </c>
      <c r="L205" s="3">
        <v>18500.060000000001</v>
      </c>
      <c r="M205" s="3">
        <v>18500.060000000001</v>
      </c>
      <c r="N205" s="3">
        <v>18500.060000000001</v>
      </c>
      <c r="O205" s="3">
        <v>18500.060000000001</v>
      </c>
      <c r="P205" s="3">
        <v>18500.060000000001</v>
      </c>
      <c r="Q205" s="3">
        <v>18500.060000000001</v>
      </c>
      <c r="R205" s="3">
        <v>18500.060000000001</v>
      </c>
      <c r="S205" s="3">
        <v>18500.060000000001</v>
      </c>
      <c r="T205" s="3">
        <v>18500.060000000001</v>
      </c>
      <c r="U205" s="3">
        <v>18500.060000000001</v>
      </c>
      <c r="V205" s="3">
        <v>18500.060000000001</v>
      </c>
      <c r="W205" s="3">
        <v>18500.060000000001</v>
      </c>
      <c r="X205" s="3">
        <v>18500.060000000001</v>
      </c>
      <c r="Y205" s="3">
        <v>18500.060000000001</v>
      </c>
      <c r="Z205" s="3">
        <v>18500.060000000001</v>
      </c>
      <c r="AA205" s="6">
        <v>18500.060000000001</v>
      </c>
      <c r="AB205" s="134">
        <f t="shared" si="13"/>
        <v>444001.44</v>
      </c>
      <c r="AC205" s="134">
        <v>0</v>
      </c>
      <c r="AD205" s="135"/>
    </row>
    <row r="206" spans="2:30">
      <c r="B206" s="124">
        <v>48639</v>
      </c>
      <c r="C206" s="125" t="s">
        <v>5</v>
      </c>
      <c r="D206" s="2">
        <v>18500.060000000001</v>
      </c>
      <c r="E206" s="2">
        <v>18500.060000000001</v>
      </c>
      <c r="F206" s="2">
        <v>18500.060000000001</v>
      </c>
      <c r="G206" s="2">
        <v>18500.060000000001</v>
      </c>
      <c r="H206" s="2">
        <v>18500.060000000001</v>
      </c>
      <c r="I206" s="2">
        <v>18500.060000000001</v>
      </c>
      <c r="J206" s="2">
        <v>18500.060000000001</v>
      </c>
      <c r="K206" s="2">
        <v>18500.060000000001</v>
      </c>
      <c r="L206" s="2">
        <v>18500.060000000001</v>
      </c>
      <c r="M206" s="2">
        <v>18500.060000000001</v>
      </c>
      <c r="N206" s="2">
        <v>18500.060000000001</v>
      </c>
      <c r="O206" s="2">
        <v>18500.060000000001</v>
      </c>
      <c r="P206" s="2">
        <v>18500.060000000001</v>
      </c>
      <c r="Q206" s="2">
        <v>18500.060000000001</v>
      </c>
      <c r="R206" s="2">
        <v>18500.060000000001</v>
      </c>
      <c r="S206" s="2">
        <v>18500.060000000001</v>
      </c>
      <c r="T206" s="2">
        <v>18500.060000000001</v>
      </c>
      <c r="U206" s="2">
        <v>18500.060000000001</v>
      </c>
      <c r="V206" s="2">
        <v>18500.060000000001</v>
      </c>
      <c r="W206" s="2">
        <v>18500.060000000001</v>
      </c>
      <c r="X206" s="2">
        <v>18500.060000000001</v>
      </c>
      <c r="Y206" s="2">
        <v>18500.060000000001</v>
      </c>
      <c r="Z206" s="2">
        <v>18500.060000000001</v>
      </c>
      <c r="AA206" s="4">
        <v>18500.060000000001</v>
      </c>
      <c r="AB206" s="126">
        <f t="shared" si="13"/>
        <v>444001.44</v>
      </c>
      <c r="AC206" s="126">
        <v>22</v>
      </c>
      <c r="AD206" s="127">
        <f>(AB206*AC206)+(AB207*AC207)+(AB208*AC208)+(AB209*AC209)</f>
        <v>13764044.639999999</v>
      </c>
    </row>
    <row r="207" spans="2:30">
      <c r="B207" s="128"/>
      <c r="C207" s="129" t="s">
        <v>6</v>
      </c>
      <c r="D207" s="1">
        <v>18500.060000000001</v>
      </c>
      <c r="E207" s="1">
        <v>18500.060000000001</v>
      </c>
      <c r="F207" s="1">
        <v>18500.060000000001</v>
      </c>
      <c r="G207" s="1">
        <v>18500.060000000001</v>
      </c>
      <c r="H207" s="1">
        <v>18500.060000000001</v>
      </c>
      <c r="I207" s="1">
        <v>18500.060000000001</v>
      </c>
      <c r="J207" s="1">
        <v>18500.060000000001</v>
      </c>
      <c r="K207" s="1">
        <v>18500.060000000001</v>
      </c>
      <c r="L207" s="1">
        <v>18500.060000000001</v>
      </c>
      <c r="M207" s="1">
        <v>18500.060000000001</v>
      </c>
      <c r="N207" s="1">
        <v>18500.060000000001</v>
      </c>
      <c r="O207" s="1">
        <v>18500.060000000001</v>
      </c>
      <c r="P207" s="1">
        <v>18500.060000000001</v>
      </c>
      <c r="Q207" s="1">
        <v>18500.060000000001</v>
      </c>
      <c r="R207" s="1">
        <v>18500.060000000001</v>
      </c>
      <c r="S207" s="1">
        <v>18500.060000000001</v>
      </c>
      <c r="T207" s="1">
        <v>18500.060000000001</v>
      </c>
      <c r="U207" s="1">
        <v>18500.060000000001</v>
      </c>
      <c r="V207" s="1">
        <v>18500.060000000001</v>
      </c>
      <c r="W207" s="1">
        <v>18500.060000000001</v>
      </c>
      <c r="X207" s="1">
        <v>18500.060000000001</v>
      </c>
      <c r="Y207" s="1">
        <v>18500.060000000001</v>
      </c>
      <c r="Z207" s="1">
        <v>18500.060000000001</v>
      </c>
      <c r="AA207" s="5">
        <v>18500.060000000001</v>
      </c>
      <c r="AB207" s="130">
        <f t="shared" si="13"/>
        <v>444001.44</v>
      </c>
      <c r="AC207" s="130">
        <v>4</v>
      </c>
      <c r="AD207" s="131"/>
    </row>
    <row r="208" spans="2:30">
      <c r="B208" s="128"/>
      <c r="C208" s="129" t="s">
        <v>7</v>
      </c>
      <c r="D208" s="1">
        <v>18500.060000000001</v>
      </c>
      <c r="E208" s="1">
        <v>18500.060000000001</v>
      </c>
      <c r="F208" s="1">
        <v>18500.060000000001</v>
      </c>
      <c r="G208" s="1">
        <v>18500.060000000001</v>
      </c>
      <c r="H208" s="1">
        <v>18500.060000000001</v>
      </c>
      <c r="I208" s="1">
        <v>18500.060000000001</v>
      </c>
      <c r="J208" s="1">
        <v>18500.060000000001</v>
      </c>
      <c r="K208" s="1">
        <v>18500.060000000001</v>
      </c>
      <c r="L208" s="1">
        <v>18500.060000000001</v>
      </c>
      <c r="M208" s="1">
        <v>18500.060000000001</v>
      </c>
      <c r="N208" s="1">
        <v>18500.060000000001</v>
      </c>
      <c r="O208" s="1">
        <v>18500.060000000001</v>
      </c>
      <c r="P208" s="1">
        <v>18500.060000000001</v>
      </c>
      <c r="Q208" s="1">
        <v>18500.060000000001</v>
      </c>
      <c r="R208" s="1">
        <v>18500.060000000001</v>
      </c>
      <c r="S208" s="1">
        <v>18500.060000000001</v>
      </c>
      <c r="T208" s="1">
        <v>18500.060000000001</v>
      </c>
      <c r="U208" s="1">
        <v>18500.060000000001</v>
      </c>
      <c r="V208" s="1">
        <v>18500.060000000001</v>
      </c>
      <c r="W208" s="1">
        <v>18500.060000000001</v>
      </c>
      <c r="X208" s="1">
        <v>18500.060000000001</v>
      </c>
      <c r="Y208" s="1">
        <v>18500.060000000001</v>
      </c>
      <c r="Z208" s="1">
        <v>18500.060000000001</v>
      </c>
      <c r="AA208" s="5">
        <v>18500.060000000001</v>
      </c>
      <c r="AB208" s="130">
        <f t="shared" si="13"/>
        <v>444001.44</v>
      </c>
      <c r="AC208" s="130">
        <v>4</v>
      </c>
      <c r="AD208" s="131"/>
    </row>
    <row r="209" spans="2:30" ht="15" thickBot="1">
      <c r="B209" s="132"/>
      <c r="C209" s="133" t="s">
        <v>8</v>
      </c>
      <c r="D209" s="3">
        <v>18500.060000000001</v>
      </c>
      <c r="E209" s="3">
        <v>18500.060000000001</v>
      </c>
      <c r="F209" s="3">
        <v>18500.060000000001</v>
      </c>
      <c r="G209" s="3">
        <v>18500.060000000001</v>
      </c>
      <c r="H209" s="3">
        <v>18500.060000000001</v>
      </c>
      <c r="I209" s="3">
        <v>18500.060000000001</v>
      </c>
      <c r="J209" s="3">
        <v>18500.060000000001</v>
      </c>
      <c r="K209" s="3">
        <v>18500.060000000001</v>
      </c>
      <c r="L209" s="3">
        <v>18500.060000000001</v>
      </c>
      <c r="M209" s="3">
        <v>18500.060000000001</v>
      </c>
      <c r="N209" s="3">
        <v>18500.060000000001</v>
      </c>
      <c r="O209" s="3">
        <v>18500.060000000001</v>
      </c>
      <c r="P209" s="3">
        <v>18500.060000000001</v>
      </c>
      <c r="Q209" s="3">
        <v>18500.060000000001</v>
      </c>
      <c r="R209" s="3">
        <v>18500.060000000001</v>
      </c>
      <c r="S209" s="3">
        <v>18500.060000000001</v>
      </c>
      <c r="T209" s="3">
        <v>18500.060000000001</v>
      </c>
      <c r="U209" s="3">
        <v>18500.060000000001</v>
      </c>
      <c r="V209" s="3">
        <v>18500.060000000001</v>
      </c>
      <c r="W209" s="3">
        <v>18500.060000000001</v>
      </c>
      <c r="X209" s="3">
        <v>18500.060000000001</v>
      </c>
      <c r="Y209" s="3">
        <v>18500.060000000001</v>
      </c>
      <c r="Z209" s="3">
        <v>18500.060000000001</v>
      </c>
      <c r="AA209" s="6">
        <v>18500.060000000001</v>
      </c>
      <c r="AB209" s="134">
        <f t="shared" si="13"/>
        <v>444001.44</v>
      </c>
      <c r="AC209" s="134">
        <v>1</v>
      </c>
      <c r="AD209" s="135"/>
    </row>
    <row r="210" spans="2:30">
      <c r="B210" s="124">
        <v>48670</v>
      </c>
      <c r="C210" s="125" t="s">
        <v>5</v>
      </c>
      <c r="D210" s="2">
        <v>18500.060000000001</v>
      </c>
      <c r="E210" s="2">
        <v>18500.060000000001</v>
      </c>
      <c r="F210" s="2">
        <v>18500.060000000001</v>
      </c>
      <c r="G210" s="2">
        <v>18500.060000000001</v>
      </c>
      <c r="H210" s="2">
        <v>18500.060000000001</v>
      </c>
      <c r="I210" s="2">
        <v>18500.060000000001</v>
      </c>
      <c r="J210" s="2">
        <v>18500.060000000001</v>
      </c>
      <c r="K210" s="2">
        <v>18500.060000000001</v>
      </c>
      <c r="L210" s="2">
        <v>18500.060000000001</v>
      </c>
      <c r="M210" s="2">
        <v>18500.060000000001</v>
      </c>
      <c r="N210" s="2">
        <v>18500.060000000001</v>
      </c>
      <c r="O210" s="2">
        <v>18500.060000000001</v>
      </c>
      <c r="P210" s="2">
        <v>18500.060000000001</v>
      </c>
      <c r="Q210" s="2">
        <v>18500.060000000001</v>
      </c>
      <c r="R210" s="2">
        <v>18500.060000000001</v>
      </c>
      <c r="S210" s="2">
        <v>18500.060000000001</v>
      </c>
      <c r="T210" s="2">
        <v>18500.060000000001</v>
      </c>
      <c r="U210" s="2">
        <v>18500.060000000001</v>
      </c>
      <c r="V210" s="2">
        <v>18500.060000000001</v>
      </c>
      <c r="W210" s="2">
        <v>18500.060000000001</v>
      </c>
      <c r="X210" s="2">
        <v>18500.060000000001</v>
      </c>
      <c r="Y210" s="2">
        <v>18500.060000000001</v>
      </c>
      <c r="Z210" s="2">
        <v>18500.060000000001</v>
      </c>
      <c r="AA210" s="4">
        <v>18500.060000000001</v>
      </c>
      <c r="AB210" s="126">
        <f t="shared" si="13"/>
        <v>444001.44</v>
      </c>
      <c r="AC210" s="126">
        <v>19</v>
      </c>
      <c r="AD210" s="127">
        <f>(AB210*AC210)+(AB211*AC211)+(AB212*AC212)+(AB213*AC213)</f>
        <v>13320043.199999999</v>
      </c>
    </row>
    <row r="211" spans="2:30">
      <c r="B211" s="128"/>
      <c r="C211" s="129" t="s">
        <v>6</v>
      </c>
      <c r="D211" s="1">
        <v>18500.060000000001</v>
      </c>
      <c r="E211" s="1">
        <v>18500.060000000001</v>
      </c>
      <c r="F211" s="1">
        <v>18500.060000000001</v>
      </c>
      <c r="G211" s="1">
        <v>18500.060000000001</v>
      </c>
      <c r="H211" s="1">
        <v>18500.060000000001</v>
      </c>
      <c r="I211" s="1">
        <v>18500.060000000001</v>
      </c>
      <c r="J211" s="1">
        <v>18500.060000000001</v>
      </c>
      <c r="K211" s="1">
        <v>18500.060000000001</v>
      </c>
      <c r="L211" s="1">
        <v>18500.060000000001</v>
      </c>
      <c r="M211" s="1">
        <v>18500.060000000001</v>
      </c>
      <c r="N211" s="1">
        <v>18500.060000000001</v>
      </c>
      <c r="O211" s="1">
        <v>18500.060000000001</v>
      </c>
      <c r="P211" s="1">
        <v>18500.060000000001</v>
      </c>
      <c r="Q211" s="1">
        <v>18500.060000000001</v>
      </c>
      <c r="R211" s="1">
        <v>18500.060000000001</v>
      </c>
      <c r="S211" s="1">
        <v>18500.060000000001</v>
      </c>
      <c r="T211" s="1">
        <v>18500.060000000001</v>
      </c>
      <c r="U211" s="1">
        <v>18500.060000000001</v>
      </c>
      <c r="V211" s="1">
        <v>18500.060000000001</v>
      </c>
      <c r="W211" s="1">
        <v>18500.060000000001</v>
      </c>
      <c r="X211" s="1">
        <v>18500.060000000001</v>
      </c>
      <c r="Y211" s="1">
        <v>18500.060000000001</v>
      </c>
      <c r="Z211" s="1">
        <v>18500.060000000001</v>
      </c>
      <c r="AA211" s="5">
        <v>18500.060000000001</v>
      </c>
      <c r="AB211" s="130">
        <f t="shared" si="13"/>
        <v>444001.44</v>
      </c>
      <c r="AC211" s="130">
        <v>5</v>
      </c>
      <c r="AD211" s="131"/>
    </row>
    <row r="212" spans="2:30">
      <c r="B212" s="128"/>
      <c r="C212" s="129" t="s">
        <v>7</v>
      </c>
      <c r="D212" s="1">
        <v>18500.060000000001</v>
      </c>
      <c r="E212" s="1">
        <v>18500.060000000001</v>
      </c>
      <c r="F212" s="1">
        <v>18500.060000000001</v>
      </c>
      <c r="G212" s="1">
        <v>18500.060000000001</v>
      </c>
      <c r="H212" s="1">
        <v>18500.060000000001</v>
      </c>
      <c r="I212" s="1">
        <v>18500.060000000001</v>
      </c>
      <c r="J212" s="1">
        <v>18500.060000000001</v>
      </c>
      <c r="K212" s="1">
        <v>18500.060000000001</v>
      </c>
      <c r="L212" s="1">
        <v>18500.060000000001</v>
      </c>
      <c r="M212" s="1">
        <v>18500.060000000001</v>
      </c>
      <c r="N212" s="1">
        <v>18500.060000000001</v>
      </c>
      <c r="O212" s="1">
        <v>18500.060000000001</v>
      </c>
      <c r="P212" s="1">
        <v>18500.060000000001</v>
      </c>
      <c r="Q212" s="1">
        <v>18500.060000000001</v>
      </c>
      <c r="R212" s="1">
        <v>18500.060000000001</v>
      </c>
      <c r="S212" s="1">
        <v>18500.060000000001</v>
      </c>
      <c r="T212" s="1">
        <v>18500.060000000001</v>
      </c>
      <c r="U212" s="1">
        <v>18500.060000000001</v>
      </c>
      <c r="V212" s="1">
        <v>18500.060000000001</v>
      </c>
      <c r="W212" s="1">
        <v>18500.060000000001</v>
      </c>
      <c r="X212" s="1">
        <v>18500.060000000001</v>
      </c>
      <c r="Y212" s="1">
        <v>18500.060000000001</v>
      </c>
      <c r="Z212" s="1">
        <v>18500.060000000001</v>
      </c>
      <c r="AA212" s="5">
        <v>18500.060000000001</v>
      </c>
      <c r="AB212" s="130">
        <f t="shared" si="13"/>
        <v>444001.44</v>
      </c>
      <c r="AC212" s="130">
        <v>4</v>
      </c>
      <c r="AD212" s="131"/>
    </row>
    <row r="213" spans="2:30" ht="15" thickBot="1">
      <c r="B213" s="132"/>
      <c r="C213" s="133" t="s">
        <v>8</v>
      </c>
      <c r="D213" s="3">
        <v>18500.060000000001</v>
      </c>
      <c r="E213" s="3">
        <v>18500.060000000001</v>
      </c>
      <c r="F213" s="3">
        <v>18500.060000000001</v>
      </c>
      <c r="G213" s="3">
        <v>18500.060000000001</v>
      </c>
      <c r="H213" s="3">
        <v>18500.060000000001</v>
      </c>
      <c r="I213" s="3">
        <v>18500.060000000001</v>
      </c>
      <c r="J213" s="3">
        <v>18500.060000000001</v>
      </c>
      <c r="K213" s="3">
        <v>18500.060000000001</v>
      </c>
      <c r="L213" s="3">
        <v>18500.060000000001</v>
      </c>
      <c r="M213" s="3">
        <v>18500.060000000001</v>
      </c>
      <c r="N213" s="3">
        <v>18500.060000000001</v>
      </c>
      <c r="O213" s="3">
        <v>18500.060000000001</v>
      </c>
      <c r="P213" s="3">
        <v>18500.060000000001</v>
      </c>
      <c r="Q213" s="3">
        <v>18500.060000000001</v>
      </c>
      <c r="R213" s="3">
        <v>18500.060000000001</v>
      </c>
      <c r="S213" s="3">
        <v>18500.060000000001</v>
      </c>
      <c r="T213" s="3">
        <v>18500.060000000001</v>
      </c>
      <c r="U213" s="3">
        <v>18500.060000000001</v>
      </c>
      <c r="V213" s="3">
        <v>18500.060000000001</v>
      </c>
      <c r="W213" s="3">
        <v>18500.060000000001</v>
      </c>
      <c r="X213" s="3">
        <v>18500.060000000001</v>
      </c>
      <c r="Y213" s="3">
        <v>18500.060000000001</v>
      </c>
      <c r="Z213" s="3">
        <v>18500.060000000001</v>
      </c>
      <c r="AA213" s="6">
        <v>18500.060000000001</v>
      </c>
      <c r="AB213" s="134">
        <f t="shared" si="13"/>
        <v>444001.44</v>
      </c>
      <c r="AC213" s="134">
        <v>2</v>
      </c>
      <c r="AD213" s="135"/>
    </row>
    <row r="214" spans="2:30">
      <c r="B214" s="124">
        <v>48700</v>
      </c>
      <c r="C214" s="125" t="s">
        <v>5</v>
      </c>
      <c r="D214" s="2">
        <v>18500.060000000001</v>
      </c>
      <c r="E214" s="2">
        <v>18500.060000000001</v>
      </c>
      <c r="F214" s="2">
        <v>18500.060000000001</v>
      </c>
      <c r="G214" s="2">
        <v>18500.060000000001</v>
      </c>
      <c r="H214" s="2">
        <v>18500.060000000001</v>
      </c>
      <c r="I214" s="2">
        <v>18500.060000000001</v>
      </c>
      <c r="J214" s="2">
        <v>18500.060000000001</v>
      </c>
      <c r="K214" s="2">
        <v>18500.060000000001</v>
      </c>
      <c r="L214" s="2">
        <v>18500.060000000001</v>
      </c>
      <c r="M214" s="2">
        <v>18500.060000000001</v>
      </c>
      <c r="N214" s="2">
        <v>18500.060000000001</v>
      </c>
      <c r="O214" s="2">
        <v>18500.060000000001</v>
      </c>
      <c r="P214" s="2">
        <v>18500.060000000001</v>
      </c>
      <c r="Q214" s="2">
        <v>18500.060000000001</v>
      </c>
      <c r="R214" s="2">
        <v>18500.060000000001</v>
      </c>
      <c r="S214" s="2">
        <v>18500.060000000001</v>
      </c>
      <c r="T214" s="2">
        <v>18500.060000000001</v>
      </c>
      <c r="U214" s="2">
        <v>18500.060000000001</v>
      </c>
      <c r="V214" s="2">
        <v>18500.060000000001</v>
      </c>
      <c r="W214" s="2">
        <v>18500.060000000001</v>
      </c>
      <c r="X214" s="2">
        <v>18500.060000000001</v>
      </c>
      <c r="Y214" s="2">
        <v>18500.060000000001</v>
      </c>
      <c r="Z214" s="2">
        <v>18500.060000000001</v>
      </c>
      <c r="AA214" s="4">
        <v>18500.060000000001</v>
      </c>
      <c r="AB214" s="126">
        <f t="shared" si="13"/>
        <v>444001.44</v>
      </c>
      <c r="AC214" s="126">
        <v>21</v>
      </c>
      <c r="AD214" s="127">
        <f>(AB214*AC214)+(AB215*AC215)+(AB216*AC216)+(AB217*AC217)</f>
        <v>13764044.640000001</v>
      </c>
    </row>
    <row r="215" spans="2:30">
      <c r="B215" s="128"/>
      <c r="C215" s="129" t="s">
        <v>6</v>
      </c>
      <c r="D215" s="1">
        <v>18500.060000000001</v>
      </c>
      <c r="E215" s="1">
        <v>18500.060000000001</v>
      </c>
      <c r="F215" s="1">
        <v>18500.060000000001</v>
      </c>
      <c r="G215" s="1">
        <v>18500.060000000001</v>
      </c>
      <c r="H215" s="1">
        <v>18500.060000000001</v>
      </c>
      <c r="I215" s="1">
        <v>18500.060000000001</v>
      </c>
      <c r="J215" s="1">
        <v>18500.060000000001</v>
      </c>
      <c r="K215" s="1">
        <v>18500.060000000001</v>
      </c>
      <c r="L215" s="1">
        <v>18500.060000000001</v>
      </c>
      <c r="M215" s="1">
        <v>18500.060000000001</v>
      </c>
      <c r="N215" s="1">
        <v>18500.060000000001</v>
      </c>
      <c r="O215" s="1">
        <v>18500.060000000001</v>
      </c>
      <c r="P215" s="1">
        <v>18500.060000000001</v>
      </c>
      <c r="Q215" s="1">
        <v>18500.060000000001</v>
      </c>
      <c r="R215" s="1">
        <v>18500.060000000001</v>
      </c>
      <c r="S215" s="1">
        <v>18500.060000000001</v>
      </c>
      <c r="T215" s="1">
        <v>18500.060000000001</v>
      </c>
      <c r="U215" s="1">
        <v>18500.060000000001</v>
      </c>
      <c r="V215" s="1">
        <v>18500.060000000001</v>
      </c>
      <c r="W215" s="1">
        <v>18500.060000000001</v>
      </c>
      <c r="X215" s="1">
        <v>18500.060000000001</v>
      </c>
      <c r="Y215" s="1">
        <v>18500.060000000001</v>
      </c>
      <c r="Z215" s="1">
        <v>18500.060000000001</v>
      </c>
      <c r="AA215" s="5">
        <v>18500.060000000001</v>
      </c>
      <c r="AB215" s="130">
        <f t="shared" si="13"/>
        <v>444001.44</v>
      </c>
      <c r="AC215" s="130">
        <v>4</v>
      </c>
      <c r="AD215" s="131"/>
    </row>
    <row r="216" spans="2:30">
      <c r="B216" s="128"/>
      <c r="C216" s="129" t="s">
        <v>7</v>
      </c>
      <c r="D216" s="1">
        <v>18500.060000000001</v>
      </c>
      <c r="E216" s="1">
        <v>18500.060000000001</v>
      </c>
      <c r="F216" s="1">
        <v>18500.060000000001</v>
      </c>
      <c r="G216" s="1">
        <v>18500.060000000001</v>
      </c>
      <c r="H216" s="1">
        <v>18500.060000000001</v>
      </c>
      <c r="I216" s="1">
        <v>18500.060000000001</v>
      </c>
      <c r="J216" s="1">
        <v>18500.060000000001</v>
      </c>
      <c r="K216" s="1">
        <v>18500.060000000001</v>
      </c>
      <c r="L216" s="1">
        <v>18500.060000000001</v>
      </c>
      <c r="M216" s="1">
        <v>18500.060000000001</v>
      </c>
      <c r="N216" s="1">
        <v>18500.060000000001</v>
      </c>
      <c r="O216" s="1">
        <v>18500.060000000001</v>
      </c>
      <c r="P216" s="1">
        <v>18500.060000000001</v>
      </c>
      <c r="Q216" s="1">
        <v>18500.060000000001</v>
      </c>
      <c r="R216" s="1">
        <v>18500.060000000001</v>
      </c>
      <c r="S216" s="1">
        <v>18500.060000000001</v>
      </c>
      <c r="T216" s="1">
        <v>18500.060000000001</v>
      </c>
      <c r="U216" s="1">
        <v>18500.060000000001</v>
      </c>
      <c r="V216" s="1">
        <v>18500.060000000001</v>
      </c>
      <c r="W216" s="1">
        <v>18500.060000000001</v>
      </c>
      <c r="X216" s="1">
        <v>18500.060000000001</v>
      </c>
      <c r="Y216" s="1">
        <v>18500.060000000001</v>
      </c>
      <c r="Z216" s="1">
        <v>18500.060000000001</v>
      </c>
      <c r="AA216" s="5">
        <v>18500.060000000001</v>
      </c>
      <c r="AB216" s="130">
        <f t="shared" si="13"/>
        <v>444001.44</v>
      </c>
      <c r="AC216" s="130">
        <v>4</v>
      </c>
      <c r="AD216" s="131"/>
    </row>
    <row r="217" spans="2:30" ht="15" thickBot="1">
      <c r="B217" s="132"/>
      <c r="C217" s="133" t="s">
        <v>8</v>
      </c>
      <c r="D217" s="3">
        <v>18500.060000000001</v>
      </c>
      <c r="E217" s="3">
        <v>18500.060000000001</v>
      </c>
      <c r="F217" s="3">
        <v>18500.060000000001</v>
      </c>
      <c r="G217" s="3">
        <v>18500.060000000001</v>
      </c>
      <c r="H217" s="3">
        <v>18500.060000000001</v>
      </c>
      <c r="I217" s="3">
        <v>18500.060000000001</v>
      </c>
      <c r="J217" s="3">
        <v>18500.060000000001</v>
      </c>
      <c r="K217" s="3">
        <v>18500.060000000001</v>
      </c>
      <c r="L217" s="3">
        <v>18500.060000000001</v>
      </c>
      <c r="M217" s="3">
        <v>18500.060000000001</v>
      </c>
      <c r="N217" s="3">
        <v>18500.060000000001</v>
      </c>
      <c r="O217" s="3">
        <v>18500.060000000001</v>
      </c>
      <c r="P217" s="3">
        <v>18500.060000000001</v>
      </c>
      <c r="Q217" s="3">
        <v>18500.060000000001</v>
      </c>
      <c r="R217" s="3">
        <v>18500.060000000001</v>
      </c>
      <c r="S217" s="3">
        <v>18500.060000000001</v>
      </c>
      <c r="T217" s="3">
        <v>18500.060000000001</v>
      </c>
      <c r="U217" s="3">
        <v>18500.060000000001</v>
      </c>
      <c r="V217" s="3">
        <v>18500.060000000001</v>
      </c>
      <c r="W217" s="3">
        <v>18500.060000000001</v>
      </c>
      <c r="X217" s="3">
        <v>18500.060000000001</v>
      </c>
      <c r="Y217" s="3">
        <v>18500.060000000001</v>
      </c>
      <c r="Z217" s="3">
        <v>18500.060000000001</v>
      </c>
      <c r="AA217" s="6">
        <v>18500.060000000001</v>
      </c>
      <c r="AB217" s="134">
        <f t="shared" si="13"/>
        <v>444001.44</v>
      </c>
      <c r="AC217" s="134">
        <v>2</v>
      </c>
      <c r="AD217" s="135"/>
    </row>
    <row r="218" spans="2:30">
      <c r="B218" s="124">
        <v>48731</v>
      </c>
      <c r="C218" s="125" t="s">
        <v>5</v>
      </c>
      <c r="D218" s="2">
        <v>18500.060000000001</v>
      </c>
      <c r="E218" s="2">
        <v>18500.060000000001</v>
      </c>
      <c r="F218" s="2">
        <v>18500.060000000001</v>
      </c>
      <c r="G218" s="2">
        <v>18500.060000000001</v>
      </c>
      <c r="H218" s="2">
        <v>18500.060000000001</v>
      </c>
      <c r="I218" s="2">
        <v>18500.060000000001</v>
      </c>
      <c r="J218" s="2">
        <v>18500.060000000001</v>
      </c>
      <c r="K218" s="2">
        <v>18500.060000000001</v>
      </c>
      <c r="L218" s="2">
        <v>18500.060000000001</v>
      </c>
      <c r="M218" s="2">
        <v>18500.060000000001</v>
      </c>
      <c r="N218" s="2">
        <v>18500.060000000001</v>
      </c>
      <c r="O218" s="2">
        <v>18500.060000000001</v>
      </c>
      <c r="P218" s="2">
        <v>18500.060000000001</v>
      </c>
      <c r="Q218" s="2">
        <v>18500.060000000001</v>
      </c>
      <c r="R218" s="2">
        <v>18500.060000000001</v>
      </c>
      <c r="S218" s="2">
        <v>18500.060000000001</v>
      </c>
      <c r="T218" s="2">
        <v>18500.060000000001</v>
      </c>
      <c r="U218" s="2">
        <v>18500.060000000001</v>
      </c>
      <c r="V218" s="2">
        <v>18500.060000000001</v>
      </c>
      <c r="W218" s="2">
        <v>18500.060000000001</v>
      </c>
      <c r="X218" s="2">
        <v>18500.060000000001</v>
      </c>
      <c r="Y218" s="2">
        <v>18500.060000000001</v>
      </c>
      <c r="Z218" s="2">
        <v>18500.060000000001</v>
      </c>
      <c r="AA218" s="4">
        <v>18500.060000000001</v>
      </c>
      <c r="AB218" s="126">
        <f t="shared" si="13"/>
        <v>444001.44</v>
      </c>
      <c r="AC218" s="126">
        <v>20</v>
      </c>
      <c r="AD218" s="127">
        <f>(AB218*AC218)+(AB219*AC219)+(AB220*AC220)+(AB221*AC221)</f>
        <v>13320043.200000001</v>
      </c>
    </row>
    <row r="219" spans="2:30">
      <c r="B219" s="128"/>
      <c r="C219" s="129" t="s">
        <v>6</v>
      </c>
      <c r="D219" s="1">
        <v>18500.060000000001</v>
      </c>
      <c r="E219" s="1">
        <v>18500.060000000001</v>
      </c>
      <c r="F219" s="1">
        <v>18500.060000000001</v>
      </c>
      <c r="G219" s="1">
        <v>18500.060000000001</v>
      </c>
      <c r="H219" s="1">
        <v>18500.060000000001</v>
      </c>
      <c r="I219" s="1">
        <v>18500.060000000001</v>
      </c>
      <c r="J219" s="1">
        <v>18500.060000000001</v>
      </c>
      <c r="K219" s="1">
        <v>18500.060000000001</v>
      </c>
      <c r="L219" s="1">
        <v>18500.060000000001</v>
      </c>
      <c r="M219" s="1">
        <v>18500.060000000001</v>
      </c>
      <c r="N219" s="1">
        <v>18500.060000000001</v>
      </c>
      <c r="O219" s="1">
        <v>18500.060000000001</v>
      </c>
      <c r="P219" s="1">
        <v>18500.060000000001</v>
      </c>
      <c r="Q219" s="1">
        <v>18500.060000000001</v>
      </c>
      <c r="R219" s="1">
        <v>18500.060000000001</v>
      </c>
      <c r="S219" s="1">
        <v>18500.060000000001</v>
      </c>
      <c r="T219" s="1">
        <v>18500.060000000001</v>
      </c>
      <c r="U219" s="1">
        <v>18500.060000000001</v>
      </c>
      <c r="V219" s="1">
        <v>18500.060000000001</v>
      </c>
      <c r="W219" s="1">
        <v>18500.060000000001</v>
      </c>
      <c r="X219" s="1">
        <v>18500.060000000001</v>
      </c>
      <c r="Y219" s="1">
        <v>18500.060000000001</v>
      </c>
      <c r="Z219" s="1">
        <v>18500.060000000001</v>
      </c>
      <c r="AA219" s="5">
        <v>18500.060000000001</v>
      </c>
      <c r="AB219" s="130">
        <f t="shared" si="13"/>
        <v>444001.44</v>
      </c>
      <c r="AC219" s="130">
        <v>4</v>
      </c>
      <c r="AD219" s="131"/>
    </row>
    <row r="220" spans="2:30">
      <c r="B220" s="128"/>
      <c r="C220" s="129" t="s">
        <v>7</v>
      </c>
      <c r="D220" s="1">
        <v>18500.060000000001</v>
      </c>
      <c r="E220" s="1">
        <v>18500.060000000001</v>
      </c>
      <c r="F220" s="1">
        <v>18500.060000000001</v>
      </c>
      <c r="G220" s="1">
        <v>18500.060000000001</v>
      </c>
      <c r="H220" s="1">
        <v>18500.060000000001</v>
      </c>
      <c r="I220" s="1">
        <v>18500.060000000001</v>
      </c>
      <c r="J220" s="1">
        <v>18500.060000000001</v>
      </c>
      <c r="K220" s="1">
        <v>18500.060000000001</v>
      </c>
      <c r="L220" s="1">
        <v>18500.060000000001</v>
      </c>
      <c r="M220" s="1">
        <v>18500.060000000001</v>
      </c>
      <c r="N220" s="1">
        <v>18500.060000000001</v>
      </c>
      <c r="O220" s="1">
        <v>18500.060000000001</v>
      </c>
      <c r="P220" s="1">
        <v>18500.060000000001</v>
      </c>
      <c r="Q220" s="1">
        <v>18500.060000000001</v>
      </c>
      <c r="R220" s="1">
        <v>18500.060000000001</v>
      </c>
      <c r="S220" s="1">
        <v>18500.060000000001</v>
      </c>
      <c r="T220" s="1">
        <v>18500.060000000001</v>
      </c>
      <c r="U220" s="1">
        <v>18500.060000000001</v>
      </c>
      <c r="V220" s="1">
        <v>18500.060000000001</v>
      </c>
      <c r="W220" s="1">
        <v>18500.060000000001</v>
      </c>
      <c r="X220" s="1">
        <v>18500.060000000001</v>
      </c>
      <c r="Y220" s="1">
        <v>18500.060000000001</v>
      </c>
      <c r="Z220" s="1">
        <v>18500.060000000001</v>
      </c>
      <c r="AA220" s="5">
        <v>18500.060000000001</v>
      </c>
      <c r="AB220" s="130">
        <f t="shared" si="13"/>
        <v>444001.44</v>
      </c>
      <c r="AC220" s="130">
        <v>4</v>
      </c>
      <c r="AD220" s="131"/>
    </row>
    <row r="221" spans="2:30" ht="15" thickBot="1">
      <c r="B221" s="132"/>
      <c r="C221" s="133" t="s">
        <v>8</v>
      </c>
      <c r="D221" s="3">
        <v>18500.060000000001</v>
      </c>
      <c r="E221" s="3">
        <v>18500.060000000001</v>
      </c>
      <c r="F221" s="3">
        <v>18500.060000000001</v>
      </c>
      <c r="G221" s="3">
        <v>18500.060000000001</v>
      </c>
      <c r="H221" s="3">
        <v>18500.060000000001</v>
      </c>
      <c r="I221" s="3">
        <v>18500.060000000001</v>
      </c>
      <c r="J221" s="3">
        <v>18500.060000000001</v>
      </c>
      <c r="K221" s="3">
        <v>18500.060000000001</v>
      </c>
      <c r="L221" s="3">
        <v>18500.060000000001</v>
      </c>
      <c r="M221" s="3">
        <v>18500.060000000001</v>
      </c>
      <c r="N221" s="3">
        <v>18500.060000000001</v>
      </c>
      <c r="O221" s="3">
        <v>18500.060000000001</v>
      </c>
      <c r="P221" s="3">
        <v>18500.060000000001</v>
      </c>
      <c r="Q221" s="3">
        <v>18500.060000000001</v>
      </c>
      <c r="R221" s="3">
        <v>18500.060000000001</v>
      </c>
      <c r="S221" s="3">
        <v>18500.060000000001</v>
      </c>
      <c r="T221" s="3">
        <v>18500.060000000001</v>
      </c>
      <c r="U221" s="3">
        <v>18500.060000000001</v>
      </c>
      <c r="V221" s="3">
        <v>18500.060000000001</v>
      </c>
      <c r="W221" s="3">
        <v>18500.060000000001</v>
      </c>
      <c r="X221" s="3">
        <v>18500.060000000001</v>
      </c>
      <c r="Y221" s="3">
        <v>18500.060000000001</v>
      </c>
      <c r="Z221" s="3">
        <v>18500.060000000001</v>
      </c>
      <c r="AA221" s="6">
        <v>18500.060000000001</v>
      </c>
      <c r="AB221" s="134">
        <f t="shared" si="13"/>
        <v>444001.44</v>
      </c>
      <c r="AC221" s="134">
        <v>2</v>
      </c>
      <c r="AD221" s="135"/>
    </row>
    <row r="222" spans="2:30">
      <c r="B222" s="124">
        <v>48761</v>
      </c>
      <c r="C222" s="125" t="s">
        <v>5</v>
      </c>
      <c r="D222" s="2">
        <v>18500.060000000001</v>
      </c>
      <c r="E222" s="2">
        <v>18500.060000000001</v>
      </c>
      <c r="F222" s="2">
        <v>18500.060000000001</v>
      </c>
      <c r="G222" s="2">
        <v>18500.060000000001</v>
      </c>
      <c r="H222" s="2">
        <v>18500.060000000001</v>
      </c>
      <c r="I222" s="2">
        <v>18500.060000000001</v>
      </c>
      <c r="J222" s="2">
        <v>18500.060000000001</v>
      </c>
      <c r="K222" s="2">
        <v>18500.060000000001</v>
      </c>
      <c r="L222" s="2">
        <v>18500.060000000001</v>
      </c>
      <c r="M222" s="2">
        <v>18500.060000000001</v>
      </c>
      <c r="N222" s="2">
        <v>18500.060000000001</v>
      </c>
      <c r="O222" s="2">
        <v>18500.060000000001</v>
      </c>
      <c r="P222" s="2">
        <v>18500.060000000001</v>
      </c>
      <c r="Q222" s="2">
        <v>18500.060000000001</v>
      </c>
      <c r="R222" s="2">
        <v>18500.060000000001</v>
      </c>
      <c r="S222" s="2">
        <v>18500.060000000001</v>
      </c>
      <c r="T222" s="2">
        <v>18500.060000000001</v>
      </c>
      <c r="U222" s="2">
        <v>18500.060000000001</v>
      </c>
      <c r="V222" s="2">
        <v>18500.060000000001</v>
      </c>
      <c r="W222" s="2">
        <v>18500.060000000001</v>
      </c>
      <c r="X222" s="2">
        <v>18500.060000000001</v>
      </c>
      <c r="Y222" s="2">
        <v>18500.060000000001</v>
      </c>
      <c r="Z222" s="2">
        <v>18500.060000000001</v>
      </c>
      <c r="AA222" s="4">
        <v>18500.060000000001</v>
      </c>
      <c r="AB222" s="126">
        <f t="shared" si="13"/>
        <v>444001.44</v>
      </c>
      <c r="AC222" s="126">
        <v>19</v>
      </c>
      <c r="AD222" s="127">
        <f>(AB222*AC222)+(AB223*AC223)+(AB224*AC224)+(AB225*AC225)</f>
        <v>13764044.639999999</v>
      </c>
    </row>
    <row r="223" spans="2:30">
      <c r="B223" s="128"/>
      <c r="C223" s="129" t="s">
        <v>6</v>
      </c>
      <c r="D223" s="1">
        <v>18500.060000000001</v>
      </c>
      <c r="E223" s="1">
        <v>18500.060000000001</v>
      </c>
      <c r="F223" s="1">
        <v>18500.060000000001</v>
      </c>
      <c r="G223" s="1">
        <v>18500.060000000001</v>
      </c>
      <c r="H223" s="1">
        <v>18500.060000000001</v>
      </c>
      <c r="I223" s="1">
        <v>18500.060000000001</v>
      </c>
      <c r="J223" s="1">
        <v>18500.060000000001</v>
      </c>
      <c r="K223" s="1">
        <v>18500.060000000001</v>
      </c>
      <c r="L223" s="1">
        <v>18500.060000000001</v>
      </c>
      <c r="M223" s="1">
        <v>18500.060000000001</v>
      </c>
      <c r="N223" s="1">
        <v>18500.060000000001</v>
      </c>
      <c r="O223" s="1">
        <v>18500.060000000001</v>
      </c>
      <c r="P223" s="1">
        <v>18500.060000000001</v>
      </c>
      <c r="Q223" s="1">
        <v>18500.060000000001</v>
      </c>
      <c r="R223" s="1">
        <v>18500.060000000001</v>
      </c>
      <c r="S223" s="1">
        <v>18500.060000000001</v>
      </c>
      <c r="T223" s="1">
        <v>18500.060000000001</v>
      </c>
      <c r="U223" s="1">
        <v>18500.060000000001</v>
      </c>
      <c r="V223" s="1">
        <v>18500.060000000001</v>
      </c>
      <c r="W223" s="1">
        <v>18500.060000000001</v>
      </c>
      <c r="X223" s="1">
        <v>18500.060000000001</v>
      </c>
      <c r="Y223" s="1">
        <v>18500.060000000001</v>
      </c>
      <c r="Z223" s="1">
        <v>18500.060000000001</v>
      </c>
      <c r="AA223" s="5">
        <v>18500.060000000001</v>
      </c>
      <c r="AB223" s="130">
        <f t="shared" si="13"/>
        <v>444001.44</v>
      </c>
      <c r="AC223" s="130">
        <v>5</v>
      </c>
      <c r="AD223" s="131"/>
    </row>
    <row r="224" spans="2:30">
      <c r="B224" s="128"/>
      <c r="C224" s="129" t="s">
        <v>4</v>
      </c>
      <c r="D224" s="1">
        <v>18500.060000000001</v>
      </c>
      <c r="E224" s="1">
        <v>18500.060000000001</v>
      </c>
      <c r="F224" s="1">
        <v>18500.060000000001</v>
      </c>
      <c r="G224" s="1">
        <v>18500.060000000001</v>
      </c>
      <c r="H224" s="1">
        <v>18500.060000000001</v>
      </c>
      <c r="I224" s="1">
        <v>18500.060000000001</v>
      </c>
      <c r="J224" s="1">
        <v>18500.060000000001</v>
      </c>
      <c r="K224" s="1">
        <v>18500.060000000001</v>
      </c>
      <c r="L224" s="1">
        <v>18500.060000000001</v>
      </c>
      <c r="M224" s="1">
        <v>18500.060000000001</v>
      </c>
      <c r="N224" s="1">
        <v>18500.060000000001</v>
      </c>
      <c r="O224" s="1">
        <v>18500.060000000001</v>
      </c>
      <c r="P224" s="1">
        <v>18500.060000000001</v>
      </c>
      <c r="Q224" s="1">
        <v>18500.060000000001</v>
      </c>
      <c r="R224" s="1">
        <v>18500.060000000001</v>
      </c>
      <c r="S224" s="1">
        <v>18500.060000000001</v>
      </c>
      <c r="T224" s="1">
        <v>18500.060000000001</v>
      </c>
      <c r="U224" s="1">
        <v>18500.060000000001</v>
      </c>
      <c r="V224" s="1">
        <v>18500.060000000001</v>
      </c>
      <c r="W224" s="1">
        <v>18500.060000000001</v>
      </c>
      <c r="X224" s="1">
        <v>18500.060000000001</v>
      </c>
      <c r="Y224" s="1">
        <v>18500.060000000001</v>
      </c>
      <c r="Z224" s="1">
        <v>18500.060000000001</v>
      </c>
      <c r="AA224" s="5">
        <v>18500.060000000001</v>
      </c>
      <c r="AB224" s="130">
        <f t="shared" si="13"/>
        <v>444001.44</v>
      </c>
      <c r="AC224" s="130">
        <v>5</v>
      </c>
      <c r="AD224" s="131"/>
    </row>
    <row r="225" spans="2:30" ht="15" thickBot="1">
      <c r="B225" s="132"/>
      <c r="C225" s="133" t="s">
        <v>8</v>
      </c>
      <c r="D225" s="3">
        <v>18500.060000000001</v>
      </c>
      <c r="E225" s="3">
        <v>18500.060000000001</v>
      </c>
      <c r="F225" s="3">
        <v>18500.060000000001</v>
      </c>
      <c r="G225" s="3">
        <v>18500.060000000001</v>
      </c>
      <c r="H225" s="3">
        <v>18500.060000000001</v>
      </c>
      <c r="I225" s="3">
        <v>18500.060000000001</v>
      </c>
      <c r="J225" s="3">
        <v>18500.060000000001</v>
      </c>
      <c r="K225" s="3">
        <v>18500.060000000001</v>
      </c>
      <c r="L225" s="3">
        <v>18500.060000000001</v>
      </c>
      <c r="M225" s="3">
        <v>18500.060000000001</v>
      </c>
      <c r="N225" s="3">
        <v>18500.060000000001</v>
      </c>
      <c r="O225" s="3">
        <v>18500.060000000001</v>
      </c>
      <c r="P225" s="3">
        <v>18500.060000000001</v>
      </c>
      <c r="Q225" s="3">
        <v>18500.060000000001</v>
      </c>
      <c r="R225" s="3">
        <v>18500.060000000001</v>
      </c>
      <c r="S225" s="3">
        <v>18500.060000000001</v>
      </c>
      <c r="T225" s="3">
        <v>18500.060000000001</v>
      </c>
      <c r="U225" s="3">
        <v>18500.060000000001</v>
      </c>
      <c r="V225" s="3">
        <v>18500.060000000001</v>
      </c>
      <c r="W225" s="3">
        <v>18500.060000000001</v>
      </c>
      <c r="X225" s="3">
        <v>18500.060000000001</v>
      </c>
      <c r="Y225" s="3">
        <v>18500.060000000001</v>
      </c>
      <c r="Z225" s="3">
        <v>18500.060000000001</v>
      </c>
      <c r="AA225" s="6">
        <v>18500.060000000001</v>
      </c>
      <c r="AB225" s="134">
        <f t="shared" si="13"/>
        <v>444001.44</v>
      </c>
      <c r="AC225" s="134">
        <v>2</v>
      </c>
      <c r="AD225" s="135"/>
    </row>
    <row r="226" spans="2:30">
      <c r="B226" s="124">
        <v>48792</v>
      </c>
      <c r="C226" s="125" t="s">
        <v>5</v>
      </c>
      <c r="D226" s="2">
        <v>18500.060000000001</v>
      </c>
      <c r="E226" s="2">
        <v>18500.060000000001</v>
      </c>
      <c r="F226" s="2">
        <v>18500.060000000001</v>
      </c>
      <c r="G226" s="2">
        <v>18500.060000000001</v>
      </c>
      <c r="H226" s="2">
        <v>18500.060000000001</v>
      </c>
      <c r="I226" s="2">
        <v>18500.060000000001</v>
      </c>
      <c r="J226" s="2">
        <v>18500.060000000001</v>
      </c>
      <c r="K226" s="2">
        <v>18500.060000000001</v>
      </c>
      <c r="L226" s="2">
        <v>18500.060000000001</v>
      </c>
      <c r="M226" s="2">
        <v>18500.060000000001</v>
      </c>
      <c r="N226" s="2">
        <v>18500.060000000001</v>
      </c>
      <c r="O226" s="2">
        <v>18500.060000000001</v>
      </c>
      <c r="P226" s="2">
        <v>18500.060000000001</v>
      </c>
      <c r="Q226" s="2">
        <v>18500.060000000001</v>
      </c>
      <c r="R226" s="2">
        <v>18500.060000000001</v>
      </c>
      <c r="S226" s="2">
        <v>18500.060000000001</v>
      </c>
      <c r="T226" s="2">
        <v>18500.060000000001</v>
      </c>
      <c r="U226" s="2">
        <v>18500.060000000001</v>
      </c>
      <c r="V226" s="2">
        <v>18500.060000000001</v>
      </c>
      <c r="W226" s="2">
        <v>18500.060000000001</v>
      </c>
      <c r="X226" s="2">
        <v>18500.060000000001</v>
      </c>
      <c r="Y226" s="2">
        <v>18500.060000000001</v>
      </c>
      <c r="Z226" s="2">
        <v>18500.060000000001</v>
      </c>
      <c r="AA226" s="4">
        <v>18500.060000000001</v>
      </c>
      <c r="AB226" s="126">
        <f t="shared" si="13"/>
        <v>444001.44</v>
      </c>
      <c r="AC226" s="126">
        <v>22</v>
      </c>
      <c r="AD226" s="127">
        <f>(AB226*AC226)+(AB227*AC227)+(AB228*AC228)+(AB229*AC229)</f>
        <v>13764044.640000001</v>
      </c>
    </row>
    <row r="227" spans="2:30">
      <c r="B227" s="128"/>
      <c r="C227" s="129" t="s">
        <v>6</v>
      </c>
      <c r="D227" s="1">
        <v>18500.060000000001</v>
      </c>
      <c r="E227" s="1">
        <v>18500.060000000001</v>
      </c>
      <c r="F227" s="1">
        <v>18500.060000000001</v>
      </c>
      <c r="G227" s="1">
        <v>18500.060000000001</v>
      </c>
      <c r="H227" s="1">
        <v>18500.060000000001</v>
      </c>
      <c r="I227" s="1">
        <v>18500.060000000001</v>
      </c>
      <c r="J227" s="1">
        <v>18500.060000000001</v>
      </c>
      <c r="K227" s="1">
        <v>18500.060000000001</v>
      </c>
      <c r="L227" s="1">
        <v>18500.060000000001</v>
      </c>
      <c r="M227" s="1">
        <v>18500.060000000001</v>
      </c>
      <c r="N227" s="1">
        <v>18500.060000000001</v>
      </c>
      <c r="O227" s="1">
        <v>18500.060000000001</v>
      </c>
      <c r="P227" s="1">
        <v>18500.060000000001</v>
      </c>
      <c r="Q227" s="1">
        <v>18500.060000000001</v>
      </c>
      <c r="R227" s="1">
        <v>18500.060000000001</v>
      </c>
      <c r="S227" s="1">
        <v>18500.060000000001</v>
      </c>
      <c r="T227" s="1">
        <v>18500.060000000001</v>
      </c>
      <c r="U227" s="1">
        <v>18500.060000000001</v>
      </c>
      <c r="V227" s="1">
        <v>18500.060000000001</v>
      </c>
      <c r="W227" s="1">
        <v>18500.060000000001</v>
      </c>
      <c r="X227" s="1">
        <v>18500.060000000001</v>
      </c>
      <c r="Y227" s="1">
        <v>18500.060000000001</v>
      </c>
      <c r="Z227" s="1">
        <v>18500.060000000001</v>
      </c>
      <c r="AA227" s="5">
        <v>18500.060000000001</v>
      </c>
      <c r="AB227" s="130">
        <f t="shared" si="13"/>
        <v>444001.44</v>
      </c>
      <c r="AC227" s="130">
        <v>4</v>
      </c>
      <c r="AD227" s="131"/>
    </row>
    <row r="228" spans="2:30">
      <c r="B228" s="128"/>
      <c r="C228" s="129" t="s">
        <v>7</v>
      </c>
      <c r="D228" s="1">
        <v>18500.060000000001</v>
      </c>
      <c r="E228" s="1">
        <v>18500.060000000001</v>
      </c>
      <c r="F228" s="1">
        <v>18500.060000000001</v>
      </c>
      <c r="G228" s="1">
        <v>18500.060000000001</v>
      </c>
      <c r="H228" s="1">
        <v>18500.060000000001</v>
      </c>
      <c r="I228" s="1">
        <v>18500.060000000001</v>
      </c>
      <c r="J228" s="1">
        <v>18500.060000000001</v>
      </c>
      <c r="K228" s="1">
        <v>18500.060000000001</v>
      </c>
      <c r="L228" s="1">
        <v>18500.060000000001</v>
      </c>
      <c r="M228" s="1">
        <v>18500.060000000001</v>
      </c>
      <c r="N228" s="1">
        <v>18500.060000000001</v>
      </c>
      <c r="O228" s="1">
        <v>18500.060000000001</v>
      </c>
      <c r="P228" s="1">
        <v>18500.060000000001</v>
      </c>
      <c r="Q228" s="1">
        <v>18500.060000000001</v>
      </c>
      <c r="R228" s="1">
        <v>18500.060000000001</v>
      </c>
      <c r="S228" s="1">
        <v>18500.060000000001</v>
      </c>
      <c r="T228" s="1">
        <v>18500.060000000001</v>
      </c>
      <c r="U228" s="1">
        <v>18500.060000000001</v>
      </c>
      <c r="V228" s="1">
        <v>18500.060000000001</v>
      </c>
      <c r="W228" s="1">
        <v>18500.060000000001</v>
      </c>
      <c r="X228" s="1">
        <v>18500.060000000001</v>
      </c>
      <c r="Y228" s="1">
        <v>18500.060000000001</v>
      </c>
      <c r="Z228" s="1">
        <v>18500.060000000001</v>
      </c>
      <c r="AA228" s="5">
        <v>18500.060000000001</v>
      </c>
      <c r="AB228" s="130">
        <f t="shared" si="13"/>
        <v>444001.44</v>
      </c>
      <c r="AC228" s="130">
        <v>3</v>
      </c>
      <c r="AD228" s="131"/>
    </row>
    <row r="229" spans="2:30" ht="15" thickBot="1">
      <c r="B229" s="132"/>
      <c r="C229" s="133" t="s">
        <v>8</v>
      </c>
      <c r="D229" s="3">
        <v>18500.060000000001</v>
      </c>
      <c r="E229" s="3">
        <v>18500.060000000001</v>
      </c>
      <c r="F229" s="3">
        <v>18500.060000000001</v>
      </c>
      <c r="G229" s="3">
        <v>18500.060000000001</v>
      </c>
      <c r="H229" s="3">
        <v>18500.060000000001</v>
      </c>
      <c r="I229" s="3">
        <v>18500.060000000001</v>
      </c>
      <c r="J229" s="3">
        <v>18500.060000000001</v>
      </c>
      <c r="K229" s="3">
        <v>18500.060000000001</v>
      </c>
      <c r="L229" s="3">
        <v>18500.060000000001</v>
      </c>
      <c r="M229" s="3">
        <v>18500.060000000001</v>
      </c>
      <c r="N229" s="3">
        <v>18500.060000000001</v>
      </c>
      <c r="O229" s="3">
        <v>18500.060000000001</v>
      </c>
      <c r="P229" s="3">
        <v>18500.060000000001</v>
      </c>
      <c r="Q229" s="3">
        <v>18500.060000000001</v>
      </c>
      <c r="R229" s="3">
        <v>18500.060000000001</v>
      </c>
      <c r="S229" s="3">
        <v>18500.060000000001</v>
      </c>
      <c r="T229" s="3">
        <v>18500.060000000001</v>
      </c>
      <c r="U229" s="3">
        <v>18500.060000000001</v>
      </c>
      <c r="V229" s="3">
        <v>18500.060000000001</v>
      </c>
      <c r="W229" s="3">
        <v>18500.060000000001</v>
      </c>
      <c r="X229" s="3">
        <v>18500.060000000001</v>
      </c>
      <c r="Y229" s="3">
        <v>18500.060000000001</v>
      </c>
      <c r="Z229" s="3">
        <v>18500.060000000001</v>
      </c>
      <c r="AA229" s="6">
        <v>18500.060000000001</v>
      </c>
      <c r="AB229" s="134">
        <f t="shared" si="13"/>
        <v>444001.44</v>
      </c>
      <c r="AC229" s="134">
        <v>2</v>
      </c>
      <c r="AD229" s="135"/>
    </row>
    <row r="230" spans="2:30">
      <c r="B230" s="124">
        <v>48823</v>
      </c>
      <c r="C230" s="125" t="s">
        <v>5</v>
      </c>
      <c r="D230" s="2">
        <v>18500.060000000001</v>
      </c>
      <c r="E230" s="2">
        <v>18500.060000000001</v>
      </c>
      <c r="F230" s="2">
        <v>18500.060000000001</v>
      </c>
      <c r="G230" s="2">
        <v>18500.060000000001</v>
      </c>
      <c r="H230" s="2">
        <v>18500.060000000001</v>
      </c>
      <c r="I230" s="2">
        <v>18500.060000000001</v>
      </c>
      <c r="J230" s="2">
        <v>18500.060000000001</v>
      </c>
      <c r="K230" s="2">
        <v>18500.060000000001</v>
      </c>
      <c r="L230" s="2">
        <v>18500.060000000001</v>
      </c>
      <c r="M230" s="2">
        <v>18500.060000000001</v>
      </c>
      <c r="N230" s="2">
        <v>18500.060000000001</v>
      </c>
      <c r="O230" s="2">
        <v>18500.060000000001</v>
      </c>
      <c r="P230" s="2">
        <v>18500.060000000001</v>
      </c>
      <c r="Q230" s="2">
        <v>18500.060000000001</v>
      </c>
      <c r="R230" s="2">
        <v>18500.060000000001</v>
      </c>
      <c r="S230" s="2">
        <v>18500.060000000001</v>
      </c>
      <c r="T230" s="2">
        <v>18500.060000000001</v>
      </c>
      <c r="U230" s="2">
        <v>18500.060000000001</v>
      </c>
      <c r="V230" s="2">
        <v>18500.060000000001</v>
      </c>
      <c r="W230" s="2">
        <v>18500.060000000001</v>
      </c>
      <c r="X230" s="2">
        <v>18500.060000000001</v>
      </c>
      <c r="Y230" s="2">
        <v>18500.060000000001</v>
      </c>
      <c r="Z230" s="2">
        <v>18500.060000000001</v>
      </c>
      <c r="AA230" s="4">
        <v>18500.060000000001</v>
      </c>
      <c r="AB230" s="126">
        <f t="shared" si="13"/>
        <v>444001.44</v>
      </c>
      <c r="AC230" s="126">
        <v>22</v>
      </c>
      <c r="AD230" s="127">
        <f>(AB230*AC230)+(AB231*AC231)+(AB232*AC232)+(AB233*AC233)</f>
        <v>13320043.199999999</v>
      </c>
    </row>
    <row r="231" spans="2:30">
      <c r="B231" s="128"/>
      <c r="C231" s="129" t="s">
        <v>6</v>
      </c>
      <c r="D231" s="1">
        <v>18500.060000000001</v>
      </c>
      <c r="E231" s="1">
        <v>18500.060000000001</v>
      </c>
      <c r="F231" s="1">
        <v>18500.060000000001</v>
      </c>
      <c r="G231" s="1">
        <v>18500.060000000001</v>
      </c>
      <c r="H231" s="1">
        <v>18500.060000000001</v>
      </c>
      <c r="I231" s="1">
        <v>18500.060000000001</v>
      </c>
      <c r="J231" s="1">
        <v>18500.060000000001</v>
      </c>
      <c r="K231" s="1">
        <v>18500.060000000001</v>
      </c>
      <c r="L231" s="1">
        <v>18500.060000000001</v>
      </c>
      <c r="M231" s="1">
        <v>18500.060000000001</v>
      </c>
      <c r="N231" s="1">
        <v>18500.060000000001</v>
      </c>
      <c r="O231" s="1">
        <v>18500.060000000001</v>
      </c>
      <c r="P231" s="1">
        <v>18500.060000000001</v>
      </c>
      <c r="Q231" s="1">
        <v>18500.060000000001</v>
      </c>
      <c r="R231" s="1">
        <v>18500.060000000001</v>
      </c>
      <c r="S231" s="1">
        <v>18500.060000000001</v>
      </c>
      <c r="T231" s="1">
        <v>18500.060000000001</v>
      </c>
      <c r="U231" s="1">
        <v>18500.060000000001</v>
      </c>
      <c r="V231" s="1">
        <v>18500.060000000001</v>
      </c>
      <c r="W231" s="1">
        <v>18500.060000000001</v>
      </c>
      <c r="X231" s="1">
        <v>18500.060000000001</v>
      </c>
      <c r="Y231" s="1">
        <v>18500.060000000001</v>
      </c>
      <c r="Z231" s="1">
        <v>18500.060000000001</v>
      </c>
      <c r="AA231" s="5">
        <v>18500.060000000001</v>
      </c>
      <c r="AB231" s="130">
        <f t="shared" si="13"/>
        <v>444001.44</v>
      </c>
      <c r="AC231" s="130">
        <v>4</v>
      </c>
      <c r="AD231" s="131"/>
    </row>
    <row r="232" spans="2:30">
      <c r="B232" s="128"/>
      <c r="C232" s="129" t="s">
        <v>7</v>
      </c>
      <c r="D232" s="1">
        <v>18500.060000000001</v>
      </c>
      <c r="E232" s="1">
        <v>18500.060000000001</v>
      </c>
      <c r="F232" s="1">
        <v>18500.060000000001</v>
      </c>
      <c r="G232" s="1">
        <v>18500.060000000001</v>
      </c>
      <c r="H232" s="1">
        <v>18500.060000000001</v>
      </c>
      <c r="I232" s="1">
        <v>18500.060000000001</v>
      </c>
      <c r="J232" s="1">
        <v>18500.060000000001</v>
      </c>
      <c r="K232" s="1">
        <v>18500.060000000001</v>
      </c>
      <c r="L232" s="1">
        <v>18500.060000000001</v>
      </c>
      <c r="M232" s="1">
        <v>18500.060000000001</v>
      </c>
      <c r="N232" s="1">
        <v>18500.060000000001</v>
      </c>
      <c r="O232" s="1">
        <v>18500.060000000001</v>
      </c>
      <c r="P232" s="1">
        <v>18500.060000000001</v>
      </c>
      <c r="Q232" s="1">
        <v>18500.060000000001</v>
      </c>
      <c r="R232" s="1">
        <v>18500.060000000001</v>
      </c>
      <c r="S232" s="1">
        <v>18500.060000000001</v>
      </c>
      <c r="T232" s="1">
        <v>18500.060000000001</v>
      </c>
      <c r="U232" s="1">
        <v>18500.060000000001</v>
      </c>
      <c r="V232" s="1">
        <v>18500.060000000001</v>
      </c>
      <c r="W232" s="1">
        <v>18500.060000000001</v>
      </c>
      <c r="X232" s="1">
        <v>18500.060000000001</v>
      </c>
      <c r="Y232" s="1">
        <v>18500.060000000001</v>
      </c>
      <c r="Z232" s="1">
        <v>18500.060000000001</v>
      </c>
      <c r="AA232" s="5">
        <v>18500.060000000001</v>
      </c>
      <c r="AB232" s="130">
        <f t="shared" si="13"/>
        <v>444001.44</v>
      </c>
      <c r="AC232" s="130">
        <v>4</v>
      </c>
      <c r="AD232" s="131"/>
    </row>
    <row r="233" spans="2:30" ht="15" thickBot="1">
      <c r="B233" s="132"/>
      <c r="C233" s="133" t="s">
        <v>8</v>
      </c>
      <c r="D233" s="3">
        <v>18500.060000000001</v>
      </c>
      <c r="E233" s="3">
        <v>18500.060000000001</v>
      </c>
      <c r="F233" s="3">
        <v>18500.060000000001</v>
      </c>
      <c r="G233" s="3">
        <v>18500.060000000001</v>
      </c>
      <c r="H233" s="3">
        <v>18500.060000000001</v>
      </c>
      <c r="I233" s="3">
        <v>18500.060000000001</v>
      </c>
      <c r="J233" s="3">
        <v>18500.060000000001</v>
      </c>
      <c r="K233" s="3">
        <v>18500.060000000001</v>
      </c>
      <c r="L233" s="3">
        <v>18500.060000000001</v>
      </c>
      <c r="M233" s="3">
        <v>18500.060000000001</v>
      </c>
      <c r="N233" s="3">
        <v>18500.060000000001</v>
      </c>
      <c r="O233" s="3">
        <v>18500.060000000001</v>
      </c>
      <c r="P233" s="3">
        <v>18500.060000000001</v>
      </c>
      <c r="Q233" s="3">
        <v>18500.060000000001</v>
      </c>
      <c r="R233" s="3">
        <v>18500.060000000001</v>
      </c>
      <c r="S233" s="3">
        <v>18500.060000000001</v>
      </c>
      <c r="T233" s="3">
        <v>18500.060000000001</v>
      </c>
      <c r="U233" s="3">
        <v>18500.060000000001</v>
      </c>
      <c r="V233" s="3">
        <v>18500.060000000001</v>
      </c>
      <c r="W233" s="3">
        <v>18500.060000000001</v>
      </c>
      <c r="X233" s="3">
        <v>18500.060000000001</v>
      </c>
      <c r="Y233" s="3">
        <v>18500.060000000001</v>
      </c>
      <c r="Z233" s="3">
        <v>18500.060000000001</v>
      </c>
      <c r="AA233" s="6">
        <v>18500.060000000001</v>
      </c>
      <c r="AB233" s="134">
        <f t="shared" si="13"/>
        <v>444001.44</v>
      </c>
      <c r="AC233" s="134">
        <v>0</v>
      </c>
      <c r="AD233" s="135"/>
    </row>
    <row r="234" spans="2:30">
      <c r="B234" s="124">
        <v>48853</v>
      </c>
      <c r="C234" s="125" t="s">
        <v>5</v>
      </c>
      <c r="D234" s="2">
        <v>18500.060000000001</v>
      </c>
      <c r="E234" s="2">
        <v>18500.060000000001</v>
      </c>
      <c r="F234" s="2">
        <v>18500.060000000001</v>
      </c>
      <c r="G234" s="2">
        <v>18500.060000000001</v>
      </c>
      <c r="H234" s="2">
        <v>18500.060000000001</v>
      </c>
      <c r="I234" s="2">
        <v>18500.060000000001</v>
      </c>
      <c r="J234" s="2">
        <v>18500.060000000001</v>
      </c>
      <c r="K234" s="2">
        <v>18500.060000000001</v>
      </c>
      <c r="L234" s="2">
        <v>18500.060000000001</v>
      </c>
      <c r="M234" s="2">
        <v>18500.060000000001</v>
      </c>
      <c r="N234" s="2">
        <v>18500.060000000001</v>
      </c>
      <c r="O234" s="2">
        <v>18500.060000000001</v>
      </c>
      <c r="P234" s="2">
        <v>18500.060000000001</v>
      </c>
      <c r="Q234" s="2">
        <v>18500.060000000001</v>
      </c>
      <c r="R234" s="2">
        <v>18500.060000000001</v>
      </c>
      <c r="S234" s="2">
        <v>18500.060000000001</v>
      </c>
      <c r="T234" s="2">
        <v>18500.060000000001</v>
      </c>
      <c r="U234" s="2">
        <v>18500.060000000001</v>
      </c>
      <c r="V234" s="2">
        <v>18500.060000000001</v>
      </c>
      <c r="W234" s="2">
        <v>18500.060000000001</v>
      </c>
      <c r="X234" s="2">
        <v>18500.060000000001</v>
      </c>
      <c r="Y234" s="2">
        <v>18500.060000000001</v>
      </c>
      <c r="Z234" s="2">
        <v>18500.060000000001</v>
      </c>
      <c r="AA234" s="4">
        <v>18500.060000000001</v>
      </c>
      <c r="AB234" s="126">
        <f t="shared" si="13"/>
        <v>444001.44</v>
      </c>
      <c r="AC234" s="126">
        <v>20</v>
      </c>
      <c r="AD234" s="127">
        <f>(AB234*AC234)+(AB235*AC235)+(AB236*AC236)+(AB237*AC237)</f>
        <v>13764044.639999999</v>
      </c>
    </row>
    <row r="235" spans="2:30">
      <c r="B235" s="128"/>
      <c r="C235" s="129" t="s">
        <v>6</v>
      </c>
      <c r="D235" s="1">
        <v>18500.060000000001</v>
      </c>
      <c r="E235" s="1">
        <v>18500.060000000001</v>
      </c>
      <c r="F235" s="1">
        <v>18500.060000000001</v>
      </c>
      <c r="G235" s="1">
        <v>18500.060000000001</v>
      </c>
      <c r="H235" s="1">
        <v>18500.060000000001</v>
      </c>
      <c r="I235" s="1">
        <v>18500.060000000001</v>
      </c>
      <c r="J235" s="1">
        <v>18500.060000000001</v>
      </c>
      <c r="K235" s="1">
        <v>18500.060000000001</v>
      </c>
      <c r="L235" s="1">
        <v>18500.060000000001</v>
      </c>
      <c r="M235" s="1">
        <v>18500.060000000001</v>
      </c>
      <c r="N235" s="1">
        <v>18500.060000000001</v>
      </c>
      <c r="O235" s="1">
        <v>18500.060000000001</v>
      </c>
      <c r="P235" s="1">
        <v>18500.060000000001</v>
      </c>
      <c r="Q235" s="1">
        <v>18500.060000000001</v>
      </c>
      <c r="R235" s="1">
        <v>18500.060000000001</v>
      </c>
      <c r="S235" s="1">
        <v>18500.060000000001</v>
      </c>
      <c r="T235" s="1">
        <v>18500.060000000001</v>
      </c>
      <c r="U235" s="1">
        <v>18500.060000000001</v>
      </c>
      <c r="V235" s="1">
        <v>18500.060000000001</v>
      </c>
      <c r="W235" s="1">
        <v>18500.060000000001</v>
      </c>
      <c r="X235" s="1">
        <v>18500.060000000001</v>
      </c>
      <c r="Y235" s="1">
        <v>18500.060000000001</v>
      </c>
      <c r="Z235" s="1">
        <v>18500.060000000001</v>
      </c>
      <c r="AA235" s="5">
        <v>18500.060000000001</v>
      </c>
      <c r="AB235" s="130">
        <f t="shared" si="13"/>
        <v>444001.44</v>
      </c>
      <c r="AC235" s="130">
        <v>5</v>
      </c>
      <c r="AD235" s="131"/>
    </row>
    <row r="236" spans="2:30">
      <c r="B236" s="128"/>
      <c r="C236" s="129" t="s">
        <v>7</v>
      </c>
      <c r="D236" s="1">
        <v>18500.060000000001</v>
      </c>
      <c r="E236" s="1">
        <v>18500.060000000001</v>
      </c>
      <c r="F236" s="1">
        <v>18500.060000000001</v>
      </c>
      <c r="G236" s="1">
        <v>18500.060000000001</v>
      </c>
      <c r="H236" s="1">
        <v>18500.060000000001</v>
      </c>
      <c r="I236" s="1">
        <v>18500.060000000001</v>
      </c>
      <c r="J236" s="1">
        <v>18500.060000000001</v>
      </c>
      <c r="K236" s="1">
        <v>18500.060000000001</v>
      </c>
      <c r="L236" s="1">
        <v>18500.060000000001</v>
      </c>
      <c r="M236" s="1">
        <v>18500.060000000001</v>
      </c>
      <c r="N236" s="1">
        <v>18500.060000000001</v>
      </c>
      <c r="O236" s="1">
        <v>18500.060000000001</v>
      </c>
      <c r="P236" s="1">
        <v>18500.060000000001</v>
      </c>
      <c r="Q236" s="1">
        <v>18500.060000000001</v>
      </c>
      <c r="R236" s="1">
        <v>18500.060000000001</v>
      </c>
      <c r="S236" s="1">
        <v>18500.060000000001</v>
      </c>
      <c r="T236" s="1">
        <v>18500.060000000001</v>
      </c>
      <c r="U236" s="1">
        <v>18500.060000000001</v>
      </c>
      <c r="V236" s="1">
        <v>18500.060000000001</v>
      </c>
      <c r="W236" s="1">
        <v>18500.060000000001</v>
      </c>
      <c r="X236" s="1">
        <v>18500.060000000001</v>
      </c>
      <c r="Y236" s="1">
        <v>18500.060000000001</v>
      </c>
      <c r="Z236" s="1">
        <v>18500.060000000001</v>
      </c>
      <c r="AA236" s="5">
        <v>18500.060000000001</v>
      </c>
      <c r="AB236" s="130">
        <f t="shared" si="13"/>
        <v>444001.44</v>
      </c>
      <c r="AC236" s="130">
        <v>5</v>
      </c>
      <c r="AD236" s="131"/>
    </row>
    <row r="237" spans="2:30" ht="15" thickBot="1">
      <c r="B237" s="132"/>
      <c r="C237" s="133" t="s">
        <v>8</v>
      </c>
      <c r="D237" s="3">
        <v>18500.060000000001</v>
      </c>
      <c r="E237" s="3">
        <v>18500.060000000001</v>
      </c>
      <c r="F237" s="3">
        <v>18500.060000000001</v>
      </c>
      <c r="G237" s="3">
        <v>18500.060000000001</v>
      </c>
      <c r="H237" s="3">
        <v>18500.060000000001</v>
      </c>
      <c r="I237" s="3">
        <v>18500.060000000001</v>
      </c>
      <c r="J237" s="3">
        <v>18500.060000000001</v>
      </c>
      <c r="K237" s="3">
        <v>18500.060000000001</v>
      </c>
      <c r="L237" s="3">
        <v>18500.060000000001</v>
      </c>
      <c r="M237" s="3">
        <v>18500.060000000001</v>
      </c>
      <c r="N237" s="3">
        <v>18500.060000000001</v>
      </c>
      <c r="O237" s="3">
        <v>18500.060000000001</v>
      </c>
      <c r="P237" s="3">
        <v>18500.060000000001</v>
      </c>
      <c r="Q237" s="3">
        <v>18500.060000000001</v>
      </c>
      <c r="R237" s="3">
        <v>18500.060000000001</v>
      </c>
      <c r="S237" s="3">
        <v>18500.060000000001</v>
      </c>
      <c r="T237" s="3">
        <v>18500.060000000001</v>
      </c>
      <c r="U237" s="3">
        <v>18500.060000000001</v>
      </c>
      <c r="V237" s="3">
        <v>18500.060000000001</v>
      </c>
      <c r="W237" s="3">
        <v>18500.060000000001</v>
      </c>
      <c r="X237" s="3">
        <v>18500.060000000001</v>
      </c>
      <c r="Y237" s="3">
        <v>18500.060000000001</v>
      </c>
      <c r="Z237" s="3">
        <v>18500.060000000001</v>
      </c>
      <c r="AA237" s="6">
        <v>18500.060000000001</v>
      </c>
      <c r="AB237" s="134">
        <f t="shared" si="13"/>
        <v>444001.44</v>
      </c>
      <c r="AC237" s="134">
        <v>1</v>
      </c>
      <c r="AD237" s="135"/>
    </row>
    <row r="238" spans="2:30">
      <c r="B238" s="124">
        <v>48884</v>
      </c>
      <c r="C238" s="125" t="s">
        <v>5</v>
      </c>
      <c r="D238" s="2">
        <v>18500.060000000001</v>
      </c>
      <c r="E238" s="2">
        <v>18500.060000000001</v>
      </c>
      <c r="F238" s="2">
        <v>18500.060000000001</v>
      </c>
      <c r="G238" s="2">
        <v>18500.060000000001</v>
      </c>
      <c r="H238" s="2">
        <v>18500.060000000001</v>
      </c>
      <c r="I238" s="2">
        <v>18500.060000000001</v>
      </c>
      <c r="J238" s="2">
        <v>18500.060000000001</v>
      </c>
      <c r="K238" s="2">
        <v>18500.060000000001</v>
      </c>
      <c r="L238" s="2">
        <v>18500.060000000001</v>
      </c>
      <c r="M238" s="2">
        <v>18500.060000000001</v>
      </c>
      <c r="N238" s="2">
        <v>18500.060000000001</v>
      </c>
      <c r="O238" s="2">
        <v>18500.060000000001</v>
      </c>
      <c r="P238" s="2">
        <v>18500.060000000001</v>
      </c>
      <c r="Q238" s="2">
        <v>18500.060000000001</v>
      </c>
      <c r="R238" s="2">
        <v>18500.060000000001</v>
      </c>
      <c r="S238" s="2">
        <v>18500.060000000001</v>
      </c>
      <c r="T238" s="2">
        <v>18500.060000000001</v>
      </c>
      <c r="U238" s="2">
        <v>18500.060000000001</v>
      </c>
      <c r="V238" s="2">
        <v>18500.060000000001</v>
      </c>
      <c r="W238" s="2">
        <v>18500.060000000001</v>
      </c>
      <c r="X238" s="2">
        <v>18500.060000000001</v>
      </c>
      <c r="Y238" s="2">
        <v>18500.060000000001</v>
      </c>
      <c r="Z238" s="2">
        <v>18500.060000000001</v>
      </c>
      <c r="AA238" s="4">
        <v>18500.060000000001</v>
      </c>
      <c r="AB238" s="126">
        <f t="shared" si="13"/>
        <v>444001.44</v>
      </c>
      <c r="AC238" s="126">
        <v>20</v>
      </c>
      <c r="AD238" s="127">
        <f>(AB238*AC238)+(AB239*AC239)+(AB240*AC240)+(AB241*AC241)</f>
        <v>13320043.200000001</v>
      </c>
    </row>
    <row r="239" spans="2:30">
      <c r="B239" s="128"/>
      <c r="C239" s="129" t="s">
        <v>6</v>
      </c>
      <c r="D239" s="1">
        <v>18500.060000000001</v>
      </c>
      <c r="E239" s="1">
        <v>18500.060000000001</v>
      </c>
      <c r="F239" s="1">
        <v>18500.060000000001</v>
      </c>
      <c r="G239" s="1">
        <v>18500.060000000001</v>
      </c>
      <c r="H239" s="1">
        <v>18500.060000000001</v>
      </c>
      <c r="I239" s="1">
        <v>18500.060000000001</v>
      </c>
      <c r="J239" s="1">
        <v>18500.060000000001</v>
      </c>
      <c r="K239" s="1">
        <v>18500.060000000001</v>
      </c>
      <c r="L239" s="1">
        <v>18500.060000000001</v>
      </c>
      <c r="M239" s="1">
        <v>18500.060000000001</v>
      </c>
      <c r="N239" s="1">
        <v>18500.060000000001</v>
      </c>
      <c r="O239" s="1">
        <v>18500.060000000001</v>
      </c>
      <c r="P239" s="1">
        <v>18500.060000000001</v>
      </c>
      <c r="Q239" s="1">
        <v>18500.060000000001</v>
      </c>
      <c r="R239" s="1">
        <v>18500.060000000001</v>
      </c>
      <c r="S239" s="1">
        <v>18500.060000000001</v>
      </c>
      <c r="T239" s="1">
        <v>18500.060000000001</v>
      </c>
      <c r="U239" s="1">
        <v>18500.060000000001</v>
      </c>
      <c r="V239" s="1">
        <v>18500.060000000001</v>
      </c>
      <c r="W239" s="1">
        <v>18500.060000000001</v>
      </c>
      <c r="X239" s="1">
        <v>18500.060000000001</v>
      </c>
      <c r="Y239" s="1">
        <v>18500.060000000001</v>
      </c>
      <c r="Z239" s="1">
        <v>18500.060000000001</v>
      </c>
      <c r="AA239" s="5">
        <v>18500.060000000001</v>
      </c>
      <c r="AB239" s="130">
        <f t="shared" si="13"/>
        <v>444001.44</v>
      </c>
      <c r="AC239" s="130">
        <v>4</v>
      </c>
      <c r="AD239" s="131"/>
    </row>
    <row r="240" spans="2:30">
      <c r="B240" s="128"/>
      <c r="C240" s="129" t="s">
        <v>7</v>
      </c>
      <c r="D240" s="1">
        <v>18500.060000000001</v>
      </c>
      <c r="E240" s="1">
        <v>18500.060000000001</v>
      </c>
      <c r="F240" s="1">
        <v>18500.060000000001</v>
      </c>
      <c r="G240" s="1">
        <v>18500.060000000001</v>
      </c>
      <c r="H240" s="1">
        <v>18500.060000000001</v>
      </c>
      <c r="I240" s="1">
        <v>18500.060000000001</v>
      </c>
      <c r="J240" s="1">
        <v>18500.060000000001</v>
      </c>
      <c r="K240" s="1">
        <v>18500.060000000001</v>
      </c>
      <c r="L240" s="1">
        <v>18500.060000000001</v>
      </c>
      <c r="M240" s="1">
        <v>18500.060000000001</v>
      </c>
      <c r="N240" s="1">
        <v>18500.060000000001</v>
      </c>
      <c r="O240" s="1">
        <v>18500.060000000001</v>
      </c>
      <c r="P240" s="1">
        <v>18500.060000000001</v>
      </c>
      <c r="Q240" s="1">
        <v>18500.060000000001</v>
      </c>
      <c r="R240" s="1">
        <v>18500.060000000001</v>
      </c>
      <c r="S240" s="1">
        <v>18500.060000000001</v>
      </c>
      <c r="T240" s="1">
        <v>18500.060000000001</v>
      </c>
      <c r="U240" s="1">
        <v>18500.060000000001</v>
      </c>
      <c r="V240" s="1">
        <v>18500.060000000001</v>
      </c>
      <c r="W240" s="1">
        <v>18500.060000000001</v>
      </c>
      <c r="X240" s="1">
        <v>18500.060000000001</v>
      </c>
      <c r="Y240" s="1">
        <v>18500.060000000001</v>
      </c>
      <c r="Z240" s="1">
        <v>18500.060000000001</v>
      </c>
      <c r="AA240" s="5">
        <v>18500.060000000001</v>
      </c>
      <c r="AB240" s="130">
        <f t="shared" si="13"/>
        <v>444001.44</v>
      </c>
      <c r="AC240" s="130">
        <v>4</v>
      </c>
      <c r="AD240" s="131"/>
    </row>
    <row r="241" spans="2:30" ht="15" thickBot="1">
      <c r="B241" s="132"/>
      <c r="C241" s="133" t="s">
        <v>8</v>
      </c>
      <c r="D241" s="3">
        <v>18500.060000000001</v>
      </c>
      <c r="E241" s="3">
        <v>18500.060000000001</v>
      </c>
      <c r="F241" s="3">
        <v>18500.060000000001</v>
      </c>
      <c r="G241" s="3">
        <v>18500.060000000001</v>
      </c>
      <c r="H241" s="3">
        <v>18500.060000000001</v>
      </c>
      <c r="I241" s="3">
        <v>18500.060000000001</v>
      </c>
      <c r="J241" s="3">
        <v>18500.060000000001</v>
      </c>
      <c r="K241" s="3">
        <v>18500.060000000001</v>
      </c>
      <c r="L241" s="3">
        <v>18500.060000000001</v>
      </c>
      <c r="M241" s="3">
        <v>18500.060000000001</v>
      </c>
      <c r="N241" s="3">
        <v>18500.060000000001</v>
      </c>
      <c r="O241" s="3">
        <v>18500.060000000001</v>
      </c>
      <c r="P241" s="3">
        <v>18500.060000000001</v>
      </c>
      <c r="Q241" s="3">
        <v>18500.060000000001</v>
      </c>
      <c r="R241" s="3">
        <v>18500.060000000001</v>
      </c>
      <c r="S241" s="3">
        <v>18500.060000000001</v>
      </c>
      <c r="T241" s="3">
        <v>18500.060000000001</v>
      </c>
      <c r="U241" s="3">
        <v>18500.060000000001</v>
      </c>
      <c r="V241" s="3">
        <v>18500.060000000001</v>
      </c>
      <c r="W241" s="3">
        <v>18500.060000000001</v>
      </c>
      <c r="X241" s="3">
        <v>18500.060000000001</v>
      </c>
      <c r="Y241" s="3">
        <v>18500.060000000001</v>
      </c>
      <c r="Z241" s="3">
        <v>18500.060000000001</v>
      </c>
      <c r="AA241" s="6">
        <v>18500.060000000001</v>
      </c>
      <c r="AB241" s="134">
        <f t="shared" si="13"/>
        <v>444001.44</v>
      </c>
      <c r="AC241" s="134">
        <v>2</v>
      </c>
      <c r="AD241" s="135"/>
    </row>
    <row r="242" spans="2:30">
      <c r="B242" s="124">
        <v>48914</v>
      </c>
      <c r="C242" s="125" t="s">
        <v>5</v>
      </c>
      <c r="D242" s="2">
        <v>18500.060000000001</v>
      </c>
      <c r="E242" s="2">
        <v>18500.060000000001</v>
      </c>
      <c r="F242" s="2">
        <v>18500.060000000001</v>
      </c>
      <c r="G242" s="2">
        <v>18500.060000000001</v>
      </c>
      <c r="H242" s="2">
        <v>18500.060000000001</v>
      </c>
      <c r="I242" s="2">
        <v>18500.060000000001</v>
      </c>
      <c r="J242" s="2">
        <v>18500.060000000001</v>
      </c>
      <c r="K242" s="2">
        <v>18500.060000000001</v>
      </c>
      <c r="L242" s="2">
        <v>18500.060000000001</v>
      </c>
      <c r="M242" s="2">
        <v>18500.060000000001</v>
      </c>
      <c r="N242" s="2">
        <v>18500.060000000001</v>
      </c>
      <c r="O242" s="2">
        <v>18500.060000000001</v>
      </c>
      <c r="P242" s="2">
        <v>18500.060000000001</v>
      </c>
      <c r="Q242" s="2">
        <v>18500.060000000001</v>
      </c>
      <c r="R242" s="2">
        <v>18500.060000000001</v>
      </c>
      <c r="S242" s="2">
        <v>18500.060000000001</v>
      </c>
      <c r="T242" s="2">
        <v>18500.060000000001</v>
      </c>
      <c r="U242" s="2">
        <v>18500.060000000001</v>
      </c>
      <c r="V242" s="2">
        <v>18500.060000000001</v>
      </c>
      <c r="W242" s="2">
        <v>18500.060000000001</v>
      </c>
      <c r="X242" s="2">
        <v>18500.060000000001</v>
      </c>
      <c r="Y242" s="2">
        <v>18500.060000000001</v>
      </c>
      <c r="Z242" s="2">
        <v>18500.060000000001</v>
      </c>
      <c r="AA242" s="4">
        <v>18500.060000000001</v>
      </c>
      <c r="AB242" s="126">
        <f t="shared" si="13"/>
        <v>444001.44</v>
      </c>
      <c r="AC242" s="126">
        <v>21</v>
      </c>
      <c r="AD242" s="127">
        <f>(AB242*AC242)+(AB243*AC243)+(AB244*AC244)+(AB245*AC245)</f>
        <v>13764044.640000002</v>
      </c>
    </row>
    <row r="243" spans="2:30">
      <c r="B243" s="128"/>
      <c r="C243" s="129" t="s">
        <v>6</v>
      </c>
      <c r="D243" s="1">
        <v>18500.060000000001</v>
      </c>
      <c r="E243" s="1">
        <v>18500.060000000001</v>
      </c>
      <c r="F243" s="1">
        <v>18500.060000000001</v>
      </c>
      <c r="G243" s="1">
        <v>18500.060000000001</v>
      </c>
      <c r="H243" s="1">
        <v>18500.060000000001</v>
      </c>
      <c r="I243" s="1">
        <v>18500.060000000001</v>
      </c>
      <c r="J243" s="1">
        <v>18500.060000000001</v>
      </c>
      <c r="K243" s="1">
        <v>18500.060000000001</v>
      </c>
      <c r="L243" s="1">
        <v>18500.060000000001</v>
      </c>
      <c r="M243" s="1">
        <v>18500.060000000001</v>
      </c>
      <c r="N243" s="1">
        <v>18500.060000000001</v>
      </c>
      <c r="O243" s="1">
        <v>18500.060000000001</v>
      </c>
      <c r="P243" s="1">
        <v>18500.060000000001</v>
      </c>
      <c r="Q243" s="1">
        <v>18500.060000000001</v>
      </c>
      <c r="R243" s="1">
        <v>18500.060000000001</v>
      </c>
      <c r="S243" s="1">
        <v>18500.060000000001</v>
      </c>
      <c r="T243" s="1">
        <v>18500.060000000001</v>
      </c>
      <c r="U243" s="1">
        <v>18500.060000000001</v>
      </c>
      <c r="V243" s="1">
        <v>18500.060000000001</v>
      </c>
      <c r="W243" s="1">
        <v>18500.060000000001</v>
      </c>
      <c r="X243" s="1">
        <v>18500.060000000001</v>
      </c>
      <c r="Y243" s="1">
        <v>18500.060000000001</v>
      </c>
      <c r="Z243" s="1">
        <v>18500.060000000001</v>
      </c>
      <c r="AA243" s="5">
        <v>18500.060000000001</v>
      </c>
      <c r="AB243" s="130">
        <f t="shared" si="13"/>
        <v>444001.44</v>
      </c>
      <c r="AC243" s="130">
        <v>5</v>
      </c>
      <c r="AD243" s="131"/>
    </row>
    <row r="244" spans="2:30">
      <c r="B244" s="128"/>
      <c r="C244" s="129" t="s">
        <v>7</v>
      </c>
      <c r="D244" s="1">
        <v>18500.060000000001</v>
      </c>
      <c r="E244" s="1">
        <v>18500.060000000001</v>
      </c>
      <c r="F244" s="1">
        <v>18500.060000000001</v>
      </c>
      <c r="G244" s="1">
        <v>18500.060000000001</v>
      </c>
      <c r="H244" s="1">
        <v>18500.060000000001</v>
      </c>
      <c r="I244" s="1">
        <v>18500.060000000001</v>
      </c>
      <c r="J244" s="1">
        <v>18500.060000000001</v>
      </c>
      <c r="K244" s="1">
        <v>18500.060000000001</v>
      </c>
      <c r="L244" s="1">
        <v>18500.060000000001</v>
      </c>
      <c r="M244" s="1">
        <v>18500.060000000001</v>
      </c>
      <c r="N244" s="1">
        <v>18500.060000000001</v>
      </c>
      <c r="O244" s="1">
        <v>18500.060000000001</v>
      </c>
      <c r="P244" s="1">
        <v>18500.060000000001</v>
      </c>
      <c r="Q244" s="1">
        <v>18500.060000000001</v>
      </c>
      <c r="R244" s="1">
        <v>18500.060000000001</v>
      </c>
      <c r="S244" s="1">
        <v>18500.060000000001</v>
      </c>
      <c r="T244" s="1">
        <v>18500.060000000001</v>
      </c>
      <c r="U244" s="1">
        <v>18500.060000000001</v>
      </c>
      <c r="V244" s="1">
        <v>18500.060000000001</v>
      </c>
      <c r="W244" s="1">
        <v>18500.060000000001</v>
      </c>
      <c r="X244" s="1">
        <v>18500.060000000001</v>
      </c>
      <c r="Y244" s="1">
        <v>18500.060000000001</v>
      </c>
      <c r="Z244" s="1">
        <v>18500.060000000001</v>
      </c>
      <c r="AA244" s="5">
        <v>18500.060000000001</v>
      </c>
      <c r="AB244" s="130">
        <f t="shared" si="13"/>
        <v>444001.44</v>
      </c>
      <c r="AC244" s="130">
        <v>3</v>
      </c>
      <c r="AD244" s="131"/>
    </row>
    <row r="245" spans="2:30" ht="15" thickBot="1">
      <c r="B245" s="132"/>
      <c r="C245" s="133" t="s">
        <v>8</v>
      </c>
      <c r="D245" s="3">
        <v>18500.060000000001</v>
      </c>
      <c r="E245" s="3">
        <v>18500.060000000001</v>
      </c>
      <c r="F245" s="3">
        <v>18500.060000000001</v>
      </c>
      <c r="G245" s="3">
        <v>18500.060000000001</v>
      </c>
      <c r="H245" s="3">
        <v>18500.060000000001</v>
      </c>
      <c r="I245" s="3">
        <v>18500.060000000001</v>
      </c>
      <c r="J245" s="3">
        <v>18500.060000000001</v>
      </c>
      <c r="K245" s="3">
        <v>18500.060000000001</v>
      </c>
      <c r="L245" s="3">
        <v>18500.060000000001</v>
      </c>
      <c r="M245" s="3">
        <v>18500.060000000001</v>
      </c>
      <c r="N245" s="3">
        <v>18500.060000000001</v>
      </c>
      <c r="O245" s="3">
        <v>18500.060000000001</v>
      </c>
      <c r="P245" s="3">
        <v>18500.060000000001</v>
      </c>
      <c r="Q245" s="3">
        <v>18500.060000000001</v>
      </c>
      <c r="R245" s="3">
        <v>18500.060000000001</v>
      </c>
      <c r="S245" s="3">
        <v>18500.060000000001</v>
      </c>
      <c r="T245" s="3">
        <v>18500.060000000001</v>
      </c>
      <c r="U245" s="3">
        <v>18500.060000000001</v>
      </c>
      <c r="V245" s="3">
        <v>18500.060000000001</v>
      </c>
      <c r="W245" s="3">
        <v>18500.060000000001</v>
      </c>
      <c r="X245" s="3">
        <v>18500.060000000001</v>
      </c>
      <c r="Y245" s="3">
        <v>18500.060000000001</v>
      </c>
      <c r="Z245" s="3">
        <v>18500.060000000001</v>
      </c>
      <c r="AA245" s="6">
        <v>18500.060000000001</v>
      </c>
      <c r="AB245" s="134">
        <f t="shared" si="13"/>
        <v>444001.44</v>
      </c>
      <c r="AC245" s="134">
        <v>2</v>
      </c>
      <c r="AD245" s="135"/>
    </row>
    <row r="246" spans="2:30">
      <c r="B246" s="124">
        <v>48945</v>
      </c>
      <c r="C246" s="125" t="s">
        <v>5</v>
      </c>
      <c r="D246" s="2">
        <v>18870.310000000001</v>
      </c>
      <c r="E246" s="2">
        <v>18870.310000000001</v>
      </c>
      <c r="F246" s="2">
        <v>18870.310000000001</v>
      </c>
      <c r="G246" s="2">
        <v>18870.310000000001</v>
      </c>
      <c r="H246" s="2">
        <v>18870.310000000001</v>
      </c>
      <c r="I246" s="2">
        <v>18870.310000000001</v>
      </c>
      <c r="J246" s="2">
        <v>18870.310000000001</v>
      </c>
      <c r="K246" s="2">
        <v>18870.310000000001</v>
      </c>
      <c r="L246" s="2">
        <v>18870.310000000001</v>
      </c>
      <c r="M246" s="2">
        <v>18870.310000000001</v>
      </c>
      <c r="N246" s="2">
        <v>18870.310000000001</v>
      </c>
      <c r="O246" s="2">
        <v>18870.310000000001</v>
      </c>
      <c r="P246" s="2">
        <v>18870.310000000001</v>
      </c>
      <c r="Q246" s="2">
        <v>18870.310000000001</v>
      </c>
      <c r="R246" s="2">
        <v>18870.310000000001</v>
      </c>
      <c r="S246" s="2">
        <v>18870.310000000001</v>
      </c>
      <c r="T246" s="2">
        <v>18870.310000000001</v>
      </c>
      <c r="U246" s="2">
        <v>18870.310000000001</v>
      </c>
      <c r="V246" s="2">
        <v>18870.310000000001</v>
      </c>
      <c r="W246" s="2">
        <v>18870.310000000001</v>
      </c>
      <c r="X246" s="2">
        <v>18870.310000000001</v>
      </c>
      <c r="Y246" s="2">
        <v>18870.310000000001</v>
      </c>
      <c r="Z246" s="2">
        <v>18870.310000000001</v>
      </c>
      <c r="AA246" s="4">
        <v>18870.310000000001</v>
      </c>
      <c r="AB246" s="126">
        <f t="shared" ref="AB246:AB293" si="14">(SUM(D246:AA246))</f>
        <v>452887.44</v>
      </c>
      <c r="AC246" s="126">
        <v>21</v>
      </c>
      <c r="AD246" s="127">
        <f>(AB246*AC246)+(AB247*AC247)+(AB248*AC248)+(AB249*AC249)</f>
        <v>14039510.640000001</v>
      </c>
    </row>
    <row r="247" spans="2:30">
      <c r="B247" s="128"/>
      <c r="C247" s="129" t="s">
        <v>6</v>
      </c>
      <c r="D247" s="1">
        <v>18870.310000000001</v>
      </c>
      <c r="E247" s="1">
        <v>18870.310000000001</v>
      </c>
      <c r="F247" s="1">
        <v>18870.310000000001</v>
      </c>
      <c r="G247" s="1">
        <v>18870.310000000001</v>
      </c>
      <c r="H247" s="1">
        <v>18870.310000000001</v>
      </c>
      <c r="I247" s="1">
        <v>18870.310000000001</v>
      </c>
      <c r="J247" s="1">
        <v>18870.310000000001</v>
      </c>
      <c r="K247" s="1">
        <v>18870.310000000001</v>
      </c>
      <c r="L247" s="1">
        <v>18870.310000000001</v>
      </c>
      <c r="M247" s="1">
        <v>18870.310000000001</v>
      </c>
      <c r="N247" s="1">
        <v>18870.310000000001</v>
      </c>
      <c r="O247" s="1">
        <v>18870.310000000001</v>
      </c>
      <c r="P247" s="1">
        <v>18870.310000000001</v>
      </c>
      <c r="Q247" s="1">
        <v>18870.310000000001</v>
      </c>
      <c r="R247" s="1">
        <v>18870.310000000001</v>
      </c>
      <c r="S247" s="1">
        <v>18870.310000000001</v>
      </c>
      <c r="T247" s="1">
        <v>18870.310000000001</v>
      </c>
      <c r="U247" s="1">
        <v>18870.310000000001</v>
      </c>
      <c r="V247" s="1">
        <v>18870.310000000001</v>
      </c>
      <c r="W247" s="1">
        <v>18870.310000000001</v>
      </c>
      <c r="X247" s="1">
        <v>18870.310000000001</v>
      </c>
      <c r="Y247" s="1">
        <v>18870.310000000001</v>
      </c>
      <c r="Z247" s="1">
        <v>18870.310000000001</v>
      </c>
      <c r="AA247" s="5">
        <v>18870.310000000001</v>
      </c>
      <c r="AB247" s="130">
        <f t="shared" si="14"/>
        <v>452887.44</v>
      </c>
      <c r="AC247" s="130">
        <v>4</v>
      </c>
      <c r="AD247" s="131"/>
    </row>
    <row r="248" spans="2:30">
      <c r="B248" s="128"/>
      <c r="C248" s="129" t="s">
        <v>7</v>
      </c>
      <c r="D248" s="1">
        <v>18870.310000000001</v>
      </c>
      <c r="E248" s="1">
        <v>18870.310000000001</v>
      </c>
      <c r="F248" s="1">
        <v>18870.310000000001</v>
      </c>
      <c r="G248" s="1">
        <v>18870.310000000001</v>
      </c>
      <c r="H248" s="1">
        <v>18870.310000000001</v>
      </c>
      <c r="I248" s="1">
        <v>18870.310000000001</v>
      </c>
      <c r="J248" s="1">
        <v>18870.310000000001</v>
      </c>
      <c r="K248" s="1">
        <v>18870.310000000001</v>
      </c>
      <c r="L248" s="1">
        <v>18870.310000000001</v>
      </c>
      <c r="M248" s="1">
        <v>18870.310000000001</v>
      </c>
      <c r="N248" s="1">
        <v>18870.310000000001</v>
      </c>
      <c r="O248" s="1">
        <v>18870.310000000001</v>
      </c>
      <c r="P248" s="1">
        <v>18870.310000000001</v>
      </c>
      <c r="Q248" s="1">
        <v>18870.310000000001</v>
      </c>
      <c r="R248" s="1">
        <v>18870.310000000001</v>
      </c>
      <c r="S248" s="1">
        <v>18870.310000000001</v>
      </c>
      <c r="T248" s="1">
        <v>18870.310000000001</v>
      </c>
      <c r="U248" s="1">
        <v>18870.310000000001</v>
      </c>
      <c r="V248" s="1">
        <v>18870.310000000001</v>
      </c>
      <c r="W248" s="1">
        <v>18870.310000000001</v>
      </c>
      <c r="X248" s="1">
        <v>18870.310000000001</v>
      </c>
      <c r="Y248" s="1">
        <v>18870.310000000001</v>
      </c>
      <c r="Z248" s="1">
        <v>18870.310000000001</v>
      </c>
      <c r="AA248" s="5">
        <v>18870.310000000001</v>
      </c>
      <c r="AB248" s="130">
        <f t="shared" si="14"/>
        <v>452887.44</v>
      </c>
      <c r="AC248" s="130">
        <v>4</v>
      </c>
      <c r="AD248" s="131"/>
    </row>
    <row r="249" spans="2:30" ht="15" thickBot="1">
      <c r="B249" s="132"/>
      <c r="C249" s="133" t="s">
        <v>8</v>
      </c>
      <c r="D249" s="3">
        <v>18870.310000000001</v>
      </c>
      <c r="E249" s="3">
        <v>18870.310000000001</v>
      </c>
      <c r="F249" s="3">
        <v>18870.310000000001</v>
      </c>
      <c r="G249" s="3">
        <v>18870.310000000001</v>
      </c>
      <c r="H249" s="3">
        <v>18870.310000000001</v>
      </c>
      <c r="I249" s="3">
        <v>18870.310000000001</v>
      </c>
      <c r="J249" s="3">
        <v>18870.310000000001</v>
      </c>
      <c r="K249" s="3">
        <v>18870.310000000001</v>
      </c>
      <c r="L249" s="3">
        <v>18870.310000000001</v>
      </c>
      <c r="M249" s="3">
        <v>18870.310000000001</v>
      </c>
      <c r="N249" s="3">
        <v>18870.310000000001</v>
      </c>
      <c r="O249" s="3">
        <v>18870.310000000001</v>
      </c>
      <c r="P249" s="3">
        <v>18870.310000000001</v>
      </c>
      <c r="Q249" s="3">
        <v>18870.310000000001</v>
      </c>
      <c r="R249" s="3">
        <v>18870.310000000001</v>
      </c>
      <c r="S249" s="3">
        <v>18870.310000000001</v>
      </c>
      <c r="T249" s="3">
        <v>18870.310000000001</v>
      </c>
      <c r="U249" s="3">
        <v>18870.310000000001</v>
      </c>
      <c r="V249" s="3">
        <v>18870.310000000001</v>
      </c>
      <c r="W249" s="3">
        <v>18870.310000000001</v>
      </c>
      <c r="X249" s="3">
        <v>18870.310000000001</v>
      </c>
      <c r="Y249" s="3">
        <v>18870.310000000001</v>
      </c>
      <c r="Z249" s="3">
        <v>18870.310000000001</v>
      </c>
      <c r="AA249" s="6">
        <v>18870.310000000001</v>
      </c>
      <c r="AB249" s="134">
        <f t="shared" si="14"/>
        <v>452887.44</v>
      </c>
      <c r="AC249" s="134">
        <v>2</v>
      </c>
      <c r="AD249" s="135"/>
    </row>
    <row r="250" spans="2:30">
      <c r="B250" s="124">
        <v>48976</v>
      </c>
      <c r="C250" s="125" t="s">
        <v>5</v>
      </c>
      <c r="D250" s="2">
        <v>18870.310000000001</v>
      </c>
      <c r="E250" s="2">
        <v>18870.310000000001</v>
      </c>
      <c r="F250" s="2">
        <v>18870.310000000001</v>
      </c>
      <c r="G250" s="2">
        <v>18870.310000000001</v>
      </c>
      <c r="H250" s="2">
        <v>18870.310000000001</v>
      </c>
      <c r="I250" s="2">
        <v>18870.310000000001</v>
      </c>
      <c r="J250" s="2">
        <v>18870.310000000001</v>
      </c>
      <c r="K250" s="2">
        <v>18870.310000000001</v>
      </c>
      <c r="L250" s="2">
        <v>18870.310000000001</v>
      </c>
      <c r="M250" s="2">
        <v>18870.310000000001</v>
      </c>
      <c r="N250" s="2">
        <v>18870.310000000001</v>
      </c>
      <c r="O250" s="2">
        <v>18870.310000000001</v>
      </c>
      <c r="P250" s="2">
        <v>18870.310000000001</v>
      </c>
      <c r="Q250" s="2">
        <v>18870.310000000001</v>
      </c>
      <c r="R250" s="2">
        <v>18870.310000000001</v>
      </c>
      <c r="S250" s="2">
        <v>18870.310000000001</v>
      </c>
      <c r="T250" s="2">
        <v>18870.310000000001</v>
      </c>
      <c r="U250" s="2">
        <v>18870.310000000001</v>
      </c>
      <c r="V250" s="2">
        <v>18870.310000000001</v>
      </c>
      <c r="W250" s="2">
        <v>18870.310000000001</v>
      </c>
      <c r="X250" s="2">
        <v>18870.310000000001</v>
      </c>
      <c r="Y250" s="2">
        <v>18870.310000000001</v>
      </c>
      <c r="Z250" s="2">
        <v>18870.310000000001</v>
      </c>
      <c r="AA250" s="4">
        <v>18870.310000000001</v>
      </c>
      <c r="AB250" s="126">
        <f t="shared" si="14"/>
        <v>452887.44</v>
      </c>
      <c r="AC250" s="126">
        <v>20</v>
      </c>
      <c r="AD250" s="127">
        <f>(AB250*AC250)+(AB251*AC251)+(AB252*AC252)+(AB253*AC253)</f>
        <v>12680848.32</v>
      </c>
    </row>
    <row r="251" spans="2:30">
      <c r="B251" s="128"/>
      <c r="C251" s="129" t="s">
        <v>6</v>
      </c>
      <c r="D251" s="1">
        <v>18870.310000000001</v>
      </c>
      <c r="E251" s="1">
        <v>18870.310000000001</v>
      </c>
      <c r="F251" s="1">
        <v>18870.310000000001</v>
      </c>
      <c r="G251" s="1">
        <v>18870.310000000001</v>
      </c>
      <c r="H251" s="1">
        <v>18870.310000000001</v>
      </c>
      <c r="I251" s="1">
        <v>18870.310000000001</v>
      </c>
      <c r="J251" s="1">
        <v>18870.310000000001</v>
      </c>
      <c r="K251" s="1">
        <v>18870.310000000001</v>
      </c>
      <c r="L251" s="1">
        <v>18870.310000000001</v>
      </c>
      <c r="M251" s="1">
        <v>18870.310000000001</v>
      </c>
      <c r="N251" s="1">
        <v>18870.310000000001</v>
      </c>
      <c r="O251" s="1">
        <v>18870.310000000001</v>
      </c>
      <c r="P251" s="1">
        <v>18870.310000000001</v>
      </c>
      <c r="Q251" s="1">
        <v>18870.310000000001</v>
      </c>
      <c r="R251" s="1">
        <v>18870.310000000001</v>
      </c>
      <c r="S251" s="1">
        <v>18870.310000000001</v>
      </c>
      <c r="T251" s="1">
        <v>18870.310000000001</v>
      </c>
      <c r="U251" s="1">
        <v>18870.310000000001</v>
      </c>
      <c r="V251" s="1">
        <v>18870.310000000001</v>
      </c>
      <c r="W251" s="1">
        <v>18870.310000000001</v>
      </c>
      <c r="X251" s="1">
        <v>18870.310000000001</v>
      </c>
      <c r="Y251" s="1">
        <v>18870.310000000001</v>
      </c>
      <c r="Z251" s="1">
        <v>18870.310000000001</v>
      </c>
      <c r="AA251" s="5">
        <v>18870.310000000001</v>
      </c>
      <c r="AB251" s="130">
        <f t="shared" si="14"/>
        <v>452887.44</v>
      </c>
      <c r="AC251" s="130">
        <v>4</v>
      </c>
      <c r="AD251" s="131"/>
    </row>
    <row r="252" spans="2:30">
      <c r="B252" s="128"/>
      <c r="C252" s="129" t="s">
        <v>7</v>
      </c>
      <c r="D252" s="1">
        <v>18870.310000000001</v>
      </c>
      <c r="E252" s="1">
        <v>18870.310000000001</v>
      </c>
      <c r="F252" s="1">
        <v>18870.310000000001</v>
      </c>
      <c r="G252" s="1">
        <v>18870.310000000001</v>
      </c>
      <c r="H252" s="1">
        <v>18870.310000000001</v>
      </c>
      <c r="I252" s="1">
        <v>18870.310000000001</v>
      </c>
      <c r="J252" s="1">
        <v>18870.310000000001</v>
      </c>
      <c r="K252" s="1">
        <v>18870.310000000001</v>
      </c>
      <c r="L252" s="1">
        <v>18870.310000000001</v>
      </c>
      <c r="M252" s="1">
        <v>18870.310000000001</v>
      </c>
      <c r="N252" s="1">
        <v>18870.310000000001</v>
      </c>
      <c r="O252" s="1">
        <v>18870.310000000001</v>
      </c>
      <c r="P252" s="1">
        <v>18870.310000000001</v>
      </c>
      <c r="Q252" s="1">
        <v>18870.310000000001</v>
      </c>
      <c r="R252" s="1">
        <v>18870.310000000001</v>
      </c>
      <c r="S252" s="1">
        <v>18870.310000000001</v>
      </c>
      <c r="T252" s="1">
        <v>18870.310000000001</v>
      </c>
      <c r="U252" s="1">
        <v>18870.310000000001</v>
      </c>
      <c r="V252" s="1">
        <v>18870.310000000001</v>
      </c>
      <c r="W252" s="1">
        <v>18870.310000000001</v>
      </c>
      <c r="X252" s="1">
        <v>18870.310000000001</v>
      </c>
      <c r="Y252" s="1">
        <v>18870.310000000001</v>
      </c>
      <c r="Z252" s="1">
        <v>18870.310000000001</v>
      </c>
      <c r="AA252" s="5">
        <v>18870.310000000001</v>
      </c>
      <c r="AB252" s="130">
        <f t="shared" si="14"/>
        <v>452887.44</v>
      </c>
      <c r="AC252" s="130">
        <v>4</v>
      </c>
      <c r="AD252" s="131"/>
    </row>
    <row r="253" spans="2:30" ht="15" thickBot="1">
      <c r="B253" s="132"/>
      <c r="C253" s="133" t="s">
        <v>8</v>
      </c>
      <c r="D253" s="3">
        <v>18870.310000000001</v>
      </c>
      <c r="E253" s="3">
        <v>18870.310000000001</v>
      </c>
      <c r="F253" s="3">
        <v>18870.310000000001</v>
      </c>
      <c r="G253" s="3">
        <v>18870.310000000001</v>
      </c>
      <c r="H253" s="3">
        <v>18870.310000000001</v>
      </c>
      <c r="I253" s="3">
        <v>18870.310000000001</v>
      </c>
      <c r="J253" s="3">
        <v>18870.310000000001</v>
      </c>
      <c r="K253" s="3">
        <v>18870.310000000001</v>
      </c>
      <c r="L253" s="3">
        <v>18870.310000000001</v>
      </c>
      <c r="M253" s="3">
        <v>18870.310000000001</v>
      </c>
      <c r="N253" s="3">
        <v>18870.310000000001</v>
      </c>
      <c r="O253" s="3">
        <v>18870.310000000001</v>
      </c>
      <c r="P253" s="3">
        <v>18870.310000000001</v>
      </c>
      <c r="Q253" s="3">
        <v>18870.310000000001</v>
      </c>
      <c r="R253" s="3">
        <v>18870.310000000001</v>
      </c>
      <c r="S253" s="3">
        <v>18870.310000000001</v>
      </c>
      <c r="T253" s="3">
        <v>18870.310000000001</v>
      </c>
      <c r="U253" s="3">
        <v>18870.310000000001</v>
      </c>
      <c r="V253" s="3">
        <v>18870.310000000001</v>
      </c>
      <c r="W253" s="3">
        <v>18870.310000000001</v>
      </c>
      <c r="X253" s="3">
        <v>18870.310000000001</v>
      </c>
      <c r="Y253" s="3">
        <v>18870.310000000001</v>
      </c>
      <c r="Z253" s="3">
        <v>18870.310000000001</v>
      </c>
      <c r="AA253" s="6">
        <v>18870.310000000001</v>
      </c>
      <c r="AB253" s="134">
        <f t="shared" si="14"/>
        <v>452887.44</v>
      </c>
      <c r="AC253" s="134">
        <v>0</v>
      </c>
      <c r="AD253" s="135"/>
    </row>
    <row r="254" spans="2:30">
      <c r="B254" s="124">
        <v>49004</v>
      </c>
      <c r="C254" s="125" t="s">
        <v>5</v>
      </c>
      <c r="D254" s="2">
        <v>18870.310000000001</v>
      </c>
      <c r="E254" s="2">
        <v>18870.310000000001</v>
      </c>
      <c r="F254" s="2">
        <v>18870.310000000001</v>
      </c>
      <c r="G254" s="2">
        <v>18870.310000000001</v>
      </c>
      <c r="H254" s="2">
        <v>18870.310000000001</v>
      </c>
      <c r="I254" s="2">
        <v>18870.310000000001</v>
      </c>
      <c r="J254" s="2">
        <v>18870.310000000001</v>
      </c>
      <c r="K254" s="2">
        <v>18870.310000000001</v>
      </c>
      <c r="L254" s="2">
        <v>18870.310000000001</v>
      </c>
      <c r="M254" s="2">
        <v>18870.310000000001</v>
      </c>
      <c r="N254" s="2">
        <v>18870.310000000001</v>
      </c>
      <c r="O254" s="2">
        <v>18870.310000000001</v>
      </c>
      <c r="P254" s="2">
        <v>18870.310000000001</v>
      </c>
      <c r="Q254" s="2">
        <v>18870.310000000001</v>
      </c>
      <c r="R254" s="2">
        <v>18870.310000000001</v>
      </c>
      <c r="S254" s="2">
        <v>18870.310000000001</v>
      </c>
      <c r="T254" s="2">
        <v>18870.310000000001</v>
      </c>
      <c r="U254" s="2">
        <v>18870.310000000001</v>
      </c>
      <c r="V254" s="2">
        <v>18870.310000000001</v>
      </c>
      <c r="W254" s="2">
        <v>18870.310000000001</v>
      </c>
      <c r="X254" s="2">
        <v>18870.310000000001</v>
      </c>
      <c r="Y254" s="2">
        <v>18870.310000000001</v>
      </c>
      <c r="Z254" s="2">
        <v>18870.310000000001</v>
      </c>
      <c r="AA254" s="4">
        <v>18870.310000000001</v>
      </c>
      <c r="AB254" s="126">
        <f t="shared" si="14"/>
        <v>452887.44</v>
      </c>
      <c r="AC254" s="126">
        <v>22</v>
      </c>
      <c r="AD254" s="127">
        <f>(AB254*AC254)+(AB255*AC255)+(AB256*AC256)+(AB257*AC257)</f>
        <v>14039510.639999999</v>
      </c>
    </row>
    <row r="255" spans="2:30">
      <c r="B255" s="128"/>
      <c r="C255" s="129" t="s">
        <v>6</v>
      </c>
      <c r="D255" s="1">
        <v>18870.310000000001</v>
      </c>
      <c r="E255" s="1">
        <v>18870.310000000001</v>
      </c>
      <c r="F255" s="1">
        <v>18870.310000000001</v>
      </c>
      <c r="G255" s="1">
        <v>18870.310000000001</v>
      </c>
      <c r="H255" s="1">
        <v>18870.310000000001</v>
      </c>
      <c r="I255" s="1">
        <v>18870.310000000001</v>
      </c>
      <c r="J255" s="1">
        <v>18870.310000000001</v>
      </c>
      <c r="K255" s="1">
        <v>18870.310000000001</v>
      </c>
      <c r="L255" s="1">
        <v>18870.310000000001</v>
      </c>
      <c r="M255" s="1">
        <v>18870.310000000001</v>
      </c>
      <c r="N255" s="1">
        <v>18870.310000000001</v>
      </c>
      <c r="O255" s="1">
        <v>18870.310000000001</v>
      </c>
      <c r="P255" s="1">
        <v>18870.310000000001</v>
      </c>
      <c r="Q255" s="1">
        <v>18870.310000000001</v>
      </c>
      <c r="R255" s="1">
        <v>18870.310000000001</v>
      </c>
      <c r="S255" s="1">
        <v>18870.310000000001</v>
      </c>
      <c r="T255" s="1">
        <v>18870.310000000001</v>
      </c>
      <c r="U255" s="1">
        <v>18870.310000000001</v>
      </c>
      <c r="V255" s="1">
        <v>18870.310000000001</v>
      </c>
      <c r="W255" s="1">
        <v>18870.310000000001</v>
      </c>
      <c r="X255" s="1">
        <v>18870.310000000001</v>
      </c>
      <c r="Y255" s="1">
        <v>18870.310000000001</v>
      </c>
      <c r="Z255" s="1">
        <v>18870.310000000001</v>
      </c>
      <c r="AA255" s="5">
        <v>18870.310000000001</v>
      </c>
      <c r="AB255" s="130">
        <f t="shared" si="14"/>
        <v>452887.44</v>
      </c>
      <c r="AC255" s="130">
        <v>4</v>
      </c>
      <c r="AD255" s="131"/>
    </row>
    <row r="256" spans="2:30">
      <c r="B256" s="128"/>
      <c r="C256" s="129" t="s">
        <v>7</v>
      </c>
      <c r="D256" s="1">
        <v>18870.310000000001</v>
      </c>
      <c r="E256" s="1">
        <v>18870.310000000001</v>
      </c>
      <c r="F256" s="1">
        <v>18870.310000000001</v>
      </c>
      <c r="G256" s="1">
        <v>18870.310000000001</v>
      </c>
      <c r="H256" s="1">
        <v>18870.310000000001</v>
      </c>
      <c r="I256" s="1">
        <v>18870.310000000001</v>
      </c>
      <c r="J256" s="1">
        <v>18870.310000000001</v>
      </c>
      <c r="K256" s="1">
        <v>18870.310000000001</v>
      </c>
      <c r="L256" s="1">
        <v>18870.310000000001</v>
      </c>
      <c r="M256" s="1">
        <v>18870.310000000001</v>
      </c>
      <c r="N256" s="1">
        <v>18870.310000000001</v>
      </c>
      <c r="O256" s="1">
        <v>18870.310000000001</v>
      </c>
      <c r="P256" s="1">
        <v>18870.310000000001</v>
      </c>
      <c r="Q256" s="1">
        <v>18870.310000000001</v>
      </c>
      <c r="R256" s="1">
        <v>18870.310000000001</v>
      </c>
      <c r="S256" s="1">
        <v>18870.310000000001</v>
      </c>
      <c r="T256" s="1">
        <v>18870.310000000001</v>
      </c>
      <c r="U256" s="1">
        <v>18870.310000000001</v>
      </c>
      <c r="V256" s="1">
        <v>18870.310000000001</v>
      </c>
      <c r="W256" s="1">
        <v>18870.310000000001</v>
      </c>
      <c r="X256" s="1">
        <v>18870.310000000001</v>
      </c>
      <c r="Y256" s="1">
        <v>18870.310000000001</v>
      </c>
      <c r="Z256" s="1">
        <v>18870.310000000001</v>
      </c>
      <c r="AA256" s="5">
        <v>18870.310000000001</v>
      </c>
      <c r="AB256" s="130">
        <f t="shared" si="14"/>
        <v>452887.44</v>
      </c>
      <c r="AC256" s="130">
        <v>4</v>
      </c>
      <c r="AD256" s="131"/>
    </row>
    <row r="257" spans="2:30" ht="15" thickBot="1">
      <c r="B257" s="132"/>
      <c r="C257" s="133" t="s">
        <v>8</v>
      </c>
      <c r="D257" s="3">
        <v>18870.310000000001</v>
      </c>
      <c r="E257" s="3">
        <v>18870.310000000001</v>
      </c>
      <c r="F257" s="3">
        <v>18870.310000000001</v>
      </c>
      <c r="G257" s="3">
        <v>18870.310000000001</v>
      </c>
      <c r="H257" s="3">
        <v>18870.310000000001</v>
      </c>
      <c r="I257" s="3">
        <v>18870.310000000001</v>
      </c>
      <c r="J257" s="3">
        <v>18870.310000000001</v>
      </c>
      <c r="K257" s="3">
        <v>18870.310000000001</v>
      </c>
      <c r="L257" s="3">
        <v>18870.310000000001</v>
      </c>
      <c r="M257" s="3">
        <v>18870.310000000001</v>
      </c>
      <c r="N257" s="3">
        <v>18870.310000000001</v>
      </c>
      <c r="O257" s="3">
        <v>18870.310000000001</v>
      </c>
      <c r="P257" s="3">
        <v>18870.310000000001</v>
      </c>
      <c r="Q257" s="3">
        <v>18870.310000000001</v>
      </c>
      <c r="R257" s="3">
        <v>18870.310000000001</v>
      </c>
      <c r="S257" s="3">
        <v>18870.310000000001</v>
      </c>
      <c r="T257" s="3">
        <v>18870.310000000001</v>
      </c>
      <c r="U257" s="3">
        <v>18870.310000000001</v>
      </c>
      <c r="V257" s="3">
        <v>18870.310000000001</v>
      </c>
      <c r="W257" s="3">
        <v>18870.310000000001</v>
      </c>
      <c r="X257" s="3">
        <v>18870.310000000001</v>
      </c>
      <c r="Y257" s="3">
        <v>18870.310000000001</v>
      </c>
      <c r="Z257" s="3">
        <v>18870.310000000001</v>
      </c>
      <c r="AA257" s="6">
        <v>18870.310000000001</v>
      </c>
      <c r="AB257" s="134">
        <f t="shared" si="14"/>
        <v>452887.44</v>
      </c>
      <c r="AC257" s="134">
        <v>1</v>
      </c>
      <c r="AD257" s="135"/>
    </row>
    <row r="258" spans="2:30">
      <c r="B258" s="124">
        <v>49035</v>
      </c>
      <c r="C258" s="125" t="s">
        <v>5</v>
      </c>
      <c r="D258" s="2">
        <v>18870.310000000001</v>
      </c>
      <c r="E258" s="2">
        <v>18870.310000000001</v>
      </c>
      <c r="F258" s="2">
        <v>18870.310000000001</v>
      </c>
      <c r="G258" s="2">
        <v>18870.310000000001</v>
      </c>
      <c r="H258" s="2">
        <v>18870.310000000001</v>
      </c>
      <c r="I258" s="2">
        <v>18870.310000000001</v>
      </c>
      <c r="J258" s="2">
        <v>18870.310000000001</v>
      </c>
      <c r="K258" s="2">
        <v>18870.310000000001</v>
      </c>
      <c r="L258" s="2">
        <v>18870.310000000001</v>
      </c>
      <c r="M258" s="2">
        <v>18870.310000000001</v>
      </c>
      <c r="N258" s="2">
        <v>18870.310000000001</v>
      </c>
      <c r="O258" s="2">
        <v>18870.310000000001</v>
      </c>
      <c r="P258" s="2">
        <v>18870.310000000001</v>
      </c>
      <c r="Q258" s="2">
        <v>18870.310000000001</v>
      </c>
      <c r="R258" s="2">
        <v>18870.310000000001</v>
      </c>
      <c r="S258" s="2">
        <v>18870.310000000001</v>
      </c>
      <c r="T258" s="2">
        <v>18870.310000000001</v>
      </c>
      <c r="U258" s="2">
        <v>18870.310000000001</v>
      </c>
      <c r="V258" s="2">
        <v>18870.310000000001</v>
      </c>
      <c r="W258" s="2">
        <v>18870.310000000001</v>
      </c>
      <c r="X258" s="2">
        <v>18870.310000000001</v>
      </c>
      <c r="Y258" s="2">
        <v>18870.310000000001</v>
      </c>
      <c r="Z258" s="2">
        <v>18870.310000000001</v>
      </c>
      <c r="AA258" s="4">
        <v>18870.310000000001</v>
      </c>
      <c r="AB258" s="126">
        <f t="shared" si="14"/>
        <v>452887.44</v>
      </c>
      <c r="AC258" s="126">
        <v>18</v>
      </c>
      <c r="AD258" s="127">
        <f>(AB258*AC258)+(AB259*AC259)+(AB260*AC260)+(AB261*AC261)</f>
        <v>13586623.200000001</v>
      </c>
    </row>
    <row r="259" spans="2:30">
      <c r="B259" s="128"/>
      <c r="C259" s="129" t="s">
        <v>6</v>
      </c>
      <c r="D259" s="1">
        <v>18870.310000000001</v>
      </c>
      <c r="E259" s="1">
        <v>18870.310000000001</v>
      </c>
      <c r="F259" s="1">
        <v>18870.310000000001</v>
      </c>
      <c r="G259" s="1">
        <v>18870.310000000001</v>
      </c>
      <c r="H259" s="1">
        <v>18870.310000000001</v>
      </c>
      <c r="I259" s="1">
        <v>18870.310000000001</v>
      </c>
      <c r="J259" s="1">
        <v>18870.310000000001</v>
      </c>
      <c r="K259" s="1">
        <v>18870.310000000001</v>
      </c>
      <c r="L259" s="1">
        <v>18870.310000000001</v>
      </c>
      <c r="M259" s="1">
        <v>18870.310000000001</v>
      </c>
      <c r="N259" s="1">
        <v>18870.310000000001</v>
      </c>
      <c r="O259" s="1">
        <v>18870.310000000001</v>
      </c>
      <c r="P259" s="1">
        <v>18870.310000000001</v>
      </c>
      <c r="Q259" s="1">
        <v>18870.310000000001</v>
      </c>
      <c r="R259" s="1">
        <v>18870.310000000001</v>
      </c>
      <c r="S259" s="1">
        <v>18870.310000000001</v>
      </c>
      <c r="T259" s="1">
        <v>18870.310000000001</v>
      </c>
      <c r="U259" s="1">
        <v>18870.310000000001</v>
      </c>
      <c r="V259" s="1">
        <v>18870.310000000001</v>
      </c>
      <c r="W259" s="1">
        <v>18870.310000000001</v>
      </c>
      <c r="X259" s="1">
        <v>18870.310000000001</v>
      </c>
      <c r="Y259" s="1">
        <v>18870.310000000001</v>
      </c>
      <c r="Z259" s="1">
        <v>18870.310000000001</v>
      </c>
      <c r="AA259" s="5">
        <v>18870.310000000001</v>
      </c>
      <c r="AB259" s="130">
        <f t="shared" si="14"/>
        <v>452887.44</v>
      </c>
      <c r="AC259" s="130">
        <v>5</v>
      </c>
      <c r="AD259" s="131"/>
    </row>
    <row r="260" spans="2:30">
      <c r="B260" s="128"/>
      <c r="C260" s="129" t="s">
        <v>7</v>
      </c>
      <c r="D260" s="1">
        <v>18870.310000000001</v>
      </c>
      <c r="E260" s="1">
        <v>18870.310000000001</v>
      </c>
      <c r="F260" s="1">
        <v>18870.310000000001</v>
      </c>
      <c r="G260" s="1">
        <v>18870.310000000001</v>
      </c>
      <c r="H260" s="1">
        <v>18870.310000000001</v>
      </c>
      <c r="I260" s="1">
        <v>18870.310000000001</v>
      </c>
      <c r="J260" s="1">
        <v>18870.310000000001</v>
      </c>
      <c r="K260" s="1">
        <v>18870.310000000001</v>
      </c>
      <c r="L260" s="1">
        <v>18870.310000000001</v>
      </c>
      <c r="M260" s="1">
        <v>18870.310000000001</v>
      </c>
      <c r="N260" s="1">
        <v>18870.310000000001</v>
      </c>
      <c r="O260" s="1">
        <v>18870.310000000001</v>
      </c>
      <c r="P260" s="1">
        <v>18870.310000000001</v>
      </c>
      <c r="Q260" s="1">
        <v>18870.310000000001</v>
      </c>
      <c r="R260" s="1">
        <v>18870.310000000001</v>
      </c>
      <c r="S260" s="1">
        <v>18870.310000000001</v>
      </c>
      <c r="T260" s="1">
        <v>18870.310000000001</v>
      </c>
      <c r="U260" s="1">
        <v>18870.310000000001</v>
      </c>
      <c r="V260" s="1">
        <v>18870.310000000001</v>
      </c>
      <c r="W260" s="1">
        <v>18870.310000000001</v>
      </c>
      <c r="X260" s="1">
        <v>18870.310000000001</v>
      </c>
      <c r="Y260" s="1">
        <v>18870.310000000001</v>
      </c>
      <c r="Z260" s="1">
        <v>18870.310000000001</v>
      </c>
      <c r="AA260" s="5">
        <v>18870.310000000001</v>
      </c>
      <c r="AB260" s="130">
        <f t="shared" si="14"/>
        <v>452887.44</v>
      </c>
      <c r="AC260" s="130">
        <v>5</v>
      </c>
      <c r="AD260" s="131"/>
    </row>
    <row r="261" spans="2:30" ht="15" thickBot="1">
      <c r="B261" s="132"/>
      <c r="C261" s="133" t="s">
        <v>8</v>
      </c>
      <c r="D261" s="3">
        <v>18870.310000000001</v>
      </c>
      <c r="E261" s="3">
        <v>18870.310000000001</v>
      </c>
      <c r="F261" s="3">
        <v>18870.310000000001</v>
      </c>
      <c r="G261" s="3">
        <v>18870.310000000001</v>
      </c>
      <c r="H261" s="3">
        <v>18870.310000000001</v>
      </c>
      <c r="I261" s="3">
        <v>18870.310000000001</v>
      </c>
      <c r="J261" s="3">
        <v>18870.310000000001</v>
      </c>
      <c r="K261" s="3">
        <v>18870.310000000001</v>
      </c>
      <c r="L261" s="3">
        <v>18870.310000000001</v>
      </c>
      <c r="M261" s="3">
        <v>18870.310000000001</v>
      </c>
      <c r="N261" s="3">
        <v>18870.310000000001</v>
      </c>
      <c r="O261" s="3">
        <v>18870.310000000001</v>
      </c>
      <c r="P261" s="3">
        <v>18870.310000000001</v>
      </c>
      <c r="Q261" s="3">
        <v>18870.310000000001</v>
      </c>
      <c r="R261" s="3">
        <v>18870.310000000001</v>
      </c>
      <c r="S261" s="3">
        <v>18870.310000000001</v>
      </c>
      <c r="T261" s="3">
        <v>18870.310000000001</v>
      </c>
      <c r="U261" s="3">
        <v>18870.310000000001</v>
      </c>
      <c r="V261" s="3">
        <v>18870.310000000001</v>
      </c>
      <c r="W261" s="3">
        <v>18870.310000000001</v>
      </c>
      <c r="X261" s="3">
        <v>18870.310000000001</v>
      </c>
      <c r="Y261" s="3">
        <v>18870.310000000001</v>
      </c>
      <c r="Z261" s="3">
        <v>18870.310000000001</v>
      </c>
      <c r="AA261" s="6">
        <v>18870.310000000001</v>
      </c>
      <c r="AB261" s="134">
        <f t="shared" si="14"/>
        <v>452887.44</v>
      </c>
      <c r="AC261" s="134">
        <v>2</v>
      </c>
      <c r="AD261" s="135"/>
    </row>
    <row r="262" spans="2:30">
      <c r="B262" s="124">
        <v>49065</v>
      </c>
      <c r="C262" s="125" t="s">
        <v>5</v>
      </c>
      <c r="D262" s="2">
        <v>18870.310000000001</v>
      </c>
      <c r="E262" s="2">
        <v>18870.310000000001</v>
      </c>
      <c r="F262" s="2">
        <v>18870.310000000001</v>
      </c>
      <c r="G262" s="2">
        <v>18870.310000000001</v>
      </c>
      <c r="H262" s="2">
        <v>18870.310000000001</v>
      </c>
      <c r="I262" s="2">
        <v>18870.310000000001</v>
      </c>
      <c r="J262" s="2">
        <v>18870.310000000001</v>
      </c>
      <c r="K262" s="2">
        <v>18870.310000000001</v>
      </c>
      <c r="L262" s="2">
        <v>18870.310000000001</v>
      </c>
      <c r="M262" s="2">
        <v>18870.310000000001</v>
      </c>
      <c r="N262" s="2">
        <v>18870.310000000001</v>
      </c>
      <c r="O262" s="2">
        <v>18870.310000000001</v>
      </c>
      <c r="P262" s="2">
        <v>18870.310000000001</v>
      </c>
      <c r="Q262" s="2">
        <v>18870.310000000001</v>
      </c>
      <c r="R262" s="2">
        <v>18870.310000000001</v>
      </c>
      <c r="S262" s="2">
        <v>18870.310000000001</v>
      </c>
      <c r="T262" s="2">
        <v>18870.310000000001</v>
      </c>
      <c r="U262" s="2">
        <v>18870.310000000001</v>
      </c>
      <c r="V262" s="2">
        <v>18870.310000000001</v>
      </c>
      <c r="W262" s="2">
        <v>18870.310000000001</v>
      </c>
      <c r="X262" s="2">
        <v>18870.310000000001</v>
      </c>
      <c r="Y262" s="2">
        <v>18870.310000000001</v>
      </c>
      <c r="Z262" s="2">
        <v>18870.310000000001</v>
      </c>
      <c r="AA262" s="4">
        <v>18870.310000000001</v>
      </c>
      <c r="AB262" s="126">
        <f t="shared" si="14"/>
        <v>452887.44</v>
      </c>
      <c r="AC262" s="126">
        <v>21</v>
      </c>
      <c r="AD262" s="127">
        <f>(AB262*AC262)+(AB263*AC263)+(AB264*AC264)+(AB265*AC265)</f>
        <v>14039510.640000001</v>
      </c>
    </row>
    <row r="263" spans="2:30">
      <c r="B263" s="128"/>
      <c r="C263" s="129" t="s">
        <v>6</v>
      </c>
      <c r="D263" s="1">
        <v>18870.310000000001</v>
      </c>
      <c r="E263" s="1">
        <v>18870.310000000001</v>
      </c>
      <c r="F263" s="1">
        <v>18870.310000000001</v>
      </c>
      <c r="G263" s="1">
        <v>18870.310000000001</v>
      </c>
      <c r="H263" s="1">
        <v>18870.310000000001</v>
      </c>
      <c r="I263" s="1">
        <v>18870.310000000001</v>
      </c>
      <c r="J263" s="1">
        <v>18870.310000000001</v>
      </c>
      <c r="K263" s="1">
        <v>18870.310000000001</v>
      </c>
      <c r="L263" s="1">
        <v>18870.310000000001</v>
      </c>
      <c r="M263" s="1">
        <v>18870.310000000001</v>
      </c>
      <c r="N263" s="1">
        <v>18870.310000000001</v>
      </c>
      <c r="O263" s="1">
        <v>18870.310000000001</v>
      </c>
      <c r="P263" s="1">
        <v>18870.310000000001</v>
      </c>
      <c r="Q263" s="1">
        <v>18870.310000000001</v>
      </c>
      <c r="R263" s="1">
        <v>18870.310000000001</v>
      </c>
      <c r="S263" s="1">
        <v>18870.310000000001</v>
      </c>
      <c r="T263" s="1">
        <v>18870.310000000001</v>
      </c>
      <c r="U263" s="1">
        <v>18870.310000000001</v>
      </c>
      <c r="V263" s="1">
        <v>18870.310000000001</v>
      </c>
      <c r="W263" s="1">
        <v>18870.310000000001</v>
      </c>
      <c r="X263" s="1">
        <v>18870.310000000001</v>
      </c>
      <c r="Y263" s="1">
        <v>18870.310000000001</v>
      </c>
      <c r="Z263" s="1">
        <v>18870.310000000001</v>
      </c>
      <c r="AA263" s="5">
        <v>18870.310000000001</v>
      </c>
      <c r="AB263" s="130">
        <f t="shared" si="14"/>
        <v>452887.44</v>
      </c>
      <c r="AC263" s="130">
        <v>4</v>
      </c>
      <c r="AD263" s="131"/>
    </row>
    <row r="264" spans="2:30">
      <c r="B264" s="128"/>
      <c r="C264" s="129" t="s">
        <v>7</v>
      </c>
      <c r="D264" s="1">
        <v>18870.310000000001</v>
      </c>
      <c r="E264" s="1">
        <v>18870.310000000001</v>
      </c>
      <c r="F264" s="1">
        <v>18870.310000000001</v>
      </c>
      <c r="G264" s="1">
        <v>18870.310000000001</v>
      </c>
      <c r="H264" s="1">
        <v>18870.310000000001</v>
      </c>
      <c r="I264" s="1">
        <v>18870.310000000001</v>
      </c>
      <c r="J264" s="1">
        <v>18870.310000000001</v>
      </c>
      <c r="K264" s="1">
        <v>18870.310000000001</v>
      </c>
      <c r="L264" s="1">
        <v>18870.310000000001</v>
      </c>
      <c r="M264" s="1">
        <v>18870.310000000001</v>
      </c>
      <c r="N264" s="1">
        <v>18870.310000000001</v>
      </c>
      <c r="O264" s="1">
        <v>18870.310000000001</v>
      </c>
      <c r="P264" s="1">
        <v>18870.310000000001</v>
      </c>
      <c r="Q264" s="1">
        <v>18870.310000000001</v>
      </c>
      <c r="R264" s="1">
        <v>18870.310000000001</v>
      </c>
      <c r="S264" s="1">
        <v>18870.310000000001</v>
      </c>
      <c r="T264" s="1">
        <v>18870.310000000001</v>
      </c>
      <c r="U264" s="1">
        <v>18870.310000000001</v>
      </c>
      <c r="V264" s="1">
        <v>18870.310000000001</v>
      </c>
      <c r="W264" s="1">
        <v>18870.310000000001</v>
      </c>
      <c r="X264" s="1">
        <v>18870.310000000001</v>
      </c>
      <c r="Y264" s="1">
        <v>18870.310000000001</v>
      </c>
      <c r="Z264" s="1">
        <v>18870.310000000001</v>
      </c>
      <c r="AA264" s="5">
        <v>18870.310000000001</v>
      </c>
      <c r="AB264" s="130">
        <f t="shared" si="14"/>
        <v>452887.44</v>
      </c>
      <c r="AC264" s="130">
        <v>4</v>
      </c>
      <c r="AD264" s="131"/>
    </row>
    <row r="265" spans="2:30" ht="15" thickBot="1">
      <c r="B265" s="132"/>
      <c r="C265" s="133" t="s">
        <v>8</v>
      </c>
      <c r="D265" s="3">
        <v>18870.310000000001</v>
      </c>
      <c r="E265" s="3">
        <v>18870.310000000001</v>
      </c>
      <c r="F265" s="3">
        <v>18870.310000000001</v>
      </c>
      <c r="G265" s="3">
        <v>18870.310000000001</v>
      </c>
      <c r="H265" s="3">
        <v>18870.310000000001</v>
      </c>
      <c r="I265" s="3">
        <v>18870.310000000001</v>
      </c>
      <c r="J265" s="3">
        <v>18870.310000000001</v>
      </c>
      <c r="K265" s="3">
        <v>18870.310000000001</v>
      </c>
      <c r="L265" s="3">
        <v>18870.310000000001</v>
      </c>
      <c r="M265" s="3">
        <v>18870.310000000001</v>
      </c>
      <c r="N265" s="3">
        <v>18870.310000000001</v>
      </c>
      <c r="O265" s="3">
        <v>18870.310000000001</v>
      </c>
      <c r="P265" s="3">
        <v>18870.310000000001</v>
      </c>
      <c r="Q265" s="3">
        <v>18870.310000000001</v>
      </c>
      <c r="R265" s="3">
        <v>18870.310000000001</v>
      </c>
      <c r="S265" s="3">
        <v>18870.310000000001</v>
      </c>
      <c r="T265" s="3">
        <v>18870.310000000001</v>
      </c>
      <c r="U265" s="3">
        <v>18870.310000000001</v>
      </c>
      <c r="V265" s="3">
        <v>18870.310000000001</v>
      </c>
      <c r="W265" s="3">
        <v>18870.310000000001</v>
      </c>
      <c r="X265" s="3">
        <v>18870.310000000001</v>
      </c>
      <c r="Y265" s="3">
        <v>18870.310000000001</v>
      </c>
      <c r="Z265" s="3">
        <v>18870.310000000001</v>
      </c>
      <c r="AA265" s="6">
        <v>18870.310000000001</v>
      </c>
      <c r="AB265" s="134">
        <f t="shared" si="14"/>
        <v>452887.44</v>
      </c>
      <c r="AC265" s="134">
        <v>2</v>
      </c>
      <c r="AD265" s="135"/>
    </row>
    <row r="266" spans="2:30">
      <c r="B266" s="124">
        <v>49096</v>
      </c>
      <c r="C266" s="125" t="s">
        <v>5</v>
      </c>
      <c r="D266" s="2">
        <v>18870.310000000001</v>
      </c>
      <c r="E266" s="2">
        <v>18870.310000000001</v>
      </c>
      <c r="F266" s="2">
        <v>18870.310000000001</v>
      </c>
      <c r="G266" s="2">
        <v>18870.310000000001</v>
      </c>
      <c r="H266" s="2">
        <v>18870.310000000001</v>
      </c>
      <c r="I266" s="2">
        <v>18870.310000000001</v>
      </c>
      <c r="J266" s="2">
        <v>18870.310000000001</v>
      </c>
      <c r="K266" s="2">
        <v>18870.310000000001</v>
      </c>
      <c r="L266" s="2">
        <v>18870.310000000001</v>
      </c>
      <c r="M266" s="2">
        <v>18870.310000000001</v>
      </c>
      <c r="N266" s="2">
        <v>18870.310000000001</v>
      </c>
      <c r="O266" s="2">
        <v>18870.310000000001</v>
      </c>
      <c r="P266" s="2">
        <v>18870.310000000001</v>
      </c>
      <c r="Q266" s="2">
        <v>18870.310000000001</v>
      </c>
      <c r="R266" s="2">
        <v>18870.310000000001</v>
      </c>
      <c r="S266" s="2">
        <v>18870.310000000001</v>
      </c>
      <c r="T266" s="2">
        <v>18870.310000000001</v>
      </c>
      <c r="U266" s="2">
        <v>18870.310000000001</v>
      </c>
      <c r="V266" s="2">
        <v>18870.310000000001</v>
      </c>
      <c r="W266" s="2">
        <v>18870.310000000001</v>
      </c>
      <c r="X266" s="2">
        <v>18870.310000000001</v>
      </c>
      <c r="Y266" s="2">
        <v>18870.310000000001</v>
      </c>
      <c r="Z266" s="2">
        <v>18870.310000000001</v>
      </c>
      <c r="AA266" s="4">
        <v>18870.310000000001</v>
      </c>
      <c r="AB266" s="126">
        <f t="shared" si="14"/>
        <v>452887.44</v>
      </c>
      <c r="AC266" s="126">
        <v>20</v>
      </c>
      <c r="AD266" s="127">
        <f>(AB266*AC266)+(AB267*AC267)+(AB268*AC268)+(AB269*AC269)</f>
        <v>13586623.200000001</v>
      </c>
    </row>
    <row r="267" spans="2:30">
      <c r="B267" s="128"/>
      <c r="C267" s="129" t="s">
        <v>6</v>
      </c>
      <c r="D267" s="1">
        <v>18870.310000000001</v>
      </c>
      <c r="E267" s="1">
        <v>18870.310000000001</v>
      </c>
      <c r="F267" s="1">
        <v>18870.310000000001</v>
      </c>
      <c r="G267" s="1">
        <v>18870.310000000001</v>
      </c>
      <c r="H267" s="1">
        <v>18870.310000000001</v>
      </c>
      <c r="I267" s="1">
        <v>18870.310000000001</v>
      </c>
      <c r="J267" s="1">
        <v>18870.310000000001</v>
      </c>
      <c r="K267" s="1">
        <v>18870.310000000001</v>
      </c>
      <c r="L267" s="1">
        <v>18870.310000000001</v>
      </c>
      <c r="M267" s="1">
        <v>18870.310000000001</v>
      </c>
      <c r="N267" s="1">
        <v>18870.310000000001</v>
      </c>
      <c r="O267" s="1">
        <v>18870.310000000001</v>
      </c>
      <c r="P267" s="1">
        <v>18870.310000000001</v>
      </c>
      <c r="Q267" s="1">
        <v>18870.310000000001</v>
      </c>
      <c r="R267" s="1">
        <v>18870.310000000001</v>
      </c>
      <c r="S267" s="1">
        <v>18870.310000000001</v>
      </c>
      <c r="T267" s="1">
        <v>18870.310000000001</v>
      </c>
      <c r="U267" s="1">
        <v>18870.310000000001</v>
      </c>
      <c r="V267" s="1">
        <v>18870.310000000001</v>
      </c>
      <c r="W267" s="1">
        <v>18870.310000000001</v>
      </c>
      <c r="X267" s="1">
        <v>18870.310000000001</v>
      </c>
      <c r="Y267" s="1">
        <v>18870.310000000001</v>
      </c>
      <c r="Z267" s="1">
        <v>18870.310000000001</v>
      </c>
      <c r="AA267" s="5">
        <v>18870.310000000001</v>
      </c>
      <c r="AB267" s="130">
        <f t="shared" si="14"/>
        <v>452887.44</v>
      </c>
      <c r="AC267" s="130">
        <v>4</v>
      </c>
      <c r="AD267" s="131"/>
    </row>
    <row r="268" spans="2:30">
      <c r="B268" s="128"/>
      <c r="C268" s="129" t="s">
        <v>7</v>
      </c>
      <c r="D268" s="1">
        <v>18870.310000000001</v>
      </c>
      <c r="E268" s="1">
        <v>18870.310000000001</v>
      </c>
      <c r="F268" s="1">
        <v>18870.310000000001</v>
      </c>
      <c r="G268" s="1">
        <v>18870.310000000001</v>
      </c>
      <c r="H268" s="1">
        <v>18870.310000000001</v>
      </c>
      <c r="I268" s="1">
        <v>18870.310000000001</v>
      </c>
      <c r="J268" s="1">
        <v>18870.310000000001</v>
      </c>
      <c r="K268" s="1">
        <v>18870.310000000001</v>
      </c>
      <c r="L268" s="1">
        <v>18870.310000000001</v>
      </c>
      <c r="M268" s="1">
        <v>18870.310000000001</v>
      </c>
      <c r="N268" s="1">
        <v>18870.310000000001</v>
      </c>
      <c r="O268" s="1">
        <v>18870.310000000001</v>
      </c>
      <c r="P268" s="1">
        <v>18870.310000000001</v>
      </c>
      <c r="Q268" s="1">
        <v>18870.310000000001</v>
      </c>
      <c r="R268" s="1">
        <v>18870.310000000001</v>
      </c>
      <c r="S268" s="1">
        <v>18870.310000000001</v>
      </c>
      <c r="T268" s="1">
        <v>18870.310000000001</v>
      </c>
      <c r="U268" s="1">
        <v>18870.310000000001</v>
      </c>
      <c r="V268" s="1">
        <v>18870.310000000001</v>
      </c>
      <c r="W268" s="1">
        <v>18870.310000000001</v>
      </c>
      <c r="X268" s="1">
        <v>18870.310000000001</v>
      </c>
      <c r="Y268" s="1">
        <v>18870.310000000001</v>
      </c>
      <c r="Z268" s="1">
        <v>18870.310000000001</v>
      </c>
      <c r="AA268" s="5">
        <v>18870.310000000001</v>
      </c>
      <c r="AB268" s="130">
        <f t="shared" si="14"/>
        <v>452887.44</v>
      </c>
      <c r="AC268" s="130">
        <v>4</v>
      </c>
      <c r="AD268" s="131"/>
    </row>
    <row r="269" spans="2:30" ht="15" thickBot="1">
      <c r="B269" s="132"/>
      <c r="C269" s="133" t="s">
        <v>8</v>
      </c>
      <c r="D269" s="3">
        <v>18870.310000000001</v>
      </c>
      <c r="E269" s="3">
        <v>18870.310000000001</v>
      </c>
      <c r="F269" s="3">
        <v>18870.310000000001</v>
      </c>
      <c r="G269" s="3">
        <v>18870.310000000001</v>
      </c>
      <c r="H269" s="3">
        <v>18870.310000000001</v>
      </c>
      <c r="I269" s="3">
        <v>18870.310000000001</v>
      </c>
      <c r="J269" s="3">
        <v>18870.310000000001</v>
      </c>
      <c r="K269" s="3">
        <v>18870.310000000001</v>
      </c>
      <c r="L269" s="3">
        <v>18870.310000000001</v>
      </c>
      <c r="M269" s="3">
        <v>18870.310000000001</v>
      </c>
      <c r="N269" s="3">
        <v>18870.310000000001</v>
      </c>
      <c r="O269" s="3">
        <v>18870.310000000001</v>
      </c>
      <c r="P269" s="3">
        <v>18870.310000000001</v>
      </c>
      <c r="Q269" s="3">
        <v>18870.310000000001</v>
      </c>
      <c r="R269" s="3">
        <v>18870.310000000001</v>
      </c>
      <c r="S269" s="3">
        <v>18870.310000000001</v>
      </c>
      <c r="T269" s="3">
        <v>18870.310000000001</v>
      </c>
      <c r="U269" s="3">
        <v>18870.310000000001</v>
      </c>
      <c r="V269" s="3">
        <v>18870.310000000001</v>
      </c>
      <c r="W269" s="3">
        <v>18870.310000000001</v>
      </c>
      <c r="X269" s="3">
        <v>18870.310000000001</v>
      </c>
      <c r="Y269" s="3">
        <v>18870.310000000001</v>
      </c>
      <c r="Z269" s="3">
        <v>18870.310000000001</v>
      </c>
      <c r="AA269" s="6">
        <v>18870.310000000001</v>
      </c>
      <c r="AB269" s="134">
        <f t="shared" si="14"/>
        <v>452887.44</v>
      </c>
      <c r="AC269" s="134">
        <v>2</v>
      </c>
      <c r="AD269" s="135"/>
    </row>
    <row r="270" spans="2:30">
      <c r="B270" s="124">
        <v>49126</v>
      </c>
      <c r="C270" s="125" t="s">
        <v>5</v>
      </c>
      <c r="D270" s="2">
        <v>18870.310000000001</v>
      </c>
      <c r="E270" s="2">
        <v>18870.310000000001</v>
      </c>
      <c r="F270" s="2">
        <v>18870.310000000001</v>
      </c>
      <c r="G270" s="2">
        <v>18870.310000000001</v>
      </c>
      <c r="H270" s="2">
        <v>18870.310000000001</v>
      </c>
      <c r="I270" s="2">
        <v>18870.310000000001</v>
      </c>
      <c r="J270" s="2">
        <v>18870.310000000001</v>
      </c>
      <c r="K270" s="2">
        <v>18870.310000000001</v>
      </c>
      <c r="L270" s="2">
        <v>18870.310000000001</v>
      </c>
      <c r="M270" s="2">
        <v>18870.310000000001</v>
      </c>
      <c r="N270" s="2">
        <v>18870.310000000001</v>
      </c>
      <c r="O270" s="2">
        <v>18870.310000000001</v>
      </c>
      <c r="P270" s="2">
        <v>18870.310000000001</v>
      </c>
      <c r="Q270" s="2">
        <v>18870.310000000001</v>
      </c>
      <c r="R270" s="2">
        <v>18870.310000000001</v>
      </c>
      <c r="S270" s="2">
        <v>18870.310000000001</v>
      </c>
      <c r="T270" s="2">
        <v>18870.310000000001</v>
      </c>
      <c r="U270" s="2">
        <v>18870.310000000001</v>
      </c>
      <c r="V270" s="2">
        <v>18870.310000000001</v>
      </c>
      <c r="W270" s="2">
        <v>18870.310000000001</v>
      </c>
      <c r="X270" s="2">
        <v>18870.310000000001</v>
      </c>
      <c r="Y270" s="2">
        <v>18870.310000000001</v>
      </c>
      <c r="Z270" s="2">
        <v>18870.310000000001</v>
      </c>
      <c r="AA270" s="4">
        <v>18870.310000000001</v>
      </c>
      <c r="AB270" s="126">
        <f t="shared" si="14"/>
        <v>452887.44</v>
      </c>
      <c r="AC270" s="126">
        <v>19</v>
      </c>
      <c r="AD270" s="127">
        <f>(AB270*AC270)+(AB271*AC271)+(AB272*AC272)+(AB273*AC273)</f>
        <v>14039510.639999999</v>
      </c>
    </row>
    <row r="271" spans="2:30">
      <c r="B271" s="128"/>
      <c r="C271" s="129" t="s">
        <v>6</v>
      </c>
      <c r="D271" s="1">
        <v>18870.310000000001</v>
      </c>
      <c r="E271" s="1">
        <v>18870.310000000001</v>
      </c>
      <c r="F271" s="1">
        <v>18870.310000000001</v>
      </c>
      <c r="G271" s="1">
        <v>18870.310000000001</v>
      </c>
      <c r="H271" s="1">
        <v>18870.310000000001</v>
      </c>
      <c r="I271" s="1">
        <v>18870.310000000001</v>
      </c>
      <c r="J271" s="1">
        <v>18870.310000000001</v>
      </c>
      <c r="K271" s="1">
        <v>18870.310000000001</v>
      </c>
      <c r="L271" s="1">
        <v>18870.310000000001</v>
      </c>
      <c r="M271" s="1">
        <v>18870.310000000001</v>
      </c>
      <c r="N271" s="1">
        <v>18870.310000000001</v>
      </c>
      <c r="O271" s="1">
        <v>18870.310000000001</v>
      </c>
      <c r="P271" s="1">
        <v>18870.310000000001</v>
      </c>
      <c r="Q271" s="1">
        <v>18870.310000000001</v>
      </c>
      <c r="R271" s="1">
        <v>18870.310000000001</v>
      </c>
      <c r="S271" s="1">
        <v>18870.310000000001</v>
      </c>
      <c r="T271" s="1">
        <v>18870.310000000001</v>
      </c>
      <c r="U271" s="1">
        <v>18870.310000000001</v>
      </c>
      <c r="V271" s="1">
        <v>18870.310000000001</v>
      </c>
      <c r="W271" s="1">
        <v>18870.310000000001</v>
      </c>
      <c r="X271" s="1">
        <v>18870.310000000001</v>
      </c>
      <c r="Y271" s="1">
        <v>18870.310000000001</v>
      </c>
      <c r="Z271" s="1">
        <v>18870.310000000001</v>
      </c>
      <c r="AA271" s="5">
        <v>18870.310000000001</v>
      </c>
      <c r="AB271" s="130">
        <f t="shared" si="14"/>
        <v>452887.44</v>
      </c>
      <c r="AC271" s="130">
        <v>5</v>
      </c>
      <c r="AD271" s="131"/>
    </row>
    <row r="272" spans="2:30">
      <c r="B272" s="128"/>
      <c r="C272" s="129" t="s">
        <v>4</v>
      </c>
      <c r="D272" s="1">
        <v>18870.310000000001</v>
      </c>
      <c r="E272" s="1">
        <v>18870.310000000001</v>
      </c>
      <c r="F272" s="1">
        <v>18870.310000000001</v>
      </c>
      <c r="G272" s="1">
        <v>18870.310000000001</v>
      </c>
      <c r="H272" s="1">
        <v>18870.310000000001</v>
      </c>
      <c r="I272" s="1">
        <v>18870.310000000001</v>
      </c>
      <c r="J272" s="1">
        <v>18870.310000000001</v>
      </c>
      <c r="K272" s="1">
        <v>18870.310000000001</v>
      </c>
      <c r="L272" s="1">
        <v>18870.310000000001</v>
      </c>
      <c r="M272" s="1">
        <v>18870.310000000001</v>
      </c>
      <c r="N272" s="1">
        <v>18870.310000000001</v>
      </c>
      <c r="O272" s="1">
        <v>18870.310000000001</v>
      </c>
      <c r="P272" s="1">
        <v>18870.310000000001</v>
      </c>
      <c r="Q272" s="1">
        <v>18870.310000000001</v>
      </c>
      <c r="R272" s="1">
        <v>18870.310000000001</v>
      </c>
      <c r="S272" s="1">
        <v>18870.310000000001</v>
      </c>
      <c r="T272" s="1">
        <v>18870.310000000001</v>
      </c>
      <c r="U272" s="1">
        <v>18870.310000000001</v>
      </c>
      <c r="V272" s="1">
        <v>18870.310000000001</v>
      </c>
      <c r="W272" s="1">
        <v>18870.310000000001</v>
      </c>
      <c r="X272" s="1">
        <v>18870.310000000001</v>
      </c>
      <c r="Y272" s="1">
        <v>18870.310000000001</v>
      </c>
      <c r="Z272" s="1">
        <v>18870.310000000001</v>
      </c>
      <c r="AA272" s="5">
        <v>18870.310000000001</v>
      </c>
      <c r="AB272" s="130">
        <f t="shared" si="14"/>
        <v>452887.44</v>
      </c>
      <c r="AC272" s="130">
        <v>5</v>
      </c>
      <c r="AD272" s="131"/>
    </row>
    <row r="273" spans="2:30" ht="15" thickBot="1">
      <c r="B273" s="132"/>
      <c r="C273" s="133" t="s">
        <v>8</v>
      </c>
      <c r="D273" s="3">
        <v>18870.310000000001</v>
      </c>
      <c r="E273" s="3">
        <v>18870.310000000001</v>
      </c>
      <c r="F273" s="3">
        <v>18870.310000000001</v>
      </c>
      <c r="G273" s="3">
        <v>18870.310000000001</v>
      </c>
      <c r="H273" s="3">
        <v>18870.310000000001</v>
      </c>
      <c r="I273" s="3">
        <v>18870.310000000001</v>
      </c>
      <c r="J273" s="3">
        <v>18870.310000000001</v>
      </c>
      <c r="K273" s="3">
        <v>18870.310000000001</v>
      </c>
      <c r="L273" s="3">
        <v>18870.310000000001</v>
      </c>
      <c r="M273" s="3">
        <v>18870.310000000001</v>
      </c>
      <c r="N273" s="3">
        <v>18870.310000000001</v>
      </c>
      <c r="O273" s="3">
        <v>18870.310000000001</v>
      </c>
      <c r="P273" s="3">
        <v>18870.310000000001</v>
      </c>
      <c r="Q273" s="3">
        <v>18870.310000000001</v>
      </c>
      <c r="R273" s="3">
        <v>18870.310000000001</v>
      </c>
      <c r="S273" s="3">
        <v>18870.310000000001</v>
      </c>
      <c r="T273" s="3">
        <v>18870.310000000001</v>
      </c>
      <c r="U273" s="3">
        <v>18870.310000000001</v>
      </c>
      <c r="V273" s="3">
        <v>18870.310000000001</v>
      </c>
      <c r="W273" s="3">
        <v>18870.310000000001</v>
      </c>
      <c r="X273" s="3">
        <v>18870.310000000001</v>
      </c>
      <c r="Y273" s="3">
        <v>18870.310000000001</v>
      </c>
      <c r="Z273" s="3">
        <v>18870.310000000001</v>
      </c>
      <c r="AA273" s="6">
        <v>18870.310000000001</v>
      </c>
      <c r="AB273" s="134">
        <f t="shared" si="14"/>
        <v>452887.44</v>
      </c>
      <c r="AC273" s="134">
        <v>2</v>
      </c>
      <c r="AD273" s="135"/>
    </row>
    <row r="274" spans="2:30">
      <c r="B274" s="124">
        <v>49157</v>
      </c>
      <c r="C274" s="125" t="s">
        <v>5</v>
      </c>
      <c r="D274" s="2">
        <v>18870.310000000001</v>
      </c>
      <c r="E274" s="2">
        <v>18870.310000000001</v>
      </c>
      <c r="F274" s="2">
        <v>18870.310000000001</v>
      </c>
      <c r="G274" s="2">
        <v>18870.310000000001</v>
      </c>
      <c r="H274" s="2">
        <v>18870.310000000001</v>
      </c>
      <c r="I274" s="2">
        <v>18870.310000000001</v>
      </c>
      <c r="J274" s="2">
        <v>18870.310000000001</v>
      </c>
      <c r="K274" s="2">
        <v>18870.310000000001</v>
      </c>
      <c r="L274" s="2">
        <v>18870.310000000001</v>
      </c>
      <c r="M274" s="2">
        <v>18870.310000000001</v>
      </c>
      <c r="N274" s="2">
        <v>18870.310000000001</v>
      </c>
      <c r="O274" s="2">
        <v>18870.310000000001</v>
      </c>
      <c r="P274" s="2">
        <v>18870.310000000001</v>
      </c>
      <c r="Q274" s="2">
        <v>18870.310000000001</v>
      </c>
      <c r="R274" s="2">
        <v>18870.310000000001</v>
      </c>
      <c r="S274" s="2">
        <v>18870.310000000001</v>
      </c>
      <c r="T274" s="2">
        <v>18870.310000000001</v>
      </c>
      <c r="U274" s="2">
        <v>18870.310000000001</v>
      </c>
      <c r="V274" s="2">
        <v>18870.310000000001</v>
      </c>
      <c r="W274" s="2">
        <v>18870.310000000001</v>
      </c>
      <c r="X274" s="2">
        <v>18870.310000000001</v>
      </c>
      <c r="Y274" s="2">
        <v>18870.310000000001</v>
      </c>
      <c r="Z274" s="2">
        <v>18870.310000000001</v>
      </c>
      <c r="AA274" s="4">
        <v>18870.310000000001</v>
      </c>
      <c r="AB274" s="126">
        <f t="shared" si="14"/>
        <v>452887.44</v>
      </c>
      <c r="AC274" s="126">
        <v>21</v>
      </c>
      <c r="AD274" s="127">
        <f>(AB274*AC274)+(AB275*AC275)+(AB276*AC276)+(AB277*AC277)</f>
        <v>14039510.640000001</v>
      </c>
    </row>
    <row r="275" spans="2:30">
      <c r="B275" s="128"/>
      <c r="C275" s="129" t="s">
        <v>6</v>
      </c>
      <c r="D275" s="1">
        <v>18870.310000000001</v>
      </c>
      <c r="E275" s="1">
        <v>18870.310000000001</v>
      </c>
      <c r="F275" s="1">
        <v>18870.310000000001</v>
      </c>
      <c r="G275" s="1">
        <v>18870.310000000001</v>
      </c>
      <c r="H275" s="1">
        <v>18870.310000000001</v>
      </c>
      <c r="I275" s="1">
        <v>18870.310000000001</v>
      </c>
      <c r="J275" s="1">
        <v>18870.310000000001</v>
      </c>
      <c r="K275" s="1">
        <v>18870.310000000001</v>
      </c>
      <c r="L275" s="1">
        <v>18870.310000000001</v>
      </c>
      <c r="M275" s="1">
        <v>18870.310000000001</v>
      </c>
      <c r="N275" s="1">
        <v>18870.310000000001</v>
      </c>
      <c r="O275" s="1">
        <v>18870.310000000001</v>
      </c>
      <c r="P275" s="1">
        <v>18870.310000000001</v>
      </c>
      <c r="Q275" s="1">
        <v>18870.310000000001</v>
      </c>
      <c r="R275" s="1">
        <v>18870.310000000001</v>
      </c>
      <c r="S275" s="1">
        <v>18870.310000000001</v>
      </c>
      <c r="T275" s="1">
        <v>18870.310000000001</v>
      </c>
      <c r="U275" s="1">
        <v>18870.310000000001</v>
      </c>
      <c r="V275" s="1">
        <v>18870.310000000001</v>
      </c>
      <c r="W275" s="1">
        <v>18870.310000000001</v>
      </c>
      <c r="X275" s="1">
        <v>18870.310000000001</v>
      </c>
      <c r="Y275" s="1">
        <v>18870.310000000001</v>
      </c>
      <c r="Z275" s="1">
        <v>18870.310000000001</v>
      </c>
      <c r="AA275" s="5">
        <v>18870.310000000001</v>
      </c>
      <c r="AB275" s="130">
        <f t="shared" si="14"/>
        <v>452887.44</v>
      </c>
      <c r="AC275" s="130">
        <v>4</v>
      </c>
      <c r="AD275" s="131"/>
    </row>
    <row r="276" spans="2:30">
      <c r="B276" s="128"/>
      <c r="C276" s="129" t="s">
        <v>7</v>
      </c>
      <c r="D276" s="1">
        <v>18870.310000000001</v>
      </c>
      <c r="E276" s="1">
        <v>18870.310000000001</v>
      </c>
      <c r="F276" s="1">
        <v>18870.310000000001</v>
      </c>
      <c r="G276" s="1">
        <v>18870.310000000001</v>
      </c>
      <c r="H276" s="1">
        <v>18870.310000000001</v>
      </c>
      <c r="I276" s="1">
        <v>18870.310000000001</v>
      </c>
      <c r="J276" s="1">
        <v>18870.310000000001</v>
      </c>
      <c r="K276" s="1">
        <v>18870.310000000001</v>
      </c>
      <c r="L276" s="1">
        <v>18870.310000000001</v>
      </c>
      <c r="M276" s="1">
        <v>18870.310000000001</v>
      </c>
      <c r="N276" s="1">
        <v>18870.310000000001</v>
      </c>
      <c r="O276" s="1">
        <v>18870.310000000001</v>
      </c>
      <c r="P276" s="1">
        <v>18870.310000000001</v>
      </c>
      <c r="Q276" s="1">
        <v>18870.310000000001</v>
      </c>
      <c r="R276" s="1">
        <v>18870.310000000001</v>
      </c>
      <c r="S276" s="1">
        <v>18870.310000000001</v>
      </c>
      <c r="T276" s="1">
        <v>18870.310000000001</v>
      </c>
      <c r="U276" s="1">
        <v>18870.310000000001</v>
      </c>
      <c r="V276" s="1">
        <v>18870.310000000001</v>
      </c>
      <c r="W276" s="1">
        <v>18870.310000000001</v>
      </c>
      <c r="X276" s="1">
        <v>18870.310000000001</v>
      </c>
      <c r="Y276" s="1">
        <v>18870.310000000001</v>
      </c>
      <c r="Z276" s="1">
        <v>18870.310000000001</v>
      </c>
      <c r="AA276" s="5">
        <v>18870.310000000001</v>
      </c>
      <c r="AB276" s="130">
        <f t="shared" si="14"/>
        <v>452887.44</v>
      </c>
      <c r="AC276" s="130">
        <v>4</v>
      </c>
      <c r="AD276" s="131"/>
    </row>
    <row r="277" spans="2:30" ht="15" thickBot="1">
      <c r="B277" s="132"/>
      <c r="C277" s="133" t="s">
        <v>8</v>
      </c>
      <c r="D277" s="3">
        <v>18870.310000000001</v>
      </c>
      <c r="E277" s="3">
        <v>18870.310000000001</v>
      </c>
      <c r="F277" s="3">
        <v>18870.310000000001</v>
      </c>
      <c r="G277" s="3">
        <v>18870.310000000001</v>
      </c>
      <c r="H277" s="3">
        <v>18870.310000000001</v>
      </c>
      <c r="I277" s="3">
        <v>18870.310000000001</v>
      </c>
      <c r="J277" s="3">
        <v>18870.310000000001</v>
      </c>
      <c r="K277" s="3">
        <v>18870.310000000001</v>
      </c>
      <c r="L277" s="3">
        <v>18870.310000000001</v>
      </c>
      <c r="M277" s="3">
        <v>18870.310000000001</v>
      </c>
      <c r="N277" s="3">
        <v>18870.310000000001</v>
      </c>
      <c r="O277" s="3">
        <v>18870.310000000001</v>
      </c>
      <c r="P277" s="3">
        <v>18870.310000000001</v>
      </c>
      <c r="Q277" s="3">
        <v>18870.310000000001</v>
      </c>
      <c r="R277" s="3">
        <v>18870.310000000001</v>
      </c>
      <c r="S277" s="3">
        <v>18870.310000000001</v>
      </c>
      <c r="T277" s="3">
        <v>18870.310000000001</v>
      </c>
      <c r="U277" s="3">
        <v>18870.310000000001</v>
      </c>
      <c r="V277" s="3">
        <v>18870.310000000001</v>
      </c>
      <c r="W277" s="3">
        <v>18870.310000000001</v>
      </c>
      <c r="X277" s="3">
        <v>18870.310000000001</v>
      </c>
      <c r="Y277" s="3">
        <v>18870.310000000001</v>
      </c>
      <c r="Z277" s="3">
        <v>18870.310000000001</v>
      </c>
      <c r="AA277" s="6">
        <v>18870.310000000001</v>
      </c>
      <c r="AB277" s="134">
        <f t="shared" si="14"/>
        <v>452887.44</v>
      </c>
      <c r="AC277" s="134">
        <v>2</v>
      </c>
      <c r="AD277" s="135"/>
    </row>
    <row r="278" spans="2:30">
      <c r="B278" s="124">
        <v>49188</v>
      </c>
      <c r="C278" s="125" t="s">
        <v>5</v>
      </c>
      <c r="D278" s="2">
        <v>18870.310000000001</v>
      </c>
      <c r="E278" s="2">
        <v>18870.310000000001</v>
      </c>
      <c r="F278" s="2">
        <v>18870.310000000001</v>
      </c>
      <c r="G278" s="2">
        <v>18870.310000000001</v>
      </c>
      <c r="H278" s="2">
        <v>18870.310000000001</v>
      </c>
      <c r="I278" s="2">
        <v>18870.310000000001</v>
      </c>
      <c r="J278" s="2">
        <v>18870.310000000001</v>
      </c>
      <c r="K278" s="2">
        <v>18870.310000000001</v>
      </c>
      <c r="L278" s="2">
        <v>18870.310000000001</v>
      </c>
      <c r="M278" s="2">
        <v>18870.310000000001</v>
      </c>
      <c r="N278" s="2">
        <v>18870.310000000001</v>
      </c>
      <c r="O278" s="2">
        <v>18870.310000000001</v>
      </c>
      <c r="P278" s="2">
        <v>18870.310000000001</v>
      </c>
      <c r="Q278" s="2">
        <v>18870.310000000001</v>
      </c>
      <c r="R278" s="2">
        <v>18870.310000000001</v>
      </c>
      <c r="S278" s="2">
        <v>18870.310000000001</v>
      </c>
      <c r="T278" s="2">
        <v>18870.310000000001</v>
      </c>
      <c r="U278" s="2">
        <v>18870.310000000001</v>
      </c>
      <c r="V278" s="2">
        <v>18870.310000000001</v>
      </c>
      <c r="W278" s="2">
        <v>18870.310000000001</v>
      </c>
      <c r="X278" s="2">
        <v>18870.310000000001</v>
      </c>
      <c r="Y278" s="2">
        <v>18870.310000000001</v>
      </c>
      <c r="Z278" s="2">
        <v>18870.310000000001</v>
      </c>
      <c r="AA278" s="4">
        <v>18870.310000000001</v>
      </c>
      <c r="AB278" s="126">
        <f t="shared" si="14"/>
        <v>452887.44</v>
      </c>
      <c r="AC278" s="126">
        <v>21</v>
      </c>
      <c r="AD278" s="127">
        <f>(AB278*AC278)+(AB279*AC279)+(AB280*AC280)+(AB281*AC281)</f>
        <v>13586623.200000001</v>
      </c>
    </row>
    <row r="279" spans="2:30">
      <c r="B279" s="128"/>
      <c r="C279" s="129" t="s">
        <v>6</v>
      </c>
      <c r="D279" s="1">
        <v>18870.310000000001</v>
      </c>
      <c r="E279" s="1">
        <v>18870.310000000001</v>
      </c>
      <c r="F279" s="1">
        <v>18870.310000000001</v>
      </c>
      <c r="G279" s="1">
        <v>18870.310000000001</v>
      </c>
      <c r="H279" s="1">
        <v>18870.310000000001</v>
      </c>
      <c r="I279" s="1">
        <v>18870.310000000001</v>
      </c>
      <c r="J279" s="1">
        <v>18870.310000000001</v>
      </c>
      <c r="K279" s="1">
        <v>18870.310000000001</v>
      </c>
      <c r="L279" s="1">
        <v>18870.310000000001</v>
      </c>
      <c r="M279" s="1">
        <v>18870.310000000001</v>
      </c>
      <c r="N279" s="1">
        <v>18870.310000000001</v>
      </c>
      <c r="O279" s="1">
        <v>18870.310000000001</v>
      </c>
      <c r="P279" s="1">
        <v>18870.310000000001</v>
      </c>
      <c r="Q279" s="1">
        <v>18870.310000000001</v>
      </c>
      <c r="R279" s="1">
        <v>18870.310000000001</v>
      </c>
      <c r="S279" s="1">
        <v>18870.310000000001</v>
      </c>
      <c r="T279" s="1">
        <v>18870.310000000001</v>
      </c>
      <c r="U279" s="1">
        <v>18870.310000000001</v>
      </c>
      <c r="V279" s="1">
        <v>18870.310000000001</v>
      </c>
      <c r="W279" s="1">
        <v>18870.310000000001</v>
      </c>
      <c r="X279" s="1">
        <v>18870.310000000001</v>
      </c>
      <c r="Y279" s="1">
        <v>18870.310000000001</v>
      </c>
      <c r="Z279" s="1">
        <v>18870.310000000001</v>
      </c>
      <c r="AA279" s="5">
        <v>18870.310000000001</v>
      </c>
      <c r="AB279" s="130">
        <f t="shared" si="14"/>
        <v>452887.44</v>
      </c>
      <c r="AC279" s="130">
        <v>5</v>
      </c>
      <c r="AD279" s="131"/>
    </row>
    <row r="280" spans="2:30">
      <c r="B280" s="128"/>
      <c r="C280" s="129" t="s">
        <v>7</v>
      </c>
      <c r="D280" s="1">
        <v>18870.310000000001</v>
      </c>
      <c r="E280" s="1">
        <v>18870.310000000001</v>
      </c>
      <c r="F280" s="1">
        <v>18870.310000000001</v>
      </c>
      <c r="G280" s="1">
        <v>18870.310000000001</v>
      </c>
      <c r="H280" s="1">
        <v>18870.310000000001</v>
      </c>
      <c r="I280" s="1">
        <v>18870.310000000001</v>
      </c>
      <c r="J280" s="1">
        <v>18870.310000000001</v>
      </c>
      <c r="K280" s="1">
        <v>18870.310000000001</v>
      </c>
      <c r="L280" s="1">
        <v>18870.310000000001</v>
      </c>
      <c r="M280" s="1">
        <v>18870.310000000001</v>
      </c>
      <c r="N280" s="1">
        <v>18870.310000000001</v>
      </c>
      <c r="O280" s="1">
        <v>18870.310000000001</v>
      </c>
      <c r="P280" s="1">
        <v>18870.310000000001</v>
      </c>
      <c r="Q280" s="1">
        <v>18870.310000000001</v>
      </c>
      <c r="R280" s="1">
        <v>18870.310000000001</v>
      </c>
      <c r="S280" s="1">
        <v>18870.310000000001</v>
      </c>
      <c r="T280" s="1">
        <v>18870.310000000001</v>
      </c>
      <c r="U280" s="1">
        <v>18870.310000000001</v>
      </c>
      <c r="V280" s="1">
        <v>18870.310000000001</v>
      </c>
      <c r="W280" s="1">
        <v>18870.310000000001</v>
      </c>
      <c r="X280" s="1">
        <v>18870.310000000001</v>
      </c>
      <c r="Y280" s="1">
        <v>18870.310000000001</v>
      </c>
      <c r="Z280" s="1">
        <v>18870.310000000001</v>
      </c>
      <c r="AA280" s="5">
        <v>18870.310000000001</v>
      </c>
      <c r="AB280" s="130">
        <f t="shared" si="14"/>
        <v>452887.44</v>
      </c>
      <c r="AC280" s="130">
        <v>4</v>
      </c>
      <c r="AD280" s="131"/>
    </row>
    <row r="281" spans="2:30" ht="15" thickBot="1">
      <c r="B281" s="132"/>
      <c r="C281" s="133" t="s">
        <v>8</v>
      </c>
      <c r="D281" s="3">
        <v>18870.310000000001</v>
      </c>
      <c r="E281" s="3">
        <v>18870.310000000001</v>
      </c>
      <c r="F281" s="3">
        <v>18870.310000000001</v>
      </c>
      <c r="G281" s="3">
        <v>18870.310000000001</v>
      </c>
      <c r="H281" s="3">
        <v>18870.310000000001</v>
      </c>
      <c r="I281" s="3">
        <v>18870.310000000001</v>
      </c>
      <c r="J281" s="3">
        <v>18870.310000000001</v>
      </c>
      <c r="K281" s="3">
        <v>18870.310000000001</v>
      </c>
      <c r="L281" s="3">
        <v>18870.310000000001</v>
      </c>
      <c r="M281" s="3">
        <v>18870.310000000001</v>
      </c>
      <c r="N281" s="3">
        <v>18870.310000000001</v>
      </c>
      <c r="O281" s="3">
        <v>18870.310000000001</v>
      </c>
      <c r="P281" s="3">
        <v>18870.310000000001</v>
      </c>
      <c r="Q281" s="3">
        <v>18870.310000000001</v>
      </c>
      <c r="R281" s="3">
        <v>18870.310000000001</v>
      </c>
      <c r="S281" s="3">
        <v>18870.310000000001</v>
      </c>
      <c r="T281" s="3">
        <v>18870.310000000001</v>
      </c>
      <c r="U281" s="3">
        <v>18870.310000000001</v>
      </c>
      <c r="V281" s="3">
        <v>18870.310000000001</v>
      </c>
      <c r="W281" s="3">
        <v>18870.310000000001</v>
      </c>
      <c r="X281" s="3">
        <v>18870.310000000001</v>
      </c>
      <c r="Y281" s="3">
        <v>18870.310000000001</v>
      </c>
      <c r="Z281" s="3">
        <v>18870.310000000001</v>
      </c>
      <c r="AA281" s="6">
        <v>18870.310000000001</v>
      </c>
      <c r="AB281" s="134">
        <f t="shared" si="14"/>
        <v>452887.44</v>
      </c>
      <c r="AC281" s="134">
        <v>0</v>
      </c>
      <c r="AD281" s="135"/>
    </row>
    <row r="282" spans="2:30">
      <c r="B282" s="124">
        <v>49218</v>
      </c>
      <c r="C282" s="125" t="s">
        <v>5</v>
      </c>
      <c r="D282" s="2">
        <v>18870.310000000001</v>
      </c>
      <c r="E282" s="2">
        <v>18870.310000000001</v>
      </c>
      <c r="F282" s="2">
        <v>18870.310000000001</v>
      </c>
      <c r="G282" s="2">
        <v>18870.310000000001</v>
      </c>
      <c r="H282" s="2">
        <v>18870.310000000001</v>
      </c>
      <c r="I282" s="2">
        <v>18870.310000000001</v>
      </c>
      <c r="J282" s="2">
        <v>18870.310000000001</v>
      </c>
      <c r="K282" s="2">
        <v>18870.310000000001</v>
      </c>
      <c r="L282" s="2">
        <v>18870.310000000001</v>
      </c>
      <c r="M282" s="2">
        <v>18870.310000000001</v>
      </c>
      <c r="N282" s="2">
        <v>18870.310000000001</v>
      </c>
      <c r="O282" s="2">
        <v>18870.310000000001</v>
      </c>
      <c r="P282" s="2">
        <v>18870.310000000001</v>
      </c>
      <c r="Q282" s="2">
        <v>18870.310000000001</v>
      </c>
      <c r="R282" s="2">
        <v>18870.310000000001</v>
      </c>
      <c r="S282" s="2">
        <v>18870.310000000001</v>
      </c>
      <c r="T282" s="2">
        <v>18870.310000000001</v>
      </c>
      <c r="U282" s="2">
        <v>18870.310000000001</v>
      </c>
      <c r="V282" s="2">
        <v>18870.310000000001</v>
      </c>
      <c r="W282" s="2">
        <v>18870.310000000001</v>
      </c>
      <c r="X282" s="2">
        <v>18870.310000000001</v>
      </c>
      <c r="Y282" s="2">
        <v>18870.310000000001</v>
      </c>
      <c r="Z282" s="2">
        <v>18870.310000000001</v>
      </c>
      <c r="AA282" s="4">
        <v>18870.310000000001</v>
      </c>
      <c r="AB282" s="126">
        <f t="shared" si="14"/>
        <v>452887.44</v>
      </c>
      <c r="AC282" s="126">
        <v>21</v>
      </c>
      <c r="AD282" s="127">
        <f>(AB282*AC282)+(AB283*AC283)+(AB284*AC284)+(AB285*AC285)</f>
        <v>14039510.639999999</v>
      </c>
    </row>
    <row r="283" spans="2:30">
      <c r="B283" s="128"/>
      <c r="C283" s="129" t="s">
        <v>6</v>
      </c>
      <c r="D283" s="1">
        <v>18870.310000000001</v>
      </c>
      <c r="E283" s="1">
        <v>18870.310000000001</v>
      </c>
      <c r="F283" s="1">
        <v>18870.310000000001</v>
      </c>
      <c r="G283" s="1">
        <v>18870.310000000001</v>
      </c>
      <c r="H283" s="1">
        <v>18870.310000000001</v>
      </c>
      <c r="I283" s="1">
        <v>18870.310000000001</v>
      </c>
      <c r="J283" s="1">
        <v>18870.310000000001</v>
      </c>
      <c r="K283" s="1">
        <v>18870.310000000001</v>
      </c>
      <c r="L283" s="1">
        <v>18870.310000000001</v>
      </c>
      <c r="M283" s="1">
        <v>18870.310000000001</v>
      </c>
      <c r="N283" s="1">
        <v>18870.310000000001</v>
      </c>
      <c r="O283" s="1">
        <v>18870.310000000001</v>
      </c>
      <c r="P283" s="1">
        <v>18870.310000000001</v>
      </c>
      <c r="Q283" s="1">
        <v>18870.310000000001</v>
      </c>
      <c r="R283" s="1">
        <v>18870.310000000001</v>
      </c>
      <c r="S283" s="1">
        <v>18870.310000000001</v>
      </c>
      <c r="T283" s="1">
        <v>18870.310000000001</v>
      </c>
      <c r="U283" s="1">
        <v>18870.310000000001</v>
      </c>
      <c r="V283" s="1">
        <v>18870.310000000001</v>
      </c>
      <c r="W283" s="1">
        <v>18870.310000000001</v>
      </c>
      <c r="X283" s="1">
        <v>18870.310000000001</v>
      </c>
      <c r="Y283" s="1">
        <v>18870.310000000001</v>
      </c>
      <c r="Z283" s="1">
        <v>18870.310000000001</v>
      </c>
      <c r="AA283" s="5">
        <v>18870.310000000001</v>
      </c>
      <c r="AB283" s="130">
        <f t="shared" si="14"/>
        <v>452887.44</v>
      </c>
      <c r="AC283" s="130">
        <v>4</v>
      </c>
      <c r="AD283" s="131"/>
    </row>
    <row r="284" spans="2:30">
      <c r="B284" s="128"/>
      <c r="C284" s="129" t="s">
        <v>7</v>
      </c>
      <c r="D284" s="1">
        <v>18870.310000000001</v>
      </c>
      <c r="E284" s="1">
        <v>18870.310000000001</v>
      </c>
      <c r="F284" s="1">
        <v>18870.310000000001</v>
      </c>
      <c r="G284" s="1">
        <v>18870.310000000001</v>
      </c>
      <c r="H284" s="1">
        <v>18870.310000000001</v>
      </c>
      <c r="I284" s="1">
        <v>18870.310000000001</v>
      </c>
      <c r="J284" s="1">
        <v>18870.310000000001</v>
      </c>
      <c r="K284" s="1">
        <v>18870.310000000001</v>
      </c>
      <c r="L284" s="1">
        <v>18870.310000000001</v>
      </c>
      <c r="M284" s="1">
        <v>18870.310000000001</v>
      </c>
      <c r="N284" s="1">
        <v>18870.310000000001</v>
      </c>
      <c r="O284" s="1">
        <v>18870.310000000001</v>
      </c>
      <c r="P284" s="1">
        <v>18870.310000000001</v>
      </c>
      <c r="Q284" s="1">
        <v>18870.310000000001</v>
      </c>
      <c r="R284" s="1">
        <v>18870.310000000001</v>
      </c>
      <c r="S284" s="1">
        <v>18870.310000000001</v>
      </c>
      <c r="T284" s="1">
        <v>18870.310000000001</v>
      </c>
      <c r="U284" s="1">
        <v>18870.310000000001</v>
      </c>
      <c r="V284" s="1">
        <v>18870.310000000001</v>
      </c>
      <c r="W284" s="1">
        <v>18870.310000000001</v>
      </c>
      <c r="X284" s="1">
        <v>18870.310000000001</v>
      </c>
      <c r="Y284" s="1">
        <v>18870.310000000001</v>
      </c>
      <c r="Z284" s="1">
        <v>18870.310000000001</v>
      </c>
      <c r="AA284" s="5">
        <v>18870.310000000001</v>
      </c>
      <c r="AB284" s="130">
        <f t="shared" si="14"/>
        <v>452887.44</v>
      </c>
      <c r="AC284" s="130">
        <v>5</v>
      </c>
      <c r="AD284" s="131"/>
    </row>
    <row r="285" spans="2:30" ht="15" thickBot="1">
      <c r="B285" s="132"/>
      <c r="C285" s="133" t="s">
        <v>8</v>
      </c>
      <c r="D285" s="3">
        <v>18870.310000000001</v>
      </c>
      <c r="E285" s="3">
        <v>18870.310000000001</v>
      </c>
      <c r="F285" s="3">
        <v>18870.310000000001</v>
      </c>
      <c r="G285" s="3">
        <v>18870.310000000001</v>
      </c>
      <c r="H285" s="3">
        <v>18870.310000000001</v>
      </c>
      <c r="I285" s="3">
        <v>18870.310000000001</v>
      </c>
      <c r="J285" s="3">
        <v>18870.310000000001</v>
      </c>
      <c r="K285" s="3">
        <v>18870.310000000001</v>
      </c>
      <c r="L285" s="3">
        <v>18870.310000000001</v>
      </c>
      <c r="M285" s="3">
        <v>18870.310000000001</v>
      </c>
      <c r="N285" s="3">
        <v>18870.310000000001</v>
      </c>
      <c r="O285" s="3">
        <v>18870.310000000001</v>
      </c>
      <c r="P285" s="3">
        <v>18870.310000000001</v>
      </c>
      <c r="Q285" s="3">
        <v>18870.310000000001</v>
      </c>
      <c r="R285" s="3">
        <v>18870.310000000001</v>
      </c>
      <c r="S285" s="3">
        <v>18870.310000000001</v>
      </c>
      <c r="T285" s="3">
        <v>18870.310000000001</v>
      </c>
      <c r="U285" s="3">
        <v>18870.310000000001</v>
      </c>
      <c r="V285" s="3">
        <v>18870.310000000001</v>
      </c>
      <c r="W285" s="3">
        <v>18870.310000000001</v>
      </c>
      <c r="X285" s="3">
        <v>18870.310000000001</v>
      </c>
      <c r="Y285" s="3">
        <v>18870.310000000001</v>
      </c>
      <c r="Z285" s="3">
        <v>18870.310000000001</v>
      </c>
      <c r="AA285" s="6">
        <v>18870.310000000001</v>
      </c>
      <c r="AB285" s="134">
        <f t="shared" si="14"/>
        <v>452887.44</v>
      </c>
      <c r="AC285" s="134">
        <v>1</v>
      </c>
      <c r="AD285" s="135"/>
    </row>
    <row r="286" spans="2:30">
      <c r="B286" s="124">
        <v>49249</v>
      </c>
      <c r="C286" s="125" t="s">
        <v>5</v>
      </c>
      <c r="D286" s="2">
        <v>18870.310000000001</v>
      </c>
      <c r="E286" s="2">
        <v>18870.310000000001</v>
      </c>
      <c r="F286" s="2">
        <v>18870.310000000001</v>
      </c>
      <c r="G286" s="2">
        <v>18870.310000000001</v>
      </c>
      <c r="H286" s="2">
        <v>18870.310000000001</v>
      </c>
      <c r="I286" s="2">
        <v>18870.310000000001</v>
      </c>
      <c r="J286" s="2">
        <v>18870.310000000001</v>
      </c>
      <c r="K286" s="2">
        <v>18870.310000000001</v>
      </c>
      <c r="L286" s="2">
        <v>18870.310000000001</v>
      </c>
      <c r="M286" s="2">
        <v>18870.310000000001</v>
      </c>
      <c r="N286" s="2">
        <v>18870.310000000001</v>
      </c>
      <c r="O286" s="2">
        <v>18870.310000000001</v>
      </c>
      <c r="P286" s="2">
        <v>18870.310000000001</v>
      </c>
      <c r="Q286" s="2">
        <v>18870.310000000001</v>
      </c>
      <c r="R286" s="2">
        <v>18870.310000000001</v>
      </c>
      <c r="S286" s="2">
        <v>18870.310000000001</v>
      </c>
      <c r="T286" s="2">
        <v>18870.310000000001</v>
      </c>
      <c r="U286" s="2">
        <v>18870.310000000001</v>
      </c>
      <c r="V286" s="2">
        <v>18870.310000000001</v>
      </c>
      <c r="W286" s="2">
        <v>18870.310000000001</v>
      </c>
      <c r="X286" s="2">
        <v>18870.310000000001</v>
      </c>
      <c r="Y286" s="2">
        <v>18870.310000000001</v>
      </c>
      <c r="Z286" s="2">
        <v>18870.310000000001</v>
      </c>
      <c r="AA286" s="4">
        <v>18870.310000000001</v>
      </c>
      <c r="AB286" s="126">
        <f t="shared" si="14"/>
        <v>452887.44</v>
      </c>
      <c r="AC286" s="126">
        <v>20</v>
      </c>
      <c r="AD286" s="127">
        <f>(AB286*AC286)+(AB287*AC287)+(AB288*AC288)+(AB289*AC289)</f>
        <v>13586623.200000001</v>
      </c>
    </row>
    <row r="287" spans="2:30">
      <c r="B287" s="128"/>
      <c r="C287" s="129" t="s">
        <v>6</v>
      </c>
      <c r="D287" s="1">
        <v>18870.310000000001</v>
      </c>
      <c r="E287" s="1">
        <v>18870.310000000001</v>
      </c>
      <c r="F287" s="1">
        <v>18870.310000000001</v>
      </c>
      <c r="G287" s="1">
        <v>18870.310000000001</v>
      </c>
      <c r="H287" s="1">
        <v>18870.310000000001</v>
      </c>
      <c r="I287" s="1">
        <v>18870.310000000001</v>
      </c>
      <c r="J287" s="1">
        <v>18870.310000000001</v>
      </c>
      <c r="K287" s="1">
        <v>18870.310000000001</v>
      </c>
      <c r="L287" s="1">
        <v>18870.310000000001</v>
      </c>
      <c r="M287" s="1">
        <v>18870.310000000001</v>
      </c>
      <c r="N287" s="1">
        <v>18870.310000000001</v>
      </c>
      <c r="O287" s="1">
        <v>18870.310000000001</v>
      </c>
      <c r="P287" s="1">
        <v>18870.310000000001</v>
      </c>
      <c r="Q287" s="1">
        <v>18870.310000000001</v>
      </c>
      <c r="R287" s="1">
        <v>18870.310000000001</v>
      </c>
      <c r="S287" s="1">
        <v>18870.310000000001</v>
      </c>
      <c r="T287" s="1">
        <v>18870.310000000001</v>
      </c>
      <c r="U287" s="1">
        <v>18870.310000000001</v>
      </c>
      <c r="V287" s="1">
        <v>18870.310000000001</v>
      </c>
      <c r="W287" s="1">
        <v>18870.310000000001</v>
      </c>
      <c r="X287" s="1">
        <v>18870.310000000001</v>
      </c>
      <c r="Y287" s="1">
        <v>18870.310000000001</v>
      </c>
      <c r="Z287" s="1">
        <v>18870.310000000001</v>
      </c>
      <c r="AA287" s="5">
        <v>18870.310000000001</v>
      </c>
      <c r="AB287" s="130">
        <f t="shared" si="14"/>
        <v>452887.44</v>
      </c>
      <c r="AC287" s="130">
        <v>4</v>
      </c>
      <c r="AD287" s="131"/>
    </row>
    <row r="288" spans="2:30">
      <c r="B288" s="128"/>
      <c r="C288" s="129" t="s">
        <v>7</v>
      </c>
      <c r="D288" s="1">
        <v>18870.310000000001</v>
      </c>
      <c r="E288" s="1">
        <v>18870.310000000001</v>
      </c>
      <c r="F288" s="1">
        <v>18870.310000000001</v>
      </c>
      <c r="G288" s="1">
        <v>18870.310000000001</v>
      </c>
      <c r="H288" s="1">
        <v>18870.310000000001</v>
      </c>
      <c r="I288" s="1">
        <v>18870.310000000001</v>
      </c>
      <c r="J288" s="1">
        <v>18870.310000000001</v>
      </c>
      <c r="K288" s="1">
        <v>18870.310000000001</v>
      </c>
      <c r="L288" s="1">
        <v>18870.310000000001</v>
      </c>
      <c r="M288" s="1">
        <v>18870.310000000001</v>
      </c>
      <c r="N288" s="1">
        <v>18870.310000000001</v>
      </c>
      <c r="O288" s="1">
        <v>18870.310000000001</v>
      </c>
      <c r="P288" s="1">
        <v>18870.310000000001</v>
      </c>
      <c r="Q288" s="1">
        <v>18870.310000000001</v>
      </c>
      <c r="R288" s="1">
        <v>18870.310000000001</v>
      </c>
      <c r="S288" s="1">
        <v>18870.310000000001</v>
      </c>
      <c r="T288" s="1">
        <v>18870.310000000001</v>
      </c>
      <c r="U288" s="1">
        <v>18870.310000000001</v>
      </c>
      <c r="V288" s="1">
        <v>18870.310000000001</v>
      </c>
      <c r="W288" s="1">
        <v>18870.310000000001</v>
      </c>
      <c r="X288" s="1">
        <v>18870.310000000001</v>
      </c>
      <c r="Y288" s="1">
        <v>18870.310000000001</v>
      </c>
      <c r="Z288" s="1">
        <v>18870.310000000001</v>
      </c>
      <c r="AA288" s="5">
        <v>18870.310000000001</v>
      </c>
      <c r="AB288" s="130">
        <f t="shared" si="14"/>
        <v>452887.44</v>
      </c>
      <c r="AC288" s="130">
        <v>4</v>
      </c>
      <c r="AD288" s="131"/>
    </row>
    <row r="289" spans="2:30" ht="15" thickBot="1">
      <c r="B289" s="132"/>
      <c r="C289" s="133" t="s">
        <v>8</v>
      </c>
      <c r="D289" s="3">
        <v>18870.310000000001</v>
      </c>
      <c r="E289" s="3">
        <v>18870.310000000001</v>
      </c>
      <c r="F289" s="3">
        <v>18870.310000000001</v>
      </c>
      <c r="G289" s="3">
        <v>18870.310000000001</v>
      </c>
      <c r="H289" s="3">
        <v>18870.310000000001</v>
      </c>
      <c r="I289" s="3">
        <v>18870.310000000001</v>
      </c>
      <c r="J289" s="3">
        <v>18870.310000000001</v>
      </c>
      <c r="K289" s="3">
        <v>18870.310000000001</v>
      </c>
      <c r="L289" s="3">
        <v>18870.310000000001</v>
      </c>
      <c r="M289" s="3">
        <v>18870.310000000001</v>
      </c>
      <c r="N289" s="3">
        <v>18870.310000000001</v>
      </c>
      <c r="O289" s="3">
        <v>18870.310000000001</v>
      </c>
      <c r="P289" s="3">
        <v>18870.310000000001</v>
      </c>
      <c r="Q289" s="3">
        <v>18870.310000000001</v>
      </c>
      <c r="R289" s="3">
        <v>18870.310000000001</v>
      </c>
      <c r="S289" s="3">
        <v>18870.310000000001</v>
      </c>
      <c r="T289" s="3">
        <v>18870.310000000001</v>
      </c>
      <c r="U289" s="3">
        <v>18870.310000000001</v>
      </c>
      <c r="V289" s="3">
        <v>18870.310000000001</v>
      </c>
      <c r="W289" s="3">
        <v>18870.310000000001</v>
      </c>
      <c r="X289" s="3">
        <v>18870.310000000001</v>
      </c>
      <c r="Y289" s="3">
        <v>18870.310000000001</v>
      </c>
      <c r="Z289" s="3">
        <v>18870.310000000001</v>
      </c>
      <c r="AA289" s="6">
        <v>18870.310000000001</v>
      </c>
      <c r="AB289" s="134">
        <f t="shared" si="14"/>
        <v>452887.44</v>
      </c>
      <c r="AC289" s="134">
        <v>2</v>
      </c>
      <c r="AD289" s="135"/>
    </row>
    <row r="290" spans="2:30">
      <c r="B290" s="124">
        <v>49279</v>
      </c>
      <c r="C290" s="125" t="s">
        <v>5</v>
      </c>
      <c r="D290" s="2">
        <v>18870.310000000001</v>
      </c>
      <c r="E290" s="2">
        <v>18870.310000000001</v>
      </c>
      <c r="F290" s="2">
        <v>18870.310000000001</v>
      </c>
      <c r="G290" s="2">
        <v>18870.310000000001</v>
      </c>
      <c r="H290" s="2">
        <v>18870.310000000001</v>
      </c>
      <c r="I290" s="2">
        <v>18870.310000000001</v>
      </c>
      <c r="J290" s="2">
        <v>18870.310000000001</v>
      </c>
      <c r="K290" s="2">
        <v>18870.310000000001</v>
      </c>
      <c r="L290" s="2">
        <v>18870.310000000001</v>
      </c>
      <c r="M290" s="2">
        <v>18870.310000000001</v>
      </c>
      <c r="N290" s="2">
        <v>18870.310000000001</v>
      </c>
      <c r="O290" s="2">
        <v>18870.310000000001</v>
      </c>
      <c r="P290" s="2">
        <v>18870.310000000001</v>
      </c>
      <c r="Q290" s="2">
        <v>18870.310000000001</v>
      </c>
      <c r="R290" s="2">
        <v>18870.310000000001</v>
      </c>
      <c r="S290" s="2">
        <v>18870.310000000001</v>
      </c>
      <c r="T290" s="2">
        <v>18870.310000000001</v>
      </c>
      <c r="U290" s="2">
        <v>18870.310000000001</v>
      </c>
      <c r="V290" s="2">
        <v>18870.310000000001</v>
      </c>
      <c r="W290" s="2">
        <v>18870.310000000001</v>
      </c>
      <c r="X290" s="2">
        <v>18870.310000000001</v>
      </c>
      <c r="Y290" s="2">
        <v>18870.310000000001</v>
      </c>
      <c r="Z290" s="2">
        <v>18870.310000000001</v>
      </c>
      <c r="AA290" s="4">
        <v>18870.310000000001</v>
      </c>
      <c r="AB290" s="126">
        <f t="shared" si="14"/>
        <v>452887.44</v>
      </c>
      <c r="AC290" s="126">
        <v>19</v>
      </c>
      <c r="AD290" s="127">
        <f>(AB290*AC290)+(AB291*AC291)+(AB292*AC292)+(AB293*AC293)</f>
        <v>14039510.639999999</v>
      </c>
    </row>
    <row r="291" spans="2:30">
      <c r="B291" s="128"/>
      <c r="C291" s="129" t="s">
        <v>6</v>
      </c>
      <c r="D291" s="1">
        <v>18870.310000000001</v>
      </c>
      <c r="E291" s="1">
        <v>18870.310000000001</v>
      </c>
      <c r="F291" s="1">
        <v>18870.310000000001</v>
      </c>
      <c r="G291" s="1">
        <v>18870.310000000001</v>
      </c>
      <c r="H291" s="1">
        <v>18870.310000000001</v>
      </c>
      <c r="I291" s="1">
        <v>18870.310000000001</v>
      </c>
      <c r="J291" s="1">
        <v>18870.310000000001</v>
      </c>
      <c r="K291" s="1">
        <v>18870.310000000001</v>
      </c>
      <c r="L291" s="1">
        <v>18870.310000000001</v>
      </c>
      <c r="M291" s="1">
        <v>18870.310000000001</v>
      </c>
      <c r="N291" s="1">
        <v>18870.310000000001</v>
      </c>
      <c r="O291" s="1">
        <v>18870.310000000001</v>
      </c>
      <c r="P291" s="1">
        <v>18870.310000000001</v>
      </c>
      <c r="Q291" s="1">
        <v>18870.310000000001</v>
      </c>
      <c r="R291" s="1">
        <v>18870.310000000001</v>
      </c>
      <c r="S291" s="1">
        <v>18870.310000000001</v>
      </c>
      <c r="T291" s="1">
        <v>18870.310000000001</v>
      </c>
      <c r="U291" s="1">
        <v>18870.310000000001</v>
      </c>
      <c r="V291" s="1">
        <v>18870.310000000001</v>
      </c>
      <c r="W291" s="1">
        <v>18870.310000000001</v>
      </c>
      <c r="X291" s="1">
        <v>18870.310000000001</v>
      </c>
      <c r="Y291" s="1">
        <v>18870.310000000001</v>
      </c>
      <c r="Z291" s="1">
        <v>18870.310000000001</v>
      </c>
      <c r="AA291" s="5">
        <v>18870.310000000001</v>
      </c>
      <c r="AB291" s="130">
        <f t="shared" si="14"/>
        <v>452887.44</v>
      </c>
      <c r="AC291" s="130">
        <v>5</v>
      </c>
      <c r="AD291" s="131"/>
    </row>
    <row r="292" spans="2:30">
      <c r="B292" s="128"/>
      <c r="C292" s="129" t="s">
        <v>7</v>
      </c>
      <c r="D292" s="1">
        <v>18870.310000000001</v>
      </c>
      <c r="E292" s="1">
        <v>18870.310000000001</v>
      </c>
      <c r="F292" s="1">
        <v>18870.310000000001</v>
      </c>
      <c r="G292" s="1">
        <v>18870.310000000001</v>
      </c>
      <c r="H292" s="1">
        <v>18870.310000000001</v>
      </c>
      <c r="I292" s="1">
        <v>18870.310000000001</v>
      </c>
      <c r="J292" s="1">
        <v>18870.310000000001</v>
      </c>
      <c r="K292" s="1">
        <v>18870.310000000001</v>
      </c>
      <c r="L292" s="1">
        <v>18870.310000000001</v>
      </c>
      <c r="M292" s="1">
        <v>18870.310000000001</v>
      </c>
      <c r="N292" s="1">
        <v>18870.310000000001</v>
      </c>
      <c r="O292" s="1">
        <v>18870.310000000001</v>
      </c>
      <c r="P292" s="1">
        <v>18870.310000000001</v>
      </c>
      <c r="Q292" s="1">
        <v>18870.310000000001</v>
      </c>
      <c r="R292" s="1">
        <v>18870.310000000001</v>
      </c>
      <c r="S292" s="1">
        <v>18870.310000000001</v>
      </c>
      <c r="T292" s="1">
        <v>18870.310000000001</v>
      </c>
      <c r="U292" s="1">
        <v>18870.310000000001</v>
      </c>
      <c r="V292" s="1">
        <v>18870.310000000001</v>
      </c>
      <c r="W292" s="1">
        <v>18870.310000000001</v>
      </c>
      <c r="X292" s="1">
        <v>18870.310000000001</v>
      </c>
      <c r="Y292" s="1">
        <v>18870.310000000001</v>
      </c>
      <c r="Z292" s="1">
        <v>18870.310000000001</v>
      </c>
      <c r="AA292" s="5">
        <v>18870.310000000001</v>
      </c>
      <c r="AB292" s="130">
        <f t="shared" si="14"/>
        <v>452887.44</v>
      </c>
      <c r="AC292" s="130">
        <v>5</v>
      </c>
      <c r="AD292" s="131"/>
    </row>
    <row r="293" spans="2:30" ht="15" thickBot="1">
      <c r="B293" s="132"/>
      <c r="C293" s="133" t="s">
        <v>8</v>
      </c>
      <c r="D293" s="3">
        <v>18870.310000000001</v>
      </c>
      <c r="E293" s="3">
        <v>18870.310000000001</v>
      </c>
      <c r="F293" s="3">
        <v>18870.310000000001</v>
      </c>
      <c r="G293" s="3">
        <v>18870.310000000001</v>
      </c>
      <c r="H293" s="3">
        <v>18870.310000000001</v>
      </c>
      <c r="I293" s="3">
        <v>18870.310000000001</v>
      </c>
      <c r="J293" s="3">
        <v>18870.310000000001</v>
      </c>
      <c r="K293" s="3">
        <v>18870.310000000001</v>
      </c>
      <c r="L293" s="3">
        <v>18870.310000000001</v>
      </c>
      <c r="M293" s="3">
        <v>18870.310000000001</v>
      </c>
      <c r="N293" s="3">
        <v>18870.310000000001</v>
      </c>
      <c r="O293" s="3">
        <v>18870.310000000001</v>
      </c>
      <c r="P293" s="3">
        <v>18870.310000000001</v>
      </c>
      <c r="Q293" s="3">
        <v>18870.310000000001</v>
      </c>
      <c r="R293" s="3">
        <v>18870.310000000001</v>
      </c>
      <c r="S293" s="3">
        <v>18870.310000000001</v>
      </c>
      <c r="T293" s="3">
        <v>18870.310000000001</v>
      </c>
      <c r="U293" s="3">
        <v>18870.310000000001</v>
      </c>
      <c r="V293" s="3">
        <v>18870.310000000001</v>
      </c>
      <c r="W293" s="3">
        <v>18870.310000000001</v>
      </c>
      <c r="X293" s="3">
        <v>18870.310000000001</v>
      </c>
      <c r="Y293" s="3">
        <v>18870.310000000001</v>
      </c>
      <c r="Z293" s="3">
        <v>18870.310000000001</v>
      </c>
      <c r="AA293" s="6">
        <v>18870.310000000001</v>
      </c>
      <c r="AB293" s="134">
        <f t="shared" si="14"/>
        <v>452887.44</v>
      </c>
      <c r="AC293" s="134">
        <v>2</v>
      </c>
      <c r="AD293" s="135"/>
    </row>
    <row r="294" spans="2:30">
      <c r="B294" s="124">
        <v>49310</v>
      </c>
      <c r="C294" s="125" t="s">
        <v>5</v>
      </c>
      <c r="D294" s="2">
        <v>19247.96</v>
      </c>
      <c r="E294" s="2">
        <v>19247.96</v>
      </c>
      <c r="F294" s="2">
        <v>19247.96</v>
      </c>
      <c r="G294" s="2">
        <v>19247.96</v>
      </c>
      <c r="H294" s="2">
        <v>19247.96</v>
      </c>
      <c r="I294" s="2">
        <v>19247.96</v>
      </c>
      <c r="J294" s="2">
        <v>19247.96</v>
      </c>
      <c r="K294" s="2">
        <v>19247.96</v>
      </c>
      <c r="L294" s="2">
        <v>19247.96</v>
      </c>
      <c r="M294" s="2">
        <v>19247.96</v>
      </c>
      <c r="N294" s="2">
        <v>19247.96</v>
      </c>
      <c r="O294" s="2">
        <v>19247.96</v>
      </c>
      <c r="P294" s="2">
        <v>19247.96</v>
      </c>
      <c r="Q294" s="2">
        <v>19247.96</v>
      </c>
      <c r="R294" s="2">
        <v>19247.96</v>
      </c>
      <c r="S294" s="2">
        <v>19247.96</v>
      </c>
      <c r="T294" s="2">
        <v>19247.96</v>
      </c>
      <c r="U294" s="2">
        <v>19247.96</v>
      </c>
      <c r="V294" s="2">
        <v>19247.96</v>
      </c>
      <c r="W294" s="2">
        <v>19247.96</v>
      </c>
      <c r="X294" s="2">
        <v>19247.96</v>
      </c>
      <c r="Y294" s="2">
        <v>19247.96</v>
      </c>
      <c r="Z294" s="2">
        <v>19247.96</v>
      </c>
      <c r="AA294" s="4">
        <v>19247.96</v>
      </c>
      <c r="AB294" s="126">
        <f t="shared" ref="AB294:AB341" si="15">(SUM(D294:AA294))</f>
        <v>461951.04000000015</v>
      </c>
      <c r="AC294" s="126">
        <v>21</v>
      </c>
      <c r="AD294" s="127">
        <f>(AB294*AC294)+(AB295*AC295)+(AB296*AC296)+(AB297*AC297)</f>
        <v>14320482.240000004</v>
      </c>
    </row>
    <row r="295" spans="2:30">
      <c r="B295" s="128"/>
      <c r="C295" s="129" t="s">
        <v>6</v>
      </c>
      <c r="D295" s="1">
        <v>19247.96</v>
      </c>
      <c r="E295" s="1">
        <v>19247.96</v>
      </c>
      <c r="F295" s="1">
        <v>19247.96</v>
      </c>
      <c r="G295" s="1">
        <v>19247.96</v>
      </c>
      <c r="H295" s="1">
        <v>19247.96</v>
      </c>
      <c r="I295" s="1">
        <v>19247.96</v>
      </c>
      <c r="J295" s="1">
        <v>19247.96</v>
      </c>
      <c r="K295" s="1">
        <v>19247.96</v>
      </c>
      <c r="L295" s="1">
        <v>19247.96</v>
      </c>
      <c r="M295" s="1">
        <v>19247.96</v>
      </c>
      <c r="N295" s="1">
        <v>19247.96</v>
      </c>
      <c r="O295" s="1">
        <v>19247.96</v>
      </c>
      <c r="P295" s="1">
        <v>19247.96</v>
      </c>
      <c r="Q295" s="1">
        <v>19247.96</v>
      </c>
      <c r="R295" s="1">
        <v>19247.96</v>
      </c>
      <c r="S295" s="1">
        <v>19247.96</v>
      </c>
      <c r="T295" s="1">
        <v>19247.96</v>
      </c>
      <c r="U295" s="1">
        <v>19247.96</v>
      </c>
      <c r="V295" s="1">
        <v>19247.96</v>
      </c>
      <c r="W295" s="1">
        <v>19247.96</v>
      </c>
      <c r="X295" s="1">
        <v>19247.96</v>
      </c>
      <c r="Y295" s="1">
        <v>19247.96</v>
      </c>
      <c r="Z295" s="1">
        <v>19247.96</v>
      </c>
      <c r="AA295" s="5">
        <v>19247.96</v>
      </c>
      <c r="AB295" s="130">
        <f t="shared" si="15"/>
        <v>461951.04000000015</v>
      </c>
      <c r="AC295" s="130">
        <v>4</v>
      </c>
      <c r="AD295" s="131"/>
    </row>
    <row r="296" spans="2:30">
      <c r="B296" s="128"/>
      <c r="C296" s="129" t="s">
        <v>7</v>
      </c>
      <c r="D296" s="1">
        <v>19247.96</v>
      </c>
      <c r="E296" s="1">
        <v>19247.96</v>
      </c>
      <c r="F296" s="1">
        <v>19247.96</v>
      </c>
      <c r="G296" s="1">
        <v>19247.96</v>
      </c>
      <c r="H296" s="1">
        <v>19247.96</v>
      </c>
      <c r="I296" s="1">
        <v>19247.96</v>
      </c>
      <c r="J296" s="1">
        <v>19247.96</v>
      </c>
      <c r="K296" s="1">
        <v>19247.96</v>
      </c>
      <c r="L296" s="1">
        <v>19247.96</v>
      </c>
      <c r="M296" s="1">
        <v>19247.96</v>
      </c>
      <c r="N296" s="1">
        <v>19247.96</v>
      </c>
      <c r="O296" s="1">
        <v>19247.96</v>
      </c>
      <c r="P296" s="1">
        <v>19247.96</v>
      </c>
      <c r="Q296" s="1">
        <v>19247.96</v>
      </c>
      <c r="R296" s="1">
        <v>19247.96</v>
      </c>
      <c r="S296" s="1">
        <v>19247.96</v>
      </c>
      <c r="T296" s="1">
        <v>19247.96</v>
      </c>
      <c r="U296" s="1">
        <v>19247.96</v>
      </c>
      <c r="V296" s="1">
        <v>19247.96</v>
      </c>
      <c r="W296" s="1">
        <v>19247.96</v>
      </c>
      <c r="X296" s="1">
        <v>19247.96</v>
      </c>
      <c r="Y296" s="1">
        <v>19247.96</v>
      </c>
      <c r="Z296" s="1">
        <v>19247.96</v>
      </c>
      <c r="AA296" s="5">
        <v>19247.96</v>
      </c>
      <c r="AB296" s="130">
        <f t="shared" si="15"/>
        <v>461951.04000000015</v>
      </c>
      <c r="AC296" s="130">
        <v>4</v>
      </c>
      <c r="AD296" s="131"/>
    </row>
    <row r="297" spans="2:30" ht="15" thickBot="1">
      <c r="B297" s="132"/>
      <c r="C297" s="133" t="s">
        <v>8</v>
      </c>
      <c r="D297" s="3">
        <v>19247.96</v>
      </c>
      <c r="E297" s="3">
        <v>19247.96</v>
      </c>
      <c r="F297" s="3">
        <v>19247.96</v>
      </c>
      <c r="G297" s="3">
        <v>19247.96</v>
      </c>
      <c r="H297" s="3">
        <v>19247.96</v>
      </c>
      <c r="I297" s="3">
        <v>19247.96</v>
      </c>
      <c r="J297" s="3">
        <v>19247.96</v>
      </c>
      <c r="K297" s="3">
        <v>19247.96</v>
      </c>
      <c r="L297" s="3">
        <v>19247.96</v>
      </c>
      <c r="M297" s="3">
        <v>19247.96</v>
      </c>
      <c r="N297" s="3">
        <v>19247.96</v>
      </c>
      <c r="O297" s="3">
        <v>19247.96</v>
      </c>
      <c r="P297" s="3">
        <v>19247.96</v>
      </c>
      <c r="Q297" s="3">
        <v>19247.96</v>
      </c>
      <c r="R297" s="3">
        <v>19247.96</v>
      </c>
      <c r="S297" s="3">
        <v>19247.96</v>
      </c>
      <c r="T297" s="3">
        <v>19247.96</v>
      </c>
      <c r="U297" s="3">
        <v>19247.96</v>
      </c>
      <c r="V297" s="3">
        <v>19247.96</v>
      </c>
      <c r="W297" s="3">
        <v>19247.96</v>
      </c>
      <c r="X297" s="3">
        <v>19247.96</v>
      </c>
      <c r="Y297" s="3">
        <v>19247.96</v>
      </c>
      <c r="Z297" s="3">
        <v>19247.96</v>
      </c>
      <c r="AA297" s="6">
        <v>19247.96</v>
      </c>
      <c r="AB297" s="134">
        <f t="shared" si="15"/>
        <v>461951.04000000015</v>
      </c>
      <c r="AC297" s="134">
        <v>2</v>
      </c>
      <c r="AD297" s="135"/>
    </row>
    <row r="298" spans="2:30">
      <c r="B298" s="124">
        <v>49341</v>
      </c>
      <c r="C298" s="125" t="s">
        <v>5</v>
      </c>
      <c r="D298" s="2">
        <v>19247.96</v>
      </c>
      <c r="E298" s="2">
        <v>19247.96</v>
      </c>
      <c r="F298" s="2">
        <v>19247.96</v>
      </c>
      <c r="G298" s="2">
        <v>19247.96</v>
      </c>
      <c r="H298" s="2">
        <v>19247.96</v>
      </c>
      <c r="I298" s="2">
        <v>19247.96</v>
      </c>
      <c r="J298" s="2">
        <v>19247.96</v>
      </c>
      <c r="K298" s="2">
        <v>19247.96</v>
      </c>
      <c r="L298" s="2">
        <v>19247.96</v>
      </c>
      <c r="M298" s="2">
        <v>19247.96</v>
      </c>
      <c r="N298" s="2">
        <v>19247.96</v>
      </c>
      <c r="O298" s="2">
        <v>19247.96</v>
      </c>
      <c r="P298" s="2">
        <v>19247.96</v>
      </c>
      <c r="Q298" s="2">
        <v>19247.96</v>
      </c>
      <c r="R298" s="2">
        <v>19247.96</v>
      </c>
      <c r="S298" s="2">
        <v>19247.96</v>
      </c>
      <c r="T298" s="2">
        <v>19247.96</v>
      </c>
      <c r="U298" s="2">
        <v>19247.96</v>
      </c>
      <c r="V298" s="2">
        <v>19247.96</v>
      </c>
      <c r="W298" s="2">
        <v>19247.96</v>
      </c>
      <c r="X298" s="2">
        <v>19247.96</v>
      </c>
      <c r="Y298" s="2">
        <v>19247.96</v>
      </c>
      <c r="Z298" s="2">
        <v>19247.96</v>
      </c>
      <c r="AA298" s="4">
        <v>19247.96</v>
      </c>
      <c r="AB298" s="126">
        <f t="shared" si="15"/>
        <v>461951.04000000015</v>
      </c>
      <c r="AC298" s="126">
        <v>20</v>
      </c>
      <c r="AD298" s="127">
        <f>(AB298*AC298)+(AB299*AC299)+(AB300*AC300)+(AB301*AC301)</f>
        <v>12934629.120000003</v>
      </c>
    </row>
    <row r="299" spans="2:30">
      <c r="B299" s="128"/>
      <c r="C299" s="129" t="s">
        <v>6</v>
      </c>
      <c r="D299" s="1">
        <v>19247.96</v>
      </c>
      <c r="E299" s="1">
        <v>19247.96</v>
      </c>
      <c r="F299" s="1">
        <v>19247.96</v>
      </c>
      <c r="G299" s="1">
        <v>19247.96</v>
      </c>
      <c r="H299" s="1">
        <v>19247.96</v>
      </c>
      <c r="I299" s="1">
        <v>19247.96</v>
      </c>
      <c r="J299" s="1">
        <v>19247.96</v>
      </c>
      <c r="K299" s="1">
        <v>19247.96</v>
      </c>
      <c r="L299" s="1">
        <v>19247.96</v>
      </c>
      <c r="M299" s="1">
        <v>19247.96</v>
      </c>
      <c r="N299" s="1">
        <v>19247.96</v>
      </c>
      <c r="O299" s="1">
        <v>19247.96</v>
      </c>
      <c r="P299" s="1">
        <v>19247.96</v>
      </c>
      <c r="Q299" s="1">
        <v>19247.96</v>
      </c>
      <c r="R299" s="1">
        <v>19247.96</v>
      </c>
      <c r="S299" s="1">
        <v>19247.96</v>
      </c>
      <c r="T299" s="1">
        <v>19247.96</v>
      </c>
      <c r="U299" s="1">
        <v>19247.96</v>
      </c>
      <c r="V299" s="1">
        <v>19247.96</v>
      </c>
      <c r="W299" s="1">
        <v>19247.96</v>
      </c>
      <c r="X299" s="1">
        <v>19247.96</v>
      </c>
      <c r="Y299" s="1">
        <v>19247.96</v>
      </c>
      <c r="Z299" s="1">
        <v>19247.96</v>
      </c>
      <c r="AA299" s="5">
        <v>19247.96</v>
      </c>
      <c r="AB299" s="130">
        <f t="shared" si="15"/>
        <v>461951.04000000015</v>
      </c>
      <c r="AC299" s="130">
        <v>4</v>
      </c>
      <c r="AD299" s="131"/>
    </row>
    <row r="300" spans="2:30">
      <c r="B300" s="128"/>
      <c r="C300" s="129" t="s">
        <v>7</v>
      </c>
      <c r="D300" s="1">
        <v>19247.96</v>
      </c>
      <c r="E300" s="1">
        <v>19247.96</v>
      </c>
      <c r="F300" s="1">
        <v>19247.96</v>
      </c>
      <c r="G300" s="1">
        <v>19247.96</v>
      </c>
      <c r="H300" s="1">
        <v>19247.96</v>
      </c>
      <c r="I300" s="1">
        <v>19247.96</v>
      </c>
      <c r="J300" s="1">
        <v>19247.96</v>
      </c>
      <c r="K300" s="1">
        <v>19247.96</v>
      </c>
      <c r="L300" s="1">
        <v>19247.96</v>
      </c>
      <c r="M300" s="1">
        <v>19247.96</v>
      </c>
      <c r="N300" s="1">
        <v>19247.96</v>
      </c>
      <c r="O300" s="1">
        <v>19247.96</v>
      </c>
      <c r="P300" s="1">
        <v>19247.96</v>
      </c>
      <c r="Q300" s="1">
        <v>19247.96</v>
      </c>
      <c r="R300" s="1">
        <v>19247.96</v>
      </c>
      <c r="S300" s="1">
        <v>19247.96</v>
      </c>
      <c r="T300" s="1">
        <v>19247.96</v>
      </c>
      <c r="U300" s="1">
        <v>19247.96</v>
      </c>
      <c r="V300" s="1">
        <v>19247.96</v>
      </c>
      <c r="W300" s="1">
        <v>19247.96</v>
      </c>
      <c r="X300" s="1">
        <v>19247.96</v>
      </c>
      <c r="Y300" s="1">
        <v>19247.96</v>
      </c>
      <c r="Z300" s="1">
        <v>19247.96</v>
      </c>
      <c r="AA300" s="5">
        <v>19247.96</v>
      </c>
      <c r="AB300" s="130">
        <f t="shared" si="15"/>
        <v>461951.04000000015</v>
      </c>
      <c r="AC300" s="130">
        <v>4</v>
      </c>
      <c r="AD300" s="131"/>
    </row>
    <row r="301" spans="2:30" ht="15" thickBot="1">
      <c r="B301" s="132"/>
      <c r="C301" s="133" t="s">
        <v>8</v>
      </c>
      <c r="D301" s="3">
        <v>19247.96</v>
      </c>
      <c r="E301" s="3">
        <v>19247.96</v>
      </c>
      <c r="F301" s="3">
        <v>19247.96</v>
      </c>
      <c r="G301" s="3">
        <v>19247.96</v>
      </c>
      <c r="H301" s="3">
        <v>19247.96</v>
      </c>
      <c r="I301" s="3">
        <v>19247.96</v>
      </c>
      <c r="J301" s="3">
        <v>19247.96</v>
      </c>
      <c r="K301" s="3">
        <v>19247.96</v>
      </c>
      <c r="L301" s="3">
        <v>19247.96</v>
      </c>
      <c r="M301" s="3">
        <v>19247.96</v>
      </c>
      <c r="N301" s="3">
        <v>19247.96</v>
      </c>
      <c r="O301" s="3">
        <v>19247.96</v>
      </c>
      <c r="P301" s="3">
        <v>19247.96</v>
      </c>
      <c r="Q301" s="3">
        <v>19247.96</v>
      </c>
      <c r="R301" s="3">
        <v>19247.96</v>
      </c>
      <c r="S301" s="3">
        <v>19247.96</v>
      </c>
      <c r="T301" s="3">
        <v>19247.96</v>
      </c>
      <c r="U301" s="3">
        <v>19247.96</v>
      </c>
      <c r="V301" s="3">
        <v>19247.96</v>
      </c>
      <c r="W301" s="3">
        <v>19247.96</v>
      </c>
      <c r="X301" s="3">
        <v>19247.96</v>
      </c>
      <c r="Y301" s="3">
        <v>19247.96</v>
      </c>
      <c r="Z301" s="3">
        <v>19247.96</v>
      </c>
      <c r="AA301" s="6">
        <v>19247.96</v>
      </c>
      <c r="AB301" s="134">
        <f t="shared" si="15"/>
        <v>461951.04000000015</v>
      </c>
      <c r="AC301" s="134">
        <v>0</v>
      </c>
      <c r="AD301" s="135"/>
    </row>
    <row r="302" spans="2:30">
      <c r="B302" s="124">
        <v>49369</v>
      </c>
      <c r="C302" s="125" t="s">
        <v>5</v>
      </c>
      <c r="D302" s="2">
        <v>19247.96</v>
      </c>
      <c r="E302" s="2">
        <v>19247.96</v>
      </c>
      <c r="F302" s="2">
        <v>19247.96</v>
      </c>
      <c r="G302" s="2">
        <v>19247.96</v>
      </c>
      <c r="H302" s="2">
        <v>19247.96</v>
      </c>
      <c r="I302" s="2">
        <v>19247.96</v>
      </c>
      <c r="J302" s="2">
        <v>19247.96</v>
      </c>
      <c r="K302" s="2">
        <v>19247.96</v>
      </c>
      <c r="L302" s="2">
        <v>19247.96</v>
      </c>
      <c r="M302" s="2">
        <v>19247.96</v>
      </c>
      <c r="N302" s="2">
        <v>19247.96</v>
      </c>
      <c r="O302" s="2">
        <v>19247.96</v>
      </c>
      <c r="P302" s="2">
        <v>19247.96</v>
      </c>
      <c r="Q302" s="2">
        <v>19247.96</v>
      </c>
      <c r="R302" s="2">
        <v>19247.96</v>
      </c>
      <c r="S302" s="2">
        <v>19247.96</v>
      </c>
      <c r="T302" s="2">
        <v>19247.96</v>
      </c>
      <c r="U302" s="2">
        <v>19247.96</v>
      </c>
      <c r="V302" s="2">
        <v>19247.96</v>
      </c>
      <c r="W302" s="2">
        <v>19247.96</v>
      </c>
      <c r="X302" s="2">
        <v>19247.96</v>
      </c>
      <c r="Y302" s="2">
        <v>19247.96</v>
      </c>
      <c r="Z302" s="2">
        <v>19247.96</v>
      </c>
      <c r="AA302" s="4">
        <v>19247.96</v>
      </c>
      <c r="AB302" s="126">
        <f t="shared" si="15"/>
        <v>461951.04000000015</v>
      </c>
      <c r="AC302" s="126">
        <v>19</v>
      </c>
      <c r="AD302" s="127">
        <f>(AB302*AC302)+(AB303*AC303)+(AB304*AC304)+(AB305*AC305)</f>
        <v>14320482.240000006</v>
      </c>
    </row>
    <row r="303" spans="2:30">
      <c r="B303" s="128"/>
      <c r="C303" s="129" t="s">
        <v>6</v>
      </c>
      <c r="D303" s="1">
        <v>19247.96</v>
      </c>
      <c r="E303" s="1">
        <v>19247.96</v>
      </c>
      <c r="F303" s="1">
        <v>19247.96</v>
      </c>
      <c r="G303" s="1">
        <v>19247.96</v>
      </c>
      <c r="H303" s="1">
        <v>19247.96</v>
      </c>
      <c r="I303" s="1">
        <v>19247.96</v>
      </c>
      <c r="J303" s="1">
        <v>19247.96</v>
      </c>
      <c r="K303" s="1">
        <v>19247.96</v>
      </c>
      <c r="L303" s="1">
        <v>19247.96</v>
      </c>
      <c r="M303" s="1">
        <v>19247.96</v>
      </c>
      <c r="N303" s="1">
        <v>19247.96</v>
      </c>
      <c r="O303" s="1">
        <v>19247.96</v>
      </c>
      <c r="P303" s="1">
        <v>19247.96</v>
      </c>
      <c r="Q303" s="1">
        <v>19247.96</v>
      </c>
      <c r="R303" s="1">
        <v>19247.96</v>
      </c>
      <c r="S303" s="1">
        <v>19247.96</v>
      </c>
      <c r="T303" s="1">
        <v>19247.96</v>
      </c>
      <c r="U303" s="1">
        <v>19247.96</v>
      </c>
      <c r="V303" s="1">
        <v>19247.96</v>
      </c>
      <c r="W303" s="1">
        <v>19247.96</v>
      </c>
      <c r="X303" s="1">
        <v>19247.96</v>
      </c>
      <c r="Y303" s="1">
        <v>19247.96</v>
      </c>
      <c r="Z303" s="1">
        <v>19247.96</v>
      </c>
      <c r="AA303" s="5">
        <v>19247.96</v>
      </c>
      <c r="AB303" s="130">
        <f t="shared" si="15"/>
        <v>461951.04000000015</v>
      </c>
      <c r="AC303" s="130">
        <v>5</v>
      </c>
      <c r="AD303" s="131"/>
    </row>
    <row r="304" spans="2:30">
      <c r="B304" s="128"/>
      <c r="C304" s="129" t="s">
        <v>7</v>
      </c>
      <c r="D304" s="1">
        <v>19247.96</v>
      </c>
      <c r="E304" s="1">
        <v>19247.96</v>
      </c>
      <c r="F304" s="1">
        <v>19247.96</v>
      </c>
      <c r="G304" s="1">
        <v>19247.96</v>
      </c>
      <c r="H304" s="1">
        <v>19247.96</v>
      </c>
      <c r="I304" s="1">
        <v>19247.96</v>
      </c>
      <c r="J304" s="1">
        <v>19247.96</v>
      </c>
      <c r="K304" s="1">
        <v>19247.96</v>
      </c>
      <c r="L304" s="1">
        <v>19247.96</v>
      </c>
      <c r="M304" s="1">
        <v>19247.96</v>
      </c>
      <c r="N304" s="1">
        <v>19247.96</v>
      </c>
      <c r="O304" s="1">
        <v>19247.96</v>
      </c>
      <c r="P304" s="1">
        <v>19247.96</v>
      </c>
      <c r="Q304" s="1">
        <v>19247.96</v>
      </c>
      <c r="R304" s="1">
        <v>19247.96</v>
      </c>
      <c r="S304" s="1">
        <v>19247.96</v>
      </c>
      <c r="T304" s="1">
        <v>19247.96</v>
      </c>
      <c r="U304" s="1">
        <v>19247.96</v>
      </c>
      <c r="V304" s="1">
        <v>19247.96</v>
      </c>
      <c r="W304" s="1">
        <v>19247.96</v>
      </c>
      <c r="X304" s="1">
        <v>19247.96</v>
      </c>
      <c r="Y304" s="1">
        <v>19247.96</v>
      </c>
      <c r="Z304" s="1">
        <v>19247.96</v>
      </c>
      <c r="AA304" s="5">
        <v>19247.96</v>
      </c>
      <c r="AB304" s="130">
        <f t="shared" si="15"/>
        <v>461951.04000000015</v>
      </c>
      <c r="AC304" s="130">
        <v>4</v>
      </c>
      <c r="AD304" s="131"/>
    </row>
    <row r="305" spans="2:30" ht="15" thickBot="1">
      <c r="B305" s="132"/>
      <c r="C305" s="133" t="s">
        <v>8</v>
      </c>
      <c r="D305" s="3">
        <v>19247.96</v>
      </c>
      <c r="E305" s="3">
        <v>19247.96</v>
      </c>
      <c r="F305" s="3">
        <v>19247.96</v>
      </c>
      <c r="G305" s="3">
        <v>19247.96</v>
      </c>
      <c r="H305" s="3">
        <v>19247.96</v>
      </c>
      <c r="I305" s="3">
        <v>19247.96</v>
      </c>
      <c r="J305" s="3">
        <v>19247.96</v>
      </c>
      <c r="K305" s="3">
        <v>19247.96</v>
      </c>
      <c r="L305" s="3">
        <v>19247.96</v>
      </c>
      <c r="M305" s="3">
        <v>19247.96</v>
      </c>
      <c r="N305" s="3">
        <v>19247.96</v>
      </c>
      <c r="O305" s="3">
        <v>19247.96</v>
      </c>
      <c r="P305" s="3">
        <v>19247.96</v>
      </c>
      <c r="Q305" s="3">
        <v>19247.96</v>
      </c>
      <c r="R305" s="3">
        <v>19247.96</v>
      </c>
      <c r="S305" s="3">
        <v>19247.96</v>
      </c>
      <c r="T305" s="3">
        <v>19247.96</v>
      </c>
      <c r="U305" s="3">
        <v>19247.96</v>
      </c>
      <c r="V305" s="3">
        <v>19247.96</v>
      </c>
      <c r="W305" s="3">
        <v>19247.96</v>
      </c>
      <c r="X305" s="3">
        <v>19247.96</v>
      </c>
      <c r="Y305" s="3">
        <v>19247.96</v>
      </c>
      <c r="Z305" s="3">
        <v>19247.96</v>
      </c>
      <c r="AA305" s="6">
        <v>19247.96</v>
      </c>
      <c r="AB305" s="134">
        <f t="shared" si="15"/>
        <v>461951.04000000015</v>
      </c>
      <c r="AC305" s="134">
        <v>3</v>
      </c>
      <c r="AD305" s="135"/>
    </row>
    <row r="306" spans="2:30">
      <c r="B306" s="124">
        <v>49400</v>
      </c>
      <c r="C306" s="125" t="s">
        <v>5</v>
      </c>
      <c r="D306" s="2">
        <v>19247.96</v>
      </c>
      <c r="E306" s="2">
        <v>19247.96</v>
      </c>
      <c r="F306" s="2">
        <v>19247.96</v>
      </c>
      <c r="G306" s="2">
        <v>19247.96</v>
      </c>
      <c r="H306" s="2">
        <v>19247.96</v>
      </c>
      <c r="I306" s="2">
        <v>19247.96</v>
      </c>
      <c r="J306" s="2">
        <v>19247.96</v>
      </c>
      <c r="K306" s="2">
        <v>19247.96</v>
      </c>
      <c r="L306" s="2">
        <v>19247.96</v>
      </c>
      <c r="M306" s="2">
        <v>19247.96</v>
      </c>
      <c r="N306" s="2">
        <v>19247.96</v>
      </c>
      <c r="O306" s="2">
        <v>19247.96</v>
      </c>
      <c r="P306" s="2">
        <v>19247.96</v>
      </c>
      <c r="Q306" s="2">
        <v>19247.96</v>
      </c>
      <c r="R306" s="2">
        <v>19247.96</v>
      </c>
      <c r="S306" s="2">
        <v>19247.96</v>
      </c>
      <c r="T306" s="2">
        <v>19247.96</v>
      </c>
      <c r="U306" s="2">
        <v>19247.96</v>
      </c>
      <c r="V306" s="2">
        <v>19247.96</v>
      </c>
      <c r="W306" s="2">
        <v>19247.96</v>
      </c>
      <c r="X306" s="2">
        <v>19247.96</v>
      </c>
      <c r="Y306" s="2">
        <v>19247.96</v>
      </c>
      <c r="Z306" s="2">
        <v>19247.96</v>
      </c>
      <c r="AA306" s="4">
        <v>19247.96</v>
      </c>
      <c r="AB306" s="126">
        <f t="shared" si="15"/>
        <v>461951.04000000015</v>
      </c>
      <c r="AC306" s="126">
        <v>21</v>
      </c>
      <c r="AD306" s="127">
        <f>(AB306*AC306)+(AB307*AC307)+(AB308*AC308)+(AB309*AC309)</f>
        <v>13858531.200000005</v>
      </c>
    </row>
    <row r="307" spans="2:30">
      <c r="B307" s="128"/>
      <c r="C307" s="129" t="s">
        <v>6</v>
      </c>
      <c r="D307" s="1">
        <v>19247.96</v>
      </c>
      <c r="E307" s="1">
        <v>19247.96</v>
      </c>
      <c r="F307" s="1">
        <v>19247.96</v>
      </c>
      <c r="G307" s="1">
        <v>19247.96</v>
      </c>
      <c r="H307" s="1">
        <v>19247.96</v>
      </c>
      <c r="I307" s="1">
        <v>19247.96</v>
      </c>
      <c r="J307" s="1">
        <v>19247.96</v>
      </c>
      <c r="K307" s="1">
        <v>19247.96</v>
      </c>
      <c r="L307" s="1">
        <v>19247.96</v>
      </c>
      <c r="M307" s="1">
        <v>19247.96</v>
      </c>
      <c r="N307" s="1">
        <v>19247.96</v>
      </c>
      <c r="O307" s="1">
        <v>19247.96</v>
      </c>
      <c r="P307" s="1">
        <v>19247.96</v>
      </c>
      <c r="Q307" s="1">
        <v>19247.96</v>
      </c>
      <c r="R307" s="1">
        <v>19247.96</v>
      </c>
      <c r="S307" s="1">
        <v>19247.96</v>
      </c>
      <c r="T307" s="1">
        <v>19247.96</v>
      </c>
      <c r="U307" s="1">
        <v>19247.96</v>
      </c>
      <c r="V307" s="1">
        <v>19247.96</v>
      </c>
      <c r="W307" s="1">
        <v>19247.96</v>
      </c>
      <c r="X307" s="1">
        <v>19247.96</v>
      </c>
      <c r="Y307" s="1">
        <v>19247.96</v>
      </c>
      <c r="Z307" s="1">
        <v>19247.96</v>
      </c>
      <c r="AA307" s="5">
        <v>19247.96</v>
      </c>
      <c r="AB307" s="130">
        <f t="shared" si="15"/>
        <v>461951.04000000015</v>
      </c>
      <c r="AC307" s="130">
        <v>4</v>
      </c>
      <c r="AD307" s="131"/>
    </row>
    <row r="308" spans="2:30">
      <c r="B308" s="128"/>
      <c r="C308" s="129" t="s">
        <v>7</v>
      </c>
      <c r="D308" s="1">
        <v>19247.96</v>
      </c>
      <c r="E308" s="1">
        <v>19247.96</v>
      </c>
      <c r="F308" s="1">
        <v>19247.96</v>
      </c>
      <c r="G308" s="1">
        <v>19247.96</v>
      </c>
      <c r="H308" s="1">
        <v>19247.96</v>
      </c>
      <c r="I308" s="1">
        <v>19247.96</v>
      </c>
      <c r="J308" s="1">
        <v>19247.96</v>
      </c>
      <c r="K308" s="1">
        <v>19247.96</v>
      </c>
      <c r="L308" s="1">
        <v>19247.96</v>
      </c>
      <c r="M308" s="1">
        <v>19247.96</v>
      </c>
      <c r="N308" s="1">
        <v>19247.96</v>
      </c>
      <c r="O308" s="1">
        <v>19247.96</v>
      </c>
      <c r="P308" s="1">
        <v>19247.96</v>
      </c>
      <c r="Q308" s="1">
        <v>19247.96</v>
      </c>
      <c r="R308" s="1">
        <v>19247.96</v>
      </c>
      <c r="S308" s="1">
        <v>19247.96</v>
      </c>
      <c r="T308" s="1">
        <v>19247.96</v>
      </c>
      <c r="U308" s="1">
        <v>19247.96</v>
      </c>
      <c r="V308" s="1">
        <v>19247.96</v>
      </c>
      <c r="W308" s="1">
        <v>19247.96</v>
      </c>
      <c r="X308" s="1">
        <v>19247.96</v>
      </c>
      <c r="Y308" s="1">
        <v>19247.96</v>
      </c>
      <c r="Z308" s="1">
        <v>19247.96</v>
      </c>
      <c r="AA308" s="5">
        <v>19247.96</v>
      </c>
      <c r="AB308" s="130">
        <f t="shared" si="15"/>
        <v>461951.04000000015</v>
      </c>
      <c r="AC308" s="130">
        <v>5</v>
      </c>
      <c r="AD308" s="131"/>
    </row>
    <row r="309" spans="2:30" ht="15" thickBot="1">
      <c r="B309" s="132"/>
      <c r="C309" s="133" t="s">
        <v>8</v>
      </c>
      <c r="D309" s="3">
        <v>19247.96</v>
      </c>
      <c r="E309" s="3">
        <v>19247.96</v>
      </c>
      <c r="F309" s="3">
        <v>19247.96</v>
      </c>
      <c r="G309" s="3">
        <v>19247.96</v>
      </c>
      <c r="H309" s="3">
        <v>19247.96</v>
      </c>
      <c r="I309" s="3">
        <v>19247.96</v>
      </c>
      <c r="J309" s="3">
        <v>19247.96</v>
      </c>
      <c r="K309" s="3">
        <v>19247.96</v>
      </c>
      <c r="L309" s="3">
        <v>19247.96</v>
      </c>
      <c r="M309" s="3">
        <v>19247.96</v>
      </c>
      <c r="N309" s="3">
        <v>19247.96</v>
      </c>
      <c r="O309" s="3">
        <v>19247.96</v>
      </c>
      <c r="P309" s="3">
        <v>19247.96</v>
      </c>
      <c r="Q309" s="3">
        <v>19247.96</v>
      </c>
      <c r="R309" s="3">
        <v>19247.96</v>
      </c>
      <c r="S309" s="3">
        <v>19247.96</v>
      </c>
      <c r="T309" s="3">
        <v>19247.96</v>
      </c>
      <c r="U309" s="3">
        <v>19247.96</v>
      </c>
      <c r="V309" s="3">
        <v>19247.96</v>
      </c>
      <c r="W309" s="3">
        <v>19247.96</v>
      </c>
      <c r="X309" s="3">
        <v>19247.96</v>
      </c>
      <c r="Y309" s="3">
        <v>19247.96</v>
      </c>
      <c r="Z309" s="3">
        <v>19247.96</v>
      </c>
      <c r="AA309" s="6">
        <v>19247.96</v>
      </c>
      <c r="AB309" s="134">
        <f t="shared" si="15"/>
        <v>461951.04000000015</v>
      </c>
      <c r="AC309" s="134">
        <v>0</v>
      </c>
      <c r="AD309" s="135"/>
    </row>
    <row r="310" spans="2:30">
      <c r="B310" s="124">
        <v>49430</v>
      </c>
      <c r="C310" s="125" t="s">
        <v>5</v>
      </c>
      <c r="D310" s="2">
        <v>19247.96</v>
      </c>
      <c r="E310" s="2">
        <v>19247.96</v>
      </c>
      <c r="F310" s="2">
        <v>19247.96</v>
      </c>
      <c r="G310" s="2">
        <v>19247.96</v>
      </c>
      <c r="H310" s="2">
        <v>19247.96</v>
      </c>
      <c r="I310" s="2">
        <v>19247.96</v>
      </c>
      <c r="J310" s="2">
        <v>19247.96</v>
      </c>
      <c r="K310" s="2">
        <v>19247.96</v>
      </c>
      <c r="L310" s="2">
        <v>19247.96</v>
      </c>
      <c r="M310" s="2">
        <v>19247.96</v>
      </c>
      <c r="N310" s="2">
        <v>19247.96</v>
      </c>
      <c r="O310" s="2">
        <v>19247.96</v>
      </c>
      <c r="P310" s="2">
        <v>19247.96</v>
      </c>
      <c r="Q310" s="2">
        <v>19247.96</v>
      </c>
      <c r="R310" s="2">
        <v>19247.96</v>
      </c>
      <c r="S310" s="2">
        <v>19247.96</v>
      </c>
      <c r="T310" s="2">
        <v>19247.96</v>
      </c>
      <c r="U310" s="2">
        <v>19247.96</v>
      </c>
      <c r="V310" s="2">
        <v>19247.96</v>
      </c>
      <c r="W310" s="2">
        <v>19247.96</v>
      </c>
      <c r="X310" s="2">
        <v>19247.96</v>
      </c>
      <c r="Y310" s="2">
        <v>19247.96</v>
      </c>
      <c r="Z310" s="2">
        <v>19247.96</v>
      </c>
      <c r="AA310" s="4">
        <v>19247.96</v>
      </c>
      <c r="AB310" s="126">
        <f t="shared" si="15"/>
        <v>461951.04000000015</v>
      </c>
      <c r="AC310" s="126">
        <v>20</v>
      </c>
      <c r="AD310" s="127">
        <f>(AB310*AC310)+(AB311*AC311)+(AB312*AC312)+(AB313*AC313)</f>
        <v>14320482.240000004</v>
      </c>
    </row>
    <row r="311" spans="2:30">
      <c r="B311" s="128"/>
      <c r="C311" s="129" t="s">
        <v>6</v>
      </c>
      <c r="D311" s="1">
        <v>19247.96</v>
      </c>
      <c r="E311" s="1">
        <v>19247.96</v>
      </c>
      <c r="F311" s="1">
        <v>19247.96</v>
      </c>
      <c r="G311" s="1">
        <v>19247.96</v>
      </c>
      <c r="H311" s="1">
        <v>19247.96</v>
      </c>
      <c r="I311" s="1">
        <v>19247.96</v>
      </c>
      <c r="J311" s="1">
        <v>19247.96</v>
      </c>
      <c r="K311" s="1">
        <v>19247.96</v>
      </c>
      <c r="L311" s="1">
        <v>19247.96</v>
      </c>
      <c r="M311" s="1">
        <v>19247.96</v>
      </c>
      <c r="N311" s="1">
        <v>19247.96</v>
      </c>
      <c r="O311" s="1">
        <v>19247.96</v>
      </c>
      <c r="P311" s="1">
        <v>19247.96</v>
      </c>
      <c r="Q311" s="1">
        <v>19247.96</v>
      </c>
      <c r="R311" s="1">
        <v>19247.96</v>
      </c>
      <c r="S311" s="1">
        <v>19247.96</v>
      </c>
      <c r="T311" s="1">
        <v>19247.96</v>
      </c>
      <c r="U311" s="1">
        <v>19247.96</v>
      </c>
      <c r="V311" s="1">
        <v>19247.96</v>
      </c>
      <c r="W311" s="1">
        <v>19247.96</v>
      </c>
      <c r="X311" s="1">
        <v>19247.96</v>
      </c>
      <c r="Y311" s="1">
        <v>19247.96</v>
      </c>
      <c r="Z311" s="1">
        <v>19247.96</v>
      </c>
      <c r="AA311" s="5">
        <v>19247.96</v>
      </c>
      <c r="AB311" s="130">
        <f t="shared" si="15"/>
        <v>461951.04000000015</v>
      </c>
      <c r="AC311" s="130">
        <v>4</v>
      </c>
      <c r="AD311" s="131"/>
    </row>
    <row r="312" spans="2:30">
      <c r="B312" s="128"/>
      <c r="C312" s="129" t="s">
        <v>7</v>
      </c>
      <c r="D312" s="1">
        <v>19247.96</v>
      </c>
      <c r="E312" s="1">
        <v>19247.96</v>
      </c>
      <c r="F312" s="1">
        <v>19247.96</v>
      </c>
      <c r="G312" s="1">
        <v>19247.96</v>
      </c>
      <c r="H312" s="1">
        <v>19247.96</v>
      </c>
      <c r="I312" s="1">
        <v>19247.96</v>
      </c>
      <c r="J312" s="1">
        <v>19247.96</v>
      </c>
      <c r="K312" s="1">
        <v>19247.96</v>
      </c>
      <c r="L312" s="1">
        <v>19247.96</v>
      </c>
      <c r="M312" s="1">
        <v>19247.96</v>
      </c>
      <c r="N312" s="1">
        <v>19247.96</v>
      </c>
      <c r="O312" s="1">
        <v>19247.96</v>
      </c>
      <c r="P312" s="1">
        <v>19247.96</v>
      </c>
      <c r="Q312" s="1">
        <v>19247.96</v>
      </c>
      <c r="R312" s="1">
        <v>19247.96</v>
      </c>
      <c r="S312" s="1">
        <v>19247.96</v>
      </c>
      <c r="T312" s="1">
        <v>19247.96</v>
      </c>
      <c r="U312" s="1">
        <v>19247.96</v>
      </c>
      <c r="V312" s="1">
        <v>19247.96</v>
      </c>
      <c r="W312" s="1">
        <v>19247.96</v>
      </c>
      <c r="X312" s="1">
        <v>19247.96</v>
      </c>
      <c r="Y312" s="1">
        <v>19247.96</v>
      </c>
      <c r="Z312" s="1">
        <v>19247.96</v>
      </c>
      <c r="AA312" s="5">
        <v>19247.96</v>
      </c>
      <c r="AB312" s="130">
        <f t="shared" si="15"/>
        <v>461951.04000000015</v>
      </c>
      <c r="AC312" s="130">
        <v>4</v>
      </c>
      <c r="AD312" s="131"/>
    </row>
    <row r="313" spans="2:30" ht="15" thickBot="1">
      <c r="B313" s="132"/>
      <c r="C313" s="133" t="s">
        <v>8</v>
      </c>
      <c r="D313" s="3">
        <v>19247.96</v>
      </c>
      <c r="E313" s="3">
        <v>19247.96</v>
      </c>
      <c r="F313" s="3">
        <v>19247.96</v>
      </c>
      <c r="G313" s="3">
        <v>19247.96</v>
      </c>
      <c r="H313" s="3">
        <v>19247.96</v>
      </c>
      <c r="I313" s="3">
        <v>19247.96</v>
      </c>
      <c r="J313" s="3">
        <v>19247.96</v>
      </c>
      <c r="K313" s="3">
        <v>19247.96</v>
      </c>
      <c r="L313" s="3">
        <v>19247.96</v>
      </c>
      <c r="M313" s="3">
        <v>19247.96</v>
      </c>
      <c r="N313" s="3">
        <v>19247.96</v>
      </c>
      <c r="O313" s="3">
        <v>19247.96</v>
      </c>
      <c r="P313" s="3">
        <v>19247.96</v>
      </c>
      <c r="Q313" s="3">
        <v>19247.96</v>
      </c>
      <c r="R313" s="3">
        <v>19247.96</v>
      </c>
      <c r="S313" s="3">
        <v>19247.96</v>
      </c>
      <c r="T313" s="3">
        <v>19247.96</v>
      </c>
      <c r="U313" s="3">
        <v>19247.96</v>
      </c>
      <c r="V313" s="3">
        <v>19247.96</v>
      </c>
      <c r="W313" s="3">
        <v>19247.96</v>
      </c>
      <c r="X313" s="3">
        <v>19247.96</v>
      </c>
      <c r="Y313" s="3">
        <v>19247.96</v>
      </c>
      <c r="Z313" s="3">
        <v>19247.96</v>
      </c>
      <c r="AA313" s="6">
        <v>19247.96</v>
      </c>
      <c r="AB313" s="134">
        <f t="shared" si="15"/>
        <v>461951.04000000015</v>
      </c>
      <c r="AC313" s="134">
        <v>3</v>
      </c>
      <c r="AD313" s="135"/>
    </row>
    <row r="314" spans="2:30">
      <c r="B314" s="124">
        <v>49461</v>
      </c>
      <c r="C314" s="125" t="s">
        <v>5</v>
      </c>
      <c r="D314" s="2">
        <v>19247.96</v>
      </c>
      <c r="E314" s="2">
        <v>19247.96</v>
      </c>
      <c r="F314" s="2">
        <v>19247.96</v>
      </c>
      <c r="G314" s="2">
        <v>19247.96</v>
      </c>
      <c r="H314" s="2">
        <v>19247.96</v>
      </c>
      <c r="I314" s="2">
        <v>19247.96</v>
      </c>
      <c r="J314" s="2">
        <v>19247.96</v>
      </c>
      <c r="K314" s="2">
        <v>19247.96</v>
      </c>
      <c r="L314" s="2">
        <v>19247.96</v>
      </c>
      <c r="M314" s="2">
        <v>19247.96</v>
      </c>
      <c r="N314" s="2">
        <v>19247.96</v>
      </c>
      <c r="O314" s="2">
        <v>19247.96</v>
      </c>
      <c r="P314" s="2">
        <v>19247.96</v>
      </c>
      <c r="Q314" s="2">
        <v>19247.96</v>
      </c>
      <c r="R314" s="2">
        <v>19247.96</v>
      </c>
      <c r="S314" s="2">
        <v>19247.96</v>
      </c>
      <c r="T314" s="2">
        <v>19247.96</v>
      </c>
      <c r="U314" s="2">
        <v>19247.96</v>
      </c>
      <c r="V314" s="2">
        <v>19247.96</v>
      </c>
      <c r="W314" s="2">
        <v>19247.96</v>
      </c>
      <c r="X314" s="2">
        <v>19247.96</v>
      </c>
      <c r="Y314" s="2">
        <v>19247.96</v>
      </c>
      <c r="Z314" s="2">
        <v>19247.96</v>
      </c>
      <c r="AA314" s="4">
        <v>19247.96</v>
      </c>
      <c r="AB314" s="126">
        <f t="shared" si="15"/>
        <v>461951.04000000015</v>
      </c>
      <c r="AC314" s="126">
        <v>20</v>
      </c>
      <c r="AD314" s="127">
        <f>(AB314*AC314)+(AB315*AC315)+(AB316*AC316)+(AB317*AC317)</f>
        <v>13858531.200000005</v>
      </c>
    </row>
    <row r="315" spans="2:30">
      <c r="B315" s="128"/>
      <c r="C315" s="129" t="s">
        <v>6</v>
      </c>
      <c r="D315" s="1">
        <v>19247.96</v>
      </c>
      <c r="E315" s="1">
        <v>19247.96</v>
      </c>
      <c r="F315" s="1">
        <v>19247.96</v>
      </c>
      <c r="G315" s="1">
        <v>19247.96</v>
      </c>
      <c r="H315" s="1">
        <v>19247.96</v>
      </c>
      <c r="I315" s="1">
        <v>19247.96</v>
      </c>
      <c r="J315" s="1">
        <v>19247.96</v>
      </c>
      <c r="K315" s="1">
        <v>19247.96</v>
      </c>
      <c r="L315" s="1">
        <v>19247.96</v>
      </c>
      <c r="M315" s="1">
        <v>19247.96</v>
      </c>
      <c r="N315" s="1">
        <v>19247.96</v>
      </c>
      <c r="O315" s="1">
        <v>19247.96</v>
      </c>
      <c r="P315" s="1">
        <v>19247.96</v>
      </c>
      <c r="Q315" s="1">
        <v>19247.96</v>
      </c>
      <c r="R315" s="1">
        <v>19247.96</v>
      </c>
      <c r="S315" s="1">
        <v>19247.96</v>
      </c>
      <c r="T315" s="1">
        <v>19247.96</v>
      </c>
      <c r="U315" s="1">
        <v>19247.96</v>
      </c>
      <c r="V315" s="1">
        <v>19247.96</v>
      </c>
      <c r="W315" s="1">
        <v>19247.96</v>
      </c>
      <c r="X315" s="1">
        <v>19247.96</v>
      </c>
      <c r="Y315" s="1">
        <v>19247.96</v>
      </c>
      <c r="Z315" s="1">
        <v>19247.96</v>
      </c>
      <c r="AA315" s="5">
        <v>19247.96</v>
      </c>
      <c r="AB315" s="130">
        <f t="shared" si="15"/>
        <v>461951.04000000015</v>
      </c>
      <c r="AC315" s="130">
        <v>5</v>
      </c>
      <c r="AD315" s="131"/>
    </row>
    <row r="316" spans="2:30">
      <c r="B316" s="128"/>
      <c r="C316" s="129" t="s">
        <v>7</v>
      </c>
      <c r="D316" s="1">
        <v>19247.96</v>
      </c>
      <c r="E316" s="1">
        <v>19247.96</v>
      </c>
      <c r="F316" s="1">
        <v>19247.96</v>
      </c>
      <c r="G316" s="1">
        <v>19247.96</v>
      </c>
      <c r="H316" s="1">
        <v>19247.96</v>
      </c>
      <c r="I316" s="1">
        <v>19247.96</v>
      </c>
      <c r="J316" s="1">
        <v>19247.96</v>
      </c>
      <c r="K316" s="1">
        <v>19247.96</v>
      </c>
      <c r="L316" s="1">
        <v>19247.96</v>
      </c>
      <c r="M316" s="1">
        <v>19247.96</v>
      </c>
      <c r="N316" s="1">
        <v>19247.96</v>
      </c>
      <c r="O316" s="1">
        <v>19247.96</v>
      </c>
      <c r="P316" s="1">
        <v>19247.96</v>
      </c>
      <c r="Q316" s="1">
        <v>19247.96</v>
      </c>
      <c r="R316" s="1">
        <v>19247.96</v>
      </c>
      <c r="S316" s="1">
        <v>19247.96</v>
      </c>
      <c r="T316" s="1">
        <v>19247.96</v>
      </c>
      <c r="U316" s="1">
        <v>19247.96</v>
      </c>
      <c r="V316" s="1">
        <v>19247.96</v>
      </c>
      <c r="W316" s="1">
        <v>19247.96</v>
      </c>
      <c r="X316" s="1">
        <v>19247.96</v>
      </c>
      <c r="Y316" s="1">
        <v>19247.96</v>
      </c>
      <c r="Z316" s="1">
        <v>19247.96</v>
      </c>
      <c r="AA316" s="5">
        <v>19247.96</v>
      </c>
      <c r="AB316" s="130">
        <f t="shared" si="15"/>
        <v>461951.04000000015</v>
      </c>
      <c r="AC316" s="130">
        <v>4</v>
      </c>
      <c r="AD316" s="131"/>
    </row>
    <row r="317" spans="2:30" ht="15" thickBot="1">
      <c r="B317" s="132"/>
      <c r="C317" s="133" t="s">
        <v>8</v>
      </c>
      <c r="D317" s="3">
        <v>19247.96</v>
      </c>
      <c r="E317" s="3">
        <v>19247.96</v>
      </c>
      <c r="F317" s="3">
        <v>19247.96</v>
      </c>
      <c r="G317" s="3">
        <v>19247.96</v>
      </c>
      <c r="H317" s="3">
        <v>19247.96</v>
      </c>
      <c r="I317" s="3">
        <v>19247.96</v>
      </c>
      <c r="J317" s="3">
        <v>19247.96</v>
      </c>
      <c r="K317" s="3">
        <v>19247.96</v>
      </c>
      <c r="L317" s="3">
        <v>19247.96</v>
      </c>
      <c r="M317" s="3">
        <v>19247.96</v>
      </c>
      <c r="N317" s="3">
        <v>19247.96</v>
      </c>
      <c r="O317" s="3">
        <v>19247.96</v>
      </c>
      <c r="P317" s="3">
        <v>19247.96</v>
      </c>
      <c r="Q317" s="3">
        <v>19247.96</v>
      </c>
      <c r="R317" s="3">
        <v>19247.96</v>
      </c>
      <c r="S317" s="3">
        <v>19247.96</v>
      </c>
      <c r="T317" s="3">
        <v>19247.96</v>
      </c>
      <c r="U317" s="3">
        <v>19247.96</v>
      </c>
      <c r="V317" s="3">
        <v>19247.96</v>
      </c>
      <c r="W317" s="3">
        <v>19247.96</v>
      </c>
      <c r="X317" s="3">
        <v>19247.96</v>
      </c>
      <c r="Y317" s="3">
        <v>19247.96</v>
      </c>
      <c r="Z317" s="3">
        <v>19247.96</v>
      </c>
      <c r="AA317" s="6">
        <v>19247.96</v>
      </c>
      <c r="AB317" s="134">
        <f t="shared" si="15"/>
        <v>461951.04000000015</v>
      </c>
      <c r="AC317" s="134">
        <v>1</v>
      </c>
      <c r="AD317" s="135"/>
    </row>
    <row r="318" spans="2:30">
      <c r="B318" s="124">
        <v>49491</v>
      </c>
      <c r="C318" s="125" t="s">
        <v>5</v>
      </c>
      <c r="D318" s="2">
        <v>19247.96</v>
      </c>
      <c r="E318" s="2">
        <v>19247.96</v>
      </c>
      <c r="F318" s="2">
        <v>19247.96</v>
      </c>
      <c r="G318" s="2">
        <v>19247.96</v>
      </c>
      <c r="H318" s="2">
        <v>19247.96</v>
      </c>
      <c r="I318" s="2">
        <v>19247.96</v>
      </c>
      <c r="J318" s="2">
        <v>19247.96</v>
      </c>
      <c r="K318" s="2">
        <v>19247.96</v>
      </c>
      <c r="L318" s="2">
        <v>19247.96</v>
      </c>
      <c r="M318" s="2">
        <v>19247.96</v>
      </c>
      <c r="N318" s="2">
        <v>19247.96</v>
      </c>
      <c r="O318" s="2">
        <v>19247.96</v>
      </c>
      <c r="P318" s="2">
        <v>19247.96</v>
      </c>
      <c r="Q318" s="2">
        <v>19247.96</v>
      </c>
      <c r="R318" s="2">
        <v>19247.96</v>
      </c>
      <c r="S318" s="2">
        <v>19247.96</v>
      </c>
      <c r="T318" s="2">
        <v>19247.96</v>
      </c>
      <c r="U318" s="2">
        <v>19247.96</v>
      </c>
      <c r="V318" s="2">
        <v>19247.96</v>
      </c>
      <c r="W318" s="2">
        <v>19247.96</v>
      </c>
      <c r="X318" s="2">
        <v>19247.96</v>
      </c>
      <c r="Y318" s="2">
        <v>19247.96</v>
      </c>
      <c r="Z318" s="2">
        <v>19247.96</v>
      </c>
      <c r="AA318" s="4">
        <v>19247.96</v>
      </c>
      <c r="AB318" s="126">
        <f t="shared" si="15"/>
        <v>461951.04000000015</v>
      </c>
      <c r="AC318" s="126">
        <v>20</v>
      </c>
      <c r="AD318" s="127">
        <f>(AB318*AC318)+(AB319*AC319)+(AB320*AC320)+(AB321*AC321)</f>
        <v>14320482.240000004</v>
      </c>
    </row>
    <row r="319" spans="2:30">
      <c r="B319" s="128"/>
      <c r="C319" s="129" t="s">
        <v>6</v>
      </c>
      <c r="D319" s="1">
        <v>19247.96</v>
      </c>
      <c r="E319" s="1">
        <v>19247.96</v>
      </c>
      <c r="F319" s="1">
        <v>19247.96</v>
      </c>
      <c r="G319" s="1">
        <v>19247.96</v>
      </c>
      <c r="H319" s="1">
        <v>19247.96</v>
      </c>
      <c r="I319" s="1">
        <v>19247.96</v>
      </c>
      <c r="J319" s="1">
        <v>19247.96</v>
      </c>
      <c r="K319" s="1">
        <v>19247.96</v>
      </c>
      <c r="L319" s="1">
        <v>19247.96</v>
      </c>
      <c r="M319" s="1">
        <v>19247.96</v>
      </c>
      <c r="N319" s="1">
        <v>19247.96</v>
      </c>
      <c r="O319" s="1">
        <v>19247.96</v>
      </c>
      <c r="P319" s="1">
        <v>19247.96</v>
      </c>
      <c r="Q319" s="1">
        <v>19247.96</v>
      </c>
      <c r="R319" s="1">
        <v>19247.96</v>
      </c>
      <c r="S319" s="1">
        <v>19247.96</v>
      </c>
      <c r="T319" s="1">
        <v>19247.96</v>
      </c>
      <c r="U319" s="1">
        <v>19247.96</v>
      </c>
      <c r="V319" s="1">
        <v>19247.96</v>
      </c>
      <c r="W319" s="1">
        <v>19247.96</v>
      </c>
      <c r="X319" s="1">
        <v>19247.96</v>
      </c>
      <c r="Y319" s="1">
        <v>19247.96</v>
      </c>
      <c r="Z319" s="1">
        <v>19247.96</v>
      </c>
      <c r="AA319" s="5">
        <v>19247.96</v>
      </c>
      <c r="AB319" s="130">
        <f t="shared" si="15"/>
        <v>461951.04000000015</v>
      </c>
      <c r="AC319" s="130">
        <v>4</v>
      </c>
      <c r="AD319" s="131"/>
    </row>
    <row r="320" spans="2:30">
      <c r="B320" s="128"/>
      <c r="C320" s="129" t="s">
        <v>4</v>
      </c>
      <c r="D320" s="1">
        <v>19247.96</v>
      </c>
      <c r="E320" s="1">
        <v>19247.96</v>
      </c>
      <c r="F320" s="1">
        <v>19247.96</v>
      </c>
      <c r="G320" s="1">
        <v>19247.96</v>
      </c>
      <c r="H320" s="1">
        <v>19247.96</v>
      </c>
      <c r="I320" s="1">
        <v>19247.96</v>
      </c>
      <c r="J320" s="1">
        <v>19247.96</v>
      </c>
      <c r="K320" s="1">
        <v>19247.96</v>
      </c>
      <c r="L320" s="1">
        <v>19247.96</v>
      </c>
      <c r="M320" s="1">
        <v>19247.96</v>
      </c>
      <c r="N320" s="1">
        <v>19247.96</v>
      </c>
      <c r="O320" s="1">
        <v>19247.96</v>
      </c>
      <c r="P320" s="1">
        <v>19247.96</v>
      </c>
      <c r="Q320" s="1">
        <v>19247.96</v>
      </c>
      <c r="R320" s="1">
        <v>19247.96</v>
      </c>
      <c r="S320" s="1">
        <v>19247.96</v>
      </c>
      <c r="T320" s="1">
        <v>19247.96</v>
      </c>
      <c r="U320" s="1">
        <v>19247.96</v>
      </c>
      <c r="V320" s="1">
        <v>19247.96</v>
      </c>
      <c r="W320" s="1">
        <v>19247.96</v>
      </c>
      <c r="X320" s="1">
        <v>19247.96</v>
      </c>
      <c r="Y320" s="1">
        <v>19247.96</v>
      </c>
      <c r="Z320" s="1">
        <v>19247.96</v>
      </c>
      <c r="AA320" s="5">
        <v>19247.96</v>
      </c>
      <c r="AB320" s="130">
        <f t="shared" si="15"/>
        <v>461951.04000000015</v>
      </c>
      <c r="AC320" s="130">
        <v>5</v>
      </c>
      <c r="AD320" s="131"/>
    </row>
    <row r="321" spans="2:30" ht="15" thickBot="1">
      <c r="B321" s="132"/>
      <c r="C321" s="133" t="s">
        <v>8</v>
      </c>
      <c r="D321" s="3">
        <v>19247.96</v>
      </c>
      <c r="E321" s="3">
        <v>19247.96</v>
      </c>
      <c r="F321" s="3">
        <v>19247.96</v>
      </c>
      <c r="G321" s="3">
        <v>19247.96</v>
      </c>
      <c r="H321" s="3">
        <v>19247.96</v>
      </c>
      <c r="I321" s="3">
        <v>19247.96</v>
      </c>
      <c r="J321" s="3">
        <v>19247.96</v>
      </c>
      <c r="K321" s="3">
        <v>19247.96</v>
      </c>
      <c r="L321" s="3">
        <v>19247.96</v>
      </c>
      <c r="M321" s="3">
        <v>19247.96</v>
      </c>
      <c r="N321" s="3">
        <v>19247.96</v>
      </c>
      <c r="O321" s="3">
        <v>19247.96</v>
      </c>
      <c r="P321" s="3">
        <v>19247.96</v>
      </c>
      <c r="Q321" s="3">
        <v>19247.96</v>
      </c>
      <c r="R321" s="3">
        <v>19247.96</v>
      </c>
      <c r="S321" s="3">
        <v>19247.96</v>
      </c>
      <c r="T321" s="3">
        <v>19247.96</v>
      </c>
      <c r="U321" s="3">
        <v>19247.96</v>
      </c>
      <c r="V321" s="3">
        <v>19247.96</v>
      </c>
      <c r="W321" s="3">
        <v>19247.96</v>
      </c>
      <c r="X321" s="3">
        <v>19247.96</v>
      </c>
      <c r="Y321" s="3">
        <v>19247.96</v>
      </c>
      <c r="Z321" s="3">
        <v>19247.96</v>
      </c>
      <c r="AA321" s="6">
        <v>19247.96</v>
      </c>
      <c r="AB321" s="134">
        <f t="shared" si="15"/>
        <v>461951.04000000015</v>
      </c>
      <c r="AC321" s="134">
        <v>2</v>
      </c>
      <c r="AD321" s="135"/>
    </row>
    <row r="322" spans="2:30">
      <c r="B322" s="124">
        <v>49522</v>
      </c>
      <c r="C322" s="125" t="s">
        <v>5</v>
      </c>
      <c r="D322" s="2">
        <v>19247.96</v>
      </c>
      <c r="E322" s="2">
        <v>19247.96</v>
      </c>
      <c r="F322" s="2">
        <v>19247.96</v>
      </c>
      <c r="G322" s="2">
        <v>19247.96</v>
      </c>
      <c r="H322" s="2">
        <v>19247.96</v>
      </c>
      <c r="I322" s="2">
        <v>19247.96</v>
      </c>
      <c r="J322" s="2">
        <v>19247.96</v>
      </c>
      <c r="K322" s="2">
        <v>19247.96</v>
      </c>
      <c r="L322" s="2">
        <v>19247.96</v>
      </c>
      <c r="M322" s="2">
        <v>19247.96</v>
      </c>
      <c r="N322" s="2">
        <v>19247.96</v>
      </c>
      <c r="O322" s="2">
        <v>19247.96</v>
      </c>
      <c r="P322" s="2">
        <v>19247.96</v>
      </c>
      <c r="Q322" s="2">
        <v>19247.96</v>
      </c>
      <c r="R322" s="2">
        <v>19247.96</v>
      </c>
      <c r="S322" s="2">
        <v>19247.96</v>
      </c>
      <c r="T322" s="2">
        <v>19247.96</v>
      </c>
      <c r="U322" s="2">
        <v>19247.96</v>
      </c>
      <c r="V322" s="2">
        <v>19247.96</v>
      </c>
      <c r="W322" s="2">
        <v>19247.96</v>
      </c>
      <c r="X322" s="2">
        <v>19247.96</v>
      </c>
      <c r="Y322" s="2">
        <v>19247.96</v>
      </c>
      <c r="Z322" s="2">
        <v>19247.96</v>
      </c>
      <c r="AA322" s="4">
        <v>19247.96</v>
      </c>
      <c r="AB322" s="126">
        <f t="shared" si="15"/>
        <v>461951.04000000015</v>
      </c>
      <c r="AC322" s="126">
        <v>21</v>
      </c>
      <c r="AD322" s="127">
        <f>(AB322*AC322)+(AB323*AC323)+(AB324*AC324)+(AB325*AC325)</f>
        <v>14320482.240000004</v>
      </c>
    </row>
    <row r="323" spans="2:30">
      <c r="B323" s="128"/>
      <c r="C323" s="129" t="s">
        <v>6</v>
      </c>
      <c r="D323" s="1">
        <v>19247.96</v>
      </c>
      <c r="E323" s="1">
        <v>19247.96</v>
      </c>
      <c r="F323" s="1">
        <v>19247.96</v>
      </c>
      <c r="G323" s="1">
        <v>19247.96</v>
      </c>
      <c r="H323" s="1">
        <v>19247.96</v>
      </c>
      <c r="I323" s="1">
        <v>19247.96</v>
      </c>
      <c r="J323" s="1">
        <v>19247.96</v>
      </c>
      <c r="K323" s="1">
        <v>19247.96</v>
      </c>
      <c r="L323" s="1">
        <v>19247.96</v>
      </c>
      <c r="M323" s="1">
        <v>19247.96</v>
      </c>
      <c r="N323" s="1">
        <v>19247.96</v>
      </c>
      <c r="O323" s="1">
        <v>19247.96</v>
      </c>
      <c r="P323" s="1">
        <v>19247.96</v>
      </c>
      <c r="Q323" s="1">
        <v>19247.96</v>
      </c>
      <c r="R323" s="1">
        <v>19247.96</v>
      </c>
      <c r="S323" s="1">
        <v>19247.96</v>
      </c>
      <c r="T323" s="1">
        <v>19247.96</v>
      </c>
      <c r="U323" s="1">
        <v>19247.96</v>
      </c>
      <c r="V323" s="1">
        <v>19247.96</v>
      </c>
      <c r="W323" s="1">
        <v>19247.96</v>
      </c>
      <c r="X323" s="1">
        <v>19247.96</v>
      </c>
      <c r="Y323" s="1">
        <v>19247.96</v>
      </c>
      <c r="Z323" s="1">
        <v>19247.96</v>
      </c>
      <c r="AA323" s="5">
        <v>19247.96</v>
      </c>
      <c r="AB323" s="130">
        <f t="shared" si="15"/>
        <v>461951.04000000015</v>
      </c>
      <c r="AC323" s="130">
        <v>4</v>
      </c>
      <c r="AD323" s="131"/>
    </row>
    <row r="324" spans="2:30">
      <c r="B324" s="128"/>
      <c r="C324" s="129" t="s">
        <v>7</v>
      </c>
      <c r="D324" s="1">
        <v>19247.96</v>
      </c>
      <c r="E324" s="1">
        <v>19247.96</v>
      </c>
      <c r="F324" s="1">
        <v>19247.96</v>
      </c>
      <c r="G324" s="1">
        <v>19247.96</v>
      </c>
      <c r="H324" s="1">
        <v>19247.96</v>
      </c>
      <c r="I324" s="1">
        <v>19247.96</v>
      </c>
      <c r="J324" s="1">
        <v>19247.96</v>
      </c>
      <c r="K324" s="1">
        <v>19247.96</v>
      </c>
      <c r="L324" s="1">
        <v>19247.96</v>
      </c>
      <c r="M324" s="1">
        <v>19247.96</v>
      </c>
      <c r="N324" s="1">
        <v>19247.96</v>
      </c>
      <c r="O324" s="1">
        <v>19247.96</v>
      </c>
      <c r="P324" s="1">
        <v>19247.96</v>
      </c>
      <c r="Q324" s="1">
        <v>19247.96</v>
      </c>
      <c r="R324" s="1">
        <v>19247.96</v>
      </c>
      <c r="S324" s="1">
        <v>19247.96</v>
      </c>
      <c r="T324" s="1">
        <v>19247.96</v>
      </c>
      <c r="U324" s="1">
        <v>19247.96</v>
      </c>
      <c r="V324" s="1">
        <v>19247.96</v>
      </c>
      <c r="W324" s="1">
        <v>19247.96</v>
      </c>
      <c r="X324" s="1">
        <v>19247.96</v>
      </c>
      <c r="Y324" s="1">
        <v>19247.96</v>
      </c>
      <c r="Z324" s="1">
        <v>19247.96</v>
      </c>
      <c r="AA324" s="5">
        <v>19247.96</v>
      </c>
      <c r="AB324" s="130">
        <f t="shared" si="15"/>
        <v>461951.04000000015</v>
      </c>
      <c r="AC324" s="130">
        <v>4</v>
      </c>
      <c r="AD324" s="131"/>
    </row>
    <row r="325" spans="2:30" ht="15" thickBot="1">
      <c r="B325" s="132"/>
      <c r="C325" s="133" t="s">
        <v>8</v>
      </c>
      <c r="D325" s="3">
        <v>19247.96</v>
      </c>
      <c r="E325" s="3">
        <v>19247.96</v>
      </c>
      <c r="F325" s="3">
        <v>19247.96</v>
      </c>
      <c r="G325" s="3">
        <v>19247.96</v>
      </c>
      <c r="H325" s="3">
        <v>19247.96</v>
      </c>
      <c r="I325" s="3">
        <v>19247.96</v>
      </c>
      <c r="J325" s="3">
        <v>19247.96</v>
      </c>
      <c r="K325" s="3">
        <v>19247.96</v>
      </c>
      <c r="L325" s="3">
        <v>19247.96</v>
      </c>
      <c r="M325" s="3">
        <v>19247.96</v>
      </c>
      <c r="N325" s="3">
        <v>19247.96</v>
      </c>
      <c r="O325" s="3">
        <v>19247.96</v>
      </c>
      <c r="P325" s="3">
        <v>19247.96</v>
      </c>
      <c r="Q325" s="3">
        <v>19247.96</v>
      </c>
      <c r="R325" s="3">
        <v>19247.96</v>
      </c>
      <c r="S325" s="3">
        <v>19247.96</v>
      </c>
      <c r="T325" s="3">
        <v>19247.96</v>
      </c>
      <c r="U325" s="3">
        <v>19247.96</v>
      </c>
      <c r="V325" s="3">
        <v>19247.96</v>
      </c>
      <c r="W325" s="3">
        <v>19247.96</v>
      </c>
      <c r="X325" s="3">
        <v>19247.96</v>
      </c>
      <c r="Y325" s="3">
        <v>19247.96</v>
      </c>
      <c r="Z325" s="3">
        <v>19247.96</v>
      </c>
      <c r="AA325" s="6">
        <v>19247.96</v>
      </c>
      <c r="AB325" s="134">
        <f t="shared" si="15"/>
        <v>461951.04000000015</v>
      </c>
      <c r="AC325" s="134">
        <v>2</v>
      </c>
      <c r="AD325" s="135"/>
    </row>
    <row r="326" spans="2:30">
      <c r="B326" s="124">
        <v>49553</v>
      </c>
      <c r="C326" s="125" t="s">
        <v>5</v>
      </c>
      <c r="D326" s="2">
        <v>19247.96</v>
      </c>
      <c r="E326" s="2">
        <v>19247.96</v>
      </c>
      <c r="F326" s="2">
        <v>19247.96</v>
      </c>
      <c r="G326" s="2">
        <v>19247.96</v>
      </c>
      <c r="H326" s="2">
        <v>19247.96</v>
      </c>
      <c r="I326" s="2">
        <v>19247.96</v>
      </c>
      <c r="J326" s="2">
        <v>19247.96</v>
      </c>
      <c r="K326" s="2">
        <v>19247.96</v>
      </c>
      <c r="L326" s="2">
        <v>19247.96</v>
      </c>
      <c r="M326" s="2">
        <v>19247.96</v>
      </c>
      <c r="N326" s="2">
        <v>19247.96</v>
      </c>
      <c r="O326" s="2">
        <v>19247.96</v>
      </c>
      <c r="P326" s="2">
        <v>19247.96</v>
      </c>
      <c r="Q326" s="2">
        <v>19247.96</v>
      </c>
      <c r="R326" s="2">
        <v>19247.96</v>
      </c>
      <c r="S326" s="2">
        <v>19247.96</v>
      </c>
      <c r="T326" s="2">
        <v>19247.96</v>
      </c>
      <c r="U326" s="2">
        <v>19247.96</v>
      </c>
      <c r="V326" s="2">
        <v>19247.96</v>
      </c>
      <c r="W326" s="2">
        <v>19247.96</v>
      </c>
      <c r="X326" s="2">
        <v>19247.96</v>
      </c>
      <c r="Y326" s="2">
        <v>19247.96</v>
      </c>
      <c r="Z326" s="2">
        <v>19247.96</v>
      </c>
      <c r="AA326" s="4">
        <v>19247.96</v>
      </c>
      <c r="AB326" s="126">
        <f t="shared" si="15"/>
        <v>461951.04000000015</v>
      </c>
      <c r="AC326" s="126">
        <v>20</v>
      </c>
      <c r="AD326" s="127">
        <f>(AB326*AC326)+(AB327*AC327)+(AB328*AC328)+(AB329*AC329)</f>
        <v>13858531.200000005</v>
      </c>
    </row>
    <row r="327" spans="2:30">
      <c r="B327" s="128"/>
      <c r="C327" s="129" t="s">
        <v>6</v>
      </c>
      <c r="D327" s="1">
        <v>19247.96</v>
      </c>
      <c r="E327" s="1">
        <v>19247.96</v>
      </c>
      <c r="F327" s="1">
        <v>19247.96</v>
      </c>
      <c r="G327" s="1">
        <v>19247.96</v>
      </c>
      <c r="H327" s="1">
        <v>19247.96</v>
      </c>
      <c r="I327" s="1">
        <v>19247.96</v>
      </c>
      <c r="J327" s="1">
        <v>19247.96</v>
      </c>
      <c r="K327" s="1">
        <v>19247.96</v>
      </c>
      <c r="L327" s="1">
        <v>19247.96</v>
      </c>
      <c r="M327" s="1">
        <v>19247.96</v>
      </c>
      <c r="N327" s="1">
        <v>19247.96</v>
      </c>
      <c r="O327" s="1">
        <v>19247.96</v>
      </c>
      <c r="P327" s="1">
        <v>19247.96</v>
      </c>
      <c r="Q327" s="1">
        <v>19247.96</v>
      </c>
      <c r="R327" s="1">
        <v>19247.96</v>
      </c>
      <c r="S327" s="1">
        <v>19247.96</v>
      </c>
      <c r="T327" s="1">
        <v>19247.96</v>
      </c>
      <c r="U327" s="1">
        <v>19247.96</v>
      </c>
      <c r="V327" s="1">
        <v>19247.96</v>
      </c>
      <c r="W327" s="1">
        <v>19247.96</v>
      </c>
      <c r="X327" s="1">
        <v>19247.96</v>
      </c>
      <c r="Y327" s="1">
        <v>19247.96</v>
      </c>
      <c r="Z327" s="1">
        <v>19247.96</v>
      </c>
      <c r="AA327" s="5">
        <v>19247.96</v>
      </c>
      <c r="AB327" s="130">
        <f t="shared" si="15"/>
        <v>461951.04000000015</v>
      </c>
      <c r="AC327" s="130">
        <v>5</v>
      </c>
      <c r="AD327" s="131"/>
    </row>
    <row r="328" spans="2:30">
      <c r="B328" s="128"/>
      <c r="C328" s="129" t="s">
        <v>7</v>
      </c>
      <c r="D328" s="1">
        <v>19247.96</v>
      </c>
      <c r="E328" s="1">
        <v>19247.96</v>
      </c>
      <c r="F328" s="1">
        <v>19247.96</v>
      </c>
      <c r="G328" s="1">
        <v>19247.96</v>
      </c>
      <c r="H328" s="1">
        <v>19247.96</v>
      </c>
      <c r="I328" s="1">
        <v>19247.96</v>
      </c>
      <c r="J328" s="1">
        <v>19247.96</v>
      </c>
      <c r="K328" s="1">
        <v>19247.96</v>
      </c>
      <c r="L328" s="1">
        <v>19247.96</v>
      </c>
      <c r="M328" s="1">
        <v>19247.96</v>
      </c>
      <c r="N328" s="1">
        <v>19247.96</v>
      </c>
      <c r="O328" s="1">
        <v>19247.96</v>
      </c>
      <c r="P328" s="1">
        <v>19247.96</v>
      </c>
      <c r="Q328" s="1">
        <v>19247.96</v>
      </c>
      <c r="R328" s="1">
        <v>19247.96</v>
      </c>
      <c r="S328" s="1">
        <v>19247.96</v>
      </c>
      <c r="T328" s="1">
        <v>19247.96</v>
      </c>
      <c r="U328" s="1">
        <v>19247.96</v>
      </c>
      <c r="V328" s="1">
        <v>19247.96</v>
      </c>
      <c r="W328" s="1">
        <v>19247.96</v>
      </c>
      <c r="X328" s="1">
        <v>19247.96</v>
      </c>
      <c r="Y328" s="1">
        <v>19247.96</v>
      </c>
      <c r="Z328" s="1">
        <v>19247.96</v>
      </c>
      <c r="AA328" s="5">
        <v>19247.96</v>
      </c>
      <c r="AB328" s="130">
        <f t="shared" si="15"/>
        <v>461951.04000000015</v>
      </c>
      <c r="AC328" s="130">
        <v>5</v>
      </c>
      <c r="AD328" s="131"/>
    </row>
    <row r="329" spans="2:30" ht="15" thickBot="1">
      <c r="B329" s="132"/>
      <c r="C329" s="133" t="s">
        <v>8</v>
      </c>
      <c r="D329" s="3">
        <v>19247.96</v>
      </c>
      <c r="E329" s="3">
        <v>19247.96</v>
      </c>
      <c r="F329" s="3">
        <v>19247.96</v>
      </c>
      <c r="G329" s="3">
        <v>19247.96</v>
      </c>
      <c r="H329" s="3">
        <v>19247.96</v>
      </c>
      <c r="I329" s="3">
        <v>19247.96</v>
      </c>
      <c r="J329" s="3">
        <v>19247.96</v>
      </c>
      <c r="K329" s="3">
        <v>19247.96</v>
      </c>
      <c r="L329" s="3">
        <v>19247.96</v>
      </c>
      <c r="M329" s="3">
        <v>19247.96</v>
      </c>
      <c r="N329" s="3">
        <v>19247.96</v>
      </c>
      <c r="O329" s="3">
        <v>19247.96</v>
      </c>
      <c r="P329" s="3">
        <v>19247.96</v>
      </c>
      <c r="Q329" s="3">
        <v>19247.96</v>
      </c>
      <c r="R329" s="3">
        <v>19247.96</v>
      </c>
      <c r="S329" s="3">
        <v>19247.96</v>
      </c>
      <c r="T329" s="3">
        <v>19247.96</v>
      </c>
      <c r="U329" s="3">
        <v>19247.96</v>
      </c>
      <c r="V329" s="3">
        <v>19247.96</v>
      </c>
      <c r="W329" s="3">
        <v>19247.96</v>
      </c>
      <c r="X329" s="3">
        <v>19247.96</v>
      </c>
      <c r="Y329" s="3">
        <v>19247.96</v>
      </c>
      <c r="Z329" s="3">
        <v>19247.96</v>
      </c>
      <c r="AA329" s="6">
        <v>19247.96</v>
      </c>
      <c r="AB329" s="134">
        <f t="shared" si="15"/>
        <v>461951.04000000015</v>
      </c>
      <c r="AC329" s="134">
        <v>0</v>
      </c>
      <c r="AD329" s="135"/>
    </row>
    <row r="330" spans="2:30">
      <c r="B330" s="124">
        <v>49583</v>
      </c>
      <c r="C330" s="125" t="s">
        <v>5</v>
      </c>
      <c r="D330" s="2">
        <v>19247.96</v>
      </c>
      <c r="E330" s="2">
        <v>19247.96</v>
      </c>
      <c r="F330" s="2">
        <v>19247.96</v>
      </c>
      <c r="G330" s="2">
        <v>19247.96</v>
      </c>
      <c r="H330" s="2">
        <v>19247.96</v>
      </c>
      <c r="I330" s="2">
        <v>19247.96</v>
      </c>
      <c r="J330" s="2">
        <v>19247.96</v>
      </c>
      <c r="K330" s="2">
        <v>19247.96</v>
      </c>
      <c r="L330" s="2">
        <v>19247.96</v>
      </c>
      <c r="M330" s="2">
        <v>19247.96</v>
      </c>
      <c r="N330" s="2">
        <v>19247.96</v>
      </c>
      <c r="O330" s="2">
        <v>19247.96</v>
      </c>
      <c r="P330" s="2">
        <v>19247.96</v>
      </c>
      <c r="Q330" s="2">
        <v>19247.96</v>
      </c>
      <c r="R330" s="2">
        <v>19247.96</v>
      </c>
      <c r="S330" s="2">
        <v>19247.96</v>
      </c>
      <c r="T330" s="2">
        <v>19247.96</v>
      </c>
      <c r="U330" s="2">
        <v>19247.96</v>
      </c>
      <c r="V330" s="2">
        <v>19247.96</v>
      </c>
      <c r="W330" s="2">
        <v>19247.96</v>
      </c>
      <c r="X330" s="2">
        <v>19247.96</v>
      </c>
      <c r="Y330" s="2">
        <v>19247.96</v>
      </c>
      <c r="Z330" s="2">
        <v>19247.96</v>
      </c>
      <c r="AA330" s="4">
        <v>19247.96</v>
      </c>
      <c r="AB330" s="126">
        <f t="shared" si="15"/>
        <v>461951.04000000015</v>
      </c>
      <c r="AC330" s="126">
        <v>22</v>
      </c>
      <c r="AD330" s="127">
        <f>(AB330*AC330)+(AB331*AC331)+(AB332*AC332)+(AB333*AC333)</f>
        <v>14320482.240000004</v>
      </c>
    </row>
    <row r="331" spans="2:30">
      <c r="B331" s="128"/>
      <c r="C331" s="129" t="s">
        <v>6</v>
      </c>
      <c r="D331" s="1">
        <v>19247.96</v>
      </c>
      <c r="E331" s="1">
        <v>19247.96</v>
      </c>
      <c r="F331" s="1">
        <v>19247.96</v>
      </c>
      <c r="G331" s="1">
        <v>19247.96</v>
      </c>
      <c r="H331" s="1">
        <v>19247.96</v>
      </c>
      <c r="I331" s="1">
        <v>19247.96</v>
      </c>
      <c r="J331" s="1">
        <v>19247.96</v>
      </c>
      <c r="K331" s="1">
        <v>19247.96</v>
      </c>
      <c r="L331" s="1">
        <v>19247.96</v>
      </c>
      <c r="M331" s="1">
        <v>19247.96</v>
      </c>
      <c r="N331" s="1">
        <v>19247.96</v>
      </c>
      <c r="O331" s="1">
        <v>19247.96</v>
      </c>
      <c r="P331" s="1">
        <v>19247.96</v>
      </c>
      <c r="Q331" s="1">
        <v>19247.96</v>
      </c>
      <c r="R331" s="1">
        <v>19247.96</v>
      </c>
      <c r="S331" s="1">
        <v>19247.96</v>
      </c>
      <c r="T331" s="1">
        <v>19247.96</v>
      </c>
      <c r="U331" s="1">
        <v>19247.96</v>
      </c>
      <c r="V331" s="1">
        <v>19247.96</v>
      </c>
      <c r="W331" s="1">
        <v>19247.96</v>
      </c>
      <c r="X331" s="1">
        <v>19247.96</v>
      </c>
      <c r="Y331" s="1">
        <v>19247.96</v>
      </c>
      <c r="Z331" s="1">
        <v>19247.96</v>
      </c>
      <c r="AA331" s="5">
        <v>19247.96</v>
      </c>
      <c r="AB331" s="130">
        <f t="shared" si="15"/>
        <v>461951.04000000015</v>
      </c>
      <c r="AC331" s="130">
        <v>4</v>
      </c>
      <c r="AD331" s="131"/>
    </row>
    <row r="332" spans="2:30">
      <c r="B332" s="128"/>
      <c r="C332" s="129" t="s">
        <v>7</v>
      </c>
      <c r="D332" s="1">
        <v>19247.96</v>
      </c>
      <c r="E332" s="1">
        <v>19247.96</v>
      </c>
      <c r="F332" s="1">
        <v>19247.96</v>
      </c>
      <c r="G332" s="1">
        <v>19247.96</v>
      </c>
      <c r="H332" s="1">
        <v>19247.96</v>
      </c>
      <c r="I332" s="1">
        <v>19247.96</v>
      </c>
      <c r="J332" s="1">
        <v>19247.96</v>
      </c>
      <c r="K332" s="1">
        <v>19247.96</v>
      </c>
      <c r="L332" s="1">
        <v>19247.96</v>
      </c>
      <c r="M332" s="1">
        <v>19247.96</v>
      </c>
      <c r="N332" s="1">
        <v>19247.96</v>
      </c>
      <c r="O332" s="1">
        <v>19247.96</v>
      </c>
      <c r="P332" s="1">
        <v>19247.96</v>
      </c>
      <c r="Q332" s="1">
        <v>19247.96</v>
      </c>
      <c r="R332" s="1">
        <v>19247.96</v>
      </c>
      <c r="S332" s="1">
        <v>19247.96</v>
      </c>
      <c r="T332" s="1">
        <v>19247.96</v>
      </c>
      <c r="U332" s="1">
        <v>19247.96</v>
      </c>
      <c r="V332" s="1">
        <v>19247.96</v>
      </c>
      <c r="W332" s="1">
        <v>19247.96</v>
      </c>
      <c r="X332" s="1">
        <v>19247.96</v>
      </c>
      <c r="Y332" s="1">
        <v>19247.96</v>
      </c>
      <c r="Z332" s="1">
        <v>19247.96</v>
      </c>
      <c r="AA332" s="5">
        <v>19247.96</v>
      </c>
      <c r="AB332" s="130">
        <f t="shared" si="15"/>
        <v>461951.04000000015</v>
      </c>
      <c r="AC332" s="130">
        <v>4</v>
      </c>
      <c r="AD332" s="131"/>
    </row>
    <row r="333" spans="2:30" ht="15" thickBot="1">
      <c r="B333" s="132"/>
      <c r="C333" s="133" t="s">
        <v>8</v>
      </c>
      <c r="D333" s="3">
        <v>19247.96</v>
      </c>
      <c r="E333" s="3">
        <v>19247.96</v>
      </c>
      <c r="F333" s="3">
        <v>19247.96</v>
      </c>
      <c r="G333" s="3">
        <v>19247.96</v>
      </c>
      <c r="H333" s="3">
        <v>19247.96</v>
      </c>
      <c r="I333" s="3">
        <v>19247.96</v>
      </c>
      <c r="J333" s="3">
        <v>19247.96</v>
      </c>
      <c r="K333" s="3">
        <v>19247.96</v>
      </c>
      <c r="L333" s="3">
        <v>19247.96</v>
      </c>
      <c r="M333" s="3">
        <v>19247.96</v>
      </c>
      <c r="N333" s="3">
        <v>19247.96</v>
      </c>
      <c r="O333" s="3">
        <v>19247.96</v>
      </c>
      <c r="P333" s="3">
        <v>19247.96</v>
      </c>
      <c r="Q333" s="3">
        <v>19247.96</v>
      </c>
      <c r="R333" s="3">
        <v>19247.96</v>
      </c>
      <c r="S333" s="3">
        <v>19247.96</v>
      </c>
      <c r="T333" s="3">
        <v>19247.96</v>
      </c>
      <c r="U333" s="3">
        <v>19247.96</v>
      </c>
      <c r="V333" s="3">
        <v>19247.96</v>
      </c>
      <c r="W333" s="3">
        <v>19247.96</v>
      </c>
      <c r="X333" s="3">
        <v>19247.96</v>
      </c>
      <c r="Y333" s="3">
        <v>19247.96</v>
      </c>
      <c r="Z333" s="3">
        <v>19247.96</v>
      </c>
      <c r="AA333" s="6">
        <v>19247.96</v>
      </c>
      <c r="AB333" s="134">
        <f t="shared" si="15"/>
        <v>461951.04000000015</v>
      </c>
      <c r="AC333" s="134">
        <v>1</v>
      </c>
      <c r="AD333" s="135"/>
    </row>
    <row r="334" spans="2:30">
      <c r="B334" s="124">
        <v>49614</v>
      </c>
      <c r="C334" s="125" t="s">
        <v>5</v>
      </c>
      <c r="D334" s="2">
        <v>19247.96</v>
      </c>
      <c r="E334" s="2">
        <v>19247.96</v>
      </c>
      <c r="F334" s="2">
        <v>19247.96</v>
      </c>
      <c r="G334" s="2">
        <v>19247.96</v>
      </c>
      <c r="H334" s="2">
        <v>19247.96</v>
      </c>
      <c r="I334" s="2">
        <v>19247.96</v>
      </c>
      <c r="J334" s="2">
        <v>19247.96</v>
      </c>
      <c r="K334" s="2">
        <v>19247.96</v>
      </c>
      <c r="L334" s="2">
        <v>19247.96</v>
      </c>
      <c r="M334" s="2">
        <v>19247.96</v>
      </c>
      <c r="N334" s="2">
        <v>19247.96</v>
      </c>
      <c r="O334" s="2">
        <v>19247.96</v>
      </c>
      <c r="P334" s="2">
        <v>19247.96</v>
      </c>
      <c r="Q334" s="2">
        <v>19247.96</v>
      </c>
      <c r="R334" s="2">
        <v>19247.96</v>
      </c>
      <c r="S334" s="2">
        <v>19247.96</v>
      </c>
      <c r="T334" s="2">
        <v>19247.96</v>
      </c>
      <c r="U334" s="2">
        <v>19247.96</v>
      </c>
      <c r="V334" s="2">
        <v>19247.96</v>
      </c>
      <c r="W334" s="2">
        <v>19247.96</v>
      </c>
      <c r="X334" s="2">
        <v>19247.96</v>
      </c>
      <c r="Y334" s="2">
        <v>19247.96</v>
      </c>
      <c r="Z334" s="2">
        <v>19247.96</v>
      </c>
      <c r="AA334" s="4">
        <v>19247.96</v>
      </c>
      <c r="AB334" s="126">
        <f t="shared" si="15"/>
        <v>461951.04000000015</v>
      </c>
      <c r="AC334" s="126">
        <v>20</v>
      </c>
      <c r="AD334" s="127">
        <f>(AB334*AC334)+(AB335*AC335)+(AB336*AC336)+(AB337*AC337)</f>
        <v>13858531.200000003</v>
      </c>
    </row>
    <row r="335" spans="2:30">
      <c r="B335" s="128"/>
      <c r="C335" s="129" t="s">
        <v>6</v>
      </c>
      <c r="D335" s="1">
        <v>19247.96</v>
      </c>
      <c r="E335" s="1">
        <v>19247.96</v>
      </c>
      <c r="F335" s="1">
        <v>19247.96</v>
      </c>
      <c r="G335" s="1">
        <v>19247.96</v>
      </c>
      <c r="H335" s="1">
        <v>19247.96</v>
      </c>
      <c r="I335" s="1">
        <v>19247.96</v>
      </c>
      <c r="J335" s="1">
        <v>19247.96</v>
      </c>
      <c r="K335" s="1">
        <v>19247.96</v>
      </c>
      <c r="L335" s="1">
        <v>19247.96</v>
      </c>
      <c r="M335" s="1">
        <v>19247.96</v>
      </c>
      <c r="N335" s="1">
        <v>19247.96</v>
      </c>
      <c r="O335" s="1">
        <v>19247.96</v>
      </c>
      <c r="P335" s="1">
        <v>19247.96</v>
      </c>
      <c r="Q335" s="1">
        <v>19247.96</v>
      </c>
      <c r="R335" s="1">
        <v>19247.96</v>
      </c>
      <c r="S335" s="1">
        <v>19247.96</v>
      </c>
      <c r="T335" s="1">
        <v>19247.96</v>
      </c>
      <c r="U335" s="1">
        <v>19247.96</v>
      </c>
      <c r="V335" s="1">
        <v>19247.96</v>
      </c>
      <c r="W335" s="1">
        <v>19247.96</v>
      </c>
      <c r="X335" s="1">
        <v>19247.96</v>
      </c>
      <c r="Y335" s="1">
        <v>19247.96</v>
      </c>
      <c r="Z335" s="1">
        <v>19247.96</v>
      </c>
      <c r="AA335" s="5">
        <v>19247.96</v>
      </c>
      <c r="AB335" s="130">
        <f t="shared" si="15"/>
        <v>461951.04000000015</v>
      </c>
      <c r="AC335" s="130">
        <v>4</v>
      </c>
      <c r="AD335" s="131"/>
    </row>
    <row r="336" spans="2:30">
      <c r="B336" s="128"/>
      <c r="C336" s="129" t="s">
        <v>7</v>
      </c>
      <c r="D336" s="1">
        <v>19247.96</v>
      </c>
      <c r="E336" s="1">
        <v>19247.96</v>
      </c>
      <c r="F336" s="1">
        <v>19247.96</v>
      </c>
      <c r="G336" s="1">
        <v>19247.96</v>
      </c>
      <c r="H336" s="1">
        <v>19247.96</v>
      </c>
      <c r="I336" s="1">
        <v>19247.96</v>
      </c>
      <c r="J336" s="1">
        <v>19247.96</v>
      </c>
      <c r="K336" s="1">
        <v>19247.96</v>
      </c>
      <c r="L336" s="1">
        <v>19247.96</v>
      </c>
      <c r="M336" s="1">
        <v>19247.96</v>
      </c>
      <c r="N336" s="1">
        <v>19247.96</v>
      </c>
      <c r="O336" s="1">
        <v>19247.96</v>
      </c>
      <c r="P336" s="1">
        <v>19247.96</v>
      </c>
      <c r="Q336" s="1">
        <v>19247.96</v>
      </c>
      <c r="R336" s="1">
        <v>19247.96</v>
      </c>
      <c r="S336" s="1">
        <v>19247.96</v>
      </c>
      <c r="T336" s="1">
        <v>19247.96</v>
      </c>
      <c r="U336" s="1">
        <v>19247.96</v>
      </c>
      <c r="V336" s="1">
        <v>19247.96</v>
      </c>
      <c r="W336" s="1">
        <v>19247.96</v>
      </c>
      <c r="X336" s="1">
        <v>19247.96</v>
      </c>
      <c r="Y336" s="1">
        <v>19247.96</v>
      </c>
      <c r="Z336" s="1">
        <v>19247.96</v>
      </c>
      <c r="AA336" s="5">
        <v>19247.96</v>
      </c>
      <c r="AB336" s="130">
        <f t="shared" si="15"/>
        <v>461951.04000000015</v>
      </c>
      <c r="AC336" s="130">
        <v>4</v>
      </c>
      <c r="AD336" s="131"/>
    </row>
    <row r="337" spans="2:30" ht="15" thickBot="1">
      <c r="B337" s="132"/>
      <c r="C337" s="133" t="s">
        <v>8</v>
      </c>
      <c r="D337" s="3">
        <v>19247.96</v>
      </c>
      <c r="E337" s="3">
        <v>19247.96</v>
      </c>
      <c r="F337" s="3">
        <v>19247.96</v>
      </c>
      <c r="G337" s="3">
        <v>19247.96</v>
      </c>
      <c r="H337" s="3">
        <v>19247.96</v>
      </c>
      <c r="I337" s="3">
        <v>19247.96</v>
      </c>
      <c r="J337" s="3">
        <v>19247.96</v>
      </c>
      <c r="K337" s="3">
        <v>19247.96</v>
      </c>
      <c r="L337" s="3">
        <v>19247.96</v>
      </c>
      <c r="M337" s="3">
        <v>19247.96</v>
      </c>
      <c r="N337" s="3">
        <v>19247.96</v>
      </c>
      <c r="O337" s="3">
        <v>19247.96</v>
      </c>
      <c r="P337" s="3">
        <v>19247.96</v>
      </c>
      <c r="Q337" s="3">
        <v>19247.96</v>
      </c>
      <c r="R337" s="3">
        <v>19247.96</v>
      </c>
      <c r="S337" s="3">
        <v>19247.96</v>
      </c>
      <c r="T337" s="3">
        <v>19247.96</v>
      </c>
      <c r="U337" s="3">
        <v>19247.96</v>
      </c>
      <c r="V337" s="3">
        <v>19247.96</v>
      </c>
      <c r="W337" s="3">
        <v>19247.96</v>
      </c>
      <c r="X337" s="3">
        <v>19247.96</v>
      </c>
      <c r="Y337" s="3">
        <v>19247.96</v>
      </c>
      <c r="Z337" s="3">
        <v>19247.96</v>
      </c>
      <c r="AA337" s="6">
        <v>19247.96</v>
      </c>
      <c r="AB337" s="134">
        <f t="shared" si="15"/>
        <v>461951.04000000015</v>
      </c>
      <c r="AC337" s="134">
        <v>2</v>
      </c>
      <c r="AD337" s="135"/>
    </row>
    <row r="338" spans="2:30">
      <c r="B338" s="124">
        <v>49644</v>
      </c>
      <c r="C338" s="125" t="s">
        <v>5</v>
      </c>
      <c r="D338" s="2">
        <v>19247.96</v>
      </c>
      <c r="E338" s="2">
        <v>19247.96</v>
      </c>
      <c r="F338" s="2">
        <v>19247.96</v>
      </c>
      <c r="G338" s="2">
        <v>19247.96</v>
      </c>
      <c r="H338" s="2">
        <v>19247.96</v>
      </c>
      <c r="I338" s="2">
        <v>19247.96</v>
      </c>
      <c r="J338" s="2">
        <v>19247.96</v>
      </c>
      <c r="K338" s="2">
        <v>19247.96</v>
      </c>
      <c r="L338" s="2">
        <v>19247.96</v>
      </c>
      <c r="M338" s="2">
        <v>19247.96</v>
      </c>
      <c r="N338" s="2">
        <v>19247.96</v>
      </c>
      <c r="O338" s="2">
        <v>19247.96</v>
      </c>
      <c r="P338" s="2">
        <v>19247.96</v>
      </c>
      <c r="Q338" s="2">
        <v>19247.96</v>
      </c>
      <c r="R338" s="2">
        <v>19247.96</v>
      </c>
      <c r="S338" s="2">
        <v>19247.96</v>
      </c>
      <c r="T338" s="2">
        <v>19247.96</v>
      </c>
      <c r="U338" s="2">
        <v>19247.96</v>
      </c>
      <c r="V338" s="2">
        <v>19247.96</v>
      </c>
      <c r="W338" s="2">
        <v>19247.96</v>
      </c>
      <c r="X338" s="2">
        <v>19247.96</v>
      </c>
      <c r="Y338" s="2">
        <v>19247.96</v>
      </c>
      <c r="Z338" s="2">
        <v>19247.96</v>
      </c>
      <c r="AA338" s="4">
        <v>19247.96</v>
      </c>
      <c r="AB338" s="126">
        <f t="shared" si="15"/>
        <v>461951.04000000015</v>
      </c>
      <c r="AC338" s="126">
        <v>20</v>
      </c>
      <c r="AD338" s="127">
        <f>(AB338*AC338)+(AB339*AC339)+(AB340*AC340)+(AB341*AC341)</f>
        <v>14320482.240000004</v>
      </c>
    </row>
    <row r="339" spans="2:30">
      <c r="B339" s="128"/>
      <c r="C339" s="129" t="s">
        <v>6</v>
      </c>
      <c r="D339" s="1">
        <v>19247.96</v>
      </c>
      <c r="E339" s="1">
        <v>19247.96</v>
      </c>
      <c r="F339" s="1">
        <v>19247.96</v>
      </c>
      <c r="G339" s="1">
        <v>19247.96</v>
      </c>
      <c r="H339" s="1">
        <v>19247.96</v>
      </c>
      <c r="I339" s="1">
        <v>19247.96</v>
      </c>
      <c r="J339" s="1">
        <v>19247.96</v>
      </c>
      <c r="K339" s="1">
        <v>19247.96</v>
      </c>
      <c r="L339" s="1">
        <v>19247.96</v>
      </c>
      <c r="M339" s="1">
        <v>19247.96</v>
      </c>
      <c r="N339" s="1">
        <v>19247.96</v>
      </c>
      <c r="O339" s="1">
        <v>19247.96</v>
      </c>
      <c r="P339" s="1">
        <v>19247.96</v>
      </c>
      <c r="Q339" s="1">
        <v>19247.96</v>
      </c>
      <c r="R339" s="1">
        <v>19247.96</v>
      </c>
      <c r="S339" s="1">
        <v>19247.96</v>
      </c>
      <c r="T339" s="1">
        <v>19247.96</v>
      </c>
      <c r="U339" s="1">
        <v>19247.96</v>
      </c>
      <c r="V339" s="1">
        <v>19247.96</v>
      </c>
      <c r="W339" s="1">
        <v>19247.96</v>
      </c>
      <c r="X339" s="1">
        <v>19247.96</v>
      </c>
      <c r="Y339" s="1">
        <v>19247.96</v>
      </c>
      <c r="Z339" s="1">
        <v>19247.96</v>
      </c>
      <c r="AA339" s="5">
        <v>19247.96</v>
      </c>
      <c r="AB339" s="130">
        <f t="shared" si="15"/>
        <v>461951.04000000015</v>
      </c>
      <c r="AC339" s="130">
        <v>4</v>
      </c>
      <c r="AD339" s="131"/>
    </row>
    <row r="340" spans="2:30">
      <c r="B340" s="128"/>
      <c r="C340" s="129" t="s">
        <v>7</v>
      </c>
      <c r="D340" s="1">
        <v>19247.96</v>
      </c>
      <c r="E340" s="1">
        <v>19247.96</v>
      </c>
      <c r="F340" s="1">
        <v>19247.96</v>
      </c>
      <c r="G340" s="1">
        <v>19247.96</v>
      </c>
      <c r="H340" s="1">
        <v>19247.96</v>
      </c>
      <c r="I340" s="1">
        <v>19247.96</v>
      </c>
      <c r="J340" s="1">
        <v>19247.96</v>
      </c>
      <c r="K340" s="1">
        <v>19247.96</v>
      </c>
      <c r="L340" s="1">
        <v>19247.96</v>
      </c>
      <c r="M340" s="1">
        <v>19247.96</v>
      </c>
      <c r="N340" s="1">
        <v>19247.96</v>
      </c>
      <c r="O340" s="1">
        <v>19247.96</v>
      </c>
      <c r="P340" s="1">
        <v>19247.96</v>
      </c>
      <c r="Q340" s="1">
        <v>19247.96</v>
      </c>
      <c r="R340" s="1">
        <v>19247.96</v>
      </c>
      <c r="S340" s="1">
        <v>19247.96</v>
      </c>
      <c r="T340" s="1">
        <v>19247.96</v>
      </c>
      <c r="U340" s="1">
        <v>19247.96</v>
      </c>
      <c r="V340" s="1">
        <v>19247.96</v>
      </c>
      <c r="W340" s="1">
        <v>19247.96</v>
      </c>
      <c r="X340" s="1">
        <v>19247.96</v>
      </c>
      <c r="Y340" s="1">
        <v>19247.96</v>
      </c>
      <c r="Z340" s="1">
        <v>19247.96</v>
      </c>
      <c r="AA340" s="5">
        <v>19247.96</v>
      </c>
      <c r="AB340" s="130">
        <f t="shared" si="15"/>
        <v>461951.04000000015</v>
      </c>
      <c r="AC340" s="130">
        <v>5</v>
      </c>
      <c r="AD340" s="131"/>
    </row>
    <row r="341" spans="2:30" ht="15" thickBot="1">
      <c r="B341" s="132"/>
      <c r="C341" s="133" t="s">
        <v>8</v>
      </c>
      <c r="D341" s="3">
        <v>19247.96</v>
      </c>
      <c r="E341" s="3">
        <v>19247.96</v>
      </c>
      <c r="F341" s="3">
        <v>19247.96</v>
      </c>
      <c r="G341" s="3">
        <v>19247.96</v>
      </c>
      <c r="H341" s="3">
        <v>19247.96</v>
      </c>
      <c r="I341" s="3">
        <v>19247.96</v>
      </c>
      <c r="J341" s="3">
        <v>19247.96</v>
      </c>
      <c r="K341" s="3">
        <v>19247.96</v>
      </c>
      <c r="L341" s="3">
        <v>19247.96</v>
      </c>
      <c r="M341" s="3">
        <v>19247.96</v>
      </c>
      <c r="N341" s="3">
        <v>19247.96</v>
      </c>
      <c r="O341" s="3">
        <v>19247.96</v>
      </c>
      <c r="P341" s="3">
        <v>19247.96</v>
      </c>
      <c r="Q341" s="3">
        <v>19247.96</v>
      </c>
      <c r="R341" s="3">
        <v>19247.96</v>
      </c>
      <c r="S341" s="3">
        <v>19247.96</v>
      </c>
      <c r="T341" s="3">
        <v>19247.96</v>
      </c>
      <c r="U341" s="3">
        <v>19247.96</v>
      </c>
      <c r="V341" s="3">
        <v>19247.96</v>
      </c>
      <c r="W341" s="3">
        <v>19247.96</v>
      </c>
      <c r="X341" s="3">
        <v>19247.96</v>
      </c>
      <c r="Y341" s="3">
        <v>19247.96</v>
      </c>
      <c r="Z341" s="3">
        <v>19247.96</v>
      </c>
      <c r="AA341" s="6">
        <v>19247.96</v>
      </c>
      <c r="AB341" s="134">
        <f t="shared" si="15"/>
        <v>461951.04000000015</v>
      </c>
      <c r="AC341" s="134">
        <v>2</v>
      </c>
      <c r="AD341" s="135"/>
    </row>
    <row r="342" spans="2:30">
      <c r="B342" s="124">
        <v>49675</v>
      </c>
      <c r="C342" s="125" t="s">
        <v>5</v>
      </c>
      <c r="D342" s="2">
        <v>19579.52</v>
      </c>
      <c r="E342" s="2">
        <v>19579.52</v>
      </c>
      <c r="F342" s="2">
        <v>19579.52</v>
      </c>
      <c r="G342" s="2">
        <v>19579.52</v>
      </c>
      <c r="H342" s="2">
        <v>19579.52</v>
      </c>
      <c r="I342" s="2">
        <v>19579.52</v>
      </c>
      <c r="J342" s="2">
        <v>19579.52</v>
      </c>
      <c r="K342" s="2">
        <v>19579.52</v>
      </c>
      <c r="L342" s="2">
        <v>19579.52</v>
      </c>
      <c r="M342" s="2">
        <v>19579.52</v>
      </c>
      <c r="N342" s="2">
        <v>19579.52</v>
      </c>
      <c r="O342" s="2">
        <v>19579.52</v>
      </c>
      <c r="P342" s="2">
        <v>19579.52</v>
      </c>
      <c r="Q342" s="2">
        <v>19579.52</v>
      </c>
      <c r="R342" s="2">
        <v>19579.52</v>
      </c>
      <c r="S342" s="2">
        <v>19579.52</v>
      </c>
      <c r="T342" s="2">
        <v>19579.52</v>
      </c>
      <c r="U342" s="2">
        <v>19579.52</v>
      </c>
      <c r="V342" s="2">
        <v>19579.52</v>
      </c>
      <c r="W342" s="2">
        <v>19579.52</v>
      </c>
      <c r="X342" s="2">
        <v>19579.52</v>
      </c>
      <c r="Y342" s="2">
        <v>19579.52</v>
      </c>
      <c r="Z342" s="2">
        <v>19579.52</v>
      </c>
      <c r="AA342" s="4">
        <v>19579.52</v>
      </c>
      <c r="AB342" s="126">
        <f t="shared" ref="AB342:AB389" si="16">(SUM(D342:AA342))</f>
        <v>469908.48000000016</v>
      </c>
      <c r="AC342" s="126">
        <v>21</v>
      </c>
      <c r="AD342" s="127">
        <f>(AB342*AC342)+(AB343*AC343)+(AB344*AC344)+(AB345*AC345)</f>
        <v>14567162.880000005</v>
      </c>
    </row>
    <row r="343" spans="2:30">
      <c r="B343" s="128"/>
      <c r="C343" s="129" t="s">
        <v>6</v>
      </c>
      <c r="D343" s="1">
        <v>19579.52</v>
      </c>
      <c r="E343" s="1">
        <v>19579.52</v>
      </c>
      <c r="F343" s="1">
        <v>19579.52</v>
      </c>
      <c r="G343" s="1">
        <v>19579.52</v>
      </c>
      <c r="H343" s="1">
        <v>19579.52</v>
      </c>
      <c r="I343" s="1">
        <v>19579.52</v>
      </c>
      <c r="J343" s="1">
        <v>19579.52</v>
      </c>
      <c r="K343" s="1">
        <v>19579.52</v>
      </c>
      <c r="L343" s="1">
        <v>19579.52</v>
      </c>
      <c r="M343" s="1">
        <v>19579.52</v>
      </c>
      <c r="N343" s="1">
        <v>19579.52</v>
      </c>
      <c r="O343" s="1">
        <v>19579.52</v>
      </c>
      <c r="P343" s="1">
        <v>19579.52</v>
      </c>
      <c r="Q343" s="1">
        <v>19579.52</v>
      </c>
      <c r="R343" s="1">
        <v>19579.52</v>
      </c>
      <c r="S343" s="1">
        <v>19579.52</v>
      </c>
      <c r="T343" s="1">
        <v>19579.52</v>
      </c>
      <c r="U343" s="1">
        <v>19579.52</v>
      </c>
      <c r="V343" s="1">
        <v>19579.52</v>
      </c>
      <c r="W343" s="1">
        <v>19579.52</v>
      </c>
      <c r="X343" s="1">
        <v>19579.52</v>
      </c>
      <c r="Y343" s="1">
        <v>19579.52</v>
      </c>
      <c r="Z343" s="1">
        <v>19579.52</v>
      </c>
      <c r="AA343" s="5">
        <v>19579.52</v>
      </c>
      <c r="AB343" s="130">
        <f t="shared" si="16"/>
        <v>469908.48000000016</v>
      </c>
      <c r="AC343" s="130">
        <v>4</v>
      </c>
      <c r="AD343" s="131"/>
    </row>
    <row r="344" spans="2:30">
      <c r="B344" s="128"/>
      <c r="C344" s="129" t="s">
        <v>7</v>
      </c>
      <c r="D344" s="1">
        <v>19579.52</v>
      </c>
      <c r="E344" s="1">
        <v>19579.52</v>
      </c>
      <c r="F344" s="1">
        <v>19579.52</v>
      </c>
      <c r="G344" s="1">
        <v>19579.52</v>
      </c>
      <c r="H344" s="1">
        <v>19579.52</v>
      </c>
      <c r="I344" s="1">
        <v>19579.52</v>
      </c>
      <c r="J344" s="1">
        <v>19579.52</v>
      </c>
      <c r="K344" s="1">
        <v>19579.52</v>
      </c>
      <c r="L344" s="1">
        <v>19579.52</v>
      </c>
      <c r="M344" s="1">
        <v>19579.52</v>
      </c>
      <c r="N344" s="1">
        <v>19579.52</v>
      </c>
      <c r="O344" s="1">
        <v>19579.52</v>
      </c>
      <c r="P344" s="1">
        <v>19579.52</v>
      </c>
      <c r="Q344" s="1">
        <v>19579.52</v>
      </c>
      <c r="R344" s="1">
        <v>19579.52</v>
      </c>
      <c r="S344" s="1">
        <v>19579.52</v>
      </c>
      <c r="T344" s="1">
        <v>19579.52</v>
      </c>
      <c r="U344" s="1">
        <v>19579.52</v>
      </c>
      <c r="V344" s="1">
        <v>19579.52</v>
      </c>
      <c r="W344" s="1">
        <v>19579.52</v>
      </c>
      <c r="X344" s="1">
        <v>19579.52</v>
      </c>
      <c r="Y344" s="1">
        <v>19579.52</v>
      </c>
      <c r="Z344" s="1">
        <v>19579.52</v>
      </c>
      <c r="AA344" s="5">
        <v>19579.52</v>
      </c>
      <c r="AB344" s="130">
        <f t="shared" si="16"/>
        <v>469908.48000000016</v>
      </c>
      <c r="AC344" s="130">
        <v>4</v>
      </c>
      <c r="AD344" s="131"/>
    </row>
    <row r="345" spans="2:30" ht="15" thickBot="1">
      <c r="B345" s="132"/>
      <c r="C345" s="133" t="s">
        <v>8</v>
      </c>
      <c r="D345" s="3">
        <v>19579.52</v>
      </c>
      <c r="E345" s="3">
        <v>19579.52</v>
      </c>
      <c r="F345" s="3">
        <v>19579.52</v>
      </c>
      <c r="G345" s="3">
        <v>19579.52</v>
      </c>
      <c r="H345" s="3">
        <v>19579.52</v>
      </c>
      <c r="I345" s="3">
        <v>19579.52</v>
      </c>
      <c r="J345" s="3">
        <v>19579.52</v>
      </c>
      <c r="K345" s="3">
        <v>19579.52</v>
      </c>
      <c r="L345" s="3">
        <v>19579.52</v>
      </c>
      <c r="M345" s="3">
        <v>19579.52</v>
      </c>
      <c r="N345" s="3">
        <v>19579.52</v>
      </c>
      <c r="O345" s="3">
        <v>19579.52</v>
      </c>
      <c r="P345" s="3">
        <v>19579.52</v>
      </c>
      <c r="Q345" s="3">
        <v>19579.52</v>
      </c>
      <c r="R345" s="3">
        <v>19579.52</v>
      </c>
      <c r="S345" s="3">
        <v>19579.52</v>
      </c>
      <c r="T345" s="3">
        <v>19579.52</v>
      </c>
      <c r="U345" s="3">
        <v>19579.52</v>
      </c>
      <c r="V345" s="3">
        <v>19579.52</v>
      </c>
      <c r="W345" s="3">
        <v>19579.52</v>
      </c>
      <c r="X345" s="3">
        <v>19579.52</v>
      </c>
      <c r="Y345" s="3">
        <v>19579.52</v>
      </c>
      <c r="Z345" s="3">
        <v>19579.52</v>
      </c>
      <c r="AA345" s="6">
        <v>19579.52</v>
      </c>
      <c r="AB345" s="134">
        <f t="shared" si="16"/>
        <v>469908.48000000016</v>
      </c>
      <c r="AC345" s="134">
        <v>2</v>
      </c>
      <c r="AD345" s="135"/>
    </row>
    <row r="346" spans="2:30">
      <c r="B346" s="124">
        <v>49706</v>
      </c>
      <c r="C346" s="125" t="s">
        <v>5</v>
      </c>
      <c r="D346" s="2">
        <v>19579.52</v>
      </c>
      <c r="E346" s="2">
        <v>19579.52</v>
      </c>
      <c r="F346" s="2">
        <v>19579.52</v>
      </c>
      <c r="G346" s="2">
        <v>19579.52</v>
      </c>
      <c r="H346" s="2">
        <v>19579.52</v>
      </c>
      <c r="I346" s="2">
        <v>19579.52</v>
      </c>
      <c r="J346" s="2">
        <v>19579.52</v>
      </c>
      <c r="K346" s="2">
        <v>19579.52</v>
      </c>
      <c r="L346" s="2">
        <v>19579.52</v>
      </c>
      <c r="M346" s="2">
        <v>19579.52</v>
      </c>
      <c r="N346" s="2">
        <v>19579.52</v>
      </c>
      <c r="O346" s="2">
        <v>19579.52</v>
      </c>
      <c r="P346" s="2">
        <v>19579.52</v>
      </c>
      <c r="Q346" s="2">
        <v>19579.52</v>
      </c>
      <c r="R346" s="2">
        <v>19579.52</v>
      </c>
      <c r="S346" s="2">
        <v>19579.52</v>
      </c>
      <c r="T346" s="2">
        <v>19579.52</v>
      </c>
      <c r="U346" s="2">
        <v>19579.52</v>
      </c>
      <c r="V346" s="2">
        <v>19579.52</v>
      </c>
      <c r="W346" s="2">
        <v>19579.52</v>
      </c>
      <c r="X346" s="2">
        <v>19579.52</v>
      </c>
      <c r="Y346" s="2">
        <v>19579.52</v>
      </c>
      <c r="Z346" s="2">
        <v>19579.52</v>
      </c>
      <c r="AA346" s="4">
        <v>19579.52</v>
      </c>
      <c r="AB346" s="126">
        <f t="shared" si="16"/>
        <v>469908.48000000016</v>
      </c>
      <c r="AC346" s="126">
        <v>21</v>
      </c>
      <c r="AD346" s="127">
        <f>(AB346*AC346)+(AB347*AC347)+(AB348*AC348)+(AB349*AC349)</f>
        <v>13627345.920000004</v>
      </c>
    </row>
    <row r="347" spans="2:30">
      <c r="B347" s="128"/>
      <c r="C347" s="129" t="s">
        <v>6</v>
      </c>
      <c r="D347" s="1">
        <v>19579.52</v>
      </c>
      <c r="E347" s="1">
        <v>19579.52</v>
      </c>
      <c r="F347" s="1">
        <v>19579.52</v>
      </c>
      <c r="G347" s="1">
        <v>19579.52</v>
      </c>
      <c r="H347" s="1">
        <v>19579.52</v>
      </c>
      <c r="I347" s="1">
        <v>19579.52</v>
      </c>
      <c r="J347" s="1">
        <v>19579.52</v>
      </c>
      <c r="K347" s="1">
        <v>19579.52</v>
      </c>
      <c r="L347" s="1">
        <v>19579.52</v>
      </c>
      <c r="M347" s="1">
        <v>19579.52</v>
      </c>
      <c r="N347" s="1">
        <v>19579.52</v>
      </c>
      <c r="O347" s="1">
        <v>19579.52</v>
      </c>
      <c r="P347" s="1">
        <v>19579.52</v>
      </c>
      <c r="Q347" s="1">
        <v>19579.52</v>
      </c>
      <c r="R347" s="1">
        <v>19579.52</v>
      </c>
      <c r="S347" s="1">
        <v>19579.52</v>
      </c>
      <c r="T347" s="1">
        <v>19579.52</v>
      </c>
      <c r="U347" s="1">
        <v>19579.52</v>
      </c>
      <c r="V347" s="1">
        <v>19579.52</v>
      </c>
      <c r="W347" s="1">
        <v>19579.52</v>
      </c>
      <c r="X347" s="1">
        <v>19579.52</v>
      </c>
      <c r="Y347" s="1">
        <v>19579.52</v>
      </c>
      <c r="Z347" s="1">
        <v>19579.52</v>
      </c>
      <c r="AA347" s="5">
        <v>19579.52</v>
      </c>
      <c r="AB347" s="130">
        <f t="shared" si="16"/>
        <v>469908.48000000016</v>
      </c>
      <c r="AC347" s="130">
        <v>4</v>
      </c>
      <c r="AD347" s="131"/>
    </row>
    <row r="348" spans="2:30">
      <c r="B348" s="128"/>
      <c r="C348" s="129" t="s">
        <v>7</v>
      </c>
      <c r="D348" s="1">
        <v>19579.52</v>
      </c>
      <c r="E348" s="1">
        <v>19579.52</v>
      </c>
      <c r="F348" s="1">
        <v>19579.52</v>
      </c>
      <c r="G348" s="1">
        <v>19579.52</v>
      </c>
      <c r="H348" s="1">
        <v>19579.52</v>
      </c>
      <c r="I348" s="1">
        <v>19579.52</v>
      </c>
      <c r="J348" s="1">
        <v>19579.52</v>
      </c>
      <c r="K348" s="1">
        <v>19579.52</v>
      </c>
      <c r="L348" s="1">
        <v>19579.52</v>
      </c>
      <c r="M348" s="1">
        <v>19579.52</v>
      </c>
      <c r="N348" s="1">
        <v>19579.52</v>
      </c>
      <c r="O348" s="1">
        <v>19579.52</v>
      </c>
      <c r="P348" s="1">
        <v>19579.52</v>
      </c>
      <c r="Q348" s="1">
        <v>19579.52</v>
      </c>
      <c r="R348" s="1">
        <v>19579.52</v>
      </c>
      <c r="S348" s="1">
        <v>19579.52</v>
      </c>
      <c r="T348" s="1">
        <v>19579.52</v>
      </c>
      <c r="U348" s="1">
        <v>19579.52</v>
      </c>
      <c r="V348" s="1">
        <v>19579.52</v>
      </c>
      <c r="W348" s="1">
        <v>19579.52</v>
      </c>
      <c r="X348" s="1">
        <v>19579.52</v>
      </c>
      <c r="Y348" s="1">
        <v>19579.52</v>
      </c>
      <c r="Z348" s="1">
        <v>19579.52</v>
      </c>
      <c r="AA348" s="5">
        <v>19579.52</v>
      </c>
      <c r="AB348" s="130">
        <f t="shared" si="16"/>
        <v>469908.48000000016</v>
      </c>
      <c r="AC348" s="130">
        <v>4</v>
      </c>
      <c r="AD348" s="131"/>
    </row>
    <row r="349" spans="2:30" ht="15" thickBot="1">
      <c r="B349" s="132"/>
      <c r="C349" s="133" t="s">
        <v>8</v>
      </c>
      <c r="D349" s="3">
        <v>19579.52</v>
      </c>
      <c r="E349" s="3">
        <v>19579.52</v>
      </c>
      <c r="F349" s="3">
        <v>19579.52</v>
      </c>
      <c r="G349" s="3">
        <v>19579.52</v>
      </c>
      <c r="H349" s="3">
        <v>19579.52</v>
      </c>
      <c r="I349" s="3">
        <v>19579.52</v>
      </c>
      <c r="J349" s="3">
        <v>19579.52</v>
      </c>
      <c r="K349" s="3">
        <v>19579.52</v>
      </c>
      <c r="L349" s="3">
        <v>19579.52</v>
      </c>
      <c r="M349" s="3">
        <v>19579.52</v>
      </c>
      <c r="N349" s="3">
        <v>19579.52</v>
      </c>
      <c r="O349" s="3">
        <v>19579.52</v>
      </c>
      <c r="P349" s="3">
        <v>19579.52</v>
      </c>
      <c r="Q349" s="3">
        <v>19579.52</v>
      </c>
      <c r="R349" s="3">
        <v>19579.52</v>
      </c>
      <c r="S349" s="3">
        <v>19579.52</v>
      </c>
      <c r="T349" s="3">
        <v>19579.52</v>
      </c>
      <c r="U349" s="3">
        <v>19579.52</v>
      </c>
      <c r="V349" s="3">
        <v>19579.52</v>
      </c>
      <c r="W349" s="3">
        <v>19579.52</v>
      </c>
      <c r="X349" s="3">
        <v>19579.52</v>
      </c>
      <c r="Y349" s="3">
        <v>19579.52</v>
      </c>
      <c r="Z349" s="3">
        <v>19579.52</v>
      </c>
      <c r="AA349" s="6">
        <v>19579.52</v>
      </c>
      <c r="AB349" s="134">
        <f t="shared" si="16"/>
        <v>469908.48000000016</v>
      </c>
      <c r="AC349" s="134">
        <v>0</v>
      </c>
      <c r="AD349" s="135"/>
    </row>
    <row r="350" spans="2:30">
      <c r="B350" s="124">
        <v>49735</v>
      </c>
      <c r="C350" s="125" t="s">
        <v>5</v>
      </c>
      <c r="D350" s="2">
        <v>19579.52</v>
      </c>
      <c r="E350" s="2">
        <v>19579.52</v>
      </c>
      <c r="F350" s="2">
        <v>19579.52</v>
      </c>
      <c r="G350" s="2">
        <v>19579.52</v>
      </c>
      <c r="H350" s="2">
        <v>19579.52</v>
      </c>
      <c r="I350" s="2">
        <v>19579.52</v>
      </c>
      <c r="J350" s="2">
        <v>19579.52</v>
      </c>
      <c r="K350" s="2">
        <v>19579.52</v>
      </c>
      <c r="L350" s="2">
        <v>19579.52</v>
      </c>
      <c r="M350" s="2">
        <v>19579.52</v>
      </c>
      <c r="N350" s="2">
        <v>19579.52</v>
      </c>
      <c r="O350" s="2">
        <v>19579.52</v>
      </c>
      <c r="P350" s="2">
        <v>19579.52</v>
      </c>
      <c r="Q350" s="2">
        <v>19579.52</v>
      </c>
      <c r="R350" s="2">
        <v>19579.52</v>
      </c>
      <c r="S350" s="2">
        <v>19579.52</v>
      </c>
      <c r="T350" s="2">
        <v>19579.52</v>
      </c>
      <c r="U350" s="2">
        <v>19579.52</v>
      </c>
      <c r="V350" s="2">
        <v>19579.52</v>
      </c>
      <c r="W350" s="2">
        <v>19579.52</v>
      </c>
      <c r="X350" s="2">
        <v>19579.52</v>
      </c>
      <c r="Y350" s="2">
        <v>19579.52</v>
      </c>
      <c r="Z350" s="2">
        <v>19579.52</v>
      </c>
      <c r="AA350" s="4">
        <v>19579.52</v>
      </c>
      <c r="AB350" s="126">
        <f t="shared" si="16"/>
        <v>469908.48000000016</v>
      </c>
      <c r="AC350" s="126">
        <v>20</v>
      </c>
      <c r="AD350" s="127">
        <f>(AB350*AC350)+(AB351*AC351)+(AB352*AC352)+(AB353*AC353)</f>
        <v>14567162.880000005</v>
      </c>
    </row>
    <row r="351" spans="2:30">
      <c r="B351" s="128"/>
      <c r="C351" s="129" t="s">
        <v>6</v>
      </c>
      <c r="D351" s="1">
        <v>19579.52</v>
      </c>
      <c r="E351" s="1">
        <v>19579.52</v>
      </c>
      <c r="F351" s="1">
        <v>19579.52</v>
      </c>
      <c r="G351" s="1">
        <v>19579.52</v>
      </c>
      <c r="H351" s="1">
        <v>19579.52</v>
      </c>
      <c r="I351" s="1">
        <v>19579.52</v>
      </c>
      <c r="J351" s="1">
        <v>19579.52</v>
      </c>
      <c r="K351" s="1">
        <v>19579.52</v>
      </c>
      <c r="L351" s="1">
        <v>19579.52</v>
      </c>
      <c r="M351" s="1">
        <v>19579.52</v>
      </c>
      <c r="N351" s="1">
        <v>19579.52</v>
      </c>
      <c r="O351" s="1">
        <v>19579.52</v>
      </c>
      <c r="P351" s="1">
        <v>19579.52</v>
      </c>
      <c r="Q351" s="1">
        <v>19579.52</v>
      </c>
      <c r="R351" s="1">
        <v>19579.52</v>
      </c>
      <c r="S351" s="1">
        <v>19579.52</v>
      </c>
      <c r="T351" s="1">
        <v>19579.52</v>
      </c>
      <c r="U351" s="1">
        <v>19579.52</v>
      </c>
      <c r="V351" s="1">
        <v>19579.52</v>
      </c>
      <c r="W351" s="1">
        <v>19579.52</v>
      </c>
      <c r="X351" s="1">
        <v>19579.52</v>
      </c>
      <c r="Y351" s="1">
        <v>19579.52</v>
      </c>
      <c r="Z351" s="1">
        <v>19579.52</v>
      </c>
      <c r="AA351" s="5">
        <v>19579.52</v>
      </c>
      <c r="AB351" s="130">
        <f t="shared" si="16"/>
        <v>469908.48000000016</v>
      </c>
      <c r="AC351" s="130">
        <v>5</v>
      </c>
      <c r="AD351" s="131"/>
    </row>
    <row r="352" spans="2:30">
      <c r="B352" s="128"/>
      <c r="C352" s="129" t="s">
        <v>7</v>
      </c>
      <c r="D352" s="1">
        <v>19579.52</v>
      </c>
      <c r="E352" s="1">
        <v>19579.52</v>
      </c>
      <c r="F352" s="1">
        <v>19579.52</v>
      </c>
      <c r="G352" s="1">
        <v>19579.52</v>
      </c>
      <c r="H352" s="1">
        <v>19579.52</v>
      </c>
      <c r="I352" s="1">
        <v>19579.52</v>
      </c>
      <c r="J352" s="1">
        <v>19579.52</v>
      </c>
      <c r="K352" s="1">
        <v>19579.52</v>
      </c>
      <c r="L352" s="1">
        <v>19579.52</v>
      </c>
      <c r="M352" s="1">
        <v>19579.52</v>
      </c>
      <c r="N352" s="1">
        <v>19579.52</v>
      </c>
      <c r="O352" s="1">
        <v>19579.52</v>
      </c>
      <c r="P352" s="1">
        <v>19579.52</v>
      </c>
      <c r="Q352" s="1">
        <v>19579.52</v>
      </c>
      <c r="R352" s="1">
        <v>19579.52</v>
      </c>
      <c r="S352" s="1">
        <v>19579.52</v>
      </c>
      <c r="T352" s="1">
        <v>19579.52</v>
      </c>
      <c r="U352" s="1">
        <v>19579.52</v>
      </c>
      <c r="V352" s="1">
        <v>19579.52</v>
      </c>
      <c r="W352" s="1">
        <v>19579.52</v>
      </c>
      <c r="X352" s="1">
        <v>19579.52</v>
      </c>
      <c r="Y352" s="1">
        <v>19579.52</v>
      </c>
      <c r="Z352" s="1">
        <v>19579.52</v>
      </c>
      <c r="AA352" s="5">
        <v>19579.52</v>
      </c>
      <c r="AB352" s="130">
        <f t="shared" si="16"/>
        <v>469908.48000000016</v>
      </c>
      <c r="AC352" s="130">
        <v>5</v>
      </c>
      <c r="AD352" s="131"/>
    </row>
    <row r="353" spans="2:30" ht="15" thickBot="1">
      <c r="B353" s="132"/>
      <c r="C353" s="133" t="s">
        <v>8</v>
      </c>
      <c r="D353" s="3">
        <v>19579.52</v>
      </c>
      <c r="E353" s="3">
        <v>19579.52</v>
      </c>
      <c r="F353" s="3">
        <v>19579.52</v>
      </c>
      <c r="G353" s="3">
        <v>19579.52</v>
      </c>
      <c r="H353" s="3">
        <v>19579.52</v>
      </c>
      <c r="I353" s="3">
        <v>19579.52</v>
      </c>
      <c r="J353" s="3">
        <v>19579.52</v>
      </c>
      <c r="K353" s="3">
        <v>19579.52</v>
      </c>
      <c r="L353" s="3">
        <v>19579.52</v>
      </c>
      <c r="M353" s="3">
        <v>19579.52</v>
      </c>
      <c r="N353" s="3">
        <v>19579.52</v>
      </c>
      <c r="O353" s="3">
        <v>19579.52</v>
      </c>
      <c r="P353" s="3">
        <v>19579.52</v>
      </c>
      <c r="Q353" s="3">
        <v>19579.52</v>
      </c>
      <c r="R353" s="3">
        <v>19579.52</v>
      </c>
      <c r="S353" s="3">
        <v>19579.52</v>
      </c>
      <c r="T353" s="3">
        <v>19579.52</v>
      </c>
      <c r="U353" s="3">
        <v>19579.52</v>
      </c>
      <c r="V353" s="3">
        <v>19579.52</v>
      </c>
      <c r="W353" s="3">
        <v>19579.52</v>
      </c>
      <c r="X353" s="3">
        <v>19579.52</v>
      </c>
      <c r="Y353" s="3">
        <v>19579.52</v>
      </c>
      <c r="Z353" s="3">
        <v>19579.52</v>
      </c>
      <c r="AA353" s="6">
        <v>19579.52</v>
      </c>
      <c r="AB353" s="134">
        <f t="shared" si="16"/>
        <v>469908.48000000016</v>
      </c>
      <c r="AC353" s="134">
        <v>1</v>
      </c>
      <c r="AD353" s="135"/>
    </row>
    <row r="354" spans="2:30">
      <c r="B354" s="124">
        <v>49766</v>
      </c>
      <c r="C354" s="125" t="s">
        <v>5</v>
      </c>
      <c r="D354" s="2">
        <v>19579.52</v>
      </c>
      <c r="E354" s="2">
        <v>19579.52</v>
      </c>
      <c r="F354" s="2">
        <v>19579.52</v>
      </c>
      <c r="G354" s="2">
        <v>19579.52</v>
      </c>
      <c r="H354" s="2">
        <v>19579.52</v>
      </c>
      <c r="I354" s="2">
        <v>19579.52</v>
      </c>
      <c r="J354" s="2">
        <v>19579.52</v>
      </c>
      <c r="K354" s="2">
        <v>19579.52</v>
      </c>
      <c r="L354" s="2">
        <v>19579.52</v>
      </c>
      <c r="M354" s="2">
        <v>19579.52</v>
      </c>
      <c r="N354" s="2">
        <v>19579.52</v>
      </c>
      <c r="O354" s="2">
        <v>19579.52</v>
      </c>
      <c r="P354" s="2">
        <v>19579.52</v>
      </c>
      <c r="Q354" s="2">
        <v>19579.52</v>
      </c>
      <c r="R354" s="2">
        <v>19579.52</v>
      </c>
      <c r="S354" s="2">
        <v>19579.52</v>
      </c>
      <c r="T354" s="2">
        <v>19579.52</v>
      </c>
      <c r="U354" s="2">
        <v>19579.52</v>
      </c>
      <c r="V354" s="2">
        <v>19579.52</v>
      </c>
      <c r="W354" s="2">
        <v>19579.52</v>
      </c>
      <c r="X354" s="2">
        <v>19579.52</v>
      </c>
      <c r="Y354" s="2">
        <v>19579.52</v>
      </c>
      <c r="Z354" s="2">
        <v>19579.52</v>
      </c>
      <c r="AA354" s="4">
        <v>19579.52</v>
      </c>
      <c r="AB354" s="126">
        <f t="shared" si="16"/>
        <v>469908.48000000016</v>
      </c>
      <c r="AC354" s="126">
        <v>20</v>
      </c>
      <c r="AD354" s="127">
        <f>(AB354*AC354)+(AB355*AC355)+(AB356*AC356)+(AB357*AC357)</f>
        <v>14097254.400000004</v>
      </c>
    </row>
    <row r="355" spans="2:30">
      <c r="B355" s="128"/>
      <c r="C355" s="129" t="s">
        <v>6</v>
      </c>
      <c r="D355" s="1">
        <v>19579.52</v>
      </c>
      <c r="E355" s="1">
        <v>19579.52</v>
      </c>
      <c r="F355" s="1">
        <v>19579.52</v>
      </c>
      <c r="G355" s="1">
        <v>19579.52</v>
      </c>
      <c r="H355" s="1">
        <v>19579.52</v>
      </c>
      <c r="I355" s="1">
        <v>19579.52</v>
      </c>
      <c r="J355" s="1">
        <v>19579.52</v>
      </c>
      <c r="K355" s="1">
        <v>19579.52</v>
      </c>
      <c r="L355" s="1">
        <v>19579.52</v>
      </c>
      <c r="M355" s="1">
        <v>19579.52</v>
      </c>
      <c r="N355" s="1">
        <v>19579.52</v>
      </c>
      <c r="O355" s="1">
        <v>19579.52</v>
      </c>
      <c r="P355" s="1">
        <v>19579.52</v>
      </c>
      <c r="Q355" s="1">
        <v>19579.52</v>
      </c>
      <c r="R355" s="1">
        <v>19579.52</v>
      </c>
      <c r="S355" s="1">
        <v>19579.52</v>
      </c>
      <c r="T355" s="1">
        <v>19579.52</v>
      </c>
      <c r="U355" s="1">
        <v>19579.52</v>
      </c>
      <c r="V355" s="1">
        <v>19579.52</v>
      </c>
      <c r="W355" s="1">
        <v>19579.52</v>
      </c>
      <c r="X355" s="1">
        <v>19579.52</v>
      </c>
      <c r="Y355" s="1">
        <v>19579.52</v>
      </c>
      <c r="Z355" s="1">
        <v>19579.52</v>
      </c>
      <c r="AA355" s="5">
        <v>19579.52</v>
      </c>
      <c r="AB355" s="130">
        <f t="shared" si="16"/>
        <v>469908.48000000016</v>
      </c>
      <c r="AC355" s="130">
        <v>4</v>
      </c>
      <c r="AD355" s="131"/>
    </row>
    <row r="356" spans="2:30">
      <c r="B356" s="128"/>
      <c r="C356" s="129" t="s">
        <v>7</v>
      </c>
      <c r="D356" s="1">
        <v>19579.52</v>
      </c>
      <c r="E356" s="1">
        <v>19579.52</v>
      </c>
      <c r="F356" s="1">
        <v>19579.52</v>
      </c>
      <c r="G356" s="1">
        <v>19579.52</v>
      </c>
      <c r="H356" s="1">
        <v>19579.52</v>
      </c>
      <c r="I356" s="1">
        <v>19579.52</v>
      </c>
      <c r="J356" s="1">
        <v>19579.52</v>
      </c>
      <c r="K356" s="1">
        <v>19579.52</v>
      </c>
      <c r="L356" s="1">
        <v>19579.52</v>
      </c>
      <c r="M356" s="1">
        <v>19579.52</v>
      </c>
      <c r="N356" s="1">
        <v>19579.52</v>
      </c>
      <c r="O356" s="1">
        <v>19579.52</v>
      </c>
      <c r="P356" s="1">
        <v>19579.52</v>
      </c>
      <c r="Q356" s="1">
        <v>19579.52</v>
      </c>
      <c r="R356" s="1">
        <v>19579.52</v>
      </c>
      <c r="S356" s="1">
        <v>19579.52</v>
      </c>
      <c r="T356" s="1">
        <v>19579.52</v>
      </c>
      <c r="U356" s="1">
        <v>19579.52</v>
      </c>
      <c r="V356" s="1">
        <v>19579.52</v>
      </c>
      <c r="W356" s="1">
        <v>19579.52</v>
      </c>
      <c r="X356" s="1">
        <v>19579.52</v>
      </c>
      <c r="Y356" s="1">
        <v>19579.52</v>
      </c>
      <c r="Z356" s="1">
        <v>19579.52</v>
      </c>
      <c r="AA356" s="5">
        <v>19579.52</v>
      </c>
      <c r="AB356" s="130">
        <f t="shared" si="16"/>
        <v>469908.48000000016</v>
      </c>
      <c r="AC356" s="130">
        <v>4</v>
      </c>
      <c r="AD356" s="131"/>
    </row>
    <row r="357" spans="2:30" ht="15" thickBot="1">
      <c r="B357" s="132"/>
      <c r="C357" s="133" t="s">
        <v>8</v>
      </c>
      <c r="D357" s="3">
        <v>19579.52</v>
      </c>
      <c r="E357" s="3">
        <v>19579.52</v>
      </c>
      <c r="F357" s="3">
        <v>19579.52</v>
      </c>
      <c r="G357" s="3">
        <v>19579.52</v>
      </c>
      <c r="H357" s="3">
        <v>19579.52</v>
      </c>
      <c r="I357" s="3">
        <v>19579.52</v>
      </c>
      <c r="J357" s="3">
        <v>19579.52</v>
      </c>
      <c r="K357" s="3">
        <v>19579.52</v>
      </c>
      <c r="L357" s="3">
        <v>19579.52</v>
      </c>
      <c r="M357" s="3">
        <v>19579.52</v>
      </c>
      <c r="N357" s="3">
        <v>19579.52</v>
      </c>
      <c r="O357" s="3">
        <v>19579.52</v>
      </c>
      <c r="P357" s="3">
        <v>19579.52</v>
      </c>
      <c r="Q357" s="3">
        <v>19579.52</v>
      </c>
      <c r="R357" s="3">
        <v>19579.52</v>
      </c>
      <c r="S357" s="3">
        <v>19579.52</v>
      </c>
      <c r="T357" s="3">
        <v>19579.52</v>
      </c>
      <c r="U357" s="3">
        <v>19579.52</v>
      </c>
      <c r="V357" s="3">
        <v>19579.52</v>
      </c>
      <c r="W357" s="3">
        <v>19579.52</v>
      </c>
      <c r="X357" s="3">
        <v>19579.52</v>
      </c>
      <c r="Y357" s="3">
        <v>19579.52</v>
      </c>
      <c r="Z357" s="3">
        <v>19579.52</v>
      </c>
      <c r="AA357" s="6">
        <v>19579.52</v>
      </c>
      <c r="AB357" s="134">
        <f t="shared" si="16"/>
        <v>469908.48000000016</v>
      </c>
      <c r="AC357" s="134">
        <v>2</v>
      </c>
      <c r="AD357" s="135"/>
    </row>
    <row r="358" spans="2:30">
      <c r="B358" s="124">
        <v>49796</v>
      </c>
      <c r="C358" s="125" t="s">
        <v>5</v>
      </c>
      <c r="D358" s="2">
        <v>19579.52</v>
      </c>
      <c r="E358" s="2">
        <v>19579.52</v>
      </c>
      <c r="F358" s="2">
        <v>19579.52</v>
      </c>
      <c r="G358" s="2">
        <v>19579.52</v>
      </c>
      <c r="H358" s="2">
        <v>19579.52</v>
      </c>
      <c r="I358" s="2">
        <v>19579.52</v>
      </c>
      <c r="J358" s="2">
        <v>19579.52</v>
      </c>
      <c r="K358" s="2">
        <v>19579.52</v>
      </c>
      <c r="L358" s="2">
        <v>19579.52</v>
      </c>
      <c r="M358" s="2">
        <v>19579.52</v>
      </c>
      <c r="N358" s="2">
        <v>19579.52</v>
      </c>
      <c r="O358" s="2">
        <v>19579.52</v>
      </c>
      <c r="P358" s="2">
        <v>19579.52</v>
      </c>
      <c r="Q358" s="2">
        <v>19579.52</v>
      </c>
      <c r="R358" s="2">
        <v>19579.52</v>
      </c>
      <c r="S358" s="2">
        <v>19579.52</v>
      </c>
      <c r="T358" s="2">
        <v>19579.52</v>
      </c>
      <c r="U358" s="2">
        <v>19579.52</v>
      </c>
      <c r="V358" s="2">
        <v>19579.52</v>
      </c>
      <c r="W358" s="2">
        <v>19579.52</v>
      </c>
      <c r="X358" s="2">
        <v>19579.52</v>
      </c>
      <c r="Y358" s="2">
        <v>19579.52</v>
      </c>
      <c r="Z358" s="2">
        <v>19579.52</v>
      </c>
      <c r="AA358" s="4">
        <v>19579.52</v>
      </c>
      <c r="AB358" s="126">
        <f t="shared" si="16"/>
        <v>469908.48000000016</v>
      </c>
      <c r="AC358" s="126">
        <v>20</v>
      </c>
      <c r="AD358" s="127">
        <f>(AB358*AC358)+(AB359*AC359)+(AB360*AC360)+(AB361*AC361)</f>
        <v>14567162.880000005</v>
      </c>
    </row>
    <row r="359" spans="2:30">
      <c r="B359" s="128"/>
      <c r="C359" s="129" t="s">
        <v>6</v>
      </c>
      <c r="D359" s="1">
        <v>19579.52</v>
      </c>
      <c r="E359" s="1">
        <v>19579.52</v>
      </c>
      <c r="F359" s="1">
        <v>19579.52</v>
      </c>
      <c r="G359" s="1">
        <v>19579.52</v>
      </c>
      <c r="H359" s="1">
        <v>19579.52</v>
      </c>
      <c r="I359" s="1">
        <v>19579.52</v>
      </c>
      <c r="J359" s="1">
        <v>19579.52</v>
      </c>
      <c r="K359" s="1">
        <v>19579.52</v>
      </c>
      <c r="L359" s="1">
        <v>19579.52</v>
      </c>
      <c r="M359" s="1">
        <v>19579.52</v>
      </c>
      <c r="N359" s="1">
        <v>19579.52</v>
      </c>
      <c r="O359" s="1">
        <v>19579.52</v>
      </c>
      <c r="P359" s="1">
        <v>19579.52</v>
      </c>
      <c r="Q359" s="1">
        <v>19579.52</v>
      </c>
      <c r="R359" s="1">
        <v>19579.52</v>
      </c>
      <c r="S359" s="1">
        <v>19579.52</v>
      </c>
      <c r="T359" s="1">
        <v>19579.52</v>
      </c>
      <c r="U359" s="1">
        <v>19579.52</v>
      </c>
      <c r="V359" s="1">
        <v>19579.52</v>
      </c>
      <c r="W359" s="1">
        <v>19579.52</v>
      </c>
      <c r="X359" s="1">
        <v>19579.52</v>
      </c>
      <c r="Y359" s="1">
        <v>19579.52</v>
      </c>
      <c r="Z359" s="1">
        <v>19579.52</v>
      </c>
      <c r="AA359" s="5">
        <v>19579.52</v>
      </c>
      <c r="AB359" s="130">
        <f t="shared" si="16"/>
        <v>469908.48000000016</v>
      </c>
      <c r="AC359" s="130">
        <v>5</v>
      </c>
      <c r="AD359" s="131"/>
    </row>
    <row r="360" spans="2:30">
      <c r="B360" s="128"/>
      <c r="C360" s="129" t="s">
        <v>7</v>
      </c>
      <c r="D360" s="1">
        <v>19579.52</v>
      </c>
      <c r="E360" s="1">
        <v>19579.52</v>
      </c>
      <c r="F360" s="1">
        <v>19579.52</v>
      </c>
      <c r="G360" s="1">
        <v>19579.52</v>
      </c>
      <c r="H360" s="1">
        <v>19579.52</v>
      </c>
      <c r="I360" s="1">
        <v>19579.52</v>
      </c>
      <c r="J360" s="1">
        <v>19579.52</v>
      </c>
      <c r="K360" s="1">
        <v>19579.52</v>
      </c>
      <c r="L360" s="1">
        <v>19579.52</v>
      </c>
      <c r="M360" s="1">
        <v>19579.52</v>
      </c>
      <c r="N360" s="1">
        <v>19579.52</v>
      </c>
      <c r="O360" s="1">
        <v>19579.52</v>
      </c>
      <c r="P360" s="1">
        <v>19579.52</v>
      </c>
      <c r="Q360" s="1">
        <v>19579.52</v>
      </c>
      <c r="R360" s="1">
        <v>19579.52</v>
      </c>
      <c r="S360" s="1">
        <v>19579.52</v>
      </c>
      <c r="T360" s="1">
        <v>19579.52</v>
      </c>
      <c r="U360" s="1">
        <v>19579.52</v>
      </c>
      <c r="V360" s="1">
        <v>19579.52</v>
      </c>
      <c r="W360" s="1">
        <v>19579.52</v>
      </c>
      <c r="X360" s="1">
        <v>19579.52</v>
      </c>
      <c r="Y360" s="1">
        <v>19579.52</v>
      </c>
      <c r="Z360" s="1">
        <v>19579.52</v>
      </c>
      <c r="AA360" s="5">
        <v>19579.52</v>
      </c>
      <c r="AB360" s="130">
        <f t="shared" si="16"/>
        <v>469908.48000000016</v>
      </c>
      <c r="AC360" s="130">
        <v>4</v>
      </c>
      <c r="AD360" s="131"/>
    </row>
    <row r="361" spans="2:30" ht="15" thickBot="1">
      <c r="B361" s="132"/>
      <c r="C361" s="133" t="s">
        <v>8</v>
      </c>
      <c r="D361" s="3">
        <v>19579.52</v>
      </c>
      <c r="E361" s="3">
        <v>19579.52</v>
      </c>
      <c r="F361" s="3">
        <v>19579.52</v>
      </c>
      <c r="G361" s="3">
        <v>19579.52</v>
      </c>
      <c r="H361" s="3">
        <v>19579.52</v>
      </c>
      <c r="I361" s="3">
        <v>19579.52</v>
      </c>
      <c r="J361" s="3">
        <v>19579.52</v>
      </c>
      <c r="K361" s="3">
        <v>19579.52</v>
      </c>
      <c r="L361" s="3">
        <v>19579.52</v>
      </c>
      <c r="M361" s="3">
        <v>19579.52</v>
      </c>
      <c r="N361" s="3">
        <v>19579.52</v>
      </c>
      <c r="O361" s="3">
        <v>19579.52</v>
      </c>
      <c r="P361" s="3">
        <v>19579.52</v>
      </c>
      <c r="Q361" s="3">
        <v>19579.52</v>
      </c>
      <c r="R361" s="3">
        <v>19579.52</v>
      </c>
      <c r="S361" s="3">
        <v>19579.52</v>
      </c>
      <c r="T361" s="3">
        <v>19579.52</v>
      </c>
      <c r="U361" s="3">
        <v>19579.52</v>
      </c>
      <c r="V361" s="3">
        <v>19579.52</v>
      </c>
      <c r="W361" s="3">
        <v>19579.52</v>
      </c>
      <c r="X361" s="3">
        <v>19579.52</v>
      </c>
      <c r="Y361" s="3">
        <v>19579.52</v>
      </c>
      <c r="Z361" s="3">
        <v>19579.52</v>
      </c>
      <c r="AA361" s="6">
        <v>19579.52</v>
      </c>
      <c r="AB361" s="134">
        <f t="shared" si="16"/>
        <v>469908.48000000016</v>
      </c>
      <c r="AC361" s="134">
        <v>2</v>
      </c>
      <c r="AD361" s="135"/>
    </row>
    <row r="362" spans="2:30">
      <c r="B362" s="124">
        <v>49827</v>
      </c>
      <c r="C362" s="125" t="s">
        <v>5</v>
      </c>
      <c r="D362" s="2">
        <v>19579.52</v>
      </c>
      <c r="E362" s="2">
        <v>19579.52</v>
      </c>
      <c r="F362" s="2">
        <v>19579.52</v>
      </c>
      <c r="G362" s="2">
        <v>19579.52</v>
      </c>
      <c r="H362" s="2">
        <v>19579.52</v>
      </c>
      <c r="I362" s="2">
        <v>19579.52</v>
      </c>
      <c r="J362" s="2">
        <v>19579.52</v>
      </c>
      <c r="K362" s="2">
        <v>19579.52</v>
      </c>
      <c r="L362" s="2">
        <v>19579.52</v>
      </c>
      <c r="M362" s="2">
        <v>19579.52</v>
      </c>
      <c r="N362" s="2">
        <v>19579.52</v>
      </c>
      <c r="O362" s="2">
        <v>19579.52</v>
      </c>
      <c r="P362" s="2">
        <v>19579.52</v>
      </c>
      <c r="Q362" s="2">
        <v>19579.52</v>
      </c>
      <c r="R362" s="2">
        <v>19579.52</v>
      </c>
      <c r="S362" s="2">
        <v>19579.52</v>
      </c>
      <c r="T362" s="2">
        <v>19579.52</v>
      </c>
      <c r="U362" s="2">
        <v>19579.52</v>
      </c>
      <c r="V362" s="2">
        <v>19579.52</v>
      </c>
      <c r="W362" s="2">
        <v>19579.52</v>
      </c>
      <c r="X362" s="2">
        <v>19579.52</v>
      </c>
      <c r="Y362" s="2">
        <v>19579.52</v>
      </c>
      <c r="Z362" s="2">
        <v>19579.52</v>
      </c>
      <c r="AA362" s="4">
        <v>19579.52</v>
      </c>
      <c r="AB362" s="126">
        <f t="shared" si="16"/>
        <v>469908.48000000016</v>
      </c>
      <c r="AC362" s="126">
        <v>18</v>
      </c>
      <c r="AD362" s="127">
        <f>(AB362*AC362)+(AB363*AC363)+(AB364*AC364)+(AB365*AC365)</f>
        <v>14097254.400000002</v>
      </c>
    </row>
    <row r="363" spans="2:30">
      <c r="B363" s="128"/>
      <c r="C363" s="129" t="s">
        <v>6</v>
      </c>
      <c r="D363" s="1">
        <v>19579.52</v>
      </c>
      <c r="E363" s="1">
        <v>19579.52</v>
      </c>
      <c r="F363" s="1">
        <v>19579.52</v>
      </c>
      <c r="G363" s="1">
        <v>19579.52</v>
      </c>
      <c r="H363" s="1">
        <v>19579.52</v>
      </c>
      <c r="I363" s="1">
        <v>19579.52</v>
      </c>
      <c r="J363" s="1">
        <v>19579.52</v>
      </c>
      <c r="K363" s="1">
        <v>19579.52</v>
      </c>
      <c r="L363" s="1">
        <v>19579.52</v>
      </c>
      <c r="M363" s="1">
        <v>19579.52</v>
      </c>
      <c r="N363" s="1">
        <v>19579.52</v>
      </c>
      <c r="O363" s="1">
        <v>19579.52</v>
      </c>
      <c r="P363" s="1">
        <v>19579.52</v>
      </c>
      <c r="Q363" s="1">
        <v>19579.52</v>
      </c>
      <c r="R363" s="1">
        <v>19579.52</v>
      </c>
      <c r="S363" s="1">
        <v>19579.52</v>
      </c>
      <c r="T363" s="1">
        <v>19579.52</v>
      </c>
      <c r="U363" s="1">
        <v>19579.52</v>
      </c>
      <c r="V363" s="1">
        <v>19579.52</v>
      </c>
      <c r="W363" s="1">
        <v>19579.52</v>
      </c>
      <c r="X363" s="1">
        <v>19579.52</v>
      </c>
      <c r="Y363" s="1">
        <v>19579.52</v>
      </c>
      <c r="Z363" s="1">
        <v>19579.52</v>
      </c>
      <c r="AA363" s="5">
        <v>19579.52</v>
      </c>
      <c r="AB363" s="130">
        <f t="shared" si="16"/>
        <v>469908.48000000016</v>
      </c>
      <c r="AC363" s="130">
        <v>4</v>
      </c>
      <c r="AD363" s="131"/>
    </row>
    <row r="364" spans="2:30">
      <c r="B364" s="128"/>
      <c r="C364" s="129" t="s">
        <v>7</v>
      </c>
      <c r="D364" s="1">
        <v>19579.52</v>
      </c>
      <c r="E364" s="1">
        <v>19579.52</v>
      </c>
      <c r="F364" s="1">
        <v>19579.52</v>
      </c>
      <c r="G364" s="1">
        <v>19579.52</v>
      </c>
      <c r="H364" s="1">
        <v>19579.52</v>
      </c>
      <c r="I364" s="1">
        <v>19579.52</v>
      </c>
      <c r="J364" s="1">
        <v>19579.52</v>
      </c>
      <c r="K364" s="1">
        <v>19579.52</v>
      </c>
      <c r="L364" s="1">
        <v>19579.52</v>
      </c>
      <c r="M364" s="1">
        <v>19579.52</v>
      </c>
      <c r="N364" s="1">
        <v>19579.52</v>
      </c>
      <c r="O364" s="1">
        <v>19579.52</v>
      </c>
      <c r="P364" s="1">
        <v>19579.52</v>
      </c>
      <c r="Q364" s="1">
        <v>19579.52</v>
      </c>
      <c r="R364" s="1">
        <v>19579.52</v>
      </c>
      <c r="S364" s="1">
        <v>19579.52</v>
      </c>
      <c r="T364" s="1">
        <v>19579.52</v>
      </c>
      <c r="U364" s="1">
        <v>19579.52</v>
      </c>
      <c r="V364" s="1">
        <v>19579.52</v>
      </c>
      <c r="W364" s="1">
        <v>19579.52</v>
      </c>
      <c r="X364" s="1">
        <v>19579.52</v>
      </c>
      <c r="Y364" s="1">
        <v>19579.52</v>
      </c>
      <c r="Z364" s="1">
        <v>19579.52</v>
      </c>
      <c r="AA364" s="5">
        <v>19579.52</v>
      </c>
      <c r="AB364" s="130">
        <f t="shared" si="16"/>
        <v>469908.48000000016</v>
      </c>
      <c r="AC364" s="130">
        <v>5</v>
      </c>
      <c r="AD364" s="131"/>
    </row>
    <row r="365" spans="2:30" ht="15" thickBot="1">
      <c r="B365" s="132"/>
      <c r="C365" s="133" t="s">
        <v>8</v>
      </c>
      <c r="D365" s="3">
        <v>19579.52</v>
      </c>
      <c r="E365" s="3">
        <v>19579.52</v>
      </c>
      <c r="F365" s="3">
        <v>19579.52</v>
      </c>
      <c r="G365" s="3">
        <v>19579.52</v>
      </c>
      <c r="H365" s="3">
        <v>19579.52</v>
      </c>
      <c r="I365" s="3">
        <v>19579.52</v>
      </c>
      <c r="J365" s="3">
        <v>19579.52</v>
      </c>
      <c r="K365" s="3">
        <v>19579.52</v>
      </c>
      <c r="L365" s="3">
        <v>19579.52</v>
      </c>
      <c r="M365" s="3">
        <v>19579.52</v>
      </c>
      <c r="N365" s="3">
        <v>19579.52</v>
      </c>
      <c r="O365" s="3">
        <v>19579.52</v>
      </c>
      <c r="P365" s="3">
        <v>19579.52</v>
      </c>
      <c r="Q365" s="3">
        <v>19579.52</v>
      </c>
      <c r="R365" s="3">
        <v>19579.52</v>
      </c>
      <c r="S365" s="3">
        <v>19579.52</v>
      </c>
      <c r="T365" s="3">
        <v>19579.52</v>
      </c>
      <c r="U365" s="3">
        <v>19579.52</v>
      </c>
      <c r="V365" s="3">
        <v>19579.52</v>
      </c>
      <c r="W365" s="3">
        <v>19579.52</v>
      </c>
      <c r="X365" s="3">
        <v>19579.52</v>
      </c>
      <c r="Y365" s="3">
        <v>19579.52</v>
      </c>
      <c r="Z365" s="3">
        <v>19579.52</v>
      </c>
      <c r="AA365" s="6">
        <v>19579.52</v>
      </c>
      <c r="AB365" s="134">
        <f t="shared" si="16"/>
        <v>469908.48000000016</v>
      </c>
      <c r="AC365" s="134">
        <v>3</v>
      </c>
      <c r="AD365" s="135"/>
    </row>
    <row r="366" spans="2:30">
      <c r="B366" s="124">
        <v>49857</v>
      </c>
      <c r="C366" s="125" t="s">
        <v>5</v>
      </c>
      <c r="D366" s="2">
        <v>19579.52</v>
      </c>
      <c r="E366" s="2">
        <v>19579.52</v>
      </c>
      <c r="F366" s="2">
        <v>19579.52</v>
      </c>
      <c r="G366" s="2">
        <v>19579.52</v>
      </c>
      <c r="H366" s="2">
        <v>19579.52</v>
      </c>
      <c r="I366" s="2">
        <v>19579.52</v>
      </c>
      <c r="J366" s="2">
        <v>19579.52</v>
      </c>
      <c r="K366" s="2">
        <v>19579.52</v>
      </c>
      <c r="L366" s="2">
        <v>19579.52</v>
      </c>
      <c r="M366" s="2">
        <v>19579.52</v>
      </c>
      <c r="N366" s="2">
        <v>19579.52</v>
      </c>
      <c r="O366" s="2">
        <v>19579.52</v>
      </c>
      <c r="P366" s="2">
        <v>19579.52</v>
      </c>
      <c r="Q366" s="2">
        <v>19579.52</v>
      </c>
      <c r="R366" s="2">
        <v>19579.52</v>
      </c>
      <c r="S366" s="2">
        <v>19579.52</v>
      </c>
      <c r="T366" s="2">
        <v>19579.52</v>
      </c>
      <c r="U366" s="2">
        <v>19579.52</v>
      </c>
      <c r="V366" s="2">
        <v>19579.52</v>
      </c>
      <c r="W366" s="2">
        <v>19579.52</v>
      </c>
      <c r="X366" s="2">
        <v>19579.52</v>
      </c>
      <c r="Y366" s="2">
        <v>19579.52</v>
      </c>
      <c r="Z366" s="2">
        <v>19579.52</v>
      </c>
      <c r="AA366" s="4">
        <v>19579.52</v>
      </c>
      <c r="AB366" s="126">
        <f t="shared" si="16"/>
        <v>469908.48000000016</v>
      </c>
      <c r="AC366" s="126">
        <v>23</v>
      </c>
      <c r="AD366" s="127">
        <f>(AB366*AC366)+(AB367*AC367)+(AB368*AC368)+(AB369*AC369)</f>
        <v>14567162.880000003</v>
      </c>
    </row>
    <row r="367" spans="2:30">
      <c r="B367" s="128"/>
      <c r="C367" s="129" t="s">
        <v>6</v>
      </c>
      <c r="D367" s="1">
        <v>19579.52</v>
      </c>
      <c r="E367" s="1">
        <v>19579.52</v>
      </c>
      <c r="F367" s="1">
        <v>19579.52</v>
      </c>
      <c r="G367" s="1">
        <v>19579.52</v>
      </c>
      <c r="H367" s="1">
        <v>19579.52</v>
      </c>
      <c r="I367" s="1">
        <v>19579.52</v>
      </c>
      <c r="J367" s="1">
        <v>19579.52</v>
      </c>
      <c r="K367" s="1">
        <v>19579.52</v>
      </c>
      <c r="L367" s="1">
        <v>19579.52</v>
      </c>
      <c r="M367" s="1">
        <v>19579.52</v>
      </c>
      <c r="N367" s="1">
        <v>19579.52</v>
      </c>
      <c r="O367" s="1">
        <v>19579.52</v>
      </c>
      <c r="P367" s="1">
        <v>19579.52</v>
      </c>
      <c r="Q367" s="1">
        <v>19579.52</v>
      </c>
      <c r="R367" s="1">
        <v>19579.52</v>
      </c>
      <c r="S367" s="1">
        <v>19579.52</v>
      </c>
      <c r="T367" s="1">
        <v>19579.52</v>
      </c>
      <c r="U367" s="1">
        <v>19579.52</v>
      </c>
      <c r="V367" s="1">
        <v>19579.52</v>
      </c>
      <c r="W367" s="1">
        <v>19579.52</v>
      </c>
      <c r="X367" s="1">
        <v>19579.52</v>
      </c>
      <c r="Y367" s="1">
        <v>19579.52</v>
      </c>
      <c r="Z367" s="1">
        <v>19579.52</v>
      </c>
      <c r="AA367" s="5">
        <v>19579.52</v>
      </c>
      <c r="AB367" s="130">
        <f t="shared" si="16"/>
        <v>469908.48000000016</v>
      </c>
      <c r="AC367" s="130">
        <v>4</v>
      </c>
      <c r="AD367" s="131"/>
    </row>
    <row r="368" spans="2:30">
      <c r="B368" s="128"/>
      <c r="C368" s="129" t="s">
        <v>4</v>
      </c>
      <c r="D368" s="1">
        <v>19579.52</v>
      </c>
      <c r="E368" s="1">
        <v>19579.52</v>
      </c>
      <c r="F368" s="1">
        <v>19579.52</v>
      </c>
      <c r="G368" s="1">
        <v>19579.52</v>
      </c>
      <c r="H368" s="1">
        <v>19579.52</v>
      </c>
      <c r="I368" s="1">
        <v>19579.52</v>
      </c>
      <c r="J368" s="1">
        <v>19579.52</v>
      </c>
      <c r="K368" s="1">
        <v>19579.52</v>
      </c>
      <c r="L368" s="1">
        <v>19579.52</v>
      </c>
      <c r="M368" s="1">
        <v>19579.52</v>
      </c>
      <c r="N368" s="1">
        <v>19579.52</v>
      </c>
      <c r="O368" s="1">
        <v>19579.52</v>
      </c>
      <c r="P368" s="1">
        <v>19579.52</v>
      </c>
      <c r="Q368" s="1">
        <v>19579.52</v>
      </c>
      <c r="R368" s="1">
        <v>19579.52</v>
      </c>
      <c r="S368" s="1">
        <v>19579.52</v>
      </c>
      <c r="T368" s="1">
        <v>19579.52</v>
      </c>
      <c r="U368" s="1">
        <v>19579.52</v>
      </c>
      <c r="V368" s="1">
        <v>19579.52</v>
      </c>
      <c r="W368" s="1">
        <v>19579.52</v>
      </c>
      <c r="X368" s="1">
        <v>19579.52</v>
      </c>
      <c r="Y368" s="1">
        <v>19579.52</v>
      </c>
      <c r="Z368" s="1">
        <v>19579.52</v>
      </c>
      <c r="AA368" s="5">
        <v>19579.52</v>
      </c>
      <c r="AB368" s="130">
        <f t="shared" si="16"/>
        <v>469908.48000000016</v>
      </c>
      <c r="AC368" s="130">
        <v>3</v>
      </c>
      <c r="AD368" s="131"/>
    </row>
    <row r="369" spans="2:30" ht="15" thickBot="1">
      <c r="B369" s="132"/>
      <c r="C369" s="133" t="s">
        <v>8</v>
      </c>
      <c r="D369" s="3">
        <v>19579.52</v>
      </c>
      <c r="E369" s="3">
        <v>19579.52</v>
      </c>
      <c r="F369" s="3">
        <v>19579.52</v>
      </c>
      <c r="G369" s="3">
        <v>19579.52</v>
      </c>
      <c r="H369" s="3">
        <v>19579.52</v>
      </c>
      <c r="I369" s="3">
        <v>19579.52</v>
      </c>
      <c r="J369" s="3">
        <v>19579.52</v>
      </c>
      <c r="K369" s="3">
        <v>19579.52</v>
      </c>
      <c r="L369" s="3">
        <v>19579.52</v>
      </c>
      <c r="M369" s="3">
        <v>19579.52</v>
      </c>
      <c r="N369" s="3">
        <v>19579.52</v>
      </c>
      <c r="O369" s="3">
        <v>19579.52</v>
      </c>
      <c r="P369" s="3">
        <v>19579.52</v>
      </c>
      <c r="Q369" s="3">
        <v>19579.52</v>
      </c>
      <c r="R369" s="3">
        <v>19579.52</v>
      </c>
      <c r="S369" s="3">
        <v>19579.52</v>
      </c>
      <c r="T369" s="3">
        <v>19579.52</v>
      </c>
      <c r="U369" s="3">
        <v>19579.52</v>
      </c>
      <c r="V369" s="3">
        <v>19579.52</v>
      </c>
      <c r="W369" s="3">
        <v>19579.52</v>
      </c>
      <c r="X369" s="3">
        <v>19579.52</v>
      </c>
      <c r="Y369" s="3">
        <v>19579.52</v>
      </c>
      <c r="Z369" s="3">
        <v>19579.52</v>
      </c>
      <c r="AA369" s="6">
        <v>19579.52</v>
      </c>
      <c r="AB369" s="134">
        <f t="shared" si="16"/>
        <v>469908.48000000016</v>
      </c>
      <c r="AC369" s="134">
        <v>1</v>
      </c>
      <c r="AD369" s="135"/>
    </row>
    <row r="370" spans="2:30">
      <c r="B370" s="124">
        <v>49888</v>
      </c>
      <c r="C370" s="125" t="s">
        <v>5</v>
      </c>
      <c r="D370" s="2">
        <v>19579.52</v>
      </c>
      <c r="E370" s="2">
        <v>19579.52</v>
      </c>
      <c r="F370" s="2">
        <v>19579.52</v>
      </c>
      <c r="G370" s="2">
        <v>19579.52</v>
      </c>
      <c r="H370" s="2">
        <v>19579.52</v>
      </c>
      <c r="I370" s="2">
        <v>19579.52</v>
      </c>
      <c r="J370" s="2">
        <v>19579.52</v>
      </c>
      <c r="K370" s="2">
        <v>19579.52</v>
      </c>
      <c r="L370" s="2">
        <v>19579.52</v>
      </c>
      <c r="M370" s="2">
        <v>19579.52</v>
      </c>
      <c r="N370" s="2">
        <v>19579.52</v>
      </c>
      <c r="O370" s="2">
        <v>19579.52</v>
      </c>
      <c r="P370" s="2">
        <v>19579.52</v>
      </c>
      <c r="Q370" s="2">
        <v>19579.52</v>
      </c>
      <c r="R370" s="2">
        <v>19579.52</v>
      </c>
      <c r="S370" s="2">
        <v>19579.52</v>
      </c>
      <c r="T370" s="2">
        <v>19579.52</v>
      </c>
      <c r="U370" s="2">
        <v>19579.52</v>
      </c>
      <c r="V370" s="2">
        <v>19579.52</v>
      </c>
      <c r="W370" s="2">
        <v>19579.52</v>
      </c>
      <c r="X370" s="2">
        <v>19579.52</v>
      </c>
      <c r="Y370" s="2">
        <v>19579.52</v>
      </c>
      <c r="Z370" s="2">
        <v>19579.52</v>
      </c>
      <c r="AA370" s="4">
        <v>19579.52</v>
      </c>
      <c r="AB370" s="126">
        <f t="shared" si="16"/>
        <v>469908.48000000016</v>
      </c>
      <c r="AC370" s="126">
        <v>19</v>
      </c>
      <c r="AD370" s="127">
        <f>(AB370*AC370)+(AB371*AC371)+(AB372*AC372)+(AB373*AC373)</f>
        <v>14567162.880000005</v>
      </c>
    </row>
    <row r="371" spans="2:30">
      <c r="B371" s="128"/>
      <c r="C371" s="129" t="s">
        <v>6</v>
      </c>
      <c r="D371" s="1">
        <v>19579.52</v>
      </c>
      <c r="E371" s="1">
        <v>19579.52</v>
      </c>
      <c r="F371" s="1">
        <v>19579.52</v>
      </c>
      <c r="G371" s="1">
        <v>19579.52</v>
      </c>
      <c r="H371" s="1">
        <v>19579.52</v>
      </c>
      <c r="I371" s="1">
        <v>19579.52</v>
      </c>
      <c r="J371" s="1">
        <v>19579.52</v>
      </c>
      <c r="K371" s="1">
        <v>19579.52</v>
      </c>
      <c r="L371" s="1">
        <v>19579.52</v>
      </c>
      <c r="M371" s="1">
        <v>19579.52</v>
      </c>
      <c r="N371" s="1">
        <v>19579.52</v>
      </c>
      <c r="O371" s="1">
        <v>19579.52</v>
      </c>
      <c r="P371" s="1">
        <v>19579.52</v>
      </c>
      <c r="Q371" s="1">
        <v>19579.52</v>
      </c>
      <c r="R371" s="1">
        <v>19579.52</v>
      </c>
      <c r="S371" s="1">
        <v>19579.52</v>
      </c>
      <c r="T371" s="1">
        <v>19579.52</v>
      </c>
      <c r="U371" s="1">
        <v>19579.52</v>
      </c>
      <c r="V371" s="1">
        <v>19579.52</v>
      </c>
      <c r="W371" s="1">
        <v>19579.52</v>
      </c>
      <c r="X371" s="1">
        <v>19579.52</v>
      </c>
      <c r="Y371" s="1">
        <v>19579.52</v>
      </c>
      <c r="Z371" s="1">
        <v>19579.52</v>
      </c>
      <c r="AA371" s="5">
        <v>19579.52</v>
      </c>
      <c r="AB371" s="130">
        <f t="shared" si="16"/>
        <v>469908.48000000016</v>
      </c>
      <c r="AC371" s="130">
        <v>5</v>
      </c>
      <c r="AD371" s="131"/>
    </row>
    <row r="372" spans="2:30">
      <c r="B372" s="128"/>
      <c r="C372" s="129" t="s">
        <v>7</v>
      </c>
      <c r="D372" s="1">
        <v>19579.52</v>
      </c>
      <c r="E372" s="1">
        <v>19579.52</v>
      </c>
      <c r="F372" s="1">
        <v>19579.52</v>
      </c>
      <c r="G372" s="1">
        <v>19579.52</v>
      </c>
      <c r="H372" s="1">
        <v>19579.52</v>
      </c>
      <c r="I372" s="1">
        <v>19579.52</v>
      </c>
      <c r="J372" s="1">
        <v>19579.52</v>
      </c>
      <c r="K372" s="1">
        <v>19579.52</v>
      </c>
      <c r="L372" s="1">
        <v>19579.52</v>
      </c>
      <c r="M372" s="1">
        <v>19579.52</v>
      </c>
      <c r="N372" s="1">
        <v>19579.52</v>
      </c>
      <c r="O372" s="1">
        <v>19579.52</v>
      </c>
      <c r="P372" s="1">
        <v>19579.52</v>
      </c>
      <c r="Q372" s="1">
        <v>19579.52</v>
      </c>
      <c r="R372" s="1">
        <v>19579.52</v>
      </c>
      <c r="S372" s="1">
        <v>19579.52</v>
      </c>
      <c r="T372" s="1">
        <v>19579.52</v>
      </c>
      <c r="U372" s="1">
        <v>19579.52</v>
      </c>
      <c r="V372" s="1">
        <v>19579.52</v>
      </c>
      <c r="W372" s="1">
        <v>19579.52</v>
      </c>
      <c r="X372" s="1">
        <v>19579.52</v>
      </c>
      <c r="Y372" s="1">
        <v>19579.52</v>
      </c>
      <c r="Z372" s="1">
        <v>19579.52</v>
      </c>
      <c r="AA372" s="5">
        <v>19579.52</v>
      </c>
      <c r="AB372" s="130">
        <f t="shared" si="16"/>
        <v>469908.48000000016</v>
      </c>
      <c r="AC372" s="130">
        <v>5</v>
      </c>
      <c r="AD372" s="131"/>
    </row>
    <row r="373" spans="2:30" ht="15" thickBot="1">
      <c r="B373" s="132"/>
      <c r="C373" s="133" t="s">
        <v>8</v>
      </c>
      <c r="D373" s="3">
        <v>19579.52</v>
      </c>
      <c r="E373" s="3">
        <v>19579.52</v>
      </c>
      <c r="F373" s="3">
        <v>19579.52</v>
      </c>
      <c r="G373" s="3">
        <v>19579.52</v>
      </c>
      <c r="H373" s="3">
        <v>19579.52</v>
      </c>
      <c r="I373" s="3">
        <v>19579.52</v>
      </c>
      <c r="J373" s="3">
        <v>19579.52</v>
      </c>
      <c r="K373" s="3">
        <v>19579.52</v>
      </c>
      <c r="L373" s="3">
        <v>19579.52</v>
      </c>
      <c r="M373" s="3">
        <v>19579.52</v>
      </c>
      <c r="N373" s="3">
        <v>19579.52</v>
      </c>
      <c r="O373" s="3">
        <v>19579.52</v>
      </c>
      <c r="P373" s="3">
        <v>19579.52</v>
      </c>
      <c r="Q373" s="3">
        <v>19579.52</v>
      </c>
      <c r="R373" s="3">
        <v>19579.52</v>
      </c>
      <c r="S373" s="3">
        <v>19579.52</v>
      </c>
      <c r="T373" s="3">
        <v>19579.52</v>
      </c>
      <c r="U373" s="3">
        <v>19579.52</v>
      </c>
      <c r="V373" s="3">
        <v>19579.52</v>
      </c>
      <c r="W373" s="3">
        <v>19579.52</v>
      </c>
      <c r="X373" s="3">
        <v>19579.52</v>
      </c>
      <c r="Y373" s="3">
        <v>19579.52</v>
      </c>
      <c r="Z373" s="3">
        <v>19579.52</v>
      </c>
      <c r="AA373" s="6">
        <v>19579.52</v>
      </c>
      <c r="AB373" s="134">
        <f t="shared" si="16"/>
        <v>469908.48000000016</v>
      </c>
      <c r="AC373" s="134">
        <v>2</v>
      </c>
      <c r="AD373" s="135"/>
    </row>
    <row r="374" spans="2:30">
      <c r="B374" s="124">
        <v>49919</v>
      </c>
      <c r="C374" s="125" t="s">
        <v>5</v>
      </c>
      <c r="D374" s="2">
        <v>19579.52</v>
      </c>
      <c r="E374" s="2">
        <v>19579.52</v>
      </c>
      <c r="F374" s="2">
        <v>19579.52</v>
      </c>
      <c r="G374" s="2">
        <v>19579.52</v>
      </c>
      <c r="H374" s="2">
        <v>19579.52</v>
      </c>
      <c r="I374" s="2">
        <v>19579.52</v>
      </c>
      <c r="J374" s="2">
        <v>19579.52</v>
      </c>
      <c r="K374" s="2">
        <v>19579.52</v>
      </c>
      <c r="L374" s="2">
        <v>19579.52</v>
      </c>
      <c r="M374" s="2">
        <v>19579.52</v>
      </c>
      <c r="N374" s="2">
        <v>19579.52</v>
      </c>
      <c r="O374" s="2">
        <v>19579.52</v>
      </c>
      <c r="P374" s="2">
        <v>19579.52</v>
      </c>
      <c r="Q374" s="2">
        <v>19579.52</v>
      </c>
      <c r="R374" s="2">
        <v>19579.52</v>
      </c>
      <c r="S374" s="2">
        <v>19579.52</v>
      </c>
      <c r="T374" s="2">
        <v>19579.52</v>
      </c>
      <c r="U374" s="2">
        <v>19579.52</v>
      </c>
      <c r="V374" s="2">
        <v>19579.52</v>
      </c>
      <c r="W374" s="2">
        <v>19579.52</v>
      </c>
      <c r="X374" s="2">
        <v>19579.52</v>
      </c>
      <c r="Y374" s="2">
        <v>19579.52</v>
      </c>
      <c r="Z374" s="2">
        <v>19579.52</v>
      </c>
      <c r="AA374" s="4">
        <v>19579.52</v>
      </c>
      <c r="AB374" s="126">
        <f t="shared" si="16"/>
        <v>469908.48000000016</v>
      </c>
      <c r="AC374" s="126">
        <v>22</v>
      </c>
      <c r="AD374" s="127">
        <f>(AB374*AC374)+(AB375*AC375)+(AB376*AC376)+(AB377*AC377)</f>
        <v>14097254.400000004</v>
      </c>
    </row>
    <row r="375" spans="2:30">
      <c r="B375" s="128"/>
      <c r="C375" s="129" t="s">
        <v>6</v>
      </c>
      <c r="D375" s="1">
        <v>19579.52</v>
      </c>
      <c r="E375" s="1">
        <v>19579.52</v>
      </c>
      <c r="F375" s="1">
        <v>19579.52</v>
      </c>
      <c r="G375" s="1">
        <v>19579.52</v>
      </c>
      <c r="H375" s="1">
        <v>19579.52</v>
      </c>
      <c r="I375" s="1">
        <v>19579.52</v>
      </c>
      <c r="J375" s="1">
        <v>19579.52</v>
      </c>
      <c r="K375" s="1">
        <v>19579.52</v>
      </c>
      <c r="L375" s="1">
        <v>19579.52</v>
      </c>
      <c r="M375" s="1">
        <v>19579.52</v>
      </c>
      <c r="N375" s="1">
        <v>19579.52</v>
      </c>
      <c r="O375" s="1">
        <v>19579.52</v>
      </c>
      <c r="P375" s="1">
        <v>19579.52</v>
      </c>
      <c r="Q375" s="1">
        <v>19579.52</v>
      </c>
      <c r="R375" s="1">
        <v>19579.52</v>
      </c>
      <c r="S375" s="1">
        <v>19579.52</v>
      </c>
      <c r="T375" s="1">
        <v>19579.52</v>
      </c>
      <c r="U375" s="1">
        <v>19579.52</v>
      </c>
      <c r="V375" s="1">
        <v>19579.52</v>
      </c>
      <c r="W375" s="1">
        <v>19579.52</v>
      </c>
      <c r="X375" s="1">
        <v>19579.52</v>
      </c>
      <c r="Y375" s="1">
        <v>19579.52</v>
      </c>
      <c r="Z375" s="1">
        <v>19579.52</v>
      </c>
      <c r="AA375" s="5">
        <v>19579.52</v>
      </c>
      <c r="AB375" s="130">
        <f t="shared" si="16"/>
        <v>469908.48000000016</v>
      </c>
      <c r="AC375" s="130">
        <v>4</v>
      </c>
      <c r="AD375" s="131"/>
    </row>
    <row r="376" spans="2:30">
      <c r="B376" s="128"/>
      <c r="C376" s="129" t="s">
        <v>7</v>
      </c>
      <c r="D376" s="1">
        <v>19579.52</v>
      </c>
      <c r="E376" s="1">
        <v>19579.52</v>
      </c>
      <c r="F376" s="1">
        <v>19579.52</v>
      </c>
      <c r="G376" s="1">
        <v>19579.52</v>
      </c>
      <c r="H376" s="1">
        <v>19579.52</v>
      </c>
      <c r="I376" s="1">
        <v>19579.52</v>
      </c>
      <c r="J376" s="1">
        <v>19579.52</v>
      </c>
      <c r="K376" s="1">
        <v>19579.52</v>
      </c>
      <c r="L376" s="1">
        <v>19579.52</v>
      </c>
      <c r="M376" s="1">
        <v>19579.52</v>
      </c>
      <c r="N376" s="1">
        <v>19579.52</v>
      </c>
      <c r="O376" s="1">
        <v>19579.52</v>
      </c>
      <c r="P376" s="1">
        <v>19579.52</v>
      </c>
      <c r="Q376" s="1">
        <v>19579.52</v>
      </c>
      <c r="R376" s="1">
        <v>19579.52</v>
      </c>
      <c r="S376" s="1">
        <v>19579.52</v>
      </c>
      <c r="T376" s="1">
        <v>19579.52</v>
      </c>
      <c r="U376" s="1">
        <v>19579.52</v>
      </c>
      <c r="V376" s="1">
        <v>19579.52</v>
      </c>
      <c r="W376" s="1">
        <v>19579.52</v>
      </c>
      <c r="X376" s="1">
        <v>19579.52</v>
      </c>
      <c r="Y376" s="1">
        <v>19579.52</v>
      </c>
      <c r="Z376" s="1">
        <v>19579.52</v>
      </c>
      <c r="AA376" s="5">
        <v>19579.52</v>
      </c>
      <c r="AB376" s="130">
        <f t="shared" si="16"/>
        <v>469908.48000000016</v>
      </c>
      <c r="AC376" s="130">
        <v>4</v>
      </c>
      <c r="AD376" s="131"/>
    </row>
    <row r="377" spans="2:30" ht="15" thickBot="1">
      <c r="B377" s="132"/>
      <c r="C377" s="133" t="s">
        <v>8</v>
      </c>
      <c r="D377" s="3">
        <v>19579.52</v>
      </c>
      <c r="E377" s="3">
        <v>19579.52</v>
      </c>
      <c r="F377" s="3">
        <v>19579.52</v>
      </c>
      <c r="G377" s="3">
        <v>19579.52</v>
      </c>
      <c r="H377" s="3">
        <v>19579.52</v>
      </c>
      <c r="I377" s="3">
        <v>19579.52</v>
      </c>
      <c r="J377" s="3">
        <v>19579.52</v>
      </c>
      <c r="K377" s="3">
        <v>19579.52</v>
      </c>
      <c r="L377" s="3">
        <v>19579.52</v>
      </c>
      <c r="M377" s="3">
        <v>19579.52</v>
      </c>
      <c r="N377" s="3">
        <v>19579.52</v>
      </c>
      <c r="O377" s="3">
        <v>19579.52</v>
      </c>
      <c r="P377" s="3">
        <v>19579.52</v>
      </c>
      <c r="Q377" s="3">
        <v>19579.52</v>
      </c>
      <c r="R377" s="3">
        <v>19579.52</v>
      </c>
      <c r="S377" s="3">
        <v>19579.52</v>
      </c>
      <c r="T377" s="3">
        <v>19579.52</v>
      </c>
      <c r="U377" s="3">
        <v>19579.52</v>
      </c>
      <c r="V377" s="3">
        <v>19579.52</v>
      </c>
      <c r="W377" s="3">
        <v>19579.52</v>
      </c>
      <c r="X377" s="3">
        <v>19579.52</v>
      </c>
      <c r="Y377" s="3">
        <v>19579.52</v>
      </c>
      <c r="Z377" s="3">
        <v>19579.52</v>
      </c>
      <c r="AA377" s="6">
        <v>19579.52</v>
      </c>
      <c r="AB377" s="134">
        <f t="shared" si="16"/>
        <v>469908.48000000016</v>
      </c>
      <c r="AC377" s="134">
        <v>0</v>
      </c>
      <c r="AD377" s="135"/>
    </row>
    <row r="378" spans="2:30">
      <c r="B378" s="124">
        <v>49949</v>
      </c>
      <c r="C378" s="125" t="s">
        <v>5</v>
      </c>
      <c r="D378" s="2">
        <v>19579.52</v>
      </c>
      <c r="E378" s="2">
        <v>19579.52</v>
      </c>
      <c r="F378" s="2">
        <v>19579.52</v>
      </c>
      <c r="G378" s="2">
        <v>19579.52</v>
      </c>
      <c r="H378" s="2">
        <v>19579.52</v>
      </c>
      <c r="I378" s="2">
        <v>19579.52</v>
      </c>
      <c r="J378" s="2">
        <v>19579.52</v>
      </c>
      <c r="K378" s="2">
        <v>19579.52</v>
      </c>
      <c r="L378" s="2">
        <v>19579.52</v>
      </c>
      <c r="M378" s="2">
        <v>19579.52</v>
      </c>
      <c r="N378" s="2">
        <v>19579.52</v>
      </c>
      <c r="O378" s="2">
        <v>19579.52</v>
      </c>
      <c r="P378" s="2">
        <v>19579.52</v>
      </c>
      <c r="Q378" s="2">
        <v>19579.52</v>
      </c>
      <c r="R378" s="2">
        <v>19579.52</v>
      </c>
      <c r="S378" s="2">
        <v>19579.52</v>
      </c>
      <c r="T378" s="2">
        <v>19579.52</v>
      </c>
      <c r="U378" s="2">
        <v>19579.52</v>
      </c>
      <c r="V378" s="2">
        <v>19579.52</v>
      </c>
      <c r="W378" s="2">
        <v>19579.52</v>
      </c>
      <c r="X378" s="2">
        <v>19579.52</v>
      </c>
      <c r="Y378" s="2">
        <v>19579.52</v>
      </c>
      <c r="Z378" s="2">
        <v>19579.52</v>
      </c>
      <c r="AA378" s="4">
        <v>19579.52</v>
      </c>
      <c r="AB378" s="126">
        <f t="shared" si="16"/>
        <v>469908.48000000016</v>
      </c>
      <c r="AC378" s="126">
        <v>22</v>
      </c>
      <c r="AD378" s="127">
        <f>(AB378*AC378)+(AB379*AC379)+(AB380*AC380)+(AB381*AC381)</f>
        <v>14567162.880000005</v>
      </c>
    </row>
    <row r="379" spans="2:30">
      <c r="B379" s="128"/>
      <c r="C379" s="129" t="s">
        <v>6</v>
      </c>
      <c r="D379" s="1">
        <v>19579.52</v>
      </c>
      <c r="E379" s="1">
        <v>19579.52</v>
      </c>
      <c r="F379" s="1">
        <v>19579.52</v>
      </c>
      <c r="G379" s="1">
        <v>19579.52</v>
      </c>
      <c r="H379" s="1">
        <v>19579.52</v>
      </c>
      <c r="I379" s="1">
        <v>19579.52</v>
      </c>
      <c r="J379" s="1">
        <v>19579.52</v>
      </c>
      <c r="K379" s="1">
        <v>19579.52</v>
      </c>
      <c r="L379" s="1">
        <v>19579.52</v>
      </c>
      <c r="M379" s="1">
        <v>19579.52</v>
      </c>
      <c r="N379" s="1">
        <v>19579.52</v>
      </c>
      <c r="O379" s="1">
        <v>19579.52</v>
      </c>
      <c r="P379" s="1">
        <v>19579.52</v>
      </c>
      <c r="Q379" s="1">
        <v>19579.52</v>
      </c>
      <c r="R379" s="1">
        <v>19579.52</v>
      </c>
      <c r="S379" s="1">
        <v>19579.52</v>
      </c>
      <c r="T379" s="1">
        <v>19579.52</v>
      </c>
      <c r="U379" s="1">
        <v>19579.52</v>
      </c>
      <c r="V379" s="1">
        <v>19579.52</v>
      </c>
      <c r="W379" s="1">
        <v>19579.52</v>
      </c>
      <c r="X379" s="1">
        <v>19579.52</v>
      </c>
      <c r="Y379" s="1">
        <v>19579.52</v>
      </c>
      <c r="Z379" s="1">
        <v>19579.52</v>
      </c>
      <c r="AA379" s="5">
        <v>19579.52</v>
      </c>
      <c r="AB379" s="130">
        <f t="shared" si="16"/>
        <v>469908.48000000016</v>
      </c>
      <c r="AC379" s="130">
        <v>4</v>
      </c>
      <c r="AD379" s="131"/>
    </row>
    <row r="380" spans="2:30">
      <c r="B380" s="128"/>
      <c r="C380" s="129" t="s">
        <v>7</v>
      </c>
      <c r="D380" s="1">
        <v>19579.52</v>
      </c>
      <c r="E380" s="1">
        <v>19579.52</v>
      </c>
      <c r="F380" s="1">
        <v>19579.52</v>
      </c>
      <c r="G380" s="1">
        <v>19579.52</v>
      </c>
      <c r="H380" s="1">
        <v>19579.52</v>
      </c>
      <c r="I380" s="1">
        <v>19579.52</v>
      </c>
      <c r="J380" s="1">
        <v>19579.52</v>
      </c>
      <c r="K380" s="1">
        <v>19579.52</v>
      </c>
      <c r="L380" s="1">
        <v>19579.52</v>
      </c>
      <c r="M380" s="1">
        <v>19579.52</v>
      </c>
      <c r="N380" s="1">
        <v>19579.52</v>
      </c>
      <c r="O380" s="1">
        <v>19579.52</v>
      </c>
      <c r="P380" s="1">
        <v>19579.52</v>
      </c>
      <c r="Q380" s="1">
        <v>19579.52</v>
      </c>
      <c r="R380" s="1">
        <v>19579.52</v>
      </c>
      <c r="S380" s="1">
        <v>19579.52</v>
      </c>
      <c r="T380" s="1">
        <v>19579.52</v>
      </c>
      <c r="U380" s="1">
        <v>19579.52</v>
      </c>
      <c r="V380" s="1">
        <v>19579.52</v>
      </c>
      <c r="W380" s="1">
        <v>19579.52</v>
      </c>
      <c r="X380" s="1">
        <v>19579.52</v>
      </c>
      <c r="Y380" s="1">
        <v>19579.52</v>
      </c>
      <c r="Z380" s="1">
        <v>19579.52</v>
      </c>
      <c r="AA380" s="5">
        <v>19579.52</v>
      </c>
      <c r="AB380" s="130">
        <f t="shared" si="16"/>
        <v>469908.48000000016</v>
      </c>
      <c r="AC380" s="130">
        <v>4</v>
      </c>
      <c r="AD380" s="131"/>
    </row>
    <row r="381" spans="2:30" ht="15" thickBot="1">
      <c r="B381" s="132"/>
      <c r="C381" s="133" t="s">
        <v>8</v>
      </c>
      <c r="D381" s="3">
        <v>19579.52</v>
      </c>
      <c r="E381" s="3">
        <v>19579.52</v>
      </c>
      <c r="F381" s="3">
        <v>19579.52</v>
      </c>
      <c r="G381" s="3">
        <v>19579.52</v>
      </c>
      <c r="H381" s="3">
        <v>19579.52</v>
      </c>
      <c r="I381" s="3">
        <v>19579.52</v>
      </c>
      <c r="J381" s="3">
        <v>19579.52</v>
      </c>
      <c r="K381" s="3">
        <v>19579.52</v>
      </c>
      <c r="L381" s="3">
        <v>19579.52</v>
      </c>
      <c r="M381" s="3">
        <v>19579.52</v>
      </c>
      <c r="N381" s="3">
        <v>19579.52</v>
      </c>
      <c r="O381" s="3">
        <v>19579.52</v>
      </c>
      <c r="P381" s="3">
        <v>19579.52</v>
      </c>
      <c r="Q381" s="3">
        <v>19579.52</v>
      </c>
      <c r="R381" s="3">
        <v>19579.52</v>
      </c>
      <c r="S381" s="3">
        <v>19579.52</v>
      </c>
      <c r="T381" s="3">
        <v>19579.52</v>
      </c>
      <c r="U381" s="3">
        <v>19579.52</v>
      </c>
      <c r="V381" s="3">
        <v>19579.52</v>
      </c>
      <c r="W381" s="3">
        <v>19579.52</v>
      </c>
      <c r="X381" s="3">
        <v>19579.52</v>
      </c>
      <c r="Y381" s="3">
        <v>19579.52</v>
      </c>
      <c r="Z381" s="3">
        <v>19579.52</v>
      </c>
      <c r="AA381" s="6">
        <v>19579.52</v>
      </c>
      <c r="AB381" s="134">
        <f t="shared" si="16"/>
        <v>469908.48000000016</v>
      </c>
      <c r="AC381" s="134">
        <v>1</v>
      </c>
      <c r="AD381" s="135"/>
    </row>
    <row r="382" spans="2:30">
      <c r="B382" s="124">
        <v>49980</v>
      </c>
      <c r="C382" s="125" t="s">
        <v>5</v>
      </c>
      <c r="D382" s="2">
        <v>19579.52</v>
      </c>
      <c r="E382" s="2">
        <v>19579.52</v>
      </c>
      <c r="F382" s="2">
        <v>19579.52</v>
      </c>
      <c r="G382" s="2">
        <v>19579.52</v>
      </c>
      <c r="H382" s="2">
        <v>19579.52</v>
      </c>
      <c r="I382" s="2">
        <v>19579.52</v>
      </c>
      <c r="J382" s="2">
        <v>19579.52</v>
      </c>
      <c r="K382" s="2">
        <v>19579.52</v>
      </c>
      <c r="L382" s="2">
        <v>19579.52</v>
      </c>
      <c r="M382" s="2">
        <v>19579.52</v>
      </c>
      <c r="N382" s="2">
        <v>19579.52</v>
      </c>
      <c r="O382" s="2">
        <v>19579.52</v>
      </c>
      <c r="P382" s="2">
        <v>19579.52</v>
      </c>
      <c r="Q382" s="2">
        <v>19579.52</v>
      </c>
      <c r="R382" s="2">
        <v>19579.52</v>
      </c>
      <c r="S382" s="2">
        <v>19579.52</v>
      </c>
      <c r="T382" s="2">
        <v>19579.52</v>
      </c>
      <c r="U382" s="2">
        <v>19579.52</v>
      </c>
      <c r="V382" s="2">
        <v>19579.52</v>
      </c>
      <c r="W382" s="2">
        <v>19579.52</v>
      </c>
      <c r="X382" s="2">
        <v>19579.52</v>
      </c>
      <c r="Y382" s="2">
        <v>19579.52</v>
      </c>
      <c r="Z382" s="2">
        <v>19579.52</v>
      </c>
      <c r="AA382" s="4">
        <v>19579.52</v>
      </c>
      <c r="AB382" s="126">
        <f t="shared" si="16"/>
        <v>469908.48000000016</v>
      </c>
      <c r="AC382" s="126">
        <v>18</v>
      </c>
      <c r="AD382" s="127">
        <f>(AB382*AC382)+(AB383*AC383)+(AB384*AC384)+(AB385*AC385)</f>
        <v>14097254.400000004</v>
      </c>
    </row>
    <row r="383" spans="2:30">
      <c r="B383" s="128"/>
      <c r="C383" s="129" t="s">
        <v>6</v>
      </c>
      <c r="D383" s="1">
        <v>19579.52</v>
      </c>
      <c r="E383" s="1">
        <v>19579.52</v>
      </c>
      <c r="F383" s="1">
        <v>19579.52</v>
      </c>
      <c r="G383" s="1">
        <v>19579.52</v>
      </c>
      <c r="H383" s="1">
        <v>19579.52</v>
      </c>
      <c r="I383" s="1">
        <v>19579.52</v>
      </c>
      <c r="J383" s="1">
        <v>19579.52</v>
      </c>
      <c r="K383" s="1">
        <v>19579.52</v>
      </c>
      <c r="L383" s="1">
        <v>19579.52</v>
      </c>
      <c r="M383" s="1">
        <v>19579.52</v>
      </c>
      <c r="N383" s="1">
        <v>19579.52</v>
      </c>
      <c r="O383" s="1">
        <v>19579.52</v>
      </c>
      <c r="P383" s="1">
        <v>19579.52</v>
      </c>
      <c r="Q383" s="1">
        <v>19579.52</v>
      </c>
      <c r="R383" s="1">
        <v>19579.52</v>
      </c>
      <c r="S383" s="1">
        <v>19579.52</v>
      </c>
      <c r="T383" s="1">
        <v>19579.52</v>
      </c>
      <c r="U383" s="1">
        <v>19579.52</v>
      </c>
      <c r="V383" s="1">
        <v>19579.52</v>
      </c>
      <c r="W383" s="1">
        <v>19579.52</v>
      </c>
      <c r="X383" s="1">
        <v>19579.52</v>
      </c>
      <c r="Y383" s="1">
        <v>19579.52</v>
      </c>
      <c r="Z383" s="1">
        <v>19579.52</v>
      </c>
      <c r="AA383" s="5">
        <v>19579.52</v>
      </c>
      <c r="AB383" s="130">
        <f t="shared" si="16"/>
        <v>469908.48000000016</v>
      </c>
      <c r="AC383" s="130">
        <v>5</v>
      </c>
      <c r="AD383" s="131"/>
    </row>
    <row r="384" spans="2:30">
      <c r="B384" s="128"/>
      <c r="C384" s="129" t="s">
        <v>7</v>
      </c>
      <c r="D384" s="1">
        <v>19579.52</v>
      </c>
      <c r="E384" s="1">
        <v>19579.52</v>
      </c>
      <c r="F384" s="1">
        <v>19579.52</v>
      </c>
      <c r="G384" s="1">
        <v>19579.52</v>
      </c>
      <c r="H384" s="1">
        <v>19579.52</v>
      </c>
      <c r="I384" s="1">
        <v>19579.52</v>
      </c>
      <c r="J384" s="1">
        <v>19579.52</v>
      </c>
      <c r="K384" s="1">
        <v>19579.52</v>
      </c>
      <c r="L384" s="1">
        <v>19579.52</v>
      </c>
      <c r="M384" s="1">
        <v>19579.52</v>
      </c>
      <c r="N384" s="1">
        <v>19579.52</v>
      </c>
      <c r="O384" s="1">
        <v>19579.52</v>
      </c>
      <c r="P384" s="1">
        <v>19579.52</v>
      </c>
      <c r="Q384" s="1">
        <v>19579.52</v>
      </c>
      <c r="R384" s="1">
        <v>19579.52</v>
      </c>
      <c r="S384" s="1">
        <v>19579.52</v>
      </c>
      <c r="T384" s="1">
        <v>19579.52</v>
      </c>
      <c r="U384" s="1">
        <v>19579.52</v>
      </c>
      <c r="V384" s="1">
        <v>19579.52</v>
      </c>
      <c r="W384" s="1">
        <v>19579.52</v>
      </c>
      <c r="X384" s="1">
        <v>19579.52</v>
      </c>
      <c r="Y384" s="1">
        <v>19579.52</v>
      </c>
      <c r="Z384" s="1">
        <v>19579.52</v>
      </c>
      <c r="AA384" s="5">
        <v>19579.52</v>
      </c>
      <c r="AB384" s="130">
        <f t="shared" si="16"/>
        <v>469908.48000000016</v>
      </c>
      <c r="AC384" s="130">
        <v>5</v>
      </c>
      <c r="AD384" s="131"/>
    </row>
    <row r="385" spans="2:30" ht="15" thickBot="1">
      <c r="B385" s="132"/>
      <c r="C385" s="133" t="s">
        <v>8</v>
      </c>
      <c r="D385" s="3">
        <v>19579.52</v>
      </c>
      <c r="E385" s="3">
        <v>19579.52</v>
      </c>
      <c r="F385" s="3">
        <v>19579.52</v>
      </c>
      <c r="G385" s="3">
        <v>19579.52</v>
      </c>
      <c r="H385" s="3">
        <v>19579.52</v>
      </c>
      <c r="I385" s="3">
        <v>19579.52</v>
      </c>
      <c r="J385" s="3">
        <v>19579.52</v>
      </c>
      <c r="K385" s="3">
        <v>19579.52</v>
      </c>
      <c r="L385" s="3">
        <v>19579.52</v>
      </c>
      <c r="M385" s="3">
        <v>19579.52</v>
      </c>
      <c r="N385" s="3">
        <v>19579.52</v>
      </c>
      <c r="O385" s="3">
        <v>19579.52</v>
      </c>
      <c r="P385" s="3">
        <v>19579.52</v>
      </c>
      <c r="Q385" s="3">
        <v>19579.52</v>
      </c>
      <c r="R385" s="3">
        <v>19579.52</v>
      </c>
      <c r="S385" s="3">
        <v>19579.52</v>
      </c>
      <c r="T385" s="3">
        <v>19579.52</v>
      </c>
      <c r="U385" s="3">
        <v>19579.52</v>
      </c>
      <c r="V385" s="3">
        <v>19579.52</v>
      </c>
      <c r="W385" s="3">
        <v>19579.52</v>
      </c>
      <c r="X385" s="3">
        <v>19579.52</v>
      </c>
      <c r="Y385" s="3">
        <v>19579.52</v>
      </c>
      <c r="Z385" s="3">
        <v>19579.52</v>
      </c>
      <c r="AA385" s="6">
        <v>19579.52</v>
      </c>
      <c r="AB385" s="134">
        <f t="shared" si="16"/>
        <v>469908.48000000016</v>
      </c>
      <c r="AC385" s="134">
        <v>2</v>
      </c>
      <c r="AD385" s="135"/>
    </row>
    <row r="386" spans="2:30">
      <c r="B386" s="124">
        <v>50010</v>
      </c>
      <c r="C386" s="125" t="s">
        <v>5</v>
      </c>
      <c r="D386" s="2">
        <v>19579.52</v>
      </c>
      <c r="E386" s="2">
        <v>19579.52</v>
      </c>
      <c r="F386" s="2">
        <v>19579.52</v>
      </c>
      <c r="G386" s="2">
        <v>19579.52</v>
      </c>
      <c r="H386" s="2">
        <v>19579.52</v>
      </c>
      <c r="I386" s="2">
        <v>19579.52</v>
      </c>
      <c r="J386" s="2">
        <v>19579.52</v>
      </c>
      <c r="K386" s="2">
        <v>19579.52</v>
      </c>
      <c r="L386" s="2">
        <v>19579.52</v>
      </c>
      <c r="M386" s="2">
        <v>19579.52</v>
      </c>
      <c r="N386" s="2">
        <v>19579.52</v>
      </c>
      <c r="O386" s="2">
        <v>19579.52</v>
      </c>
      <c r="P386" s="2">
        <v>19579.52</v>
      </c>
      <c r="Q386" s="2">
        <v>19579.52</v>
      </c>
      <c r="R386" s="2">
        <v>19579.52</v>
      </c>
      <c r="S386" s="2">
        <v>19579.52</v>
      </c>
      <c r="T386" s="2">
        <v>19579.52</v>
      </c>
      <c r="U386" s="2">
        <v>19579.52</v>
      </c>
      <c r="V386" s="2">
        <v>19579.52</v>
      </c>
      <c r="W386" s="2">
        <v>19579.52</v>
      </c>
      <c r="X386" s="2">
        <v>19579.52</v>
      </c>
      <c r="Y386" s="2">
        <v>19579.52</v>
      </c>
      <c r="Z386" s="2">
        <v>19579.52</v>
      </c>
      <c r="AA386" s="4">
        <v>19579.52</v>
      </c>
      <c r="AB386" s="126">
        <f t="shared" si="16"/>
        <v>469908.48000000016</v>
      </c>
      <c r="AC386" s="126">
        <v>21</v>
      </c>
      <c r="AD386" s="127">
        <f>(AB386*AC386)+(AB387*AC387)+(AB388*AC388)+(AB389*AC389)</f>
        <v>14567162.880000005</v>
      </c>
    </row>
    <row r="387" spans="2:30">
      <c r="B387" s="128"/>
      <c r="C387" s="129" t="s">
        <v>6</v>
      </c>
      <c r="D387" s="1">
        <v>19579.52</v>
      </c>
      <c r="E387" s="1">
        <v>19579.52</v>
      </c>
      <c r="F387" s="1">
        <v>19579.52</v>
      </c>
      <c r="G387" s="1">
        <v>19579.52</v>
      </c>
      <c r="H387" s="1">
        <v>19579.52</v>
      </c>
      <c r="I387" s="1">
        <v>19579.52</v>
      </c>
      <c r="J387" s="1">
        <v>19579.52</v>
      </c>
      <c r="K387" s="1">
        <v>19579.52</v>
      </c>
      <c r="L387" s="1">
        <v>19579.52</v>
      </c>
      <c r="M387" s="1">
        <v>19579.52</v>
      </c>
      <c r="N387" s="1">
        <v>19579.52</v>
      </c>
      <c r="O387" s="1">
        <v>19579.52</v>
      </c>
      <c r="P387" s="1">
        <v>19579.52</v>
      </c>
      <c r="Q387" s="1">
        <v>19579.52</v>
      </c>
      <c r="R387" s="1">
        <v>19579.52</v>
      </c>
      <c r="S387" s="1">
        <v>19579.52</v>
      </c>
      <c r="T387" s="1">
        <v>19579.52</v>
      </c>
      <c r="U387" s="1">
        <v>19579.52</v>
      </c>
      <c r="V387" s="1">
        <v>19579.52</v>
      </c>
      <c r="W387" s="1">
        <v>19579.52</v>
      </c>
      <c r="X387" s="1">
        <v>19579.52</v>
      </c>
      <c r="Y387" s="1">
        <v>19579.52</v>
      </c>
      <c r="Z387" s="1">
        <v>19579.52</v>
      </c>
      <c r="AA387" s="5">
        <v>19579.52</v>
      </c>
      <c r="AB387" s="130">
        <f t="shared" si="16"/>
        <v>469908.48000000016</v>
      </c>
      <c r="AC387" s="130">
        <v>4</v>
      </c>
      <c r="AD387" s="131"/>
    </row>
    <row r="388" spans="2:30">
      <c r="B388" s="128"/>
      <c r="C388" s="129" t="s">
        <v>7</v>
      </c>
      <c r="D388" s="1">
        <v>19579.52</v>
      </c>
      <c r="E388" s="1">
        <v>19579.52</v>
      </c>
      <c r="F388" s="1">
        <v>19579.52</v>
      </c>
      <c r="G388" s="1">
        <v>19579.52</v>
      </c>
      <c r="H388" s="1">
        <v>19579.52</v>
      </c>
      <c r="I388" s="1">
        <v>19579.52</v>
      </c>
      <c r="J388" s="1">
        <v>19579.52</v>
      </c>
      <c r="K388" s="1">
        <v>19579.52</v>
      </c>
      <c r="L388" s="1">
        <v>19579.52</v>
      </c>
      <c r="M388" s="1">
        <v>19579.52</v>
      </c>
      <c r="N388" s="1">
        <v>19579.52</v>
      </c>
      <c r="O388" s="1">
        <v>19579.52</v>
      </c>
      <c r="P388" s="1">
        <v>19579.52</v>
      </c>
      <c r="Q388" s="1">
        <v>19579.52</v>
      </c>
      <c r="R388" s="1">
        <v>19579.52</v>
      </c>
      <c r="S388" s="1">
        <v>19579.52</v>
      </c>
      <c r="T388" s="1">
        <v>19579.52</v>
      </c>
      <c r="U388" s="1">
        <v>19579.52</v>
      </c>
      <c r="V388" s="1">
        <v>19579.52</v>
      </c>
      <c r="W388" s="1">
        <v>19579.52</v>
      </c>
      <c r="X388" s="1">
        <v>19579.52</v>
      </c>
      <c r="Y388" s="1">
        <v>19579.52</v>
      </c>
      <c r="Z388" s="1">
        <v>19579.52</v>
      </c>
      <c r="AA388" s="5">
        <v>19579.52</v>
      </c>
      <c r="AB388" s="130">
        <f t="shared" si="16"/>
        <v>469908.48000000016</v>
      </c>
      <c r="AC388" s="130">
        <v>4</v>
      </c>
      <c r="AD388" s="131"/>
    </row>
    <row r="389" spans="2:30" ht="15" thickBot="1">
      <c r="B389" s="132"/>
      <c r="C389" s="133" t="s">
        <v>8</v>
      </c>
      <c r="D389" s="3">
        <v>19579.52</v>
      </c>
      <c r="E389" s="3">
        <v>19579.52</v>
      </c>
      <c r="F389" s="3">
        <v>19579.52</v>
      </c>
      <c r="G389" s="3">
        <v>19579.52</v>
      </c>
      <c r="H389" s="3">
        <v>19579.52</v>
      </c>
      <c r="I389" s="3">
        <v>19579.52</v>
      </c>
      <c r="J389" s="3">
        <v>19579.52</v>
      </c>
      <c r="K389" s="3">
        <v>19579.52</v>
      </c>
      <c r="L389" s="3">
        <v>19579.52</v>
      </c>
      <c r="M389" s="3">
        <v>19579.52</v>
      </c>
      <c r="N389" s="3">
        <v>19579.52</v>
      </c>
      <c r="O389" s="3">
        <v>19579.52</v>
      </c>
      <c r="P389" s="3">
        <v>19579.52</v>
      </c>
      <c r="Q389" s="3">
        <v>19579.52</v>
      </c>
      <c r="R389" s="3">
        <v>19579.52</v>
      </c>
      <c r="S389" s="3">
        <v>19579.52</v>
      </c>
      <c r="T389" s="3">
        <v>19579.52</v>
      </c>
      <c r="U389" s="3">
        <v>19579.52</v>
      </c>
      <c r="V389" s="3">
        <v>19579.52</v>
      </c>
      <c r="W389" s="3">
        <v>19579.52</v>
      </c>
      <c r="X389" s="3">
        <v>19579.52</v>
      </c>
      <c r="Y389" s="3">
        <v>19579.52</v>
      </c>
      <c r="Z389" s="3">
        <v>19579.52</v>
      </c>
      <c r="AA389" s="6">
        <v>19579.52</v>
      </c>
      <c r="AB389" s="134">
        <f t="shared" si="16"/>
        <v>469908.48000000016</v>
      </c>
      <c r="AC389" s="134">
        <v>2</v>
      </c>
      <c r="AD389" s="135"/>
    </row>
    <row r="390" spans="2:30" ht="15" thickBot="1">
      <c r="AD390" s="7">
        <f>SUM(AD6:AD389)</f>
        <v>1289693254.5600016</v>
      </c>
    </row>
    <row r="392" spans="2:30">
      <c r="AD392" s="33"/>
    </row>
  </sheetData>
  <mergeCells count="195">
    <mergeCell ref="B2:AB2"/>
    <mergeCell ref="B3:AB3"/>
    <mergeCell ref="B4:AB4"/>
    <mergeCell ref="AD6:AD9"/>
    <mergeCell ref="AD10:AD13"/>
    <mergeCell ref="AD38:AD41"/>
    <mergeCell ref="B6:B9"/>
    <mergeCell ref="B10:B13"/>
    <mergeCell ref="AD42:AD45"/>
    <mergeCell ref="AD46:AD49"/>
    <mergeCell ref="AD26:AD29"/>
    <mergeCell ref="AD30:AD33"/>
    <mergeCell ref="AD34:AD37"/>
    <mergeCell ref="AD50:AD53"/>
    <mergeCell ref="B14:B17"/>
    <mergeCell ref="B18:B21"/>
    <mergeCell ref="B22:B25"/>
    <mergeCell ref="B38:B41"/>
    <mergeCell ref="B42:B45"/>
    <mergeCell ref="B46:B49"/>
    <mergeCell ref="B26:B29"/>
    <mergeCell ref="B30:B33"/>
    <mergeCell ref="B34:B37"/>
    <mergeCell ref="AD14:AD17"/>
    <mergeCell ref="AD18:AD21"/>
    <mergeCell ref="AD22:AD25"/>
    <mergeCell ref="B62:B65"/>
    <mergeCell ref="AD62:AD65"/>
    <mergeCell ref="B66:B69"/>
    <mergeCell ref="AD66:AD69"/>
    <mergeCell ref="B70:B73"/>
    <mergeCell ref="AD70:AD73"/>
    <mergeCell ref="B50:B53"/>
    <mergeCell ref="B54:B57"/>
    <mergeCell ref="AD54:AD57"/>
    <mergeCell ref="B58:B61"/>
    <mergeCell ref="AD58:AD61"/>
    <mergeCell ref="B86:B89"/>
    <mergeCell ref="AD86:AD89"/>
    <mergeCell ref="B90:B93"/>
    <mergeCell ref="AD90:AD93"/>
    <mergeCell ref="B94:B97"/>
    <mergeCell ref="AD94:AD97"/>
    <mergeCell ref="B74:B77"/>
    <mergeCell ref="AD74:AD77"/>
    <mergeCell ref="B78:B81"/>
    <mergeCell ref="AD78:AD81"/>
    <mergeCell ref="B82:B85"/>
    <mergeCell ref="AD82:AD85"/>
    <mergeCell ref="B110:B113"/>
    <mergeCell ref="AD110:AD113"/>
    <mergeCell ref="B114:B117"/>
    <mergeCell ref="AD114:AD117"/>
    <mergeCell ref="B118:B121"/>
    <mergeCell ref="AD118:AD121"/>
    <mergeCell ref="B98:B101"/>
    <mergeCell ref="AD98:AD101"/>
    <mergeCell ref="B102:B105"/>
    <mergeCell ref="AD102:AD105"/>
    <mergeCell ref="B106:B109"/>
    <mergeCell ref="AD106:AD109"/>
    <mergeCell ref="B134:B137"/>
    <mergeCell ref="AD134:AD137"/>
    <mergeCell ref="B138:B141"/>
    <mergeCell ref="AD138:AD141"/>
    <mergeCell ref="B142:B145"/>
    <mergeCell ref="AD142:AD145"/>
    <mergeCell ref="B122:B125"/>
    <mergeCell ref="AD122:AD125"/>
    <mergeCell ref="B126:B129"/>
    <mergeCell ref="AD126:AD129"/>
    <mergeCell ref="B130:B133"/>
    <mergeCell ref="AD130:AD133"/>
    <mergeCell ref="B158:B161"/>
    <mergeCell ref="AD158:AD161"/>
    <mergeCell ref="B162:B165"/>
    <mergeCell ref="AD162:AD165"/>
    <mergeCell ref="B166:B169"/>
    <mergeCell ref="AD166:AD169"/>
    <mergeCell ref="B146:B149"/>
    <mergeCell ref="AD146:AD149"/>
    <mergeCell ref="B150:B153"/>
    <mergeCell ref="AD150:AD153"/>
    <mergeCell ref="B154:B157"/>
    <mergeCell ref="AD154:AD157"/>
    <mergeCell ref="B182:B185"/>
    <mergeCell ref="AD182:AD185"/>
    <mergeCell ref="B186:B189"/>
    <mergeCell ref="AD186:AD189"/>
    <mergeCell ref="B190:B193"/>
    <mergeCell ref="AD190:AD193"/>
    <mergeCell ref="B170:B173"/>
    <mergeCell ref="AD170:AD173"/>
    <mergeCell ref="B174:B177"/>
    <mergeCell ref="AD174:AD177"/>
    <mergeCell ref="B178:B181"/>
    <mergeCell ref="AD178:AD181"/>
    <mergeCell ref="B206:B209"/>
    <mergeCell ref="AD206:AD209"/>
    <mergeCell ref="B210:B213"/>
    <mergeCell ref="AD210:AD213"/>
    <mergeCell ref="B214:B217"/>
    <mergeCell ref="AD214:AD217"/>
    <mergeCell ref="B194:B197"/>
    <mergeCell ref="AD194:AD197"/>
    <mergeCell ref="B198:B201"/>
    <mergeCell ref="AD198:AD201"/>
    <mergeCell ref="B202:B205"/>
    <mergeCell ref="AD202:AD205"/>
    <mergeCell ref="B230:B233"/>
    <mergeCell ref="AD230:AD233"/>
    <mergeCell ref="B234:B237"/>
    <mergeCell ref="AD234:AD237"/>
    <mergeCell ref="B238:B241"/>
    <mergeCell ref="AD238:AD241"/>
    <mergeCell ref="B218:B221"/>
    <mergeCell ref="AD218:AD221"/>
    <mergeCell ref="B222:B225"/>
    <mergeCell ref="AD222:AD225"/>
    <mergeCell ref="B226:B229"/>
    <mergeCell ref="AD226:AD229"/>
    <mergeCell ref="B254:B257"/>
    <mergeCell ref="AD254:AD257"/>
    <mergeCell ref="B258:B261"/>
    <mergeCell ref="AD258:AD261"/>
    <mergeCell ref="B262:B265"/>
    <mergeCell ref="AD262:AD265"/>
    <mergeCell ref="B242:B245"/>
    <mergeCell ref="AD242:AD245"/>
    <mergeCell ref="B246:B249"/>
    <mergeCell ref="AD246:AD249"/>
    <mergeCell ref="B250:B253"/>
    <mergeCell ref="AD250:AD253"/>
    <mergeCell ref="B278:B281"/>
    <mergeCell ref="AD278:AD281"/>
    <mergeCell ref="B282:B285"/>
    <mergeCell ref="AD282:AD285"/>
    <mergeCell ref="B286:B289"/>
    <mergeCell ref="AD286:AD289"/>
    <mergeCell ref="B266:B269"/>
    <mergeCell ref="AD266:AD269"/>
    <mergeCell ref="B270:B273"/>
    <mergeCell ref="AD270:AD273"/>
    <mergeCell ref="B274:B277"/>
    <mergeCell ref="AD274:AD277"/>
    <mergeCell ref="B302:B305"/>
    <mergeCell ref="AD302:AD305"/>
    <mergeCell ref="B306:B309"/>
    <mergeCell ref="AD306:AD309"/>
    <mergeCell ref="B310:B313"/>
    <mergeCell ref="AD310:AD313"/>
    <mergeCell ref="B290:B293"/>
    <mergeCell ref="AD290:AD293"/>
    <mergeCell ref="B294:B297"/>
    <mergeCell ref="AD294:AD297"/>
    <mergeCell ref="B298:B301"/>
    <mergeCell ref="AD298:AD301"/>
    <mergeCell ref="B326:B329"/>
    <mergeCell ref="AD326:AD329"/>
    <mergeCell ref="B330:B333"/>
    <mergeCell ref="AD330:AD333"/>
    <mergeCell ref="B334:B337"/>
    <mergeCell ref="AD334:AD337"/>
    <mergeCell ref="B314:B317"/>
    <mergeCell ref="AD314:AD317"/>
    <mergeCell ref="B318:B321"/>
    <mergeCell ref="AD318:AD321"/>
    <mergeCell ref="B322:B325"/>
    <mergeCell ref="AD322:AD325"/>
    <mergeCell ref="B350:B353"/>
    <mergeCell ref="AD350:AD353"/>
    <mergeCell ref="B354:B357"/>
    <mergeCell ref="AD354:AD357"/>
    <mergeCell ref="B358:B361"/>
    <mergeCell ref="AD358:AD361"/>
    <mergeCell ref="B338:B341"/>
    <mergeCell ref="AD338:AD341"/>
    <mergeCell ref="B342:B345"/>
    <mergeCell ref="AD342:AD345"/>
    <mergeCell ref="B346:B349"/>
    <mergeCell ref="AD346:AD349"/>
    <mergeCell ref="B386:B389"/>
    <mergeCell ref="AD386:AD389"/>
    <mergeCell ref="B374:B377"/>
    <mergeCell ref="AD374:AD377"/>
    <mergeCell ref="B378:B381"/>
    <mergeCell ref="AD378:AD381"/>
    <mergeCell ref="B382:B385"/>
    <mergeCell ref="AD382:AD385"/>
    <mergeCell ref="B362:B365"/>
    <mergeCell ref="AD362:AD365"/>
    <mergeCell ref="B366:B369"/>
    <mergeCell ref="AD366:AD369"/>
    <mergeCell ref="B370:B373"/>
    <mergeCell ref="AD370:AD373"/>
  </mergeCells>
  <conditionalFormatting sqref="D6:AA38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1AFE-B17B-48F2-8BBF-195F84475B21}">
  <dimension ref="B3:J114"/>
  <sheetViews>
    <sheetView showGridLines="0" zoomScale="90" zoomScaleNormal="90" workbookViewId="0">
      <selection activeCell="I86" sqref="I86"/>
    </sheetView>
  </sheetViews>
  <sheetFormatPr baseColWidth="10" defaultColWidth="11.453125" defaultRowHeight="14.5"/>
  <cols>
    <col min="1" max="3" width="11.453125" style="8"/>
    <col min="4" max="4" width="15.26953125" style="8" customWidth="1"/>
    <col min="5" max="5" width="11.453125" style="8"/>
    <col min="6" max="6" width="12.7265625" style="8" bestFit="1" customWidth="1"/>
    <col min="7" max="7" width="11.453125" style="8"/>
    <col min="8" max="8" width="12.6328125" style="26" bestFit="1" customWidth="1"/>
    <col min="9" max="9" width="11.453125" style="29"/>
    <col min="10" max="10" width="16.36328125" style="8" bestFit="1" customWidth="1"/>
    <col min="11" max="16384" width="11.453125" style="8"/>
  </cols>
  <sheetData>
    <row r="3" spans="2:9" ht="15" thickBot="1"/>
    <row r="4" spans="2:9">
      <c r="B4" s="74" t="s">
        <v>45</v>
      </c>
      <c r="C4" s="74"/>
      <c r="D4" s="74"/>
      <c r="E4" s="74"/>
      <c r="F4" s="74"/>
      <c r="G4" s="95"/>
    </row>
    <row r="5" spans="2:9">
      <c r="B5" s="77" t="s">
        <v>9</v>
      </c>
      <c r="C5" s="77"/>
      <c r="D5" s="77"/>
      <c r="E5" s="77"/>
      <c r="F5" s="77"/>
      <c r="G5" s="96"/>
    </row>
    <row r="6" spans="2:9">
      <c r="B6" s="80" t="s">
        <v>10</v>
      </c>
      <c r="C6" s="80"/>
      <c r="D6" s="80"/>
      <c r="E6" s="80"/>
      <c r="F6" s="80"/>
      <c r="G6" s="97"/>
    </row>
    <row r="7" spans="2:9" ht="15" thickBot="1">
      <c r="B7" s="83" t="s">
        <v>39</v>
      </c>
      <c r="C7" s="83"/>
      <c r="D7" s="83"/>
      <c r="E7" s="83"/>
      <c r="F7" s="83"/>
      <c r="G7" s="98"/>
    </row>
    <row r="8" spans="2:9" ht="15" thickBot="1">
      <c r="B8" s="69" t="s">
        <v>44</v>
      </c>
      <c r="C8" s="69"/>
      <c r="D8" s="69"/>
      <c r="E8" s="69"/>
      <c r="F8" s="69"/>
      <c r="G8" s="71"/>
    </row>
    <row r="9" spans="2:9" ht="15.75" customHeight="1" thickBot="1">
      <c r="B9" s="88" t="s">
        <v>12</v>
      </c>
      <c r="C9" s="88" t="s">
        <v>13</v>
      </c>
      <c r="D9" s="91" t="s">
        <v>58</v>
      </c>
      <c r="E9" s="91"/>
      <c r="F9" s="91"/>
      <c r="G9" s="92"/>
    </row>
    <row r="10" spans="2:9" ht="26.5" thickBot="1">
      <c r="B10" s="88"/>
      <c r="C10" s="88"/>
      <c r="D10" s="9" t="s">
        <v>14</v>
      </c>
      <c r="E10" s="11" t="s">
        <v>15</v>
      </c>
      <c r="F10" s="10" t="s">
        <v>16</v>
      </c>
      <c r="G10" s="12" t="s">
        <v>17</v>
      </c>
    </row>
    <row r="11" spans="2:9">
      <c r="B11" s="21">
        <v>2029</v>
      </c>
      <c r="C11" s="22" t="s">
        <v>25</v>
      </c>
      <c r="D11" s="50">
        <f>+'Producto 3 Plano 29-36'!AE6</f>
        <v>14546390.399999993</v>
      </c>
      <c r="E11" s="93"/>
      <c r="F11" s="164">
        <f>+E11*D11</f>
        <v>0</v>
      </c>
      <c r="G11" s="16"/>
      <c r="H11" s="32"/>
      <c r="I11" s="30">
        <f>+H11/1000</f>
        <v>0</v>
      </c>
    </row>
    <row r="12" spans="2:9">
      <c r="B12" s="13">
        <v>2029</v>
      </c>
      <c r="C12" s="14" t="s">
        <v>26</v>
      </c>
      <c r="D12" s="50">
        <f>+'Producto 3 Plano 29-36'!AE7</f>
        <v>13138675.199999996</v>
      </c>
      <c r="E12" s="93"/>
      <c r="F12" s="164">
        <f>+E11*D12</f>
        <v>0</v>
      </c>
      <c r="G12" s="16"/>
    </row>
    <row r="13" spans="2:9">
      <c r="B13" s="13">
        <v>2029</v>
      </c>
      <c r="C13" s="14" t="s">
        <v>27</v>
      </c>
      <c r="D13" s="50">
        <f>+'Producto 3 Plano 29-36'!AE8</f>
        <v>14546390.399999993</v>
      </c>
      <c r="E13" s="93"/>
      <c r="F13" s="164">
        <f>+E11*D13</f>
        <v>0</v>
      </c>
      <c r="G13" s="16"/>
    </row>
    <row r="14" spans="2:9">
      <c r="B14" s="13">
        <v>2029</v>
      </c>
      <c r="C14" s="14" t="s">
        <v>28</v>
      </c>
      <c r="D14" s="50">
        <f>+'Producto 3 Plano 29-36'!AE9</f>
        <v>14077151.999999993</v>
      </c>
      <c r="E14" s="93"/>
      <c r="F14" s="164">
        <f>+E11*D14</f>
        <v>0</v>
      </c>
      <c r="G14" s="16"/>
    </row>
    <row r="15" spans="2:9">
      <c r="B15" s="13">
        <v>2029</v>
      </c>
      <c r="C15" s="14" t="s">
        <v>29</v>
      </c>
      <c r="D15" s="50">
        <f>+'Producto 3 Plano 29-36'!AE10</f>
        <v>14546390.399999993</v>
      </c>
      <c r="E15" s="93"/>
      <c r="F15" s="164">
        <f>+E11*D15</f>
        <v>0</v>
      </c>
      <c r="G15" s="16"/>
    </row>
    <row r="16" spans="2:9">
      <c r="B16" s="13">
        <v>2029</v>
      </c>
      <c r="C16" s="14" t="s">
        <v>18</v>
      </c>
      <c r="D16" s="50">
        <f>+'Producto 3 Plano 29-36'!AE11</f>
        <v>14077151.999999993</v>
      </c>
      <c r="E16" s="93"/>
      <c r="F16" s="164">
        <f>+E11*D16</f>
        <v>0</v>
      </c>
      <c r="G16" s="16"/>
    </row>
    <row r="17" spans="2:9">
      <c r="B17" s="13">
        <v>2029</v>
      </c>
      <c r="C17" s="14" t="s">
        <v>19</v>
      </c>
      <c r="D17" s="50">
        <f>+'Producto 3 Plano 29-36'!AE12</f>
        <v>14546390.399999993</v>
      </c>
      <c r="E17" s="93"/>
      <c r="F17" s="164">
        <f>+E11*D17</f>
        <v>0</v>
      </c>
      <c r="G17" s="16"/>
    </row>
    <row r="18" spans="2:9">
      <c r="B18" s="13">
        <v>2029</v>
      </c>
      <c r="C18" s="14" t="s">
        <v>20</v>
      </c>
      <c r="D18" s="50">
        <f>+'Producto 3 Plano 29-36'!AE13</f>
        <v>14546390.399999993</v>
      </c>
      <c r="E18" s="93"/>
      <c r="F18" s="164">
        <f>+E11*D18</f>
        <v>0</v>
      </c>
      <c r="G18" s="16"/>
    </row>
    <row r="19" spans="2:9">
      <c r="B19" s="13">
        <v>2029</v>
      </c>
      <c r="C19" s="14" t="s">
        <v>21</v>
      </c>
      <c r="D19" s="50">
        <f>+'Producto 3 Plano 29-36'!AE14</f>
        <v>14077151.999999996</v>
      </c>
      <c r="E19" s="93"/>
      <c r="F19" s="164">
        <f>+E11*D19</f>
        <v>0</v>
      </c>
      <c r="G19" s="16"/>
    </row>
    <row r="20" spans="2:9">
      <c r="B20" s="13">
        <v>2029</v>
      </c>
      <c r="C20" s="14" t="s">
        <v>22</v>
      </c>
      <c r="D20" s="50">
        <f>+'Producto 3 Plano 29-36'!AE15</f>
        <v>14546390.399999995</v>
      </c>
      <c r="E20" s="93"/>
      <c r="F20" s="164">
        <f>+E11*D20</f>
        <v>0</v>
      </c>
      <c r="G20" s="16"/>
    </row>
    <row r="21" spans="2:9">
      <c r="B21" s="13">
        <v>2029</v>
      </c>
      <c r="C21" s="14" t="s">
        <v>23</v>
      </c>
      <c r="D21" s="50">
        <f>+'Producto 3 Plano 29-36'!AE16</f>
        <v>14077151.999999994</v>
      </c>
      <c r="E21" s="93"/>
      <c r="F21" s="164">
        <f>+E11*D21</f>
        <v>0</v>
      </c>
      <c r="G21" s="16"/>
    </row>
    <row r="22" spans="2:9" ht="15" thickBot="1">
      <c r="B22" s="17">
        <v>2029</v>
      </c>
      <c r="C22" s="18" t="s">
        <v>24</v>
      </c>
      <c r="D22" s="51">
        <f>+'Producto 3 Plano 29-36'!AE17</f>
        <v>14546390.399999993</v>
      </c>
      <c r="E22" s="94"/>
      <c r="F22" s="165">
        <f>+E11*D22</f>
        <v>0</v>
      </c>
      <c r="G22" s="20"/>
      <c r="H22" s="110"/>
    </row>
    <row r="23" spans="2:9">
      <c r="B23" s="21">
        <v>2030</v>
      </c>
      <c r="C23" s="22" t="s">
        <v>25</v>
      </c>
      <c r="D23" s="50">
        <f>+'Producto 3 Plano 29-36'!AE18</f>
        <v>11534886.720000003</v>
      </c>
      <c r="E23" s="93"/>
      <c r="F23" s="164">
        <f>+E23*D23</f>
        <v>0</v>
      </c>
      <c r="G23" s="16"/>
      <c r="H23" s="32"/>
      <c r="I23" s="30">
        <f>+H23/1000</f>
        <v>0</v>
      </c>
    </row>
    <row r="24" spans="2:9">
      <c r="B24" s="13">
        <v>2030</v>
      </c>
      <c r="C24" s="14" t="s">
        <v>26</v>
      </c>
      <c r="D24" s="50">
        <f>+'Producto 3 Plano 29-36'!AE19</f>
        <v>10418607.360000001</v>
      </c>
      <c r="E24" s="93"/>
      <c r="F24" s="164">
        <f>+E23*D24</f>
        <v>0</v>
      </c>
      <c r="G24" s="16"/>
    </row>
    <row r="25" spans="2:9">
      <c r="B25" s="13">
        <v>2030</v>
      </c>
      <c r="C25" s="14" t="s">
        <v>27</v>
      </c>
      <c r="D25" s="50">
        <f>+'Producto 3 Plano 29-36'!AE20</f>
        <v>11534886.720000001</v>
      </c>
      <c r="E25" s="93"/>
      <c r="F25" s="164">
        <f>+E23*D25</f>
        <v>0</v>
      </c>
      <c r="G25" s="16"/>
    </row>
    <row r="26" spans="2:9">
      <c r="B26" s="13">
        <v>2030</v>
      </c>
      <c r="C26" s="14" t="s">
        <v>28</v>
      </c>
      <c r="D26" s="50">
        <f>+'Producto 3 Plano 29-36'!AE21</f>
        <v>11162793.600000001</v>
      </c>
      <c r="E26" s="93"/>
      <c r="F26" s="164">
        <f>+E23*D26</f>
        <v>0</v>
      </c>
      <c r="G26" s="16"/>
    </row>
    <row r="27" spans="2:9">
      <c r="B27" s="13">
        <v>2030</v>
      </c>
      <c r="C27" s="14" t="s">
        <v>29</v>
      </c>
      <c r="D27" s="50">
        <f>+'Producto 3 Plano 29-36'!AE22</f>
        <v>11534886.720000001</v>
      </c>
      <c r="E27" s="93"/>
      <c r="F27" s="164">
        <f>+E23*D27</f>
        <v>0</v>
      </c>
      <c r="G27" s="16"/>
    </row>
    <row r="28" spans="2:9">
      <c r="B28" s="13">
        <v>2030</v>
      </c>
      <c r="C28" s="14" t="s">
        <v>18</v>
      </c>
      <c r="D28" s="50">
        <f>+'Producto 3 Plano 29-36'!AE23</f>
        <v>11162793.600000001</v>
      </c>
      <c r="E28" s="93"/>
      <c r="F28" s="164">
        <f>+E23*D28</f>
        <v>0</v>
      </c>
      <c r="G28" s="16"/>
    </row>
    <row r="29" spans="2:9">
      <c r="B29" s="13">
        <v>2030</v>
      </c>
      <c r="C29" s="14" t="s">
        <v>19</v>
      </c>
      <c r="D29" s="50">
        <f>+'Producto 3 Plano 29-36'!AE24</f>
        <v>11534886.720000003</v>
      </c>
      <c r="E29" s="93"/>
      <c r="F29" s="164">
        <f>+E23*D29</f>
        <v>0</v>
      </c>
      <c r="G29" s="16"/>
    </row>
    <row r="30" spans="2:9">
      <c r="B30" s="13">
        <v>2030</v>
      </c>
      <c r="C30" s="14" t="s">
        <v>20</v>
      </c>
      <c r="D30" s="50">
        <f>+'Producto 3 Plano 29-36'!AE25</f>
        <v>11534886.720000003</v>
      </c>
      <c r="E30" s="93"/>
      <c r="F30" s="164">
        <f>+E23*D30</f>
        <v>0</v>
      </c>
      <c r="G30" s="16"/>
    </row>
    <row r="31" spans="2:9">
      <c r="B31" s="13">
        <v>2030</v>
      </c>
      <c r="C31" s="14" t="s">
        <v>21</v>
      </c>
      <c r="D31" s="50">
        <f>+'Producto 3 Plano 29-36'!AE26</f>
        <v>11162793.600000001</v>
      </c>
      <c r="E31" s="93"/>
      <c r="F31" s="164">
        <f>+E23*D31</f>
        <v>0</v>
      </c>
      <c r="G31" s="16"/>
    </row>
    <row r="32" spans="2:9">
      <c r="B32" s="13">
        <v>2030</v>
      </c>
      <c r="C32" s="14" t="s">
        <v>22</v>
      </c>
      <c r="D32" s="50">
        <f>+'Producto 3 Plano 29-36'!AE27</f>
        <v>11534886.720000001</v>
      </c>
      <c r="E32" s="93"/>
      <c r="F32" s="164">
        <f>+E23*D32</f>
        <v>0</v>
      </c>
      <c r="G32" s="16"/>
    </row>
    <row r="33" spans="2:9">
      <c r="B33" s="13">
        <v>2030</v>
      </c>
      <c r="C33" s="14" t="s">
        <v>23</v>
      </c>
      <c r="D33" s="50">
        <f>+'Producto 3 Plano 29-36'!AE28</f>
        <v>11162793.600000001</v>
      </c>
      <c r="E33" s="93"/>
      <c r="F33" s="164">
        <f>+E23*D33</f>
        <v>0</v>
      </c>
      <c r="G33" s="16"/>
    </row>
    <row r="34" spans="2:9" ht="15" thickBot="1">
      <c r="B34" s="17">
        <v>2030</v>
      </c>
      <c r="C34" s="18" t="s">
        <v>24</v>
      </c>
      <c r="D34" s="51">
        <f>+'Producto 3 Plano 29-36'!AE29</f>
        <v>11534886.720000003</v>
      </c>
      <c r="E34" s="94"/>
      <c r="F34" s="165">
        <f>+E23*D34</f>
        <v>0</v>
      </c>
      <c r="G34" s="20"/>
      <c r="H34" s="110"/>
    </row>
    <row r="35" spans="2:9">
      <c r="B35" s="21">
        <v>2031</v>
      </c>
      <c r="C35" s="22" t="s">
        <v>25</v>
      </c>
      <c r="D35" s="50">
        <f>+'Producto 3 Plano 29-36'!AE30</f>
        <v>13229220.240000002</v>
      </c>
      <c r="E35" s="93"/>
      <c r="F35" s="164">
        <f>+E35*D35</f>
        <v>0</v>
      </c>
      <c r="G35" s="16"/>
      <c r="H35" s="32"/>
      <c r="I35" s="30">
        <f>+H35/1000</f>
        <v>0</v>
      </c>
    </row>
    <row r="36" spans="2:9">
      <c r="B36" s="13">
        <v>2031</v>
      </c>
      <c r="C36" s="14" t="s">
        <v>26</v>
      </c>
      <c r="D36" s="50">
        <f>+'Producto 3 Plano 29-36'!AE31</f>
        <v>11948973.120000003</v>
      </c>
      <c r="E36" s="93"/>
      <c r="F36" s="164">
        <f>+E35*D36</f>
        <v>0</v>
      </c>
      <c r="G36" s="16"/>
    </row>
    <row r="37" spans="2:9">
      <c r="B37" s="13">
        <v>2031</v>
      </c>
      <c r="C37" s="14" t="s">
        <v>27</v>
      </c>
      <c r="D37" s="50">
        <f>+'Producto 3 Plano 29-36'!AE32</f>
        <v>13229220.240000006</v>
      </c>
      <c r="E37" s="93"/>
      <c r="F37" s="164">
        <f>+E35*D37</f>
        <v>0</v>
      </c>
      <c r="G37" s="16"/>
    </row>
    <row r="38" spans="2:9">
      <c r="B38" s="13">
        <v>2031</v>
      </c>
      <c r="C38" s="14" t="s">
        <v>28</v>
      </c>
      <c r="D38" s="50">
        <f>+'Producto 3 Plano 29-36'!AE33</f>
        <v>12802471.200000003</v>
      </c>
      <c r="E38" s="93"/>
      <c r="F38" s="164">
        <f>+E35*D38</f>
        <v>0</v>
      </c>
      <c r="G38" s="16"/>
    </row>
    <row r="39" spans="2:9">
      <c r="B39" s="13">
        <v>2031</v>
      </c>
      <c r="C39" s="14" t="s">
        <v>29</v>
      </c>
      <c r="D39" s="50">
        <f>+'Producto 3 Plano 29-36'!AE34</f>
        <v>13229220.240000004</v>
      </c>
      <c r="E39" s="93"/>
      <c r="F39" s="164">
        <f>+E35*D39</f>
        <v>0</v>
      </c>
      <c r="G39" s="16"/>
    </row>
    <row r="40" spans="2:9">
      <c r="B40" s="13">
        <v>2031</v>
      </c>
      <c r="C40" s="14" t="s">
        <v>18</v>
      </c>
      <c r="D40" s="50">
        <f>+'Producto 3 Plano 29-36'!AE35</f>
        <v>12802471.200000005</v>
      </c>
      <c r="E40" s="93"/>
      <c r="F40" s="164">
        <f>+E35*D40</f>
        <v>0</v>
      </c>
      <c r="G40" s="16"/>
    </row>
    <row r="41" spans="2:9">
      <c r="B41" s="13">
        <v>2031</v>
      </c>
      <c r="C41" s="14" t="s">
        <v>19</v>
      </c>
      <c r="D41" s="50">
        <f>+'Producto 3 Plano 29-36'!AE36</f>
        <v>13229220.240000004</v>
      </c>
      <c r="E41" s="93"/>
      <c r="F41" s="164">
        <f>+E35*D41</f>
        <v>0</v>
      </c>
      <c r="G41" s="16"/>
    </row>
    <row r="42" spans="2:9">
      <c r="B42" s="13">
        <v>2031</v>
      </c>
      <c r="C42" s="14" t="s">
        <v>20</v>
      </c>
      <c r="D42" s="50">
        <f>+'Producto 3 Plano 29-36'!AE37</f>
        <v>13229220.240000004</v>
      </c>
      <c r="E42" s="93"/>
      <c r="F42" s="164">
        <f>+E35*D42</f>
        <v>0</v>
      </c>
      <c r="G42" s="16"/>
    </row>
    <row r="43" spans="2:9">
      <c r="B43" s="13">
        <v>2031</v>
      </c>
      <c r="C43" s="14" t="s">
        <v>21</v>
      </c>
      <c r="D43" s="50">
        <f>+'Producto 3 Plano 29-36'!AE38</f>
        <v>12802471.200000003</v>
      </c>
      <c r="E43" s="93"/>
      <c r="F43" s="164">
        <f>+E35*D43</f>
        <v>0</v>
      </c>
      <c r="G43" s="16"/>
    </row>
    <row r="44" spans="2:9">
      <c r="B44" s="13">
        <v>2031</v>
      </c>
      <c r="C44" s="14" t="s">
        <v>22</v>
      </c>
      <c r="D44" s="50">
        <f>+'Producto 3 Plano 29-36'!AE39</f>
        <v>13229220.240000004</v>
      </c>
      <c r="E44" s="93"/>
      <c r="F44" s="164">
        <f>+E35*D44</f>
        <v>0</v>
      </c>
      <c r="G44" s="16"/>
    </row>
    <row r="45" spans="2:9">
      <c r="B45" s="13">
        <v>2031</v>
      </c>
      <c r="C45" s="14" t="s">
        <v>23</v>
      </c>
      <c r="D45" s="50">
        <f>+'Producto 3 Plano 29-36'!AE40</f>
        <v>12802471.200000003</v>
      </c>
      <c r="E45" s="93"/>
      <c r="F45" s="164">
        <f>+E35*D45</f>
        <v>0</v>
      </c>
      <c r="G45" s="16"/>
    </row>
    <row r="46" spans="2:9" ht="15" thickBot="1">
      <c r="B46" s="17">
        <v>2031</v>
      </c>
      <c r="C46" s="18" t="s">
        <v>24</v>
      </c>
      <c r="D46" s="51">
        <f>+'Producto 3 Plano 29-36'!AE41</f>
        <v>13229220.240000002</v>
      </c>
      <c r="E46" s="94"/>
      <c r="F46" s="165">
        <f>+E35*D46</f>
        <v>0</v>
      </c>
      <c r="G46" s="20"/>
      <c r="H46" s="110"/>
    </row>
    <row r="47" spans="2:9">
      <c r="B47" s="21">
        <v>2032</v>
      </c>
      <c r="C47" s="22" t="s">
        <v>25</v>
      </c>
      <c r="D47" s="50">
        <f>+'Producto 3 Plano 29-36'!AE42</f>
        <v>13457114.880000003</v>
      </c>
      <c r="E47" s="93"/>
      <c r="F47" s="164">
        <f>+E47*D47</f>
        <v>0</v>
      </c>
      <c r="G47" s="16"/>
      <c r="H47" s="32"/>
      <c r="I47" s="30">
        <f>+H47/1000</f>
        <v>0</v>
      </c>
    </row>
    <row r="48" spans="2:9">
      <c r="B48" s="13">
        <v>2032</v>
      </c>
      <c r="C48" s="14" t="s">
        <v>26</v>
      </c>
      <c r="D48" s="50">
        <f>+'Producto 3 Plano 29-36'!AE43</f>
        <v>12588913.920000002</v>
      </c>
      <c r="E48" s="93"/>
      <c r="F48" s="164">
        <f>+E47*D48</f>
        <v>0</v>
      </c>
      <c r="G48" s="16"/>
    </row>
    <row r="49" spans="2:9">
      <c r="B49" s="13">
        <v>2032</v>
      </c>
      <c r="C49" s="14" t="s">
        <v>27</v>
      </c>
      <c r="D49" s="50">
        <f>+'Producto 3 Plano 29-36'!AE44</f>
        <v>13457114.880000003</v>
      </c>
      <c r="E49" s="93"/>
      <c r="F49" s="164">
        <f>+E47*D49</f>
        <v>0</v>
      </c>
      <c r="G49" s="16"/>
    </row>
    <row r="50" spans="2:9">
      <c r="B50" s="13">
        <v>2032</v>
      </c>
      <c r="C50" s="14" t="s">
        <v>28</v>
      </c>
      <c r="D50" s="50">
        <f>+'Producto 3 Plano 29-36'!AE45</f>
        <v>13023014.400000002</v>
      </c>
      <c r="E50" s="93"/>
      <c r="F50" s="164">
        <f>+E47*D50</f>
        <v>0</v>
      </c>
      <c r="G50" s="16"/>
    </row>
    <row r="51" spans="2:9">
      <c r="B51" s="13">
        <v>2032</v>
      </c>
      <c r="C51" s="14" t="s">
        <v>29</v>
      </c>
      <c r="D51" s="50">
        <f>+'Producto 3 Plano 29-36'!AE46</f>
        <v>13457114.880000003</v>
      </c>
      <c r="E51" s="93"/>
      <c r="F51" s="164">
        <f>+E47*D51</f>
        <v>0</v>
      </c>
      <c r="G51" s="16"/>
    </row>
    <row r="52" spans="2:9">
      <c r="B52" s="13">
        <v>2032</v>
      </c>
      <c r="C52" s="14" t="s">
        <v>18</v>
      </c>
      <c r="D52" s="50">
        <f>+'Producto 3 Plano 29-36'!AE47</f>
        <v>13023014.400000002</v>
      </c>
      <c r="E52" s="93"/>
      <c r="F52" s="164">
        <f>+E47*D52</f>
        <v>0</v>
      </c>
      <c r="G52" s="16"/>
    </row>
    <row r="53" spans="2:9">
      <c r="B53" s="13">
        <v>2032</v>
      </c>
      <c r="C53" s="14" t="s">
        <v>19</v>
      </c>
      <c r="D53" s="50">
        <f>+'Producto 3 Plano 29-36'!AE48</f>
        <v>13457114.880000003</v>
      </c>
      <c r="E53" s="93"/>
      <c r="F53" s="164">
        <f>+E47*D53</f>
        <v>0</v>
      </c>
      <c r="G53" s="16"/>
    </row>
    <row r="54" spans="2:9">
      <c r="B54" s="13">
        <v>2032</v>
      </c>
      <c r="C54" s="14" t="s">
        <v>20</v>
      </c>
      <c r="D54" s="50">
        <f>+'Producto 3 Plano 29-36'!AE49</f>
        <v>13457114.880000005</v>
      </c>
      <c r="E54" s="93"/>
      <c r="F54" s="164">
        <f>+E47*D54</f>
        <v>0</v>
      </c>
      <c r="G54" s="16"/>
    </row>
    <row r="55" spans="2:9">
      <c r="B55" s="13">
        <v>2032</v>
      </c>
      <c r="C55" s="14" t="s">
        <v>21</v>
      </c>
      <c r="D55" s="50">
        <f>+'Producto 3 Plano 29-36'!AE50</f>
        <v>13023014.400000002</v>
      </c>
      <c r="E55" s="93"/>
      <c r="F55" s="164">
        <f>+E47*D55</f>
        <v>0</v>
      </c>
      <c r="G55" s="16"/>
    </row>
    <row r="56" spans="2:9">
      <c r="B56" s="13">
        <v>2032</v>
      </c>
      <c r="C56" s="14" t="s">
        <v>22</v>
      </c>
      <c r="D56" s="50">
        <f>+'Producto 3 Plano 29-36'!AE51</f>
        <v>13457114.880000003</v>
      </c>
      <c r="E56" s="93"/>
      <c r="F56" s="164">
        <f>+E47*D56</f>
        <v>0</v>
      </c>
      <c r="G56" s="16"/>
    </row>
    <row r="57" spans="2:9">
      <c r="B57" s="13">
        <v>2032</v>
      </c>
      <c r="C57" s="14" t="s">
        <v>23</v>
      </c>
      <c r="D57" s="50">
        <f>+'Producto 3 Plano 29-36'!AE52</f>
        <v>13023014.400000002</v>
      </c>
      <c r="E57" s="93"/>
      <c r="F57" s="164">
        <f>+E47*D57</f>
        <v>0</v>
      </c>
      <c r="G57" s="16"/>
    </row>
    <row r="58" spans="2:9" ht="15" thickBot="1">
      <c r="B58" s="17">
        <v>2032</v>
      </c>
      <c r="C58" s="18" t="s">
        <v>24</v>
      </c>
      <c r="D58" s="51">
        <f>+'Producto 3 Plano 29-36'!AE53</f>
        <v>13457114.880000005</v>
      </c>
      <c r="E58" s="94"/>
      <c r="F58" s="165">
        <f>+E47*D58</f>
        <v>0</v>
      </c>
      <c r="G58" s="20"/>
      <c r="H58" s="110"/>
    </row>
    <row r="59" spans="2:9">
      <c r="B59" s="21">
        <v>2033</v>
      </c>
      <c r="C59" s="22" t="s">
        <v>25</v>
      </c>
      <c r="D59" s="50">
        <f>+'Producto 3 Plano 29-36'!AE54</f>
        <v>13764044.640000002</v>
      </c>
      <c r="E59" s="93"/>
      <c r="F59" s="164">
        <f>+E59*D59</f>
        <v>0</v>
      </c>
      <c r="G59" s="16"/>
      <c r="H59" s="32"/>
      <c r="I59" s="30">
        <f>+H59/1000</f>
        <v>0</v>
      </c>
    </row>
    <row r="60" spans="2:9">
      <c r="B60" s="13">
        <v>2033</v>
      </c>
      <c r="C60" s="14" t="s">
        <v>26</v>
      </c>
      <c r="D60" s="50">
        <f>+'Producto 3 Plano 29-36'!AE55</f>
        <v>12432040.32</v>
      </c>
      <c r="E60" s="93"/>
      <c r="F60" s="164">
        <f>+E59*D60</f>
        <v>0</v>
      </c>
      <c r="G60" s="16"/>
    </row>
    <row r="61" spans="2:9">
      <c r="B61" s="13">
        <v>2033</v>
      </c>
      <c r="C61" s="14" t="s">
        <v>27</v>
      </c>
      <c r="D61" s="50">
        <f>+'Producto 3 Plano 29-36'!AE56</f>
        <v>13764044.639999999</v>
      </c>
      <c r="E61" s="93"/>
      <c r="F61" s="164">
        <f>+E59*D61</f>
        <v>0</v>
      </c>
      <c r="G61" s="16"/>
    </row>
    <row r="62" spans="2:9">
      <c r="B62" s="13">
        <v>2033</v>
      </c>
      <c r="C62" s="14" t="s">
        <v>28</v>
      </c>
      <c r="D62" s="50">
        <f>+'Producto 3 Plano 29-36'!AE57</f>
        <v>13320043.199999999</v>
      </c>
      <c r="E62" s="93"/>
      <c r="F62" s="164">
        <f>+E59*D62</f>
        <v>0</v>
      </c>
      <c r="G62" s="16"/>
    </row>
    <row r="63" spans="2:9">
      <c r="B63" s="13">
        <v>2033</v>
      </c>
      <c r="C63" s="14" t="s">
        <v>29</v>
      </c>
      <c r="D63" s="50">
        <f>+'Producto 3 Plano 29-36'!AE58</f>
        <v>13764044.640000001</v>
      </c>
      <c r="E63" s="93"/>
      <c r="F63" s="164">
        <f>+E59*D63</f>
        <v>0</v>
      </c>
      <c r="G63" s="16"/>
    </row>
    <row r="64" spans="2:9">
      <c r="B64" s="13">
        <v>2033</v>
      </c>
      <c r="C64" s="14" t="s">
        <v>18</v>
      </c>
      <c r="D64" s="50">
        <f>+'Producto 3 Plano 29-36'!AE59</f>
        <v>13320043.200000001</v>
      </c>
      <c r="E64" s="93"/>
      <c r="F64" s="164">
        <f>+E59*D64</f>
        <v>0</v>
      </c>
      <c r="G64" s="16"/>
    </row>
    <row r="65" spans="2:9">
      <c r="B65" s="13">
        <v>2033</v>
      </c>
      <c r="C65" s="14" t="s">
        <v>19</v>
      </c>
      <c r="D65" s="50">
        <f>+'Producto 3 Plano 29-36'!AE60</f>
        <v>13764044.639999999</v>
      </c>
      <c r="E65" s="93"/>
      <c r="F65" s="164">
        <f>+E59*D65</f>
        <v>0</v>
      </c>
      <c r="G65" s="16"/>
    </row>
    <row r="66" spans="2:9">
      <c r="B66" s="13">
        <v>2033</v>
      </c>
      <c r="C66" s="14" t="s">
        <v>20</v>
      </c>
      <c r="D66" s="50">
        <f>+'Producto 3 Plano 29-36'!AE61</f>
        <v>13764044.640000001</v>
      </c>
      <c r="E66" s="93"/>
      <c r="F66" s="164">
        <f>+E59*D66</f>
        <v>0</v>
      </c>
      <c r="G66" s="16"/>
    </row>
    <row r="67" spans="2:9">
      <c r="B67" s="13">
        <v>2033</v>
      </c>
      <c r="C67" s="14" t="s">
        <v>21</v>
      </c>
      <c r="D67" s="50">
        <f>+'Producto 3 Plano 29-36'!AE62</f>
        <v>13320043.199999999</v>
      </c>
      <c r="E67" s="93"/>
      <c r="F67" s="164">
        <f>+E59*D67</f>
        <v>0</v>
      </c>
      <c r="G67" s="16"/>
    </row>
    <row r="68" spans="2:9">
      <c r="B68" s="13">
        <v>2033</v>
      </c>
      <c r="C68" s="14" t="s">
        <v>22</v>
      </c>
      <c r="D68" s="50">
        <f>+'Producto 3 Plano 29-36'!AE63</f>
        <v>13764044.639999999</v>
      </c>
      <c r="E68" s="93"/>
      <c r="F68" s="164">
        <f>+E59*D68</f>
        <v>0</v>
      </c>
      <c r="G68" s="16"/>
    </row>
    <row r="69" spans="2:9">
      <c r="B69" s="13">
        <v>2033</v>
      </c>
      <c r="C69" s="14" t="s">
        <v>23</v>
      </c>
      <c r="D69" s="50">
        <f>+'Producto 3 Plano 29-36'!AE64</f>
        <v>13320043.200000001</v>
      </c>
      <c r="E69" s="93"/>
      <c r="F69" s="164">
        <f>+E59*D69</f>
        <v>0</v>
      </c>
      <c r="G69" s="16"/>
    </row>
    <row r="70" spans="2:9" ht="15" thickBot="1">
      <c r="B70" s="17">
        <v>2033</v>
      </c>
      <c r="C70" s="18" t="s">
        <v>24</v>
      </c>
      <c r="D70" s="51">
        <f>+'Producto 3 Plano 29-36'!AE65</f>
        <v>13764044.640000002</v>
      </c>
      <c r="E70" s="94"/>
      <c r="F70" s="165">
        <f>+E59*D70</f>
        <v>0</v>
      </c>
      <c r="G70" s="20"/>
      <c r="H70" s="110"/>
    </row>
    <row r="71" spans="2:9">
      <c r="B71" s="21">
        <v>2034</v>
      </c>
      <c r="C71" s="22" t="s">
        <v>25</v>
      </c>
      <c r="D71" s="50">
        <f>+'Producto 3 Plano 29-36'!AE66</f>
        <v>14039510.640000001</v>
      </c>
      <c r="E71" s="93"/>
      <c r="F71" s="164">
        <f>+E71*D71</f>
        <v>0</v>
      </c>
      <c r="G71" s="16"/>
      <c r="H71" s="32"/>
      <c r="I71" s="30">
        <f>+H71/1000</f>
        <v>0</v>
      </c>
    </row>
    <row r="72" spans="2:9">
      <c r="B72" s="13">
        <v>2034</v>
      </c>
      <c r="C72" s="14" t="s">
        <v>26</v>
      </c>
      <c r="D72" s="50">
        <f>+'Producto 3 Plano 29-36'!AE67</f>
        <v>12680848.32</v>
      </c>
      <c r="E72" s="93"/>
      <c r="F72" s="164">
        <f>+E71*D72</f>
        <v>0</v>
      </c>
      <c r="G72" s="16"/>
    </row>
    <row r="73" spans="2:9">
      <c r="B73" s="13">
        <v>2034</v>
      </c>
      <c r="C73" s="14" t="s">
        <v>27</v>
      </c>
      <c r="D73" s="50">
        <f>+'Producto 3 Plano 29-36'!AE68</f>
        <v>14039510.639999999</v>
      </c>
      <c r="E73" s="93"/>
      <c r="F73" s="164">
        <f>+E71*D73</f>
        <v>0</v>
      </c>
      <c r="G73" s="16"/>
    </row>
    <row r="74" spans="2:9">
      <c r="B74" s="13">
        <v>2034</v>
      </c>
      <c r="C74" s="14" t="s">
        <v>28</v>
      </c>
      <c r="D74" s="50">
        <f>+'Producto 3 Plano 29-36'!AE69</f>
        <v>13586623.200000001</v>
      </c>
      <c r="E74" s="93"/>
      <c r="F74" s="164">
        <f>+E71*D74</f>
        <v>0</v>
      </c>
      <c r="G74" s="16"/>
    </row>
    <row r="75" spans="2:9">
      <c r="B75" s="13">
        <v>2034</v>
      </c>
      <c r="C75" s="14" t="s">
        <v>29</v>
      </c>
      <c r="D75" s="50">
        <f>+'Producto 3 Plano 29-36'!AE70</f>
        <v>14039510.640000001</v>
      </c>
      <c r="E75" s="93"/>
      <c r="F75" s="164">
        <f>+E71*D75</f>
        <v>0</v>
      </c>
      <c r="G75" s="16"/>
    </row>
    <row r="76" spans="2:9">
      <c r="B76" s="13">
        <v>2034</v>
      </c>
      <c r="C76" s="14" t="s">
        <v>18</v>
      </c>
      <c r="D76" s="50">
        <f>+'Producto 3 Plano 29-36'!AE71</f>
        <v>13586623.200000001</v>
      </c>
      <c r="E76" s="93"/>
      <c r="F76" s="164">
        <f>+E71*D76</f>
        <v>0</v>
      </c>
      <c r="G76" s="16"/>
    </row>
    <row r="77" spans="2:9">
      <c r="B77" s="13">
        <v>2034</v>
      </c>
      <c r="C77" s="14" t="s">
        <v>19</v>
      </c>
      <c r="D77" s="50">
        <f>+'Producto 3 Plano 29-36'!AE72</f>
        <v>14039510.639999999</v>
      </c>
      <c r="E77" s="93"/>
      <c r="F77" s="164">
        <f>+E71*D77</f>
        <v>0</v>
      </c>
      <c r="G77" s="16"/>
    </row>
    <row r="78" spans="2:9">
      <c r="B78" s="13">
        <v>2034</v>
      </c>
      <c r="C78" s="14" t="s">
        <v>20</v>
      </c>
      <c r="D78" s="50">
        <f>+'Producto 3 Plano 29-36'!AE73</f>
        <v>14039510.640000001</v>
      </c>
      <c r="E78" s="93"/>
      <c r="F78" s="164">
        <f>+E71*D78</f>
        <v>0</v>
      </c>
      <c r="G78" s="16"/>
    </row>
    <row r="79" spans="2:9">
      <c r="B79" s="13">
        <v>2034</v>
      </c>
      <c r="C79" s="14" t="s">
        <v>21</v>
      </c>
      <c r="D79" s="50">
        <f>+'Producto 3 Plano 29-36'!AE74</f>
        <v>13586623.200000001</v>
      </c>
      <c r="E79" s="93"/>
      <c r="F79" s="164">
        <f>+E71*D79</f>
        <v>0</v>
      </c>
      <c r="G79" s="16"/>
    </row>
    <row r="80" spans="2:9">
      <c r="B80" s="13">
        <v>2034</v>
      </c>
      <c r="C80" s="14" t="s">
        <v>22</v>
      </c>
      <c r="D80" s="50">
        <f>+'Producto 3 Plano 29-36'!AE75</f>
        <v>14039510.639999999</v>
      </c>
      <c r="E80" s="93"/>
      <c r="F80" s="164">
        <f>+E71*D80</f>
        <v>0</v>
      </c>
      <c r="G80" s="16"/>
    </row>
    <row r="81" spans="2:9">
      <c r="B81" s="13">
        <v>2034</v>
      </c>
      <c r="C81" s="14" t="s">
        <v>23</v>
      </c>
      <c r="D81" s="50">
        <f>+'Producto 3 Plano 29-36'!AE76</f>
        <v>13586623.200000001</v>
      </c>
      <c r="E81" s="93"/>
      <c r="F81" s="164">
        <f>+E71*D81</f>
        <v>0</v>
      </c>
      <c r="G81" s="16"/>
    </row>
    <row r="82" spans="2:9" ht="15" thickBot="1">
      <c r="B82" s="17">
        <v>2034</v>
      </c>
      <c r="C82" s="18" t="s">
        <v>24</v>
      </c>
      <c r="D82" s="51">
        <f>+'Producto 3 Plano 29-36'!AE77</f>
        <v>14039510.639999999</v>
      </c>
      <c r="E82" s="94"/>
      <c r="F82" s="165">
        <f>+E71*D82</f>
        <v>0</v>
      </c>
      <c r="G82" s="20"/>
      <c r="H82" s="110"/>
    </row>
    <row r="83" spans="2:9">
      <c r="B83" s="21">
        <v>2035</v>
      </c>
      <c r="C83" s="22" t="s">
        <v>25</v>
      </c>
      <c r="D83" s="50">
        <f>+'Producto 3 Plano 29-36'!AE78</f>
        <v>14320482.240000004</v>
      </c>
      <c r="E83" s="93"/>
      <c r="F83" s="164">
        <f>+E83*D83</f>
        <v>0</v>
      </c>
      <c r="G83" s="16"/>
      <c r="H83" s="32"/>
      <c r="I83" s="30">
        <f>+H83/1000</f>
        <v>0</v>
      </c>
    </row>
    <row r="84" spans="2:9">
      <c r="B84" s="13">
        <v>2035</v>
      </c>
      <c r="C84" s="14" t="s">
        <v>26</v>
      </c>
      <c r="D84" s="50">
        <f>+'Producto 3 Plano 29-36'!AE79</f>
        <v>12934629.120000003</v>
      </c>
      <c r="E84" s="93"/>
      <c r="F84" s="164">
        <f>+E83*D84</f>
        <v>0</v>
      </c>
      <c r="G84" s="16"/>
    </row>
    <row r="85" spans="2:9">
      <c r="B85" s="13">
        <v>2035</v>
      </c>
      <c r="C85" s="14" t="s">
        <v>27</v>
      </c>
      <c r="D85" s="50">
        <f>+'Producto 3 Plano 29-36'!AE80</f>
        <v>14320482.240000006</v>
      </c>
      <c r="E85" s="93"/>
      <c r="F85" s="164">
        <f>+E83*D85</f>
        <v>0</v>
      </c>
      <c r="G85" s="16"/>
    </row>
    <row r="86" spans="2:9">
      <c r="B86" s="13">
        <v>2035</v>
      </c>
      <c r="C86" s="14" t="s">
        <v>28</v>
      </c>
      <c r="D86" s="50">
        <f>+'Producto 3 Plano 29-36'!AE81</f>
        <v>13858531.200000005</v>
      </c>
      <c r="E86" s="93"/>
      <c r="F86" s="164">
        <f>+E83*D86</f>
        <v>0</v>
      </c>
      <c r="G86" s="16"/>
    </row>
    <row r="87" spans="2:9">
      <c r="B87" s="13">
        <v>2035</v>
      </c>
      <c r="C87" s="14" t="s">
        <v>29</v>
      </c>
      <c r="D87" s="50">
        <f>+'Producto 3 Plano 29-36'!AE82</f>
        <v>14320482.240000004</v>
      </c>
      <c r="E87" s="93"/>
      <c r="F87" s="164">
        <f>+E83*D87</f>
        <v>0</v>
      </c>
      <c r="G87" s="16"/>
    </row>
    <row r="88" spans="2:9">
      <c r="B88" s="13">
        <v>2035</v>
      </c>
      <c r="C88" s="14" t="s">
        <v>18</v>
      </c>
      <c r="D88" s="50">
        <f>+'Producto 3 Plano 29-36'!AE83</f>
        <v>13858531.200000005</v>
      </c>
      <c r="E88" s="93"/>
      <c r="F88" s="164">
        <f>+E83*D88</f>
        <v>0</v>
      </c>
      <c r="G88" s="16"/>
    </row>
    <row r="89" spans="2:9">
      <c r="B89" s="13">
        <v>2035</v>
      </c>
      <c r="C89" s="14" t="s">
        <v>19</v>
      </c>
      <c r="D89" s="50">
        <f>+'Producto 3 Plano 29-36'!AE84</f>
        <v>14320482.240000004</v>
      </c>
      <c r="E89" s="93"/>
      <c r="F89" s="164">
        <f>+E83*D89</f>
        <v>0</v>
      </c>
      <c r="G89" s="16"/>
    </row>
    <row r="90" spans="2:9">
      <c r="B90" s="13">
        <v>2035</v>
      </c>
      <c r="C90" s="14" t="s">
        <v>20</v>
      </c>
      <c r="D90" s="50">
        <f>+'Producto 3 Plano 29-36'!AE85</f>
        <v>14320482.240000004</v>
      </c>
      <c r="E90" s="93"/>
      <c r="F90" s="164">
        <f>+E83*D90</f>
        <v>0</v>
      </c>
      <c r="G90" s="16"/>
    </row>
    <row r="91" spans="2:9">
      <c r="B91" s="13">
        <v>2035</v>
      </c>
      <c r="C91" s="14" t="s">
        <v>21</v>
      </c>
      <c r="D91" s="50">
        <f>+'Producto 3 Plano 29-36'!AE86</f>
        <v>13858531.200000005</v>
      </c>
      <c r="E91" s="93"/>
      <c r="F91" s="164">
        <f>+E83*D91</f>
        <v>0</v>
      </c>
      <c r="G91" s="16"/>
    </row>
    <row r="92" spans="2:9">
      <c r="B92" s="13">
        <v>2035</v>
      </c>
      <c r="C92" s="14" t="s">
        <v>22</v>
      </c>
      <c r="D92" s="50">
        <f>+'Producto 3 Plano 29-36'!AE87</f>
        <v>14320482.240000004</v>
      </c>
      <c r="E92" s="93"/>
      <c r="F92" s="164">
        <f>+E83*D92</f>
        <v>0</v>
      </c>
      <c r="G92" s="16"/>
    </row>
    <row r="93" spans="2:9">
      <c r="B93" s="13">
        <v>2035</v>
      </c>
      <c r="C93" s="14" t="s">
        <v>23</v>
      </c>
      <c r="D93" s="50">
        <f>+'Producto 3 Plano 29-36'!AE88</f>
        <v>13858531.200000003</v>
      </c>
      <c r="E93" s="93"/>
      <c r="F93" s="164">
        <f>+E83*D93</f>
        <v>0</v>
      </c>
      <c r="G93" s="16"/>
    </row>
    <row r="94" spans="2:9" ht="15" thickBot="1">
      <c r="B94" s="17">
        <v>2035</v>
      </c>
      <c r="C94" s="18" t="s">
        <v>24</v>
      </c>
      <c r="D94" s="51">
        <f>+'Producto 3 Plano 29-36'!AE89</f>
        <v>14320482.240000004</v>
      </c>
      <c r="E94" s="94"/>
      <c r="F94" s="165">
        <f>+E83*D94</f>
        <v>0</v>
      </c>
      <c r="G94" s="20"/>
      <c r="H94" s="110"/>
    </row>
    <row r="95" spans="2:9">
      <c r="B95" s="21">
        <v>2036</v>
      </c>
      <c r="C95" s="22" t="s">
        <v>25</v>
      </c>
      <c r="D95" s="50">
        <f>+'Producto 3 Plano 29-36'!AE90</f>
        <v>14567162.880000005</v>
      </c>
      <c r="E95" s="93"/>
      <c r="F95" s="164">
        <f>+E95*D95</f>
        <v>0</v>
      </c>
      <c r="G95" s="16"/>
      <c r="H95" s="32"/>
      <c r="I95" s="30">
        <f>+H95/1000</f>
        <v>0</v>
      </c>
    </row>
    <row r="96" spans="2:9">
      <c r="B96" s="13">
        <v>2036</v>
      </c>
      <c r="C96" s="14" t="s">
        <v>26</v>
      </c>
      <c r="D96" s="50">
        <f>+'Producto 3 Plano 29-36'!AE91</f>
        <v>13627345.920000004</v>
      </c>
      <c r="E96" s="93"/>
      <c r="F96" s="164">
        <f>+E95*D96</f>
        <v>0</v>
      </c>
      <c r="G96" s="16"/>
    </row>
    <row r="97" spans="2:10">
      <c r="B97" s="13">
        <v>2036</v>
      </c>
      <c r="C97" s="14" t="s">
        <v>27</v>
      </c>
      <c r="D97" s="50">
        <f>+'Producto 3 Plano 29-36'!AE92</f>
        <v>14567162.880000005</v>
      </c>
      <c r="E97" s="93"/>
      <c r="F97" s="164">
        <f>+E95*D97</f>
        <v>0</v>
      </c>
      <c r="G97" s="16"/>
    </row>
    <row r="98" spans="2:10">
      <c r="B98" s="13">
        <v>2036</v>
      </c>
      <c r="C98" s="14" t="s">
        <v>28</v>
      </c>
      <c r="D98" s="50">
        <f>+'Producto 3 Plano 29-36'!AE93</f>
        <v>14097254.400000004</v>
      </c>
      <c r="E98" s="93"/>
      <c r="F98" s="164">
        <f>+E95*D98</f>
        <v>0</v>
      </c>
      <c r="G98" s="16"/>
    </row>
    <row r="99" spans="2:10">
      <c r="B99" s="13">
        <v>2036</v>
      </c>
      <c r="C99" s="14" t="s">
        <v>29</v>
      </c>
      <c r="D99" s="50">
        <f>+'Producto 3 Plano 29-36'!AE94</f>
        <v>14567162.880000005</v>
      </c>
      <c r="E99" s="93"/>
      <c r="F99" s="164">
        <f>+E95*D99</f>
        <v>0</v>
      </c>
      <c r="G99" s="16"/>
    </row>
    <row r="100" spans="2:10">
      <c r="B100" s="13">
        <v>2036</v>
      </c>
      <c r="C100" s="14" t="s">
        <v>18</v>
      </c>
      <c r="D100" s="50">
        <f>+'Producto 3 Plano 29-36'!AE95</f>
        <v>14097254.400000002</v>
      </c>
      <c r="E100" s="93"/>
      <c r="F100" s="164">
        <f>+E95*D100</f>
        <v>0</v>
      </c>
      <c r="G100" s="16"/>
    </row>
    <row r="101" spans="2:10">
      <c r="B101" s="13">
        <v>2036</v>
      </c>
      <c r="C101" s="14" t="s">
        <v>19</v>
      </c>
      <c r="D101" s="50">
        <f>+'Producto 3 Plano 29-36'!AE96</f>
        <v>14567162.880000003</v>
      </c>
      <c r="E101" s="93"/>
      <c r="F101" s="164">
        <f>+E95*D101</f>
        <v>0</v>
      </c>
      <c r="G101" s="16"/>
    </row>
    <row r="102" spans="2:10">
      <c r="B102" s="13">
        <v>2036</v>
      </c>
      <c r="C102" s="14" t="s">
        <v>20</v>
      </c>
      <c r="D102" s="50">
        <f>+'Producto 3 Plano 29-36'!AE97</f>
        <v>14567162.880000005</v>
      </c>
      <c r="E102" s="93"/>
      <c r="F102" s="164">
        <f>+E95*D102</f>
        <v>0</v>
      </c>
      <c r="G102" s="16"/>
    </row>
    <row r="103" spans="2:10">
      <c r="B103" s="13">
        <v>2036</v>
      </c>
      <c r="C103" s="14" t="s">
        <v>21</v>
      </c>
      <c r="D103" s="50">
        <f>+'Producto 3 Plano 29-36'!AE98</f>
        <v>14097254.400000004</v>
      </c>
      <c r="E103" s="93"/>
      <c r="F103" s="164">
        <f>+E95*D103</f>
        <v>0</v>
      </c>
      <c r="G103" s="16"/>
    </row>
    <row r="104" spans="2:10">
      <c r="B104" s="13">
        <v>2036</v>
      </c>
      <c r="C104" s="14" t="s">
        <v>22</v>
      </c>
      <c r="D104" s="50">
        <f>+'Producto 3 Plano 29-36'!AE99</f>
        <v>14567162.880000005</v>
      </c>
      <c r="E104" s="93"/>
      <c r="F104" s="164">
        <f>+E95*D104</f>
        <v>0</v>
      </c>
      <c r="G104" s="16"/>
    </row>
    <row r="105" spans="2:10">
      <c r="B105" s="13">
        <v>2036</v>
      </c>
      <c r="C105" s="14" t="s">
        <v>23</v>
      </c>
      <c r="D105" s="50">
        <f>+'Producto 3 Plano 29-36'!AE100</f>
        <v>14097254.400000004</v>
      </c>
      <c r="E105" s="93"/>
      <c r="F105" s="164">
        <f>+E95*D105</f>
        <v>0</v>
      </c>
      <c r="G105" s="16"/>
    </row>
    <row r="106" spans="2:10" ht="15" thickBot="1">
      <c r="B106" s="17">
        <v>2036</v>
      </c>
      <c r="C106" s="18" t="s">
        <v>24</v>
      </c>
      <c r="D106" s="51">
        <f>+'Producto 3 Plano 29-36'!AE101</f>
        <v>14567162.880000005</v>
      </c>
      <c r="E106" s="94"/>
      <c r="F106" s="165">
        <f>+E95*D106</f>
        <v>0</v>
      </c>
      <c r="G106" s="20"/>
      <c r="H106" s="110"/>
    </row>
    <row r="107" spans="2:10" ht="15" thickBot="1">
      <c r="B107" s="72" t="s">
        <v>46</v>
      </c>
      <c r="C107" s="73"/>
      <c r="D107" s="24">
        <f>+SUM(D11:D106)</f>
        <v>1289693254.5600016</v>
      </c>
      <c r="J107" s="31"/>
    </row>
    <row r="109" spans="2:10">
      <c r="B109" s="8" t="s">
        <v>30</v>
      </c>
    </row>
    <row r="110" spans="2:10">
      <c r="B110" s="8" t="s">
        <v>31</v>
      </c>
    </row>
    <row r="111" spans="2:10">
      <c r="B111" s="8" t="s">
        <v>32</v>
      </c>
    </row>
    <row r="112" spans="2:10">
      <c r="B112" s="8" t="s">
        <v>33</v>
      </c>
    </row>
    <row r="114" spans="4:4">
      <c r="D114" s="25"/>
    </row>
  </sheetData>
  <mergeCells count="17">
    <mergeCell ref="B9:B10"/>
    <mergeCell ref="C9:C10"/>
    <mergeCell ref="D9:G9"/>
    <mergeCell ref="B4:G4"/>
    <mergeCell ref="B5:G5"/>
    <mergeCell ref="B6:G6"/>
    <mergeCell ref="B7:G7"/>
    <mergeCell ref="B8:G8"/>
    <mergeCell ref="E11:E22"/>
    <mergeCell ref="E23:E34"/>
    <mergeCell ref="E35:E46"/>
    <mergeCell ref="B107:C107"/>
    <mergeCell ref="E47:E58"/>
    <mergeCell ref="E59:E70"/>
    <mergeCell ref="E71:E82"/>
    <mergeCell ref="E83:E94"/>
    <mergeCell ref="E95:E10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9680-E72E-4ED2-ADE3-6BECD5313CCF}">
  <dimension ref="B2:AE57"/>
  <sheetViews>
    <sheetView showGridLines="0" zoomScale="90" zoomScaleNormal="90" workbookViewId="0">
      <selection activeCell="S35" sqref="S35"/>
    </sheetView>
  </sheetViews>
  <sheetFormatPr baseColWidth="10" defaultRowHeight="14.5"/>
  <cols>
    <col min="1" max="1" width="1.81640625" style="109" customWidth="1"/>
    <col min="2" max="2" width="10" style="109" customWidth="1"/>
    <col min="3" max="3" width="8.81640625" style="109" bestFit="1" customWidth="1"/>
    <col min="4" max="4" width="10.54296875" style="109" bestFit="1" customWidth="1"/>
    <col min="5" max="27" width="8.81640625" style="109" bestFit="1" customWidth="1"/>
    <col min="28" max="28" width="8.453125" style="109" bestFit="1" customWidth="1"/>
    <col min="29" max="29" width="7.453125" style="109" customWidth="1"/>
    <col min="30" max="30" width="19.1796875" style="109" customWidth="1"/>
    <col min="31" max="31" width="14.90625" style="26" customWidth="1"/>
    <col min="32" max="32" width="17.453125" style="109" bestFit="1" customWidth="1"/>
    <col min="33" max="16384" width="10.90625" style="109"/>
  </cols>
  <sheetData>
    <row r="2" spans="2:31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</row>
    <row r="3" spans="2:31">
      <c r="B3" s="113" t="s">
        <v>50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</row>
    <row r="4" spans="2:31" ht="15" thickBot="1">
      <c r="B4" s="114" t="s">
        <v>51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 spans="2:31" ht="25.5" customHeight="1" thickBot="1">
      <c r="B5" s="115"/>
      <c r="C5" s="116" t="s">
        <v>1</v>
      </c>
      <c r="D5" s="117">
        <v>1</v>
      </c>
      <c r="E5" s="117">
        <v>2</v>
      </c>
      <c r="F5" s="117">
        <v>3</v>
      </c>
      <c r="G5" s="117">
        <v>4</v>
      </c>
      <c r="H5" s="117">
        <v>5</v>
      </c>
      <c r="I5" s="117">
        <v>6</v>
      </c>
      <c r="J5" s="118">
        <v>7</v>
      </c>
      <c r="K5" s="118">
        <v>8</v>
      </c>
      <c r="L5" s="118">
        <v>9</v>
      </c>
      <c r="M5" s="118">
        <v>10</v>
      </c>
      <c r="N5" s="118">
        <v>11</v>
      </c>
      <c r="O5" s="118">
        <v>12</v>
      </c>
      <c r="P5" s="118">
        <v>13</v>
      </c>
      <c r="Q5" s="118">
        <v>14</v>
      </c>
      <c r="R5" s="118">
        <v>15</v>
      </c>
      <c r="S5" s="118">
        <v>16</v>
      </c>
      <c r="T5" s="118">
        <v>17</v>
      </c>
      <c r="U5" s="118">
        <v>18</v>
      </c>
      <c r="V5" s="119">
        <v>19</v>
      </c>
      <c r="W5" s="119">
        <v>20</v>
      </c>
      <c r="X5" s="119">
        <v>21</v>
      </c>
      <c r="Y5" s="117">
        <v>22</v>
      </c>
      <c r="Z5" s="117">
        <v>23</v>
      </c>
      <c r="AA5" s="120">
        <v>24</v>
      </c>
      <c r="AB5" s="121" t="s">
        <v>2</v>
      </c>
      <c r="AC5" s="122" t="s">
        <v>3</v>
      </c>
      <c r="AD5" s="123" t="s">
        <v>2</v>
      </c>
    </row>
    <row r="6" spans="2:31">
      <c r="B6" s="124">
        <v>46388</v>
      </c>
      <c r="C6" s="125" t="s">
        <v>5</v>
      </c>
      <c r="D6" s="2">
        <v>8675.7999999999993</v>
      </c>
      <c r="E6" s="2">
        <f t="shared" ref="E6:AA6" si="0">+$D$6</f>
        <v>8675.7999999999993</v>
      </c>
      <c r="F6" s="2">
        <f t="shared" si="0"/>
        <v>8675.7999999999993</v>
      </c>
      <c r="G6" s="2">
        <f t="shared" si="0"/>
        <v>8675.7999999999993</v>
      </c>
      <c r="H6" s="2">
        <f t="shared" si="0"/>
        <v>8675.7999999999993</v>
      </c>
      <c r="I6" s="2">
        <f t="shared" si="0"/>
        <v>8675.7999999999993</v>
      </c>
      <c r="J6" s="2">
        <f t="shared" si="0"/>
        <v>8675.7999999999993</v>
      </c>
      <c r="K6" s="2">
        <f t="shared" si="0"/>
        <v>8675.7999999999993</v>
      </c>
      <c r="L6" s="2">
        <f t="shared" si="0"/>
        <v>8675.7999999999993</v>
      </c>
      <c r="M6" s="2">
        <f t="shared" si="0"/>
        <v>8675.7999999999993</v>
      </c>
      <c r="N6" s="2">
        <f t="shared" si="0"/>
        <v>8675.7999999999993</v>
      </c>
      <c r="O6" s="2">
        <f t="shared" si="0"/>
        <v>8675.7999999999993</v>
      </c>
      <c r="P6" s="2">
        <f t="shared" si="0"/>
        <v>8675.7999999999993</v>
      </c>
      <c r="Q6" s="2">
        <f t="shared" si="0"/>
        <v>8675.7999999999993</v>
      </c>
      <c r="R6" s="2">
        <f t="shared" si="0"/>
        <v>8675.7999999999993</v>
      </c>
      <c r="S6" s="2">
        <f t="shared" si="0"/>
        <v>8675.7999999999993</v>
      </c>
      <c r="T6" s="2">
        <f t="shared" si="0"/>
        <v>8675.7999999999993</v>
      </c>
      <c r="U6" s="2">
        <f t="shared" si="0"/>
        <v>8675.7999999999993</v>
      </c>
      <c r="V6" s="2">
        <f t="shared" si="0"/>
        <v>8675.7999999999993</v>
      </c>
      <c r="W6" s="2">
        <f t="shared" si="0"/>
        <v>8675.7999999999993</v>
      </c>
      <c r="X6" s="2">
        <f t="shared" si="0"/>
        <v>8675.7999999999993</v>
      </c>
      <c r="Y6" s="2">
        <f t="shared" si="0"/>
        <v>8675.7999999999993</v>
      </c>
      <c r="Z6" s="2">
        <f t="shared" si="0"/>
        <v>8675.7999999999993</v>
      </c>
      <c r="AA6" s="4">
        <f t="shared" si="0"/>
        <v>8675.7999999999993</v>
      </c>
      <c r="AB6" s="126">
        <f t="shared" ref="AB6:AB53" si="1">(SUM(D6:AA6))</f>
        <v>208219.19999999992</v>
      </c>
      <c r="AC6" s="126">
        <v>19</v>
      </c>
      <c r="AD6" s="127">
        <f>(AB6*AC6)+(AB7*AC7)+(AB8*AC8)+(AB9*AC9)</f>
        <v>6454795.1999999974</v>
      </c>
      <c r="AE6" s="27">
        <f>+AD6</f>
        <v>6454795.1999999974</v>
      </c>
    </row>
    <row r="7" spans="2:31">
      <c r="B7" s="128"/>
      <c r="C7" s="129" t="s">
        <v>6</v>
      </c>
      <c r="D7" s="1">
        <f>+$D$6</f>
        <v>8675.7999999999993</v>
      </c>
      <c r="E7" s="1">
        <f t="shared" ref="E7:T22" si="2">+$D$6</f>
        <v>8675.7999999999993</v>
      </c>
      <c r="F7" s="1">
        <f t="shared" si="2"/>
        <v>8675.7999999999993</v>
      </c>
      <c r="G7" s="1">
        <f t="shared" si="2"/>
        <v>8675.7999999999993</v>
      </c>
      <c r="H7" s="1">
        <f t="shared" si="2"/>
        <v>8675.7999999999993</v>
      </c>
      <c r="I7" s="1">
        <f t="shared" si="2"/>
        <v>8675.7999999999993</v>
      </c>
      <c r="J7" s="1">
        <f t="shared" si="2"/>
        <v>8675.7999999999993</v>
      </c>
      <c r="K7" s="1">
        <f t="shared" si="2"/>
        <v>8675.7999999999993</v>
      </c>
      <c r="L7" s="1">
        <f t="shared" si="2"/>
        <v>8675.7999999999993</v>
      </c>
      <c r="M7" s="1">
        <f t="shared" si="2"/>
        <v>8675.7999999999993</v>
      </c>
      <c r="N7" s="1">
        <f t="shared" si="2"/>
        <v>8675.7999999999993</v>
      </c>
      <c r="O7" s="1">
        <f t="shared" si="2"/>
        <v>8675.7999999999993</v>
      </c>
      <c r="P7" s="1">
        <f t="shared" si="2"/>
        <v>8675.7999999999993</v>
      </c>
      <c r="Q7" s="1">
        <f t="shared" si="2"/>
        <v>8675.7999999999993</v>
      </c>
      <c r="R7" s="1">
        <f t="shared" si="2"/>
        <v>8675.7999999999993</v>
      </c>
      <c r="S7" s="1">
        <f t="shared" si="2"/>
        <v>8675.7999999999993</v>
      </c>
      <c r="T7" s="1">
        <f t="shared" si="2"/>
        <v>8675.7999999999993</v>
      </c>
      <c r="U7" s="1">
        <f t="shared" ref="U7:AA22" si="3">+$D$6</f>
        <v>8675.7999999999993</v>
      </c>
      <c r="V7" s="1">
        <f t="shared" si="3"/>
        <v>8675.7999999999993</v>
      </c>
      <c r="W7" s="1">
        <f t="shared" si="3"/>
        <v>8675.7999999999993</v>
      </c>
      <c r="X7" s="1">
        <f t="shared" si="3"/>
        <v>8675.7999999999993</v>
      </c>
      <c r="Y7" s="1">
        <f t="shared" si="3"/>
        <v>8675.7999999999993</v>
      </c>
      <c r="Z7" s="1">
        <f t="shared" si="3"/>
        <v>8675.7999999999993</v>
      </c>
      <c r="AA7" s="5">
        <f t="shared" si="3"/>
        <v>8675.7999999999993</v>
      </c>
      <c r="AB7" s="130">
        <f t="shared" si="1"/>
        <v>208219.19999999992</v>
      </c>
      <c r="AC7" s="130">
        <v>5</v>
      </c>
      <c r="AD7" s="131"/>
      <c r="AE7" s="27">
        <f>+AD10</f>
        <v>5830137.5999999978</v>
      </c>
    </row>
    <row r="8" spans="2:31">
      <c r="B8" s="128"/>
      <c r="C8" s="129" t="s">
        <v>7</v>
      </c>
      <c r="D8" s="1">
        <f t="shared" ref="D8:S23" si="4">+$D$6</f>
        <v>8675.7999999999993</v>
      </c>
      <c r="E8" s="1">
        <f t="shared" si="2"/>
        <v>8675.7999999999993</v>
      </c>
      <c r="F8" s="1">
        <f t="shared" si="2"/>
        <v>8675.7999999999993</v>
      </c>
      <c r="G8" s="1">
        <f t="shared" si="2"/>
        <v>8675.7999999999993</v>
      </c>
      <c r="H8" s="1">
        <f t="shared" si="2"/>
        <v>8675.7999999999993</v>
      </c>
      <c r="I8" s="1">
        <f t="shared" si="2"/>
        <v>8675.7999999999993</v>
      </c>
      <c r="J8" s="1">
        <f t="shared" si="2"/>
        <v>8675.7999999999993</v>
      </c>
      <c r="K8" s="1">
        <f t="shared" si="2"/>
        <v>8675.7999999999993</v>
      </c>
      <c r="L8" s="1">
        <f t="shared" si="2"/>
        <v>8675.7999999999993</v>
      </c>
      <c r="M8" s="1">
        <f t="shared" si="2"/>
        <v>8675.7999999999993</v>
      </c>
      <c r="N8" s="1">
        <f t="shared" si="2"/>
        <v>8675.7999999999993</v>
      </c>
      <c r="O8" s="1">
        <f t="shared" si="2"/>
        <v>8675.7999999999993</v>
      </c>
      <c r="P8" s="1">
        <f t="shared" si="2"/>
        <v>8675.7999999999993</v>
      </c>
      <c r="Q8" s="1">
        <f t="shared" si="2"/>
        <v>8675.7999999999993</v>
      </c>
      <c r="R8" s="1">
        <f t="shared" si="2"/>
        <v>8675.7999999999993</v>
      </c>
      <c r="S8" s="1">
        <f t="shared" si="2"/>
        <v>8675.7999999999993</v>
      </c>
      <c r="T8" s="1">
        <f t="shared" si="2"/>
        <v>8675.7999999999993</v>
      </c>
      <c r="U8" s="1">
        <f t="shared" si="3"/>
        <v>8675.7999999999993</v>
      </c>
      <c r="V8" s="1">
        <f t="shared" si="3"/>
        <v>8675.7999999999993</v>
      </c>
      <c r="W8" s="1">
        <f t="shared" si="3"/>
        <v>8675.7999999999993</v>
      </c>
      <c r="X8" s="1">
        <f t="shared" si="3"/>
        <v>8675.7999999999993</v>
      </c>
      <c r="Y8" s="1">
        <f t="shared" si="3"/>
        <v>8675.7999999999993</v>
      </c>
      <c r="Z8" s="1">
        <f t="shared" si="3"/>
        <v>8675.7999999999993</v>
      </c>
      <c r="AA8" s="5">
        <f t="shared" si="3"/>
        <v>8675.7999999999993</v>
      </c>
      <c r="AB8" s="130">
        <f t="shared" si="1"/>
        <v>208219.19999999992</v>
      </c>
      <c r="AC8" s="130">
        <v>5</v>
      </c>
      <c r="AD8" s="131"/>
      <c r="AE8" s="27">
        <f>+AD14</f>
        <v>6454795.1999999974</v>
      </c>
    </row>
    <row r="9" spans="2:31" ht="15" thickBot="1">
      <c r="B9" s="132"/>
      <c r="C9" s="133" t="s">
        <v>8</v>
      </c>
      <c r="D9" s="3">
        <f t="shared" si="4"/>
        <v>8675.7999999999993</v>
      </c>
      <c r="E9" s="3">
        <f t="shared" si="2"/>
        <v>8675.7999999999993</v>
      </c>
      <c r="F9" s="3">
        <f t="shared" si="2"/>
        <v>8675.7999999999993</v>
      </c>
      <c r="G9" s="3">
        <f t="shared" si="2"/>
        <v>8675.7999999999993</v>
      </c>
      <c r="H9" s="3">
        <f t="shared" si="2"/>
        <v>8675.7999999999993</v>
      </c>
      <c r="I9" s="3">
        <f t="shared" si="2"/>
        <v>8675.7999999999993</v>
      </c>
      <c r="J9" s="3">
        <f t="shared" si="2"/>
        <v>8675.7999999999993</v>
      </c>
      <c r="K9" s="3">
        <f t="shared" si="2"/>
        <v>8675.7999999999993</v>
      </c>
      <c r="L9" s="3">
        <f t="shared" si="2"/>
        <v>8675.7999999999993</v>
      </c>
      <c r="M9" s="3">
        <f t="shared" si="2"/>
        <v>8675.7999999999993</v>
      </c>
      <c r="N9" s="3">
        <f t="shared" si="2"/>
        <v>8675.7999999999993</v>
      </c>
      <c r="O9" s="3">
        <f t="shared" si="2"/>
        <v>8675.7999999999993</v>
      </c>
      <c r="P9" s="3">
        <f t="shared" si="2"/>
        <v>8675.7999999999993</v>
      </c>
      <c r="Q9" s="3">
        <f t="shared" si="2"/>
        <v>8675.7999999999993</v>
      </c>
      <c r="R9" s="3">
        <f t="shared" si="2"/>
        <v>8675.7999999999993</v>
      </c>
      <c r="S9" s="3">
        <f t="shared" si="2"/>
        <v>8675.7999999999993</v>
      </c>
      <c r="T9" s="3">
        <f t="shared" si="2"/>
        <v>8675.7999999999993</v>
      </c>
      <c r="U9" s="3">
        <f t="shared" si="3"/>
        <v>8675.7999999999993</v>
      </c>
      <c r="V9" s="3">
        <f t="shared" si="3"/>
        <v>8675.7999999999993</v>
      </c>
      <c r="W9" s="3">
        <f t="shared" si="3"/>
        <v>8675.7999999999993</v>
      </c>
      <c r="X9" s="3">
        <f t="shared" si="3"/>
        <v>8675.7999999999993</v>
      </c>
      <c r="Y9" s="3">
        <f t="shared" si="3"/>
        <v>8675.7999999999993</v>
      </c>
      <c r="Z9" s="3">
        <f t="shared" si="3"/>
        <v>8675.7999999999993</v>
      </c>
      <c r="AA9" s="6">
        <f t="shared" si="3"/>
        <v>8675.7999999999993</v>
      </c>
      <c r="AB9" s="134">
        <f t="shared" si="1"/>
        <v>208219.19999999992</v>
      </c>
      <c r="AC9" s="134">
        <v>2</v>
      </c>
      <c r="AD9" s="135"/>
      <c r="AE9" s="27">
        <f>+AD18</f>
        <v>6246575.9999999981</v>
      </c>
    </row>
    <row r="10" spans="2:31">
      <c r="B10" s="124">
        <v>46419</v>
      </c>
      <c r="C10" s="125" t="s">
        <v>5</v>
      </c>
      <c r="D10" s="2">
        <f t="shared" si="4"/>
        <v>8675.7999999999993</v>
      </c>
      <c r="E10" s="2">
        <f t="shared" si="2"/>
        <v>8675.7999999999993</v>
      </c>
      <c r="F10" s="2">
        <f t="shared" si="2"/>
        <v>8675.7999999999993</v>
      </c>
      <c r="G10" s="2">
        <f t="shared" si="2"/>
        <v>8675.7999999999993</v>
      </c>
      <c r="H10" s="2">
        <f t="shared" si="2"/>
        <v>8675.7999999999993</v>
      </c>
      <c r="I10" s="2">
        <f t="shared" si="2"/>
        <v>8675.7999999999993</v>
      </c>
      <c r="J10" s="2">
        <f t="shared" si="2"/>
        <v>8675.7999999999993</v>
      </c>
      <c r="K10" s="2">
        <f t="shared" si="2"/>
        <v>8675.7999999999993</v>
      </c>
      <c r="L10" s="2">
        <f t="shared" si="2"/>
        <v>8675.7999999999993</v>
      </c>
      <c r="M10" s="2">
        <f t="shared" si="2"/>
        <v>8675.7999999999993</v>
      </c>
      <c r="N10" s="2">
        <f t="shared" si="2"/>
        <v>8675.7999999999993</v>
      </c>
      <c r="O10" s="2">
        <f t="shared" si="2"/>
        <v>8675.7999999999993</v>
      </c>
      <c r="P10" s="2">
        <f t="shared" si="2"/>
        <v>8675.7999999999993</v>
      </c>
      <c r="Q10" s="2">
        <f t="shared" si="2"/>
        <v>8675.7999999999993</v>
      </c>
      <c r="R10" s="2">
        <f t="shared" si="2"/>
        <v>8675.7999999999993</v>
      </c>
      <c r="S10" s="2">
        <f t="shared" si="2"/>
        <v>8675.7999999999993</v>
      </c>
      <c r="T10" s="2">
        <f t="shared" si="2"/>
        <v>8675.7999999999993</v>
      </c>
      <c r="U10" s="2">
        <f t="shared" si="3"/>
        <v>8675.7999999999993</v>
      </c>
      <c r="V10" s="2">
        <f t="shared" si="3"/>
        <v>8675.7999999999993</v>
      </c>
      <c r="W10" s="2">
        <f t="shared" si="3"/>
        <v>8675.7999999999993</v>
      </c>
      <c r="X10" s="2">
        <f t="shared" si="3"/>
        <v>8675.7999999999993</v>
      </c>
      <c r="Y10" s="2">
        <f t="shared" si="3"/>
        <v>8675.7999999999993</v>
      </c>
      <c r="Z10" s="2">
        <f t="shared" si="3"/>
        <v>8675.7999999999993</v>
      </c>
      <c r="AA10" s="4">
        <f t="shared" si="3"/>
        <v>8675.7999999999993</v>
      </c>
      <c r="AB10" s="126">
        <f t="shared" si="1"/>
        <v>208219.19999999992</v>
      </c>
      <c r="AC10" s="126">
        <v>20</v>
      </c>
      <c r="AD10" s="127">
        <f>(AB10*AC10)+(AB11*AC11)+(AB12*AC12)+(AB13*AC13)</f>
        <v>5830137.5999999978</v>
      </c>
      <c r="AE10" s="27">
        <f>+AD22</f>
        <v>6454795.1999999974</v>
      </c>
    </row>
    <row r="11" spans="2:31">
      <c r="B11" s="128"/>
      <c r="C11" s="129" t="s">
        <v>6</v>
      </c>
      <c r="D11" s="1">
        <f t="shared" si="4"/>
        <v>8675.7999999999993</v>
      </c>
      <c r="E11" s="1">
        <f t="shared" si="2"/>
        <v>8675.7999999999993</v>
      </c>
      <c r="F11" s="1">
        <f t="shared" si="2"/>
        <v>8675.7999999999993</v>
      </c>
      <c r="G11" s="1">
        <f t="shared" si="2"/>
        <v>8675.7999999999993</v>
      </c>
      <c r="H11" s="1">
        <f t="shared" si="2"/>
        <v>8675.7999999999993</v>
      </c>
      <c r="I11" s="1">
        <f t="shared" si="2"/>
        <v>8675.7999999999993</v>
      </c>
      <c r="J11" s="1">
        <f t="shared" si="2"/>
        <v>8675.7999999999993</v>
      </c>
      <c r="K11" s="1">
        <f t="shared" si="2"/>
        <v>8675.7999999999993</v>
      </c>
      <c r="L11" s="1">
        <f t="shared" si="2"/>
        <v>8675.7999999999993</v>
      </c>
      <c r="M11" s="1">
        <f t="shared" si="2"/>
        <v>8675.7999999999993</v>
      </c>
      <c r="N11" s="1">
        <f t="shared" si="2"/>
        <v>8675.7999999999993</v>
      </c>
      <c r="O11" s="1">
        <f t="shared" si="2"/>
        <v>8675.7999999999993</v>
      </c>
      <c r="P11" s="1">
        <f t="shared" si="2"/>
        <v>8675.7999999999993</v>
      </c>
      <c r="Q11" s="1">
        <f t="shared" si="2"/>
        <v>8675.7999999999993</v>
      </c>
      <c r="R11" s="1">
        <f t="shared" si="2"/>
        <v>8675.7999999999993</v>
      </c>
      <c r="S11" s="1">
        <f t="shared" si="2"/>
        <v>8675.7999999999993</v>
      </c>
      <c r="T11" s="1">
        <f t="shared" si="2"/>
        <v>8675.7999999999993</v>
      </c>
      <c r="U11" s="1">
        <f t="shared" si="3"/>
        <v>8675.7999999999993</v>
      </c>
      <c r="V11" s="1">
        <f t="shared" si="3"/>
        <v>8675.7999999999993</v>
      </c>
      <c r="W11" s="1">
        <f t="shared" si="3"/>
        <v>8675.7999999999993</v>
      </c>
      <c r="X11" s="1">
        <f t="shared" si="3"/>
        <v>8675.7999999999993</v>
      </c>
      <c r="Y11" s="1">
        <f t="shared" si="3"/>
        <v>8675.7999999999993</v>
      </c>
      <c r="Z11" s="1">
        <f t="shared" si="3"/>
        <v>8675.7999999999993</v>
      </c>
      <c r="AA11" s="5">
        <f t="shared" si="3"/>
        <v>8675.7999999999993</v>
      </c>
      <c r="AB11" s="130">
        <f t="shared" si="1"/>
        <v>208219.19999999992</v>
      </c>
      <c r="AC11" s="130">
        <v>4</v>
      </c>
      <c r="AD11" s="131"/>
      <c r="AE11" s="27">
        <f>+AD26</f>
        <v>6246575.9999999981</v>
      </c>
    </row>
    <row r="12" spans="2:31">
      <c r="B12" s="128"/>
      <c r="C12" s="129" t="s">
        <v>7</v>
      </c>
      <c r="D12" s="1">
        <f t="shared" si="4"/>
        <v>8675.7999999999993</v>
      </c>
      <c r="E12" s="1">
        <f t="shared" si="2"/>
        <v>8675.7999999999993</v>
      </c>
      <c r="F12" s="1">
        <f t="shared" si="2"/>
        <v>8675.7999999999993</v>
      </c>
      <c r="G12" s="1">
        <f t="shared" si="2"/>
        <v>8675.7999999999993</v>
      </c>
      <c r="H12" s="1">
        <f t="shared" si="2"/>
        <v>8675.7999999999993</v>
      </c>
      <c r="I12" s="1">
        <f t="shared" si="2"/>
        <v>8675.7999999999993</v>
      </c>
      <c r="J12" s="1">
        <f t="shared" si="2"/>
        <v>8675.7999999999993</v>
      </c>
      <c r="K12" s="1">
        <f t="shared" si="2"/>
        <v>8675.7999999999993</v>
      </c>
      <c r="L12" s="1">
        <f t="shared" si="2"/>
        <v>8675.7999999999993</v>
      </c>
      <c r="M12" s="1">
        <f t="shared" si="2"/>
        <v>8675.7999999999993</v>
      </c>
      <c r="N12" s="1">
        <f t="shared" si="2"/>
        <v>8675.7999999999993</v>
      </c>
      <c r="O12" s="1">
        <f t="shared" si="2"/>
        <v>8675.7999999999993</v>
      </c>
      <c r="P12" s="1">
        <f t="shared" si="2"/>
        <v>8675.7999999999993</v>
      </c>
      <c r="Q12" s="1">
        <f t="shared" si="2"/>
        <v>8675.7999999999993</v>
      </c>
      <c r="R12" s="1">
        <f t="shared" si="2"/>
        <v>8675.7999999999993</v>
      </c>
      <c r="S12" s="1">
        <f t="shared" si="2"/>
        <v>8675.7999999999993</v>
      </c>
      <c r="T12" s="1">
        <f t="shared" si="2"/>
        <v>8675.7999999999993</v>
      </c>
      <c r="U12" s="1">
        <f t="shared" si="3"/>
        <v>8675.7999999999993</v>
      </c>
      <c r="V12" s="1">
        <f t="shared" si="3"/>
        <v>8675.7999999999993</v>
      </c>
      <c r="W12" s="1">
        <f t="shared" si="3"/>
        <v>8675.7999999999993</v>
      </c>
      <c r="X12" s="1">
        <f t="shared" si="3"/>
        <v>8675.7999999999993</v>
      </c>
      <c r="Y12" s="1">
        <f t="shared" si="3"/>
        <v>8675.7999999999993</v>
      </c>
      <c r="Z12" s="1">
        <f t="shared" si="3"/>
        <v>8675.7999999999993</v>
      </c>
      <c r="AA12" s="5">
        <f t="shared" si="3"/>
        <v>8675.7999999999993</v>
      </c>
      <c r="AB12" s="130">
        <f t="shared" si="1"/>
        <v>208219.19999999992</v>
      </c>
      <c r="AC12" s="130">
        <v>4</v>
      </c>
      <c r="AD12" s="131"/>
      <c r="AE12" s="27">
        <f>+AD30</f>
        <v>6454795.1999999974</v>
      </c>
    </row>
    <row r="13" spans="2:31" ht="15" thickBot="1">
      <c r="B13" s="132"/>
      <c r="C13" s="133" t="s">
        <v>8</v>
      </c>
      <c r="D13" s="3">
        <f t="shared" si="4"/>
        <v>8675.7999999999993</v>
      </c>
      <c r="E13" s="3">
        <f t="shared" si="2"/>
        <v>8675.7999999999993</v>
      </c>
      <c r="F13" s="3">
        <f t="shared" si="2"/>
        <v>8675.7999999999993</v>
      </c>
      <c r="G13" s="3">
        <f t="shared" si="2"/>
        <v>8675.7999999999993</v>
      </c>
      <c r="H13" s="3">
        <f t="shared" si="2"/>
        <v>8675.7999999999993</v>
      </c>
      <c r="I13" s="3">
        <f t="shared" si="2"/>
        <v>8675.7999999999993</v>
      </c>
      <c r="J13" s="3">
        <f t="shared" si="2"/>
        <v>8675.7999999999993</v>
      </c>
      <c r="K13" s="3">
        <f t="shared" si="2"/>
        <v>8675.7999999999993</v>
      </c>
      <c r="L13" s="3">
        <f t="shared" si="2"/>
        <v>8675.7999999999993</v>
      </c>
      <c r="M13" s="3">
        <f t="shared" si="2"/>
        <v>8675.7999999999993</v>
      </c>
      <c r="N13" s="3">
        <f t="shared" si="2"/>
        <v>8675.7999999999993</v>
      </c>
      <c r="O13" s="3">
        <f t="shared" si="2"/>
        <v>8675.7999999999993</v>
      </c>
      <c r="P13" s="3">
        <f t="shared" si="2"/>
        <v>8675.7999999999993</v>
      </c>
      <c r="Q13" s="3">
        <f t="shared" si="2"/>
        <v>8675.7999999999993</v>
      </c>
      <c r="R13" s="3">
        <f t="shared" si="2"/>
        <v>8675.7999999999993</v>
      </c>
      <c r="S13" s="3">
        <f t="shared" si="2"/>
        <v>8675.7999999999993</v>
      </c>
      <c r="T13" s="3">
        <f t="shared" si="2"/>
        <v>8675.7999999999993</v>
      </c>
      <c r="U13" s="3">
        <f t="shared" si="3"/>
        <v>8675.7999999999993</v>
      </c>
      <c r="V13" s="3">
        <f t="shared" si="3"/>
        <v>8675.7999999999993</v>
      </c>
      <c r="W13" s="3">
        <f t="shared" si="3"/>
        <v>8675.7999999999993</v>
      </c>
      <c r="X13" s="3">
        <f t="shared" si="3"/>
        <v>8675.7999999999993</v>
      </c>
      <c r="Y13" s="3">
        <f t="shared" si="3"/>
        <v>8675.7999999999993</v>
      </c>
      <c r="Z13" s="3">
        <f t="shared" si="3"/>
        <v>8675.7999999999993</v>
      </c>
      <c r="AA13" s="6">
        <f t="shared" si="3"/>
        <v>8675.7999999999993</v>
      </c>
      <c r="AB13" s="134">
        <f t="shared" si="1"/>
        <v>208219.19999999992</v>
      </c>
      <c r="AC13" s="134">
        <v>0</v>
      </c>
      <c r="AD13" s="135"/>
      <c r="AE13" s="27">
        <f>+AD34</f>
        <v>6454795.1999999974</v>
      </c>
    </row>
    <row r="14" spans="2:31">
      <c r="B14" s="124">
        <v>46447</v>
      </c>
      <c r="C14" s="125" t="s">
        <v>5</v>
      </c>
      <c r="D14" s="2">
        <f t="shared" si="4"/>
        <v>8675.7999999999993</v>
      </c>
      <c r="E14" s="2">
        <f t="shared" si="2"/>
        <v>8675.7999999999993</v>
      </c>
      <c r="F14" s="2">
        <f t="shared" si="2"/>
        <v>8675.7999999999993</v>
      </c>
      <c r="G14" s="2">
        <f t="shared" si="2"/>
        <v>8675.7999999999993</v>
      </c>
      <c r="H14" s="2">
        <f t="shared" si="2"/>
        <v>8675.7999999999993</v>
      </c>
      <c r="I14" s="2">
        <f t="shared" si="2"/>
        <v>8675.7999999999993</v>
      </c>
      <c r="J14" s="2">
        <f t="shared" si="2"/>
        <v>8675.7999999999993</v>
      </c>
      <c r="K14" s="2">
        <f t="shared" si="2"/>
        <v>8675.7999999999993</v>
      </c>
      <c r="L14" s="2">
        <f t="shared" si="2"/>
        <v>8675.7999999999993</v>
      </c>
      <c r="M14" s="2">
        <f t="shared" si="2"/>
        <v>8675.7999999999993</v>
      </c>
      <c r="N14" s="2">
        <f t="shared" si="2"/>
        <v>8675.7999999999993</v>
      </c>
      <c r="O14" s="2">
        <f t="shared" si="2"/>
        <v>8675.7999999999993</v>
      </c>
      <c r="P14" s="2">
        <f t="shared" si="2"/>
        <v>8675.7999999999993</v>
      </c>
      <c r="Q14" s="2">
        <f t="shared" si="2"/>
        <v>8675.7999999999993</v>
      </c>
      <c r="R14" s="2">
        <f t="shared" si="2"/>
        <v>8675.7999999999993</v>
      </c>
      <c r="S14" s="2">
        <f t="shared" si="2"/>
        <v>8675.7999999999993</v>
      </c>
      <c r="T14" s="2">
        <f t="shared" si="2"/>
        <v>8675.7999999999993</v>
      </c>
      <c r="U14" s="2">
        <f t="shared" si="3"/>
        <v>8675.7999999999993</v>
      </c>
      <c r="V14" s="2">
        <f t="shared" si="3"/>
        <v>8675.7999999999993</v>
      </c>
      <c r="W14" s="2">
        <f t="shared" si="3"/>
        <v>8675.7999999999993</v>
      </c>
      <c r="X14" s="2">
        <f t="shared" si="3"/>
        <v>8675.7999999999993</v>
      </c>
      <c r="Y14" s="2">
        <f t="shared" si="3"/>
        <v>8675.7999999999993</v>
      </c>
      <c r="Z14" s="2">
        <f t="shared" si="3"/>
        <v>8675.7999999999993</v>
      </c>
      <c r="AA14" s="4">
        <f t="shared" si="3"/>
        <v>8675.7999999999993</v>
      </c>
      <c r="AB14" s="126">
        <f t="shared" si="1"/>
        <v>208219.19999999992</v>
      </c>
      <c r="AC14" s="126">
        <v>20</v>
      </c>
      <c r="AD14" s="127">
        <f>(AB14*AC14)+(AB15*AC15)+(AB16*AC16)+(AB17*AC17)</f>
        <v>6454795.1999999974</v>
      </c>
      <c r="AE14" s="27">
        <f>+AD38</f>
        <v>6246575.9999999981</v>
      </c>
    </row>
    <row r="15" spans="2:31">
      <c r="B15" s="128"/>
      <c r="C15" s="129" t="s">
        <v>6</v>
      </c>
      <c r="D15" s="1">
        <f t="shared" si="4"/>
        <v>8675.7999999999993</v>
      </c>
      <c r="E15" s="1">
        <f t="shared" si="2"/>
        <v>8675.7999999999993</v>
      </c>
      <c r="F15" s="1">
        <f t="shared" si="2"/>
        <v>8675.7999999999993</v>
      </c>
      <c r="G15" s="1">
        <f t="shared" si="2"/>
        <v>8675.7999999999993</v>
      </c>
      <c r="H15" s="1">
        <f t="shared" si="2"/>
        <v>8675.7999999999993</v>
      </c>
      <c r="I15" s="1">
        <f t="shared" si="2"/>
        <v>8675.7999999999993</v>
      </c>
      <c r="J15" s="1">
        <f t="shared" si="2"/>
        <v>8675.7999999999993</v>
      </c>
      <c r="K15" s="1">
        <f t="shared" si="2"/>
        <v>8675.7999999999993</v>
      </c>
      <c r="L15" s="1">
        <f t="shared" si="2"/>
        <v>8675.7999999999993</v>
      </c>
      <c r="M15" s="1">
        <f t="shared" si="2"/>
        <v>8675.7999999999993</v>
      </c>
      <c r="N15" s="1">
        <f t="shared" si="2"/>
        <v>8675.7999999999993</v>
      </c>
      <c r="O15" s="1">
        <f t="shared" si="2"/>
        <v>8675.7999999999993</v>
      </c>
      <c r="P15" s="1">
        <f t="shared" si="2"/>
        <v>8675.7999999999993</v>
      </c>
      <c r="Q15" s="1">
        <f t="shared" si="2"/>
        <v>8675.7999999999993</v>
      </c>
      <c r="R15" s="1">
        <f t="shared" si="2"/>
        <v>8675.7999999999993</v>
      </c>
      <c r="S15" s="1">
        <f t="shared" si="2"/>
        <v>8675.7999999999993</v>
      </c>
      <c r="T15" s="1">
        <f t="shared" si="2"/>
        <v>8675.7999999999993</v>
      </c>
      <c r="U15" s="1">
        <f t="shared" si="3"/>
        <v>8675.7999999999993</v>
      </c>
      <c r="V15" s="1">
        <f t="shared" si="3"/>
        <v>8675.7999999999993</v>
      </c>
      <c r="W15" s="1">
        <f t="shared" si="3"/>
        <v>8675.7999999999993</v>
      </c>
      <c r="X15" s="1">
        <f t="shared" si="3"/>
        <v>8675.7999999999993</v>
      </c>
      <c r="Y15" s="1">
        <f t="shared" si="3"/>
        <v>8675.7999999999993</v>
      </c>
      <c r="Z15" s="1">
        <f t="shared" si="3"/>
        <v>8675.7999999999993</v>
      </c>
      <c r="AA15" s="5">
        <f t="shared" si="3"/>
        <v>8675.7999999999993</v>
      </c>
      <c r="AB15" s="130">
        <f t="shared" si="1"/>
        <v>208219.19999999992</v>
      </c>
      <c r="AC15" s="130">
        <v>4</v>
      </c>
      <c r="AD15" s="131"/>
      <c r="AE15" s="27">
        <f>+AD42</f>
        <v>6454795.1999999983</v>
      </c>
    </row>
    <row r="16" spans="2:31">
      <c r="B16" s="128"/>
      <c r="C16" s="129" t="s">
        <v>7</v>
      </c>
      <c r="D16" s="1">
        <f t="shared" si="4"/>
        <v>8675.7999999999993</v>
      </c>
      <c r="E16" s="1">
        <f t="shared" si="2"/>
        <v>8675.7999999999993</v>
      </c>
      <c r="F16" s="1">
        <f t="shared" si="2"/>
        <v>8675.7999999999993</v>
      </c>
      <c r="G16" s="1">
        <f t="shared" si="2"/>
        <v>8675.7999999999993</v>
      </c>
      <c r="H16" s="1">
        <f t="shared" si="2"/>
        <v>8675.7999999999993</v>
      </c>
      <c r="I16" s="1">
        <f t="shared" si="2"/>
        <v>8675.7999999999993</v>
      </c>
      <c r="J16" s="1">
        <f t="shared" si="2"/>
        <v>8675.7999999999993</v>
      </c>
      <c r="K16" s="1">
        <f t="shared" si="2"/>
        <v>8675.7999999999993</v>
      </c>
      <c r="L16" s="1">
        <f t="shared" si="2"/>
        <v>8675.7999999999993</v>
      </c>
      <c r="M16" s="1">
        <f t="shared" si="2"/>
        <v>8675.7999999999993</v>
      </c>
      <c r="N16" s="1">
        <f t="shared" si="2"/>
        <v>8675.7999999999993</v>
      </c>
      <c r="O16" s="1">
        <f t="shared" si="2"/>
        <v>8675.7999999999993</v>
      </c>
      <c r="P16" s="1">
        <f t="shared" si="2"/>
        <v>8675.7999999999993</v>
      </c>
      <c r="Q16" s="1">
        <f t="shared" si="2"/>
        <v>8675.7999999999993</v>
      </c>
      <c r="R16" s="1">
        <f t="shared" si="2"/>
        <v>8675.7999999999993</v>
      </c>
      <c r="S16" s="1">
        <f t="shared" si="2"/>
        <v>8675.7999999999993</v>
      </c>
      <c r="T16" s="1">
        <f t="shared" si="2"/>
        <v>8675.7999999999993</v>
      </c>
      <c r="U16" s="1">
        <f t="shared" si="3"/>
        <v>8675.7999999999993</v>
      </c>
      <c r="V16" s="1">
        <f t="shared" si="3"/>
        <v>8675.7999999999993</v>
      </c>
      <c r="W16" s="1">
        <f t="shared" si="3"/>
        <v>8675.7999999999993</v>
      </c>
      <c r="X16" s="1">
        <f t="shared" si="3"/>
        <v>8675.7999999999993</v>
      </c>
      <c r="Y16" s="1">
        <f t="shared" si="3"/>
        <v>8675.7999999999993</v>
      </c>
      <c r="Z16" s="1">
        <f t="shared" si="3"/>
        <v>8675.7999999999993</v>
      </c>
      <c r="AA16" s="5">
        <f t="shared" si="3"/>
        <v>8675.7999999999993</v>
      </c>
      <c r="AB16" s="130">
        <f t="shared" si="1"/>
        <v>208219.19999999992</v>
      </c>
      <c r="AC16" s="130">
        <v>4</v>
      </c>
      <c r="AD16" s="131"/>
      <c r="AE16" s="27">
        <f>+AD46</f>
        <v>6246575.9999999972</v>
      </c>
    </row>
    <row r="17" spans="2:31" ht="15" thickBot="1">
      <c r="B17" s="132"/>
      <c r="C17" s="133" t="s">
        <v>8</v>
      </c>
      <c r="D17" s="3">
        <f t="shared" si="4"/>
        <v>8675.7999999999993</v>
      </c>
      <c r="E17" s="3">
        <f t="shared" si="2"/>
        <v>8675.7999999999993</v>
      </c>
      <c r="F17" s="3">
        <f t="shared" si="2"/>
        <v>8675.7999999999993</v>
      </c>
      <c r="G17" s="3">
        <f t="shared" si="2"/>
        <v>8675.7999999999993</v>
      </c>
      <c r="H17" s="3">
        <f t="shared" si="2"/>
        <v>8675.7999999999993</v>
      </c>
      <c r="I17" s="3">
        <f t="shared" si="2"/>
        <v>8675.7999999999993</v>
      </c>
      <c r="J17" s="3">
        <f t="shared" si="2"/>
        <v>8675.7999999999993</v>
      </c>
      <c r="K17" s="3">
        <f t="shared" si="2"/>
        <v>8675.7999999999993</v>
      </c>
      <c r="L17" s="3">
        <f t="shared" si="2"/>
        <v>8675.7999999999993</v>
      </c>
      <c r="M17" s="3">
        <f t="shared" si="2"/>
        <v>8675.7999999999993</v>
      </c>
      <c r="N17" s="3">
        <f t="shared" si="2"/>
        <v>8675.7999999999993</v>
      </c>
      <c r="O17" s="3">
        <f t="shared" si="2"/>
        <v>8675.7999999999993</v>
      </c>
      <c r="P17" s="3">
        <f t="shared" si="2"/>
        <v>8675.7999999999993</v>
      </c>
      <c r="Q17" s="3">
        <f t="shared" si="2"/>
        <v>8675.7999999999993</v>
      </c>
      <c r="R17" s="3">
        <f t="shared" si="2"/>
        <v>8675.7999999999993</v>
      </c>
      <c r="S17" s="3">
        <f t="shared" si="2"/>
        <v>8675.7999999999993</v>
      </c>
      <c r="T17" s="3">
        <f t="shared" si="2"/>
        <v>8675.7999999999993</v>
      </c>
      <c r="U17" s="3">
        <f t="shared" si="3"/>
        <v>8675.7999999999993</v>
      </c>
      <c r="V17" s="3">
        <f t="shared" si="3"/>
        <v>8675.7999999999993</v>
      </c>
      <c r="W17" s="3">
        <f t="shared" si="3"/>
        <v>8675.7999999999993</v>
      </c>
      <c r="X17" s="3">
        <f t="shared" si="3"/>
        <v>8675.7999999999993</v>
      </c>
      <c r="Y17" s="3">
        <f t="shared" si="3"/>
        <v>8675.7999999999993</v>
      </c>
      <c r="Z17" s="3">
        <f t="shared" si="3"/>
        <v>8675.7999999999993</v>
      </c>
      <c r="AA17" s="6">
        <f t="shared" si="3"/>
        <v>8675.7999999999993</v>
      </c>
      <c r="AB17" s="134">
        <f t="shared" si="1"/>
        <v>208219.19999999992</v>
      </c>
      <c r="AC17" s="134">
        <v>3</v>
      </c>
      <c r="AD17" s="135"/>
      <c r="AE17" s="27">
        <f>+AD50</f>
        <v>6454795.1999999974</v>
      </c>
    </row>
    <row r="18" spans="2:31">
      <c r="B18" s="124">
        <v>46478</v>
      </c>
      <c r="C18" s="125" t="s">
        <v>5</v>
      </c>
      <c r="D18" s="2">
        <f t="shared" si="4"/>
        <v>8675.7999999999993</v>
      </c>
      <c r="E18" s="2">
        <f t="shared" si="2"/>
        <v>8675.7999999999993</v>
      </c>
      <c r="F18" s="2">
        <f t="shared" si="2"/>
        <v>8675.7999999999993</v>
      </c>
      <c r="G18" s="2">
        <f t="shared" si="2"/>
        <v>8675.7999999999993</v>
      </c>
      <c r="H18" s="2">
        <f t="shared" si="2"/>
        <v>8675.7999999999993</v>
      </c>
      <c r="I18" s="2">
        <f t="shared" si="2"/>
        <v>8675.7999999999993</v>
      </c>
      <c r="J18" s="2">
        <f t="shared" si="2"/>
        <v>8675.7999999999993</v>
      </c>
      <c r="K18" s="2">
        <f t="shared" si="2"/>
        <v>8675.7999999999993</v>
      </c>
      <c r="L18" s="2">
        <f t="shared" si="2"/>
        <v>8675.7999999999993</v>
      </c>
      <c r="M18" s="2">
        <f t="shared" si="2"/>
        <v>8675.7999999999993</v>
      </c>
      <c r="N18" s="2">
        <f t="shared" si="2"/>
        <v>8675.7999999999993</v>
      </c>
      <c r="O18" s="2">
        <f t="shared" si="2"/>
        <v>8675.7999999999993</v>
      </c>
      <c r="P18" s="2">
        <f t="shared" si="2"/>
        <v>8675.7999999999993</v>
      </c>
      <c r="Q18" s="2">
        <f t="shared" si="2"/>
        <v>8675.7999999999993</v>
      </c>
      <c r="R18" s="2">
        <f t="shared" si="2"/>
        <v>8675.7999999999993</v>
      </c>
      <c r="S18" s="2">
        <f t="shared" si="2"/>
        <v>8675.7999999999993</v>
      </c>
      <c r="T18" s="2">
        <f t="shared" si="2"/>
        <v>8675.7999999999993</v>
      </c>
      <c r="U18" s="2">
        <f t="shared" si="3"/>
        <v>8675.7999999999993</v>
      </c>
      <c r="V18" s="2">
        <f t="shared" si="3"/>
        <v>8675.7999999999993</v>
      </c>
      <c r="W18" s="2">
        <f t="shared" si="3"/>
        <v>8675.7999999999993</v>
      </c>
      <c r="X18" s="2">
        <f t="shared" si="3"/>
        <v>8675.7999999999993</v>
      </c>
      <c r="Y18" s="2">
        <f t="shared" si="3"/>
        <v>8675.7999999999993</v>
      </c>
      <c r="Z18" s="2">
        <f t="shared" si="3"/>
        <v>8675.7999999999993</v>
      </c>
      <c r="AA18" s="4">
        <f t="shared" si="3"/>
        <v>8675.7999999999993</v>
      </c>
      <c r="AB18" s="126">
        <f t="shared" si="1"/>
        <v>208219.19999999992</v>
      </c>
      <c r="AC18" s="126">
        <v>22</v>
      </c>
      <c r="AD18" s="127">
        <f>(AB18*AC18)+(AB19*AC19)+(AB20*AC20)+(AB21*AC21)</f>
        <v>6246575.9999999981</v>
      </c>
      <c r="AE18" s="27"/>
    </row>
    <row r="19" spans="2:31">
      <c r="B19" s="128"/>
      <c r="C19" s="129" t="s">
        <v>6</v>
      </c>
      <c r="D19" s="1">
        <f t="shared" si="4"/>
        <v>8675.7999999999993</v>
      </c>
      <c r="E19" s="1">
        <f t="shared" si="2"/>
        <v>8675.7999999999993</v>
      </c>
      <c r="F19" s="1">
        <f t="shared" si="2"/>
        <v>8675.7999999999993</v>
      </c>
      <c r="G19" s="1">
        <f t="shared" si="2"/>
        <v>8675.7999999999993</v>
      </c>
      <c r="H19" s="1">
        <f t="shared" si="2"/>
        <v>8675.7999999999993</v>
      </c>
      <c r="I19" s="1">
        <f t="shared" si="2"/>
        <v>8675.7999999999993</v>
      </c>
      <c r="J19" s="1">
        <f t="shared" si="2"/>
        <v>8675.7999999999993</v>
      </c>
      <c r="K19" s="1">
        <f t="shared" si="2"/>
        <v>8675.7999999999993</v>
      </c>
      <c r="L19" s="1">
        <f t="shared" si="2"/>
        <v>8675.7999999999993</v>
      </c>
      <c r="M19" s="1">
        <f t="shared" si="2"/>
        <v>8675.7999999999993</v>
      </c>
      <c r="N19" s="1">
        <f t="shared" si="2"/>
        <v>8675.7999999999993</v>
      </c>
      <c r="O19" s="1">
        <f t="shared" si="2"/>
        <v>8675.7999999999993</v>
      </c>
      <c r="P19" s="1">
        <f t="shared" si="2"/>
        <v>8675.7999999999993</v>
      </c>
      <c r="Q19" s="1">
        <f t="shared" si="2"/>
        <v>8675.7999999999993</v>
      </c>
      <c r="R19" s="1">
        <f t="shared" si="2"/>
        <v>8675.7999999999993</v>
      </c>
      <c r="S19" s="1">
        <f t="shared" si="2"/>
        <v>8675.7999999999993</v>
      </c>
      <c r="T19" s="1">
        <f t="shared" si="2"/>
        <v>8675.7999999999993</v>
      </c>
      <c r="U19" s="1">
        <f t="shared" si="3"/>
        <v>8675.7999999999993</v>
      </c>
      <c r="V19" s="1">
        <f t="shared" si="3"/>
        <v>8675.7999999999993</v>
      </c>
      <c r="W19" s="1">
        <f t="shared" si="3"/>
        <v>8675.7999999999993</v>
      </c>
      <c r="X19" s="1">
        <f t="shared" si="3"/>
        <v>8675.7999999999993</v>
      </c>
      <c r="Y19" s="1">
        <f t="shared" si="3"/>
        <v>8675.7999999999993</v>
      </c>
      <c r="Z19" s="1">
        <f t="shared" si="3"/>
        <v>8675.7999999999993</v>
      </c>
      <c r="AA19" s="5">
        <f t="shared" si="3"/>
        <v>8675.7999999999993</v>
      </c>
      <c r="AB19" s="130">
        <f t="shared" si="1"/>
        <v>208219.19999999992</v>
      </c>
      <c r="AC19" s="130">
        <v>4</v>
      </c>
      <c r="AD19" s="131"/>
      <c r="AE19" s="27"/>
    </row>
    <row r="20" spans="2:31">
      <c r="B20" s="128"/>
      <c r="C20" s="129" t="s">
        <v>7</v>
      </c>
      <c r="D20" s="1">
        <f t="shared" si="4"/>
        <v>8675.7999999999993</v>
      </c>
      <c r="E20" s="1">
        <f t="shared" si="2"/>
        <v>8675.7999999999993</v>
      </c>
      <c r="F20" s="1">
        <f t="shared" si="2"/>
        <v>8675.7999999999993</v>
      </c>
      <c r="G20" s="1">
        <f t="shared" si="2"/>
        <v>8675.7999999999993</v>
      </c>
      <c r="H20" s="1">
        <f t="shared" si="2"/>
        <v>8675.7999999999993</v>
      </c>
      <c r="I20" s="1">
        <f t="shared" si="2"/>
        <v>8675.7999999999993</v>
      </c>
      <c r="J20" s="1">
        <f t="shared" si="2"/>
        <v>8675.7999999999993</v>
      </c>
      <c r="K20" s="1">
        <f t="shared" si="2"/>
        <v>8675.7999999999993</v>
      </c>
      <c r="L20" s="1">
        <f t="shared" si="2"/>
        <v>8675.7999999999993</v>
      </c>
      <c r="M20" s="1">
        <f t="shared" si="2"/>
        <v>8675.7999999999993</v>
      </c>
      <c r="N20" s="1">
        <f t="shared" si="2"/>
        <v>8675.7999999999993</v>
      </c>
      <c r="O20" s="1">
        <f t="shared" si="2"/>
        <v>8675.7999999999993</v>
      </c>
      <c r="P20" s="1">
        <f t="shared" si="2"/>
        <v>8675.7999999999993</v>
      </c>
      <c r="Q20" s="1">
        <f t="shared" si="2"/>
        <v>8675.7999999999993</v>
      </c>
      <c r="R20" s="1">
        <f t="shared" si="2"/>
        <v>8675.7999999999993</v>
      </c>
      <c r="S20" s="1">
        <f t="shared" si="2"/>
        <v>8675.7999999999993</v>
      </c>
      <c r="T20" s="1">
        <f t="shared" si="2"/>
        <v>8675.7999999999993</v>
      </c>
      <c r="U20" s="1">
        <f t="shared" si="3"/>
        <v>8675.7999999999993</v>
      </c>
      <c r="V20" s="1">
        <f t="shared" si="3"/>
        <v>8675.7999999999993</v>
      </c>
      <c r="W20" s="1">
        <f t="shared" si="3"/>
        <v>8675.7999999999993</v>
      </c>
      <c r="X20" s="1">
        <f t="shared" si="3"/>
        <v>8675.7999999999993</v>
      </c>
      <c r="Y20" s="1">
        <f t="shared" si="3"/>
        <v>8675.7999999999993</v>
      </c>
      <c r="Z20" s="1">
        <f t="shared" si="3"/>
        <v>8675.7999999999993</v>
      </c>
      <c r="AA20" s="5">
        <f t="shared" si="3"/>
        <v>8675.7999999999993</v>
      </c>
      <c r="AB20" s="130">
        <f t="shared" si="1"/>
        <v>208219.19999999992</v>
      </c>
      <c r="AC20" s="130">
        <v>4</v>
      </c>
      <c r="AD20" s="131"/>
      <c r="AE20" s="27"/>
    </row>
    <row r="21" spans="2:31" ht="15" thickBot="1">
      <c r="B21" s="132"/>
      <c r="C21" s="133" t="s">
        <v>8</v>
      </c>
      <c r="D21" s="3">
        <f t="shared" si="4"/>
        <v>8675.7999999999993</v>
      </c>
      <c r="E21" s="3">
        <f t="shared" si="2"/>
        <v>8675.7999999999993</v>
      </c>
      <c r="F21" s="3">
        <f t="shared" si="2"/>
        <v>8675.7999999999993</v>
      </c>
      <c r="G21" s="3">
        <f t="shared" si="2"/>
        <v>8675.7999999999993</v>
      </c>
      <c r="H21" s="3">
        <f t="shared" si="2"/>
        <v>8675.7999999999993</v>
      </c>
      <c r="I21" s="3">
        <f t="shared" si="2"/>
        <v>8675.7999999999993</v>
      </c>
      <c r="J21" s="3">
        <f t="shared" si="2"/>
        <v>8675.7999999999993</v>
      </c>
      <c r="K21" s="3">
        <f t="shared" si="2"/>
        <v>8675.7999999999993</v>
      </c>
      <c r="L21" s="3">
        <f t="shared" si="2"/>
        <v>8675.7999999999993</v>
      </c>
      <c r="M21" s="3">
        <f t="shared" si="2"/>
        <v>8675.7999999999993</v>
      </c>
      <c r="N21" s="3">
        <f t="shared" si="2"/>
        <v>8675.7999999999993</v>
      </c>
      <c r="O21" s="3">
        <f t="shared" si="2"/>
        <v>8675.7999999999993</v>
      </c>
      <c r="P21" s="3">
        <f t="shared" si="2"/>
        <v>8675.7999999999993</v>
      </c>
      <c r="Q21" s="3">
        <f t="shared" si="2"/>
        <v>8675.7999999999993</v>
      </c>
      <c r="R21" s="3">
        <f t="shared" si="2"/>
        <v>8675.7999999999993</v>
      </c>
      <c r="S21" s="3">
        <f t="shared" si="2"/>
        <v>8675.7999999999993</v>
      </c>
      <c r="T21" s="3">
        <f t="shared" si="2"/>
        <v>8675.7999999999993</v>
      </c>
      <c r="U21" s="3">
        <f t="shared" si="3"/>
        <v>8675.7999999999993</v>
      </c>
      <c r="V21" s="3">
        <f t="shared" si="3"/>
        <v>8675.7999999999993</v>
      </c>
      <c r="W21" s="3">
        <f t="shared" si="3"/>
        <v>8675.7999999999993</v>
      </c>
      <c r="X21" s="3">
        <f t="shared" si="3"/>
        <v>8675.7999999999993</v>
      </c>
      <c r="Y21" s="3">
        <f t="shared" si="3"/>
        <v>8675.7999999999993</v>
      </c>
      <c r="Z21" s="3">
        <f t="shared" si="3"/>
        <v>8675.7999999999993</v>
      </c>
      <c r="AA21" s="6">
        <f t="shared" si="3"/>
        <v>8675.7999999999993</v>
      </c>
      <c r="AB21" s="134">
        <f t="shared" si="1"/>
        <v>208219.19999999992</v>
      </c>
      <c r="AC21" s="134">
        <v>0</v>
      </c>
      <c r="AD21" s="135"/>
      <c r="AE21" s="27"/>
    </row>
    <row r="22" spans="2:31">
      <c r="B22" s="124">
        <v>46508</v>
      </c>
      <c r="C22" s="125" t="s">
        <v>5</v>
      </c>
      <c r="D22" s="2">
        <f t="shared" si="4"/>
        <v>8675.7999999999993</v>
      </c>
      <c r="E22" s="2">
        <f t="shared" si="2"/>
        <v>8675.7999999999993</v>
      </c>
      <c r="F22" s="2">
        <f t="shared" si="2"/>
        <v>8675.7999999999993</v>
      </c>
      <c r="G22" s="2">
        <f t="shared" si="2"/>
        <v>8675.7999999999993</v>
      </c>
      <c r="H22" s="2">
        <f t="shared" si="2"/>
        <v>8675.7999999999993</v>
      </c>
      <c r="I22" s="2">
        <f t="shared" si="2"/>
        <v>8675.7999999999993</v>
      </c>
      <c r="J22" s="2">
        <f t="shared" si="2"/>
        <v>8675.7999999999993</v>
      </c>
      <c r="K22" s="2">
        <f t="shared" si="2"/>
        <v>8675.7999999999993</v>
      </c>
      <c r="L22" s="2">
        <f t="shared" si="2"/>
        <v>8675.7999999999993</v>
      </c>
      <c r="M22" s="2">
        <f t="shared" si="2"/>
        <v>8675.7999999999993</v>
      </c>
      <c r="N22" s="2">
        <f t="shared" si="2"/>
        <v>8675.7999999999993</v>
      </c>
      <c r="O22" s="2">
        <f t="shared" si="2"/>
        <v>8675.7999999999993</v>
      </c>
      <c r="P22" s="2">
        <f t="shared" si="2"/>
        <v>8675.7999999999993</v>
      </c>
      <c r="Q22" s="2">
        <f t="shared" si="2"/>
        <v>8675.7999999999993</v>
      </c>
      <c r="R22" s="2">
        <f t="shared" si="2"/>
        <v>8675.7999999999993</v>
      </c>
      <c r="S22" s="2">
        <f t="shared" si="2"/>
        <v>8675.7999999999993</v>
      </c>
      <c r="T22" s="2">
        <f t="shared" ref="T22:AA37" si="5">+$D$6</f>
        <v>8675.7999999999993</v>
      </c>
      <c r="U22" s="2">
        <f t="shared" si="3"/>
        <v>8675.7999999999993</v>
      </c>
      <c r="V22" s="2">
        <f t="shared" si="3"/>
        <v>8675.7999999999993</v>
      </c>
      <c r="W22" s="2">
        <f t="shared" si="3"/>
        <v>8675.7999999999993</v>
      </c>
      <c r="X22" s="2">
        <f t="shared" si="3"/>
        <v>8675.7999999999993</v>
      </c>
      <c r="Y22" s="2">
        <f t="shared" si="3"/>
        <v>8675.7999999999993</v>
      </c>
      <c r="Z22" s="2">
        <f t="shared" si="3"/>
        <v>8675.7999999999993</v>
      </c>
      <c r="AA22" s="4">
        <f t="shared" si="3"/>
        <v>8675.7999999999993</v>
      </c>
      <c r="AB22" s="126">
        <f t="shared" si="1"/>
        <v>208219.19999999992</v>
      </c>
      <c r="AC22" s="126">
        <v>19</v>
      </c>
      <c r="AD22" s="127">
        <f>(AB22*AC22)+(AB23*AC23)+(AB24*AC24)+(AB25*AC25)</f>
        <v>6454795.1999999974</v>
      </c>
      <c r="AE22" s="27"/>
    </row>
    <row r="23" spans="2:31">
      <c r="B23" s="128"/>
      <c r="C23" s="129" t="s">
        <v>6</v>
      </c>
      <c r="D23" s="1">
        <f t="shared" si="4"/>
        <v>8675.7999999999993</v>
      </c>
      <c r="E23" s="1">
        <f t="shared" si="4"/>
        <v>8675.7999999999993</v>
      </c>
      <c r="F23" s="1">
        <f t="shared" si="4"/>
        <v>8675.7999999999993</v>
      </c>
      <c r="G23" s="1">
        <f t="shared" si="4"/>
        <v>8675.7999999999993</v>
      </c>
      <c r="H23" s="1">
        <f t="shared" si="4"/>
        <v>8675.7999999999993</v>
      </c>
      <c r="I23" s="1">
        <f t="shared" si="4"/>
        <v>8675.7999999999993</v>
      </c>
      <c r="J23" s="1">
        <f t="shared" si="4"/>
        <v>8675.7999999999993</v>
      </c>
      <c r="K23" s="1">
        <f t="shared" si="4"/>
        <v>8675.7999999999993</v>
      </c>
      <c r="L23" s="1">
        <f t="shared" si="4"/>
        <v>8675.7999999999993</v>
      </c>
      <c r="M23" s="1">
        <f t="shared" si="4"/>
        <v>8675.7999999999993</v>
      </c>
      <c r="N23" s="1">
        <f t="shared" si="4"/>
        <v>8675.7999999999993</v>
      </c>
      <c r="O23" s="1">
        <f t="shared" si="4"/>
        <v>8675.7999999999993</v>
      </c>
      <c r="P23" s="1">
        <f t="shared" si="4"/>
        <v>8675.7999999999993</v>
      </c>
      <c r="Q23" s="1">
        <f t="shared" si="4"/>
        <v>8675.7999999999993</v>
      </c>
      <c r="R23" s="1">
        <f t="shared" si="4"/>
        <v>8675.7999999999993</v>
      </c>
      <c r="S23" s="1">
        <f t="shared" si="4"/>
        <v>8675.7999999999993</v>
      </c>
      <c r="T23" s="1">
        <f t="shared" si="5"/>
        <v>8675.7999999999993</v>
      </c>
      <c r="U23" s="1">
        <f t="shared" si="5"/>
        <v>8675.7999999999993</v>
      </c>
      <c r="V23" s="1">
        <f t="shared" si="5"/>
        <v>8675.7999999999993</v>
      </c>
      <c r="W23" s="1">
        <f t="shared" si="5"/>
        <v>8675.7999999999993</v>
      </c>
      <c r="X23" s="1">
        <f t="shared" si="5"/>
        <v>8675.7999999999993</v>
      </c>
      <c r="Y23" s="1">
        <f t="shared" si="5"/>
        <v>8675.7999999999993</v>
      </c>
      <c r="Z23" s="1">
        <f t="shared" si="5"/>
        <v>8675.7999999999993</v>
      </c>
      <c r="AA23" s="5">
        <f t="shared" si="5"/>
        <v>8675.7999999999993</v>
      </c>
      <c r="AB23" s="130">
        <f t="shared" si="1"/>
        <v>208219.19999999992</v>
      </c>
      <c r="AC23" s="130">
        <v>4</v>
      </c>
      <c r="AD23" s="131"/>
      <c r="AE23" s="27"/>
    </row>
    <row r="24" spans="2:31">
      <c r="B24" s="128"/>
      <c r="C24" s="129" t="s">
        <v>7</v>
      </c>
      <c r="D24" s="1">
        <f t="shared" ref="D24:S39" si="6">+$D$6</f>
        <v>8675.7999999999993</v>
      </c>
      <c r="E24" s="1">
        <f t="shared" si="6"/>
        <v>8675.7999999999993</v>
      </c>
      <c r="F24" s="1">
        <f t="shared" si="6"/>
        <v>8675.7999999999993</v>
      </c>
      <c r="G24" s="1">
        <f t="shared" si="6"/>
        <v>8675.7999999999993</v>
      </c>
      <c r="H24" s="1">
        <f t="shared" si="6"/>
        <v>8675.7999999999993</v>
      </c>
      <c r="I24" s="1">
        <f t="shared" si="6"/>
        <v>8675.7999999999993</v>
      </c>
      <c r="J24" s="1">
        <f t="shared" si="6"/>
        <v>8675.7999999999993</v>
      </c>
      <c r="K24" s="1">
        <f t="shared" si="6"/>
        <v>8675.7999999999993</v>
      </c>
      <c r="L24" s="1">
        <f t="shared" si="6"/>
        <v>8675.7999999999993</v>
      </c>
      <c r="M24" s="1">
        <f t="shared" si="6"/>
        <v>8675.7999999999993</v>
      </c>
      <c r="N24" s="1">
        <f t="shared" si="6"/>
        <v>8675.7999999999993</v>
      </c>
      <c r="O24" s="1">
        <f t="shared" si="6"/>
        <v>8675.7999999999993</v>
      </c>
      <c r="P24" s="1">
        <f t="shared" si="6"/>
        <v>8675.7999999999993</v>
      </c>
      <c r="Q24" s="1">
        <f t="shared" si="6"/>
        <v>8675.7999999999993</v>
      </c>
      <c r="R24" s="1">
        <f t="shared" si="6"/>
        <v>8675.7999999999993</v>
      </c>
      <c r="S24" s="1">
        <f t="shared" si="6"/>
        <v>8675.7999999999993</v>
      </c>
      <c r="T24" s="1">
        <f t="shared" si="5"/>
        <v>8675.7999999999993</v>
      </c>
      <c r="U24" s="1">
        <f t="shared" si="5"/>
        <v>8675.7999999999993</v>
      </c>
      <c r="V24" s="1">
        <f t="shared" si="5"/>
        <v>8675.7999999999993</v>
      </c>
      <c r="W24" s="1">
        <f t="shared" si="5"/>
        <v>8675.7999999999993</v>
      </c>
      <c r="X24" s="1">
        <f t="shared" si="5"/>
        <v>8675.7999999999993</v>
      </c>
      <c r="Y24" s="1">
        <f t="shared" si="5"/>
        <v>8675.7999999999993</v>
      </c>
      <c r="Z24" s="1">
        <f t="shared" si="5"/>
        <v>8675.7999999999993</v>
      </c>
      <c r="AA24" s="5">
        <f t="shared" si="5"/>
        <v>8675.7999999999993</v>
      </c>
      <c r="AB24" s="130">
        <f t="shared" si="1"/>
        <v>208219.19999999992</v>
      </c>
      <c r="AC24" s="130">
        <v>5</v>
      </c>
      <c r="AD24" s="131"/>
      <c r="AE24" s="27"/>
    </row>
    <row r="25" spans="2:31" ht="15" thickBot="1">
      <c r="B25" s="132"/>
      <c r="C25" s="133" t="s">
        <v>8</v>
      </c>
      <c r="D25" s="3">
        <f t="shared" si="6"/>
        <v>8675.7999999999993</v>
      </c>
      <c r="E25" s="3">
        <f t="shared" si="6"/>
        <v>8675.7999999999993</v>
      </c>
      <c r="F25" s="3">
        <f t="shared" si="6"/>
        <v>8675.7999999999993</v>
      </c>
      <c r="G25" s="3">
        <f t="shared" si="6"/>
        <v>8675.7999999999993</v>
      </c>
      <c r="H25" s="3">
        <f t="shared" si="6"/>
        <v>8675.7999999999993</v>
      </c>
      <c r="I25" s="3">
        <f t="shared" si="6"/>
        <v>8675.7999999999993</v>
      </c>
      <c r="J25" s="3">
        <f t="shared" si="6"/>
        <v>8675.7999999999993</v>
      </c>
      <c r="K25" s="3">
        <f t="shared" si="6"/>
        <v>8675.7999999999993</v>
      </c>
      <c r="L25" s="3">
        <f t="shared" si="6"/>
        <v>8675.7999999999993</v>
      </c>
      <c r="M25" s="3">
        <f t="shared" si="6"/>
        <v>8675.7999999999993</v>
      </c>
      <c r="N25" s="3">
        <f t="shared" si="6"/>
        <v>8675.7999999999993</v>
      </c>
      <c r="O25" s="3">
        <f t="shared" si="6"/>
        <v>8675.7999999999993</v>
      </c>
      <c r="P25" s="3">
        <f t="shared" si="6"/>
        <v>8675.7999999999993</v>
      </c>
      <c r="Q25" s="3">
        <f t="shared" si="6"/>
        <v>8675.7999999999993</v>
      </c>
      <c r="R25" s="3">
        <f t="shared" si="6"/>
        <v>8675.7999999999993</v>
      </c>
      <c r="S25" s="3">
        <f t="shared" si="6"/>
        <v>8675.7999999999993</v>
      </c>
      <c r="T25" s="3">
        <f t="shared" si="5"/>
        <v>8675.7999999999993</v>
      </c>
      <c r="U25" s="3">
        <f t="shared" si="5"/>
        <v>8675.7999999999993</v>
      </c>
      <c r="V25" s="3">
        <f t="shared" si="5"/>
        <v>8675.7999999999993</v>
      </c>
      <c r="W25" s="3">
        <f t="shared" si="5"/>
        <v>8675.7999999999993</v>
      </c>
      <c r="X25" s="3">
        <f t="shared" si="5"/>
        <v>8675.7999999999993</v>
      </c>
      <c r="Y25" s="3">
        <f t="shared" si="5"/>
        <v>8675.7999999999993</v>
      </c>
      <c r="Z25" s="3">
        <f t="shared" si="5"/>
        <v>8675.7999999999993</v>
      </c>
      <c r="AA25" s="6">
        <f t="shared" si="5"/>
        <v>8675.7999999999993</v>
      </c>
      <c r="AB25" s="134">
        <f t="shared" si="1"/>
        <v>208219.19999999992</v>
      </c>
      <c r="AC25" s="134">
        <v>3</v>
      </c>
      <c r="AD25" s="135"/>
      <c r="AE25" s="27"/>
    </row>
    <row r="26" spans="2:31">
      <c r="B26" s="124">
        <v>46539</v>
      </c>
      <c r="C26" s="125" t="s">
        <v>5</v>
      </c>
      <c r="D26" s="2">
        <f t="shared" si="6"/>
        <v>8675.7999999999993</v>
      </c>
      <c r="E26" s="2">
        <f t="shared" si="6"/>
        <v>8675.7999999999993</v>
      </c>
      <c r="F26" s="2">
        <f t="shared" si="6"/>
        <v>8675.7999999999993</v>
      </c>
      <c r="G26" s="2">
        <f t="shared" si="6"/>
        <v>8675.7999999999993</v>
      </c>
      <c r="H26" s="2">
        <f t="shared" si="6"/>
        <v>8675.7999999999993</v>
      </c>
      <c r="I26" s="2">
        <f t="shared" si="6"/>
        <v>8675.7999999999993</v>
      </c>
      <c r="J26" s="2">
        <f t="shared" si="6"/>
        <v>8675.7999999999993</v>
      </c>
      <c r="K26" s="2">
        <f t="shared" si="6"/>
        <v>8675.7999999999993</v>
      </c>
      <c r="L26" s="2">
        <f t="shared" si="6"/>
        <v>8675.7999999999993</v>
      </c>
      <c r="M26" s="2">
        <f t="shared" si="6"/>
        <v>8675.7999999999993</v>
      </c>
      <c r="N26" s="2">
        <f t="shared" si="6"/>
        <v>8675.7999999999993</v>
      </c>
      <c r="O26" s="2">
        <f t="shared" si="6"/>
        <v>8675.7999999999993</v>
      </c>
      <c r="P26" s="2">
        <f t="shared" si="6"/>
        <v>8675.7999999999993</v>
      </c>
      <c r="Q26" s="2">
        <f t="shared" si="6"/>
        <v>8675.7999999999993</v>
      </c>
      <c r="R26" s="2">
        <f t="shared" si="6"/>
        <v>8675.7999999999993</v>
      </c>
      <c r="S26" s="2">
        <f t="shared" si="6"/>
        <v>8675.7999999999993</v>
      </c>
      <c r="T26" s="2">
        <f t="shared" si="5"/>
        <v>8675.7999999999993</v>
      </c>
      <c r="U26" s="2">
        <f t="shared" si="5"/>
        <v>8675.7999999999993</v>
      </c>
      <c r="V26" s="2">
        <f t="shared" si="5"/>
        <v>8675.7999999999993</v>
      </c>
      <c r="W26" s="2">
        <f t="shared" si="5"/>
        <v>8675.7999999999993</v>
      </c>
      <c r="X26" s="2">
        <f t="shared" si="5"/>
        <v>8675.7999999999993</v>
      </c>
      <c r="Y26" s="2">
        <f t="shared" si="5"/>
        <v>8675.7999999999993</v>
      </c>
      <c r="Z26" s="2">
        <f t="shared" si="5"/>
        <v>8675.7999999999993</v>
      </c>
      <c r="AA26" s="4">
        <f t="shared" si="5"/>
        <v>8675.7999999999993</v>
      </c>
      <c r="AB26" s="126">
        <f t="shared" si="1"/>
        <v>208219.19999999992</v>
      </c>
      <c r="AC26" s="126">
        <v>21</v>
      </c>
      <c r="AD26" s="127">
        <f>(AB26*AC26)+(AB27*AC27)+(AB28*AC28)+(AB29*AC29)</f>
        <v>6246575.9999999981</v>
      </c>
      <c r="AE26" s="27"/>
    </row>
    <row r="27" spans="2:31">
      <c r="B27" s="128"/>
      <c r="C27" s="129" t="s">
        <v>6</v>
      </c>
      <c r="D27" s="1">
        <f t="shared" si="6"/>
        <v>8675.7999999999993</v>
      </c>
      <c r="E27" s="1">
        <f t="shared" si="6"/>
        <v>8675.7999999999993</v>
      </c>
      <c r="F27" s="1">
        <f t="shared" si="6"/>
        <v>8675.7999999999993</v>
      </c>
      <c r="G27" s="1">
        <f t="shared" si="6"/>
        <v>8675.7999999999993</v>
      </c>
      <c r="H27" s="1">
        <f t="shared" si="6"/>
        <v>8675.7999999999993</v>
      </c>
      <c r="I27" s="1">
        <f t="shared" si="6"/>
        <v>8675.7999999999993</v>
      </c>
      <c r="J27" s="1">
        <f t="shared" si="6"/>
        <v>8675.7999999999993</v>
      </c>
      <c r="K27" s="1">
        <f t="shared" si="6"/>
        <v>8675.7999999999993</v>
      </c>
      <c r="L27" s="1">
        <f t="shared" si="6"/>
        <v>8675.7999999999993</v>
      </c>
      <c r="M27" s="1">
        <f t="shared" si="6"/>
        <v>8675.7999999999993</v>
      </c>
      <c r="N27" s="1">
        <f t="shared" si="6"/>
        <v>8675.7999999999993</v>
      </c>
      <c r="O27" s="1">
        <f t="shared" si="6"/>
        <v>8675.7999999999993</v>
      </c>
      <c r="P27" s="1">
        <f t="shared" si="6"/>
        <v>8675.7999999999993</v>
      </c>
      <c r="Q27" s="1">
        <f t="shared" si="6"/>
        <v>8675.7999999999993</v>
      </c>
      <c r="R27" s="1">
        <f t="shared" si="6"/>
        <v>8675.7999999999993</v>
      </c>
      <c r="S27" s="1">
        <f t="shared" si="6"/>
        <v>8675.7999999999993</v>
      </c>
      <c r="T27" s="1">
        <f t="shared" si="5"/>
        <v>8675.7999999999993</v>
      </c>
      <c r="U27" s="1">
        <f t="shared" si="5"/>
        <v>8675.7999999999993</v>
      </c>
      <c r="V27" s="1">
        <f t="shared" si="5"/>
        <v>8675.7999999999993</v>
      </c>
      <c r="W27" s="1">
        <f t="shared" si="5"/>
        <v>8675.7999999999993</v>
      </c>
      <c r="X27" s="1">
        <f t="shared" si="5"/>
        <v>8675.7999999999993</v>
      </c>
      <c r="Y27" s="1">
        <f t="shared" si="5"/>
        <v>8675.7999999999993</v>
      </c>
      <c r="Z27" s="1">
        <f t="shared" si="5"/>
        <v>8675.7999999999993</v>
      </c>
      <c r="AA27" s="5">
        <f t="shared" si="5"/>
        <v>8675.7999999999993</v>
      </c>
      <c r="AB27" s="130">
        <f t="shared" si="1"/>
        <v>208219.19999999992</v>
      </c>
      <c r="AC27" s="130">
        <v>4</v>
      </c>
      <c r="AD27" s="131"/>
      <c r="AE27" s="27"/>
    </row>
    <row r="28" spans="2:31">
      <c r="B28" s="128"/>
      <c r="C28" s="129" t="s">
        <v>7</v>
      </c>
      <c r="D28" s="1">
        <f t="shared" si="6"/>
        <v>8675.7999999999993</v>
      </c>
      <c r="E28" s="1">
        <f t="shared" si="6"/>
        <v>8675.7999999999993</v>
      </c>
      <c r="F28" s="1">
        <f t="shared" si="6"/>
        <v>8675.7999999999993</v>
      </c>
      <c r="G28" s="1">
        <f t="shared" si="6"/>
        <v>8675.7999999999993</v>
      </c>
      <c r="H28" s="1">
        <f t="shared" si="6"/>
        <v>8675.7999999999993</v>
      </c>
      <c r="I28" s="1">
        <f t="shared" si="6"/>
        <v>8675.7999999999993</v>
      </c>
      <c r="J28" s="1">
        <f t="shared" si="6"/>
        <v>8675.7999999999993</v>
      </c>
      <c r="K28" s="1">
        <f t="shared" si="6"/>
        <v>8675.7999999999993</v>
      </c>
      <c r="L28" s="1">
        <f t="shared" si="6"/>
        <v>8675.7999999999993</v>
      </c>
      <c r="M28" s="1">
        <f t="shared" si="6"/>
        <v>8675.7999999999993</v>
      </c>
      <c r="N28" s="1">
        <f t="shared" si="6"/>
        <v>8675.7999999999993</v>
      </c>
      <c r="O28" s="1">
        <f t="shared" si="6"/>
        <v>8675.7999999999993</v>
      </c>
      <c r="P28" s="1">
        <f t="shared" si="6"/>
        <v>8675.7999999999993</v>
      </c>
      <c r="Q28" s="1">
        <f t="shared" si="6"/>
        <v>8675.7999999999993</v>
      </c>
      <c r="R28" s="1">
        <f t="shared" si="6"/>
        <v>8675.7999999999993</v>
      </c>
      <c r="S28" s="1">
        <f t="shared" si="6"/>
        <v>8675.7999999999993</v>
      </c>
      <c r="T28" s="1">
        <f t="shared" si="5"/>
        <v>8675.7999999999993</v>
      </c>
      <c r="U28" s="1">
        <f t="shared" si="5"/>
        <v>8675.7999999999993</v>
      </c>
      <c r="V28" s="1">
        <f t="shared" si="5"/>
        <v>8675.7999999999993</v>
      </c>
      <c r="W28" s="1">
        <f t="shared" si="5"/>
        <v>8675.7999999999993</v>
      </c>
      <c r="X28" s="1">
        <f t="shared" si="5"/>
        <v>8675.7999999999993</v>
      </c>
      <c r="Y28" s="1">
        <f t="shared" si="5"/>
        <v>8675.7999999999993</v>
      </c>
      <c r="Z28" s="1">
        <f t="shared" si="5"/>
        <v>8675.7999999999993</v>
      </c>
      <c r="AA28" s="5">
        <f t="shared" si="5"/>
        <v>8675.7999999999993</v>
      </c>
      <c r="AB28" s="130">
        <f t="shared" si="1"/>
        <v>208219.19999999992</v>
      </c>
      <c r="AC28" s="130">
        <v>4</v>
      </c>
      <c r="AD28" s="131"/>
      <c r="AE28" s="27"/>
    </row>
    <row r="29" spans="2:31" ht="15" thickBot="1">
      <c r="B29" s="132"/>
      <c r="C29" s="133" t="s">
        <v>8</v>
      </c>
      <c r="D29" s="3">
        <f t="shared" si="6"/>
        <v>8675.7999999999993</v>
      </c>
      <c r="E29" s="3">
        <f t="shared" si="6"/>
        <v>8675.7999999999993</v>
      </c>
      <c r="F29" s="3">
        <f t="shared" si="6"/>
        <v>8675.7999999999993</v>
      </c>
      <c r="G29" s="3">
        <f t="shared" si="6"/>
        <v>8675.7999999999993</v>
      </c>
      <c r="H29" s="3">
        <f t="shared" si="6"/>
        <v>8675.7999999999993</v>
      </c>
      <c r="I29" s="3">
        <f t="shared" si="6"/>
        <v>8675.7999999999993</v>
      </c>
      <c r="J29" s="3">
        <f t="shared" si="6"/>
        <v>8675.7999999999993</v>
      </c>
      <c r="K29" s="3">
        <f t="shared" si="6"/>
        <v>8675.7999999999993</v>
      </c>
      <c r="L29" s="3">
        <f t="shared" si="6"/>
        <v>8675.7999999999993</v>
      </c>
      <c r="M29" s="3">
        <f t="shared" si="6"/>
        <v>8675.7999999999993</v>
      </c>
      <c r="N29" s="3">
        <f t="shared" si="6"/>
        <v>8675.7999999999993</v>
      </c>
      <c r="O29" s="3">
        <f t="shared" si="6"/>
        <v>8675.7999999999993</v>
      </c>
      <c r="P29" s="3">
        <f t="shared" si="6"/>
        <v>8675.7999999999993</v>
      </c>
      <c r="Q29" s="3">
        <f t="shared" si="6"/>
        <v>8675.7999999999993</v>
      </c>
      <c r="R29" s="3">
        <f t="shared" si="6"/>
        <v>8675.7999999999993</v>
      </c>
      <c r="S29" s="3">
        <f t="shared" si="6"/>
        <v>8675.7999999999993</v>
      </c>
      <c r="T29" s="3">
        <f t="shared" si="5"/>
        <v>8675.7999999999993</v>
      </c>
      <c r="U29" s="3">
        <f t="shared" si="5"/>
        <v>8675.7999999999993</v>
      </c>
      <c r="V29" s="3">
        <f t="shared" si="5"/>
        <v>8675.7999999999993</v>
      </c>
      <c r="W29" s="3">
        <f t="shared" si="5"/>
        <v>8675.7999999999993</v>
      </c>
      <c r="X29" s="3">
        <f t="shared" si="5"/>
        <v>8675.7999999999993</v>
      </c>
      <c r="Y29" s="3">
        <f t="shared" si="5"/>
        <v>8675.7999999999993</v>
      </c>
      <c r="Z29" s="3">
        <f t="shared" si="5"/>
        <v>8675.7999999999993</v>
      </c>
      <c r="AA29" s="6">
        <f t="shared" si="5"/>
        <v>8675.7999999999993</v>
      </c>
      <c r="AB29" s="134">
        <f t="shared" si="1"/>
        <v>208219.19999999992</v>
      </c>
      <c r="AC29" s="134">
        <v>1</v>
      </c>
      <c r="AD29" s="135"/>
      <c r="AE29" s="27"/>
    </row>
    <row r="30" spans="2:31">
      <c r="B30" s="124">
        <v>46569</v>
      </c>
      <c r="C30" s="125" t="s">
        <v>5</v>
      </c>
      <c r="D30" s="2">
        <f t="shared" si="6"/>
        <v>8675.7999999999993</v>
      </c>
      <c r="E30" s="2">
        <f t="shared" si="6"/>
        <v>8675.7999999999993</v>
      </c>
      <c r="F30" s="2">
        <f t="shared" si="6"/>
        <v>8675.7999999999993</v>
      </c>
      <c r="G30" s="2">
        <f t="shared" si="6"/>
        <v>8675.7999999999993</v>
      </c>
      <c r="H30" s="2">
        <f t="shared" si="6"/>
        <v>8675.7999999999993</v>
      </c>
      <c r="I30" s="2">
        <f t="shared" si="6"/>
        <v>8675.7999999999993</v>
      </c>
      <c r="J30" s="2">
        <f t="shared" si="6"/>
        <v>8675.7999999999993</v>
      </c>
      <c r="K30" s="2">
        <f t="shared" si="6"/>
        <v>8675.7999999999993</v>
      </c>
      <c r="L30" s="2">
        <f t="shared" si="6"/>
        <v>8675.7999999999993</v>
      </c>
      <c r="M30" s="2">
        <f t="shared" si="6"/>
        <v>8675.7999999999993</v>
      </c>
      <c r="N30" s="2">
        <f t="shared" si="6"/>
        <v>8675.7999999999993</v>
      </c>
      <c r="O30" s="2">
        <f t="shared" si="6"/>
        <v>8675.7999999999993</v>
      </c>
      <c r="P30" s="2">
        <f t="shared" si="6"/>
        <v>8675.7999999999993</v>
      </c>
      <c r="Q30" s="2">
        <f t="shared" si="6"/>
        <v>8675.7999999999993</v>
      </c>
      <c r="R30" s="2">
        <f t="shared" si="6"/>
        <v>8675.7999999999993</v>
      </c>
      <c r="S30" s="2">
        <f t="shared" si="6"/>
        <v>8675.7999999999993</v>
      </c>
      <c r="T30" s="2">
        <f t="shared" si="5"/>
        <v>8675.7999999999993</v>
      </c>
      <c r="U30" s="2">
        <f t="shared" si="5"/>
        <v>8675.7999999999993</v>
      </c>
      <c r="V30" s="2">
        <f t="shared" si="5"/>
        <v>8675.7999999999993</v>
      </c>
      <c r="W30" s="2">
        <f t="shared" si="5"/>
        <v>8675.7999999999993</v>
      </c>
      <c r="X30" s="2">
        <f t="shared" si="5"/>
        <v>8675.7999999999993</v>
      </c>
      <c r="Y30" s="2">
        <f t="shared" si="5"/>
        <v>8675.7999999999993</v>
      </c>
      <c r="Z30" s="2">
        <f t="shared" si="5"/>
        <v>8675.7999999999993</v>
      </c>
      <c r="AA30" s="4">
        <f t="shared" si="5"/>
        <v>8675.7999999999993</v>
      </c>
      <c r="AB30" s="126">
        <f t="shared" si="1"/>
        <v>208219.19999999992</v>
      </c>
      <c r="AC30" s="126">
        <v>20</v>
      </c>
      <c r="AD30" s="127">
        <f>(AB30*AC30)+(AB31*AC31)+(AB32*AC32)+(AB33*AC33)</f>
        <v>6454795.1999999974</v>
      </c>
      <c r="AE30" s="27"/>
    </row>
    <row r="31" spans="2:31">
      <c r="B31" s="128"/>
      <c r="C31" s="129" t="s">
        <v>6</v>
      </c>
      <c r="D31" s="1">
        <f t="shared" si="6"/>
        <v>8675.7999999999993</v>
      </c>
      <c r="E31" s="1">
        <f t="shared" si="6"/>
        <v>8675.7999999999993</v>
      </c>
      <c r="F31" s="1">
        <f t="shared" si="6"/>
        <v>8675.7999999999993</v>
      </c>
      <c r="G31" s="1">
        <f t="shared" si="6"/>
        <v>8675.7999999999993</v>
      </c>
      <c r="H31" s="1">
        <f t="shared" si="6"/>
        <v>8675.7999999999993</v>
      </c>
      <c r="I31" s="1">
        <f t="shared" si="6"/>
        <v>8675.7999999999993</v>
      </c>
      <c r="J31" s="1">
        <f t="shared" si="6"/>
        <v>8675.7999999999993</v>
      </c>
      <c r="K31" s="1">
        <f t="shared" si="6"/>
        <v>8675.7999999999993</v>
      </c>
      <c r="L31" s="1">
        <f t="shared" si="6"/>
        <v>8675.7999999999993</v>
      </c>
      <c r="M31" s="1">
        <f t="shared" si="6"/>
        <v>8675.7999999999993</v>
      </c>
      <c r="N31" s="1">
        <f t="shared" si="6"/>
        <v>8675.7999999999993</v>
      </c>
      <c r="O31" s="1">
        <f t="shared" si="6"/>
        <v>8675.7999999999993</v>
      </c>
      <c r="P31" s="1">
        <f t="shared" si="6"/>
        <v>8675.7999999999993</v>
      </c>
      <c r="Q31" s="1">
        <f t="shared" si="6"/>
        <v>8675.7999999999993</v>
      </c>
      <c r="R31" s="1">
        <f t="shared" si="6"/>
        <v>8675.7999999999993</v>
      </c>
      <c r="S31" s="1">
        <f t="shared" si="6"/>
        <v>8675.7999999999993</v>
      </c>
      <c r="T31" s="1">
        <f t="shared" si="5"/>
        <v>8675.7999999999993</v>
      </c>
      <c r="U31" s="1">
        <f t="shared" si="5"/>
        <v>8675.7999999999993</v>
      </c>
      <c r="V31" s="1">
        <f t="shared" si="5"/>
        <v>8675.7999999999993</v>
      </c>
      <c r="W31" s="1">
        <f t="shared" si="5"/>
        <v>8675.7999999999993</v>
      </c>
      <c r="X31" s="1">
        <f t="shared" si="5"/>
        <v>8675.7999999999993</v>
      </c>
      <c r="Y31" s="1">
        <f t="shared" si="5"/>
        <v>8675.7999999999993</v>
      </c>
      <c r="Z31" s="1">
        <f t="shared" si="5"/>
        <v>8675.7999999999993</v>
      </c>
      <c r="AA31" s="5">
        <f t="shared" si="5"/>
        <v>8675.7999999999993</v>
      </c>
      <c r="AB31" s="130">
        <f t="shared" si="1"/>
        <v>208219.19999999992</v>
      </c>
      <c r="AC31" s="130">
        <v>5</v>
      </c>
      <c r="AD31" s="131"/>
      <c r="AE31" s="27"/>
    </row>
    <row r="32" spans="2:31">
      <c r="B32" s="128"/>
      <c r="C32" s="129" t="s">
        <v>4</v>
      </c>
      <c r="D32" s="1">
        <f t="shared" si="6"/>
        <v>8675.7999999999993</v>
      </c>
      <c r="E32" s="1">
        <f t="shared" si="6"/>
        <v>8675.7999999999993</v>
      </c>
      <c r="F32" s="1">
        <f t="shared" si="6"/>
        <v>8675.7999999999993</v>
      </c>
      <c r="G32" s="1">
        <f t="shared" si="6"/>
        <v>8675.7999999999993</v>
      </c>
      <c r="H32" s="1">
        <f t="shared" si="6"/>
        <v>8675.7999999999993</v>
      </c>
      <c r="I32" s="1">
        <f t="shared" si="6"/>
        <v>8675.7999999999993</v>
      </c>
      <c r="J32" s="1">
        <f t="shared" si="6"/>
        <v>8675.7999999999993</v>
      </c>
      <c r="K32" s="1">
        <f t="shared" si="6"/>
        <v>8675.7999999999993</v>
      </c>
      <c r="L32" s="1">
        <f t="shared" si="6"/>
        <v>8675.7999999999993</v>
      </c>
      <c r="M32" s="1">
        <f t="shared" si="6"/>
        <v>8675.7999999999993</v>
      </c>
      <c r="N32" s="1">
        <f t="shared" si="6"/>
        <v>8675.7999999999993</v>
      </c>
      <c r="O32" s="1">
        <f t="shared" si="6"/>
        <v>8675.7999999999993</v>
      </c>
      <c r="P32" s="1">
        <f t="shared" si="6"/>
        <v>8675.7999999999993</v>
      </c>
      <c r="Q32" s="1">
        <f t="shared" si="6"/>
        <v>8675.7999999999993</v>
      </c>
      <c r="R32" s="1">
        <f t="shared" si="6"/>
        <v>8675.7999999999993</v>
      </c>
      <c r="S32" s="1">
        <f t="shared" si="6"/>
        <v>8675.7999999999993</v>
      </c>
      <c r="T32" s="1">
        <f t="shared" si="5"/>
        <v>8675.7999999999993</v>
      </c>
      <c r="U32" s="1">
        <f t="shared" si="5"/>
        <v>8675.7999999999993</v>
      </c>
      <c r="V32" s="1">
        <f t="shared" si="5"/>
        <v>8675.7999999999993</v>
      </c>
      <c r="W32" s="1">
        <f t="shared" si="5"/>
        <v>8675.7999999999993</v>
      </c>
      <c r="X32" s="1">
        <f t="shared" si="5"/>
        <v>8675.7999999999993</v>
      </c>
      <c r="Y32" s="1">
        <f t="shared" si="5"/>
        <v>8675.7999999999993</v>
      </c>
      <c r="Z32" s="1">
        <f t="shared" si="5"/>
        <v>8675.7999999999993</v>
      </c>
      <c r="AA32" s="5">
        <f t="shared" si="5"/>
        <v>8675.7999999999993</v>
      </c>
      <c r="AB32" s="130">
        <f t="shared" si="1"/>
        <v>208219.19999999992</v>
      </c>
      <c r="AC32" s="130">
        <v>4</v>
      </c>
      <c r="AD32" s="131"/>
      <c r="AE32" s="27"/>
    </row>
    <row r="33" spans="2:31" ht="15" thickBot="1">
      <c r="B33" s="132"/>
      <c r="C33" s="133" t="s">
        <v>8</v>
      </c>
      <c r="D33" s="3">
        <f t="shared" si="6"/>
        <v>8675.7999999999993</v>
      </c>
      <c r="E33" s="3">
        <f t="shared" si="6"/>
        <v>8675.7999999999993</v>
      </c>
      <c r="F33" s="3">
        <f t="shared" si="6"/>
        <v>8675.7999999999993</v>
      </c>
      <c r="G33" s="3">
        <f t="shared" si="6"/>
        <v>8675.7999999999993</v>
      </c>
      <c r="H33" s="3">
        <f t="shared" si="6"/>
        <v>8675.7999999999993</v>
      </c>
      <c r="I33" s="3">
        <f t="shared" si="6"/>
        <v>8675.7999999999993</v>
      </c>
      <c r="J33" s="3">
        <f t="shared" si="6"/>
        <v>8675.7999999999993</v>
      </c>
      <c r="K33" s="3">
        <f t="shared" si="6"/>
        <v>8675.7999999999993</v>
      </c>
      <c r="L33" s="3">
        <f t="shared" si="6"/>
        <v>8675.7999999999993</v>
      </c>
      <c r="M33" s="3">
        <f t="shared" si="6"/>
        <v>8675.7999999999993</v>
      </c>
      <c r="N33" s="3">
        <f t="shared" si="6"/>
        <v>8675.7999999999993</v>
      </c>
      <c r="O33" s="3">
        <f t="shared" si="6"/>
        <v>8675.7999999999993</v>
      </c>
      <c r="P33" s="3">
        <f t="shared" si="6"/>
        <v>8675.7999999999993</v>
      </c>
      <c r="Q33" s="3">
        <f t="shared" si="6"/>
        <v>8675.7999999999993</v>
      </c>
      <c r="R33" s="3">
        <f t="shared" si="6"/>
        <v>8675.7999999999993</v>
      </c>
      <c r="S33" s="3">
        <f t="shared" si="6"/>
        <v>8675.7999999999993</v>
      </c>
      <c r="T33" s="3">
        <f t="shared" si="5"/>
        <v>8675.7999999999993</v>
      </c>
      <c r="U33" s="3">
        <f t="shared" si="5"/>
        <v>8675.7999999999993</v>
      </c>
      <c r="V33" s="3">
        <f t="shared" si="5"/>
        <v>8675.7999999999993</v>
      </c>
      <c r="W33" s="3">
        <f t="shared" si="5"/>
        <v>8675.7999999999993</v>
      </c>
      <c r="X33" s="3">
        <f t="shared" si="5"/>
        <v>8675.7999999999993</v>
      </c>
      <c r="Y33" s="3">
        <f t="shared" si="5"/>
        <v>8675.7999999999993</v>
      </c>
      <c r="Z33" s="3">
        <f t="shared" si="5"/>
        <v>8675.7999999999993</v>
      </c>
      <c r="AA33" s="6">
        <f t="shared" si="5"/>
        <v>8675.7999999999993</v>
      </c>
      <c r="AB33" s="134">
        <f t="shared" si="1"/>
        <v>208219.19999999992</v>
      </c>
      <c r="AC33" s="134">
        <v>2</v>
      </c>
      <c r="AD33" s="135"/>
      <c r="AE33" s="27"/>
    </row>
    <row r="34" spans="2:31">
      <c r="B34" s="124">
        <v>46600</v>
      </c>
      <c r="C34" s="125" t="s">
        <v>5</v>
      </c>
      <c r="D34" s="2">
        <f t="shared" si="6"/>
        <v>8675.7999999999993</v>
      </c>
      <c r="E34" s="2">
        <f t="shared" si="6"/>
        <v>8675.7999999999993</v>
      </c>
      <c r="F34" s="2">
        <f t="shared" si="6"/>
        <v>8675.7999999999993</v>
      </c>
      <c r="G34" s="2">
        <f t="shared" si="6"/>
        <v>8675.7999999999993</v>
      </c>
      <c r="H34" s="2">
        <f t="shared" si="6"/>
        <v>8675.7999999999993</v>
      </c>
      <c r="I34" s="2">
        <f t="shared" si="6"/>
        <v>8675.7999999999993</v>
      </c>
      <c r="J34" s="2">
        <f t="shared" si="6"/>
        <v>8675.7999999999993</v>
      </c>
      <c r="K34" s="2">
        <f t="shared" si="6"/>
        <v>8675.7999999999993</v>
      </c>
      <c r="L34" s="2">
        <f t="shared" si="6"/>
        <v>8675.7999999999993</v>
      </c>
      <c r="M34" s="2">
        <f t="shared" si="6"/>
        <v>8675.7999999999993</v>
      </c>
      <c r="N34" s="2">
        <f t="shared" si="6"/>
        <v>8675.7999999999993</v>
      </c>
      <c r="O34" s="2">
        <f t="shared" si="6"/>
        <v>8675.7999999999993</v>
      </c>
      <c r="P34" s="2">
        <f t="shared" si="6"/>
        <v>8675.7999999999993</v>
      </c>
      <c r="Q34" s="2">
        <f t="shared" si="6"/>
        <v>8675.7999999999993</v>
      </c>
      <c r="R34" s="2">
        <f t="shared" si="6"/>
        <v>8675.7999999999993</v>
      </c>
      <c r="S34" s="2">
        <f t="shared" si="6"/>
        <v>8675.7999999999993</v>
      </c>
      <c r="T34" s="2">
        <f t="shared" si="5"/>
        <v>8675.7999999999993</v>
      </c>
      <c r="U34" s="2">
        <f t="shared" si="5"/>
        <v>8675.7999999999993</v>
      </c>
      <c r="V34" s="2">
        <f t="shared" si="5"/>
        <v>8675.7999999999993</v>
      </c>
      <c r="W34" s="2">
        <f t="shared" si="5"/>
        <v>8675.7999999999993</v>
      </c>
      <c r="X34" s="2">
        <f t="shared" si="5"/>
        <v>8675.7999999999993</v>
      </c>
      <c r="Y34" s="2">
        <f t="shared" si="5"/>
        <v>8675.7999999999993</v>
      </c>
      <c r="Z34" s="2">
        <f t="shared" si="5"/>
        <v>8675.7999999999993</v>
      </c>
      <c r="AA34" s="4">
        <f t="shared" si="5"/>
        <v>8675.7999999999993</v>
      </c>
      <c r="AB34" s="126">
        <f t="shared" si="1"/>
        <v>208219.19999999992</v>
      </c>
      <c r="AC34" s="126">
        <v>21</v>
      </c>
      <c r="AD34" s="127">
        <f>(AB34*AC34)+(AB35*AC35)+(AB36*AC36)+(AB37*AC37)</f>
        <v>6454795.1999999974</v>
      </c>
      <c r="AE34" s="27"/>
    </row>
    <row r="35" spans="2:31">
      <c r="B35" s="128"/>
      <c r="C35" s="129" t="s">
        <v>6</v>
      </c>
      <c r="D35" s="1">
        <f t="shared" si="6"/>
        <v>8675.7999999999993</v>
      </c>
      <c r="E35" s="1">
        <f t="shared" si="6"/>
        <v>8675.7999999999993</v>
      </c>
      <c r="F35" s="1">
        <f t="shared" si="6"/>
        <v>8675.7999999999993</v>
      </c>
      <c r="G35" s="1">
        <f t="shared" si="6"/>
        <v>8675.7999999999993</v>
      </c>
      <c r="H35" s="1">
        <f t="shared" si="6"/>
        <v>8675.7999999999993</v>
      </c>
      <c r="I35" s="1">
        <f t="shared" si="6"/>
        <v>8675.7999999999993</v>
      </c>
      <c r="J35" s="1">
        <f t="shared" si="6"/>
        <v>8675.7999999999993</v>
      </c>
      <c r="K35" s="1">
        <f t="shared" si="6"/>
        <v>8675.7999999999993</v>
      </c>
      <c r="L35" s="1">
        <f t="shared" si="6"/>
        <v>8675.7999999999993</v>
      </c>
      <c r="M35" s="1">
        <f t="shared" si="6"/>
        <v>8675.7999999999993</v>
      </c>
      <c r="N35" s="1">
        <f t="shared" si="6"/>
        <v>8675.7999999999993</v>
      </c>
      <c r="O35" s="1">
        <f t="shared" si="6"/>
        <v>8675.7999999999993</v>
      </c>
      <c r="P35" s="1">
        <f t="shared" si="6"/>
        <v>8675.7999999999993</v>
      </c>
      <c r="Q35" s="1">
        <f t="shared" si="6"/>
        <v>8675.7999999999993</v>
      </c>
      <c r="R35" s="1">
        <f t="shared" si="6"/>
        <v>8675.7999999999993</v>
      </c>
      <c r="S35" s="1">
        <f t="shared" si="6"/>
        <v>8675.7999999999993</v>
      </c>
      <c r="T35" s="1">
        <f t="shared" si="5"/>
        <v>8675.7999999999993</v>
      </c>
      <c r="U35" s="1">
        <f t="shared" si="5"/>
        <v>8675.7999999999993</v>
      </c>
      <c r="V35" s="1">
        <f t="shared" si="5"/>
        <v>8675.7999999999993</v>
      </c>
      <c r="W35" s="1">
        <f t="shared" si="5"/>
        <v>8675.7999999999993</v>
      </c>
      <c r="X35" s="1">
        <f t="shared" si="5"/>
        <v>8675.7999999999993</v>
      </c>
      <c r="Y35" s="1">
        <f t="shared" si="5"/>
        <v>8675.7999999999993</v>
      </c>
      <c r="Z35" s="1">
        <f t="shared" si="5"/>
        <v>8675.7999999999993</v>
      </c>
      <c r="AA35" s="5">
        <f t="shared" si="5"/>
        <v>8675.7999999999993</v>
      </c>
      <c r="AB35" s="130">
        <f t="shared" si="1"/>
        <v>208219.19999999992</v>
      </c>
      <c r="AC35" s="130">
        <v>3</v>
      </c>
      <c r="AD35" s="131"/>
      <c r="AE35" s="27"/>
    </row>
    <row r="36" spans="2:31">
      <c r="B36" s="128"/>
      <c r="C36" s="129" t="s">
        <v>7</v>
      </c>
      <c r="D36" s="1">
        <f t="shared" si="6"/>
        <v>8675.7999999999993</v>
      </c>
      <c r="E36" s="1">
        <f t="shared" si="6"/>
        <v>8675.7999999999993</v>
      </c>
      <c r="F36" s="1">
        <f t="shared" si="6"/>
        <v>8675.7999999999993</v>
      </c>
      <c r="G36" s="1">
        <f t="shared" si="6"/>
        <v>8675.7999999999993</v>
      </c>
      <c r="H36" s="1">
        <f t="shared" si="6"/>
        <v>8675.7999999999993</v>
      </c>
      <c r="I36" s="1">
        <f t="shared" si="6"/>
        <v>8675.7999999999993</v>
      </c>
      <c r="J36" s="1">
        <f t="shared" si="6"/>
        <v>8675.7999999999993</v>
      </c>
      <c r="K36" s="1">
        <f t="shared" si="6"/>
        <v>8675.7999999999993</v>
      </c>
      <c r="L36" s="1">
        <f t="shared" si="6"/>
        <v>8675.7999999999993</v>
      </c>
      <c r="M36" s="1">
        <f t="shared" si="6"/>
        <v>8675.7999999999993</v>
      </c>
      <c r="N36" s="1">
        <f t="shared" si="6"/>
        <v>8675.7999999999993</v>
      </c>
      <c r="O36" s="1">
        <f t="shared" si="6"/>
        <v>8675.7999999999993</v>
      </c>
      <c r="P36" s="1">
        <f t="shared" si="6"/>
        <v>8675.7999999999993</v>
      </c>
      <c r="Q36" s="1">
        <f t="shared" si="6"/>
        <v>8675.7999999999993</v>
      </c>
      <c r="R36" s="1">
        <f t="shared" si="6"/>
        <v>8675.7999999999993</v>
      </c>
      <c r="S36" s="1">
        <f t="shared" si="6"/>
        <v>8675.7999999999993</v>
      </c>
      <c r="T36" s="1">
        <f t="shared" si="5"/>
        <v>8675.7999999999993</v>
      </c>
      <c r="U36" s="1">
        <f t="shared" si="5"/>
        <v>8675.7999999999993</v>
      </c>
      <c r="V36" s="1">
        <f t="shared" si="5"/>
        <v>8675.7999999999993</v>
      </c>
      <c r="W36" s="1">
        <f t="shared" si="5"/>
        <v>8675.7999999999993</v>
      </c>
      <c r="X36" s="1">
        <f t="shared" si="5"/>
        <v>8675.7999999999993</v>
      </c>
      <c r="Y36" s="1">
        <f t="shared" si="5"/>
        <v>8675.7999999999993</v>
      </c>
      <c r="Z36" s="1">
        <f t="shared" si="5"/>
        <v>8675.7999999999993</v>
      </c>
      <c r="AA36" s="5">
        <f t="shared" si="5"/>
        <v>8675.7999999999993</v>
      </c>
      <c r="AB36" s="130">
        <f t="shared" si="1"/>
        <v>208219.19999999992</v>
      </c>
      <c r="AC36" s="130">
        <v>5</v>
      </c>
      <c r="AD36" s="131"/>
      <c r="AE36" s="27"/>
    </row>
    <row r="37" spans="2:31" ht="15" thickBot="1">
      <c r="B37" s="132"/>
      <c r="C37" s="133" t="s">
        <v>8</v>
      </c>
      <c r="D37" s="3">
        <f t="shared" si="6"/>
        <v>8675.7999999999993</v>
      </c>
      <c r="E37" s="3">
        <f t="shared" si="6"/>
        <v>8675.7999999999993</v>
      </c>
      <c r="F37" s="3">
        <f t="shared" si="6"/>
        <v>8675.7999999999993</v>
      </c>
      <c r="G37" s="3">
        <f t="shared" si="6"/>
        <v>8675.7999999999993</v>
      </c>
      <c r="H37" s="3">
        <f t="shared" si="6"/>
        <v>8675.7999999999993</v>
      </c>
      <c r="I37" s="3">
        <f t="shared" si="6"/>
        <v>8675.7999999999993</v>
      </c>
      <c r="J37" s="3">
        <f t="shared" si="6"/>
        <v>8675.7999999999993</v>
      </c>
      <c r="K37" s="3">
        <f t="shared" si="6"/>
        <v>8675.7999999999993</v>
      </c>
      <c r="L37" s="3">
        <f t="shared" si="6"/>
        <v>8675.7999999999993</v>
      </c>
      <c r="M37" s="3">
        <f t="shared" si="6"/>
        <v>8675.7999999999993</v>
      </c>
      <c r="N37" s="3">
        <f t="shared" si="6"/>
        <v>8675.7999999999993</v>
      </c>
      <c r="O37" s="3">
        <f t="shared" si="6"/>
        <v>8675.7999999999993</v>
      </c>
      <c r="P37" s="3">
        <f t="shared" si="6"/>
        <v>8675.7999999999993</v>
      </c>
      <c r="Q37" s="3">
        <f t="shared" si="6"/>
        <v>8675.7999999999993</v>
      </c>
      <c r="R37" s="3">
        <f t="shared" si="6"/>
        <v>8675.7999999999993</v>
      </c>
      <c r="S37" s="3">
        <f t="shared" si="6"/>
        <v>8675.7999999999993</v>
      </c>
      <c r="T37" s="3">
        <f t="shared" si="5"/>
        <v>8675.7999999999993</v>
      </c>
      <c r="U37" s="3">
        <f t="shared" si="5"/>
        <v>8675.7999999999993</v>
      </c>
      <c r="V37" s="3">
        <f t="shared" si="5"/>
        <v>8675.7999999999993</v>
      </c>
      <c r="W37" s="3">
        <f t="shared" si="5"/>
        <v>8675.7999999999993</v>
      </c>
      <c r="X37" s="3">
        <f t="shared" si="5"/>
        <v>8675.7999999999993</v>
      </c>
      <c r="Y37" s="3">
        <f t="shared" si="5"/>
        <v>8675.7999999999993</v>
      </c>
      <c r="Z37" s="3">
        <f t="shared" si="5"/>
        <v>8675.7999999999993</v>
      </c>
      <c r="AA37" s="6">
        <f t="shared" si="5"/>
        <v>8675.7999999999993</v>
      </c>
      <c r="AB37" s="134">
        <f t="shared" si="1"/>
        <v>208219.19999999992</v>
      </c>
      <c r="AC37" s="134">
        <v>2</v>
      </c>
      <c r="AD37" s="135"/>
      <c r="AE37" s="27"/>
    </row>
    <row r="38" spans="2:31">
      <c r="B38" s="124">
        <v>46631</v>
      </c>
      <c r="C38" s="125" t="s">
        <v>5</v>
      </c>
      <c r="D38" s="2">
        <f t="shared" si="6"/>
        <v>8675.7999999999993</v>
      </c>
      <c r="E38" s="2">
        <f t="shared" si="6"/>
        <v>8675.7999999999993</v>
      </c>
      <c r="F38" s="2">
        <f t="shared" si="6"/>
        <v>8675.7999999999993</v>
      </c>
      <c r="G38" s="2">
        <f t="shared" si="6"/>
        <v>8675.7999999999993</v>
      </c>
      <c r="H38" s="2">
        <f t="shared" si="6"/>
        <v>8675.7999999999993</v>
      </c>
      <c r="I38" s="2">
        <f t="shared" si="6"/>
        <v>8675.7999999999993</v>
      </c>
      <c r="J38" s="2">
        <f t="shared" si="6"/>
        <v>8675.7999999999993</v>
      </c>
      <c r="K38" s="2">
        <f t="shared" si="6"/>
        <v>8675.7999999999993</v>
      </c>
      <c r="L38" s="2">
        <f t="shared" si="6"/>
        <v>8675.7999999999993</v>
      </c>
      <c r="M38" s="2">
        <f t="shared" si="6"/>
        <v>8675.7999999999993</v>
      </c>
      <c r="N38" s="2">
        <f t="shared" si="6"/>
        <v>8675.7999999999993</v>
      </c>
      <c r="O38" s="2">
        <f t="shared" si="6"/>
        <v>8675.7999999999993</v>
      </c>
      <c r="P38" s="2">
        <f t="shared" si="6"/>
        <v>8675.7999999999993</v>
      </c>
      <c r="Q38" s="2">
        <f t="shared" si="6"/>
        <v>8675.7999999999993</v>
      </c>
      <c r="R38" s="2">
        <f t="shared" si="6"/>
        <v>8675.7999999999993</v>
      </c>
      <c r="S38" s="2">
        <f t="shared" si="6"/>
        <v>8675.7999999999993</v>
      </c>
      <c r="T38" s="2">
        <f t="shared" ref="T38:AA53" si="7">+$D$6</f>
        <v>8675.7999999999993</v>
      </c>
      <c r="U38" s="2">
        <f t="shared" si="7"/>
        <v>8675.7999999999993</v>
      </c>
      <c r="V38" s="2">
        <f t="shared" si="7"/>
        <v>8675.7999999999993</v>
      </c>
      <c r="W38" s="2">
        <f t="shared" si="7"/>
        <v>8675.7999999999993</v>
      </c>
      <c r="X38" s="2">
        <f t="shared" si="7"/>
        <v>8675.7999999999993</v>
      </c>
      <c r="Y38" s="2">
        <f t="shared" si="7"/>
        <v>8675.7999999999993</v>
      </c>
      <c r="Z38" s="2">
        <f t="shared" si="7"/>
        <v>8675.7999999999993</v>
      </c>
      <c r="AA38" s="4">
        <f t="shared" si="7"/>
        <v>8675.7999999999993</v>
      </c>
      <c r="AB38" s="126">
        <f t="shared" si="1"/>
        <v>208219.19999999992</v>
      </c>
      <c r="AC38" s="126">
        <v>22</v>
      </c>
      <c r="AD38" s="127">
        <f>(AB38*AC38)+(AB39*AC39)+(AB40*AC40)+(AB41*AC41)</f>
        <v>6246575.9999999981</v>
      </c>
      <c r="AE38" s="27"/>
    </row>
    <row r="39" spans="2:31">
      <c r="B39" s="128"/>
      <c r="C39" s="129" t="s">
        <v>6</v>
      </c>
      <c r="D39" s="1">
        <f t="shared" si="6"/>
        <v>8675.7999999999993</v>
      </c>
      <c r="E39" s="1">
        <f t="shared" si="6"/>
        <v>8675.7999999999993</v>
      </c>
      <c r="F39" s="1">
        <f t="shared" si="6"/>
        <v>8675.7999999999993</v>
      </c>
      <c r="G39" s="1">
        <f t="shared" si="6"/>
        <v>8675.7999999999993</v>
      </c>
      <c r="H39" s="1">
        <f t="shared" si="6"/>
        <v>8675.7999999999993</v>
      </c>
      <c r="I39" s="1">
        <f t="shared" si="6"/>
        <v>8675.7999999999993</v>
      </c>
      <c r="J39" s="1">
        <f t="shared" si="6"/>
        <v>8675.7999999999993</v>
      </c>
      <c r="K39" s="1">
        <f t="shared" si="6"/>
        <v>8675.7999999999993</v>
      </c>
      <c r="L39" s="1">
        <f t="shared" si="6"/>
        <v>8675.7999999999993</v>
      </c>
      <c r="M39" s="1">
        <f t="shared" si="6"/>
        <v>8675.7999999999993</v>
      </c>
      <c r="N39" s="1">
        <f t="shared" si="6"/>
        <v>8675.7999999999993</v>
      </c>
      <c r="O39" s="1">
        <f t="shared" si="6"/>
        <v>8675.7999999999993</v>
      </c>
      <c r="P39" s="1">
        <f t="shared" si="6"/>
        <v>8675.7999999999993</v>
      </c>
      <c r="Q39" s="1">
        <f t="shared" si="6"/>
        <v>8675.7999999999993</v>
      </c>
      <c r="R39" s="1">
        <f t="shared" si="6"/>
        <v>8675.7999999999993</v>
      </c>
      <c r="S39" s="1">
        <f t="shared" ref="S39:AA53" si="8">+$D$6</f>
        <v>8675.7999999999993</v>
      </c>
      <c r="T39" s="1">
        <f t="shared" si="7"/>
        <v>8675.7999999999993</v>
      </c>
      <c r="U39" s="1">
        <f t="shared" si="7"/>
        <v>8675.7999999999993</v>
      </c>
      <c r="V39" s="1">
        <f t="shared" si="7"/>
        <v>8675.7999999999993</v>
      </c>
      <c r="W39" s="1">
        <f t="shared" si="7"/>
        <v>8675.7999999999993</v>
      </c>
      <c r="X39" s="1">
        <f t="shared" si="7"/>
        <v>8675.7999999999993</v>
      </c>
      <c r="Y39" s="1">
        <f t="shared" si="7"/>
        <v>8675.7999999999993</v>
      </c>
      <c r="Z39" s="1">
        <f t="shared" si="7"/>
        <v>8675.7999999999993</v>
      </c>
      <c r="AA39" s="5">
        <f t="shared" si="7"/>
        <v>8675.7999999999993</v>
      </c>
      <c r="AB39" s="130">
        <f t="shared" si="1"/>
        <v>208219.19999999992</v>
      </c>
      <c r="AC39" s="130">
        <v>4</v>
      </c>
      <c r="AD39" s="131"/>
      <c r="AE39" s="27"/>
    </row>
    <row r="40" spans="2:31">
      <c r="B40" s="128"/>
      <c r="C40" s="129" t="s">
        <v>7</v>
      </c>
      <c r="D40" s="1">
        <f t="shared" ref="D40:R53" si="9">+$D$6</f>
        <v>8675.7999999999993</v>
      </c>
      <c r="E40" s="1">
        <f t="shared" si="9"/>
        <v>8675.7999999999993</v>
      </c>
      <c r="F40" s="1">
        <f t="shared" si="9"/>
        <v>8675.7999999999993</v>
      </c>
      <c r="G40" s="1">
        <f t="shared" si="9"/>
        <v>8675.7999999999993</v>
      </c>
      <c r="H40" s="1">
        <f t="shared" si="9"/>
        <v>8675.7999999999993</v>
      </c>
      <c r="I40" s="1">
        <f t="shared" si="9"/>
        <v>8675.7999999999993</v>
      </c>
      <c r="J40" s="1">
        <f t="shared" si="9"/>
        <v>8675.7999999999993</v>
      </c>
      <c r="K40" s="1">
        <f t="shared" si="9"/>
        <v>8675.7999999999993</v>
      </c>
      <c r="L40" s="1">
        <f t="shared" si="9"/>
        <v>8675.7999999999993</v>
      </c>
      <c r="M40" s="1">
        <f t="shared" si="9"/>
        <v>8675.7999999999993</v>
      </c>
      <c r="N40" s="1">
        <f t="shared" si="9"/>
        <v>8675.7999999999993</v>
      </c>
      <c r="O40" s="1">
        <f t="shared" si="9"/>
        <v>8675.7999999999993</v>
      </c>
      <c r="P40" s="1">
        <f t="shared" si="9"/>
        <v>8675.7999999999993</v>
      </c>
      <c r="Q40" s="1">
        <f t="shared" si="9"/>
        <v>8675.7999999999993</v>
      </c>
      <c r="R40" s="1">
        <f t="shared" si="9"/>
        <v>8675.7999999999993</v>
      </c>
      <c r="S40" s="1">
        <f t="shared" si="8"/>
        <v>8675.7999999999993</v>
      </c>
      <c r="T40" s="1">
        <f t="shared" si="7"/>
        <v>8675.7999999999993</v>
      </c>
      <c r="U40" s="1">
        <f t="shared" si="7"/>
        <v>8675.7999999999993</v>
      </c>
      <c r="V40" s="1">
        <f t="shared" si="7"/>
        <v>8675.7999999999993</v>
      </c>
      <c r="W40" s="1">
        <f t="shared" si="7"/>
        <v>8675.7999999999993</v>
      </c>
      <c r="X40" s="1">
        <f t="shared" si="7"/>
        <v>8675.7999999999993</v>
      </c>
      <c r="Y40" s="1">
        <f t="shared" si="7"/>
        <v>8675.7999999999993</v>
      </c>
      <c r="Z40" s="1">
        <f t="shared" si="7"/>
        <v>8675.7999999999993</v>
      </c>
      <c r="AA40" s="5">
        <f t="shared" si="7"/>
        <v>8675.7999999999993</v>
      </c>
      <c r="AB40" s="130">
        <f t="shared" si="1"/>
        <v>208219.19999999992</v>
      </c>
      <c r="AC40" s="130">
        <v>4</v>
      </c>
      <c r="AD40" s="131"/>
      <c r="AE40" s="27"/>
    </row>
    <row r="41" spans="2:31" ht="15" thickBot="1">
      <c r="B41" s="132"/>
      <c r="C41" s="133" t="s">
        <v>8</v>
      </c>
      <c r="D41" s="3">
        <f t="shared" si="9"/>
        <v>8675.7999999999993</v>
      </c>
      <c r="E41" s="3">
        <f t="shared" si="9"/>
        <v>8675.7999999999993</v>
      </c>
      <c r="F41" s="3">
        <f t="shared" si="9"/>
        <v>8675.7999999999993</v>
      </c>
      <c r="G41" s="3">
        <f t="shared" si="9"/>
        <v>8675.7999999999993</v>
      </c>
      <c r="H41" s="3">
        <f t="shared" si="9"/>
        <v>8675.7999999999993</v>
      </c>
      <c r="I41" s="3">
        <f t="shared" si="9"/>
        <v>8675.7999999999993</v>
      </c>
      <c r="J41" s="3">
        <f t="shared" si="9"/>
        <v>8675.7999999999993</v>
      </c>
      <c r="K41" s="3">
        <f t="shared" si="9"/>
        <v>8675.7999999999993</v>
      </c>
      <c r="L41" s="3">
        <f t="shared" si="9"/>
        <v>8675.7999999999993</v>
      </c>
      <c r="M41" s="3">
        <f t="shared" si="9"/>
        <v>8675.7999999999993</v>
      </c>
      <c r="N41" s="3">
        <f t="shared" si="9"/>
        <v>8675.7999999999993</v>
      </c>
      <c r="O41" s="3">
        <f t="shared" si="9"/>
        <v>8675.7999999999993</v>
      </c>
      <c r="P41" s="3">
        <f t="shared" si="9"/>
        <v>8675.7999999999993</v>
      </c>
      <c r="Q41" s="3">
        <f t="shared" si="9"/>
        <v>8675.7999999999993</v>
      </c>
      <c r="R41" s="3">
        <f t="shared" si="9"/>
        <v>8675.7999999999993</v>
      </c>
      <c r="S41" s="3">
        <f t="shared" si="8"/>
        <v>8675.7999999999993</v>
      </c>
      <c r="T41" s="3">
        <f t="shared" si="7"/>
        <v>8675.7999999999993</v>
      </c>
      <c r="U41" s="3">
        <f t="shared" si="7"/>
        <v>8675.7999999999993</v>
      </c>
      <c r="V41" s="3">
        <f t="shared" si="7"/>
        <v>8675.7999999999993</v>
      </c>
      <c r="W41" s="3">
        <f t="shared" si="7"/>
        <v>8675.7999999999993</v>
      </c>
      <c r="X41" s="3">
        <f t="shared" si="7"/>
        <v>8675.7999999999993</v>
      </c>
      <c r="Y41" s="3">
        <f t="shared" si="7"/>
        <v>8675.7999999999993</v>
      </c>
      <c r="Z41" s="3">
        <f t="shared" si="7"/>
        <v>8675.7999999999993</v>
      </c>
      <c r="AA41" s="6">
        <f t="shared" si="7"/>
        <v>8675.7999999999993</v>
      </c>
      <c r="AB41" s="134">
        <f t="shared" si="1"/>
        <v>208219.19999999992</v>
      </c>
      <c r="AC41" s="134">
        <v>0</v>
      </c>
      <c r="AD41" s="135"/>
      <c r="AE41" s="27"/>
    </row>
    <row r="42" spans="2:31">
      <c r="B42" s="124">
        <v>46661</v>
      </c>
      <c r="C42" s="125" t="s">
        <v>5</v>
      </c>
      <c r="D42" s="2">
        <f t="shared" si="9"/>
        <v>8675.7999999999993</v>
      </c>
      <c r="E42" s="2">
        <f t="shared" si="9"/>
        <v>8675.7999999999993</v>
      </c>
      <c r="F42" s="2">
        <f t="shared" si="9"/>
        <v>8675.7999999999993</v>
      </c>
      <c r="G42" s="2">
        <f t="shared" si="9"/>
        <v>8675.7999999999993</v>
      </c>
      <c r="H42" s="2">
        <f t="shared" si="9"/>
        <v>8675.7999999999993</v>
      </c>
      <c r="I42" s="2">
        <f t="shared" si="9"/>
        <v>8675.7999999999993</v>
      </c>
      <c r="J42" s="2">
        <f t="shared" si="9"/>
        <v>8675.7999999999993</v>
      </c>
      <c r="K42" s="2">
        <f t="shared" si="9"/>
        <v>8675.7999999999993</v>
      </c>
      <c r="L42" s="2">
        <f t="shared" si="9"/>
        <v>8675.7999999999993</v>
      </c>
      <c r="M42" s="2">
        <f t="shared" si="9"/>
        <v>8675.7999999999993</v>
      </c>
      <c r="N42" s="2">
        <f t="shared" si="9"/>
        <v>8675.7999999999993</v>
      </c>
      <c r="O42" s="2">
        <f t="shared" si="9"/>
        <v>8675.7999999999993</v>
      </c>
      <c r="P42" s="2">
        <f t="shared" si="9"/>
        <v>8675.7999999999993</v>
      </c>
      <c r="Q42" s="2">
        <f t="shared" si="9"/>
        <v>8675.7999999999993</v>
      </c>
      <c r="R42" s="2">
        <f t="shared" si="9"/>
        <v>8675.7999999999993</v>
      </c>
      <c r="S42" s="2">
        <f t="shared" si="8"/>
        <v>8675.7999999999993</v>
      </c>
      <c r="T42" s="2">
        <f t="shared" si="7"/>
        <v>8675.7999999999993</v>
      </c>
      <c r="U42" s="2">
        <f t="shared" si="7"/>
        <v>8675.7999999999993</v>
      </c>
      <c r="V42" s="2">
        <f t="shared" si="7"/>
        <v>8675.7999999999993</v>
      </c>
      <c r="W42" s="2">
        <f t="shared" si="7"/>
        <v>8675.7999999999993</v>
      </c>
      <c r="X42" s="2">
        <f t="shared" si="7"/>
        <v>8675.7999999999993</v>
      </c>
      <c r="Y42" s="2">
        <f t="shared" si="7"/>
        <v>8675.7999999999993</v>
      </c>
      <c r="Z42" s="2">
        <f t="shared" si="7"/>
        <v>8675.7999999999993</v>
      </c>
      <c r="AA42" s="4">
        <f t="shared" si="7"/>
        <v>8675.7999999999993</v>
      </c>
      <c r="AB42" s="126">
        <f t="shared" si="1"/>
        <v>208219.19999999992</v>
      </c>
      <c r="AC42" s="126">
        <v>20</v>
      </c>
      <c r="AD42" s="127">
        <f>(AB42*AC42)+(AB43*AC43)+(AB44*AC44)+(AB45*AC45)</f>
        <v>6454795.1999999983</v>
      </c>
      <c r="AE42" s="27"/>
    </row>
    <row r="43" spans="2:31">
      <c r="B43" s="128"/>
      <c r="C43" s="129" t="s">
        <v>6</v>
      </c>
      <c r="D43" s="1">
        <f t="shared" si="9"/>
        <v>8675.7999999999993</v>
      </c>
      <c r="E43" s="1">
        <f t="shared" si="9"/>
        <v>8675.7999999999993</v>
      </c>
      <c r="F43" s="1">
        <f t="shared" si="9"/>
        <v>8675.7999999999993</v>
      </c>
      <c r="G43" s="1">
        <f t="shared" si="9"/>
        <v>8675.7999999999993</v>
      </c>
      <c r="H43" s="1">
        <f t="shared" si="9"/>
        <v>8675.7999999999993</v>
      </c>
      <c r="I43" s="1">
        <f t="shared" si="9"/>
        <v>8675.7999999999993</v>
      </c>
      <c r="J43" s="1">
        <f t="shared" si="9"/>
        <v>8675.7999999999993</v>
      </c>
      <c r="K43" s="1">
        <f t="shared" si="9"/>
        <v>8675.7999999999993</v>
      </c>
      <c r="L43" s="1">
        <f t="shared" si="9"/>
        <v>8675.7999999999993</v>
      </c>
      <c r="M43" s="1">
        <f t="shared" si="9"/>
        <v>8675.7999999999993</v>
      </c>
      <c r="N43" s="1">
        <f t="shared" si="9"/>
        <v>8675.7999999999993</v>
      </c>
      <c r="O43" s="1">
        <f t="shared" si="9"/>
        <v>8675.7999999999993</v>
      </c>
      <c r="P43" s="1">
        <f t="shared" si="9"/>
        <v>8675.7999999999993</v>
      </c>
      <c r="Q43" s="1">
        <f t="shared" si="9"/>
        <v>8675.7999999999993</v>
      </c>
      <c r="R43" s="1">
        <f t="shared" si="9"/>
        <v>8675.7999999999993</v>
      </c>
      <c r="S43" s="1">
        <f t="shared" si="8"/>
        <v>8675.7999999999993</v>
      </c>
      <c r="T43" s="1">
        <f t="shared" si="7"/>
        <v>8675.7999999999993</v>
      </c>
      <c r="U43" s="1">
        <f t="shared" si="7"/>
        <v>8675.7999999999993</v>
      </c>
      <c r="V43" s="1">
        <f t="shared" si="7"/>
        <v>8675.7999999999993</v>
      </c>
      <c r="W43" s="1">
        <f t="shared" si="7"/>
        <v>8675.7999999999993</v>
      </c>
      <c r="X43" s="1">
        <f t="shared" si="7"/>
        <v>8675.7999999999993</v>
      </c>
      <c r="Y43" s="1">
        <f t="shared" si="7"/>
        <v>8675.7999999999993</v>
      </c>
      <c r="Z43" s="1">
        <f t="shared" si="7"/>
        <v>8675.7999999999993</v>
      </c>
      <c r="AA43" s="5">
        <f t="shared" si="7"/>
        <v>8675.7999999999993</v>
      </c>
      <c r="AB43" s="130">
        <f t="shared" si="1"/>
        <v>208219.19999999992</v>
      </c>
      <c r="AC43" s="130">
        <v>5</v>
      </c>
      <c r="AD43" s="131"/>
      <c r="AE43" s="27"/>
    </row>
    <row r="44" spans="2:31">
      <c r="B44" s="128"/>
      <c r="C44" s="129" t="s">
        <v>7</v>
      </c>
      <c r="D44" s="1">
        <f t="shared" si="9"/>
        <v>8675.7999999999993</v>
      </c>
      <c r="E44" s="1">
        <f t="shared" si="9"/>
        <v>8675.7999999999993</v>
      </c>
      <c r="F44" s="1">
        <f t="shared" si="9"/>
        <v>8675.7999999999993</v>
      </c>
      <c r="G44" s="1">
        <f t="shared" si="9"/>
        <v>8675.7999999999993</v>
      </c>
      <c r="H44" s="1">
        <f t="shared" si="9"/>
        <v>8675.7999999999993</v>
      </c>
      <c r="I44" s="1">
        <f t="shared" si="9"/>
        <v>8675.7999999999993</v>
      </c>
      <c r="J44" s="1">
        <f t="shared" si="9"/>
        <v>8675.7999999999993</v>
      </c>
      <c r="K44" s="1">
        <f t="shared" si="9"/>
        <v>8675.7999999999993</v>
      </c>
      <c r="L44" s="1">
        <f t="shared" si="9"/>
        <v>8675.7999999999993</v>
      </c>
      <c r="M44" s="1">
        <f t="shared" si="9"/>
        <v>8675.7999999999993</v>
      </c>
      <c r="N44" s="1">
        <f t="shared" si="9"/>
        <v>8675.7999999999993</v>
      </c>
      <c r="O44" s="1">
        <f t="shared" si="9"/>
        <v>8675.7999999999993</v>
      </c>
      <c r="P44" s="1">
        <f t="shared" si="9"/>
        <v>8675.7999999999993</v>
      </c>
      <c r="Q44" s="1">
        <f t="shared" si="9"/>
        <v>8675.7999999999993</v>
      </c>
      <c r="R44" s="1">
        <f t="shared" si="9"/>
        <v>8675.7999999999993</v>
      </c>
      <c r="S44" s="1">
        <f t="shared" si="8"/>
        <v>8675.7999999999993</v>
      </c>
      <c r="T44" s="1">
        <f t="shared" si="7"/>
        <v>8675.7999999999993</v>
      </c>
      <c r="U44" s="1">
        <f t="shared" si="7"/>
        <v>8675.7999999999993</v>
      </c>
      <c r="V44" s="1">
        <f t="shared" si="7"/>
        <v>8675.7999999999993</v>
      </c>
      <c r="W44" s="1">
        <f t="shared" si="7"/>
        <v>8675.7999999999993</v>
      </c>
      <c r="X44" s="1">
        <f t="shared" si="7"/>
        <v>8675.7999999999993</v>
      </c>
      <c r="Y44" s="1">
        <f t="shared" si="7"/>
        <v>8675.7999999999993</v>
      </c>
      <c r="Z44" s="1">
        <f t="shared" si="7"/>
        <v>8675.7999999999993</v>
      </c>
      <c r="AA44" s="5">
        <f t="shared" si="7"/>
        <v>8675.7999999999993</v>
      </c>
      <c r="AB44" s="130">
        <f t="shared" si="1"/>
        <v>208219.19999999992</v>
      </c>
      <c r="AC44" s="130">
        <v>5</v>
      </c>
      <c r="AD44" s="131"/>
      <c r="AE44" s="27"/>
    </row>
    <row r="45" spans="2:31" ht="15" thickBot="1">
      <c r="B45" s="132"/>
      <c r="C45" s="133" t="s">
        <v>8</v>
      </c>
      <c r="D45" s="3">
        <f t="shared" si="9"/>
        <v>8675.7999999999993</v>
      </c>
      <c r="E45" s="3">
        <f t="shared" si="9"/>
        <v>8675.7999999999993</v>
      </c>
      <c r="F45" s="3">
        <f t="shared" si="9"/>
        <v>8675.7999999999993</v>
      </c>
      <c r="G45" s="3">
        <f t="shared" si="9"/>
        <v>8675.7999999999993</v>
      </c>
      <c r="H45" s="3">
        <f t="shared" si="9"/>
        <v>8675.7999999999993</v>
      </c>
      <c r="I45" s="3">
        <f t="shared" si="9"/>
        <v>8675.7999999999993</v>
      </c>
      <c r="J45" s="3">
        <f t="shared" si="9"/>
        <v>8675.7999999999993</v>
      </c>
      <c r="K45" s="3">
        <f t="shared" si="9"/>
        <v>8675.7999999999993</v>
      </c>
      <c r="L45" s="3">
        <f t="shared" si="9"/>
        <v>8675.7999999999993</v>
      </c>
      <c r="M45" s="3">
        <f t="shared" si="9"/>
        <v>8675.7999999999993</v>
      </c>
      <c r="N45" s="3">
        <f t="shared" si="9"/>
        <v>8675.7999999999993</v>
      </c>
      <c r="O45" s="3">
        <f t="shared" si="9"/>
        <v>8675.7999999999993</v>
      </c>
      <c r="P45" s="3">
        <f t="shared" si="9"/>
        <v>8675.7999999999993</v>
      </c>
      <c r="Q45" s="3">
        <f t="shared" si="9"/>
        <v>8675.7999999999993</v>
      </c>
      <c r="R45" s="3">
        <f t="shared" si="9"/>
        <v>8675.7999999999993</v>
      </c>
      <c r="S45" s="3">
        <f t="shared" si="8"/>
        <v>8675.7999999999993</v>
      </c>
      <c r="T45" s="3">
        <f t="shared" si="7"/>
        <v>8675.7999999999993</v>
      </c>
      <c r="U45" s="3">
        <f t="shared" si="7"/>
        <v>8675.7999999999993</v>
      </c>
      <c r="V45" s="3">
        <f t="shared" si="7"/>
        <v>8675.7999999999993</v>
      </c>
      <c r="W45" s="3">
        <f t="shared" si="7"/>
        <v>8675.7999999999993</v>
      </c>
      <c r="X45" s="3">
        <f t="shared" si="7"/>
        <v>8675.7999999999993</v>
      </c>
      <c r="Y45" s="3">
        <f t="shared" si="7"/>
        <v>8675.7999999999993</v>
      </c>
      <c r="Z45" s="3">
        <f t="shared" si="7"/>
        <v>8675.7999999999993</v>
      </c>
      <c r="AA45" s="6">
        <f t="shared" si="7"/>
        <v>8675.7999999999993</v>
      </c>
      <c r="AB45" s="134">
        <f t="shared" si="1"/>
        <v>208219.19999999992</v>
      </c>
      <c r="AC45" s="134">
        <v>1</v>
      </c>
      <c r="AD45" s="135"/>
      <c r="AE45" s="27"/>
    </row>
    <row r="46" spans="2:31">
      <c r="B46" s="124">
        <v>46692</v>
      </c>
      <c r="C46" s="125" t="s">
        <v>5</v>
      </c>
      <c r="D46" s="2">
        <f t="shared" si="9"/>
        <v>8675.7999999999993</v>
      </c>
      <c r="E46" s="2">
        <f t="shared" si="9"/>
        <v>8675.7999999999993</v>
      </c>
      <c r="F46" s="2">
        <f t="shared" si="9"/>
        <v>8675.7999999999993</v>
      </c>
      <c r="G46" s="2">
        <f t="shared" si="9"/>
        <v>8675.7999999999993</v>
      </c>
      <c r="H46" s="2">
        <f t="shared" si="9"/>
        <v>8675.7999999999993</v>
      </c>
      <c r="I46" s="2">
        <f t="shared" si="9"/>
        <v>8675.7999999999993</v>
      </c>
      <c r="J46" s="2">
        <f t="shared" si="9"/>
        <v>8675.7999999999993</v>
      </c>
      <c r="K46" s="2">
        <f t="shared" si="9"/>
        <v>8675.7999999999993</v>
      </c>
      <c r="L46" s="2">
        <f t="shared" si="9"/>
        <v>8675.7999999999993</v>
      </c>
      <c r="M46" s="2">
        <f t="shared" si="9"/>
        <v>8675.7999999999993</v>
      </c>
      <c r="N46" s="2">
        <f t="shared" si="9"/>
        <v>8675.7999999999993</v>
      </c>
      <c r="O46" s="2">
        <f t="shared" si="9"/>
        <v>8675.7999999999993</v>
      </c>
      <c r="P46" s="2">
        <f t="shared" si="9"/>
        <v>8675.7999999999993</v>
      </c>
      <c r="Q46" s="2">
        <f t="shared" si="9"/>
        <v>8675.7999999999993</v>
      </c>
      <c r="R46" s="2">
        <f t="shared" si="9"/>
        <v>8675.7999999999993</v>
      </c>
      <c r="S46" s="2">
        <f t="shared" si="8"/>
        <v>8675.7999999999993</v>
      </c>
      <c r="T46" s="2">
        <f t="shared" si="7"/>
        <v>8675.7999999999993</v>
      </c>
      <c r="U46" s="2">
        <f t="shared" si="7"/>
        <v>8675.7999999999993</v>
      </c>
      <c r="V46" s="2">
        <f t="shared" si="7"/>
        <v>8675.7999999999993</v>
      </c>
      <c r="W46" s="2">
        <f t="shared" si="7"/>
        <v>8675.7999999999993</v>
      </c>
      <c r="X46" s="2">
        <f t="shared" si="7"/>
        <v>8675.7999999999993</v>
      </c>
      <c r="Y46" s="2">
        <f t="shared" si="7"/>
        <v>8675.7999999999993</v>
      </c>
      <c r="Z46" s="2">
        <f t="shared" si="7"/>
        <v>8675.7999999999993</v>
      </c>
      <c r="AA46" s="4">
        <f t="shared" si="7"/>
        <v>8675.7999999999993</v>
      </c>
      <c r="AB46" s="126">
        <f t="shared" si="1"/>
        <v>208219.19999999992</v>
      </c>
      <c r="AC46" s="126">
        <v>20</v>
      </c>
      <c r="AD46" s="127">
        <f>(AB46*AC46)+(AB47*AC47)+(AB48*AC48)+(AB49*AC49)</f>
        <v>6246575.9999999972</v>
      </c>
      <c r="AE46" s="27"/>
    </row>
    <row r="47" spans="2:31">
      <c r="B47" s="128"/>
      <c r="C47" s="129" t="s">
        <v>6</v>
      </c>
      <c r="D47" s="1">
        <f t="shared" si="9"/>
        <v>8675.7999999999993</v>
      </c>
      <c r="E47" s="1">
        <f t="shared" si="9"/>
        <v>8675.7999999999993</v>
      </c>
      <c r="F47" s="1">
        <f t="shared" si="9"/>
        <v>8675.7999999999993</v>
      </c>
      <c r="G47" s="1">
        <f t="shared" si="9"/>
        <v>8675.7999999999993</v>
      </c>
      <c r="H47" s="1">
        <f t="shared" si="9"/>
        <v>8675.7999999999993</v>
      </c>
      <c r="I47" s="1">
        <f t="shared" si="9"/>
        <v>8675.7999999999993</v>
      </c>
      <c r="J47" s="1">
        <f t="shared" si="9"/>
        <v>8675.7999999999993</v>
      </c>
      <c r="K47" s="1">
        <f t="shared" si="9"/>
        <v>8675.7999999999993</v>
      </c>
      <c r="L47" s="1">
        <f t="shared" si="9"/>
        <v>8675.7999999999993</v>
      </c>
      <c r="M47" s="1">
        <f t="shared" si="9"/>
        <v>8675.7999999999993</v>
      </c>
      <c r="N47" s="1">
        <f t="shared" si="9"/>
        <v>8675.7999999999993</v>
      </c>
      <c r="O47" s="1">
        <f t="shared" si="9"/>
        <v>8675.7999999999993</v>
      </c>
      <c r="P47" s="1">
        <f t="shared" si="9"/>
        <v>8675.7999999999993</v>
      </c>
      <c r="Q47" s="1">
        <f t="shared" si="9"/>
        <v>8675.7999999999993</v>
      </c>
      <c r="R47" s="1">
        <f t="shared" si="9"/>
        <v>8675.7999999999993</v>
      </c>
      <c r="S47" s="1">
        <f t="shared" si="8"/>
        <v>8675.7999999999993</v>
      </c>
      <c r="T47" s="1">
        <f t="shared" si="7"/>
        <v>8675.7999999999993</v>
      </c>
      <c r="U47" s="1">
        <f t="shared" si="7"/>
        <v>8675.7999999999993</v>
      </c>
      <c r="V47" s="1">
        <f t="shared" si="7"/>
        <v>8675.7999999999993</v>
      </c>
      <c r="W47" s="1">
        <f t="shared" si="7"/>
        <v>8675.7999999999993</v>
      </c>
      <c r="X47" s="1">
        <f t="shared" si="7"/>
        <v>8675.7999999999993</v>
      </c>
      <c r="Y47" s="1">
        <f t="shared" si="7"/>
        <v>8675.7999999999993</v>
      </c>
      <c r="Z47" s="1">
        <f t="shared" si="7"/>
        <v>8675.7999999999993</v>
      </c>
      <c r="AA47" s="5">
        <f t="shared" si="7"/>
        <v>8675.7999999999993</v>
      </c>
      <c r="AB47" s="130">
        <f t="shared" si="1"/>
        <v>208219.19999999992</v>
      </c>
      <c r="AC47" s="130">
        <v>4</v>
      </c>
      <c r="AD47" s="131"/>
      <c r="AE47" s="27"/>
    </row>
    <row r="48" spans="2:31">
      <c r="B48" s="128"/>
      <c r="C48" s="129" t="s">
        <v>7</v>
      </c>
      <c r="D48" s="1">
        <f t="shared" si="9"/>
        <v>8675.7999999999993</v>
      </c>
      <c r="E48" s="1">
        <f t="shared" si="9"/>
        <v>8675.7999999999993</v>
      </c>
      <c r="F48" s="1">
        <f t="shared" si="9"/>
        <v>8675.7999999999993</v>
      </c>
      <c r="G48" s="1">
        <f t="shared" si="9"/>
        <v>8675.7999999999993</v>
      </c>
      <c r="H48" s="1">
        <f t="shared" si="9"/>
        <v>8675.7999999999993</v>
      </c>
      <c r="I48" s="1">
        <f t="shared" si="9"/>
        <v>8675.7999999999993</v>
      </c>
      <c r="J48" s="1">
        <f t="shared" si="9"/>
        <v>8675.7999999999993</v>
      </c>
      <c r="K48" s="1">
        <f t="shared" si="9"/>
        <v>8675.7999999999993</v>
      </c>
      <c r="L48" s="1">
        <f t="shared" si="9"/>
        <v>8675.7999999999993</v>
      </c>
      <c r="M48" s="1">
        <f t="shared" si="9"/>
        <v>8675.7999999999993</v>
      </c>
      <c r="N48" s="1">
        <f t="shared" si="9"/>
        <v>8675.7999999999993</v>
      </c>
      <c r="O48" s="1">
        <f t="shared" si="9"/>
        <v>8675.7999999999993</v>
      </c>
      <c r="P48" s="1">
        <f t="shared" si="9"/>
        <v>8675.7999999999993</v>
      </c>
      <c r="Q48" s="1">
        <f t="shared" si="9"/>
        <v>8675.7999999999993</v>
      </c>
      <c r="R48" s="1">
        <f t="shared" si="9"/>
        <v>8675.7999999999993</v>
      </c>
      <c r="S48" s="1">
        <f t="shared" si="8"/>
        <v>8675.7999999999993</v>
      </c>
      <c r="T48" s="1">
        <f t="shared" si="7"/>
        <v>8675.7999999999993</v>
      </c>
      <c r="U48" s="1">
        <f t="shared" si="7"/>
        <v>8675.7999999999993</v>
      </c>
      <c r="V48" s="1">
        <f t="shared" si="7"/>
        <v>8675.7999999999993</v>
      </c>
      <c r="W48" s="1">
        <f t="shared" si="7"/>
        <v>8675.7999999999993</v>
      </c>
      <c r="X48" s="1">
        <f t="shared" si="7"/>
        <v>8675.7999999999993</v>
      </c>
      <c r="Y48" s="1">
        <f t="shared" si="7"/>
        <v>8675.7999999999993</v>
      </c>
      <c r="Z48" s="1">
        <f t="shared" si="7"/>
        <v>8675.7999999999993</v>
      </c>
      <c r="AA48" s="5">
        <f t="shared" si="7"/>
        <v>8675.7999999999993</v>
      </c>
      <c r="AB48" s="130">
        <f t="shared" si="1"/>
        <v>208219.19999999992</v>
      </c>
      <c r="AC48" s="130">
        <v>4</v>
      </c>
      <c r="AD48" s="131"/>
      <c r="AE48" s="27"/>
    </row>
    <row r="49" spans="2:31" ht="15" thickBot="1">
      <c r="B49" s="132"/>
      <c r="C49" s="133" t="s">
        <v>8</v>
      </c>
      <c r="D49" s="3">
        <f t="shared" si="9"/>
        <v>8675.7999999999993</v>
      </c>
      <c r="E49" s="3">
        <f t="shared" si="9"/>
        <v>8675.7999999999993</v>
      </c>
      <c r="F49" s="3">
        <f t="shared" si="9"/>
        <v>8675.7999999999993</v>
      </c>
      <c r="G49" s="3">
        <f t="shared" si="9"/>
        <v>8675.7999999999993</v>
      </c>
      <c r="H49" s="3">
        <f t="shared" si="9"/>
        <v>8675.7999999999993</v>
      </c>
      <c r="I49" s="3">
        <f t="shared" si="9"/>
        <v>8675.7999999999993</v>
      </c>
      <c r="J49" s="3">
        <f t="shared" si="9"/>
        <v>8675.7999999999993</v>
      </c>
      <c r="K49" s="3">
        <f t="shared" si="9"/>
        <v>8675.7999999999993</v>
      </c>
      <c r="L49" s="3">
        <f t="shared" si="9"/>
        <v>8675.7999999999993</v>
      </c>
      <c r="M49" s="3">
        <f t="shared" si="9"/>
        <v>8675.7999999999993</v>
      </c>
      <c r="N49" s="3">
        <f t="shared" si="9"/>
        <v>8675.7999999999993</v>
      </c>
      <c r="O49" s="3">
        <f t="shared" si="9"/>
        <v>8675.7999999999993</v>
      </c>
      <c r="P49" s="3">
        <f t="shared" si="9"/>
        <v>8675.7999999999993</v>
      </c>
      <c r="Q49" s="3">
        <f t="shared" si="9"/>
        <v>8675.7999999999993</v>
      </c>
      <c r="R49" s="3">
        <f t="shared" si="9"/>
        <v>8675.7999999999993</v>
      </c>
      <c r="S49" s="3">
        <f t="shared" si="8"/>
        <v>8675.7999999999993</v>
      </c>
      <c r="T49" s="3">
        <f t="shared" si="7"/>
        <v>8675.7999999999993</v>
      </c>
      <c r="U49" s="3">
        <f t="shared" si="7"/>
        <v>8675.7999999999993</v>
      </c>
      <c r="V49" s="3">
        <f t="shared" si="7"/>
        <v>8675.7999999999993</v>
      </c>
      <c r="W49" s="3">
        <f t="shared" si="7"/>
        <v>8675.7999999999993</v>
      </c>
      <c r="X49" s="3">
        <f t="shared" si="7"/>
        <v>8675.7999999999993</v>
      </c>
      <c r="Y49" s="3">
        <f t="shared" si="7"/>
        <v>8675.7999999999993</v>
      </c>
      <c r="Z49" s="3">
        <f t="shared" si="7"/>
        <v>8675.7999999999993</v>
      </c>
      <c r="AA49" s="6">
        <f t="shared" si="7"/>
        <v>8675.7999999999993</v>
      </c>
      <c r="AB49" s="134">
        <f t="shared" si="1"/>
        <v>208219.19999999992</v>
      </c>
      <c r="AC49" s="134">
        <v>2</v>
      </c>
      <c r="AD49" s="135"/>
      <c r="AE49" s="27"/>
    </row>
    <row r="50" spans="2:31">
      <c r="B50" s="124">
        <v>46722</v>
      </c>
      <c r="C50" s="125" t="s">
        <v>5</v>
      </c>
      <c r="D50" s="2">
        <f t="shared" si="9"/>
        <v>8675.7999999999993</v>
      </c>
      <c r="E50" s="2">
        <f t="shared" si="9"/>
        <v>8675.7999999999993</v>
      </c>
      <c r="F50" s="2">
        <f t="shared" si="9"/>
        <v>8675.7999999999993</v>
      </c>
      <c r="G50" s="2">
        <f t="shared" si="9"/>
        <v>8675.7999999999993</v>
      </c>
      <c r="H50" s="2">
        <f t="shared" si="9"/>
        <v>8675.7999999999993</v>
      </c>
      <c r="I50" s="2">
        <f t="shared" si="9"/>
        <v>8675.7999999999993</v>
      </c>
      <c r="J50" s="2">
        <f t="shared" si="9"/>
        <v>8675.7999999999993</v>
      </c>
      <c r="K50" s="2">
        <f t="shared" si="9"/>
        <v>8675.7999999999993</v>
      </c>
      <c r="L50" s="2">
        <f t="shared" si="9"/>
        <v>8675.7999999999993</v>
      </c>
      <c r="M50" s="2">
        <f t="shared" si="9"/>
        <v>8675.7999999999993</v>
      </c>
      <c r="N50" s="2">
        <f t="shared" si="9"/>
        <v>8675.7999999999993</v>
      </c>
      <c r="O50" s="2">
        <f t="shared" si="9"/>
        <v>8675.7999999999993</v>
      </c>
      <c r="P50" s="2">
        <f t="shared" si="9"/>
        <v>8675.7999999999993</v>
      </c>
      <c r="Q50" s="2">
        <f t="shared" si="9"/>
        <v>8675.7999999999993</v>
      </c>
      <c r="R50" s="2">
        <f t="shared" si="9"/>
        <v>8675.7999999999993</v>
      </c>
      <c r="S50" s="2">
        <f t="shared" si="8"/>
        <v>8675.7999999999993</v>
      </c>
      <c r="T50" s="2">
        <f t="shared" si="7"/>
        <v>8675.7999999999993</v>
      </c>
      <c r="U50" s="2">
        <f t="shared" si="7"/>
        <v>8675.7999999999993</v>
      </c>
      <c r="V50" s="2">
        <f t="shared" si="7"/>
        <v>8675.7999999999993</v>
      </c>
      <c r="W50" s="2">
        <f t="shared" si="7"/>
        <v>8675.7999999999993</v>
      </c>
      <c r="X50" s="2">
        <f t="shared" si="7"/>
        <v>8675.7999999999993</v>
      </c>
      <c r="Y50" s="2">
        <f t="shared" si="7"/>
        <v>8675.7999999999993</v>
      </c>
      <c r="Z50" s="2">
        <f t="shared" si="7"/>
        <v>8675.7999999999993</v>
      </c>
      <c r="AA50" s="4">
        <f t="shared" si="7"/>
        <v>8675.7999999999993</v>
      </c>
      <c r="AB50" s="126">
        <f t="shared" si="1"/>
        <v>208219.19999999992</v>
      </c>
      <c r="AC50" s="126">
        <v>22</v>
      </c>
      <c r="AD50" s="127">
        <f>(AB50*AC50)+(AB51*AC51)+(AB52*AC52)+(AB53*AC53)</f>
        <v>6454795.1999999974</v>
      </c>
      <c r="AE50" s="27"/>
    </row>
    <row r="51" spans="2:31">
      <c r="B51" s="128"/>
      <c r="C51" s="129" t="s">
        <v>6</v>
      </c>
      <c r="D51" s="1">
        <f t="shared" si="9"/>
        <v>8675.7999999999993</v>
      </c>
      <c r="E51" s="1">
        <f t="shared" si="9"/>
        <v>8675.7999999999993</v>
      </c>
      <c r="F51" s="1">
        <f t="shared" si="9"/>
        <v>8675.7999999999993</v>
      </c>
      <c r="G51" s="1">
        <f t="shared" si="9"/>
        <v>8675.7999999999993</v>
      </c>
      <c r="H51" s="1">
        <f t="shared" si="9"/>
        <v>8675.7999999999993</v>
      </c>
      <c r="I51" s="1">
        <f t="shared" si="9"/>
        <v>8675.7999999999993</v>
      </c>
      <c r="J51" s="1">
        <f t="shared" si="9"/>
        <v>8675.7999999999993</v>
      </c>
      <c r="K51" s="1">
        <f t="shared" si="9"/>
        <v>8675.7999999999993</v>
      </c>
      <c r="L51" s="1">
        <f t="shared" si="9"/>
        <v>8675.7999999999993</v>
      </c>
      <c r="M51" s="1">
        <f t="shared" si="9"/>
        <v>8675.7999999999993</v>
      </c>
      <c r="N51" s="1">
        <f t="shared" si="9"/>
        <v>8675.7999999999993</v>
      </c>
      <c r="O51" s="1">
        <f t="shared" si="9"/>
        <v>8675.7999999999993</v>
      </c>
      <c r="P51" s="1">
        <f t="shared" si="9"/>
        <v>8675.7999999999993</v>
      </c>
      <c r="Q51" s="1">
        <f t="shared" si="9"/>
        <v>8675.7999999999993</v>
      </c>
      <c r="R51" s="1">
        <f t="shared" si="9"/>
        <v>8675.7999999999993</v>
      </c>
      <c r="S51" s="1">
        <f t="shared" si="8"/>
        <v>8675.7999999999993</v>
      </c>
      <c r="T51" s="1">
        <f t="shared" si="7"/>
        <v>8675.7999999999993</v>
      </c>
      <c r="U51" s="1">
        <f t="shared" si="7"/>
        <v>8675.7999999999993</v>
      </c>
      <c r="V51" s="1">
        <f t="shared" si="7"/>
        <v>8675.7999999999993</v>
      </c>
      <c r="W51" s="1">
        <f t="shared" si="7"/>
        <v>8675.7999999999993</v>
      </c>
      <c r="X51" s="1">
        <f t="shared" si="7"/>
        <v>8675.7999999999993</v>
      </c>
      <c r="Y51" s="1">
        <f t="shared" si="7"/>
        <v>8675.7999999999993</v>
      </c>
      <c r="Z51" s="1">
        <f t="shared" si="7"/>
        <v>8675.7999999999993</v>
      </c>
      <c r="AA51" s="5">
        <f t="shared" si="7"/>
        <v>8675.7999999999993</v>
      </c>
      <c r="AB51" s="130">
        <f t="shared" si="1"/>
        <v>208219.19999999992</v>
      </c>
      <c r="AC51" s="130">
        <v>3</v>
      </c>
      <c r="AD51" s="131"/>
      <c r="AE51" s="27"/>
    </row>
    <row r="52" spans="2:31">
      <c r="B52" s="128"/>
      <c r="C52" s="129" t="s">
        <v>7</v>
      </c>
      <c r="D52" s="1">
        <f t="shared" si="9"/>
        <v>8675.7999999999993</v>
      </c>
      <c r="E52" s="1">
        <f t="shared" si="9"/>
        <v>8675.7999999999993</v>
      </c>
      <c r="F52" s="1">
        <f t="shared" si="9"/>
        <v>8675.7999999999993</v>
      </c>
      <c r="G52" s="1">
        <f t="shared" si="9"/>
        <v>8675.7999999999993</v>
      </c>
      <c r="H52" s="1">
        <f t="shared" si="9"/>
        <v>8675.7999999999993</v>
      </c>
      <c r="I52" s="1">
        <f t="shared" si="9"/>
        <v>8675.7999999999993</v>
      </c>
      <c r="J52" s="1">
        <f t="shared" si="9"/>
        <v>8675.7999999999993</v>
      </c>
      <c r="K52" s="1">
        <f t="shared" si="9"/>
        <v>8675.7999999999993</v>
      </c>
      <c r="L52" s="1">
        <f t="shared" si="9"/>
        <v>8675.7999999999993</v>
      </c>
      <c r="M52" s="1">
        <f t="shared" si="9"/>
        <v>8675.7999999999993</v>
      </c>
      <c r="N52" s="1">
        <f t="shared" si="9"/>
        <v>8675.7999999999993</v>
      </c>
      <c r="O52" s="1">
        <f t="shared" si="9"/>
        <v>8675.7999999999993</v>
      </c>
      <c r="P52" s="1">
        <f t="shared" si="9"/>
        <v>8675.7999999999993</v>
      </c>
      <c r="Q52" s="1">
        <f t="shared" si="9"/>
        <v>8675.7999999999993</v>
      </c>
      <c r="R52" s="1">
        <f t="shared" si="9"/>
        <v>8675.7999999999993</v>
      </c>
      <c r="S52" s="1">
        <f t="shared" si="8"/>
        <v>8675.7999999999993</v>
      </c>
      <c r="T52" s="1">
        <f t="shared" si="7"/>
        <v>8675.7999999999993</v>
      </c>
      <c r="U52" s="1">
        <f t="shared" si="7"/>
        <v>8675.7999999999993</v>
      </c>
      <c r="V52" s="1">
        <f t="shared" si="7"/>
        <v>8675.7999999999993</v>
      </c>
      <c r="W52" s="1">
        <f t="shared" si="7"/>
        <v>8675.7999999999993</v>
      </c>
      <c r="X52" s="1">
        <f t="shared" si="7"/>
        <v>8675.7999999999993</v>
      </c>
      <c r="Y52" s="1">
        <f t="shared" si="7"/>
        <v>8675.7999999999993</v>
      </c>
      <c r="Z52" s="1">
        <f t="shared" si="7"/>
        <v>8675.7999999999993</v>
      </c>
      <c r="AA52" s="5">
        <f t="shared" si="7"/>
        <v>8675.7999999999993</v>
      </c>
      <c r="AB52" s="130">
        <f t="shared" si="1"/>
        <v>208219.19999999992</v>
      </c>
      <c r="AC52" s="130">
        <v>4</v>
      </c>
      <c r="AD52" s="131"/>
      <c r="AE52" s="27"/>
    </row>
    <row r="53" spans="2:31" ht="15" thickBot="1">
      <c r="B53" s="132"/>
      <c r="C53" s="133" t="s">
        <v>8</v>
      </c>
      <c r="D53" s="3">
        <f t="shared" si="9"/>
        <v>8675.7999999999993</v>
      </c>
      <c r="E53" s="3">
        <f t="shared" si="9"/>
        <v>8675.7999999999993</v>
      </c>
      <c r="F53" s="3">
        <f t="shared" si="9"/>
        <v>8675.7999999999993</v>
      </c>
      <c r="G53" s="3">
        <f t="shared" si="9"/>
        <v>8675.7999999999993</v>
      </c>
      <c r="H53" s="3">
        <f t="shared" si="9"/>
        <v>8675.7999999999993</v>
      </c>
      <c r="I53" s="3">
        <f t="shared" si="9"/>
        <v>8675.7999999999993</v>
      </c>
      <c r="J53" s="3">
        <f t="shared" si="9"/>
        <v>8675.7999999999993</v>
      </c>
      <c r="K53" s="3">
        <f t="shared" si="9"/>
        <v>8675.7999999999993</v>
      </c>
      <c r="L53" s="3">
        <f t="shared" si="9"/>
        <v>8675.7999999999993</v>
      </c>
      <c r="M53" s="3">
        <f t="shared" si="9"/>
        <v>8675.7999999999993</v>
      </c>
      <c r="N53" s="3">
        <f t="shared" si="9"/>
        <v>8675.7999999999993</v>
      </c>
      <c r="O53" s="3">
        <f t="shared" si="9"/>
        <v>8675.7999999999993</v>
      </c>
      <c r="P53" s="3">
        <f t="shared" si="9"/>
        <v>8675.7999999999993</v>
      </c>
      <c r="Q53" s="3">
        <f t="shared" si="9"/>
        <v>8675.7999999999993</v>
      </c>
      <c r="R53" s="3">
        <f t="shared" si="9"/>
        <v>8675.7999999999993</v>
      </c>
      <c r="S53" s="3">
        <f t="shared" si="8"/>
        <v>8675.7999999999993</v>
      </c>
      <c r="T53" s="3">
        <f t="shared" si="7"/>
        <v>8675.7999999999993</v>
      </c>
      <c r="U53" s="3">
        <f t="shared" si="7"/>
        <v>8675.7999999999993</v>
      </c>
      <c r="V53" s="3">
        <f t="shared" si="7"/>
        <v>8675.7999999999993</v>
      </c>
      <c r="W53" s="3">
        <f t="shared" si="7"/>
        <v>8675.7999999999993</v>
      </c>
      <c r="X53" s="3">
        <f t="shared" si="7"/>
        <v>8675.7999999999993</v>
      </c>
      <c r="Y53" s="3">
        <f t="shared" si="7"/>
        <v>8675.7999999999993</v>
      </c>
      <c r="Z53" s="3">
        <f t="shared" si="7"/>
        <v>8675.7999999999993</v>
      </c>
      <c r="AA53" s="6">
        <f t="shared" si="7"/>
        <v>8675.7999999999993</v>
      </c>
      <c r="AB53" s="134">
        <f t="shared" si="1"/>
        <v>208219.19999999992</v>
      </c>
      <c r="AC53" s="134">
        <v>2</v>
      </c>
      <c r="AD53" s="135"/>
      <c r="AE53" s="27"/>
    </row>
    <row r="54" spans="2:31" ht="15" thickBot="1">
      <c r="AD54" s="7">
        <f>SUM(AD6:AD53)</f>
        <v>76000007.99999997</v>
      </c>
    </row>
    <row r="56" spans="2:31">
      <c r="AD56" s="33"/>
    </row>
    <row r="57" spans="2:31">
      <c r="D57" s="137"/>
    </row>
  </sheetData>
  <mergeCells count="27">
    <mergeCell ref="B50:B53"/>
    <mergeCell ref="AD50:AD53"/>
    <mergeCell ref="B38:B41"/>
    <mergeCell ref="AD38:AD41"/>
    <mergeCell ref="B42:B45"/>
    <mergeCell ref="AD42:AD45"/>
    <mergeCell ref="B46:B49"/>
    <mergeCell ref="AD46:AD49"/>
    <mergeCell ref="B26:B29"/>
    <mergeCell ref="AD26:AD29"/>
    <mergeCell ref="B30:B33"/>
    <mergeCell ref="AD30:AD33"/>
    <mergeCell ref="B34:B37"/>
    <mergeCell ref="AD34:AD37"/>
    <mergeCell ref="B14:B17"/>
    <mergeCell ref="AD14:AD17"/>
    <mergeCell ref="B18:B21"/>
    <mergeCell ref="AD18:AD21"/>
    <mergeCell ref="B22:B25"/>
    <mergeCell ref="AD22:AD25"/>
    <mergeCell ref="B10:B13"/>
    <mergeCell ref="AD10:AD13"/>
    <mergeCell ref="B2:AB2"/>
    <mergeCell ref="B3:AB3"/>
    <mergeCell ref="B4:AB4"/>
    <mergeCell ref="B6:B9"/>
    <mergeCell ref="AD6:AD9"/>
  </mergeCells>
  <conditionalFormatting sqref="D6:AA53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851B-0573-4F37-8CF2-7E2B561D78C4}">
  <dimension ref="B3:M28"/>
  <sheetViews>
    <sheetView showGridLines="0" zoomScale="90" zoomScaleNormal="90" workbookViewId="0">
      <selection activeCell="E13" sqref="E13"/>
    </sheetView>
  </sheetViews>
  <sheetFormatPr baseColWidth="10" defaultColWidth="11.453125" defaultRowHeight="14.5"/>
  <cols>
    <col min="1" max="3" width="11.453125" style="8"/>
    <col min="4" max="4" width="15.26953125" style="8" customWidth="1"/>
    <col min="5" max="5" width="11.453125" style="8" bestFit="1"/>
    <col min="6" max="6" width="13.26953125" style="8" customWidth="1"/>
    <col min="7" max="7" width="11.453125" style="8" bestFit="1"/>
    <col min="8" max="8" width="12.6328125" style="26" bestFit="1" customWidth="1"/>
    <col min="9" max="9" width="11.453125" style="29" bestFit="1"/>
    <col min="10" max="10" width="16.36328125" style="8" bestFit="1" customWidth="1"/>
    <col min="11" max="16384" width="11.453125" style="8"/>
  </cols>
  <sheetData>
    <row r="3" spans="2:13" ht="15" thickBot="1"/>
    <row r="4" spans="2:13">
      <c r="B4" s="61" t="s">
        <v>52</v>
      </c>
      <c r="C4" s="99"/>
      <c r="D4" s="99"/>
      <c r="E4" s="99"/>
      <c r="F4" s="99"/>
      <c r="G4" s="100"/>
    </row>
    <row r="5" spans="2:13">
      <c r="B5" s="63" t="s">
        <v>9</v>
      </c>
      <c r="C5" s="101"/>
      <c r="D5" s="101"/>
      <c r="E5" s="101"/>
      <c r="F5" s="101"/>
      <c r="G5" s="102"/>
    </row>
    <row r="6" spans="2:13">
      <c r="B6" s="65" t="s">
        <v>10</v>
      </c>
      <c r="C6" s="103"/>
      <c r="D6" s="103"/>
      <c r="E6" s="103"/>
      <c r="F6" s="103"/>
      <c r="G6" s="104"/>
    </row>
    <row r="7" spans="2:13" ht="15" thickBot="1">
      <c r="B7" s="67" t="s">
        <v>39</v>
      </c>
      <c r="C7" s="105"/>
      <c r="D7" s="105"/>
      <c r="E7" s="105"/>
      <c r="F7" s="105"/>
      <c r="G7" s="106"/>
    </row>
    <row r="8" spans="2:13" ht="15" thickBot="1">
      <c r="B8" s="70" t="s">
        <v>48</v>
      </c>
      <c r="C8" s="107"/>
      <c r="D8" s="107"/>
      <c r="E8" s="107"/>
      <c r="F8" s="107"/>
      <c r="G8" s="108"/>
    </row>
    <row r="9" spans="2:13">
      <c r="B9" s="34">
        <v>2027</v>
      </c>
      <c r="C9" s="35" t="s">
        <v>25</v>
      </c>
      <c r="D9" s="36">
        <f>+'Producto 4 Plano 27'!AE6</f>
        <v>6454795.1999999974</v>
      </c>
      <c r="E9" s="56"/>
      <c r="F9" s="53">
        <f t="shared" ref="F9:F20" si="0">+E9*D9</f>
        <v>0</v>
      </c>
      <c r="G9" s="49"/>
      <c r="H9" s="32"/>
      <c r="I9" s="30"/>
    </row>
    <row r="10" spans="2:13">
      <c r="B10" s="38">
        <f t="shared" ref="B10:B20" si="1">+B9</f>
        <v>2027</v>
      </c>
      <c r="C10" s="39" t="s">
        <v>26</v>
      </c>
      <c r="D10" s="40">
        <f>+'Producto 4 Plano 27'!AE7</f>
        <v>5830137.5999999978</v>
      </c>
      <c r="E10" s="57"/>
      <c r="F10" s="54">
        <f t="shared" si="0"/>
        <v>0</v>
      </c>
      <c r="G10" s="37"/>
    </row>
    <row r="11" spans="2:13">
      <c r="B11" s="38">
        <f t="shared" si="1"/>
        <v>2027</v>
      </c>
      <c r="C11" s="39" t="s">
        <v>27</v>
      </c>
      <c r="D11" s="40">
        <f>+'Producto 4 Plano 27'!AE8</f>
        <v>6454795.1999999974</v>
      </c>
      <c r="E11" s="57"/>
      <c r="F11" s="54">
        <f t="shared" si="0"/>
        <v>0</v>
      </c>
      <c r="G11" s="37"/>
    </row>
    <row r="12" spans="2:13">
      <c r="B12" s="38">
        <f t="shared" si="1"/>
        <v>2027</v>
      </c>
      <c r="C12" s="39" t="s">
        <v>28</v>
      </c>
      <c r="D12" s="40">
        <f>+'Producto 4 Plano 27'!AE9</f>
        <v>6246575.9999999981</v>
      </c>
      <c r="E12" s="57"/>
      <c r="F12" s="54">
        <f t="shared" si="0"/>
        <v>0</v>
      </c>
      <c r="G12" s="37"/>
      <c r="I12" s="45"/>
      <c r="J12" s="46"/>
      <c r="K12" s="47"/>
      <c r="M12" s="47"/>
    </row>
    <row r="13" spans="2:13">
      <c r="B13" s="38">
        <f t="shared" si="1"/>
        <v>2027</v>
      </c>
      <c r="C13" s="39" t="s">
        <v>29</v>
      </c>
      <c r="D13" s="40">
        <f>+'Producto 4 Plano 27'!AE10</f>
        <v>6454795.1999999974</v>
      </c>
      <c r="E13" s="57"/>
      <c r="F13" s="54">
        <f t="shared" si="0"/>
        <v>0</v>
      </c>
      <c r="G13" s="37"/>
      <c r="I13" s="45"/>
      <c r="J13" s="46"/>
      <c r="K13" s="47"/>
      <c r="M13" s="47"/>
    </row>
    <row r="14" spans="2:13">
      <c r="B14" s="38">
        <f t="shared" si="1"/>
        <v>2027</v>
      </c>
      <c r="C14" s="39" t="s">
        <v>18</v>
      </c>
      <c r="D14" s="40">
        <f>+'Producto 4 Plano 27'!AE11</f>
        <v>6246575.9999999981</v>
      </c>
      <c r="E14" s="57"/>
      <c r="F14" s="54">
        <f t="shared" si="0"/>
        <v>0</v>
      </c>
      <c r="G14" s="37"/>
      <c r="I14" s="45"/>
      <c r="J14" s="46"/>
      <c r="K14" s="47"/>
      <c r="M14" s="47"/>
    </row>
    <row r="15" spans="2:13">
      <c r="B15" s="38">
        <f t="shared" si="1"/>
        <v>2027</v>
      </c>
      <c r="C15" s="39" t="s">
        <v>19</v>
      </c>
      <c r="D15" s="40">
        <f>+'Producto 4 Plano 27'!AE12</f>
        <v>6454795.1999999974</v>
      </c>
      <c r="E15" s="57"/>
      <c r="F15" s="54">
        <f t="shared" si="0"/>
        <v>0</v>
      </c>
      <c r="G15" s="37"/>
      <c r="I15" s="45"/>
      <c r="J15" s="46"/>
      <c r="K15" s="47"/>
      <c r="M15" s="47"/>
    </row>
    <row r="16" spans="2:13">
      <c r="B16" s="38">
        <f t="shared" si="1"/>
        <v>2027</v>
      </c>
      <c r="C16" s="39" t="s">
        <v>20</v>
      </c>
      <c r="D16" s="40">
        <f>+'Producto 4 Plano 27'!AE13</f>
        <v>6454795.1999999974</v>
      </c>
      <c r="E16" s="57"/>
      <c r="F16" s="54">
        <f t="shared" si="0"/>
        <v>0</v>
      </c>
      <c r="G16" s="37"/>
      <c r="I16" s="45"/>
      <c r="J16" s="46"/>
      <c r="K16" s="47"/>
      <c r="M16" s="47"/>
    </row>
    <row r="17" spans="2:13">
      <c r="B17" s="38">
        <f t="shared" si="1"/>
        <v>2027</v>
      </c>
      <c r="C17" s="39" t="s">
        <v>21</v>
      </c>
      <c r="D17" s="40">
        <f>+'Producto 4 Plano 27'!AE14</f>
        <v>6246575.9999999981</v>
      </c>
      <c r="E17" s="57"/>
      <c r="F17" s="54">
        <f t="shared" si="0"/>
        <v>0</v>
      </c>
      <c r="G17" s="37"/>
      <c r="I17" s="45"/>
      <c r="J17" s="46"/>
      <c r="K17" s="47"/>
      <c r="M17" s="47"/>
    </row>
    <row r="18" spans="2:13">
      <c r="B18" s="38">
        <f t="shared" si="1"/>
        <v>2027</v>
      </c>
      <c r="C18" s="39" t="s">
        <v>22</v>
      </c>
      <c r="D18" s="40">
        <f>+'Producto 4 Plano 27'!AE15</f>
        <v>6454795.1999999983</v>
      </c>
      <c r="E18" s="57"/>
      <c r="F18" s="54">
        <f t="shared" si="0"/>
        <v>0</v>
      </c>
      <c r="G18" s="37"/>
      <c r="I18" s="45"/>
      <c r="J18" s="46"/>
      <c r="K18" s="47"/>
      <c r="M18" s="47"/>
    </row>
    <row r="19" spans="2:13">
      <c r="B19" s="38">
        <f t="shared" si="1"/>
        <v>2027</v>
      </c>
      <c r="C19" s="39" t="s">
        <v>23</v>
      </c>
      <c r="D19" s="40">
        <f>+'Producto 4 Plano 27'!AE16</f>
        <v>6246575.9999999972</v>
      </c>
      <c r="E19" s="57"/>
      <c r="F19" s="54">
        <f t="shared" si="0"/>
        <v>0</v>
      </c>
      <c r="G19" s="37"/>
      <c r="I19" s="45"/>
      <c r="J19" s="46"/>
      <c r="K19" s="47"/>
      <c r="M19" s="47"/>
    </row>
    <row r="20" spans="2:13" ht="15" thickBot="1">
      <c r="B20" s="41">
        <f t="shared" si="1"/>
        <v>2027</v>
      </c>
      <c r="C20" s="42" t="s">
        <v>24</v>
      </c>
      <c r="D20" s="43">
        <f>+'Producto 4 Plano 27'!AE17</f>
        <v>6454795.1999999974</v>
      </c>
      <c r="E20" s="58"/>
      <c r="F20" s="55">
        <f t="shared" si="0"/>
        <v>0</v>
      </c>
      <c r="G20" s="44"/>
      <c r="I20" s="45"/>
      <c r="J20" s="46"/>
      <c r="K20" s="47"/>
      <c r="M20" s="47"/>
    </row>
    <row r="21" spans="2:13" ht="15" thickBot="1">
      <c r="B21" s="59" t="s">
        <v>49</v>
      </c>
      <c r="C21" s="60"/>
      <c r="D21" s="24">
        <f>+SUM(D9:D20)</f>
        <v>76000007.99999997</v>
      </c>
      <c r="J21" s="31"/>
      <c r="K21" s="48"/>
    </row>
    <row r="23" spans="2:13">
      <c r="B23" s="8" t="s">
        <v>30</v>
      </c>
    </row>
    <row r="24" spans="2:13">
      <c r="B24" s="8" t="s">
        <v>31</v>
      </c>
    </row>
    <row r="25" spans="2:13">
      <c r="B25" s="8" t="s">
        <v>32</v>
      </c>
    </row>
    <row r="26" spans="2:13">
      <c r="B26" s="8" t="s">
        <v>33</v>
      </c>
    </row>
    <row r="28" spans="2:13">
      <c r="D28" s="25"/>
    </row>
  </sheetData>
  <mergeCells count="6">
    <mergeCell ref="B21:C21"/>
    <mergeCell ref="B4:G4"/>
    <mergeCell ref="B5:G5"/>
    <mergeCell ref="B6:G6"/>
    <mergeCell ref="B7:G7"/>
    <mergeCell ref="B8:G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F6BA-6A31-4842-A0D2-3FB14C54B3F5}">
  <dimension ref="B2:AE59"/>
  <sheetViews>
    <sheetView showGridLines="0" zoomScale="90" zoomScaleNormal="90" workbookViewId="0">
      <selection activeCell="B6" sqref="B6:B9"/>
    </sheetView>
  </sheetViews>
  <sheetFormatPr baseColWidth="10" defaultRowHeight="14.5"/>
  <cols>
    <col min="1" max="1" width="1.81640625" style="109" customWidth="1"/>
    <col min="2" max="2" width="10" style="109" customWidth="1"/>
    <col min="3" max="3" width="8.81640625" style="109" bestFit="1" customWidth="1"/>
    <col min="4" max="4" width="10.54296875" style="109" bestFit="1" customWidth="1"/>
    <col min="5" max="27" width="8.81640625" style="109" bestFit="1" customWidth="1"/>
    <col min="28" max="28" width="8.453125" style="109" bestFit="1" customWidth="1"/>
    <col min="29" max="29" width="7.453125" style="109" customWidth="1"/>
    <col min="30" max="30" width="19.1796875" style="109" customWidth="1"/>
    <col min="31" max="31" width="14.90625" style="26" customWidth="1"/>
    <col min="32" max="32" width="17.453125" style="109" bestFit="1" customWidth="1"/>
    <col min="33" max="16384" width="10.90625" style="109"/>
  </cols>
  <sheetData>
    <row r="2" spans="2:31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</row>
    <row r="3" spans="2:31">
      <c r="B3" s="113" t="s">
        <v>54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</row>
    <row r="4" spans="2:31" ht="15" thickBot="1">
      <c r="B4" s="114" t="s">
        <v>51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 spans="2:31" ht="25.5" customHeight="1" thickBot="1">
      <c r="B5" s="115"/>
      <c r="C5" s="116" t="s">
        <v>1</v>
      </c>
      <c r="D5" s="117">
        <v>1</v>
      </c>
      <c r="E5" s="117">
        <v>2</v>
      </c>
      <c r="F5" s="117">
        <v>3</v>
      </c>
      <c r="G5" s="117">
        <v>4</v>
      </c>
      <c r="H5" s="117">
        <v>5</v>
      </c>
      <c r="I5" s="117">
        <v>6</v>
      </c>
      <c r="J5" s="118">
        <v>7</v>
      </c>
      <c r="K5" s="118">
        <v>8</v>
      </c>
      <c r="L5" s="118">
        <v>9</v>
      </c>
      <c r="M5" s="118">
        <v>10</v>
      </c>
      <c r="N5" s="118">
        <v>11</v>
      </c>
      <c r="O5" s="118">
        <v>12</v>
      </c>
      <c r="P5" s="118">
        <v>13</v>
      </c>
      <c r="Q5" s="118">
        <v>14</v>
      </c>
      <c r="R5" s="118">
        <v>15</v>
      </c>
      <c r="S5" s="118">
        <v>16</v>
      </c>
      <c r="T5" s="118">
        <v>17</v>
      </c>
      <c r="U5" s="118">
        <v>18</v>
      </c>
      <c r="V5" s="119">
        <v>19</v>
      </c>
      <c r="W5" s="119">
        <v>20</v>
      </c>
      <c r="X5" s="119">
        <v>21</v>
      </c>
      <c r="Y5" s="117">
        <v>22</v>
      </c>
      <c r="Z5" s="117">
        <v>23</v>
      </c>
      <c r="AA5" s="120">
        <v>24</v>
      </c>
      <c r="AB5" s="121" t="s">
        <v>2</v>
      </c>
      <c r="AC5" s="122" t="s">
        <v>3</v>
      </c>
      <c r="AD5" s="123" t="s">
        <v>2</v>
      </c>
    </row>
    <row r="6" spans="2:31">
      <c r="B6" s="124">
        <v>46388</v>
      </c>
      <c r="C6" s="125" t="s">
        <v>5</v>
      </c>
      <c r="D6" s="2">
        <v>4109.59</v>
      </c>
      <c r="E6" s="2">
        <f>+D6</f>
        <v>4109.59</v>
      </c>
      <c r="F6" s="2">
        <f>+D6</f>
        <v>4109.59</v>
      </c>
      <c r="G6" s="2">
        <f>+D6</f>
        <v>4109.59</v>
      </c>
      <c r="H6" s="2">
        <f>+D6</f>
        <v>4109.59</v>
      </c>
      <c r="I6" s="2">
        <f>+D6</f>
        <v>4109.59</v>
      </c>
      <c r="J6" s="2">
        <f>+D6</f>
        <v>4109.59</v>
      </c>
      <c r="K6" s="2">
        <f>+D6</f>
        <v>4109.59</v>
      </c>
      <c r="L6" s="2">
        <f>+D6</f>
        <v>4109.59</v>
      </c>
      <c r="M6" s="2">
        <f>+D6</f>
        <v>4109.59</v>
      </c>
      <c r="N6" s="2">
        <f>+D6</f>
        <v>4109.59</v>
      </c>
      <c r="O6" s="2">
        <f>+D6</f>
        <v>4109.59</v>
      </c>
      <c r="P6" s="2">
        <f>+D6</f>
        <v>4109.59</v>
      </c>
      <c r="Q6" s="2">
        <f>+D6</f>
        <v>4109.59</v>
      </c>
      <c r="R6" s="2">
        <f>+D6</f>
        <v>4109.59</v>
      </c>
      <c r="S6" s="2">
        <f>+D6</f>
        <v>4109.59</v>
      </c>
      <c r="T6" s="2">
        <f>+D6</f>
        <v>4109.59</v>
      </c>
      <c r="U6" s="2">
        <f>+D6</f>
        <v>4109.59</v>
      </c>
      <c r="V6" s="2">
        <f>+D6</f>
        <v>4109.59</v>
      </c>
      <c r="W6" s="2">
        <f>+D6</f>
        <v>4109.59</v>
      </c>
      <c r="X6" s="2">
        <f>+D6</f>
        <v>4109.59</v>
      </c>
      <c r="Y6" s="2">
        <f>+D6</f>
        <v>4109.59</v>
      </c>
      <c r="Z6" s="2">
        <f>+D6</f>
        <v>4109.59</v>
      </c>
      <c r="AA6" s="4">
        <f>+D6</f>
        <v>4109.59</v>
      </c>
      <c r="AB6" s="126">
        <f t="shared" ref="AB6:AB53" si="0">(SUM(D6:AA6))</f>
        <v>98630.159999999945</v>
      </c>
      <c r="AC6" s="126">
        <v>19</v>
      </c>
      <c r="AD6" s="127">
        <f>(AB6*AC6)+(AB7*AC7)+(AB8*AC8)+(AB9*AC9)</f>
        <v>3057534.9599999981</v>
      </c>
      <c r="AE6" s="27">
        <f>+AD6</f>
        <v>3057534.9599999981</v>
      </c>
    </row>
    <row r="7" spans="2:31">
      <c r="B7" s="128"/>
      <c r="C7" s="129" t="s">
        <v>6</v>
      </c>
      <c r="D7" s="1">
        <f>+D6</f>
        <v>4109.59</v>
      </c>
      <c r="E7" s="1">
        <f>+D6</f>
        <v>4109.59</v>
      </c>
      <c r="F7" s="1">
        <f>+D6</f>
        <v>4109.59</v>
      </c>
      <c r="G7" s="1">
        <f>+D6</f>
        <v>4109.59</v>
      </c>
      <c r="H7" s="1">
        <f>+D6</f>
        <v>4109.59</v>
      </c>
      <c r="I7" s="1">
        <f>+D6</f>
        <v>4109.59</v>
      </c>
      <c r="J7" s="1">
        <f>+D6</f>
        <v>4109.59</v>
      </c>
      <c r="K7" s="1">
        <f>+D6</f>
        <v>4109.59</v>
      </c>
      <c r="L7" s="1">
        <f>+D6</f>
        <v>4109.59</v>
      </c>
      <c r="M7" s="1">
        <f>+D6</f>
        <v>4109.59</v>
      </c>
      <c r="N7" s="1">
        <f>+D6</f>
        <v>4109.59</v>
      </c>
      <c r="O7" s="1">
        <f>+D6</f>
        <v>4109.59</v>
      </c>
      <c r="P7" s="1">
        <f>+D6</f>
        <v>4109.59</v>
      </c>
      <c r="Q7" s="1">
        <f>+D6</f>
        <v>4109.59</v>
      </c>
      <c r="R7" s="1">
        <f>+D6</f>
        <v>4109.59</v>
      </c>
      <c r="S7" s="1">
        <f>+D6</f>
        <v>4109.59</v>
      </c>
      <c r="T7" s="1">
        <f>+D6</f>
        <v>4109.59</v>
      </c>
      <c r="U7" s="1">
        <f>+D6</f>
        <v>4109.59</v>
      </c>
      <c r="V7" s="1">
        <f>+D6</f>
        <v>4109.59</v>
      </c>
      <c r="W7" s="1">
        <f>+D6</f>
        <v>4109.59</v>
      </c>
      <c r="X7" s="1">
        <f>+D6</f>
        <v>4109.59</v>
      </c>
      <c r="Y7" s="1">
        <f>+D6</f>
        <v>4109.59</v>
      </c>
      <c r="Z7" s="1">
        <f>+D6</f>
        <v>4109.59</v>
      </c>
      <c r="AA7" s="5">
        <f>+D6</f>
        <v>4109.59</v>
      </c>
      <c r="AB7" s="130">
        <f t="shared" si="0"/>
        <v>98630.159999999945</v>
      </c>
      <c r="AC7" s="130">
        <v>5</v>
      </c>
      <c r="AD7" s="131"/>
      <c r="AE7" s="27">
        <f>+AD10</f>
        <v>2761644.4799999981</v>
      </c>
    </row>
    <row r="8" spans="2:31">
      <c r="B8" s="128"/>
      <c r="C8" s="129" t="s">
        <v>7</v>
      </c>
      <c r="D8" s="1">
        <f>+D6</f>
        <v>4109.59</v>
      </c>
      <c r="E8" s="1">
        <f>+D6</f>
        <v>4109.59</v>
      </c>
      <c r="F8" s="1">
        <f>+D6</f>
        <v>4109.59</v>
      </c>
      <c r="G8" s="1">
        <f>+D6</f>
        <v>4109.59</v>
      </c>
      <c r="H8" s="1">
        <f>+D6</f>
        <v>4109.59</v>
      </c>
      <c r="I8" s="1">
        <f>+D6</f>
        <v>4109.59</v>
      </c>
      <c r="J8" s="1">
        <f>+D6</f>
        <v>4109.59</v>
      </c>
      <c r="K8" s="1">
        <f>+D6</f>
        <v>4109.59</v>
      </c>
      <c r="L8" s="1">
        <f>+D6</f>
        <v>4109.59</v>
      </c>
      <c r="M8" s="1">
        <f>+D6</f>
        <v>4109.59</v>
      </c>
      <c r="N8" s="1">
        <f>+D6</f>
        <v>4109.59</v>
      </c>
      <c r="O8" s="1">
        <f>+D6</f>
        <v>4109.59</v>
      </c>
      <c r="P8" s="1">
        <f>+D6</f>
        <v>4109.59</v>
      </c>
      <c r="Q8" s="1">
        <f>+D6</f>
        <v>4109.59</v>
      </c>
      <c r="R8" s="1">
        <f>+D6</f>
        <v>4109.59</v>
      </c>
      <c r="S8" s="1">
        <f>+D6</f>
        <v>4109.59</v>
      </c>
      <c r="T8" s="1">
        <f>+D6</f>
        <v>4109.59</v>
      </c>
      <c r="U8" s="1">
        <f>+D6</f>
        <v>4109.59</v>
      </c>
      <c r="V8" s="1">
        <f>+D6</f>
        <v>4109.59</v>
      </c>
      <c r="W8" s="1">
        <f>+D6</f>
        <v>4109.59</v>
      </c>
      <c r="X8" s="1">
        <f>+D6</f>
        <v>4109.59</v>
      </c>
      <c r="Y8" s="1">
        <f>+D6</f>
        <v>4109.59</v>
      </c>
      <c r="Z8" s="1">
        <f>+D6</f>
        <v>4109.59</v>
      </c>
      <c r="AA8" s="5">
        <f>+D6</f>
        <v>4109.59</v>
      </c>
      <c r="AB8" s="130">
        <f t="shared" si="0"/>
        <v>98630.159999999945</v>
      </c>
      <c r="AC8" s="130">
        <v>5</v>
      </c>
      <c r="AD8" s="131"/>
      <c r="AE8" s="27">
        <f>+AD14</f>
        <v>3057534.9599999981</v>
      </c>
    </row>
    <row r="9" spans="2:31" ht="15" thickBot="1">
      <c r="B9" s="132"/>
      <c r="C9" s="133" t="s">
        <v>8</v>
      </c>
      <c r="D9" s="3">
        <f>+D6</f>
        <v>4109.59</v>
      </c>
      <c r="E9" s="3">
        <f>+D6</f>
        <v>4109.59</v>
      </c>
      <c r="F9" s="3">
        <f>+D6</f>
        <v>4109.59</v>
      </c>
      <c r="G9" s="3">
        <f>+D6</f>
        <v>4109.59</v>
      </c>
      <c r="H9" s="3">
        <f>+D6</f>
        <v>4109.59</v>
      </c>
      <c r="I9" s="3">
        <f>+D6</f>
        <v>4109.59</v>
      </c>
      <c r="J9" s="3">
        <f>+D6</f>
        <v>4109.59</v>
      </c>
      <c r="K9" s="3">
        <f>+D6</f>
        <v>4109.59</v>
      </c>
      <c r="L9" s="3">
        <f>+D6</f>
        <v>4109.59</v>
      </c>
      <c r="M9" s="3">
        <f>+D6</f>
        <v>4109.59</v>
      </c>
      <c r="N9" s="3">
        <f>+D6</f>
        <v>4109.59</v>
      </c>
      <c r="O9" s="3">
        <f>+D6</f>
        <v>4109.59</v>
      </c>
      <c r="P9" s="3">
        <f>+D6</f>
        <v>4109.59</v>
      </c>
      <c r="Q9" s="3">
        <f>+D6</f>
        <v>4109.59</v>
      </c>
      <c r="R9" s="3">
        <f>+D6</f>
        <v>4109.59</v>
      </c>
      <c r="S9" s="3">
        <f>+D6</f>
        <v>4109.59</v>
      </c>
      <c r="T9" s="3">
        <f>+D6</f>
        <v>4109.59</v>
      </c>
      <c r="U9" s="3">
        <f>+D6</f>
        <v>4109.59</v>
      </c>
      <c r="V9" s="3">
        <f>+D6</f>
        <v>4109.59</v>
      </c>
      <c r="W9" s="3">
        <f>+D6</f>
        <v>4109.59</v>
      </c>
      <c r="X9" s="3">
        <f>+D6</f>
        <v>4109.59</v>
      </c>
      <c r="Y9" s="3">
        <f>+D6</f>
        <v>4109.59</v>
      </c>
      <c r="Z9" s="3">
        <f>+D6</f>
        <v>4109.59</v>
      </c>
      <c r="AA9" s="6">
        <f>+D6</f>
        <v>4109.59</v>
      </c>
      <c r="AB9" s="134">
        <f t="shared" si="0"/>
        <v>98630.159999999945</v>
      </c>
      <c r="AC9" s="134">
        <v>2</v>
      </c>
      <c r="AD9" s="135"/>
      <c r="AE9" s="27">
        <f>+AD18</f>
        <v>2958904.799999998</v>
      </c>
    </row>
    <row r="10" spans="2:31">
      <c r="B10" s="124">
        <v>46419</v>
      </c>
      <c r="C10" s="125" t="s">
        <v>5</v>
      </c>
      <c r="D10" s="2">
        <v>4109.59</v>
      </c>
      <c r="E10" s="2">
        <f>+D10</f>
        <v>4109.59</v>
      </c>
      <c r="F10" s="2">
        <f>+D10</f>
        <v>4109.59</v>
      </c>
      <c r="G10" s="2">
        <f>+D10</f>
        <v>4109.59</v>
      </c>
      <c r="H10" s="2">
        <f>+D10</f>
        <v>4109.59</v>
      </c>
      <c r="I10" s="2">
        <f>+D10</f>
        <v>4109.59</v>
      </c>
      <c r="J10" s="2">
        <f>+D10</f>
        <v>4109.59</v>
      </c>
      <c r="K10" s="2">
        <f>+D10</f>
        <v>4109.59</v>
      </c>
      <c r="L10" s="2">
        <f>+D10</f>
        <v>4109.59</v>
      </c>
      <c r="M10" s="2">
        <f>+D10</f>
        <v>4109.59</v>
      </c>
      <c r="N10" s="2">
        <f>+D10</f>
        <v>4109.59</v>
      </c>
      <c r="O10" s="2">
        <f>+D10</f>
        <v>4109.59</v>
      </c>
      <c r="P10" s="2">
        <f>+D10</f>
        <v>4109.59</v>
      </c>
      <c r="Q10" s="2">
        <f>+D10</f>
        <v>4109.59</v>
      </c>
      <c r="R10" s="2">
        <f>+D10</f>
        <v>4109.59</v>
      </c>
      <c r="S10" s="2">
        <f>+D10</f>
        <v>4109.59</v>
      </c>
      <c r="T10" s="2">
        <f>+D10</f>
        <v>4109.59</v>
      </c>
      <c r="U10" s="2">
        <f>+D10</f>
        <v>4109.59</v>
      </c>
      <c r="V10" s="2">
        <f>+D10</f>
        <v>4109.59</v>
      </c>
      <c r="W10" s="2">
        <f>+D10</f>
        <v>4109.59</v>
      </c>
      <c r="X10" s="2">
        <f>+D10</f>
        <v>4109.59</v>
      </c>
      <c r="Y10" s="2">
        <f>+D10</f>
        <v>4109.59</v>
      </c>
      <c r="Z10" s="2">
        <f>+D10</f>
        <v>4109.59</v>
      </c>
      <c r="AA10" s="4">
        <f>+D10</f>
        <v>4109.59</v>
      </c>
      <c r="AB10" s="126">
        <f t="shared" si="0"/>
        <v>98630.159999999945</v>
      </c>
      <c r="AC10" s="126">
        <v>20</v>
      </c>
      <c r="AD10" s="127">
        <f>(AB10*AC10)+(AB11*AC11)+(AB12*AC12)+(AB13*AC13)</f>
        <v>2761644.4799999981</v>
      </c>
      <c r="AE10" s="27">
        <f>+AD22</f>
        <v>3057534.9599999986</v>
      </c>
    </row>
    <row r="11" spans="2:31">
      <c r="B11" s="128"/>
      <c r="C11" s="129" t="s">
        <v>6</v>
      </c>
      <c r="D11" s="1">
        <f>+D10</f>
        <v>4109.59</v>
      </c>
      <c r="E11" s="1">
        <f>+D10</f>
        <v>4109.59</v>
      </c>
      <c r="F11" s="1">
        <f>+D10</f>
        <v>4109.59</v>
      </c>
      <c r="G11" s="1">
        <f>+D10</f>
        <v>4109.59</v>
      </c>
      <c r="H11" s="1">
        <f>+D10</f>
        <v>4109.59</v>
      </c>
      <c r="I11" s="1">
        <f>+D10</f>
        <v>4109.59</v>
      </c>
      <c r="J11" s="1">
        <f>+D10</f>
        <v>4109.59</v>
      </c>
      <c r="K11" s="1">
        <f>+D10</f>
        <v>4109.59</v>
      </c>
      <c r="L11" s="1">
        <f>+D10</f>
        <v>4109.59</v>
      </c>
      <c r="M11" s="1">
        <f>+D10</f>
        <v>4109.59</v>
      </c>
      <c r="N11" s="1">
        <f>+D10</f>
        <v>4109.59</v>
      </c>
      <c r="O11" s="1">
        <f>+D10</f>
        <v>4109.59</v>
      </c>
      <c r="P11" s="1">
        <f>+D10</f>
        <v>4109.59</v>
      </c>
      <c r="Q11" s="1">
        <f>+D10</f>
        <v>4109.59</v>
      </c>
      <c r="R11" s="1">
        <f>+D10</f>
        <v>4109.59</v>
      </c>
      <c r="S11" s="1">
        <f>+D10</f>
        <v>4109.59</v>
      </c>
      <c r="T11" s="1">
        <f>+D10</f>
        <v>4109.59</v>
      </c>
      <c r="U11" s="1">
        <f>+D10</f>
        <v>4109.59</v>
      </c>
      <c r="V11" s="1">
        <f>+D10</f>
        <v>4109.59</v>
      </c>
      <c r="W11" s="1">
        <f>+D10</f>
        <v>4109.59</v>
      </c>
      <c r="X11" s="1">
        <f>+D10</f>
        <v>4109.59</v>
      </c>
      <c r="Y11" s="1">
        <f>+D10</f>
        <v>4109.59</v>
      </c>
      <c r="Z11" s="1">
        <f>+D10</f>
        <v>4109.59</v>
      </c>
      <c r="AA11" s="5">
        <f>+D10</f>
        <v>4109.59</v>
      </c>
      <c r="AB11" s="130">
        <f t="shared" si="0"/>
        <v>98630.159999999945</v>
      </c>
      <c r="AC11" s="130">
        <v>4</v>
      </c>
      <c r="AD11" s="131"/>
      <c r="AE11" s="27">
        <f>+AD26</f>
        <v>2958904.7999999984</v>
      </c>
    </row>
    <row r="12" spans="2:31">
      <c r="B12" s="128"/>
      <c r="C12" s="129" t="s">
        <v>7</v>
      </c>
      <c r="D12" s="1">
        <f>+D10</f>
        <v>4109.59</v>
      </c>
      <c r="E12" s="1">
        <f>+D10</f>
        <v>4109.59</v>
      </c>
      <c r="F12" s="1">
        <f>+D10</f>
        <v>4109.59</v>
      </c>
      <c r="G12" s="1">
        <f>+D10</f>
        <v>4109.59</v>
      </c>
      <c r="H12" s="1">
        <f>+D10</f>
        <v>4109.59</v>
      </c>
      <c r="I12" s="1">
        <f>+D10</f>
        <v>4109.59</v>
      </c>
      <c r="J12" s="1">
        <f>+D10</f>
        <v>4109.59</v>
      </c>
      <c r="K12" s="1">
        <f>+D10</f>
        <v>4109.59</v>
      </c>
      <c r="L12" s="1">
        <f>+D10</f>
        <v>4109.59</v>
      </c>
      <c r="M12" s="1">
        <f>+D10</f>
        <v>4109.59</v>
      </c>
      <c r="N12" s="1">
        <f>+D10</f>
        <v>4109.59</v>
      </c>
      <c r="O12" s="1">
        <f>+D10</f>
        <v>4109.59</v>
      </c>
      <c r="P12" s="1">
        <f>+D10</f>
        <v>4109.59</v>
      </c>
      <c r="Q12" s="1">
        <f>+D10</f>
        <v>4109.59</v>
      </c>
      <c r="R12" s="1">
        <f>+D10</f>
        <v>4109.59</v>
      </c>
      <c r="S12" s="1">
        <f>+D10</f>
        <v>4109.59</v>
      </c>
      <c r="T12" s="1">
        <f>+D10</f>
        <v>4109.59</v>
      </c>
      <c r="U12" s="1">
        <f>+D10</f>
        <v>4109.59</v>
      </c>
      <c r="V12" s="1">
        <f>+D10</f>
        <v>4109.59</v>
      </c>
      <c r="W12" s="1">
        <f>+D10</f>
        <v>4109.59</v>
      </c>
      <c r="X12" s="1">
        <f>+D10</f>
        <v>4109.59</v>
      </c>
      <c r="Y12" s="1">
        <f>+D10</f>
        <v>4109.59</v>
      </c>
      <c r="Z12" s="1">
        <f>+D10</f>
        <v>4109.59</v>
      </c>
      <c r="AA12" s="5">
        <f>+D10</f>
        <v>4109.59</v>
      </c>
      <c r="AB12" s="130">
        <f t="shared" si="0"/>
        <v>98630.159999999945</v>
      </c>
      <c r="AC12" s="130">
        <v>4</v>
      </c>
      <c r="AD12" s="131"/>
      <c r="AE12" s="27">
        <f>+AD30</f>
        <v>3057534.9599999981</v>
      </c>
    </row>
    <row r="13" spans="2:31" ht="15" thickBot="1">
      <c r="B13" s="132"/>
      <c r="C13" s="133" t="s">
        <v>8</v>
      </c>
      <c r="D13" s="3">
        <f>+D10</f>
        <v>4109.59</v>
      </c>
      <c r="E13" s="3">
        <f>+D10</f>
        <v>4109.59</v>
      </c>
      <c r="F13" s="3">
        <f>+D10</f>
        <v>4109.59</v>
      </c>
      <c r="G13" s="3">
        <f>+D10</f>
        <v>4109.59</v>
      </c>
      <c r="H13" s="3">
        <f>+D10</f>
        <v>4109.59</v>
      </c>
      <c r="I13" s="3">
        <f>+D10</f>
        <v>4109.59</v>
      </c>
      <c r="J13" s="3">
        <f>+D10</f>
        <v>4109.59</v>
      </c>
      <c r="K13" s="3">
        <f>+D10</f>
        <v>4109.59</v>
      </c>
      <c r="L13" s="3">
        <f>+D10</f>
        <v>4109.59</v>
      </c>
      <c r="M13" s="3">
        <f>+D10</f>
        <v>4109.59</v>
      </c>
      <c r="N13" s="3">
        <f>+D10</f>
        <v>4109.59</v>
      </c>
      <c r="O13" s="3">
        <f>+D10</f>
        <v>4109.59</v>
      </c>
      <c r="P13" s="3">
        <f>+D10</f>
        <v>4109.59</v>
      </c>
      <c r="Q13" s="3">
        <f>+D10</f>
        <v>4109.59</v>
      </c>
      <c r="R13" s="3">
        <f>+D10</f>
        <v>4109.59</v>
      </c>
      <c r="S13" s="3">
        <f>+D10</f>
        <v>4109.59</v>
      </c>
      <c r="T13" s="3">
        <f>+D10</f>
        <v>4109.59</v>
      </c>
      <c r="U13" s="3">
        <f>+D10</f>
        <v>4109.59</v>
      </c>
      <c r="V13" s="3">
        <f>+D10</f>
        <v>4109.59</v>
      </c>
      <c r="W13" s="3">
        <f>+D10</f>
        <v>4109.59</v>
      </c>
      <c r="X13" s="3">
        <f>+D10</f>
        <v>4109.59</v>
      </c>
      <c r="Y13" s="3">
        <f>+D10</f>
        <v>4109.59</v>
      </c>
      <c r="Z13" s="3">
        <f>+D10</f>
        <v>4109.59</v>
      </c>
      <c r="AA13" s="6">
        <f>+D10</f>
        <v>4109.59</v>
      </c>
      <c r="AB13" s="134">
        <f t="shared" si="0"/>
        <v>98630.159999999945</v>
      </c>
      <c r="AC13" s="134">
        <v>0</v>
      </c>
      <c r="AD13" s="135"/>
      <c r="AE13" s="27">
        <f>+AD34</f>
        <v>3057534.9599999986</v>
      </c>
    </row>
    <row r="14" spans="2:31">
      <c r="B14" s="124">
        <v>46447</v>
      </c>
      <c r="C14" s="125" t="s">
        <v>5</v>
      </c>
      <c r="D14" s="2">
        <v>4109.59</v>
      </c>
      <c r="E14" s="2">
        <f>+D14</f>
        <v>4109.59</v>
      </c>
      <c r="F14" s="2">
        <f>+D14</f>
        <v>4109.59</v>
      </c>
      <c r="G14" s="2">
        <f>+D14</f>
        <v>4109.59</v>
      </c>
      <c r="H14" s="2">
        <f>+D14</f>
        <v>4109.59</v>
      </c>
      <c r="I14" s="2">
        <f>+D14</f>
        <v>4109.59</v>
      </c>
      <c r="J14" s="2">
        <f>+D14</f>
        <v>4109.59</v>
      </c>
      <c r="K14" s="2">
        <f>+D14</f>
        <v>4109.59</v>
      </c>
      <c r="L14" s="2">
        <f>+D14</f>
        <v>4109.59</v>
      </c>
      <c r="M14" s="2">
        <f>+D14</f>
        <v>4109.59</v>
      </c>
      <c r="N14" s="2">
        <f>+D14</f>
        <v>4109.59</v>
      </c>
      <c r="O14" s="2">
        <f>+D14</f>
        <v>4109.59</v>
      </c>
      <c r="P14" s="2">
        <f>+D14</f>
        <v>4109.59</v>
      </c>
      <c r="Q14" s="2">
        <f>+D14</f>
        <v>4109.59</v>
      </c>
      <c r="R14" s="2">
        <f>+D14</f>
        <v>4109.59</v>
      </c>
      <c r="S14" s="2">
        <f>+D14</f>
        <v>4109.59</v>
      </c>
      <c r="T14" s="2">
        <f>+D14</f>
        <v>4109.59</v>
      </c>
      <c r="U14" s="2">
        <f>+D14</f>
        <v>4109.59</v>
      </c>
      <c r="V14" s="2">
        <f>+D14</f>
        <v>4109.59</v>
      </c>
      <c r="W14" s="2">
        <f>+D14</f>
        <v>4109.59</v>
      </c>
      <c r="X14" s="2">
        <f>+D14</f>
        <v>4109.59</v>
      </c>
      <c r="Y14" s="2">
        <f>+D14</f>
        <v>4109.59</v>
      </c>
      <c r="Z14" s="2">
        <f>+D14</f>
        <v>4109.59</v>
      </c>
      <c r="AA14" s="4">
        <f>+D14</f>
        <v>4109.59</v>
      </c>
      <c r="AB14" s="126">
        <f t="shared" si="0"/>
        <v>98630.159999999945</v>
      </c>
      <c r="AC14" s="126">
        <v>20</v>
      </c>
      <c r="AD14" s="127">
        <f>(AB14*AC14)+(AB15*AC15)+(AB16*AC16)+(AB17*AC17)</f>
        <v>3057534.9599999981</v>
      </c>
      <c r="AE14" s="27">
        <f>+AD38</f>
        <v>2958904.799999998</v>
      </c>
    </row>
    <row r="15" spans="2:31">
      <c r="B15" s="128"/>
      <c r="C15" s="129" t="s">
        <v>6</v>
      </c>
      <c r="D15" s="1">
        <f>+D14</f>
        <v>4109.59</v>
      </c>
      <c r="E15" s="1">
        <f>+D14</f>
        <v>4109.59</v>
      </c>
      <c r="F15" s="1">
        <f>+D14</f>
        <v>4109.59</v>
      </c>
      <c r="G15" s="1">
        <f>+D14</f>
        <v>4109.59</v>
      </c>
      <c r="H15" s="1">
        <f>+D14</f>
        <v>4109.59</v>
      </c>
      <c r="I15" s="1">
        <f>+D14</f>
        <v>4109.59</v>
      </c>
      <c r="J15" s="1">
        <f>+D14</f>
        <v>4109.59</v>
      </c>
      <c r="K15" s="1">
        <f>+D14</f>
        <v>4109.59</v>
      </c>
      <c r="L15" s="1">
        <f>+D14</f>
        <v>4109.59</v>
      </c>
      <c r="M15" s="1">
        <f>+D14</f>
        <v>4109.59</v>
      </c>
      <c r="N15" s="1">
        <f>+D14</f>
        <v>4109.59</v>
      </c>
      <c r="O15" s="1">
        <f>+D14</f>
        <v>4109.59</v>
      </c>
      <c r="P15" s="1">
        <f>+D14</f>
        <v>4109.59</v>
      </c>
      <c r="Q15" s="1">
        <f>+D14</f>
        <v>4109.59</v>
      </c>
      <c r="R15" s="1">
        <f>+D14</f>
        <v>4109.59</v>
      </c>
      <c r="S15" s="1">
        <f>+D14</f>
        <v>4109.59</v>
      </c>
      <c r="T15" s="1">
        <f>+D14</f>
        <v>4109.59</v>
      </c>
      <c r="U15" s="1">
        <f>+D14</f>
        <v>4109.59</v>
      </c>
      <c r="V15" s="1">
        <f>+D14</f>
        <v>4109.59</v>
      </c>
      <c r="W15" s="1">
        <f>+D14</f>
        <v>4109.59</v>
      </c>
      <c r="X15" s="1">
        <f>+D14</f>
        <v>4109.59</v>
      </c>
      <c r="Y15" s="1">
        <f>+D14</f>
        <v>4109.59</v>
      </c>
      <c r="Z15" s="1">
        <f>+D14</f>
        <v>4109.59</v>
      </c>
      <c r="AA15" s="5">
        <f>+D14</f>
        <v>4109.59</v>
      </c>
      <c r="AB15" s="130">
        <f t="shared" si="0"/>
        <v>98630.159999999945</v>
      </c>
      <c r="AC15" s="130">
        <v>4</v>
      </c>
      <c r="AD15" s="131"/>
      <c r="AE15" s="27">
        <f>+AD42</f>
        <v>3057534.9599999986</v>
      </c>
    </row>
    <row r="16" spans="2:31">
      <c r="B16" s="128"/>
      <c r="C16" s="129" t="s">
        <v>7</v>
      </c>
      <c r="D16" s="1">
        <f>+D14</f>
        <v>4109.59</v>
      </c>
      <c r="E16" s="1">
        <f>+D14</f>
        <v>4109.59</v>
      </c>
      <c r="F16" s="1">
        <f>+D14</f>
        <v>4109.59</v>
      </c>
      <c r="G16" s="1">
        <f>+D14</f>
        <v>4109.59</v>
      </c>
      <c r="H16" s="1">
        <f>+D14</f>
        <v>4109.59</v>
      </c>
      <c r="I16" s="1">
        <f>+D14</f>
        <v>4109.59</v>
      </c>
      <c r="J16" s="1">
        <f>+D14</f>
        <v>4109.59</v>
      </c>
      <c r="K16" s="1">
        <f>+D14</f>
        <v>4109.59</v>
      </c>
      <c r="L16" s="1">
        <f>+D14</f>
        <v>4109.59</v>
      </c>
      <c r="M16" s="1">
        <f>+D14</f>
        <v>4109.59</v>
      </c>
      <c r="N16" s="1">
        <f>+D14</f>
        <v>4109.59</v>
      </c>
      <c r="O16" s="1">
        <f>+D14</f>
        <v>4109.59</v>
      </c>
      <c r="P16" s="1">
        <f>+D14</f>
        <v>4109.59</v>
      </c>
      <c r="Q16" s="1">
        <f>+D14</f>
        <v>4109.59</v>
      </c>
      <c r="R16" s="1">
        <f>+D14</f>
        <v>4109.59</v>
      </c>
      <c r="S16" s="1">
        <f>+D14</f>
        <v>4109.59</v>
      </c>
      <c r="T16" s="1">
        <f>+D14</f>
        <v>4109.59</v>
      </c>
      <c r="U16" s="1">
        <f>+D14</f>
        <v>4109.59</v>
      </c>
      <c r="V16" s="1">
        <f>+D14</f>
        <v>4109.59</v>
      </c>
      <c r="W16" s="1">
        <f>+D14</f>
        <v>4109.59</v>
      </c>
      <c r="X16" s="1">
        <f>+D14</f>
        <v>4109.59</v>
      </c>
      <c r="Y16" s="1">
        <f>+D14</f>
        <v>4109.59</v>
      </c>
      <c r="Z16" s="1">
        <f>+D14</f>
        <v>4109.59</v>
      </c>
      <c r="AA16" s="5">
        <f>+D14</f>
        <v>4109.59</v>
      </c>
      <c r="AB16" s="130">
        <f t="shared" si="0"/>
        <v>98630.159999999945</v>
      </c>
      <c r="AC16" s="130">
        <v>4</v>
      </c>
      <c r="AD16" s="131"/>
      <c r="AE16" s="27">
        <f>+AD46</f>
        <v>2958904.799999998</v>
      </c>
    </row>
    <row r="17" spans="2:31" ht="15" thickBot="1">
      <c r="B17" s="132"/>
      <c r="C17" s="133" t="s">
        <v>8</v>
      </c>
      <c r="D17" s="3">
        <f>+D14</f>
        <v>4109.59</v>
      </c>
      <c r="E17" s="3">
        <f>+D14</f>
        <v>4109.59</v>
      </c>
      <c r="F17" s="3">
        <f>+D14</f>
        <v>4109.59</v>
      </c>
      <c r="G17" s="3">
        <f>+D14</f>
        <v>4109.59</v>
      </c>
      <c r="H17" s="3">
        <f>+D14</f>
        <v>4109.59</v>
      </c>
      <c r="I17" s="3">
        <f>+D14</f>
        <v>4109.59</v>
      </c>
      <c r="J17" s="3">
        <f>+D14</f>
        <v>4109.59</v>
      </c>
      <c r="K17" s="3">
        <f>+D14</f>
        <v>4109.59</v>
      </c>
      <c r="L17" s="3">
        <f>+D14</f>
        <v>4109.59</v>
      </c>
      <c r="M17" s="3">
        <f>+D14</f>
        <v>4109.59</v>
      </c>
      <c r="N17" s="3">
        <f>+D14</f>
        <v>4109.59</v>
      </c>
      <c r="O17" s="3">
        <f>+D14</f>
        <v>4109.59</v>
      </c>
      <c r="P17" s="3">
        <f>+D14</f>
        <v>4109.59</v>
      </c>
      <c r="Q17" s="3">
        <f>+D14</f>
        <v>4109.59</v>
      </c>
      <c r="R17" s="3">
        <f>+D14</f>
        <v>4109.59</v>
      </c>
      <c r="S17" s="3">
        <f>+D14</f>
        <v>4109.59</v>
      </c>
      <c r="T17" s="3">
        <f>+D14</f>
        <v>4109.59</v>
      </c>
      <c r="U17" s="3">
        <f>+D14</f>
        <v>4109.59</v>
      </c>
      <c r="V17" s="3">
        <f>+D14</f>
        <v>4109.59</v>
      </c>
      <c r="W17" s="3">
        <f>+D14</f>
        <v>4109.59</v>
      </c>
      <c r="X17" s="3">
        <f>+D14</f>
        <v>4109.59</v>
      </c>
      <c r="Y17" s="3">
        <f>+D14</f>
        <v>4109.59</v>
      </c>
      <c r="Z17" s="3">
        <f>+D14</f>
        <v>4109.59</v>
      </c>
      <c r="AA17" s="6">
        <f>+D14</f>
        <v>4109.59</v>
      </c>
      <c r="AB17" s="134">
        <f t="shared" si="0"/>
        <v>98630.159999999945</v>
      </c>
      <c r="AC17" s="134">
        <v>3</v>
      </c>
      <c r="AD17" s="135"/>
      <c r="AE17" s="27">
        <f>+AD50</f>
        <v>3057534.9599999981</v>
      </c>
    </row>
    <row r="18" spans="2:31">
      <c r="B18" s="124">
        <v>46478</v>
      </c>
      <c r="C18" s="125" t="s">
        <v>5</v>
      </c>
      <c r="D18" s="2">
        <v>4109.59</v>
      </c>
      <c r="E18" s="2">
        <f>+D18</f>
        <v>4109.59</v>
      </c>
      <c r="F18" s="2">
        <f>+D18</f>
        <v>4109.59</v>
      </c>
      <c r="G18" s="2">
        <f>+D18</f>
        <v>4109.59</v>
      </c>
      <c r="H18" s="2">
        <f>+D18</f>
        <v>4109.59</v>
      </c>
      <c r="I18" s="2">
        <f>+D18</f>
        <v>4109.59</v>
      </c>
      <c r="J18" s="2">
        <f>+D18</f>
        <v>4109.59</v>
      </c>
      <c r="K18" s="2">
        <f>+D18</f>
        <v>4109.59</v>
      </c>
      <c r="L18" s="2">
        <f>+D18</f>
        <v>4109.59</v>
      </c>
      <c r="M18" s="2">
        <f>+D18</f>
        <v>4109.59</v>
      </c>
      <c r="N18" s="2">
        <f>+D18</f>
        <v>4109.59</v>
      </c>
      <c r="O18" s="2">
        <f>+D18</f>
        <v>4109.59</v>
      </c>
      <c r="P18" s="2">
        <f>+D18</f>
        <v>4109.59</v>
      </c>
      <c r="Q18" s="2">
        <f>+D18</f>
        <v>4109.59</v>
      </c>
      <c r="R18" s="2">
        <f>+D18</f>
        <v>4109.59</v>
      </c>
      <c r="S18" s="2">
        <f>+D18</f>
        <v>4109.59</v>
      </c>
      <c r="T18" s="2">
        <f>+D18</f>
        <v>4109.59</v>
      </c>
      <c r="U18" s="2">
        <f>+D18</f>
        <v>4109.59</v>
      </c>
      <c r="V18" s="2">
        <f>+D18</f>
        <v>4109.59</v>
      </c>
      <c r="W18" s="2">
        <f>+D18</f>
        <v>4109.59</v>
      </c>
      <c r="X18" s="2">
        <f>+D18</f>
        <v>4109.59</v>
      </c>
      <c r="Y18" s="2">
        <f>+D18</f>
        <v>4109.59</v>
      </c>
      <c r="Z18" s="2">
        <f>+D18</f>
        <v>4109.59</v>
      </c>
      <c r="AA18" s="4">
        <f>+D18</f>
        <v>4109.59</v>
      </c>
      <c r="AB18" s="126">
        <f t="shared" si="0"/>
        <v>98630.159999999945</v>
      </c>
      <c r="AC18" s="126">
        <v>22</v>
      </c>
      <c r="AD18" s="127">
        <f>(AB18*AC18)+(AB19*AC19)+(AB20*AC20)+(AB21*AC21)</f>
        <v>2958904.799999998</v>
      </c>
      <c r="AE18" s="27"/>
    </row>
    <row r="19" spans="2:31">
      <c r="B19" s="128"/>
      <c r="C19" s="129" t="s">
        <v>6</v>
      </c>
      <c r="D19" s="1">
        <f>+D18</f>
        <v>4109.59</v>
      </c>
      <c r="E19" s="1">
        <f>+D18</f>
        <v>4109.59</v>
      </c>
      <c r="F19" s="1">
        <f>+D18</f>
        <v>4109.59</v>
      </c>
      <c r="G19" s="1">
        <f>+D18</f>
        <v>4109.59</v>
      </c>
      <c r="H19" s="1">
        <f>+D18</f>
        <v>4109.59</v>
      </c>
      <c r="I19" s="1">
        <f>+D18</f>
        <v>4109.59</v>
      </c>
      <c r="J19" s="1">
        <f>+D18</f>
        <v>4109.59</v>
      </c>
      <c r="K19" s="1">
        <f>+D18</f>
        <v>4109.59</v>
      </c>
      <c r="L19" s="1">
        <f>+D18</f>
        <v>4109.59</v>
      </c>
      <c r="M19" s="1">
        <f>+D18</f>
        <v>4109.59</v>
      </c>
      <c r="N19" s="1">
        <f>+D18</f>
        <v>4109.59</v>
      </c>
      <c r="O19" s="1">
        <f>+D18</f>
        <v>4109.59</v>
      </c>
      <c r="P19" s="1">
        <f>+D18</f>
        <v>4109.59</v>
      </c>
      <c r="Q19" s="1">
        <f>+D18</f>
        <v>4109.59</v>
      </c>
      <c r="R19" s="1">
        <f>+D18</f>
        <v>4109.59</v>
      </c>
      <c r="S19" s="1">
        <f>+D18</f>
        <v>4109.59</v>
      </c>
      <c r="T19" s="1">
        <f>+D18</f>
        <v>4109.59</v>
      </c>
      <c r="U19" s="1">
        <f>+D18</f>
        <v>4109.59</v>
      </c>
      <c r="V19" s="1">
        <f>+D18</f>
        <v>4109.59</v>
      </c>
      <c r="W19" s="1">
        <f>+D18</f>
        <v>4109.59</v>
      </c>
      <c r="X19" s="1">
        <f>+D18</f>
        <v>4109.59</v>
      </c>
      <c r="Y19" s="1">
        <f>+D18</f>
        <v>4109.59</v>
      </c>
      <c r="Z19" s="1">
        <f>+D18</f>
        <v>4109.59</v>
      </c>
      <c r="AA19" s="5">
        <f>+D18</f>
        <v>4109.59</v>
      </c>
      <c r="AB19" s="130">
        <f t="shared" si="0"/>
        <v>98630.159999999945</v>
      </c>
      <c r="AC19" s="130">
        <v>4</v>
      </c>
      <c r="AD19" s="131"/>
      <c r="AE19" s="27"/>
    </row>
    <row r="20" spans="2:31">
      <c r="B20" s="128"/>
      <c r="C20" s="129" t="s">
        <v>7</v>
      </c>
      <c r="D20" s="1">
        <f>+D18</f>
        <v>4109.59</v>
      </c>
      <c r="E20" s="1">
        <f>+D18</f>
        <v>4109.59</v>
      </c>
      <c r="F20" s="1">
        <f>+D18</f>
        <v>4109.59</v>
      </c>
      <c r="G20" s="1">
        <f>+D18</f>
        <v>4109.59</v>
      </c>
      <c r="H20" s="1">
        <f>+D18</f>
        <v>4109.59</v>
      </c>
      <c r="I20" s="1">
        <f>+D18</f>
        <v>4109.59</v>
      </c>
      <c r="J20" s="1">
        <f>+D18</f>
        <v>4109.59</v>
      </c>
      <c r="K20" s="1">
        <f>+D18</f>
        <v>4109.59</v>
      </c>
      <c r="L20" s="1">
        <f>+D18</f>
        <v>4109.59</v>
      </c>
      <c r="M20" s="1">
        <f>+D18</f>
        <v>4109.59</v>
      </c>
      <c r="N20" s="1">
        <f>+D18</f>
        <v>4109.59</v>
      </c>
      <c r="O20" s="1">
        <f>+D18</f>
        <v>4109.59</v>
      </c>
      <c r="P20" s="1">
        <f>+D18</f>
        <v>4109.59</v>
      </c>
      <c r="Q20" s="1">
        <f>+D18</f>
        <v>4109.59</v>
      </c>
      <c r="R20" s="1">
        <f>+D18</f>
        <v>4109.59</v>
      </c>
      <c r="S20" s="1">
        <f>+D18</f>
        <v>4109.59</v>
      </c>
      <c r="T20" s="1">
        <f>+D18</f>
        <v>4109.59</v>
      </c>
      <c r="U20" s="1">
        <f>+D18</f>
        <v>4109.59</v>
      </c>
      <c r="V20" s="1">
        <f>+D18</f>
        <v>4109.59</v>
      </c>
      <c r="W20" s="1">
        <f>+D18</f>
        <v>4109.59</v>
      </c>
      <c r="X20" s="1">
        <f>+D18</f>
        <v>4109.59</v>
      </c>
      <c r="Y20" s="1">
        <f>+D18</f>
        <v>4109.59</v>
      </c>
      <c r="Z20" s="1">
        <f>+D18</f>
        <v>4109.59</v>
      </c>
      <c r="AA20" s="5">
        <f>+D18</f>
        <v>4109.59</v>
      </c>
      <c r="AB20" s="130">
        <f t="shared" si="0"/>
        <v>98630.159999999945</v>
      </c>
      <c r="AC20" s="130">
        <v>4</v>
      </c>
      <c r="AD20" s="131"/>
      <c r="AE20" s="27"/>
    </row>
    <row r="21" spans="2:31" ht="15" thickBot="1">
      <c r="B21" s="132"/>
      <c r="C21" s="133" t="s">
        <v>8</v>
      </c>
      <c r="D21" s="3">
        <f>+D18</f>
        <v>4109.59</v>
      </c>
      <c r="E21" s="3">
        <f>+D18</f>
        <v>4109.59</v>
      </c>
      <c r="F21" s="3">
        <f>+D18</f>
        <v>4109.59</v>
      </c>
      <c r="G21" s="3">
        <f>+D18</f>
        <v>4109.59</v>
      </c>
      <c r="H21" s="3">
        <f>+D18</f>
        <v>4109.59</v>
      </c>
      <c r="I21" s="3">
        <f>+D18</f>
        <v>4109.59</v>
      </c>
      <c r="J21" s="3">
        <f>+D18</f>
        <v>4109.59</v>
      </c>
      <c r="K21" s="3">
        <f>+D18</f>
        <v>4109.59</v>
      </c>
      <c r="L21" s="3">
        <f>+D18</f>
        <v>4109.59</v>
      </c>
      <c r="M21" s="3">
        <f>+D18</f>
        <v>4109.59</v>
      </c>
      <c r="N21" s="3">
        <f>+D18</f>
        <v>4109.59</v>
      </c>
      <c r="O21" s="3">
        <f>+D18</f>
        <v>4109.59</v>
      </c>
      <c r="P21" s="3">
        <f>+D18</f>
        <v>4109.59</v>
      </c>
      <c r="Q21" s="3">
        <f>+D18</f>
        <v>4109.59</v>
      </c>
      <c r="R21" s="3">
        <f>+D18</f>
        <v>4109.59</v>
      </c>
      <c r="S21" s="3">
        <f>+D18</f>
        <v>4109.59</v>
      </c>
      <c r="T21" s="3">
        <f>+D18</f>
        <v>4109.59</v>
      </c>
      <c r="U21" s="3">
        <f>+D18</f>
        <v>4109.59</v>
      </c>
      <c r="V21" s="3">
        <f>+D18</f>
        <v>4109.59</v>
      </c>
      <c r="W21" s="3">
        <f>+D18</f>
        <v>4109.59</v>
      </c>
      <c r="X21" s="3">
        <f>+D18</f>
        <v>4109.59</v>
      </c>
      <c r="Y21" s="3">
        <f>+D18</f>
        <v>4109.59</v>
      </c>
      <c r="Z21" s="3">
        <f>+D18</f>
        <v>4109.59</v>
      </c>
      <c r="AA21" s="6">
        <f>+D18</f>
        <v>4109.59</v>
      </c>
      <c r="AB21" s="134">
        <f t="shared" si="0"/>
        <v>98630.159999999945</v>
      </c>
      <c r="AC21" s="134">
        <v>0</v>
      </c>
      <c r="AD21" s="135"/>
      <c r="AE21" s="27"/>
    </row>
    <row r="22" spans="2:31">
      <c r="B22" s="124">
        <v>46508</v>
      </c>
      <c r="C22" s="125" t="s">
        <v>5</v>
      </c>
      <c r="D22" s="2">
        <v>4109.59</v>
      </c>
      <c r="E22" s="2">
        <f>+D22</f>
        <v>4109.59</v>
      </c>
      <c r="F22" s="2">
        <f>+D22</f>
        <v>4109.59</v>
      </c>
      <c r="G22" s="2">
        <f>+D22</f>
        <v>4109.59</v>
      </c>
      <c r="H22" s="2">
        <f>+D22</f>
        <v>4109.59</v>
      </c>
      <c r="I22" s="2">
        <f>+D22</f>
        <v>4109.59</v>
      </c>
      <c r="J22" s="2">
        <f>+D22</f>
        <v>4109.59</v>
      </c>
      <c r="K22" s="2">
        <f>+D22</f>
        <v>4109.59</v>
      </c>
      <c r="L22" s="2">
        <f>+D22</f>
        <v>4109.59</v>
      </c>
      <c r="M22" s="2">
        <f>+D22</f>
        <v>4109.59</v>
      </c>
      <c r="N22" s="2">
        <f>+D22</f>
        <v>4109.59</v>
      </c>
      <c r="O22" s="2">
        <f>+D22</f>
        <v>4109.59</v>
      </c>
      <c r="P22" s="2">
        <f>+D22</f>
        <v>4109.59</v>
      </c>
      <c r="Q22" s="2">
        <f>+D22</f>
        <v>4109.59</v>
      </c>
      <c r="R22" s="2">
        <f>+D22</f>
        <v>4109.59</v>
      </c>
      <c r="S22" s="2">
        <f>+D22</f>
        <v>4109.59</v>
      </c>
      <c r="T22" s="2">
        <f>+D22</f>
        <v>4109.59</v>
      </c>
      <c r="U22" s="2">
        <f>+D22</f>
        <v>4109.59</v>
      </c>
      <c r="V22" s="2">
        <f>+D22</f>
        <v>4109.59</v>
      </c>
      <c r="W22" s="2">
        <f>+D22</f>
        <v>4109.59</v>
      </c>
      <c r="X22" s="2">
        <f>+D22</f>
        <v>4109.59</v>
      </c>
      <c r="Y22" s="2">
        <f>+D22</f>
        <v>4109.59</v>
      </c>
      <c r="Z22" s="2">
        <f>+D22</f>
        <v>4109.59</v>
      </c>
      <c r="AA22" s="4">
        <f>+D22</f>
        <v>4109.59</v>
      </c>
      <c r="AB22" s="126">
        <f t="shared" si="0"/>
        <v>98630.159999999945</v>
      </c>
      <c r="AC22" s="126">
        <v>19</v>
      </c>
      <c r="AD22" s="127">
        <f>(AB22*AC22)+(AB23*AC23)+(AB24*AC24)+(AB25*AC25)</f>
        <v>3057534.9599999986</v>
      </c>
      <c r="AE22" s="27"/>
    </row>
    <row r="23" spans="2:31">
      <c r="B23" s="128"/>
      <c r="C23" s="129" t="s">
        <v>6</v>
      </c>
      <c r="D23" s="1">
        <f>+D22</f>
        <v>4109.59</v>
      </c>
      <c r="E23" s="1">
        <f>+D22</f>
        <v>4109.59</v>
      </c>
      <c r="F23" s="1">
        <f>+D22</f>
        <v>4109.59</v>
      </c>
      <c r="G23" s="1">
        <f>+D22</f>
        <v>4109.59</v>
      </c>
      <c r="H23" s="1">
        <f>+D22</f>
        <v>4109.59</v>
      </c>
      <c r="I23" s="1">
        <f>+D22</f>
        <v>4109.59</v>
      </c>
      <c r="J23" s="1">
        <f>+D22</f>
        <v>4109.59</v>
      </c>
      <c r="K23" s="1">
        <f>+D22</f>
        <v>4109.59</v>
      </c>
      <c r="L23" s="1">
        <f>+D22</f>
        <v>4109.59</v>
      </c>
      <c r="M23" s="1">
        <f>+D22</f>
        <v>4109.59</v>
      </c>
      <c r="N23" s="1">
        <f>+D22</f>
        <v>4109.59</v>
      </c>
      <c r="O23" s="1">
        <f>+D22</f>
        <v>4109.59</v>
      </c>
      <c r="P23" s="1">
        <f>+D22</f>
        <v>4109.59</v>
      </c>
      <c r="Q23" s="1">
        <f>+D22</f>
        <v>4109.59</v>
      </c>
      <c r="R23" s="1">
        <f>+D22</f>
        <v>4109.59</v>
      </c>
      <c r="S23" s="1">
        <f>+D22</f>
        <v>4109.59</v>
      </c>
      <c r="T23" s="1">
        <f>+D22</f>
        <v>4109.59</v>
      </c>
      <c r="U23" s="1">
        <f>+D22</f>
        <v>4109.59</v>
      </c>
      <c r="V23" s="1">
        <f>+D22</f>
        <v>4109.59</v>
      </c>
      <c r="W23" s="1">
        <f>+D22</f>
        <v>4109.59</v>
      </c>
      <c r="X23" s="1">
        <f>+D22</f>
        <v>4109.59</v>
      </c>
      <c r="Y23" s="1">
        <f>+D22</f>
        <v>4109.59</v>
      </c>
      <c r="Z23" s="1">
        <f>+D22</f>
        <v>4109.59</v>
      </c>
      <c r="AA23" s="5">
        <f>+D22</f>
        <v>4109.59</v>
      </c>
      <c r="AB23" s="130">
        <f t="shared" si="0"/>
        <v>98630.159999999945</v>
      </c>
      <c r="AC23" s="130">
        <v>4</v>
      </c>
      <c r="AD23" s="131"/>
      <c r="AE23" s="27"/>
    </row>
    <row r="24" spans="2:31">
      <c r="B24" s="128"/>
      <c r="C24" s="129" t="s">
        <v>7</v>
      </c>
      <c r="D24" s="1">
        <f>+D22</f>
        <v>4109.59</v>
      </c>
      <c r="E24" s="1">
        <f>+D22</f>
        <v>4109.59</v>
      </c>
      <c r="F24" s="1">
        <f>+D22</f>
        <v>4109.59</v>
      </c>
      <c r="G24" s="1">
        <f>+D22</f>
        <v>4109.59</v>
      </c>
      <c r="H24" s="1">
        <f>+D22</f>
        <v>4109.59</v>
      </c>
      <c r="I24" s="1">
        <f>+D22</f>
        <v>4109.59</v>
      </c>
      <c r="J24" s="1">
        <f>+D22</f>
        <v>4109.59</v>
      </c>
      <c r="K24" s="1">
        <f>+D22</f>
        <v>4109.59</v>
      </c>
      <c r="L24" s="1">
        <f>+D22</f>
        <v>4109.59</v>
      </c>
      <c r="M24" s="1">
        <f>+D22</f>
        <v>4109.59</v>
      </c>
      <c r="N24" s="1">
        <f>+D22</f>
        <v>4109.59</v>
      </c>
      <c r="O24" s="1">
        <f>+D22</f>
        <v>4109.59</v>
      </c>
      <c r="P24" s="1">
        <f>+D22</f>
        <v>4109.59</v>
      </c>
      <c r="Q24" s="1">
        <f>+D22</f>
        <v>4109.59</v>
      </c>
      <c r="R24" s="1">
        <f>+D22</f>
        <v>4109.59</v>
      </c>
      <c r="S24" s="1">
        <f>+D22</f>
        <v>4109.59</v>
      </c>
      <c r="T24" s="1">
        <f>+D22</f>
        <v>4109.59</v>
      </c>
      <c r="U24" s="1">
        <f>+D22</f>
        <v>4109.59</v>
      </c>
      <c r="V24" s="1">
        <f>+D22</f>
        <v>4109.59</v>
      </c>
      <c r="W24" s="1">
        <f>+D22</f>
        <v>4109.59</v>
      </c>
      <c r="X24" s="1">
        <f>+D22</f>
        <v>4109.59</v>
      </c>
      <c r="Y24" s="1">
        <f>+D22</f>
        <v>4109.59</v>
      </c>
      <c r="Z24" s="1">
        <f>+D22</f>
        <v>4109.59</v>
      </c>
      <c r="AA24" s="5">
        <f>+D22</f>
        <v>4109.59</v>
      </c>
      <c r="AB24" s="130">
        <f t="shared" si="0"/>
        <v>98630.159999999945</v>
      </c>
      <c r="AC24" s="130">
        <v>5</v>
      </c>
      <c r="AD24" s="131"/>
      <c r="AE24" s="27"/>
    </row>
    <row r="25" spans="2:31" ht="15" thickBot="1">
      <c r="B25" s="132"/>
      <c r="C25" s="133" t="s">
        <v>8</v>
      </c>
      <c r="D25" s="3">
        <f>+D22</f>
        <v>4109.59</v>
      </c>
      <c r="E25" s="3">
        <f>+D22</f>
        <v>4109.59</v>
      </c>
      <c r="F25" s="3">
        <f>+D22</f>
        <v>4109.59</v>
      </c>
      <c r="G25" s="3">
        <f>+D22</f>
        <v>4109.59</v>
      </c>
      <c r="H25" s="3">
        <f>+D22</f>
        <v>4109.59</v>
      </c>
      <c r="I25" s="3">
        <f>+D22</f>
        <v>4109.59</v>
      </c>
      <c r="J25" s="3">
        <f>+D22</f>
        <v>4109.59</v>
      </c>
      <c r="K25" s="3">
        <f>+D22</f>
        <v>4109.59</v>
      </c>
      <c r="L25" s="3">
        <f>+D22</f>
        <v>4109.59</v>
      </c>
      <c r="M25" s="3">
        <f>+D22</f>
        <v>4109.59</v>
      </c>
      <c r="N25" s="3">
        <f>+D22</f>
        <v>4109.59</v>
      </c>
      <c r="O25" s="3">
        <f>+D22</f>
        <v>4109.59</v>
      </c>
      <c r="P25" s="3">
        <f>+D22</f>
        <v>4109.59</v>
      </c>
      <c r="Q25" s="3">
        <f>+D22</f>
        <v>4109.59</v>
      </c>
      <c r="R25" s="3">
        <f>+D22</f>
        <v>4109.59</v>
      </c>
      <c r="S25" s="3">
        <f>+D22</f>
        <v>4109.59</v>
      </c>
      <c r="T25" s="3">
        <f>+D22</f>
        <v>4109.59</v>
      </c>
      <c r="U25" s="3">
        <f>+D22</f>
        <v>4109.59</v>
      </c>
      <c r="V25" s="3">
        <f>+D22</f>
        <v>4109.59</v>
      </c>
      <c r="W25" s="3">
        <f>+D22</f>
        <v>4109.59</v>
      </c>
      <c r="X25" s="3">
        <f>+D22</f>
        <v>4109.59</v>
      </c>
      <c r="Y25" s="3">
        <f>+D22</f>
        <v>4109.59</v>
      </c>
      <c r="Z25" s="3">
        <f>+D22</f>
        <v>4109.59</v>
      </c>
      <c r="AA25" s="6">
        <f>+D22</f>
        <v>4109.59</v>
      </c>
      <c r="AB25" s="134">
        <f t="shared" si="0"/>
        <v>98630.159999999945</v>
      </c>
      <c r="AC25" s="134">
        <v>3</v>
      </c>
      <c r="AD25" s="135"/>
      <c r="AE25" s="27"/>
    </row>
    <row r="26" spans="2:31">
      <c r="B26" s="124">
        <v>46539</v>
      </c>
      <c r="C26" s="125" t="s">
        <v>5</v>
      </c>
      <c r="D26" s="2">
        <v>4109.59</v>
      </c>
      <c r="E26" s="2">
        <f>+D26</f>
        <v>4109.59</v>
      </c>
      <c r="F26" s="2">
        <f>+D26</f>
        <v>4109.59</v>
      </c>
      <c r="G26" s="2">
        <f>+D26</f>
        <v>4109.59</v>
      </c>
      <c r="H26" s="2">
        <f>+D26</f>
        <v>4109.59</v>
      </c>
      <c r="I26" s="2">
        <f>+D26</f>
        <v>4109.59</v>
      </c>
      <c r="J26" s="2">
        <f>+D26</f>
        <v>4109.59</v>
      </c>
      <c r="K26" s="2">
        <f>+D26</f>
        <v>4109.59</v>
      </c>
      <c r="L26" s="2">
        <f>+D26</f>
        <v>4109.59</v>
      </c>
      <c r="M26" s="2">
        <f>+D26</f>
        <v>4109.59</v>
      </c>
      <c r="N26" s="2">
        <f>+D26</f>
        <v>4109.59</v>
      </c>
      <c r="O26" s="2">
        <f>+D26</f>
        <v>4109.59</v>
      </c>
      <c r="P26" s="2">
        <f>+D26</f>
        <v>4109.59</v>
      </c>
      <c r="Q26" s="2">
        <f>+D26</f>
        <v>4109.59</v>
      </c>
      <c r="R26" s="2">
        <f>+D26</f>
        <v>4109.59</v>
      </c>
      <c r="S26" s="2">
        <f>+D26</f>
        <v>4109.59</v>
      </c>
      <c r="T26" s="2">
        <f>+D26</f>
        <v>4109.59</v>
      </c>
      <c r="U26" s="2">
        <f>+D26</f>
        <v>4109.59</v>
      </c>
      <c r="V26" s="2">
        <f>+D26</f>
        <v>4109.59</v>
      </c>
      <c r="W26" s="2">
        <f>+D26</f>
        <v>4109.59</v>
      </c>
      <c r="X26" s="2">
        <f>+D26</f>
        <v>4109.59</v>
      </c>
      <c r="Y26" s="2">
        <f>+D26</f>
        <v>4109.59</v>
      </c>
      <c r="Z26" s="2">
        <f>+D26</f>
        <v>4109.59</v>
      </c>
      <c r="AA26" s="4">
        <f>+D26</f>
        <v>4109.59</v>
      </c>
      <c r="AB26" s="126">
        <f t="shared" si="0"/>
        <v>98630.159999999945</v>
      </c>
      <c r="AC26" s="126">
        <v>21</v>
      </c>
      <c r="AD26" s="127">
        <f>(AB26*AC26)+(AB27*AC27)+(AB28*AC28)+(AB29*AC29)</f>
        <v>2958904.7999999984</v>
      </c>
      <c r="AE26" s="27"/>
    </row>
    <row r="27" spans="2:31">
      <c r="B27" s="128"/>
      <c r="C27" s="129" t="s">
        <v>6</v>
      </c>
      <c r="D27" s="1">
        <f>+D26</f>
        <v>4109.59</v>
      </c>
      <c r="E27" s="1">
        <f>+D26</f>
        <v>4109.59</v>
      </c>
      <c r="F27" s="1">
        <f>+D26</f>
        <v>4109.59</v>
      </c>
      <c r="G27" s="1">
        <f>+D26</f>
        <v>4109.59</v>
      </c>
      <c r="H27" s="1">
        <f>+D26</f>
        <v>4109.59</v>
      </c>
      <c r="I27" s="1">
        <f>+D26</f>
        <v>4109.59</v>
      </c>
      <c r="J27" s="1">
        <f>+D26</f>
        <v>4109.59</v>
      </c>
      <c r="K27" s="1">
        <f>+D26</f>
        <v>4109.59</v>
      </c>
      <c r="L27" s="1">
        <f>+D26</f>
        <v>4109.59</v>
      </c>
      <c r="M27" s="1">
        <f>+D26</f>
        <v>4109.59</v>
      </c>
      <c r="N27" s="1">
        <f>+D26</f>
        <v>4109.59</v>
      </c>
      <c r="O27" s="1">
        <f>+D26</f>
        <v>4109.59</v>
      </c>
      <c r="P27" s="1">
        <f>+D26</f>
        <v>4109.59</v>
      </c>
      <c r="Q27" s="1">
        <f>+D26</f>
        <v>4109.59</v>
      </c>
      <c r="R27" s="1">
        <f>+D26</f>
        <v>4109.59</v>
      </c>
      <c r="S27" s="1">
        <f>+D26</f>
        <v>4109.59</v>
      </c>
      <c r="T27" s="1">
        <f>+D26</f>
        <v>4109.59</v>
      </c>
      <c r="U27" s="1">
        <f>+D26</f>
        <v>4109.59</v>
      </c>
      <c r="V27" s="1">
        <f>+D26</f>
        <v>4109.59</v>
      </c>
      <c r="W27" s="1">
        <f>+D26</f>
        <v>4109.59</v>
      </c>
      <c r="X27" s="1">
        <f>+D26</f>
        <v>4109.59</v>
      </c>
      <c r="Y27" s="1">
        <f>+D26</f>
        <v>4109.59</v>
      </c>
      <c r="Z27" s="1">
        <f>+D26</f>
        <v>4109.59</v>
      </c>
      <c r="AA27" s="5">
        <f>+D26</f>
        <v>4109.59</v>
      </c>
      <c r="AB27" s="130">
        <f t="shared" si="0"/>
        <v>98630.159999999945</v>
      </c>
      <c r="AC27" s="130">
        <v>4</v>
      </c>
      <c r="AD27" s="131"/>
      <c r="AE27" s="27"/>
    </row>
    <row r="28" spans="2:31">
      <c r="B28" s="128"/>
      <c r="C28" s="129" t="s">
        <v>7</v>
      </c>
      <c r="D28" s="1">
        <f>+D26</f>
        <v>4109.59</v>
      </c>
      <c r="E28" s="1">
        <f>+D26</f>
        <v>4109.59</v>
      </c>
      <c r="F28" s="1">
        <f>+D26</f>
        <v>4109.59</v>
      </c>
      <c r="G28" s="1">
        <f>+D26</f>
        <v>4109.59</v>
      </c>
      <c r="H28" s="1">
        <f>+D26</f>
        <v>4109.59</v>
      </c>
      <c r="I28" s="1">
        <f>+D26</f>
        <v>4109.59</v>
      </c>
      <c r="J28" s="1">
        <f>+D26</f>
        <v>4109.59</v>
      </c>
      <c r="K28" s="1">
        <f>+D26</f>
        <v>4109.59</v>
      </c>
      <c r="L28" s="1">
        <f>+D26</f>
        <v>4109.59</v>
      </c>
      <c r="M28" s="1">
        <f>+D26</f>
        <v>4109.59</v>
      </c>
      <c r="N28" s="1">
        <f>+D26</f>
        <v>4109.59</v>
      </c>
      <c r="O28" s="1">
        <f>+D26</f>
        <v>4109.59</v>
      </c>
      <c r="P28" s="1">
        <f>+D26</f>
        <v>4109.59</v>
      </c>
      <c r="Q28" s="1">
        <f>+D26</f>
        <v>4109.59</v>
      </c>
      <c r="R28" s="1">
        <f>+D26</f>
        <v>4109.59</v>
      </c>
      <c r="S28" s="1">
        <f>+D26</f>
        <v>4109.59</v>
      </c>
      <c r="T28" s="1">
        <f>+D26</f>
        <v>4109.59</v>
      </c>
      <c r="U28" s="1">
        <f>+D26</f>
        <v>4109.59</v>
      </c>
      <c r="V28" s="1">
        <f>+D26</f>
        <v>4109.59</v>
      </c>
      <c r="W28" s="1">
        <f>+D26</f>
        <v>4109.59</v>
      </c>
      <c r="X28" s="1">
        <f>+D26</f>
        <v>4109.59</v>
      </c>
      <c r="Y28" s="1">
        <f>+D26</f>
        <v>4109.59</v>
      </c>
      <c r="Z28" s="1">
        <f>+D26</f>
        <v>4109.59</v>
      </c>
      <c r="AA28" s="5">
        <f>+D26</f>
        <v>4109.59</v>
      </c>
      <c r="AB28" s="130">
        <f t="shared" si="0"/>
        <v>98630.159999999945</v>
      </c>
      <c r="AC28" s="130">
        <v>4</v>
      </c>
      <c r="AD28" s="131"/>
      <c r="AE28" s="27"/>
    </row>
    <row r="29" spans="2:31" ht="15" thickBot="1">
      <c r="B29" s="132"/>
      <c r="C29" s="133" t="s">
        <v>8</v>
      </c>
      <c r="D29" s="3">
        <f>+D26</f>
        <v>4109.59</v>
      </c>
      <c r="E29" s="3">
        <f>+D26</f>
        <v>4109.59</v>
      </c>
      <c r="F29" s="3">
        <f>+D26</f>
        <v>4109.59</v>
      </c>
      <c r="G29" s="3">
        <f>+D26</f>
        <v>4109.59</v>
      </c>
      <c r="H29" s="3">
        <f>+D26</f>
        <v>4109.59</v>
      </c>
      <c r="I29" s="3">
        <f>+D26</f>
        <v>4109.59</v>
      </c>
      <c r="J29" s="3">
        <f>+D26</f>
        <v>4109.59</v>
      </c>
      <c r="K29" s="3">
        <f>+D26</f>
        <v>4109.59</v>
      </c>
      <c r="L29" s="3">
        <f>+D26</f>
        <v>4109.59</v>
      </c>
      <c r="M29" s="3">
        <f>+D26</f>
        <v>4109.59</v>
      </c>
      <c r="N29" s="3">
        <f>+D26</f>
        <v>4109.59</v>
      </c>
      <c r="O29" s="3">
        <f>+D26</f>
        <v>4109.59</v>
      </c>
      <c r="P29" s="3">
        <f>+D26</f>
        <v>4109.59</v>
      </c>
      <c r="Q29" s="3">
        <f>+D26</f>
        <v>4109.59</v>
      </c>
      <c r="R29" s="3">
        <f>+D26</f>
        <v>4109.59</v>
      </c>
      <c r="S29" s="3">
        <f>+D26</f>
        <v>4109.59</v>
      </c>
      <c r="T29" s="3">
        <f>+D26</f>
        <v>4109.59</v>
      </c>
      <c r="U29" s="3">
        <f>+D26</f>
        <v>4109.59</v>
      </c>
      <c r="V29" s="3">
        <f>+D26</f>
        <v>4109.59</v>
      </c>
      <c r="W29" s="3">
        <f>+D26</f>
        <v>4109.59</v>
      </c>
      <c r="X29" s="3">
        <f>+D26</f>
        <v>4109.59</v>
      </c>
      <c r="Y29" s="3">
        <f>+D26</f>
        <v>4109.59</v>
      </c>
      <c r="Z29" s="3">
        <f>+D26</f>
        <v>4109.59</v>
      </c>
      <c r="AA29" s="6">
        <f>+D26</f>
        <v>4109.59</v>
      </c>
      <c r="AB29" s="134">
        <f t="shared" si="0"/>
        <v>98630.159999999945</v>
      </c>
      <c r="AC29" s="134">
        <v>1</v>
      </c>
      <c r="AD29" s="135"/>
      <c r="AE29" s="27"/>
    </row>
    <row r="30" spans="2:31">
      <c r="B30" s="124">
        <v>46569</v>
      </c>
      <c r="C30" s="125" t="s">
        <v>5</v>
      </c>
      <c r="D30" s="2">
        <v>4109.59</v>
      </c>
      <c r="E30" s="2">
        <f>+D30</f>
        <v>4109.59</v>
      </c>
      <c r="F30" s="2">
        <f>+D30</f>
        <v>4109.59</v>
      </c>
      <c r="G30" s="2">
        <f>+D30</f>
        <v>4109.59</v>
      </c>
      <c r="H30" s="2">
        <f>+D30</f>
        <v>4109.59</v>
      </c>
      <c r="I30" s="2">
        <f>+D30</f>
        <v>4109.59</v>
      </c>
      <c r="J30" s="2">
        <f>+D30</f>
        <v>4109.59</v>
      </c>
      <c r="K30" s="2">
        <f>+D30</f>
        <v>4109.59</v>
      </c>
      <c r="L30" s="2">
        <f>+D30</f>
        <v>4109.59</v>
      </c>
      <c r="M30" s="2">
        <f>+D30</f>
        <v>4109.59</v>
      </c>
      <c r="N30" s="2">
        <f>+D30</f>
        <v>4109.59</v>
      </c>
      <c r="O30" s="2">
        <f>+D30</f>
        <v>4109.59</v>
      </c>
      <c r="P30" s="2">
        <f>+D30</f>
        <v>4109.59</v>
      </c>
      <c r="Q30" s="2">
        <f>+D30</f>
        <v>4109.59</v>
      </c>
      <c r="R30" s="2">
        <f>+D30</f>
        <v>4109.59</v>
      </c>
      <c r="S30" s="2">
        <f>+D30</f>
        <v>4109.59</v>
      </c>
      <c r="T30" s="2">
        <f>+D30</f>
        <v>4109.59</v>
      </c>
      <c r="U30" s="2">
        <f>+D30</f>
        <v>4109.59</v>
      </c>
      <c r="V30" s="2">
        <f>+D30</f>
        <v>4109.59</v>
      </c>
      <c r="W30" s="2">
        <f>+D30</f>
        <v>4109.59</v>
      </c>
      <c r="X30" s="2">
        <f>+D30</f>
        <v>4109.59</v>
      </c>
      <c r="Y30" s="2">
        <f>+D30</f>
        <v>4109.59</v>
      </c>
      <c r="Z30" s="2">
        <f>+D30</f>
        <v>4109.59</v>
      </c>
      <c r="AA30" s="4">
        <f>+D30</f>
        <v>4109.59</v>
      </c>
      <c r="AB30" s="126">
        <f t="shared" si="0"/>
        <v>98630.159999999945</v>
      </c>
      <c r="AC30" s="126">
        <v>20</v>
      </c>
      <c r="AD30" s="127">
        <f>(AB30*AC30)+(AB31*AC31)+(AB32*AC32)+(AB33*AC33)</f>
        <v>3057534.9599999981</v>
      </c>
      <c r="AE30" s="27"/>
    </row>
    <row r="31" spans="2:31">
      <c r="B31" s="128"/>
      <c r="C31" s="129" t="s">
        <v>6</v>
      </c>
      <c r="D31" s="1">
        <f>+D30</f>
        <v>4109.59</v>
      </c>
      <c r="E31" s="1">
        <f>+D30</f>
        <v>4109.59</v>
      </c>
      <c r="F31" s="1">
        <f>+D30</f>
        <v>4109.59</v>
      </c>
      <c r="G31" s="1">
        <f>+D30</f>
        <v>4109.59</v>
      </c>
      <c r="H31" s="1">
        <f>+D30</f>
        <v>4109.59</v>
      </c>
      <c r="I31" s="1">
        <f>+D30</f>
        <v>4109.59</v>
      </c>
      <c r="J31" s="1">
        <f>+D30</f>
        <v>4109.59</v>
      </c>
      <c r="K31" s="1">
        <f>+D30</f>
        <v>4109.59</v>
      </c>
      <c r="L31" s="1">
        <f>+D30</f>
        <v>4109.59</v>
      </c>
      <c r="M31" s="1">
        <f>+D30</f>
        <v>4109.59</v>
      </c>
      <c r="N31" s="1">
        <f>+D30</f>
        <v>4109.59</v>
      </c>
      <c r="O31" s="1">
        <f>+D30</f>
        <v>4109.59</v>
      </c>
      <c r="P31" s="1">
        <f>+D30</f>
        <v>4109.59</v>
      </c>
      <c r="Q31" s="1">
        <f>+D30</f>
        <v>4109.59</v>
      </c>
      <c r="R31" s="1">
        <f>+D30</f>
        <v>4109.59</v>
      </c>
      <c r="S31" s="1">
        <f>+D30</f>
        <v>4109.59</v>
      </c>
      <c r="T31" s="1">
        <f>+D30</f>
        <v>4109.59</v>
      </c>
      <c r="U31" s="1">
        <f>+D30</f>
        <v>4109.59</v>
      </c>
      <c r="V31" s="1">
        <f>+D30</f>
        <v>4109.59</v>
      </c>
      <c r="W31" s="1">
        <f>+D30</f>
        <v>4109.59</v>
      </c>
      <c r="X31" s="1">
        <f>+D30</f>
        <v>4109.59</v>
      </c>
      <c r="Y31" s="1">
        <f>+D30</f>
        <v>4109.59</v>
      </c>
      <c r="Z31" s="1">
        <f>+D30</f>
        <v>4109.59</v>
      </c>
      <c r="AA31" s="5">
        <f>+D30</f>
        <v>4109.59</v>
      </c>
      <c r="AB31" s="130">
        <f t="shared" si="0"/>
        <v>98630.159999999945</v>
      </c>
      <c r="AC31" s="130">
        <v>5</v>
      </c>
      <c r="AD31" s="131"/>
      <c r="AE31" s="27"/>
    </row>
    <row r="32" spans="2:31">
      <c r="B32" s="128"/>
      <c r="C32" s="129" t="s">
        <v>4</v>
      </c>
      <c r="D32" s="1">
        <f>+D30</f>
        <v>4109.59</v>
      </c>
      <c r="E32" s="1">
        <f>+D30</f>
        <v>4109.59</v>
      </c>
      <c r="F32" s="1">
        <f>+D30</f>
        <v>4109.59</v>
      </c>
      <c r="G32" s="1">
        <f>+D30</f>
        <v>4109.59</v>
      </c>
      <c r="H32" s="1">
        <f>+D30</f>
        <v>4109.59</v>
      </c>
      <c r="I32" s="1">
        <f>+D30</f>
        <v>4109.59</v>
      </c>
      <c r="J32" s="1">
        <f>+D30</f>
        <v>4109.59</v>
      </c>
      <c r="K32" s="1">
        <f>+D30</f>
        <v>4109.59</v>
      </c>
      <c r="L32" s="1">
        <f>+D30</f>
        <v>4109.59</v>
      </c>
      <c r="M32" s="1">
        <f>+D30</f>
        <v>4109.59</v>
      </c>
      <c r="N32" s="1">
        <f>+D30</f>
        <v>4109.59</v>
      </c>
      <c r="O32" s="1">
        <f>+D30</f>
        <v>4109.59</v>
      </c>
      <c r="P32" s="1">
        <f>+D30</f>
        <v>4109.59</v>
      </c>
      <c r="Q32" s="1">
        <f>+D30</f>
        <v>4109.59</v>
      </c>
      <c r="R32" s="1">
        <f>+D30</f>
        <v>4109.59</v>
      </c>
      <c r="S32" s="1">
        <f>+D30</f>
        <v>4109.59</v>
      </c>
      <c r="T32" s="1">
        <f>+D30</f>
        <v>4109.59</v>
      </c>
      <c r="U32" s="1">
        <f>+D30</f>
        <v>4109.59</v>
      </c>
      <c r="V32" s="1">
        <f>+D30</f>
        <v>4109.59</v>
      </c>
      <c r="W32" s="1">
        <f>+D30</f>
        <v>4109.59</v>
      </c>
      <c r="X32" s="1">
        <f>+D30</f>
        <v>4109.59</v>
      </c>
      <c r="Y32" s="1">
        <f>+D30</f>
        <v>4109.59</v>
      </c>
      <c r="Z32" s="1">
        <f>+D30</f>
        <v>4109.59</v>
      </c>
      <c r="AA32" s="5">
        <f>+D30</f>
        <v>4109.59</v>
      </c>
      <c r="AB32" s="130">
        <f t="shared" si="0"/>
        <v>98630.159999999945</v>
      </c>
      <c r="AC32" s="130">
        <v>4</v>
      </c>
      <c r="AD32" s="131"/>
      <c r="AE32" s="27"/>
    </row>
    <row r="33" spans="2:31" ht="15" thickBot="1">
      <c r="B33" s="132"/>
      <c r="C33" s="133" t="s">
        <v>8</v>
      </c>
      <c r="D33" s="3">
        <f>+D30</f>
        <v>4109.59</v>
      </c>
      <c r="E33" s="3">
        <f>+D30</f>
        <v>4109.59</v>
      </c>
      <c r="F33" s="3">
        <f>+D30</f>
        <v>4109.59</v>
      </c>
      <c r="G33" s="3">
        <f>+D30</f>
        <v>4109.59</v>
      </c>
      <c r="H33" s="3">
        <f>+D30</f>
        <v>4109.59</v>
      </c>
      <c r="I33" s="3">
        <f>+D30</f>
        <v>4109.59</v>
      </c>
      <c r="J33" s="3">
        <f>+D30</f>
        <v>4109.59</v>
      </c>
      <c r="K33" s="3">
        <f>+D30</f>
        <v>4109.59</v>
      </c>
      <c r="L33" s="3">
        <f>+D30</f>
        <v>4109.59</v>
      </c>
      <c r="M33" s="3">
        <f>+D30</f>
        <v>4109.59</v>
      </c>
      <c r="N33" s="3">
        <f>+D30</f>
        <v>4109.59</v>
      </c>
      <c r="O33" s="3">
        <f>+D30</f>
        <v>4109.59</v>
      </c>
      <c r="P33" s="3">
        <f>+D30</f>
        <v>4109.59</v>
      </c>
      <c r="Q33" s="3">
        <f>+D30</f>
        <v>4109.59</v>
      </c>
      <c r="R33" s="3">
        <f>+D30</f>
        <v>4109.59</v>
      </c>
      <c r="S33" s="3">
        <f>+D30</f>
        <v>4109.59</v>
      </c>
      <c r="T33" s="3">
        <f>+D30</f>
        <v>4109.59</v>
      </c>
      <c r="U33" s="3">
        <f>+D30</f>
        <v>4109.59</v>
      </c>
      <c r="V33" s="3">
        <f>+D30</f>
        <v>4109.59</v>
      </c>
      <c r="W33" s="3">
        <f>+D30</f>
        <v>4109.59</v>
      </c>
      <c r="X33" s="3">
        <f>+D30</f>
        <v>4109.59</v>
      </c>
      <c r="Y33" s="3">
        <f>+D30</f>
        <v>4109.59</v>
      </c>
      <c r="Z33" s="3">
        <f>+D30</f>
        <v>4109.59</v>
      </c>
      <c r="AA33" s="6">
        <f>+D30</f>
        <v>4109.59</v>
      </c>
      <c r="AB33" s="134">
        <f t="shared" si="0"/>
        <v>98630.159999999945</v>
      </c>
      <c r="AC33" s="134">
        <v>2</v>
      </c>
      <c r="AD33" s="135"/>
      <c r="AE33" s="27"/>
    </row>
    <row r="34" spans="2:31">
      <c r="B34" s="124">
        <v>46600</v>
      </c>
      <c r="C34" s="125" t="s">
        <v>5</v>
      </c>
      <c r="D34" s="2">
        <v>4109.59</v>
      </c>
      <c r="E34" s="2">
        <f>+D34</f>
        <v>4109.59</v>
      </c>
      <c r="F34" s="2">
        <f>+D34</f>
        <v>4109.59</v>
      </c>
      <c r="G34" s="2">
        <f>+D34</f>
        <v>4109.59</v>
      </c>
      <c r="H34" s="2">
        <f>+D34</f>
        <v>4109.59</v>
      </c>
      <c r="I34" s="2">
        <f>+D34</f>
        <v>4109.59</v>
      </c>
      <c r="J34" s="2">
        <f>+D34</f>
        <v>4109.59</v>
      </c>
      <c r="K34" s="2">
        <f>+D34</f>
        <v>4109.59</v>
      </c>
      <c r="L34" s="2">
        <f>+D34</f>
        <v>4109.59</v>
      </c>
      <c r="M34" s="2">
        <f>+D34</f>
        <v>4109.59</v>
      </c>
      <c r="N34" s="2">
        <f>+D34</f>
        <v>4109.59</v>
      </c>
      <c r="O34" s="2">
        <f>+D34</f>
        <v>4109.59</v>
      </c>
      <c r="P34" s="2">
        <f>+D34</f>
        <v>4109.59</v>
      </c>
      <c r="Q34" s="2">
        <f>+D34</f>
        <v>4109.59</v>
      </c>
      <c r="R34" s="2">
        <f>+D34</f>
        <v>4109.59</v>
      </c>
      <c r="S34" s="2">
        <f>+D34</f>
        <v>4109.59</v>
      </c>
      <c r="T34" s="2">
        <f>+D34</f>
        <v>4109.59</v>
      </c>
      <c r="U34" s="2">
        <f>+D34</f>
        <v>4109.59</v>
      </c>
      <c r="V34" s="2">
        <f>+D34</f>
        <v>4109.59</v>
      </c>
      <c r="W34" s="2">
        <f>+D34</f>
        <v>4109.59</v>
      </c>
      <c r="X34" s="2">
        <f>+D34</f>
        <v>4109.59</v>
      </c>
      <c r="Y34" s="2">
        <f>+D34</f>
        <v>4109.59</v>
      </c>
      <c r="Z34" s="2">
        <f>+D34</f>
        <v>4109.59</v>
      </c>
      <c r="AA34" s="4">
        <f>+D34</f>
        <v>4109.59</v>
      </c>
      <c r="AB34" s="126">
        <f t="shared" si="0"/>
        <v>98630.159999999945</v>
      </c>
      <c r="AC34" s="126">
        <v>21</v>
      </c>
      <c r="AD34" s="127">
        <f>(AB34*AC34)+(AB35*AC35)+(AB36*AC36)+(AB37*AC37)</f>
        <v>3057534.9599999986</v>
      </c>
      <c r="AE34" s="27"/>
    </row>
    <row r="35" spans="2:31">
      <c r="B35" s="128"/>
      <c r="C35" s="129" t="s">
        <v>6</v>
      </c>
      <c r="D35" s="1">
        <f>+D34</f>
        <v>4109.59</v>
      </c>
      <c r="E35" s="1">
        <f>+D34</f>
        <v>4109.59</v>
      </c>
      <c r="F35" s="1">
        <f>+D34</f>
        <v>4109.59</v>
      </c>
      <c r="G35" s="1">
        <f>+D34</f>
        <v>4109.59</v>
      </c>
      <c r="H35" s="1">
        <f>+D34</f>
        <v>4109.59</v>
      </c>
      <c r="I35" s="1">
        <f>+D34</f>
        <v>4109.59</v>
      </c>
      <c r="J35" s="1">
        <f>+D34</f>
        <v>4109.59</v>
      </c>
      <c r="K35" s="1">
        <f>+D34</f>
        <v>4109.59</v>
      </c>
      <c r="L35" s="1">
        <f>+D34</f>
        <v>4109.59</v>
      </c>
      <c r="M35" s="1">
        <f>+D34</f>
        <v>4109.59</v>
      </c>
      <c r="N35" s="1">
        <f>+D34</f>
        <v>4109.59</v>
      </c>
      <c r="O35" s="1">
        <f>+D34</f>
        <v>4109.59</v>
      </c>
      <c r="P35" s="1">
        <f>+D34</f>
        <v>4109.59</v>
      </c>
      <c r="Q35" s="1">
        <f>+D34</f>
        <v>4109.59</v>
      </c>
      <c r="R35" s="1">
        <f>+D34</f>
        <v>4109.59</v>
      </c>
      <c r="S35" s="1">
        <f>+D34</f>
        <v>4109.59</v>
      </c>
      <c r="T35" s="1">
        <f>+D34</f>
        <v>4109.59</v>
      </c>
      <c r="U35" s="1">
        <f>+D34</f>
        <v>4109.59</v>
      </c>
      <c r="V35" s="1">
        <f>+D34</f>
        <v>4109.59</v>
      </c>
      <c r="W35" s="1">
        <f>+D34</f>
        <v>4109.59</v>
      </c>
      <c r="X35" s="1">
        <f>+D34</f>
        <v>4109.59</v>
      </c>
      <c r="Y35" s="1">
        <f>+D34</f>
        <v>4109.59</v>
      </c>
      <c r="Z35" s="1">
        <f>+D34</f>
        <v>4109.59</v>
      </c>
      <c r="AA35" s="5">
        <f>+D34</f>
        <v>4109.59</v>
      </c>
      <c r="AB35" s="130">
        <f t="shared" si="0"/>
        <v>98630.159999999945</v>
      </c>
      <c r="AC35" s="130">
        <v>3</v>
      </c>
      <c r="AD35" s="131"/>
      <c r="AE35" s="27"/>
    </row>
    <row r="36" spans="2:31">
      <c r="B36" s="128"/>
      <c r="C36" s="129" t="s">
        <v>7</v>
      </c>
      <c r="D36" s="1">
        <f>+D34</f>
        <v>4109.59</v>
      </c>
      <c r="E36" s="1">
        <f>+D34</f>
        <v>4109.59</v>
      </c>
      <c r="F36" s="1">
        <f>+D34</f>
        <v>4109.59</v>
      </c>
      <c r="G36" s="1">
        <f>+D34</f>
        <v>4109.59</v>
      </c>
      <c r="H36" s="1">
        <f>+D34</f>
        <v>4109.59</v>
      </c>
      <c r="I36" s="1">
        <f>+D34</f>
        <v>4109.59</v>
      </c>
      <c r="J36" s="1">
        <f>+D34</f>
        <v>4109.59</v>
      </c>
      <c r="K36" s="1">
        <f>+D34</f>
        <v>4109.59</v>
      </c>
      <c r="L36" s="1">
        <f>+D34</f>
        <v>4109.59</v>
      </c>
      <c r="M36" s="1">
        <f>+D34</f>
        <v>4109.59</v>
      </c>
      <c r="N36" s="1">
        <f>+D34</f>
        <v>4109.59</v>
      </c>
      <c r="O36" s="1">
        <f>+D34</f>
        <v>4109.59</v>
      </c>
      <c r="P36" s="1">
        <f>+D34</f>
        <v>4109.59</v>
      </c>
      <c r="Q36" s="1">
        <f>+D34</f>
        <v>4109.59</v>
      </c>
      <c r="R36" s="1">
        <f>+D34</f>
        <v>4109.59</v>
      </c>
      <c r="S36" s="1">
        <f>+D34</f>
        <v>4109.59</v>
      </c>
      <c r="T36" s="1">
        <f>+D34</f>
        <v>4109.59</v>
      </c>
      <c r="U36" s="1">
        <f>+D34</f>
        <v>4109.59</v>
      </c>
      <c r="V36" s="1">
        <f>+D34</f>
        <v>4109.59</v>
      </c>
      <c r="W36" s="1">
        <f>+D34</f>
        <v>4109.59</v>
      </c>
      <c r="X36" s="1">
        <f>+D34</f>
        <v>4109.59</v>
      </c>
      <c r="Y36" s="1">
        <f>+D34</f>
        <v>4109.59</v>
      </c>
      <c r="Z36" s="1">
        <f>+D34</f>
        <v>4109.59</v>
      </c>
      <c r="AA36" s="5">
        <f>+D34</f>
        <v>4109.59</v>
      </c>
      <c r="AB36" s="130">
        <f t="shared" si="0"/>
        <v>98630.159999999945</v>
      </c>
      <c r="AC36" s="130">
        <v>5</v>
      </c>
      <c r="AD36" s="131"/>
      <c r="AE36" s="27"/>
    </row>
    <row r="37" spans="2:31" ht="15" thickBot="1">
      <c r="B37" s="132"/>
      <c r="C37" s="133" t="s">
        <v>8</v>
      </c>
      <c r="D37" s="3">
        <f>+D34</f>
        <v>4109.59</v>
      </c>
      <c r="E37" s="3">
        <f>+D34</f>
        <v>4109.59</v>
      </c>
      <c r="F37" s="3">
        <f>+D34</f>
        <v>4109.59</v>
      </c>
      <c r="G37" s="3">
        <f>+D34</f>
        <v>4109.59</v>
      </c>
      <c r="H37" s="3">
        <f>+D34</f>
        <v>4109.59</v>
      </c>
      <c r="I37" s="3">
        <f>+D34</f>
        <v>4109.59</v>
      </c>
      <c r="J37" s="3">
        <f>+D34</f>
        <v>4109.59</v>
      </c>
      <c r="K37" s="3">
        <f>+D34</f>
        <v>4109.59</v>
      </c>
      <c r="L37" s="3">
        <f>+D34</f>
        <v>4109.59</v>
      </c>
      <c r="M37" s="3">
        <f>+D34</f>
        <v>4109.59</v>
      </c>
      <c r="N37" s="3">
        <f>+D34</f>
        <v>4109.59</v>
      </c>
      <c r="O37" s="3">
        <f>+D34</f>
        <v>4109.59</v>
      </c>
      <c r="P37" s="3">
        <f>+D34</f>
        <v>4109.59</v>
      </c>
      <c r="Q37" s="3">
        <f>+D34</f>
        <v>4109.59</v>
      </c>
      <c r="R37" s="3">
        <f>+D34</f>
        <v>4109.59</v>
      </c>
      <c r="S37" s="3">
        <f>+D34</f>
        <v>4109.59</v>
      </c>
      <c r="T37" s="3">
        <f>+D34</f>
        <v>4109.59</v>
      </c>
      <c r="U37" s="3">
        <f>+D34</f>
        <v>4109.59</v>
      </c>
      <c r="V37" s="3">
        <f>+D34</f>
        <v>4109.59</v>
      </c>
      <c r="W37" s="3">
        <f>+D34</f>
        <v>4109.59</v>
      </c>
      <c r="X37" s="3">
        <f>+D34</f>
        <v>4109.59</v>
      </c>
      <c r="Y37" s="3">
        <f>+D34</f>
        <v>4109.59</v>
      </c>
      <c r="Z37" s="3">
        <f>+D34</f>
        <v>4109.59</v>
      </c>
      <c r="AA37" s="6">
        <f>+D34</f>
        <v>4109.59</v>
      </c>
      <c r="AB37" s="134">
        <f t="shared" si="0"/>
        <v>98630.159999999945</v>
      </c>
      <c r="AC37" s="134">
        <v>2</v>
      </c>
      <c r="AD37" s="135"/>
      <c r="AE37" s="27"/>
    </row>
    <row r="38" spans="2:31">
      <c r="B38" s="124">
        <v>46631</v>
      </c>
      <c r="C38" s="125" t="s">
        <v>5</v>
      </c>
      <c r="D38" s="2">
        <v>4109.59</v>
      </c>
      <c r="E38" s="2">
        <f>+D38</f>
        <v>4109.59</v>
      </c>
      <c r="F38" s="2">
        <f>+D38</f>
        <v>4109.59</v>
      </c>
      <c r="G38" s="2">
        <f>+D38</f>
        <v>4109.59</v>
      </c>
      <c r="H38" s="2">
        <f>+D38</f>
        <v>4109.59</v>
      </c>
      <c r="I38" s="2">
        <f>+D38</f>
        <v>4109.59</v>
      </c>
      <c r="J38" s="2">
        <f>+D38</f>
        <v>4109.59</v>
      </c>
      <c r="K38" s="2">
        <f>+D38</f>
        <v>4109.59</v>
      </c>
      <c r="L38" s="2">
        <f>+D38</f>
        <v>4109.59</v>
      </c>
      <c r="M38" s="2">
        <f>+D38</f>
        <v>4109.59</v>
      </c>
      <c r="N38" s="2">
        <f>+D38</f>
        <v>4109.59</v>
      </c>
      <c r="O38" s="2">
        <f>+D38</f>
        <v>4109.59</v>
      </c>
      <c r="P38" s="2">
        <f>+D38</f>
        <v>4109.59</v>
      </c>
      <c r="Q38" s="2">
        <f>+D38</f>
        <v>4109.59</v>
      </c>
      <c r="R38" s="2">
        <f>+D38</f>
        <v>4109.59</v>
      </c>
      <c r="S38" s="2">
        <f>+D38</f>
        <v>4109.59</v>
      </c>
      <c r="T38" s="2">
        <f>+D38</f>
        <v>4109.59</v>
      </c>
      <c r="U38" s="2">
        <f>+D38</f>
        <v>4109.59</v>
      </c>
      <c r="V38" s="2">
        <f>+D38</f>
        <v>4109.59</v>
      </c>
      <c r="W38" s="2">
        <f>+D38</f>
        <v>4109.59</v>
      </c>
      <c r="X38" s="2">
        <f>+D38</f>
        <v>4109.59</v>
      </c>
      <c r="Y38" s="2">
        <f>+D38</f>
        <v>4109.59</v>
      </c>
      <c r="Z38" s="2">
        <f>+D38</f>
        <v>4109.59</v>
      </c>
      <c r="AA38" s="4">
        <f>+D38</f>
        <v>4109.59</v>
      </c>
      <c r="AB38" s="126">
        <f t="shared" si="0"/>
        <v>98630.159999999945</v>
      </c>
      <c r="AC38" s="126">
        <v>22</v>
      </c>
      <c r="AD38" s="127">
        <f>(AB38*AC38)+(AB39*AC39)+(AB40*AC40)+(AB41*AC41)</f>
        <v>2958904.799999998</v>
      </c>
      <c r="AE38" s="27"/>
    </row>
    <row r="39" spans="2:31">
      <c r="B39" s="128"/>
      <c r="C39" s="129" t="s">
        <v>6</v>
      </c>
      <c r="D39" s="1">
        <f>+D38</f>
        <v>4109.59</v>
      </c>
      <c r="E39" s="1">
        <f>+D38</f>
        <v>4109.59</v>
      </c>
      <c r="F39" s="1">
        <f>+D38</f>
        <v>4109.59</v>
      </c>
      <c r="G39" s="1">
        <f>+D38</f>
        <v>4109.59</v>
      </c>
      <c r="H39" s="1">
        <f>+D38</f>
        <v>4109.59</v>
      </c>
      <c r="I39" s="1">
        <f>+D38</f>
        <v>4109.59</v>
      </c>
      <c r="J39" s="1">
        <f>+D38</f>
        <v>4109.59</v>
      </c>
      <c r="K39" s="1">
        <f>+D38</f>
        <v>4109.59</v>
      </c>
      <c r="L39" s="1">
        <f>+D38</f>
        <v>4109.59</v>
      </c>
      <c r="M39" s="1">
        <f>+D38</f>
        <v>4109.59</v>
      </c>
      <c r="N39" s="1">
        <f>+D38</f>
        <v>4109.59</v>
      </c>
      <c r="O39" s="1">
        <f>+D38</f>
        <v>4109.59</v>
      </c>
      <c r="P39" s="1">
        <f>+D38</f>
        <v>4109.59</v>
      </c>
      <c r="Q39" s="1">
        <f>+D38</f>
        <v>4109.59</v>
      </c>
      <c r="R39" s="1">
        <f>+D38</f>
        <v>4109.59</v>
      </c>
      <c r="S39" s="1">
        <f>+D38</f>
        <v>4109.59</v>
      </c>
      <c r="T39" s="1">
        <f>+D38</f>
        <v>4109.59</v>
      </c>
      <c r="U39" s="1">
        <f>+D38</f>
        <v>4109.59</v>
      </c>
      <c r="V39" s="1">
        <f>+D38</f>
        <v>4109.59</v>
      </c>
      <c r="W39" s="1">
        <f>+D38</f>
        <v>4109.59</v>
      </c>
      <c r="X39" s="1">
        <f>+D38</f>
        <v>4109.59</v>
      </c>
      <c r="Y39" s="1">
        <f>+D38</f>
        <v>4109.59</v>
      </c>
      <c r="Z39" s="1">
        <f>+D38</f>
        <v>4109.59</v>
      </c>
      <c r="AA39" s="5">
        <f>+D38</f>
        <v>4109.59</v>
      </c>
      <c r="AB39" s="130">
        <f t="shared" si="0"/>
        <v>98630.159999999945</v>
      </c>
      <c r="AC39" s="130">
        <v>4</v>
      </c>
      <c r="AD39" s="131"/>
      <c r="AE39" s="27"/>
    </row>
    <row r="40" spans="2:31">
      <c r="B40" s="128"/>
      <c r="C40" s="129" t="s">
        <v>7</v>
      </c>
      <c r="D40" s="1">
        <f>+D38</f>
        <v>4109.59</v>
      </c>
      <c r="E40" s="1">
        <f>+D38</f>
        <v>4109.59</v>
      </c>
      <c r="F40" s="1">
        <f>+D38</f>
        <v>4109.59</v>
      </c>
      <c r="G40" s="1">
        <f>+D38</f>
        <v>4109.59</v>
      </c>
      <c r="H40" s="1">
        <f>+D38</f>
        <v>4109.59</v>
      </c>
      <c r="I40" s="1">
        <f>+D38</f>
        <v>4109.59</v>
      </c>
      <c r="J40" s="1">
        <f>+D38</f>
        <v>4109.59</v>
      </c>
      <c r="K40" s="1">
        <f>+D38</f>
        <v>4109.59</v>
      </c>
      <c r="L40" s="1">
        <f>+D38</f>
        <v>4109.59</v>
      </c>
      <c r="M40" s="1">
        <f>+D38</f>
        <v>4109.59</v>
      </c>
      <c r="N40" s="1">
        <f>+D38</f>
        <v>4109.59</v>
      </c>
      <c r="O40" s="1">
        <f>+D38</f>
        <v>4109.59</v>
      </c>
      <c r="P40" s="1">
        <f>+D38</f>
        <v>4109.59</v>
      </c>
      <c r="Q40" s="1">
        <f>+D38</f>
        <v>4109.59</v>
      </c>
      <c r="R40" s="1">
        <f>+D38</f>
        <v>4109.59</v>
      </c>
      <c r="S40" s="1">
        <f>+D38</f>
        <v>4109.59</v>
      </c>
      <c r="T40" s="1">
        <f>+D38</f>
        <v>4109.59</v>
      </c>
      <c r="U40" s="1">
        <f>+D38</f>
        <v>4109.59</v>
      </c>
      <c r="V40" s="1">
        <f>+D38</f>
        <v>4109.59</v>
      </c>
      <c r="W40" s="1">
        <f>+D38</f>
        <v>4109.59</v>
      </c>
      <c r="X40" s="1">
        <f>+D38</f>
        <v>4109.59</v>
      </c>
      <c r="Y40" s="1">
        <f>+D38</f>
        <v>4109.59</v>
      </c>
      <c r="Z40" s="1">
        <f>+D38</f>
        <v>4109.59</v>
      </c>
      <c r="AA40" s="5">
        <f>+D38</f>
        <v>4109.59</v>
      </c>
      <c r="AB40" s="130">
        <f t="shared" si="0"/>
        <v>98630.159999999945</v>
      </c>
      <c r="AC40" s="130">
        <v>4</v>
      </c>
      <c r="AD40" s="131"/>
      <c r="AE40" s="27"/>
    </row>
    <row r="41" spans="2:31" ht="15" thickBot="1">
      <c r="B41" s="132"/>
      <c r="C41" s="133" t="s">
        <v>8</v>
      </c>
      <c r="D41" s="3">
        <f>+D38</f>
        <v>4109.59</v>
      </c>
      <c r="E41" s="3">
        <f>+D38</f>
        <v>4109.59</v>
      </c>
      <c r="F41" s="3">
        <f>+D38</f>
        <v>4109.59</v>
      </c>
      <c r="G41" s="3">
        <f>+D38</f>
        <v>4109.59</v>
      </c>
      <c r="H41" s="3">
        <f>+D38</f>
        <v>4109.59</v>
      </c>
      <c r="I41" s="3">
        <f>+D38</f>
        <v>4109.59</v>
      </c>
      <c r="J41" s="3">
        <f>+D38</f>
        <v>4109.59</v>
      </c>
      <c r="K41" s="3">
        <f>+D38</f>
        <v>4109.59</v>
      </c>
      <c r="L41" s="3">
        <f>+D38</f>
        <v>4109.59</v>
      </c>
      <c r="M41" s="3">
        <f>+D38</f>
        <v>4109.59</v>
      </c>
      <c r="N41" s="3">
        <f>+D38</f>
        <v>4109.59</v>
      </c>
      <c r="O41" s="3">
        <f>+D38</f>
        <v>4109.59</v>
      </c>
      <c r="P41" s="3">
        <f>+D38</f>
        <v>4109.59</v>
      </c>
      <c r="Q41" s="3">
        <f>+D38</f>
        <v>4109.59</v>
      </c>
      <c r="R41" s="3">
        <f>+D38</f>
        <v>4109.59</v>
      </c>
      <c r="S41" s="3">
        <f>+D38</f>
        <v>4109.59</v>
      </c>
      <c r="T41" s="3">
        <f>+D38</f>
        <v>4109.59</v>
      </c>
      <c r="U41" s="3">
        <f>+D38</f>
        <v>4109.59</v>
      </c>
      <c r="V41" s="3">
        <f>+D38</f>
        <v>4109.59</v>
      </c>
      <c r="W41" s="3">
        <f>+D38</f>
        <v>4109.59</v>
      </c>
      <c r="X41" s="3">
        <f>+D38</f>
        <v>4109.59</v>
      </c>
      <c r="Y41" s="3">
        <f>+D38</f>
        <v>4109.59</v>
      </c>
      <c r="Z41" s="3">
        <f>+D38</f>
        <v>4109.59</v>
      </c>
      <c r="AA41" s="6">
        <f>+D38</f>
        <v>4109.59</v>
      </c>
      <c r="AB41" s="134">
        <f t="shared" si="0"/>
        <v>98630.159999999945</v>
      </c>
      <c r="AC41" s="134">
        <v>0</v>
      </c>
      <c r="AD41" s="135"/>
      <c r="AE41" s="27"/>
    </row>
    <row r="42" spans="2:31">
      <c r="B42" s="124">
        <v>46661</v>
      </c>
      <c r="C42" s="125" t="s">
        <v>5</v>
      </c>
      <c r="D42" s="2">
        <v>4109.59</v>
      </c>
      <c r="E42" s="2">
        <f>+D42</f>
        <v>4109.59</v>
      </c>
      <c r="F42" s="2">
        <f>+D42</f>
        <v>4109.59</v>
      </c>
      <c r="G42" s="2">
        <f>+D42</f>
        <v>4109.59</v>
      </c>
      <c r="H42" s="2">
        <f>+D42</f>
        <v>4109.59</v>
      </c>
      <c r="I42" s="2">
        <f>+D42</f>
        <v>4109.59</v>
      </c>
      <c r="J42" s="2">
        <f>+D42</f>
        <v>4109.59</v>
      </c>
      <c r="K42" s="2">
        <f>+D42</f>
        <v>4109.59</v>
      </c>
      <c r="L42" s="2">
        <f>+D42</f>
        <v>4109.59</v>
      </c>
      <c r="M42" s="2">
        <f>+D42</f>
        <v>4109.59</v>
      </c>
      <c r="N42" s="2">
        <f>+D42</f>
        <v>4109.59</v>
      </c>
      <c r="O42" s="2">
        <f>+D42</f>
        <v>4109.59</v>
      </c>
      <c r="P42" s="2">
        <f>+D42</f>
        <v>4109.59</v>
      </c>
      <c r="Q42" s="2">
        <f>+D42</f>
        <v>4109.59</v>
      </c>
      <c r="R42" s="2">
        <f>+D42</f>
        <v>4109.59</v>
      </c>
      <c r="S42" s="2">
        <f>+D42</f>
        <v>4109.59</v>
      </c>
      <c r="T42" s="2">
        <f>+D42</f>
        <v>4109.59</v>
      </c>
      <c r="U42" s="2">
        <f>+D42</f>
        <v>4109.59</v>
      </c>
      <c r="V42" s="2">
        <f>+D42</f>
        <v>4109.59</v>
      </c>
      <c r="W42" s="2">
        <f>+D42</f>
        <v>4109.59</v>
      </c>
      <c r="X42" s="2">
        <f>+D42</f>
        <v>4109.59</v>
      </c>
      <c r="Y42" s="2">
        <f>+D42</f>
        <v>4109.59</v>
      </c>
      <c r="Z42" s="2">
        <f>+D42</f>
        <v>4109.59</v>
      </c>
      <c r="AA42" s="4">
        <f>+D42</f>
        <v>4109.59</v>
      </c>
      <c r="AB42" s="126">
        <f t="shared" si="0"/>
        <v>98630.159999999945</v>
      </c>
      <c r="AC42" s="126">
        <v>20</v>
      </c>
      <c r="AD42" s="127">
        <f>(AB42*AC42)+(AB43*AC43)+(AB44*AC44)+(AB45*AC45)</f>
        <v>3057534.9599999986</v>
      </c>
      <c r="AE42" s="27"/>
    </row>
    <row r="43" spans="2:31">
      <c r="B43" s="128"/>
      <c r="C43" s="129" t="s">
        <v>6</v>
      </c>
      <c r="D43" s="1">
        <f>+D42</f>
        <v>4109.59</v>
      </c>
      <c r="E43" s="1">
        <f>+D42</f>
        <v>4109.59</v>
      </c>
      <c r="F43" s="1">
        <f>+D42</f>
        <v>4109.59</v>
      </c>
      <c r="G43" s="1">
        <f>+D42</f>
        <v>4109.59</v>
      </c>
      <c r="H43" s="1">
        <f>+D42</f>
        <v>4109.59</v>
      </c>
      <c r="I43" s="1">
        <f>+D42</f>
        <v>4109.59</v>
      </c>
      <c r="J43" s="1">
        <f>+D42</f>
        <v>4109.59</v>
      </c>
      <c r="K43" s="1">
        <f>+D42</f>
        <v>4109.59</v>
      </c>
      <c r="L43" s="1">
        <f>+D42</f>
        <v>4109.59</v>
      </c>
      <c r="M43" s="1">
        <f>+D42</f>
        <v>4109.59</v>
      </c>
      <c r="N43" s="1">
        <f>+D42</f>
        <v>4109.59</v>
      </c>
      <c r="O43" s="1">
        <f>+D42</f>
        <v>4109.59</v>
      </c>
      <c r="P43" s="1">
        <f>+D42</f>
        <v>4109.59</v>
      </c>
      <c r="Q43" s="1">
        <f>+D42</f>
        <v>4109.59</v>
      </c>
      <c r="R43" s="1">
        <f>+D42</f>
        <v>4109.59</v>
      </c>
      <c r="S43" s="1">
        <f>+D42</f>
        <v>4109.59</v>
      </c>
      <c r="T43" s="1">
        <f>+D42</f>
        <v>4109.59</v>
      </c>
      <c r="U43" s="1">
        <f>+D42</f>
        <v>4109.59</v>
      </c>
      <c r="V43" s="1">
        <f>+D42</f>
        <v>4109.59</v>
      </c>
      <c r="W43" s="1">
        <f>+D42</f>
        <v>4109.59</v>
      </c>
      <c r="X43" s="1">
        <f>+D42</f>
        <v>4109.59</v>
      </c>
      <c r="Y43" s="1">
        <f>+D42</f>
        <v>4109.59</v>
      </c>
      <c r="Z43" s="1">
        <f>+D42</f>
        <v>4109.59</v>
      </c>
      <c r="AA43" s="5">
        <f>+D42</f>
        <v>4109.59</v>
      </c>
      <c r="AB43" s="130">
        <f t="shared" si="0"/>
        <v>98630.159999999945</v>
      </c>
      <c r="AC43" s="130">
        <v>5</v>
      </c>
      <c r="AD43" s="131"/>
      <c r="AE43" s="27"/>
    </row>
    <row r="44" spans="2:31">
      <c r="B44" s="128"/>
      <c r="C44" s="129" t="s">
        <v>7</v>
      </c>
      <c r="D44" s="1">
        <f>+D42</f>
        <v>4109.59</v>
      </c>
      <c r="E44" s="1">
        <f>+D42</f>
        <v>4109.59</v>
      </c>
      <c r="F44" s="1">
        <f>+D42</f>
        <v>4109.59</v>
      </c>
      <c r="G44" s="1">
        <f>+D42</f>
        <v>4109.59</v>
      </c>
      <c r="H44" s="1">
        <f>+D42</f>
        <v>4109.59</v>
      </c>
      <c r="I44" s="1">
        <f>+D42</f>
        <v>4109.59</v>
      </c>
      <c r="J44" s="1">
        <f>+D42</f>
        <v>4109.59</v>
      </c>
      <c r="K44" s="1">
        <f>+D42</f>
        <v>4109.59</v>
      </c>
      <c r="L44" s="1">
        <f>+D42</f>
        <v>4109.59</v>
      </c>
      <c r="M44" s="1">
        <f>+D42</f>
        <v>4109.59</v>
      </c>
      <c r="N44" s="1">
        <f>+D42</f>
        <v>4109.59</v>
      </c>
      <c r="O44" s="1">
        <f>+D42</f>
        <v>4109.59</v>
      </c>
      <c r="P44" s="1">
        <f>+D42</f>
        <v>4109.59</v>
      </c>
      <c r="Q44" s="1">
        <f>+D42</f>
        <v>4109.59</v>
      </c>
      <c r="R44" s="1">
        <f>+D42</f>
        <v>4109.59</v>
      </c>
      <c r="S44" s="1">
        <f>+D42</f>
        <v>4109.59</v>
      </c>
      <c r="T44" s="1">
        <f>+D42</f>
        <v>4109.59</v>
      </c>
      <c r="U44" s="1">
        <f>+D42</f>
        <v>4109.59</v>
      </c>
      <c r="V44" s="1">
        <f>+D42</f>
        <v>4109.59</v>
      </c>
      <c r="W44" s="1">
        <f>+D42</f>
        <v>4109.59</v>
      </c>
      <c r="X44" s="1">
        <f>+D42</f>
        <v>4109.59</v>
      </c>
      <c r="Y44" s="1">
        <f>+D42</f>
        <v>4109.59</v>
      </c>
      <c r="Z44" s="1">
        <f>+D42</f>
        <v>4109.59</v>
      </c>
      <c r="AA44" s="5">
        <f>+D42</f>
        <v>4109.59</v>
      </c>
      <c r="AB44" s="130">
        <f t="shared" si="0"/>
        <v>98630.159999999945</v>
      </c>
      <c r="AC44" s="130">
        <v>5</v>
      </c>
      <c r="AD44" s="131"/>
      <c r="AE44" s="27"/>
    </row>
    <row r="45" spans="2:31" ht="15" thickBot="1">
      <c r="B45" s="132"/>
      <c r="C45" s="133" t="s">
        <v>8</v>
      </c>
      <c r="D45" s="3">
        <f>+D42</f>
        <v>4109.59</v>
      </c>
      <c r="E45" s="3">
        <f>+D42</f>
        <v>4109.59</v>
      </c>
      <c r="F45" s="3">
        <f>+D42</f>
        <v>4109.59</v>
      </c>
      <c r="G45" s="3">
        <f>+D42</f>
        <v>4109.59</v>
      </c>
      <c r="H45" s="3">
        <f>+D42</f>
        <v>4109.59</v>
      </c>
      <c r="I45" s="3">
        <f>+D42</f>
        <v>4109.59</v>
      </c>
      <c r="J45" s="3">
        <f>+D42</f>
        <v>4109.59</v>
      </c>
      <c r="K45" s="3">
        <f>+D42</f>
        <v>4109.59</v>
      </c>
      <c r="L45" s="3">
        <f>+D42</f>
        <v>4109.59</v>
      </c>
      <c r="M45" s="3">
        <f>+D42</f>
        <v>4109.59</v>
      </c>
      <c r="N45" s="3">
        <f>+D42</f>
        <v>4109.59</v>
      </c>
      <c r="O45" s="3">
        <f>+D42</f>
        <v>4109.59</v>
      </c>
      <c r="P45" s="3">
        <f>+D42</f>
        <v>4109.59</v>
      </c>
      <c r="Q45" s="3">
        <f>+D42</f>
        <v>4109.59</v>
      </c>
      <c r="R45" s="3">
        <f>+D42</f>
        <v>4109.59</v>
      </c>
      <c r="S45" s="3">
        <f>+D42</f>
        <v>4109.59</v>
      </c>
      <c r="T45" s="3">
        <f>+D42</f>
        <v>4109.59</v>
      </c>
      <c r="U45" s="3">
        <f>+D42</f>
        <v>4109.59</v>
      </c>
      <c r="V45" s="3">
        <f>+D42</f>
        <v>4109.59</v>
      </c>
      <c r="W45" s="3">
        <f>+D42</f>
        <v>4109.59</v>
      </c>
      <c r="X45" s="3">
        <f>+D42</f>
        <v>4109.59</v>
      </c>
      <c r="Y45" s="3">
        <f>+D42</f>
        <v>4109.59</v>
      </c>
      <c r="Z45" s="3">
        <f>+D42</f>
        <v>4109.59</v>
      </c>
      <c r="AA45" s="6">
        <f>+D42</f>
        <v>4109.59</v>
      </c>
      <c r="AB45" s="134">
        <f t="shared" si="0"/>
        <v>98630.159999999945</v>
      </c>
      <c r="AC45" s="134">
        <v>1</v>
      </c>
      <c r="AD45" s="135"/>
      <c r="AE45" s="27"/>
    </row>
    <row r="46" spans="2:31">
      <c r="B46" s="124">
        <v>46692</v>
      </c>
      <c r="C46" s="125" t="s">
        <v>5</v>
      </c>
      <c r="D46" s="2">
        <v>4109.59</v>
      </c>
      <c r="E46" s="2">
        <f>+D46</f>
        <v>4109.59</v>
      </c>
      <c r="F46" s="2">
        <f>+D46</f>
        <v>4109.59</v>
      </c>
      <c r="G46" s="2">
        <f>+D46</f>
        <v>4109.59</v>
      </c>
      <c r="H46" s="2">
        <f>+D46</f>
        <v>4109.59</v>
      </c>
      <c r="I46" s="2">
        <f>+D46</f>
        <v>4109.59</v>
      </c>
      <c r="J46" s="2">
        <f>+D46</f>
        <v>4109.59</v>
      </c>
      <c r="K46" s="2">
        <f>+D46</f>
        <v>4109.59</v>
      </c>
      <c r="L46" s="2">
        <f>+D46</f>
        <v>4109.59</v>
      </c>
      <c r="M46" s="2">
        <f>+D46</f>
        <v>4109.59</v>
      </c>
      <c r="N46" s="2">
        <f>+D46</f>
        <v>4109.59</v>
      </c>
      <c r="O46" s="2">
        <f>+D46</f>
        <v>4109.59</v>
      </c>
      <c r="P46" s="2">
        <f>+D46</f>
        <v>4109.59</v>
      </c>
      <c r="Q46" s="2">
        <f>+D46</f>
        <v>4109.59</v>
      </c>
      <c r="R46" s="2">
        <f>+D46</f>
        <v>4109.59</v>
      </c>
      <c r="S46" s="2">
        <f>+D46</f>
        <v>4109.59</v>
      </c>
      <c r="T46" s="2">
        <f>+D46</f>
        <v>4109.59</v>
      </c>
      <c r="U46" s="2">
        <f>+D46</f>
        <v>4109.59</v>
      </c>
      <c r="V46" s="2">
        <f>+D46</f>
        <v>4109.59</v>
      </c>
      <c r="W46" s="2">
        <f>+D46</f>
        <v>4109.59</v>
      </c>
      <c r="X46" s="2">
        <f>+D46</f>
        <v>4109.59</v>
      </c>
      <c r="Y46" s="2">
        <f>+D46</f>
        <v>4109.59</v>
      </c>
      <c r="Z46" s="2">
        <f>+D46</f>
        <v>4109.59</v>
      </c>
      <c r="AA46" s="4">
        <f>+D46</f>
        <v>4109.59</v>
      </c>
      <c r="AB46" s="126">
        <f t="shared" si="0"/>
        <v>98630.159999999945</v>
      </c>
      <c r="AC46" s="126">
        <v>20</v>
      </c>
      <c r="AD46" s="127">
        <f>(AB46*AC46)+(AB47*AC47)+(AB48*AC48)+(AB49*AC49)</f>
        <v>2958904.799999998</v>
      </c>
      <c r="AE46" s="27"/>
    </row>
    <row r="47" spans="2:31">
      <c r="B47" s="128"/>
      <c r="C47" s="129" t="s">
        <v>6</v>
      </c>
      <c r="D47" s="1">
        <f>+D46</f>
        <v>4109.59</v>
      </c>
      <c r="E47" s="1">
        <f>+D46</f>
        <v>4109.59</v>
      </c>
      <c r="F47" s="1">
        <f>+D46</f>
        <v>4109.59</v>
      </c>
      <c r="G47" s="1">
        <f>+D46</f>
        <v>4109.59</v>
      </c>
      <c r="H47" s="1">
        <f>+D46</f>
        <v>4109.59</v>
      </c>
      <c r="I47" s="1">
        <f>+D46</f>
        <v>4109.59</v>
      </c>
      <c r="J47" s="1">
        <f>+D46</f>
        <v>4109.59</v>
      </c>
      <c r="K47" s="1">
        <f>+D46</f>
        <v>4109.59</v>
      </c>
      <c r="L47" s="1">
        <f>+D46</f>
        <v>4109.59</v>
      </c>
      <c r="M47" s="1">
        <f>+D46</f>
        <v>4109.59</v>
      </c>
      <c r="N47" s="1">
        <f>+D46</f>
        <v>4109.59</v>
      </c>
      <c r="O47" s="1">
        <f>+D46</f>
        <v>4109.59</v>
      </c>
      <c r="P47" s="1">
        <f>+D46</f>
        <v>4109.59</v>
      </c>
      <c r="Q47" s="1">
        <f>+D46</f>
        <v>4109.59</v>
      </c>
      <c r="R47" s="1">
        <f>+D46</f>
        <v>4109.59</v>
      </c>
      <c r="S47" s="1">
        <f>+D46</f>
        <v>4109.59</v>
      </c>
      <c r="T47" s="1">
        <f>+D46</f>
        <v>4109.59</v>
      </c>
      <c r="U47" s="1">
        <f>+D46</f>
        <v>4109.59</v>
      </c>
      <c r="V47" s="1">
        <f>+D46</f>
        <v>4109.59</v>
      </c>
      <c r="W47" s="1">
        <f>+D46</f>
        <v>4109.59</v>
      </c>
      <c r="X47" s="1">
        <f>+D46</f>
        <v>4109.59</v>
      </c>
      <c r="Y47" s="1">
        <f>+D46</f>
        <v>4109.59</v>
      </c>
      <c r="Z47" s="1">
        <f>+D46</f>
        <v>4109.59</v>
      </c>
      <c r="AA47" s="5">
        <f>+D46</f>
        <v>4109.59</v>
      </c>
      <c r="AB47" s="130">
        <f t="shared" si="0"/>
        <v>98630.159999999945</v>
      </c>
      <c r="AC47" s="130">
        <v>4</v>
      </c>
      <c r="AD47" s="131"/>
      <c r="AE47" s="27"/>
    </row>
    <row r="48" spans="2:31">
      <c r="B48" s="128"/>
      <c r="C48" s="129" t="s">
        <v>7</v>
      </c>
      <c r="D48" s="1">
        <f>+D46</f>
        <v>4109.59</v>
      </c>
      <c r="E48" s="1">
        <f>+D46</f>
        <v>4109.59</v>
      </c>
      <c r="F48" s="1">
        <f>+D46</f>
        <v>4109.59</v>
      </c>
      <c r="G48" s="1">
        <f>+D46</f>
        <v>4109.59</v>
      </c>
      <c r="H48" s="1">
        <f>+D46</f>
        <v>4109.59</v>
      </c>
      <c r="I48" s="1">
        <f>+D46</f>
        <v>4109.59</v>
      </c>
      <c r="J48" s="1">
        <f>+D46</f>
        <v>4109.59</v>
      </c>
      <c r="K48" s="1">
        <f>+D46</f>
        <v>4109.59</v>
      </c>
      <c r="L48" s="1">
        <f>+D46</f>
        <v>4109.59</v>
      </c>
      <c r="M48" s="1">
        <f>+D46</f>
        <v>4109.59</v>
      </c>
      <c r="N48" s="1">
        <f>+D46</f>
        <v>4109.59</v>
      </c>
      <c r="O48" s="1">
        <f>+D46</f>
        <v>4109.59</v>
      </c>
      <c r="P48" s="1">
        <f>+D46</f>
        <v>4109.59</v>
      </c>
      <c r="Q48" s="1">
        <f>+D46</f>
        <v>4109.59</v>
      </c>
      <c r="R48" s="1">
        <f>+D46</f>
        <v>4109.59</v>
      </c>
      <c r="S48" s="1">
        <f>+D46</f>
        <v>4109.59</v>
      </c>
      <c r="T48" s="1">
        <f>+D46</f>
        <v>4109.59</v>
      </c>
      <c r="U48" s="1">
        <f>+D46</f>
        <v>4109.59</v>
      </c>
      <c r="V48" s="1">
        <f>+D46</f>
        <v>4109.59</v>
      </c>
      <c r="W48" s="1">
        <f>+D46</f>
        <v>4109.59</v>
      </c>
      <c r="X48" s="1">
        <f>+D46</f>
        <v>4109.59</v>
      </c>
      <c r="Y48" s="1">
        <f>+D46</f>
        <v>4109.59</v>
      </c>
      <c r="Z48" s="1">
        <f>+D46</f>
        <v>4109.59</v>
      </c>
      <c r="AA48" s="5">
        <f>+D46</f>
        <v>4109.59</v>
      </c>
      <c r="AB48" s="130">
        <f t="shared" si="0"/>
        <v>98630.159999999945</v>
      </c>
      <c r="AC48" s="130">
        <v>4</v>
      </c>
      <c r="AD48" s="131"/>
      <c r="AE48" s="27"/>
    </row>
    <row r="49" spans="2:31" ht="15" thickBot="1">
      <c r="B49" s="132"/>
      <c r="C49" s="133" t="s">
        <v>8</v>
      </c>
      <c r="D49" s="3">
        <f>+D46</f>
        <v>4109.59</v>
      </c>
      <c r="E49" s="3">
        <f>+D46</f>
        <v>4109.59</v>
      </c>
      <c r="F49" s="3">
        <f>+D46</f>
        <v>4109.59</v>
      </c>
      <c r="G49" s="3">
        <f>+D46</f>
        <v>4109.59</v>
      </c>
      <c r="H49" s="3">
        <f>+D46</f>
        <v>4109.59</v>
      </c>
      <c r="I49" s="3">
        <f>+D46</f>
        <v>4109.59</v>
      </c>
      <c r="J49" s="3">
        <f>+D46</f>
        <v>4109.59</v>
      </c>
      <c r="K49" s="3">
        <f>+D46</f>
        <v>4109.59</v>
      </c>
      <c r="L49" s="3">
        <f>+D46</f>
        <v>4109.59</v>
      </c>
      <c r="M49" s="3">
        <f>+D46</f>
        <v>4109.59</v>
      </c>
      <c r="N49" s="3">
        <f>+D46</f>
        <v>4109.59</v>
      </c>
      <c r="O49" s="3">
        <f>+D46</f>
        <v>4109.59</v>
      </c>
      <c r="P49" s="3">
        <f>+D46</f>
        <v>4109.59</v>
      </c>
      <c r="Q49" s="3">
        <f>+D46</f>
        <v>4109.59</v>
      </c>
      <c r="R49" s="3">
        <f>+D46</f>
        <v>4109.59</v>
      </c>
      <c r="S49" s="3">
        <f>+D46</f>
        <v>4109.59</v>
      </c>
      <c r="T49" s="3">
        <f>+D46</f>
        <v>4109.59</v>
      </c>
      <c r="U49" s="3">
        <f>+D46</f>
        <v>4109.59</v>
      </c>
      <c r="V49" s="3">
        <f>+D46</f>
        <v>4109.59</v>
      </c>
      <c r="W49" s="3">
        <f>+D46</f>
        <v>4109.59</v>
      </c>
      <c r="X49" s="3">
        <f>+D46</f>
        <v>4109.59</v>
      </c>
      <c r="Y49" s="3">
        <f>+D46</f>
        <v>4109.59</v>
      </c>
      <c r="Z49" s="3">
        <f>+D46</f>
        <v>4109.59</v>
      </c>
      <c r="AA49" s="6">
        <f>+D46</f>
        <v>4109.59</v>
      </c>
      <c r="AB49" s="134">
        <f t="shared" si="0"/>
        <v>98630.159999999945</v>
      </c>
      <c r="AC49" s="134">
        <v>2</v>
      </c>
      <c r="AD49" s="135"/>
      <c r="AE49" s="27"/>
    </row>
    <row r="50" spans="2:31">
      <c r="B50" s="124">
        <v>46722</v>
      </c>
      <c r="C50" s="125" t="s">
        <v>5</v>
      </c>
      <c r="D50" s="2">
        <v>4109.59</v>
      </c>
      <c r="E50" s="2">
        <f>+D50</f>
        <v>4109.59</v>
      </c>
      <c r="F50" s="2">
        <f>+D50</f>
        <v>4109.59</v>
      </c>
      <c r="G50" s="2">
        <f>+D50</f>
        <v>4109.59</v>
      </c>
      <c r="H50" s="2">
        <f>+D50</f>
        <v>4109.59</v>
      </c>
      <c r="I50" s="2">
        <f>+D50</f>
        <v>4109.59</v>
      </c>
      <c r="J50" s="2">
        <f>+D50</f>
        <v>4109.59</v>
      </c>
      <c r="K50" s="2">
        <f>+D50</f>
        <v>4109.59</v>
      </c>
      <c r="L50" s="2">
        <f>+D50</f>
        <v>4109.59</v>
      </c>
      <c r="M50" s="2">
        <f>+D50</f>
        <v>4109.59</v>
      </c>
      <c r="N50" s="2">
        <f>+D50</f>
        <v>4109.59</v>
      </c>
      <c r="O50" s="2">
        <f>+D50</f>
        <v>4109.59</v>
      </c>
      <c r="P50" s="2">
        <f>+D50</f>
        <v>4109.59</v>
      </c>
      <c r="Q50" s="2">
        <f>+D50</f>
        <v>4109.59</v>
      </c>
      <c r="R50" s="2">
        <f>+D50</f>
        <v>4109.59</v>
      </c>
      <c r="S50" s="2">
        <f>+D50</f>
        <v>4109.59</v>
      </c>
      <c r="T50" s="2">
        <f>+D50</f>
        <v>4109.59</v>
      </c>
      <c r="U50" s="2">
        <f>+D50</f>
        <v>4109.59</v>
      </c>
      <c r="V50" s="2">
        <f>+D50</f>
        <v>4109.59</v>
      </c>
      <c r="W50" s="2">
        <f>+D50</f>
        <v>4109.59</v>
      </c>
      <c r="X50" s="2">
        <f>+D50</f>
        <v>4109.59</v>
      </c>
      <c r="Y50" s="2">
        <f>+D50</f>
        <v>4109.59</v>
      </c>
      <c r="Z50" s="2">
        <f>+D50</f>
        <v>4109.59</v>
      </c>
      <c r="AA50" s="4">
        <f>+D50</f>
        <v>4109.59</v>
      </c>
      <c r="AB50" s="126">
        <f t="shared" si="0"/>
        <v>98630.159999999945</v>
      </c>
      <c r="AC50" s="126">
        <v>22</v>
      </c>
      <c r="AD50" s="127">
        <f>(AB50*AC50)+(AB51*AC51)+(AB52*AC52)+(AB53*AC53)</f>
        <v>3057534.9599999981</v>
      </c>
      <c r="AE50" s="27"/>
    </row>
    <row r="51" spans="2:31">
      <c r="B51" s="128"/>
      <c r="C51" s="129" t="s">
        <v>6</v>
      </c>
      <c r="D51" s="1">
        <f>+D50</f>
        <v>4109.59</v>
      </c>
      <c r="E51" s="1">
        <f>+D50</f>
        <v>4109.59</v>
      </c>
      <c r="F51" s="1">
        <f>+D50</f>
        <v>4109.59</v>
      </c>
      <c r="G51" s="1">
        <f>+D50</f>
        <v>4109.59</v>
      </c>
      <c r="H51" s="1">
        <f>+D50</f>
        <v>4109.59</v>
      </c>
      <c r="I51" s="1">
        <f>+D50</f>
        <v>4109.59</v>
      </c>
      <c r="J51" s="1">
        <f>+D50</f>
        <v>4109.59</v>
      </c>
      <c r="K51" s="1">
        <f>+D50</f>
        <v>4109.59</v>
      </c>
      <c r="L51" s="1">
        <f>+D50</f>
        <v>4109.59</v>
      </c>
      <c r="M51" s="1">
        <f>+D50</f>
        <v>4109.59</v>
      </c>
      <c r="N51" s="1">
        <f>+D50</f>
        <v>4109.59</v>
      </c>
      <c r="O51" s="1">
        <f>+D50</f>
        <v>4109.59</v>
      </c>
      <c r="P51" s="1">
        <f>+D50</f>
        <v>4109.59</v>
      </c>
      <c r="Q51" s="1">
        <f>+D50</f>
        <v>4109.59</v>
      </c>
      <c r="R51" s="1">
        <f>+D50</f>
        <v>4109.59</v>
      </c>
      <c r="S51" s="1">
        <f>+D50</f>
        <v>4109.59</v>
      </c>
      <c r="T51" s="1">
        <f>+D50</f>
        <v>4109.59</v>
      </c>
      <c r="U51" s="1">
        <f>+D50</f>
        <v>4109.59</v>
      </c>
      <c r="V51" s="1">
        <f>+D50</f>
        <v>4109.59</v>
      </c>
      <c r="W51" s="1">
        <f>+D50</f>
        <v>4109.59</v>
      </c>
      <c r="X51" s="1">
        <f>+D50</f>
        <v>4109.59</v>
      </c>
      <c r="Y51" s="1">
        <f>+D50</f>
        <v>4109.59</v>
      </c>
      <c r="Z51" s="1">
        <f>+D50</f>
        <v>4109.59</v>
      </c>
      <c r="AA51" s="5">
        <f>+D50</f>
        <v>4109.59</v>
      </c>
      <c r="AB51" s="130">
        <f t="shared" si="0"/>
        <v>98630.159999999945</v>
      </c>
      <c r="AC51" s="130">
        <v>3</v>
      </c>
      <c r="AD51" s="131"/>
      <c r="AE51" s="27"/>
    </row>
    <row r="52" spans="2:31">
      <c r="B52" s="128"/>
      <c r="C52" s="129" t="s">
        <v>7</v>
      </c>
      <c r="D52" s="1">
        <f>+D50</f>
        <v>4109.59</v>
      </c>
      <c r="E52" s="1">
        <f>+D50</f>
        <v>4109.59</v>
      </c>
      <c r="F52" s="1">
        <f>+D50</f>
        <v>4109.59</v>
      </c>
      <c r="G52" s="1">
        <f>+D50</f>
        <v>4109.59</v>
      </c>
      <c r="H52" s="1">
        <f>+D50</f>
        <v>4109.59</v>
      </c>
      <c r="I52" s="1">
        <f>+D50</f>
        <v>4109.59</v>
      </c>
      <c r="J52" s="1">
        <f>+D50</f>
        <v>4109.59</v>
      </c>
      <c r="K52" s="1">
        <f>+D50</f>
        <v>4109.59</v>
      </c>
      <c r="L52" s="1">
        <f>+D50</f>
        <v>4109.59</v>
      </c>
      <c r="M52" s="1">
        <f>+D50</f>
        <v>4109.59</v>
      </c>
      <c r="N52" s="1">
        <f>+D50</f>
        <v>4109.59</v>
      </c>
      <c r="O52" s="1">
        <f>+D50</f>
        <v>4109.59</v>
      </c>
      <c r="P52" s="1">
        <f>+D50</f>
        <v>4109.59</v>
      </c>
      <c r="Q52" s="1">
        <f>+D50</f>
        <v>4109.59</v>
      </c>
      <c r="R52" s="1">
        <f>+D50</f>
        <v>4109.59</v>
      </c>
      <c r="S52" s="1">
        <f>+D50</f>
        <v>4109.59</v>
      </c>
      <c r="T52" s="1">
        <f>+D50</f>
        <v>4109.59</v>
      </c>
      <c r="U52" s="1">
        <f>+D50</f>
        <v>4109.59</v>
      </c>
      <c r="V52" s="1">
        <f>+D50</f>
        <v>4109.59</v>
      </c>
      <c r="W52" s="1">
        <f>+D50</f>
        <v>4109.59</v>
      </c>
      <c r="X52" s="1">
        <f>+D50</f>
        <v>4109.59</v>
      </c>
      <c r="Y52" s="1">
        <f>+D50</f>
        <v>4109.59</v>
      </c>
      <c r="Z52" s="1">
        <f>+D50</f>
        <v>4109.59</v>
      </c>
      <c r="AA52" s="5">
        <f>+D50</f>
        <v>4109.59</v>
      </c>
      <c r="AB52" s="130">
        <f t="shared" si="0"/>
        <v>98630.159999999945</v>
      </c>
      <c r="AC52" s="130">
        <v>4</v>
      </c>
      <c r="AD52" s="131"/>
      <c r="AE52" s="27"/>
    </row>
    <row r="53" spans="2:31" ht="15" thickBot="1">
      <c r="B53" s="132"/>
      <c r="C53" s="133" t="s">
        <v>8</v>
      </c>
      <c r="D53" s="3">
        <f>+D50</f>
        <v>4109.59</v>
      </c>
      <c r="E53" s="3">
        <f>+D50</f>
        <v>4109.59</v>
      </c>
      <c r="F53" s="3">
        <f>+D50</f>
        <v>4109.59</v>
      </c>
      <c r="G53" s="3">
        <f>+D50</f>
        <v>4109.59</v>
      </c>
      <c r="H53" s="3">
        <f>+D50</f>
        <v>4109.59</v>
      </c>
      <c r="I53" s="3">
        <f>+D50</f>
        <v>4109.59</v>
      </c>
      <c r="J53" s="3">
        <f>+D50</f>
        <v>4109.59</v>
      </c>
      <c r="K53" s="3">
        <f>+D50</f>
        <v>4109.59</v>
      </c>
      <c r="L53" s="3">
        <f>+D50</f>
        <v>4109.59</v>
      </c>
      <c r="M53" s="3">
        <f>+D50</f>
        <v>4109.59</v>
      </c>
      <c r="N53" s="3">
        <f>+D50</f>
        <v>4109.59</v>
      </c>
      <c r="O53" s="3">
        <f>+D50</f>
        <v>4109.59</v>
      </c>
      <c r="P53" s="3">
        <f>+D50</f>
        <v>4109.59</v>
      </c>
      <c r="Q53" s="3">
        <f>+D50</f>
        <v>4109.59</v>
      </c>
      <c r="R53" s="3">
        <f>+D50</f>
        <v>4109.59</v>
      </c>
      <c r="S53" s="3">
        <f>+D50</f>
        <v>4109.59</v>
      </c>
      <c r="T53" s="3">
        <f>+D50</f>
        <v>4109.59</v>
      </c>
      <c r="U53" s="3">
        <f>+D50</f>
        <v>4109.59</v>
      </c>
      <c r="V53" s="3">
        <f>+D50</f>
        <v>4109.59</v>
      </c>
      <c r="W53" s="3">
        <f>+D50</f>
        <v>4109.59</v>
      </c>
      <c r="X53" s="3">
        <f>+D50</f>
        <v>4109.59</v>
      </c>
      <c r="Y53" s="3">
        <f>+D50</f>
        <v>4109.59</v>
      </c>
      <c r="Z53" s="3">
        <f>+D50</f>
        <v>4109.59</v>
      </c>
      <c r="AA53" s="6">
        <f>+D50</f>
        <v>4109.59</v>
      </c>
      <c r="AB53" s="134">
        <f t="shared" si="0"/>
        <v>98630.159999999945</v>
      </c>
      <c r="AC53" s="134">
        <v>2</v>
      </c>
      <c r="AD53" s="135"/>
      <c r="AE53" s="27"/>
    </row>
    <row r="54" spans="2:31" ht="15" thickBot="1">
      <c r="AD54" s="7">
        <f>SUM(AD6:AD53)</f>
        <v>36000008.399999976</v>
      </c>
    </row>
    <row r="56" spans="2:31">
      <c r="AD56" s="33"/>
    </row>
    <row r="57" spans="2:31">
      <c r="D57" s="137"/>
    </row>
    <row r="59" spans="2:31">
      <c r="AD59" s="155"/>
    </row>
  </sheetData>
  <mergeCells count="27">
    <mergeCell ref="B50:B53"/>
    <mergeCell ref="AD50:AD53"/>
    <mergeCell ref="B38:B41"/>
    <mergeCell ref="AD38:AD41"/>
    <mergeCell ref="B42:B45"/>
    <mergeCell ref="AD42:AD45"/>
    <mergeCell ref="B46:B49"/>
    <mergeCell ref="AD46:AD49"/>
    <mergeCell ref="B26:B29"/>
    <mergeCell ref="AD26:AD29"/>
    <mergeCell ref="B30:B33"/>
    <mergeCell ref="AD30:AD33"/>
    <mergeCell ref="B34:B37"/>
    <mergeCell ref="AD34:AD37"/>
    <mergeCell ref="B14:B17"/>
    <mergeCell ref="AD14:AD17"/>
    <mergeCell ref="B18:B21"/>
    <mergeCell ref="AD18:AD21"/>
    <mergeCell ref="B22:B25"/>
    <mergeCell ref="AD22:AD25"/>
    <mergeCell ref="B2:AB2"/>
    <mergeCell ref="B3:AB3"/>
    <mergeCell ref="B4:AB4"/>
    <mergeCell ref="B6:B9"/>
    <mergeCell ref="AD6:AD9"/>
    <mergeCell ref="B10:B13"/>
    <mergeCell ref="AD10:AD13"/>
  </mergeCells>
  <conditionalFormatting sqref="D6:AA53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11E4-BE8D-4345-8142-2C3050DDE40C}">
  <dimension ref="B3:M28"/>
  <sheetViews>
    <sheetView showGridLines="0" zoomScale="90" zoomScaleNormal="90" workbookViewId="0">
      <selection activeCell="F13" sqref="F13"/>
    </sheetView>
  </sheetViews>
  <sheetFormatPr baseColWidth="10" defaultColWidth="11.453125" defaultRowHeight="14.5"/>
  <cols>
    <col min="1" max="3" width="11.453125" style="8"/>
    <col min="4" max="4" width="15.26953125" style="8" customWidth="1"/>
    <col min="5" max="5" width="11.453125" style="8"/>
    <col min="6" max="6" width="13.26953125" style="8" customWidth="1"/>
    <col min="7" max="7" width="11.453125" style="8"/>
    <col min="8" max="8" width="12.6328125" style="26" bestFit="1" customWidth="1"/>
    <col min="9" max="9" width="11.453125" style="29"/>
    <col min="10" max="10" width="16.36328125" style="8" bestFit="1" customWidth="1"/>
    <col min="11" max="16384" width="11.453125" style="8"/>
  </cols>
  <sheetData>
    <row r="3" spans="2:13" ht="15" thickBot="1"/>
    <row r="4" spans="2:13">
      <c r="B4" s="61" t="s">
        <v>55</v>
      </c>
      <c r="C4" s="99"/>
      <c r="D4" s="99"/>
      <c r="E4" s="99"/>
      <c r="F4" s="99"/>
      <c r="G4" s="100"/>
    </row>
    <row r="5" spans="2:13">
      <c r="B5" s="63" t="s">
        <v>9</v>
      </c>
      <c r="C5" s="101"/>
      <c r="D5" s="101"/>
      <c r="E5" s="101"/>
      <c r="F5" s="101"/>
      <c r="G5" s="102"/>
    </row>
    <row r="6" spans="2:13">
      <c r="B6" s="65" t="s">
        <v>10</v>
      </c>
      <c r="C6" s="103"/>
      <c r="D6" s="103"/>
      <c r="E6" s="103"/>
      <c r="F6" s="103"/>
      <c r="G6" s="104"/>
    </row>
    <row r="7" spans="2:13" ht="15" thickBot="1">
      <c r="B7" s="67" t="s">
        <v>39</v>
      </c>
      <c r="C7" s="105"/>
      <c r="D7" s="105"/>
      <c r="E7" s="105"/>
      <c r="F7" s="105"/>
      <c r="G7" s="106"/>
    </row>
    <row r="8" spans="2:13" ht="15" thickBot="1">
      <c r="B8" s="70" t="s">
        <v>60</v>
      </c>
      <c r="C8" s="107"/>
      <c r="D8" s="107"/>
      <c r="E8" s="107"/>
      <c r="F8" s="107"/>
      <c r="G8" s="108"/>
    </row>
    <row r="9" spans="2:13">
      <c r="B9" s="34">
        <v>2027</v>
      </c>
      <c r="C9" s="35" t="s">
        <v>25</v>
      </c>
      <c r="D9" s="36">
        <f>+'Producto 5 Plano 27'!AE6</f>
        <v>3057534.9599999981</v>
      </c>
      <c r="E9" s="93"/>
      <c r="F9" s="164">
        <f>+$E$9*D9</f>
        <v>0</v>
      </c>
      <c r="G9" s="49"/>
      <c r="H9" s="32"/>
      <c r="I9" s="30"/>
    </row>
    <row r="10" spans="2:13">
      <c r="B10" s="38">
        <f t="shared" ref="B10:B20" si="0">+B9</f>
        <v>2027</v>
      </c>
      <c r="C10" s="39" t="s">
        <v>26</v>
      </c>
      <c r="D10" s="40">
        <f>+'Producto 5 Plano 27'!AE7</f>
        <v>2761644.4799999981</v>
      </c>
      <c r="E10" s="93"/>
      <c r="F10" s="164">
        <f t="shared" ref="F10:F20" si="1">+$E$9*D10</f>
        <v>0</v>
      </c>
      <c r="G10" s="37"/>
    </row>
    <row r="11" spans="2:13">
      <c r="B11" s="38">
        <f t="shared" si="0"/>
        <v>2027</v>
      </c>
      <c r="C11" s="39" t="s">
        <v>27</v>
      </c>
      <c r="D11" s="40">
        <f>+'Producto 5 Plano 27'!AE8</f>
        <v>3057534.9599999981</v>
      </c>
      <c r="E11" s="93"/>
      <c r="F11" s="164">
        <f t="shared" si="1"/>
        <v>0</v>
      </c>
      <c r="G11" s="37"/>
    </row>
    <row r="12" spans="2:13">
      <c r="B12" s="38">
        <f t="shared" si="0"/>
        <v>2027</v>
      </c>
      <c r="C12" s="39" t="s">
        <v>28</v>
      </c>
      <c r="D12" s="40">
        <f>+'Producto 5 Plano 27'!AE9</f>
        <v>2958904.799999998</v>
      </c>
      <c r="E12" s="93"/>
      <c r="F12" s="164">
        <f t="shared" si="1"/>
        <v>0</v>
      </c>
      <c r="G12" s="37"/>
      <c r="I12" s="45"/>
      <c r="J12" s="46"/>
      <c r="K12" s="47"/>
      <c r="M12" s="47"/>
    </row>
    <row r="13" spans="2:13">
      <c r="B13" s="38">
        <f t="shared" si="0"/>
        <v>2027</v>
      </c>
      <c r="C13" s="39" t="s">
        <v>29</v>
      </c>
      <c r="D13" s="40">
        <f>+'Producto 5 Plano 27'!AE10</f>
        <v>3057534.9599999986</v>
      </c>
      <c r="E13" s="93"/>
      <c r="F13" s="164">
        <f t="shared" si="1"/>
        <v>0</v>
      </c>
      <c r="G13" s="37"/>
      <c r="I13" s="45"/>
      <c r="J13" s="46"/>
      <c r="K13" s="47"/>
      <c r="M13" s="47"/>
    </row>
    <row r="14" spans="2:13">
      <c r="B14" s="38">
        <f t="shared" si="0"/>
        <v>2027</v>
      </c>
      <c r="C14" s="39" t="s">
        <v>18</v>
      </c>
      <c r="D14" s="40">
        <f>+'Producto 5 Plano 27'!AE11</f>
        <v>2958904.7999999984</v>
      </c>
      <c r="E14" s="93"/>
      <c r="F14" s="164">
        <f t="shared" si="1"/>
        <v>0</v>
      </c>
      <c r="G14" s="37"/>
      <c r="I14" s="45"/>
      <c r="J14" s="46"/>
      <c r="K14" s="47"/>
      <c r="M14" s="47"/>
    </row>
    <row r="15" spans="2:13">
      <c r="B15" s="38">
        <f t="shared" si="0"/>
        <v>2027</v>
      </c>
      <c r="C15" s="39" t="s">
        <v>19</v>
      </c>
      <c r="D15" s="40">
        <f>+'Producto 5 Plano 27'!AE12</f>
        <v>3057534.9599999981</v>
      </c>
      <c r="E15" s="93"/>
      <c r="F15" s="164">
        <f t="shared" si="1"/>
        <v>0</v>
      </c>
      <c r="G15" s="37"/>
      <c r="I15" s="45"/>
      <c r="J15" s="46"/>
      <c r="K15" s="47"/>
      <c r="M15" s="47"/>
    </row>
    <row r="16" spans="2:13">
      <c r="B16" s="38">
        <f t="shared" si="0"/>
        <v>2027</v>
      </c>
      <c r="C16" s="39" t="s">
        <v>20</v>
      </c>
      <c r="D16" s="40">
        <f>+'Producto 5 Plano 27'!AE13</f>
        <v>3057534.9599999986</v>
      </c>
      <c r="E16" s="93"/>
      <c r="F16" s="164">
        <f t="shared" si="1"/>
        <v>0</v>
      </c>
      <c r="G16" s="37"/>
      <c r="I16" s="45"/>
      <c r="J16" s="46"/>
      <c r="K16" s="47"/>
      <c r="M16" s="47"/>
    </row>
    <row r="17" spans="2:13">
      <c r="B17" s="38">
        <f t="shared" si="0"/>
        <v>2027</v>
      </c>
      <c r="C17" s="39" t="s">
        <v>21</v>
      </c>
      <c r="D17" s="40">
        <f>+'Producto 5 Plano 27'!AE14</f>
        <v>2958904.799999998</v>
      </c>
      <c r="E17" s="93"/>
      <c r="F17" s="164">
        <f t="shared" si="1"/>
        <v>0</v>
      </c>
      <c r="G17" s="37"/>
      <c r="I17" s="45"/>
      <c r="J17" s="46"/>
      <c r="K17" s="47"/>
      <c r="M17" s="47"/>
    </row>
    <row r="18" spans="2:13">
      <c r="B18" s="38">
        <f t="shared" si="0"/>
        <v>2027</v>
      </c>
      <c r="C18" s="39" t="s">
        <v>22</v>
      </c>
      <c r="D18" s="40">
        <f>+'Producto 5 Plano 27'!AE15</f>
        <v>3057534.9599999986</v>
      </c>
      <c r="E18" s="93"/>
      <c r="F18" s="164">
        <f t="shared" si="1"/>
        <v>0</v>
      </c>
      <c r="G18" s="37"/>
      <c r="I18" s="45"/>
      <c r="J18" s="46"/>
      <c r="K18" s="47"/>
      <c r="M18" s="47"/>
    </row>
    <row r="19" spans="2:13">
      <c r="B19" s="38">
        <f t="shared" si="0"/>
        <v>2027</v>
      </c>
      <c r="C19" s="39" t="s">
        <v>23</v>
      </c>
      <c r="D19" s="40">
        <f>+'Producto 5 Plano 27'!AE16</f>
        <v>2958904.799999998</v>
      </c>
      <c r="E19" s="93"/>
      <c r="F19" s="164">
        <f t="shared" si="1"/>
        <v>0</v>
      </c>
      <c r="G19" s="37"/>
      <c r="I19" s="45"/>
      <c r="J19" s="46"/>
      <c r="K19" s="47"/>
      <c r="M19" s="47"/>
    </row>
    <row r="20" spans="2:13" ht="15" thickBot="1">
      <c r="B20" s="41">
        <f t="shared" si="0"/>
        <v>2027</v>
      </c>
      <c r="C20" s="42" t="s">
        <v>24</v>
      </c>
      <c r="D20" s="43">
        <f>+'Producto 5 Plano 27'!AE17</f>
        <v>3057534.9599999981</v>
      </c>
      <c r="E20" s="94"/>
      <c r="F20" s="165">
        <f t="shared" si="1"/>
        <v>0</v>
      </c>
      <c r="G20" s="44"/>
      <c r="I20" s="45"/>
      <c r="J20" s="46"/>
      <c r="K20" s="47"/>
      <c r="M20" s="47"/>
    </row>
    <row r="21" spans="2:13" ht="15" thickBot="1">
      <c r="B21" s="59" t="s">
        <v>56</v>
      </c>
      <c r="C21" s="60"/>
      <c r="D21" s="24">
        <f>+SUM(D9:D20)</f>
        <v>36000008.399999976</v>
      </c>
      <c r="J21" s="31"/>
      <c r="K21" s="48"/>
    </row>
    <row r="22" spans="2:13">
      <c r="D22" s="31"/>
    </row>
    <row r="23" spans="2:13">
      <c r="B23" s="8" t="s">
        <v>30</v>
      </c>
    </row>
    <row r="24" spans="2:13">
      <c r="B24" s="8" t="s">
        <v>31</v>
      </c>
    </row>
    <row r="25" spans="2:13">
      <c r="B25" s="8" t="s">
        <v>32</v>
      </c>
    </row>
    <row r="26" spans="2:13">
      <c r="B26" s="8" t="s">
        <v>33</v>
      </c>
    </row>
    <row r="28" spans="2:13">
      <c r="D28" s="25"/>
    </row>
  </sheetData>
  <mergeCells count="7">
    <mergeCell ref="B4:G4"/>
    <mergeCell ref="B5:G5"/>
    <mergeCell ref="B6:G6"/>
    <mergeCell ref="B7:G7"/>
    <mergeCell ref="B8:G8"/>
    <mergeCell ref="B21:C21"/>
    <mergeCell ref="E9:E2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7F67-C235-4F85-A767-CB1B35A7C02B}">
  <dimension ref="B2:AE56"/>
  <sheetViews>
    <sheetView showGridLines="0" zoomScale="90" zoomScaleNormal="90" workbookViewId="0">
      <selection activeCell="G1" sqref="G1"/>
    </sheetView>
  </sheetViews>
  <sheetFormatPr baseColWidth="10" defaultRowHeight="14.5"/>
  <cols>
    <col min="1" max="1" width="1.81640625" style="109" customWidth="1"/>
    <col min="2" max="2" width="10" style="109" customWidth="1"/>
    <col min="3" max="27" width="8.81640625" style="109" bestFit="1" customWidth="1"/>
    <col min="28" max="28" width="8.453125" style="109" bestFit="1" customWidth="1"/>
    <col min="29" max="29" width="7.453125" style="109" customWidth="1"/>
    <col min="30" max="30" width="19.1796875" style="109" customWidth="1"/>
    <col min="31" max="31" width="14.90625" style="26" customWidth="1"/>
    <col min="32" max="32" width="17.453125" style="109" bestFit="1" customWidth="1"/>
    <col min="33" max="16384" width="10.90625" style="109"/>
  </cols>
  <sheetData>
    <row r="2" spans="2:31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</row>
    <row r="3" spans="2:31">
      <c r="B3" s="113" t="s">
        <v>61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</row>
    <row r="4" spans="2:31" ht="15" thickBot="1">
      <c r="B4" s="114" t="s">
        <v>53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 spans="2:31" ht="25.5" customHeight="1" thickBot="1">
      <c r="B5" s="115"/>
      <c r="C5" s="116" t="s">
        <v>1</v>
      </c>
      <c r="D5" s="117">
        <v>1</v>
      </c>
      <c r="E5" s="117">
        <v>2</v>
      </c>
      <c r="F5" s="117">
        <v>3</v>
      </c>
      <c r="G5" s="117">
        <v>4</v>
      </c>
      <c r="H5" s="117">
        <v>5</v>
      </c>
      <c r="I5" s="117">
        <v>6</v>
      </c>
      <c r="J5" s="118">
        <v>7</v>
      </c>
      <c r="K5" s="118">
        <v>8</v>
      </c>
      <c r="L5" s="118">
        <v>9</v>
      </c>
      <c r="M5" s="118">
        <v>10</v>
      </c>
      <c r="N5" s="118">
        <v>11</v>
      </c>
      <c r="O5" s="118">
        <v>12</v>
      </c>
      <c r="P5" s="118">
        <v>13</v>
      </c>
      <c r="Q5" s="118">
        <v>14</v>
      </c>
      <c r="R5" s="118">
        <v>15</v>
      </c>
      <c r="S5" s="118">
        <v>16</v>
      </c>
      <c r="T5" s="118">
        <v>17</v>
      </c>
      <c r="U5" s="118">
        <v>18</v>
      </c>
      <c r="V5" s="119">
        <v>19</v>
      </c>
      <c r="W5" s="119">
        <v>20</v>
      </c>
      <c r="X5" s="119">
        <v>21</v>
      </c>
      <c r="Y5" s="117">
        <v>22</v>
      </c>
      <c r="Z5" s="117">
        <v>23</v>
      </c>
      <c r="AA5" s="120">
        <v>24</v>
      </c>
      <c r="AB5" s="121" t="s">
        <v>2</v>
      </c>
      <c r="AC5" s="122" t="s">
        <v>3</v>
      </c>
      <c r="AD5" s="123" t="s">
        <v>2</v>
      </c>
    </row>
    <row r="6" spans="2:31">
      <c r="B6" s="124">
        <v>46753</v>
      </c>
      <c r="C6" s="125" t="s">
        <v>5</v>
      </c>
      <c r="D6" s="2">
        <v>15636.18</v>
      </c>
      <c r="E6" s="2">
        <f>+D6</f>
        <v>15636.18</v>
      </c>
      <c r="F6" s="2">
        <f>+D6</f>
        <v>15636.18</v>
      </c>
      <c r="G6" s="2">
        <f>+D6</f>
        <v>15636.18</v>
      </c>
      <c r="H6" s="2">
        <f>+D6</f>
        <v>15636.18</v>
      </c>
      <c r="I6" s="2">
        <f>+D6</f>
        <v>15636.18</v>
      </c>
      <c r="J6" s="2">
        <f>+D6</f>
        <v>15636.18</v>
      </c>
      <c r="K6" s="2">
        <f>+D6</f>
        <v>15636.18</v>
      </c>
      <c r="L6" s="2">
        <f>+D6</f>
        <v>15636.18</v>
      </c>
      <c r="M6" s="2">
        <f>+D6</f>
        <v>15636.18</v>
      </c>
      <c r="N6" s="2">
        <f>+D6</f>
        <v>15636.18</v>
      </c>
      <c r="O6" s="2">
        <f>+D6</f>
        <v>15636.18</v>
      </c>
      <c r="P6" s="2">
        <f>+D6</f>
        <v>15636.18</v>
      </c>
      <c r="Q6" s="2">
        <f>+D6</f>
        <v>15636.18</v>
      </c>
      <c r="R6" s="2">
        <f>+D6</f>
        <v>15636.18</v>
      </c>
      <c r="S6" s="2">
        <f>+D6</f>
        <v>15636.18</v>
      </c>
      <c r="T6" s="2">
        <f>+D6</f>
        <v>15636.18</v>
      </c>
      <c r="U6" s="2">
        <f>+D6</f>
        <v>15636.18</v>
      </c>
      <c r="V6" s="2">
        <f>+D6</f>
        <v>15636.18</v>
      </c>
      <c r="W6" s="2">
        <f>+D6</f>
        <v>15636.18</v>
      </c>
      <c r="X6" s="2">
        <f>+D6</f>
        <v>15636.18</v>
      </c>
      <c r="Y6" s="2">
        <f>+D6</f>
        <v>15636.18</v>
      </c>
      <c r="Z6" s="2">
        <f>+D6</f>
        <v>15636.18</v>
      </c>
      <c r="AA6" s="4">
        <f>+D6</f>
        <v>15636.18</v>
      </c>
      <c r="AB6" s="126">
        <f t="shared" ref="AB6:AB53" si="0">(SUM(D6:AA6))</f>
        <v>375268.31999999989</v>
      </c>
      <c r="AC6" s="126">
        <v>20</v>
      </c>
      <c r="AD6" s="127">
        <f>(AB6*AC6)+(AB7*AC7)+(AB8*AC8)+(AB9*AC9)</f>
        <v>11633317.919999998</v>
      </c>
      <c r="AE6" s="27">
        <f>+AD6</f>
        <v>11633317.919999998</v>
      </c>
    </row>
    <row r="7" spans="2:31">
      <c r="B7" s="128"/>
      <c r="C7" s="129" t="s">
        <v>6</v>
      </c>
      <c r="D7" s="1">
        <f>+D6</f>
        <v>15636.18</v>
      </c>
      <c r="E7" s="1">
        <f>+D6</f>
        <v>15636.18</v>
      </c>
      <c r="F7" s="1">
        <f>+D6</f>
        <v>15636.18</v>
      </c>
      <c r="G7" s="1">
        <f>+D6</f>
        <v>15636.18</v>
      </c>
      <c r="H7" s="1">
        <f>+D6</f>
        <v>15636.18</v>
      </c>
      <c r="I7" s="1">
        <f>+D6</f>
        <v>15636.18</v>
      </c>
      <c r="J7" s="1">
        <f>+D6</f>
        <v>15636.18</v>
      </c>
      <c r="K7" s="1">
        <f>+D6</f>
        <v>15636.18</v>
      </c>
      <c r="L7" s="1">
        <f>+D6</f>
        <v>15636.18</v>
      </c>
      <c r="M7" s="1">
        <f>+D6</f>
        <v>15636.18</v>
      </c>
      <c r="N7" s="1">
        <f>+D6</f>
        <v>15636.18</v>
      </c>
      <c r="O7" s="1">
        <f>+D6</f>
        <v>15636.18</v>
      </c>
      <c r="P7" s="1">
        <f>+D6</f>
        <v>15636.18</v>
      </c>
      <c r="Q7" s="1">
        <f>+D6</f>
        <v>15636.18</v>
      </c>
      <c r="R7" s="1">
        <f>+D6</f>
        <v>15636.18</v>
      </c>
      <c r="S7" s="1">
        <f>+D6</f>
        <v>15636.18</v>
      </c>
      <c r="T7" s="1">
        <f>+D6</f>
        <v>15636.18</v>
      </c>
      <c r="U7" s="1">
        <f>+D6</f>
        <v>15636.18</v>
      </c>
      <c r="V7" s="1">
        <f>+D6</f>
        <v>15636.18</v>
      </c>
      <c r="W7" s="1">
        <f>+D6</f>
        <v>15636.18</v>
      </c>
      <c r="X7" s="1">
        <f>+D6</f>
        <v>15636.18</v>
      </c>
      <c r="Y7" s="1">
        <f>+D6</f>
        <v>15636.18</v>
      </c>
      <c r="Z7" s="1">
        <f>+D6</f>
        <v>15636.18</v>
      </c>
      <c r="AA7" s="5">
        <f>+D6</f>
        <v>15636.18</v>
      </c>
      <c r="AB7" s="130">
        <f t="shared" si="0"/>
        <v>375268.31999999989</v>
      </c>
      <c r="AC7" s="130">
        <v>4</v>
      </c>
      <c r="AD7" s="131"/>
      <c r="AE7" s="27">
        <f>+AD10</f>
        <v>10751856.720000003</v>
      </c>
    </row>
    <row r="8" spans="2:31">
      <c r="B8" s="128"/>
      <c r="C8" s="129" t="s">
        <v>7</v>
      </c>
      <c r="D8" s="1">
        <f>+D6</f>
        <v>15636.18</v>
      </c>
      <c r="E8" s="1">
        <f>+D6</f>
        <v>15636.18</v>
      </c>
      <c r="F8" s="1">
        <f>+D6</f>
        <v>15636.18</v>
      </c>
      <c r="G8" s="1">
        <f>+D6</f>
        <v>15636.18</v>
      </c>
      <c r="H8" s="1">
        <f>+D6</f>
        <v>15636.18</v>
      </c>
      <c r="I8" s="1">
        <f>+D6</f>
        <v>15636.18</v>
      </c>
      <c r="J8" s="1">
        <f>+D6</f>
        <v>15636.18</v>
      </c>
      <c r="K8" s="1">
        <f>+D6</f>
        <v>15636.18</v>
      </c>
      <c r="L8" s="1">
        <f>+D6</f>
        <v>15636.18</v>
      </c>
      <c r="M8" s="1">
        <f>+D6</f>
        <v>15636.18</v>
      </c>
      <c r="N8" s="1">
        <f>+D6</f>
        <v>15636.18</v>
      </c>
      <c r="O8" s="1">
        <f>+D6</f>
        <v>15636.18</v>
      </c>
      <c r="P8" s="1">
        <f>+D6</f>
        <v>15636.18</v>
      </c>
      <c r="Q8" s="1">
        <f>+D6</f>
        <v>15636.18</v>
      </c>
      <c r="R8" s="1">
        <f>+D6</f>
        <v>15636.18</v>
      </c>
      <c r="S8" s="1">
        <f>+D6</f>
        <v>15636.18</v>
      </c>
      <c r="T8" s="1">
        <f>+D6</f>
        <v>15636.18</v>
      </c>
      <c r="U8" s="1">
        <f>+D6</f>
        <v>15636.18</v>
      </c>
      <c r="V8" s="1">
        <f>+D6</f>
        <v>15636.18</v>
      </c>
      <c r="W8" s="1">
        <f>+D6</f>
        <v>15636.18</v>
      </c>
      <c r="X8" s="1">
        <f>+D6</f>
        <v>15636.18</v>
      </c>
      <c r="Y8" s="1">
        <f>+D6</f>
        <v>15636.18</v>
      </c>
      <c r="Z8" s="1">
        <f>+D6</f>
        <v>15636.18</v>
      </c>
      <c r="AA8" s="5">
        <f>+D6</f>
        <v>15636.18</v>
      </c>
      <c r="AB8" s="130">
        <f t="shared" si="0"/>
        <v>375268.31999999989</v>
      </c>
      <c r="AC8" s="130">
        <v>5</v>
      </c>
      <c r="AD8" s="131"/>
      <c r="AE8" s="27">
        <f>+AD14</f>
        <v>11573797.919999996</v>
      </c>
    </row>
    <row r="9" spans="2:31" ht="15" thickBot="1">
      <c r="B9" s="132"/>
      <c r="C9" s="133" t="s">
        <v>8</v>
      </c>
      <c r="D9" s="3">
        <f>+D6</f>
        <v>15636.18</v>
      </c>
      <c r="E9" s="3">
        <f>+D6</f>
        <v>15636.18</v>
      </c>
      <c r="F9" s="3">
        <f>+D6</f>
        <v>15636.18</v>
      </c>
      <c r="G9" s="3">
        <f>+D6</f>
        <v>15636.18</v>
      </c>
      <c r="H9" s="3">
        <f>+D6</f>
        <v>15636.18</v>
      </c>
      <c r="I9" s="3">
        <f>+D6</f>
        <v>15636.18</v>
      </c>
      <c r="J9" s="3">
        <f>+D6</f>
        <v>15636.18</v>
      </c>
      <c r="K9" s="3">
        <f>+D6</f>
        <v>15636.18</v>
      </c>
      <c r="L9" s="3">
        <f>+D6</f>
        <v>15636.18</v>
      </c>
      <c r="M9" s="3">
        <f>+D6</f>
        <v>15636.18</v>
      </c>
      <c r="N9" s="3">
        <f>+D6</f>
        <v>15636.18</v>
      </c>
      <c r="O9" s="3">
        <f>+D6</f>
        <v>15636.18</v>
      </c>
      <c r="P9" s="3">
        <f>+D6</f>
        <v>15636.18</v>
      </c>
      <c r="Q9" s="3">
        <f>+D6</f>
        <v>15636.18</v>
      </c>
      <c r="R9" s="3">
        <f>+D6</f>
        <v>15636.18</v>
      </c>
      <c r="S9" s="3">
        <f>+D6</f>
        <v>15636.18</v>
      </c>
      <c r="T9" s="3">
        <f>+D6</f>
        <v>15636.18</v>
      </c>
      <c r="U9" s="3">
        <f>+D6</f>
        <v>15636.18</v>
      </c>
      <c r="V9" s="3">
        <f>+D6</f>
        <v>15636.18</v>
      </c>
      <c r="W9" s="3">
        <f>+D6</f>
        <v>15636.18</v>
      </c>
      <c r="X9" s="3">
        <f>+D6</f>
        <v>15636.18</v>
      </c>
      <c r="Y9" s="3">
        <f>+D6</f>
        <v>15636.18</v>
      </c>
      <c r="Z9" s="3">
        <f>+D6</f>
        <v>15636.18</v>
      </c>
      <c r="AA9" s="6">
        <f>+D6</f>
        <v>15636.18</v>
      </c>
      <c r="AB9" s="134">
        <f t="shared" si="0"/>
        <v>375268.31999999989</v>
      </c>
      <c r="AC9" s="134">
        <v>2</v>
      </c>
      <c r="AD9" s="135"/>
      <c r="AE9" s="27">
        <f>+AD18</f>
        <v>3210796.8000000012</v>
      </c>
    </row>
    <row r="10" spans="2:31">
      <c r="B10" s="124">
        <v>46784</v>
      </c>
      <c r="C10" s="125" t="s">
        <v>5</v>
      </c>
      <c r="D10" s="2">
        <v>15448.07</v>
      </c>
      <c r="E10" s="2">
        <f>+D10</f>
        <v>15448.07</v>
      </c>
      <c r="F10" s="2">
        <f>+D10</f>
        <v>15448.07</v>
      </c>
      <c r="G10" s="2">
        <f>+D10</f>
        <v>15448.07</v>
      </c>
      <c r="H10" s="2">
        <f>+D10</f>
        <v>15448.07</v>
      </c>
      <c r="I10" s="2">
        <f>+D10</f>
        <v>15448.07</v>
      </c>
      <c r="J10" s="2">
        <f>+D10</f>
        <v>15448.07</v>
      </c>
      <c r="K10" s="2">
        <f>+D10</f>
        <v>15448.07</v>
      </c>
      <c r="L10" s="2">
        <f>+D10</f>
        <v>15448.07</v>
      </c>
      <c r="M10" s="2">
        <f>+D10</f>
        <v>15448.07</v>
      </c>
      <c r="N10" s="2">
        <f>+D10</f>
        <v>15448.07</v>
      </c>
      <c r="O10" s="2">
        <f>+D10</f>
        <v>15448.07</v>
      </c>
      <c r="P10" s="2">
        <f>+D10</f>
        <v>15448.07</v>
      </c>
      <c r="Q10" s="2">
        <f>+D10</f>
        <v>15448.07</v>
      </c>
      <c r="R10" s="2">
        <f>+D10</f>
        <v>15448.07</v>
      </c>
      <c r="S10" s="2">
        <f>+D10</f>
        <v>15448.07</v>
      </c>
      <c r="T10" s="2">
        <f>+D10</f>
        <v>15448.07</v>
      </c>
      <c r="U10" s="2">
        <f>+D10</f>
        <v>15448.07</v>
      </c>
      <c r="V10" s="2">
        <f>+D10</f>
        <v>15448.07</v>
      </c>
      <c r="W10" s="2">
        <f>+D10</f>
        <v>15448.07</v>
      </c>
      <c r="X10" s="2">
        <f>+D10</f>
        <v>15448.07</v>
      </c>
      <c r="Y10" s="2">
        <f>+D10</f>
        <v>15448.07</v>
      </c>
      <c r="Z10" s="2">
        <f>+D10</f>
        <v>15448.07</v>
      </c>
      <c r="AA10" s="4">
        <f>+D10</f>
        <v>15448.07</v>
      </c>
      <c r="AB10" s="126">
        <f t="shared" si="0"/>
        <v>370753.68000000011</v>
      </c>
      <c r="AC10" s="126">
        <v>21</v>
      </c>
      <c r="AD10" s="127">
        <f>(AB10*AC10)+(AB11*AC11)+(AB12*AC12)+(AB13*AC13)</f>
        <v>10751856.720000003</v>
      </c>
      <c r="AE10" s="27">
        <f>+AD22</f>
        <v>0</v>
      </c>
    </row>
    <row r="11" spans="2:31">
      <c r="B11" s="128"/>
      <c r="C11" s="129" t="s">
        <v>6</v>
      </c>
      <c r="D11" s="1">
        <f>+D10</f>
        <v>15448.07</v>
      </c>
      <c r="E11" s="1">
        <f>+D10</f>
        <v>15448.07</v>
      </c>
      <c r="F11" s="1">
        <f>+D10</f>
        <v>15448.07</v>
      </c>
      <c r="G11" s="1">
        <f>+D10</f>
        <v>15448.07</v>
      </c>
      <c r="H11" s="1">
        <f>+D10</f>
        <v>15448.07</v>
      </c>
      <c r="I11" s="1">
        <f>+D10</f>
        <v>15448.07</v>
      </c>
      <c r="J11" s="1">
        <f>+D10</f>
        <v>15448.07</v>
      </c>
      <c r="K11" s="1">
        <f>+D10</f>
        <v>15448.07</v>
      </c>
      <c r="L11" s="1">
        <f>+D10</f>
        <v>15448.07</v>
      </c>
      <c r="M11" s="1">
        <f>+D10</f>
        <v>15448.07</v>
      </c>
      <c r="N11" s="1">
        <f>+D10</f>
        <v>15448.07</v>
      </c>
      <c r="O11" s="1">
        <f>+D10</f>
        <v>15448.07</v>
      </c>
      <c r="P11" s="1">
        <f>+D10</f>
        <v>15448.07</v>
      </c>
      <c r="Q11" s="1">
        <f>+D10</f>
        <v>15448.07</v>
      </c>
      <c r="R11" s="1">
        <f>+D10</f>
        <v>15448.07</v>
      </c>
      <c r="S11" s="1">
        <f>+D10</f>
        <v>15448.07</v>
      </c>
      <c r="T11" s="1">
        <f>+D10</f>
        <v>15448.07</v>
      </c>
      <c r="U11" s="1">
        <f>+D10</f>
        <v>15448.07</v>
      </c>
      <c r="V11" s="1">
        <f>+D10</f>
        <v>15448.07</v>
      </c>
      <c r="W11" s="1">
        <f>+D10</f>
        <v>15448.07</v>
      </c>
      <c r="X11" s="1">
        <f>+D10</f>
        <v>15448.07</v>
      </c>
      <c r="Y11" s="1">
        <f>+D10</f>
        <v>15448.07</v>
      </c>
      <c r="Z11" s="1">
        <f>+D10</f>
        <v>15448.07</v>
      </c>
      <c r="AA11" s="5">
        <f>+D10</f>
        <v>15448.07</v>
      </c>
      <c r="AB11" s="130">
        <f t="shared" si="0"/>
        <v>370753.68000000011</v>
      </c>
      <c r="AC11" s="130">
        <v>4</v>
      </c>
      <c r="AD11" s="131"/>
      <c r="AE11" s="27">
        <f>+AD26</f>
        <v>0</v>
      </c>
    </row>
    <row r="12" spans="2:31">
      <c r="B12" s="128"/>
      <c r="C12" s="129" t="s">
        <v>7</v>
      </c>
      <c r="D12" s="1">
        <f>+D10</f>
        <v>15448.07</v>
      </c>
      <c r="E12" s="1">
        <f>+D10</f>
        <v>15448.07</v>
      </c>
      <c r="F12" s="1">
        <f>+D10</f>
        <v>15448.07</v>
      </c>
      <c r="G12" s="1">
        <f>+D10</f>
        <v>15448.07</v>
      </c>
      <c r="H12" s="1">
        <f>+D10</f>
        <v>15448.07</v>
      </c>
      <c r="I12" s="1">
        <f>+D10</f>
        <v>15448.07</v>
      </c>
      <c r="J12" s="1">
        <f>+D10</f>
        <v>15448.07</v>
      </c>
      <c r="K12" s="1">
        <f>+D10</f>
        <v>15448.07</v>
      </c>
      <c r="L12" s="1">
        <f>+D10</f>
        <v>15448.07</v>
      </c>
      <c r="M12" s="1">
        <f>+D10</f>
        <v>15448.07</v>
      </c>
      <c r="N12" s="1">
        <f>+D10</f>
        <v>15448.07</v>
      </c>
      <c r="O12" s="1">
        <f>+D10</f>
        <v>15448.07</v>
      </c>
      <c r="P12" s="1">
        <f>+D10</f>
        <v>15448.07</v>
      </c>
      <c r="Q12" s="1">
        <f>+D10</f>
        <v>15448.07</v>
      </c>
      <c r="R12" s="1">
        <f>+D10</f>
        <v>15448.07</v>
      </c>
      <c r="S12" s="1">
        <f>+D10</f>
        <v>15448.07</v>
      </c>
      <c r="T12" s="1">
        <f>+D10</f>
        <v>15448.07</v>
      </c>
      <c r="U12" s="1">
        <f>+D10</f>
        <v>15448.07</v>
      </c>
      <c r="V12" s="1">
        <f>+D10</f>
        <v>15448.07</v>
      </c>
      <c r="W12" s="1">
        <f>+D10</f>
        <v>15448.07</v>
      </c>
      <c r="X12" s="1">
        <f>+D10</f>
        <v>15448.07</v>
      </c>
      <c r="Y12" s="1">
        <f>+D10</f>
        <v>15448.07</v>
      </c>
      <c r="Z12" s="1">
        <f>+D10</f>
        <v>15448.07</v>
      </c>
      <c r="AA12" s="5">
        <f>+D10</f>
        <v>15448.07</v>
      </c>
      <c r="AB12" s="130">
        <f t="shared" si="0"/>
        <v>370753.68000000011</v>
      </c>
      <c r="AC12" s="130">
        <v>4</v>
      </c>
      <c r="AD12" s="131"/>
      <c r="AE12" s="27">
        <f>+AD30</f>
        <v>0</v>
      </c>
    </row>
    <row r="13" spans="2:31" ht="15" thickBot="1">
      <c r="B13" s="132"/>
      <c r="C13" s="133" t="s">
        <v>8</v>
      </c>
      <c r="D13" s="3">
        <f>+D10</f>
        <v>15448.07</v>
      </c>
      <c r="E13" s="3">
        <f>+D10</f>
        <v>15448.07</v>
      </c>
      <c r="F13" s="3">
        <f>+D10</f>
        <v>15448.07</v>
      </c>
      <c r="G13" s="3">
        <f>+D10</f>
        <v>15448.07</v>
      </c>
      <c r="H13" s="3">
        <f>+D10</f>
        <v>15448.07</v>
      </c>
      <c r="I13" s="3">
        <f>+D10</f>
        <v>15448.07</v>
      </c>
      <c r="J13" s="3">
        <f>+D10</f>
        <v>15448.07</v>
      </c>
      <c r="K13" s="3">
        <f>+D10</f>
        <v>15448.07</v>
      </c>
      <c r="L13" s="3">
        <f>+D10</f>
        <v>15448.07</v>
      </c>
      <c r="M13" s="3">
        <f>+D10</f>
        <v>15448.07</v>
      </c>
      <c r="N13" s="3">
        <f>+D10</f>
        <v>15448.07</v>
      </c>
      <c r="O13" s="3">
        <f>+D10</f>
        <v>15448.07</v>
      </c>
      <c r="P13" s="3">
        <f>+D10</f>
        <v>15448.07</v>
      </c>
      <c r="Q13" s="3">
        <f>+D10</f>
        <v>15448.07</v>
      </c>
      <c r="R13" s="3">
        <f>+D10</f>
        <v>15448.07</v>
      </c>
      <c r="S13" s="3">
        <f>+D10</f>
        <v>15448.07</v>
      </c>
      <c r="T13" s="3">
        <f>+D10</f>
        <v>15448.07</v>
      </c>
      <c r="U13" s="3">
        <f>+D10</f>
        <v>15448.07</v>
      </c>
      <c r="V13" s="3">
        <f>+D10</f>
        <v>15448.07</v>
      </c>
      <c r="W13" s="3">
        <f>+D10</f>
        <v>15448.07</v>
      </c>
      <c r="X13" s="3">
        <f>+D10</f>
        <v>15448.07</v>
      </c>
      <c r="Y13" s="3">
        <f>+D10</f>
        <v>15448.07</v>
      </c>
      <c r="Z13" s="3">
        <f>+D10</f>
        <v>15448.07</v>
      </c>
      <c r="AA13" s="6">
        <f>+D10</f>
        <v>15448.07</v>
      </c>
      <c r="AB13" s="134">
        <f t="shared" si="0"/>
        <v>370753.68000000011</v>
      </c>
      <c r="AC13" s="134">
        <v>0</v>
      </c>
      <c r="AD13" s="135"/>
      <c r="AE13" s="27">
        <f>+AD34</f>
        <v>0</v>
      </c>
    </row>
    <row r="14" spans="2:31">
      <c r="B14" s="124">
        <v>46813</v>
      </c>
      <c r="C14" s="125" t="s">
        <v>5</v>
      </c>
      <c r="D14" s="2">
        <v>15556.18</v>
      </c>
      <c r="E14" s="2">
        <f>+D14</f>
        <v>15556.18</v>
      </c>
      <c r="F14" s="2">
        <f>+D14</f>
        <v>15556.18</v>
      </c>
      <c r="G14" s="2">
        <f>+D14</f>
        <v>15556.18</v>
      </c>
      <c r="H14" s="2">
        <f>+D14</f>
        <v>15556.18</v>
      </c>
      <c r="I14" s="2">
        <f>+D14</f>
        <v>15556.18</v>
      </c>
      <c r="J14" s="2">
        <f>+D14</f>
        <v>15556.18</v>
      </c>
      <c r="K14" s="2">
        <f>+D14</f>
        <v>15556.18</v>
      </c>
      <c r="L14" s="2">
        <f>+D14</f>
        <v>15556.18</v>
      </c>
      <c r="M14" s="2">
        <f>+D14</f>
        <v>15556.18</v>
      </c>
      <c r="N14" s="2">
        <f>+D14</f>
        <v>15556.18</v>
      </c>
      <c r="O14" s="2">
        <f>+D14</f>
        <v>15556.18</v>
      </c>
      <c r="P14" s="2">
        <f>+D14</f>
        <v>15556.18</v>
      </c>
      <c r="Q14" s="2">
        <f>+D14</f>
        <v>15556.18</v>
      </c>
      <c r="R14" s="2">
        <f>+D14</f>
        <v>15556.18</v>
      </c>
      <c r="S14" s="2">
        <f>+D14</f>
        <v>15556.18</v>
      </c>
      <c r="T14" s="2">
        <f>+D14</f>
        <v>15556.18</v>
      </c>
      <c r="U14" s="2">
        <f>+D14</f>
        <v>15556.18</v>
      </c>
      <c r="V14" s="2">
        <f>+D14</f>
        <v>15556.18</v>
      </c>
      <c r="W14" s="2">
        <f>+D14</f>
        <v>15556.18</v>
      </c>
      <c r="X14" s="2">
        <f>+D14</f>
        <v>15556.18</v>
      </c>
      <c r="Y14" s="2">
        <f>+D14</f>
        <v>15556.18</v>
      </c>
      <c r="Z14" s="2">
        <f>+D14</f>
        <v>15556.18</v>
      </c>
      <c r="AA14" s="4">
        <f>+D14</f>
        <v>15556.18</v>
      </c>
      <c r="AB14" s="126">
        <f t="shared" si="0"/>
        <v>373348.31999999989</v>
      </c>
      <c r="AC14" s="126">
        <v>22</v>
      </c>
      <c r="AD14" s="127">
        <f>(AB14*AC14)+(AB15*AC15)+(AB16*AC16)+(AB17*AC17)</f>
        <v>11573797.919999996</v>
      </c>
      <c r="AE14" s="27">
        <f>+AD38</f>
        <v>5166072.0000000028</v>
      </c>
    </row>
    <row r="15" spans="2:31">
      <c r="B15" s="128"/>
      <c r="C15" s="129" t="s">
        <v>6</v>
      </c>
      <c r="D15" s="1">
        <f>+D14</f>
        <v>15556.18</v>
      </c>
      <c r="E15" s="1">
        <f>+D14</f>
        <v>15556.18</v>
      </c>
      <c r="F15" s="1">
        <f>+D14</f>
        <v>15556.18</v>
      </c>
      <c r="G15" s="1">
        <f>+D14</f>
        <v>15556.18</v>
      </c>
      <c r="H15" s="1">
        <f>+D14</f>
        <v>15556.18</v>
      </c>
      <c r="I15" s="1">
        <f>+D14</f>
        <v>15556.18</v>
      </c>
      <c r="J15" s="1">
        <f>+D14</f>
        <v>15556.18</v>
      </c>
      <c r="K15" s="1">
        <f>+D14</f>
        <v>15556.18</v>
      </c>
      <c r="L15" s="1">
        <f>+D14</f>
        <v>15556.18</v>
      </c>
      <c r="M15" s="1">
        <f>+D14</f>
        <v>15556.18</v>
      </c>
      <c r="N15" s="1">
        <f>+D14</f>
        <v>15556.18</v>
      </c>
      <c r="O15" s="1">
        <f>+D14</f>
        <v>15556.18</v>
      </c>
      <c r="P15" s="1">
        <f>+D14</f>
        <v>15556.18</v>
      </c>
      <c r="Q15" s="1">
        <f>+D14</f>
        <v>15556.18</v>
      </c>
      <c r="R15" s="1">
        <f>+D14</f>
        <v>15556.18</v>
      </c>
      <c r="S15" s="1">
        <f>+D14</f>
        <v>15556.18</v>
      </c>
      <c r="T15" s="1">
        <f>+D14</f>
        <v>15556.18</v>
      </c>
      <c r="U15" s="1">
        <f>+D14</f>
        <v>15556.18</v>
      </c>
      <c r="V15" s="1">
        <f>+D14</f>
        <v>15556.18</v>
      </c>
      <c r="W15" s="1">
        <f>+D14</f>
        <v>15556.18</v>
      </c>
      <c r="X15" s="1">
        <f>+D14</f>
        <v>15556.18</v>
      </c>
      <c r="Y15" s="1">
        <f>+D14</f>
        <v>15556.18</v>
      </c>
      <c r="Z15" s="1">
        <f>+D14</f>
        <v>15556.18</v>
      </c>
      <c r="AA15" s="5">
        <f>+D14</f>
        <v>15556.18</v>
      </c>
      <c r="AB15" s="130">
        <f t="shared" si="0"/>
        <v>373348.31999999989</v>
      </c>
      <c r="AC15" s="130">
        <v>4</v>
      </c>
      <c r="AD15" s="131"/>
      <c r="AE15" s="27">
        <f>+AD42</f>
        <v>5392266.4800000014</v>
      </c>
    </row>
    <row r="16" spans="2:31">
      <c r="B16" s="128"/>
      <c r="C16" s="129" t="s">
        <v>7</v>
      </c>
      <c r="D16" s="1">
        <f>+D14</f>
        <v>15556.18</v>
      </c>
      <c r="E16" s="1">
        <f>+D14</f>
        <v>15556.18</v>
      </c>
      <c r="F16" s="1">
        <f>+D14</f>
        <v>15556.18</v>
      </c>
      <c r="G16" s="1">
        <f>+D14</f>
        <v>15556.18</v>
      </c>
      <c r="H16" s="1">
        <f>+D14</f>
        <v>15556.18</v>
      </c>
      <c r="I16" s="1">
        <f>+D14</f>
        <v>15556.18</v>
      </c>
      <c r="J16" s="1">
        <f>+D14</f>
        <v>15556.18</v>
      </c>
      <c r="K16" s="1">
        <f>+D14</f>
        <v>15556.18</v>
      </c>
      <c r="L16" s="1">
        <f>+D14</f>
        <v>15556.18</v>
      </c>
      <c r="M16" s="1">
        <f>+D14</f>
        <v>15556.18</v>
      </c>
      <c r="N16" s="1">
        <f>+D14</f>
        <v>15556.18</v>
      </c>
      <c r="O16" s="1">
        <f>+D14</f>
        <v>15556.18</v>
      </c>
      <c r="P16" s="1">
        <f>+D14</f>
        <v>15556.18</v>
      </c>
      <c r="Q16" s="1">
        <f>+D14</f>
        <v>15556.18</v>
      </c>
      <c r="R16" s="1">
        <f>+D14</f>
        <v>15556.18</v>
      </c>
      <c r="S16" s="1">
        <f>+D14</f>
        <v>15556.18</v>
      </c>
      <c r="T16" s="1">
        <f>+D14</f>
        <v>15556.18</v>
      </c>
      <c r="U16" s="1">
        <f>+D14</f>
        <v>15556.18</v>
      </c>
      <c r="V16" s="1">
        <f>+D14</f>
        <v>15556.18</v>
      </c>
      <c r="W16" s="1">
        <f>+D14</f>
        <v>15556.18</v>
      </c>
      <c r="X16" s="1">
        <f>+D14</f>
        <v>15556.18</v>
      </c>
      <c r="Y16" s="1">
        <f>+D14</f>
        <v>15556.18</v>
      </c>
      <c r="Z16" s="1">
        <f>+D14</f>
        <v>15556.18</v>
      </c>
      <c r="AA16" s="5">
        <f>+D14</f>
        <v>15556.18</v>
      </c>
      <c r="AB16" s="130">
        <f t="shared" si="0"/>
        <v>373348.31999999989</v>
      </c>
      <c r="AC16" s="130">
        <v>4</v>
      </c>
      <c r="AD16" s="131"/>
      <c r="AE16" s="27">
        <f>+AD46</f>
        <v>5122152.0000000028</v>
      </c>
    </row>
    <row r="17" spans="2:31" ht="15" thickBot="1">
      <c r="B17" s="132"/>
      <c r="C17" s="133" t="s">
        <v>8</v>
      </c>
      <c r="D17" s="3">
        <f>+D14</f>
        <v>15556.18</v>
      </c>
      <c r="E17" s="3">
        <f>+D14</f>
        <v>15556.18</v>
      </c>
      <c r="F17" s="3">
        <f>+D14</f>
        <v>15556.18</v>
      </c>
      <c r="G17" s="3">
        <f>+D14</f>
        <v>15556.18</v>
      </c>
      <c r="H17" s="3">
        <f>+D14</f>
        <v>15556.18</v>
      </c>
      <c r="I17" s="3">
        <f>+D14</f>
        <v>15556.18</v>
      </c>
      <c r="J17" s="3">
        <f>+D14</f>
        <v>15556.18</v>
      </c>
      <c r="K17" s="3">
        <f>+D14</f>
        <v>15556.18</v>
      </c>
      <c r="L17" s="3">
        <f>+D14</f>
        <v>15556.18</v>
      </c>
      <c r="M17" s="3">
        <f>+D14</f>
        <v>15556.18</v>
      </c>
      <c r="N17" s="3">
        <f>+D14</f>
        <v>15556.18</v>
      </c>
      <c r="O17" s="3">
        <f>+D14</f>
        <v>15556.18</v>
      </c>
      <c r="P17" s="3">
        <f>+D14</f>
        <v>15556.18</v>
      </c>
      <c r="Q17" s="3">
        <f>+D14</f>
        <v>15556.18</v>
      </c>
      <c r="R17" s="3">
        <f>+D14</f>
        <v>15556.18</v>
      </c>
      <c r="S17" s="3">
        <f>+D14</f>
        <v>15556.18</v>
      </c>
      <c r="T17" s="3">
        <f>+D14</f>
        <v>15556.18</v>
      </c>
      <c r="U17" s="3">
        <f>+D14</f>
        <v>15556.18</v>
      </c>
      <c r="V17" s="3">
        <f>+D14</f>
        <v>15556.18</v>
      </c>
      <c r="W17" s="3">
        <f>+D14</f>
        <v>15556.18</v>
      </c>
      <c r="X17" s="3">
        <f>+D14</f>
        <v>15556.18</v>
      </c>
      <c r="Y17" s="3">
        <f>+D14</f>
        <v>15556.18</v>
      </c>
      <c r="Z17" s="3">
        <f>+D14</f>
        <v>15556.18</v>
      </c>
      <c r="AA17" s="6">
        <f>+D14</f>
        <v>15556.18</v>
      </c>
      <c r="AB17" s="134">
        <f t="shared" si="0"/>
        <v>373348.31999999989</v>
      </c>
      <c r="AC17" s="134">
        <v>1</v>
      </c>
      <c r="AD17" s="135"/>
      <c r="AE17" s="27">
        <f>+AD50</f>
        <v>5640182.1600000039</v>
      </c>
    </row>
    <row r="18" spans="2:31">
      <c r="B18" s="124">
        <v>46844</v>
      </c>
      <c r="C18" s="125" t="s">
        <v>5</v>
      </c>
      <c r="D18" s="2">
        <v>4459.4399999999996</v>
      </c>
      <c r="E18" s="2">
        <f>+D18</f>
        <v>4459.4399999999996</v>
      </c>
      <c r="F18" s="2">
        <f>+D18</f>
        <v>4459.4399999999996</v>
      </c>
      <c r="G18" s="2">
        <f>+D18</f>
        <v>4459.4399999999996</v>
      </c>
      <c r="H18" s="2">
        <f>+D18</f>
        <v>4459.4399999999996</v>
      </c>
      <c r="I18" s="2">
        <f>+D18</f>
        <v>4459.4399999999996</v>
      </c>
      <c r="J18" s="2">
        <f>+D18</f>
        <v>4459.4399999999996</v>
      </c>
      <c r="K18" s="2">
        <f>+D18</f>
        <v>4459.4399999999996</v>
      </c>
      <c r="L18" s="2">
        <f>+D18</f>
        <v>4459.4399999999996</v>
      </c>
      <c r="M18" s="2">
        <f>+D18</f>
        <v>4459.4399999999996</v>
      </c>
      <c r="N18" s="2">
        <f>+D18</f>
        <v>4459.4399999999996</v>
      </c>
      <c r="O18" s="2">
        <f>+D18</f>
        <v>4459.4399999999996</v>
      </c>
      <c r="P18" s="2">
        <f>+D18</f>
        <v>4459.4399999999996</v>
      </c>
      <c r="Q18" s="2">
        <f>+D18</f>
        <v>4459.4399999999996</v>
      </c>
      <c r="R18" s="2">
        <f>+D18</f>
        <v>4459.4399999999996</v>
      </c>
      <c r="S18" s="2">
        <f>+D18</f>
        <v>4459.4399999999996</v>
      </c>
      <c r="T18" s="2">
        <f>+D18</f>
        <v>4459.4399999999996</v>
      </c>
      <c r="U18" s="2">
        <f>+D18</f>
        <v>4459.4399999999996</v>
      </c>
      <c r="V18" s="2">
        <f>+D18</f>
        <v>4459.4399999999996</v>
      </c>
      <c r="W18" s="2">
        <f>+D18</f>
        <v>4459.4399999999996</v>
      </c>
      <c r="X18" s="2">
        <f>+D18</f>
        <v>4459.4399999999996</v>
      </c>
      <c r="Y18" s="2">
        <f>+D18</f>
        <v>4459.4399999999996</v>
      </c>
      <c r="Z18" s="2">
        <f>+D18</f>
        <v>4459.4399999999996</v>
      </c>
      <c r="AA18" s="4">
        <f>+D18</f>
        <v>4459.4399999999996</v>
      </c>
      <c r="AB18" s="126">
        <f t="shared" si="0"/>
        <v>107026.56000000003</v>
      </c>
      <c r="AC18" s="126">
        <v>18</v>
      </c>
      <c r="AD18" s="127">
        <f>(AB18*AC18)+(AB19*AC19)+(AB20*AC20)+(AB21*AC21)</f>
        <v>3210796.8000000012</v>
      </c>
      <c r="AE18" s="27"/>
    </row>
    <row r="19" spans="2:31">
      <c r="B19" s="128"/>
      <c r="C19" s="129" t="s">
        <v>6</v>
      </c>
      <c r="D19" s="1">
        <f>+D18</f>
        <v>4459.4399999999996</v>
      </c>
      <c r="E19" s="1">
        <f>+D18</f>
        <v>4459.4399999999996</v>
      </c>
      <c r="F19" s="1">
        <f>+D18</f>
        <v>4459.4399999999996</v>
      </c>
      <c r="G19" s="1">
        <f>+D18</f>
        <v>4459.4399999999996</v>
      </c>
      <c r="H19" s="1">
        <f>+D18</f>
        <v>4459.4399999999996</v>
      </c>
      <c r="I19" s="1">
        <f>+D18</f>
        <v>4459.4399999999996</v>
      </c>
      <c r="J19" s="1">
        <f>+D18</f>
        <v>4459.4399999999996</v>
      </c>
      <c r="K19" s="1">
        <f>+D18</f>
        <v>4459.4399999999996</v>
      </c>
      <c r="L19" s="1">
        <f>+D18</f>
        <v>4459.4399999999996</v>
      </c>
      <c r="M19" s="1">
        <f>+D18</f>
        <v>4459.4399999999996</v>
      </c>
      <c r="N19" s="1">
        <f>+D18</f>
        <v>4459.4399999999996</v>
      </c>
      <c r="O19" s="1">
        <f>+D18</f>
        <v>4459.4399999999996</v>
      </c>
      <c r="P19" s="1">
        <f>+D18</f>
        <v>4459.4399999999996</v>
      </c>
      <c r="Q19" s="1">
        <f>+D18</f>
        <v>4459.4399999999996</v>
      </c>
      <c r="R19" s="1">
        <f>+D18</f>
        <v>4459.4399999999996</v>
      </c>
      <c r="S19" s="1">
        <f>+D18</f>
        <v>4459.4399999999996</v>
      </c>
      <c r="T19" s="1">
        <f>+D18</f>
        <v>4459.4399999999996</v>
      </c>
      <c r="U19" s="1">
        <f>+D18</f>
        <v>4459.4399999999996</v>
      </c>
      <c r="V19" s="1">
        <f>+D18</f>
        <v>4459.4399999999996</v>
      </c>
      <c r="W19" s="1">
        <f>+D18</f>
        <v>4459.4399999999996</v>
      </c>
      <c r="X19" s="1">
        <f>+D18</f>
        <v>4459.4399999999996</v>
      </c>
      <c r="Y19" s="1">
        <f>+D18</f>
        <v>4459.4399999999996</v>
      </c>
      <c r="Z19" s="1">
        <f>+D18</f>
        <v>4459.4399999999996</v>
      </c>
      <c r="AA19" s="5">
        <f>+D18</f>
        <v>4459.4399999999996</v>
      </c>
      <c r="AB19" s="130">
        <f t="shared" si="0"/>
        <v>107026.56000000003</v>
      </c>
      <c r="AC19" s="130">
        <v>5</v>
      </c>
      <c r="AD19" s="131"/>
      <c r="AE19" s="27"/>
    </row>
    <row r="20" spans="2:31">
      <c r="B20" s="128"/>
      <c r="C20" s="129" t="s">
        <v>7</v>
      </c>
      <c r="D20" s="1">
        <f>+D18</f>
        <v>4459.4399999999996</v>
      </c>
      <c r="E20" s="1">
        <f>+D18</f>
        <v>4459.4399999999996</v>
      </c>
      <c r="F20" s="1">
        <f>+D18</f>
        <v>4459.4399999999996</v>
      </c>
      <c r="G20" s="1">
        <f>+D18</f>
        <v>4459.4399999999996</v>
      </c>
      <c r="H20" s="1">
        <f>+D18</f>
        <v>4459.4399999999996</v>
      </c>
      <c r="I20" s="1">
        <f>+D18</f>
        <v>4459.4399999999996</v>
      </c>
      <c r="J20" s="1">
        <f>+D18</f>
        <v>4459.4399999999996</v>
      </c>
      <c r="K20" s="1">
        <f>+D18</f>
        <v>4459.4399999999996</v>
      </c>
      <c r="L20" s="1">
        <f>+D18</f>
        <v>4459.4399999999996</v>
      </c>
      <c r="M20" s="1">
        <f>+D18</f>
        <v>4459.4399999999996</v>
      </c>
      <c r="N20" s="1">
        <f>+D18</f>
        <v>4459.4399999999996</v>
      </c>
      <c r="O20" s="1">
        <f>+D18</f>
        <v>4459.4399999999996</v>
      </c>
      <c r="P20" s="1">
        <f>+D18</f>
        <v>4459.4399999999996</v>
      </c>
      <c r="Q20" s="1">
        <f>+D18</f>
        <v>4459.4399999999996</v>
      </c>
      <c r="R20" s="1">
        <f>+D18</f>
        <v>4459.4399999999996</v>
      </c>
      <c r="S20" s="1">
        <f>+D18</f>
        <v>4459.4399999999996</v>
      </c>
      <c r="T20" s="1">
        <f>+D18</f>
        <v>4459.4399999999996</v>
      </c>
      <c r="U20" s="1">
        <f>+D18</f>
        <v>4459.4399999999996</v>
      </c>
      <c r="V20" s="1">
        <f>+D18</f>
        <v>4459.4399999999996</v>
      </c>
      <c r="W20" s="1">
        <f>+D18</f>
        <v>4459.4399999999996</v>
      </c>
      <c r="X20" s="1">
        <f>+D18</f>
        <v>4459.4399999999996</v>
      </c>
      <c r="Y20" s="1">
        <f>+D18</f>
        <v>4459.4399999999996</v>
      </c>
      <c r="Z20" s="1">
        <f>+D18</f>
        <v>4459.4399999999996</v>
      </c>
      <c r="AA20" s="5">
        <f>+D18</f>
        <v>4459.4399999999996</v>
      </c>
      <c r="AB20" s="130">
        <f t="shared" si="0"/>
        <v>107026.56000000003</v>
      </c>
      <c r="AC20" s="130">
        <v>5</v>
      </c>
      <c r="AD20" s="131"/>
      <c r="AE20" s="27"/>
    </row>
    <row r="21" spans="2:31" ht="15" thickBot="1">
      <c r="B21" s="132"/>
      <c r="C21" s="133" t="s">
        <v>8</v>
      </c>
      <c r="D21" s="3">
        <f>+D18</f>
        <v>4459.4399999999996</v>
      </c>
      <c r="E21" s="3">
        <f>+D18</f>
        <v>4459.4399999999996</v>
      </c>
      <c r="F21" s="3">
        <f>+D18</f>
        <v>4459.4399999999996</v>
      </c>
      <c r="G21" s="3">
        <f>+D18</f>
        <v>4459.4399999999996</v>
      </c>
      <c r="H21" s="3">
        <f>+D18</f>
        <v>4459.4399999999996</v>
      </c>
      <c r="I21" s="3">
        <f>+D18</f>
        <v>4459.4399999999996</v>
      </c>
      <c r="J21" s="3">
        <f>+D18</f>
        <v>4459.4399999999996</v>
      </c>
      <c r="K21" s="3">
        <f>+D18</f>
        <v>4459.4399999999996</v>
      </c>
      <c r="L21" s="3">
        <f>+D18</f>
        <v>4459.4399999999996</v>
      </c>
      <c r="M21" s="3">
        <f>+D18</f>
        <v>4459.4399999999996</v>
      </c>
      <c r="N21" s="3">
        <f>+D18</f>
        <v>4459.4399999999996</v>
      </c>
      <c r="O21" s="3">
        <f>+D18</f>
        <v>4459.4399999999996</v>
      </c>
      <c r="P21" s="3">
        <f>+D18</f>
        <v>4459.4399999999996</v>
      </c>
      <c r="Q21" s="3">
        <f>+D18</f>
        <v>4459.4399999999996</v>
      </c>
      <c r="R21" s="3">
        <f>+D18</f>
        <v>4459.4399999999996</v>
      </c>
      <c r="S21" s="3">
        <f>+D18</f>
        <v>4459.4399999999996</v>
      </c>
      <c r="T21" s="3">
        <f>+D18</f>
        <v>4459.4399999999996</v>
      </c>
      <c r="U21" s="3">
        <f>+D18</f>
        <v>4459.4399999999996</v>
      </c>
      <c r="V21" s="3">
        <f>+D18</f>
        <v>4459.4399999999996</v>
      </c>
      <c r="W21" s="3">
        <f>+D18</f>
        <v>4459.4399999999996</v>
      </c>
      <c r="X21" s="3">
        <f>+D18</f>
        <v>4459.4399999999996</v>
      </c>
      <c r="Y21" s="3">
        <f>+D18</f>
        <v>4459.4399999999996</v>
      </c>
      <c r="Z21" s="3">
        <f>+D18</f>
        <v>4459.4399999999996</v>
      </c>
      <c r="AA21" s="6">
        <f>+D18</f>
        <v>4459.4399999999996</v>
      </c>
      <c r="AB21" s="134">
        <f t="shared" si="0"/>
        <v>107026.56000000003</v>
      </c>
      <c r="AC21" s="134">
        <v>2</v>
      </c>
      <c r="AD21" s="135"/>
      <c r="AE21" s="27"/>
    </row>
    <row r="22" spans="2:31">
      <c r="B22" s="124">
        <v>46874</v>
      </c>
      <c r="C22" s="125" t="s">
        <v>5</v>
      </c>
      <c r="D22" s="2">
        <v>0</v>
      </c>
      <c r="E22" s="2">
        <f>+D22</f>
        <v>0</v>
      </c>
      <c r="F22" s="2">
        <f>+D22</f>
        <v>0</v>
      </c>
      <c r="G22" s="2">
        <f>+D22</f>
        <v>0</v>
      </c>
      <c r="H22" s="2">
        <f>+D22</f>
        <v>0</v>
      </c>
      <c r="I22" s="2">
        <f>+D22</f>
        <v>0</v>
      </c>
      <c r="J22" s="2">
        <f>+D22</f>
        <v>0</v>
      </c>
      <c r="K22" s="2">
        <f>+D22</f>
        <v>0</v>
      </c>
      <c r="L22" s="2">
        <f>+D22</f>
        <v>0</v>
      </c>
      <c r="M22" s="2">
        <f>+D22</f>
        <v>0</v>
      </c>
      <c r="N22" s="2">
        <f>+D22</f>
        <v>0</v>
      </c>
      <c r="O22" s="2">
        <f>+D22</f>
        <v>0</v>
      </c>
      <c r="P22" s="2">
        <f>+D22</f>
        <v>0</v>
      </c>
      <c r="Q22" s="2">
        <f>+D22</f>
        <v>0</v>
      </c>
      <c r="R22" s="2">
        <f>+D22</f>
        <v>0</v>
      </c>
      <c r="S22" s="2">
        <f>+D22</f>
        <v>0</v>
      </c>
      <c r="T22" s="2">
        <f>+D22</f>
        <v>0</v>
      </c>
      <c r="U22" s="2">
        <f>+D22</f>
        <v>0</v>
      </c>
      <c r="V22" s="2">
        <f>+D22</f>
        <v>0</v>
      </c>
      <c r="W22" s="2">
        <f>+D22</f>
        <v>0</v>
      </c>
      <c r="X22" s="2">
        <f>+D22</f>
        <v>0</v>
      </c>
      <c r="Y22" s="2">
        <f>+D22</f>
        <v>0</v>
      </c>
      <c r="Z22" s="2">
        <f>+D22</f>
        <v>0</v>
      </c>
      <c r="AA22" s="4">
        <f>+D22</f>
        <v>0</v>
      </c>
      <c r="AB22" s="126">
        <f t="shared" si="0"/>
        <v>0</v>
      </c>
      <c r="AC22" s="126">
        <v>21</v>
      </c>
      <c r="AD22" s="127">
        <f>(AB22*AC22)+(AB23*AC23)+(AB24*AC24)+(AB25*AC25)</f>
        <v>0</v>
      </c>
      <c r="AE22" s="27"/>
    </row>
    <row r="23" spans="2:31">
      <c r="B23" s="128"/>
      <c r="C23" s="129" t="s">
        <v>6</v>
      </c>
      <c r="D23" s="1">
        <f>+D22</f>
        <v>0</v>
      </c>
      <c r="E23" s="1">
        <f>+D22</f>
        <v>0</v>
      </c>
      <c r="F23" s="1">
        <f>+D22</f>
        <v>0</v>
      </c>
      <c r="G23" s="1">
        <f>+D22</f>
        <v>0</v>
      </c>
      <c r="H23" s="1">
        <f>+D22</f>
        <v>0</v>
      </c>
      <c r="I23" s="1">
        <f>+D22</f>
        <v>0</v>
      </c>
      <c r="J23" s="1">
        <f>+D22</f>
        <v>0</v>
      </c>
      <c r="K23" s="1">
        <f>+D22</f>
        <v>0</v>
      </c>
      <c r="L23" s="1">
        <f>+D22</f>
        <v>0</v>
      </c>
      <c r="M23" s="1">
        <f>+D22</f>
        <v>0</v>
      </c>
      <c r="N23" s="1">
        <f>+D22</f>
        <v>0</v>
      </c>
      <c r="O23" s="1">
        <f>+D22</f>
        <v>0</v>
      </c>
      <c r="P23" s="1">
        <f>+D22</f>
        <v>0</v>
      </c>
      <c r="Q23" s="1">
        <f>+D22</f>
        <v>0</v>
      </c>
      <c r="R23" s="1">
        <f>+D22</f>
        <v>0</v>
      </c>
      <c r="S23" s="1">
        <f>+D22</f>
        <v>0</v>
      </c>
      <c r="T23" s="1">
        <f>+D22</f>
        <v>0</v>
      </c>
      <c r="U23" s="1">
        <f>+D22</f>
        <v>0</v>
      </c>
      <c r="V23" s="1">
        <f>+D22</f>
        <v>0</v>
      </c>
      <c r="W23" s="1">
        <f>+D22</f>
        <v>0</v>
      </c>
      <c r="X23" s="1">
        <f>+D22</f>
        <v>0</v>
      </c>
      <c r="Y23" s="1">
        <f>+D22</f>
        <v>0</v>
      </c>
      <c r="Z23" s="1">
        <f>+D22</f>
        <v>0</v>
      </c>
      <c r="AA23" s="5">
        <f>+D22</f>
        <v>0</v>
      </c>
      <c r="AB23" s="130">
        <f t="shared" si="0"/>
        <v>0</v>
      </c>
      <c r="AC23" s="130">
        <v>4</v>
      </c>
      <c r="AD23" s="131"/>
      <c r="AE23" s="27"/>
    </row>
    <row r="24" spans="2:31">
      <c r="B24" s="128"/>
      <c r="C24" s="129" t="s">
        <v>7</v>
      </c>
      <c r="D24" s="1">
        <f>+D22</f>
        <v>0</v>
      </c>
      <c r="E24" s="1">
        <f>+D22</f>
        <v>0</v>
      </c>
      <c r="F24" s="1">
        <f>+D22</f>
        <v>0</v>
      </c>
      <c r="G24" s="1">
        <f>+D22</f>
        <v>0</v>
      </c>
      <c r="H24" s="1">
        <f>+D22</f>
        <v>0</v>
      </c>
      <c r="I24" s="1">
        <f>+D22</f>
        <v>0</v>
      </c>
      <c r="J24" s="1">
        <f>+D22</f>
        <v>0</v>
      </c>
      <c r="K24" s="1">
        <f>+D22</f>
        <v>0</v>
      </c>
      <c r="L24" s="1">
        <f>+D22</f>
        <v>0</v>
      </c>
      <c r="M24" s="1">
        <f>+D22</f>
        <v>0</v>
      </c>
      <c r="N24" s="1">
        <f>+D22</f>
        <v>0</v>
      </c>
      <c r="O24" s="1">
        <f>+D22</f>
        <v>0</v>
      </c>
      <c r="P24" s="1">
        <f>+D22</f>
        <v>0</v>
      </c>
      <c r="Q24" s="1">
        <f>+D22</f>
        <v>0</v>
      </c>
      <c r="R24" s="1">
        <f>+D22</f>
        <v>0</v>
      </c>
      <c r="S24" s="1">
        <f>+D22</f>
        <v>0</v>
      </c>
      <c r="T24" s="1">
        <f>+D22</f>
        <v>0</v>
      </c>
      <c r="U24" s="1">
        <f>+D22</f>
        <v>0</v>
      </c>
      <c r="V24" s="1">
        <f>+D22</f>
        <v>0</v>
      </c>
      <c r="W24" s="1">
        <f>+D22</f>
        <v>0</v>
      </c>
      <c r="X24" s="1">
        <f>+D22</f>
        <v>0</v>
      </c>
      <c r="Y24" s="1">
        <f>+D22</f>
        <v>0</v>
      </c>
      <c r="Z24" s="1">
        <f>+D22</f>
        <v>0</v>
      </c>
      <c r="AA24" s="5">
        <f>+D22</f>
        <v>0</v>
      </c>
      <c r="AB24" s="130">
        <f t="shared" si="0"/>
        <v>0</v>
      </c>
      <c r="AC24" s="130">
        <v>4</v>
      </c>
      <c r="AD24" s="131"/>
      <c r="AE24" s="27"/>
    </row>
    <row r="25" spans="2:31" ht="15" thickBot="1">
      <c r="B25" s="132"/>
      <c r="C25" s="133" t="s">
        <v>8</v>
      </c>
      <c r="D25" s="3">
        <f>+D22</f>
        <v>0</v>
      </c>
      <c r="E25" s="3">
        <f>+D22</f>
        <v>0</v>
      </c>
      <c r="F25" s="3">
        <f>+D22</f>
        <v>0</v>
      </c>
      <c r="G25" s="3">
        <f>+D22</f>
        <v>0</v>
      </c>
      <c r="H25" s="3">
        <f>+D22</f>
        <v>0</v>
      </c>
      <c r="I25" s="3">
        <f>+D22</f>
        <v>0</v>
      </c>
      <c r="J25" s="3">
        <f>+D22</f>
        <v>0</v>
      </c>
      <c r="K25" s="3">
        <f>+D22</f>
        <v>0</v>
      </c>
      <c r="L25" s="3">
        <f>+D22</f>
        <v>0</v>
      </c>
      <c r="M25" s="3">
        <f>+D22</f>
        <v>0</v>
      </c>
      <c r="N25" s="3">
        <f>+D22</f>
        <v>0</v>
      </c>
      <c r="O25" s="3">
        <f>+D22</f>
        <v>0</v>
      </c>
      <c r="P25" s="3">
        <f>+D22</f>
        <v>0</v>
      </c>
      <c r="Q25" s="3">
        <f>+D22</f>
        <v>0</v>
      </c>
      <c r="R25" s="3">
        <f>+D22</f>
        <v>0</v>
      </c>
      <c r="S25" s="3">
        <f>+D22</f>
        <v>0</v>
      </c>
      <c r="T25" s="3">
        <f>+D22</f>
        <v>0</v>
      </c>
      <c r="U25" s="3">
        <f>+D22</f>
        <v>0</v>
      </c>
      <c r="V25" s="3">
        <f>+D22</f>
        <v>0</v>
      </c>
      <c r="W25" s="3">
        <f>+D22</f>
        <v>0</v>
      </c>
      <c r="X25" s="3">
        <f>+D22</f>
        <v>0</v>
      </c>
      <c r="Y25" s="3">
        <f>+D22</f>
        <v>0</v>
      </c>
      <c r="Z25" s="3">
        <f>+D22</f>
        <v>0</v>
      </c>
      <c r="AA25" s="6">
        <f>+D22</f>
        <v>0</v>
      </c>
      <c r="AB25" s="134">
        <f t="shared" si="0"/>
        <v>0</v>
      </c>
      <c r="AC25" s="134">
        <v>2</v>
      </c>
      <c r="AD25" s="135"/>
      <c r="AE25" s="27"/>
    </row>
    <row r="26" spans="2:31">
      <c r="B26" s="124">
        <v>46905</v>
      </c>
      <c r="C26" s="125" t="s">
        <v>5</v>
      </c>
      <c r="D26" s="2">
        <v>0</v>
      </c>
      <c r="E26" s="2">
        <f>+D26</f>
        <v>0</v>
      </c>
      <c r="F26" s="2">
        <f>+D26</f>
        <v>0</v>
      </c>
      <c r="G26" s="2">
        <f>+D26</f>
        <v>0</v>
      </c>
      <c r="H26" s="2">
        <f>+D26</f>
        <v>0</v>
      </c>
      <c r="I26" s="2">
        <f>+D26</f>
        <v>0</v>
      </c>
      <c r="J26" s="2">
        <f>+D26</f>
        <v>0</v>
      </c>
      <c r="K26" s="2">
        <f>+D26</f>
        <v>0</v>
      </c>
      <c r="L26" s="2">
        <f>+D26</f>
        <v>0</v>
      </c>
      <c r="M26" s="2">
        <f>+D26</f>
        <v>0</v>
      </c>
      <c r="N26" s="2">
        <f>+D26</f>
        <v>0</v>
      </c>
      <c r="O26" s="2">
        <f>+D26</f>
        <v>0</v>
      </c>
      <c r="P26" s="2">
        <f>+D26</f>
        <v>0</v>
      </c>
      <c r="Q26" s="2">
        <f>+D26</f>
        <v>0</v>
      </c>
      <c r="R26" s="2">
        <f>+D26</f>
        <v>0</v>
      </c>
      <c r="S26" s="2">
        <f>+D26</f>
        <v>0</v>
      </c>
      <c r="T26" s="2">
        <f>+D26</f>
        <v>0</v>
      </c>
      <c r="U26" s="2">
        <f>+D26</f>
        <v>0</v>
      </c>
      <c r="V26" s="2">
        <f>+D26</f>
        <v>0</v>
      </c>
      <c r="W26" s="2">
        <f>+D26</f>
        <v>0</v>
      </c>
      <c r="X26" s="2">
        <f>+D26</f>
        <v>0</v>
      </c>
      <c r="Y26" s="2">
        <f>+D26</f>
        <v>0</v>
      </c>
      <c r="Z26" s="2">
        <f>+D26</f>
        <v>0</v>
      </c>
      <c r="AA26" s="4">
        <f>+D26</f>
        <v>0</v>
      </c>
      <c r="AB26" s="126">
        <f t="shared" si="0"/>
        <v>0</v>
      </c>
      <c r="AC26" s="126">
        <v>20</v>
      </c>
      <c r="AD26" s="127">
        <f>(AB26*AC26)+(AB27*AC27)+(AB28*AC28)+(AB29*AC29)</f>
        <v>0</v>
      </c>
      <c r="AE26" s="27"/>
    </row>
    <row r="27" spans="2:31">
      <c r="B27" s="128"/>
      <c r="C27" s="129" t="s">
        <v>6</v>
      </c>
      <c r="D27" s="1">
        <f>+D26</f>
        <v>0</v>
      </c>
      <c r="E27" s="1">
        <f>+D26</f>
        <v>0</v>
      </c>
      <c r="F27" s="1">
        <f>+D26</f>
        <v>0</v>
      </c>
      <c r="G27" s="1">
        <f>+D26</f>
        <v>0</v>
      </c>
      <c r="H27" s="1">
        <f>+D26</f>
        <v>0</v>
      </c>
      <c r="I27" s="1">
        <f>+D26</f>
        <v>0</v>
      </c>
      <c r="J27" s="1">
        <f>+D26</f>
        <v>0</v>
      </c>
      <c r="K27" s="1">
        <f>+D26</f>
        <v>0</v>
      </c>
      <c r="L27" s="1">
        <f>+D26</f>
        <v>0</v>
      </c>
      <c r="M27" s="1">
        <f>+D26</f>
        <v>0</v>
      </c>
      <c r="N27" s="1">
        <f>+D26</f>
        <v>0</v>
      </c>
      <c r="O27" s="1">
        <f>+D26</f>
        <v>0</v>
      </c>
      <c r="P27" s="1">
        <f>+D26</f>
        <v>0</v>
      </c>
      <c r="Q27" s="1">
        <f>+D26</f>
        <v>0</v>
      </c>
      <c r="R27" s="1">
        <f>+D26</f>
        <v>0</v>
      </c>
      <c r="S27" s="1">
        <f>+D26</f>
        <v>0</v>
      </c>
      <c r="T27" s="1">
        <f>+D26</f>
        <v>0</v>
      </c>
      <c r="U27" s="1">
        <f>+D26</f>
        <v>0</v>
      </c>
      <c r="V27" s="1">
        <f>+D26</f>
        <v>0</v>
      </c>
      <c r="W27" s="1">
        <f>+D26</f>
        <v>0</v>
      </c>
      <c r="X27" s="1">
        <f>+D26</f>
        <v>0</v>
      </c>
      <c r="Y27" s="1">
        <f>+D26</f>
        <v>0</v>
      </c>
      <c r="Z27" s="1">
        <f>+D26</f>
        <v>0</v>
      </c>
      <c r="AA27" s="5">
        <f>+D26</f>
        <v>0</v>
      </c>
      <c r="AB27" s="130">
        <f t="shared" si="0"/>
        <v>0</v>
      </c>
      <c r="AC27" s="130">
        <v>4</v>
      </c>
      <c r="AD27" s="131"/>
      <c r="AE27" s="27"/>
    </row>
    <row r="28" spans="2:31">
      <c r="B28" s="128"/>
      <c r="C28" s="129" t="s">
        <v>7</v>
      </c>
      <c r="D28" s="1">
        <f>+D26</f>
        <v>0</v>
      </c>
      <c r="E28" s="1">
        <f>+D26</f>
        <v>0</v>
      </c>
      <c r="F28" s="1">
        <f>+D26</f>
        <v>0</v>
      </c>
      <c r="G28" s="1">
        <f>+D26</f>
        <v>0</v>
      </c>
      <c r="H28" s="1">
        <f>+D26</f>
        <v>0</v>
      </c>
      <c r="I28" s="1">
        <f>+D26</f>
        <v>0</v>
      </c>
      <c r="J28" s="1">
        <f>+D26</f>
        <v>0</v>
      </c>
      <c r="K28" s="1">
        <f>+D26</f>
        <v>0</v>
      </c>
      <c r="L28" s="1">
        <f>+D26</f>
        <v>0</v>
      </c>
      <c r="M28" s="1">
        <f>+D26</f>
        <v>0</v>
      </c>
      <c r="N28" s="1">
        <f>+D26</f>
        <v>0</v>
      </c>
      <c r="O28" s="1">
        <f>+D26</f>
        <v>0</v>
      </c>
      <c r="P28" s="1">
        <f>+D26</f>
        <v>0</v>
      </c>
      <c r="Q28" s="1">
        <f>+D26</f>
        <v>0</v>
      </c>
      <c r="R28" s="1">
        <f>+D26</f>
        <v>0</v>
      </c>
      <c r="S28" s="1">
        <f>+D26</f>
        <v>0</v>
      </c>
      <c r="T28" s="1">
        <f>+D26</f>
        <v>0</v>
      </c>
      <c r="U28" s="1">
        <f>+D26</f>
        <v>0</v>
      </c>
      <c r="V28" s="1">
        <f>+D26</f>
        <v>0</v>
      </c>
      <c r="W28" s="1">
        <f>+D26</f>
        <v>0</v>
      </c>
      <c r="X28" s="1">
        <f>+D26</f>
        <v>0</v>
      </c>
      <c r="Y28" s="1">
        <f>+D26</f>
        <v>0</v>
      </c>
      <c r="Z28" s="1">
        <f>+D26</f>
        <v>0</v>
      </c>
      <c r="AA28" s="5">
        <f>+D26</f>
        <v>0</v>
      </c>
      <c r="AB28" s="130">
        <f t="shared" si="0"/>
        <v>0</v>
      </c>
      <c r="AC28" s="130">
        <v>4</v>
      </c>
      <c r="AD28" s="131"/>
      <c r="AE28" s="27"/>
    </row>
    <row r="29" spans="2:31" ht="15" thickBot="1">
      <c r="B29" s="132"/>
      <c r="C29" s="133" t="s">
        <v>8</v>
      </c>
      <c r="D29" s="3">
        <f>+D26</f>
        <v>0</v>
      </c>
      <c r="E29" s="3">
        <f>+D26</f>
        <v>0</v>
      </c>
      <c r="F29" s="3">
        <f>+D26</f>
        <v>0</v>
      </c>
      <c r="G29" s="3">
        <f>+D26</f>
        <v>0</v>
      </c>
      <c r="H29" s="3">
        <f>+D26</f>
        <v>0</v>
      </c>
      <c r="I29" s="3">
        <f>+D26</f>
        <v>0</v>
      </c>
      <c r="J29" s="3">
        <f>+D26</f>
        <v>0</v>
      </c>
      <c r="K29" s="3">
        <f>+D26</f>
        <v>0</v>
      </c>
      <c r="L29" s="3">
        <f>+D26</f>
        <v>0</v>
      </c>
      <c r="M29" s="3">
        <f>+D26</f>
        <v>0</v>
      </c>
      <c r="N29" s="3">
        <f>+D26</f>
        <v>0</v>
      </c>
      <c r="O29" s="3">
        <f>+D26</f>
        <v>0</v>
      </c>
      <c r="P29" s="3">
        <f>+D26</f>
        <v>0</v>
      </c>
      <c r="Q29" s="3">
        <f>+D26</f>
        <v>0</v>
      </c>
      <c r="R29" s="3">
        <f>+D26</f>
        <v>0</v>
      </c>
      <c r="S29" s="3">
        <f>+D26</f>
        <v>0</v>
      </c>
      <c r="T29" s="3">
        <f>+D26</f>
        <v>0</v>
      </c>
      <c r="U29" s="3">
        <f>+D26</f>
        <v>0</v>
      </c>
      <c r="V29" s="3">
        <f>+D26</f>
        <v>0</v>
      </c>
      <c r="W29" s="3">
        <f>+D26</f>
        <v>0</v>
      </c>
      <c r="X29" s="3">
        <f>+D26</f>
        <v>0</v>
      </c>
      <c r="Y29" s="3">
        <f>+D26</f>
        <v>0</v>
      </c>
      <c r="Z29" s="3">
        <f>+D26</f>
        <v>0</v>
      </c>
      <c r="AA29" s="6">
        <f>+D26</f>
        <v>0</v>
      </c>
      <c r="AB29" s="134">
        <f t="shared" si="0"/>
        <v>0</v>
      </c>
      <c r="AC29" s="134">
        <v>2</v>
      </c>
      <c r="AD29" s="135"/>
      <c r="AE29" s="27"/>
    </row>
    <row r="30" spans="2:31">
      <c r="B30" s="124">
        <v>46935</v>
      </c>
      <c r="C30" s="125" t="s">
        <v>5</v>
      </c>
      <c r="D30" s="2">
        <v>0</v>
      </c>
      <c r="E30" s="2">
        <f>+D30</f>
        <v>0</v>
      </c>
      <c r="F30" s="2">
        <f>+D30</f>
        <v>0</v>
      </c>
      <c r="G30" s="2">
        <f>+D30</f>
        <v>0</v>
      </c>
      <c r="H30" s="2">
        <f>+D30</f>
        <v>0</v>
      </c>
      <c r="I30" s="2">
        <f>+D30</f>
        <v>0</v>
      </c>
      <c r="J30" s="2">
        <f>+D30</f>
        <v>0</v>
      </c>
      <c r="K30" s="2">
        <f>+D30</f>
        <v>0</v>
      </c>
      <c r="L30" s="2">
        <f>+D30</f>
        <v>0</v>
      </c>
      <c r="M30" s="2">
        <f>+D30</f>
        <v>0</v>
      </c>
      <c r="N30" s="2">
        <f>+D30</f>
        <v>0</v>
      </c>
      <c r="O30" s="2">
        <f>+D30</f>
        <v>0</v>
      </c>
      <c r="P30" s="2">
        <f>+D30</f>
        <v>0</v>
      </c>
      <c r="Q30" s="2">
        <f>+D30</f>
        <v>0</v>
      </c>
      <c r="R30" s="2">
        <f>+D30</f>
        <v>0</v>
      </c>
      <c r="S30" s="2">
        <f>+D30</f>
        <v>0</v>
      </c>
      <c r="T30" s="2">
        <f>+D30</f>
        <v>0</v>
      </c>
      <c r="U30" s="2">
        <f>+D30</f>
        <v>0</v>
      </c>
      <c r="V30" s="2">
        <f>+D30</f>
        <v>0</v>
      </c>
      <c r="W30" s="2">
        <f>+D30</f>
        <v>0</v>
      </c>
      <c r="X30" s="2">
        <f>+D30</f>
        <v>0</v>
      </c>
      <c r="Y30" s="2">
        <f>+D30</f>
        <v>0</v>
      </c>
      <c r="Z30" s="2">
        <f>+D30</f>
        <v>0</v>
      </c>
      <c r="AA30" s="4">
        <f>+D30</f>
        <v>0</v>
      </c>
      <c r="AB30" s="126">
        <f t="shared" si="0"/>
        <v>0</v>
      </c>
      <c r="AC30" s="126">
        <v>19</v>
      </c>
      <c r="AD30" s="127">
        <f>(AB30*AC30)+(AB31*AC31)+(AB32*AC32)+(AB33*AC33)</f>
        <v>0</v>
      </c>
      <c r="AE30" s="27"/>
    </row>
    <row r="31" spans="2:31">
      <c r="B31" s="128"/>
      <c r="C31" s="129" t="s">
        <v>6</v>
      </c>
      <c r="D31" s="1">
        <f>+D30</f>
        <v>0</v>
      </c>
      <c r="E31" s="1">
        <f>+D30</f>
        <v>0</v>
      </c>
      <c r="F31" s="1">
        <f>+D30</f>
        <v>0</v>
      </c>
      <c r="G31" s="1">
        <f>+D30</f>
        <v>0</v>
      </c>
      <c r="H31" s="1">
        <f>+D30</f>
        <v>0</v>
      </c>
      <c r="I31" s="1">
        <f>+D30</f>
        <v>0</v>
      </c>
      <c r="J31" s="1">
        <f>+D30</f>
        <v>0</v>
      </c>
      <c r="K31" s="1">
        <f>+D30</f>
        <v>0</v>
      </c>
      <c r="L31" s="1">
        <f>+D30</f>
        <v>0</v>
      </c>
      <c r="M31" s="1">
        <f>+D30</f>
        <v>0</v>
      </c>
      <c r="N31" s="1">
        <f>+D30</f>
        <v>0</v>
      </c>
      <c r="O31" s="1">
        <f>+D30</f>
        <v>0</v>
      </c>
      <c r="P31" s="1">
        <f>+D30</f>
        <v>0</v>
      </c>
      <c r="Q31" s="1">
        <f>+D30</f>
        <v>0</v>
      </c>
      <c r="R31" s="1">
        <f>+D30</f>
        <v>0</v>
      </c>
      <c r="S31" s="1">
        <f>+D30</f>
        <v>0</v>
      </c>
      <c r="T31" s="1">
        <f>+D30</f>
        <v>0</v>
      </c>
      <c r="U31" s="1">
        <f>+D30</f>
        <v>0</v>
      </c>
      <c r="V31" s="1">
        <f>+D30</f>
        <v>0</v>
      </c>
      <c r="W31" s="1">
        <f>+D30</f>
        <v>0</v>
      </c>
      <c r="X31" s="1">
        <f>+D30</f>
        <v>0</v>
      </c>
      <c r="Y31" s="1">
        <f>+D30</f>
        <v>0</v>
      </c>
      <c r="Z31" s="1">
        <f>+D30</f>
        <v>0</v>
      </c>
      <c r="AA31" s="5">
        <f>+D30</f>
        <v>0</v>
      </c>
      <c r="AB31" s="130">
        <f t="shared" si="0"/>
        <v>0</v>
      </c>
      <c r="AC31" s="130">
        <v>5</v>
      </c>
      <c r="AD31" s="131"/>
      <c r="AE31" s="27"/>
    </row>
    <row r="32" spans="2:31">
      <c r="B32" s="128"/>
      <c r="C32" s="129" t="s">
        <v>4</v>
      </c>
      <c r="D32" s="1">
        <f>+D30</f>
        <v>0</v>
      </c>
      <c r="E32" s="1">
        <f>+D30</f>
        <v>0</v>
      </c>
      <c r="F32" s="1">
        <f>+D30</f>
        <v>0</v>
      </c>
      <c r="G32" s="1">
        <f>+D30</f>
        <v>0</v>
      </c>
      <c r="H32" s="1">
        <f>+D30</f>
        <v>0</v>
      </c>
      <c r="I32" s="1">
        <f>+D30</f>
        <v>0</v>
      </c>
      <c r="J32" s="1">
        <f>+D30</f>
        <v>0</v>
      </c>
      <c r="K32" s="1">
        <f>+D30</f>
        <v>0</v>
      </c>
      <c r="L32" s="1">
        <f>+D30</f>
        <v>0</v>
      </c>
      <c r="M32" s="1">
        <f>+D30</f>
        <v>0</v>
      </c>
      <c r="N32" s="1">
        <f>+D30</f>
        <v>0</v>
      </c>
      <c r="O32" s="1">
        <f>+D30</f>
        <v>0</v>
      </c>
      <c r="P32" s="1">
        <f>+D30</f>
        <v>0</v>
      </c>
      <c r="Q32" s="1">
        <f>+D30</f>
        <v>0</v>
      </c>
      <c r="R32" s="1">
        <f>+D30</f>
        <v>0</v>
      </c>
      <c r="S32" s="1">
        <f>+D30</f>
        <v>0</v>
      </c>
      <c r="T32" s="1">
        <f>+D30</f>
        <v>0</v>
      </c>
      <c r="U32" s="1">
        <f>+D30</f>
        <v>0</v>
      </c>
      <c r="V32" s="1">
        <f>+D30</f>
        <v>0</v>
      </c>
      <c r="W32" s="1">
        <f>+D30</f>
        <v>0</v>
      </c>
      <c r="X32" s="1">
        <f>+D30</f>
        <v>0</v>
      </c>
      <c r="Y32" s="1">
        <f>+D30</f>
        <v>0</v>
      </c>
      <c r="Z32" s="1">
        <f>+D30</f>
        <v>0</v>
      </c>
      <c r="AA32" s="5">
        <f>+D30</f>
        <v>0</v>
      </c>
      <c r="AB32" s="130">
        <f t="shared" si="0"/>
        <v>0</v>
      </c>
      <c r="AC32" s="130">
        <v>5</v>
      </c>
      <c r="AD32" s="131"/>
      <c r="AE32" s="27"/>
    </row>
    <row r="33" spans="2:31" ht="15" thickBot="1">
      <c r="B33" s="132"/>
      <c r="C33" s="133" t="s">
        <v>8</v>
      </c>
      <c r="D33" s="3">
        <f>+D30</f>
        <v>0</v>
      </c>
      <c r="E33" s="3">
        <f>+D30</f>
        <v>0</v>
      </c>
      <c r="F33" s="3">
        <f>+D30</f>
        <v>0</v>
      </c>
      <c r="G33" s="3">
        <f>+D30</f>
        <v>0</v>
      </c>
      <c r="H33" s="3">
        <f>+D30</f>
        <v>0</v>
      </c>
      <c r="I33" s="3">
        <f>+D30</f>
        <v>0</v>
      </c>
      <c r="J33" s="3">
        <f>+D30</f>
        <v>0</v>
      </c>
      <c r="K33" s="3">
        <f>+D30</f>
        <v>0</v>
      </c>
      <c r="L33" s="3">
        <f>+D30</f>
        <v>0</v>
      </c>
      <c r="M33" s="3">
        <f>+D30</f>
        <v>0</v>
      </c>
      <c r="N33" s="3">
        <f>+D30</f>
        <v>0</v>
      </c>
      <c r="O33" s="3">
        <f>+D30</f>
        <v>0</v>
      </c>
      <c r="P33" s="3">
        <f>+D30</f>
        <v>0</v>
      </c>
      <c r="Q33" s="3">
        <f>+D30</f>
        <v>0</v>
      </c>
      <c r="R33" s="3">
        <f>+D30</f>
        <v>0</v>
      </c>
      <c r="S33" s="3">
        <f>+D30</f>
        <v>0</v>
      </c>
      <c r="T33" s="3">
        <f>+D30</f>
        <v>0</v>
      </c>
      <c r="U33" s="3">
        <f>+D30</f>
        <v>0</v>
      </c>
      <c r="V33" s="3">
        <f>+D30</f>
        <v>0</v>
      </c>
      <c r="W33" s="3">
        <f>+D30</f>
        <v>0</v>
      </c>
      <c r="X33" s="3">
        <f>+D30</f>
        <v>0</v>
      </c>
      <c r="Y33" s="3">
        <f>+D30</f>
        <v>0</v>
      </c>
      <c r="Z33" s="3">
        <f>+D30</f>
        <v>0</v>
      </c>
      <c r="AA33" s="6">
        <f>+D30</f>
        <v>0</v>
      </c>
      <c r="AB33" s="134">
        <f t="shared" si="0"/>
        <v>0</v>
      </c>
      <c r="AC33" s="134">
        <v>2</v>
      </c>
      <c r="AD33" s="135"/>
      <c r="AE33" s="27"/>
    </row>
    <row r="34" spans="2:31">
      <c r="B34" s="124">
        <v>46966</v>
      </c>
      <c r="C34" s="125" t="s">
        <v>5</v>
      </c>
      <c r="D34" s="2">
        <v>0</v>
      </c>
      <c r="E34" s="2">
        <f>+D34</f>
        <v>0</v>
      </c>
      <c r="F34" s="2">
        <f>+D34</f>
        <v>0</v>
      </c>
      <c r="G34" s="2">
        <f>+D34</f>
        <v>0</v>
      </c>
      <c r="H34" s="2">
        <f>+D34</f>
        <v>0</v>
      </c>
      <c r="I34" s="2">
        <f>+D34</f>
        <v>0</v>
      </c>
      <c r="J34" s="2">
        <f>+D34</f>
        <v>0</v>
      </c>
      <c r="K34" s="2">
        <f>+D34</f>
        <v>0</v>
      </c>
      <c r="L34" s="2">
        <f>+D34</f>
        <v>0</v>
      </c>
      <c r="M34" s="2">
        <f>+D34</f>
        <v>0</v>
      </c>
      <c r="N34" s="2">
        <f>+D34</f>
        <v>0</v>
      </c>
      <c r="O34" s="2">
        <f>+D34</f>
        <v>0</v>
      </c>
      <c r="P34" s="2">
        <f>+D34</f>
        <v>0</v>
      </c>
      <c r="Q34" s="2">
        <f>+D34</f>
        <v>0</v>
      </c>
      <c r="R34" s="2">
        <f>+D34</f>
        <v>0</v>
      </c>
      <c r="S34" s="2">
        <f>+D34</f>
        <v>0</v>
      </c>
      <c r="T34" s="2">
        <f>+D34</f>
        <v>0</v>
      </c>
      <c r="U34" s="2">
        <f>+D34</f>
        <v>0</v>
      </c>
      <c r="V34" s="2">
        <f>+D34</f>
        <v>0</v>
      </c>
      <c r="W34" s="2">
        <f>+D34</f>
        <v>0</v>
      </c>
      <c r="X34" s="2">
        <f>+D34</f>
        <v>0</v>
      </c>
      <c r="Y34" s="2">
        <f>+D34</f>
        <v>0</v>
      </c>
      <c r="Z34" s="2">
        <f>+D34</f>
        <v>0</v>
      </c>
      <c r="AA34" s="4">
        <f>+D34</f>
        <v>0</v>
      </c>
      <c r="AB34" s="126">
        <f t="shared" si="0"/>
        <v>0</v>
      </c>
      <c r="AC34" s="126">
        <v>21</v>
      </c>
      <c r="AD34" s="127">
        <f>(AB34*AC34)+(AB35*AC35)+(AB36*AC36)+(AB37*AC37)</f>
        <v>0</v>
      </c>
      <c r="AE34" s="27"/>
    </row>
    <row r="35" spans="2:31">
      <c r="B35" s="128"/>
      <c r="C35" s="129" t="s">
        <v>6</v>
      </c>
      <c r="D35" s="1">
        <f>+D34</f>
        <v>0</v>
      </c>
      <c r="E35" s="1">
        <f>+D34</f>
        <v>0</v>
      </c>
      <c r="F35" s="1">
        <f>+D34</f>
        <v>0</v>
      </c>
      <c r="G35" s="1">
        <f>+D34</f>
        <v>0</v>
      </c>
      <c r="H35" s="1">
        <f>+D34</f>
        <v>0</v>
      </c>
      <c r="I35" s="1">
        <f>+D34</f>
        <v>0</v>
      </c>
      <c r="J35" s="1">
        <f>+D34</f>
        <v>0</v>
      </c>
      <c r="K35" s="1">
        <f>+D34</f>
        <v>0</v>
      </c>
      <c r="L35" s="1">
        <f>+D34</f>
        <v>0</v>
      </c>
      <c r="M35" s="1">
        <f>+D34</f>
        <v>0</v>
      </c>
      <c r="N35" s="1">
        <f>+D34</f>
        <v>0</v>
      </c>
      <c r="O35" s="1">
        <f>+D34</f>
        <v>0</v>
      </c>
      <c r="P35" s="1">
        <f>+D34</f>
        <v>0</v>
      </c>
      <c r="Q35" s="1">
        <f>+D34</f>
        <v>0</v>
      </c>
      <c r="R35" s="1">
        <f>+D34</f>
        <v>0</v>
      </c>
      <c r="S35" s="1">
        <f>+D34</f>
        <v>0</v>
      </c>
      <c r="T35" s="1">
        <f>+D34</f>
        <v>0</v>
      </c>
      <c r="U35" s="1">
        <f>+D34</f>
        <v>0</v>
      </c>
      <c r="V35" s="1">
        <f>+D34</f>
        <v>0</v>
      </c>
      <c r="W35" s="1">
        <f>+D34</f>
        <v>0</v>
      </c>
      <c r="X35" s="1">
        <f>+D34</f>
        <v>0</v>
      </c>
      <c r="Y35" s="1">
        <f>+D34</f>
        <v>0</v>
      </c>
      <c r="Z35" s="1">
        <f>+D34</f>
        <v>0</v>
      </c>
      <c r="AA35" s="5">
        <f>+D34</f>
        <v>0</v>
      </c>
      <c r="AB35" s="130">
        <f t="shared" si="0"/>
        <v>0</v>
      </c>
      <c r="AC35" s="130">
        <v>4</v>
      </c>
      <c r="AD35" s="131"/>
      <c r="AE35" s="27"/>
    </row>
    <row r="36" spans="2:31">
      <c r="B36" s="128"/>
      <c r="C36" s="129" t="s">
        <v>7</v>
      </c>
      <c r="D36" s="1">
        <f>+D34</f>
        <v>0</v>
      </c>
      <c r="E36" s="1">
        <f>+D34</f>
        <v>0</v>
      </c>
      <c r="F36" s="1">
        <f>+D34</f>
        <v>0</v>
      </c>
      <c r="G36" s="1">
        <f>+D34</f>
        <v>0</v>
      </c>
      <c r="H36" s="1">
        <f>+D34</f>
        <v>0</v>
      </c>
      <c r="I36" s="1">
        <f>+D34</f>
        <v>0</v>
      </c>
      <c r="J36" s="1">
        <f>+D34</f>
        <v>0</v>
      </c>
      <c r="K36" s="1">
        <f>+D34</f>
        <v>0</v>
      </c>
      <c r="L36" s="1">
        <f>+D34</f>
        <v>0</v>
      </c>
      <c r="M36" s="1">
        <f>+D34</f>
        <v>0</v>
      </c>
      <c r="N36" s="1">
        <f>+D34</f>
        <v>0</v>
      </c>
      <c r="O36" s="1">
        <f>+D34</f>
        <v>0</v>
      </c>
      <c r="P36" s="1">
        <f>+D34</f>
        <v>0</v>
      </c>
      <c r="Q36" s="1">
        <f>+D34</f>
        <v>0</v>
      </c>
      <c r="R36" s="1">
        <f>+D34</f>
        <v>0</v>
      </c>
      <c r="S36" s="1">
        <f>+D34</f>
        <v>0</v>
      </c>
      <c r="T36" s="1">
        <f>+D34</f>
        <v>0</v>
      </c>
      <c r="U36" s="1">
        <f>+D34</f>
        <v>0</v>
      </c>
      <c r="V36" s="1">
        <f>+D34</f>
        <v>0</v>
      </c>
      <c r="W36" s="1">
        <f>+D34</f>
        <v>0</v>
      </c>
      <c r="X36" s="1">
        <f>+D34</f>
        <v>0</v>
      </c>
      <c r="Y36" s="1">
        <f>+D34</f>
        <v>0</v>
      </c>
      <c r="Z36" s="1">
        <f>+D34</f>
        <v>0</v>
      </c>
      <c r="AA36" s="5">
        <f>+D34</f>
        <v>0</v>
      </c>
      <c r="AB36" s="130">
        <f t="shared" si="0"/>
        <v>0</v>
      </c>
      <c r="AC36" s="130">
        <v>4</v>
      </c>
      <c r="AD36" s="131"/>
      <c r="AE36" s="27"/>
    </row>
    <row r="37" spans="2:31" ht="15" thickBot="1">
      <c r="B37" s="132"/>
      <c r="C37" s="133" t="s">
        <v>8</v>
      </c>
      <c r="D37" s="3">
        <f>+D34</f>
        <v>0</v>
      </c>
      <c r="E37" s="3">
        <f>+D34</f>
        <v>0</v>
      </c>
      <c r="F37" s="3">
        <f>+D34</f>
        <v>0</v>
      </c>
      <c r="G37" s="3">
        <f>+D34</f>
        <v>0</v>
      </c>
      <c r="H37" s="3">
        <f>+D34</f>
        <v>0</v>
      </c>
      <c r="I37" s="3">
        <f>+D34</f>
        <v>0</v>
      </c>
      <c r="J37" s="3">
        <f>+D34</f>
        <v>0</v>
      </c>
      <c r="K37" s="3">
        <f>+D34</f>
        <v>0</v>
      </c>
      <c r="L37" s="3">
        <f>+D34</f>
        <v>0</v>
      </c>
      <c r="M37" s="3">
        <f>+D34</f>
        <v>0</v>
      </c>
      <c r="N37" s="3">
        <f>+D34</f>
        <v>0</v>
      </c>
      <c r="O37" s="3">
        <f>+D34</f>
        <v>0</v>
      </c>
      <c r="P37" s="3">
        <f>+D34</f>
        <v>0</v>
      </c>
      <c r="Q37" s="3">
        <f>+D34</f>
        <v>0</v>
      </c>
      <c r="R37" s="3">
        <f>+D34</f>
        <v>0</v>
      </c>
      <c r="S37" s="3">
        <f>+D34</f>
        <v>0</v>
      </c>
      <c r="T37" s="3">
        <f>+D34</f>
        <v>0</v>
      </c>
      <c r="U37" s="3">
        <f>+D34</f>
        <v>0</v>
      </c>
      <c r="V37" s="3">
        <f>+D34</f>
        <v>0</v>
      </c>
      <c r="W37" s="3">
        <f>+D34</f>
        <v>0</v>
      </c>
      <c r="X37" s="3">
        <f>+D34</f>
        <v>0</v>
      </c>
      <c r="Y37" s="3">
        <f>+D34</f>
        <v>0</v>
      </c>
      <c r="Z37" s="3">
        <f>+D34</f>
        <v>0</v>
      </c>
      <c r="AA37" s="6">
        <f>+D34</f>
        <v>0</v>
      </c>
      <c r="AB37" s="134">
        <f t="shared" si="0"/>
        <v>0</v>
      </c>
      <c r="AC37" s="134">
        <v>2</v>
      </c>
      <c r="AD37" s="135"/>
      <c r="AE37" s="27"/>
    </row>
    <row r="38" spans="2:31">
      <c r="B38" s="124">
        <v>46997</v>
      </c>
      <c r="C38" s="125" t="s">
        <v>5</v>
      </c>
      <c r="D38" s="2">
        <v>7175.1</v>
      </c>
      <c r="E38" s="2">
        <f>+D38</f>
        <v>7175.1</v>
      </c>
      <c r="F38" s="2">
        <f>+D38</f>
        <v>7175.1</v>
      </c>
      <c r="G38" s="2">
        <f>+D38</f>
        <v>7175.1</v>
      </c>
      <c r="H38" s="2">
        <f>+D38</f>
        <v>7175.1</v>
      </c>
      <c r="I38" s="2">
        <f>+D38</f>
        <v>7175.1</v>
      </c>
      <c r="J38" s="2">
        <f>+D38</f>
        <v>7175.1</v>
      </c>
      <c r="K38" s="2">
        <f>+D38</f>
        <v>7175.1</v>
      </c>
      <c r="L38" s="2">
        <f>+D38</f>
        <v>7175.1</v>
      </c>
      <c r="M38" s="2">
        <f>+D38</f>
        <v>7175.1</v>
      </c>
      <c r="N38" s="2">
        <f>+D38</f>
        <v>7175.1</v>
      </c>
      <c r="O38" s="2">
        <f>+D38</f>
        <v>7175.1</v>
      </c>
      <c r="P38" s="2">
        <f>+D38</f>
        <v>7175.1</v>
      </c>
      <c r="Q38" s="2">
        <f>+D38</f>
        <v>7175.1</v>
      </c>
      <c r="R38" s="2">
        <f>+D38</f>
        <v>7175.1</v>
      </c>
      <c r="S38" s="2">
        <f>+D38</f>
        <v>7175.1</v>
      </c>
      <c r="T38" s="2">
        <f>+D38</f>
        <v>7175.1</v>
      </c>
      <c r="U38" s="2">
        <f>+D38</f>
        <v>7175.1</v>
      </c>
      <c r="V38" s="2">
        <f>+D38</f>
        <v>7175.1</v>
      </c>
      <c r="W38" s="2">
        <f>+D38</f>
        <v>7175.1</v>
      </c>
      <c r="X38" s="2">
        <f>+D38</f>
        <v>7175.1</v>
      </c>
      <c r="Y38" s="2">
        <f>+D38</f>
        <v>7175.1</v>
      </c>
      <c r="Z38" s="2">
        <f>+D38</f>
        <v>7175.1</v>
      </c>
      <c r="AA38" s="4">
        <f>+D38</f>
        <v>7175.1</v>
      </c>
      <c r="AB38" s="126">
        <f t="shared" si="0"/>
        <v>172202.40000000008</v>
      </c>
      <c r="AC38" s="126">
        <v>21</v>
      </c>
      <c r="AD38" s="127">
        <f>(AB38*AC38)+(AB39*AC39)+(AB40*AC40)+(AB41*AC41)</f>
        <v>5166072.0000000028</v>
      </c>
      <c r="AE38" s="27"/>
    </row>
    <row r="39" spans="2:31">
      <c r="B39" s="128"/>
      <c r="C39" s="129" t="s">
        <v>6</v>
      </c>
      <c r="D39" s="1">
        <f>+D38</f>
        <v>7175.1</v>
      </c>
      <c r="E39" s="1">
        <f>+D38</f>
        <v>7175.1</v>
      </c>
      <c r="F39" s="1">
        <f>+D38</f>
        <v>7175.1</v>
      </c>
      <c r="G39" s="1">
        <f>+D38</f>
        <v>7175.1</v>
      </c>
      <c r="H39" s="1">
        <f>+D38</f>
        <v>7175.1</v>
      </c>
      <c r="I39" s="1">
        <f>+D38</f>
        <v>7175.1</v>
      </c>
      <c r="J39" s="1">
        <f>+D38</f>
        <v>7175.1</v>
      </c>
      <c r="K39" s="1">
        <f>+D38</f>
        <v>7175.1</v>
      </c>
      <c r="L39" s="1">
        <f>+D38</f>
        <v>7175.1</v>
      </c>
      <c r="M39" s="1">
        <f>+D38</f>
        <v>7175.1</v>
      </c>
      <c r="N39" s="1">
        <f>+D38</f>
        <v>7175.1</v>
      </c>
      <c r="O39" s="1">
        <f>+D38</f>
        <v>7175.1</v>
      </c>
      <c r="P39" s="1">
        <f>+D38</f>
        <v>7175.1</v>
      </c>
      <c r="Q39" s="1">
        <f>+D38</f>
        <v>7175.1</v>
      </c>
      <c r="R39" s="1">
        <f>+D38</f>
        <v>7175.1</v>
      </c>
      <c r="S39" s="1">
        <f>+D38</f>
        <v>7175.1</v>
      </c>
      <c r="T39" s="1">
        <f>+D38</f>
        <v>7175.1</v>
      </c>
      <c r="U39" s="1">
        <f>+D38</f>
        <v>7175.1</v>
      </c>
      <c r="V39" s="1">
        <f>+D38</f>
        <v>7175.1</v>
      </c>
      <c r="W39" s="1">
        <f>+D38</f>
        <v>7175.1</v>
      </c>
      <c r="X39" s="1">
        <f>+D38</f>
        <v>7175.1</v>
      </c>
      <c r="Y39" s="1">
        <f>+D38</f>
        <v>7175.1</v>
      </c>
      <c r="Z39" s="1">
        <f>+D38</f>
        <v>7175.1</v>
      </c>
      <c r="AA39" s="5">
        <f>+D38</f>
        <v>7175.1</v>
      </c>
      <c r="AB39" s="130">
        <f t="shared" si="0"/>
        <v>172202.40000000008</v>
      </c>
      <c r="AC39" s="130">
        <v>5</v>
      </c>
      <c r="AD39" s="131"/>
      <c r="AE39" s="27"/>
    </row>
    <row r="40" spans="2:31">
      <c r="B40" s="128"/>
      <c r="C40" s="129" t="s">
        <v>7</v>
      </c>
      <c r="D40" s="1">
        <f>+D38</f>
        <v>7175.1</v>
      </c>
      <c r="E40" s="1">
        <f>+D38</f>
        <v>7175.1</v>
      </c>
      <c r="F40" s="1">
        <f>+D38</f>
        <v>7175.1</v>
      </c>
      <c r="G40" s="1">
        <f>+D38</f>
        <v>7175.1</v>
      </c>
      <c r="H40" s="1">
        <f>+D38</f>
        <v>7175.1</v>
      </c>
      <c r="I40" s="1">
        <f>+D38</f>
        <v>7175.1</v>
      </c>
      <c r="J40" s="1">
        <f>+D38</f>
        <v>7175.1</v>
      </c>
      <c r="K40" s="1">
        <f>+D38</f>
        <v>7175.1</v>
      </c>
      <c r="L40" s="1">
        <f>+D38</f>
        <v>7175.1</v>
      </c>
      <c r="M40" s="1">
        <f>+D38</f>
        <v>7175.1</v>
      </c>
      <c r="N40" s="1">
        <f>+D38</f>
        <v>7175.1</v>
      </c>
      <c r="O40" s="1">
        <f>+D38</f>
        <v>7175.1</v>
      </c>
      <c r="P40" s="1">
        <f>+D38</f>
        <v>7175.1</v>
      </c>
      <c r="Q40" s="1">
        <f>+D38</f>
        <v>7175.1</v>
      </c>
      <c r="R40" s="1">
        <f>+D38</f>
        <v>7175.1</v>
      </c>
      <c r="S40" s="1">
        <f>+D38</f>
        <v>7175.1</v>
      </c>
      <c r="T40" s="1">
        <f>+D38</f>
        <v>7175.1</v>
      </c>
      <c r="U40" s="1">
        <f>+D38</f>
        <v>7175.1</v>
      </c>
      <c r="V40" s="1">
        <f>+D38</f>
        <v>7175.1</v>
      </c>
      <c r="W40" s="1">
        <f>+D38</f>
        <v>7175.1</v>
      </c>
      <c r="X40" s="1">
        <f>+D38</f>
        <v>7175.1</v>
      </c>
      <c r="Y40" s="1">
        <f>+D38</f>
        <v>7175.1</v>
      </c>
      <c r="Z40" s="1">
        <f>+D38</f>
        <v>7175.1</v>
      </c>
      <c r="AA40" s="5">
        <f>+D38</f>
        <v>7175.1</v>
      </c>
      <c r="AB40" s="130">
        <f t="shared" si="0"/>
        <v>172202.40000000008</v>
      </c>
      <c r="AC40" s="130">
        <v>4</v>
      </c>
      <c r="AD40" s="131"/>
      <c r="AE40" s="27"/>
    </row>
    <row r="41" spans="2:31" ht="15" thickBot="1">
      <c r="B41" s="132"/>
      <c r="C41" s="133" t="s">
        <v>8</v>
      </c>
      <c r="D41" s="3">
        <f>+D38</f>
        <v>7175.1</v>
      </c>
      <c r="E41" s="3">
        <f>+D38</f>
        <v>7175.1</v>
      </c>
      <c r="F41" s="3">
        <f>+D38</f>
        <v>7175.1</v>
      </c>
      <c r="G41" s="3">
        <f>+D38</f>
        <v>7175.1</v>
      </c>
      <c r="H41" s="3">
        <f>+D38</f>
        <v>7175.1</v>
      </c>
      <c r="I41" s="3">
        <f>+D38</f>
        <v>7175.1</v>
      </c>
      <c r="J41" s="3">
        <f>+D38</f>
        <v>7175.1</v>
      </c>
      <c r="K41" s="3">
        <f>+D38</f>
        <v>7175.1</v>
      </c>
      <c r="L41" s="3">
        <f>+D38</f>
        <v>7175.1</v>
      </c>
      <c r="M41" s="3">
        <f>+D38</f>
        <v>7175.1</v>
      </c>
      <c r="N41" s="3">
        <f>+D38</f>
        <v>7175.1</v>
      </c>
      <c r="O41" s="3">
        <f>+D38</f>
        <v>7175.1</v>
      </c>
      <c r="P41" s="3">
        <f>+D38</f>
        <v>7175.1</v>
      </c>
      <c r="Q41" s="3">
        <f>+D38</f>
        <v>7175.1</v>
      </c>
      <c r="R41" s="3">
        <f>+D38</f>
        <v>7175.1</v>
      </c>
      <c r="S41" s="3">
        <f>+D38</f>
        <v>7175.1</v>
      </c>
      <c r="T41" s="3">
        <f>+D38</f>
        <v>7175.1</v>
      </c>
      <c r="U41" s="3">
        <f>+D38</f>
        <v>7175.1</v>
      </c>
      <c r="V41" s="3">
        <f>+D38</f>
        <v>7175.1</v>
      </c>
      <c r="W41" s="3">
        <f>+D38</f>
        <v>7175.1</v>
      </c>
      <c r="X41" s="3">
        <f>+D38</f>
        <v>7175.1</v>
      </c>
      <c r="Y41" s="3">
        <f>+D38</f>
        <v>7175.1</v>
      </c>
      <c r="Z41" s="3">
        <f>+D38</f>
        <v>7175.1</v>
      </c>
      <c r="AA41" s="6">
        <f>+D38</f>
        <v>7175.1</v>
      </c>
      <c r="AB41" s="134">
        <f t="shared" si="0"/>
        <v>172202.40000000008</v>
      </c>
      <c r="AC41" s="134">
        <v>0</v>
      </c>
      <c r="AD41" s="135"/>
      <c r="AE41" s="27"/>
    </row>
    <row r="42" spans="2:31">
      <c r="B42" s="124">
        <v>47027</v>
      </c>
      <c r="C42" s="125" t="s">
        <v>5</v>
      </c>
      <c r="D42" s="2">
        <v>7247.67</v>
      </c>
      <c r="E42" s="2">
        <f>+D42</f>
        <v>7247.67</v>
      </c>
      <c r="F42" s="2">
        <f>+D42</f>
        <v>7247.67</v>
      </c>
      <c r="G42" s="2">
        <f>+D42</f>
        <v>7247.67</v>
      </c>
      <c r="H42" s="2">
        <f>+D42</f>
        <v>7247.67</v>
      </c>
      <c r="I42" s="2">
        <f>+D42</f>
        <v>7247.67</v>
      </c>
      <c r="J42" s="2">
        <f>+D42</f>
        <v>7247.67</v>
      </c>
      <c r="K42" s="2">
        <f>+D42</f>
        <v>7247.67</v>
      </c>
      <c r="L42" s="2">
        <f>+D42</f>
        <v>7247.67</v>
      </c>
      <c r="M42" s="2">
        <f>+D42</f>
        <v>7247.67</v>
      </c>
      <c r="N42" s="2">
        <f>+D42</f>
        <v>7247.67</v>
      </c>
      <c r="O42" s="2">
        <f>+D42</f>
        <v>7247.67</v>
      </c>
      <c r="P42" s="2">
        <f>+D42</f>
        <v>7247.67</v>
      </c>
      <c r="Q42" s="2">
        <f>+D42</f>
        <v>7247.67</v>
      </c>
      <c r="R42" s="2">
        <f>+D42</f>
        <v>7247.67</v>
      </c>
      <c r="S42" s="2">
        <f>+D42</f>
        <v>7247.67</v>
      </c>
      <c r="T42" s="2">
        <f>+D42</f>
        <v>7247.67</v>
      </c>
      <c r="U42" s="2">
        <f>+D42</f>
        <v>7247.67</v>
      </c>
      <c r="V42" s="2">
        <f>+D42</f>
        <v>7247.67</v>
      </c>
      <c r="W42" s="2">
        <f>+D42</f>
        <v>7247.67</v>
      </c>
      <c r="X42" s="2">
        <f>+D42</f>
        <v>7247.67</v>
      </c>
      <c r="Y42" s="2">
        <f>+D42</f>
        <v>7247.67</v>
      </c>
      <c r="Z42" s="2">
        <f>+D42</f>
        <v>7247.67</v>
      </c>
      <c r="AA42" s="4">
        <f>+D42</f>
        <v>7247.67</v>
      </c>
      <c r="AB42" s="126">
        <f t="shared" si="0"/>
        <v>173944.08000000005</v>
      </c>
      <c r="AC42" s="126">
        <v>21</v>
      </c>
      <c r="AD42" s="127">
        <f>(AB42*AC42)+(AB43*AC43)+(AB44*AC44)+(AB45*AC45)</f>
        <v>5392266.4800000014</v>
      </c>
      <c r="AE42" s="27"/>
    </row>
    <row r="43" spans="2:31">
      <c r="B43" s="128"/>
      <c r="C43" s="129" t="s">
        <v>6</v>
      </c>
      <c r="D43" s="1">
        <f>+D42</f>
        <v>7247.67</v>
      </c>
      <c r="E43" s="1">
        <f>+D42</f>
        <v>7247.67</v>
      </c>
      <c r="F43" s="1">
        <f>+D42</f>
        <v>7247.67</v>
      </c>
      <c r="G43" s="1">
        <f>+D42</f>
        <v>7247.67</v>
      </c>
      <c r="H43" s="1">
        <f>+D42</f>
        <v>7247.67</v>
      </c>
      <c r="I43" s="1">
        <f>+D42</f>
        <v>7247.67</v>
      </c>
      <c r="J43" s="1">
        <f>+D42</f>
        <v>7247.67</v>
      </c>
      <c r="K43" s="1">
        <f>+D42</f>
        <v>7247.67</v>
      </c>
      <c r="L43" s="1">
        <f>+D42</f>
        <v>7247.67</v>
      </c>
      <c r="M43" s="1">
        <f>+D42</f>
        <v>7247.67</v>
      </c>
      <c r="N43" s="1">
        <f>+D42</f>
        <v>7247.67</v>
      </c>
      <c r="O43" s="1">
        <f>+D42</f>
        <v>7247.67</v>
      </c>
      <c r="P43" s="1">
        <f>+D42</f>
        <v>7247.67</v>
      </c>
      <c r="Q43" s="1">
        <f>+D42</f>
        <v>7247.67</v>
      </c>
      <c r="R43" s="1">
        <f>+D42</f>
        <v>7247.67</v>
      </c>
      <c r="S43" s="1">
        <f>+D42</f>
        <v>7247.67</v>
      </c>
      <c r="T43" s="1">
        <f>+D42</f>
        <v>7247.67</v>
      </c>
      <c r="U43" s="1">
        <f>+D42</f>
        <v>7247.67</v>
      </c>
      <c r="V43" s="1">
        <f>+D42</f>
        <v>7247.67</v>
      </c>
      <c r="W43" s="1">
        <f>+D42</f>
        <v>7247.67</v>
      </c>
      <c r="X43" s="1">
        <f>+D42</f>
        <v>7247.67</v>
      </c>
      <c r="Y43" s="1">
        <f>+D42</f>
        <v>7247.67</v>
      </c>
      <c r="Z43" s="1">
        <f>+D42</f>
        <v>7247.67</v>
      </c>
      <c r="AA43" s="5">
        <f>+D42</f>
        <v>7247.67</v>
      </c>
      <c r="AB43" s="130">
        <f t="shared" si="0"/>
        <v>173944.08000000005</v>
      </c>
      <c r="AC43" s="130">
        <v>4</v>
      </c>
      <c r="AD43" s="131"/>
      <c r="AE43" s="27"/>
    </row>
    <row r="44" spans="2:31">
      <c r="B44" s="128"/>
      <c r="C44" s="129" t="s">
        <v>7</v>
      </c>
      <c r="D44" s="1">
        <f>+D42</f>
        <v>7247.67</v>
      </c>
      <c r="E44" s="1">
        <f>+D42</f>
        <v>7247.67</v>
      </c>
      <c r="F44" s="1">
        <f>+D42</f>
        <v>7247.67</v>
      </c>
      <c r="G44" s="1">
        <f>+D42</f>
        <v>7247.67</v>
      </c>
      <c r="H44" s="1">
        <f>+D42</f>
        <v>7247.67</v>
      </c>
      <c r="I44" s="1">
        <f>+D42</f>
        <v>7247.67</v>
      </c>
      <c r="J44" s="1">
        <f>+D42</f>
        <v>7247.67</v>
      </c>
      <c r="K44" s="1">
        <f>+D42</f>
        <v>7247.67</v>
      </c>
      <c r="L44" s="1">
        <f>+D42</f>
        <v>7247.67</v>
      </c>
      <c r="M44" s="1">
        <f>+D42</f>
        <v>7247.67</v>
      </c>
      <c r="N44" s="1">
        <f>+D42</f>
        <v>7247.67</v>
      </c>
      <c r="O44" s="1">
        <f>+D42</f>
        <v>7247.67</v>
      </c>
      <c r="P44" s="1">
        <f>+D42</f>
        <v>7247.67</v>
      </c>
      <c r="Q44" s="1">
        <f>+D42</f>
        <v>7247.67</v>
      </c>
      <c r="R44" s="1">
        <f>+D42</f>
        <v>7247.67</v>
      </c>
      <c r="S44" s="1">
        <f>+D42</f>
        <v>7247.67</v>
      </c>
      <c r="T44" s="1">
        <f>+D42</f>
        <v>7247.67</v>
      </c>
      <c r="U44" s="1">
        <f>+D42</f>
        <v>7247.67</v>
      </c>
      <c r="V44" s="1">
        <f>+D42</f>
        <v>7247.67</v>
      </c>
      <c r="W44" s="1">
        <f>+D42</f>
        <v>7247.67</v>
      </c>
      <c r="X44" s="1">
        <f>+D42</f>
        <v>7247.67</v>
      </c>
      <c r="Y44" s="1">
        <f>+D42</f>
        <v>7247.67</v>
      </c>
      <c r="Z44" s="1">
        <f>+D42</f>
        <v>7247.67</v>
      </c>
      <c r="AA44" s="5">
        <f>+D42</f>
        <v>7247.67</v>
      </c>
      <c r="AB44" s="130">
        <f t="shared" si="0"/>
        <v>173944.08000000005</v>
      </c>
      <c r="AC44" s="130">
        <v>5</v>
      </c>
      <c r="AD44" s="131"/>
      <c r="AE44" s="27"/>
    </row>
    <row r="45" spans="2:31" ht="15" thickBot="1">
      <c r="B45" s="132"/>
      <c r="C45" s="133" t="s">
        <v>8</v>
      </c>
      <c r="D45" s="3">
        <f>+D42</f>
        <v>7247.67</v>
      </c>
      <c r="E45" s="3">
        <f>+D42</f>
        <v>7247.67</v>
      </c>
      <c r="F45" s="3">
        <f>+D42</f>
        <v>7247.67</v>
      </c>
      <c r="G45" s="3">
        <f>+D42</f>
        <v>7247.67</v>
      </c>
      <c r="H45" s="3">
        <f>+D42</f>
        <v>7247.67</v>
      </c>
      <c r="I45" s="3">
        <f>+D42</f>
        <v>7247.67</v>
      </c>
      <c r="J45" s="3">
        <f>+D42</f>
        <v>7247.67</v>
      </c>
      <c r="K45" s="3">
        <f>+D42</f>
        <v>7247.67</v>
      </c>
      <c r="L45" s="3">
        <f>+D42</f>
        <v>7247.67</v>
      </c>
      <c r="M45" s="3">
        <f>+D42</f>
        <v>7247.67</v>
      </c>
      <c r="N45" s="3">
        <f>+D42</f>
        <v>7247.67</v>
      </c>
      <c r="O45" s="3">
        <f>+D42</f>
        <v>7247.67</v>
      </c>
      <c r="P45" s="3">
        <f>+D42</f>
        <v>7247.67</v>
      </c>
      <c r="Q45" s="3">
        <f>+D42</f>
        <v>7247.67</v>
      </c>
      <c r="R45" s="3">
        <f>+D42</f>
        <v>7247.67</v>
      </c>
      <c r="S45" s="3">
        <f>+D42</f>
        <v>7247.67</v>
      </c>
      <c r="T45" s="3">
        <f>+D42</f>
        <v>7247.67</v>
      </c>
      <c r="U45" s="3">
        <f>+D42</f>
        <v>7247.67</v>
      </c>
      <c r="V45" s="3">
        <f>+D42</f>
        <v>7247.67</v>
      </c>
      <c r="W45" s="3">
        <f>+D42</f>
        <v>7247.67</v>
      </c>
      <c r="X45" s="3">
        <f>+D42</f>
        <v>7247.67</v>
      </c>
      <c r="Y45" s="3">
        <f>+D42</f>
        <v>7247.67</v>
      </c>
      <c r="Z45" s="3">
        <f>+D42</f>
        <v>7247.67</v>
      </c>
      <c r="AA45" s="6">
        <f>+D42</f>
        <v>7247.67</v>
      </c>
      <c r="AB45" s="134">
        <f t="shared" si="0"/>
        <v>173944.08000000005</v>
      </c>
      <c r="AC45" s="134">
        <v>1</v>
      </c>
      <c r="AD45" s="135"/>
      <c r="AE45" s="27"/>
    </row>
    <row r="46" spans="2:31">
      <c r="B46" s="124">
        <v>47058</v>
      </c>
      <c r="C46" s="125" t="s">
        <v>5</v>
      </c>
      <c r="D46" s="2">
        <v>7114.1</v>
      </c>
      <c r="E46" s="2">
        <f>+D46</f>
        <v>7114.1</v>
      </c>
      <c r="F46" s="2">
        <f>+D46</f>
        <v>7114.1</v>
      </c>
      <c r="G46" s="2">
        <f>+D46</f>
        <v>7114.1</v>
      </c>
      <c r="H46" s="2">
        <f>+D46</f>
        <v>7114.1</v>
      </c>
      <c r="I46" s="2">
        <f>+D46</f>
        <v>7114.1</v>
      </c>
      <c r="J46" s="2">
        <f>+D46</f>
        <v>7114.1</v>
      </c>
      <c r="K46" s="2">
        <f>+D46</f>
        <v>7114.1</v>
      </c>
      <c r="L46" s="2">
        <f>+D46</f>
        <v>7114.1</v>
      </c>
      <c r="M46" s="2">
        <f>+D46</f>
        <v>7114.1</v>
      </c>
      <c r="N46" s="2">
        <f>+D46</f>
        <v>7114.1</v>
      </c>
      <c r="O46" s="2">
        <f>+D46</f>
        <v>7114.1</v>
      </c>
      <c r="P46" s="2">
        <f>+D46</f>
        <v>7114.1</v>
      </c>
      <c r="Q46" s="2">
        <f>+D46</f>
        <v>7114.1</v>
      </c>
      <c r="R46" s="2">
        <f>+D46</f>
        <v>7114.1</v>
      </c>
      <c r="S46" s="2">
        <f>+D46</f>
        <v>7114.1</v>
      </c>
      <c r="T46" s="2">
        <f>+D46</f>
        <v>7114.1</v>
      </c>
      <c r="U46" s="2">
        <f>+D46</f>
        <v>7114.1</v>
      </c>
      <c r="V46" s="2">
        <f>+D46</f>
        <v>7114.1</v>
      </c>
      <c r="W46" s="2">
        <f>+D46</f>
        <v>7114.1</v>
      </c>
      <c r="X46" s="2">
        <f>+D46</f>
        <v>7114.1</v>
      </c>
      <c r="Y46" s="2">
        <f>+D46</f>
        <v>7114.1</v>
      </c>
      <c r="Z46" s="2">
        <f>+D46</f>
        <v>7114.1</v>
      </c>
      <c r="AA46" s="4">
        <f>+D46</f>
        <v>7114.1</v>
      </c>
      <c r="AB46" s="126">
        <f t="shared" si="0"/>
        <v>170738.40000000008</v>
      </c>
      <c r="AC46" s="126">
        <v>20</v>
      </c>
      <c r="AD46" s="127">
        <f>(AB46*AC46)+(AB47*AC47)+(AB48*AC48)+(AB49*AC49)</f>
        <v>5122152.0000000028</v>
      </c>
      <c r="AE46" s="27"/>
    </row>
    <row r="47" spans="2:31">
      <c r="B47" s="128"/>
      <c r="C47" s="129" t="s">
        <v>6</v>
      </c>
      <c r="D47" s="1">
        <f>+D46</f>
        <v>7114.1</v>
      </c>
      <c r="E47" s="1">
        <f>+D46</f>
        <v>7114.1</v>
      </c>
      <c r="F47" s="1">
        <f>+D46</f>
        <v>7114.1</v>
      </c>
      <c r="G47" s="1">
        <f>+D46</f>
        <v>7114.1</v>
      </c>
      <c r="H47" s="1">
        <f>+D46</f>
        <v>7114.1</v>
      </c>
      <c r="I47" s="1">
        <f>+D46</f>
        <v>7114.1</v>
      </c>
      <c r="J47" s="1">
        <f>+D46</f>
        <v>7114.1</v>
      </c>
      <c r="K47" s="1">
        <f>+D46</f>
        <v>7114.1</v>
      </c>
      <c r="L47" s="1">
        <f>+D46</f>
        <v>7114.1</v>
      </c>
      <c r="M47" s="1">
        <f>+D46</f>
        <v>7114.1</v>
      </c>
      <c r="N47" s="1">
        <f>+D46</f>
        <v>7114.1</v>
      </c>
      <c r="O47" s="1">
        <f>+D46</f>
        <v>7114.1</v>
      </c>
      <c r="P47" s="1">
        <f>+D46</f>
        <v>7114.1</v>
      </c>
      <c r="Q47" s="1">
        <f>+D46</f>
        <v>7114.1</v>
      </c>
      <c r="R47" s="1">
        <f>+D46</f>
        <v>7114.1</v>
      </c>
      <c r="S47" s="1">
        <f>+D46</f>
        <v>7114.1</v>
      </c>
      <c r="T47" s="1">
        <f>+D46</f>
        <v>7114.1</v>
      </c>
      <c r="U47" s="1">
        <f>+D46</f>
        <v>7114.1</v>
      </c>
      <c r="V47" s="1">
        <f>+D46</f>
        <v>7114.1</v>
      </c>
      <c r="W47" s="1">
        <f>+D46</f>
        <v>7114.1</v>
      </c>
      <c r="X47" s="1">
        <f>+D46</f>
        <v>7114.1</v>
      </c>
      <c r="Y47" s="1">
        <f>+D46</f>
        <v>7114.1</v>
      </c>
      <c r="Z47" s="1">
        <f>+D46</f>
        <v>7114.1</v>
      </c>
      <c r="AA47" s="5">
        <f>+D46</f>
        <v>7114.1</v>
      </c>
      <c r="AB47" s="130">
        <f t="shared" si="0"/>
        <v>170738.40000000008</v>
      </c>
      <c r="AC47" s="130">
        <v>4</v>
      </c>
      <c r="AD47" s="131"/>
      <c r="AE47" s="27"/>
    </row>
    <row r="48" spans="2:31">
      <c r="B48" s="128"/>
      <c r="C48" s="129" t="s">
        <v>7</v>
      </c>
      <c r="D48" s="1">
        <f>+D46</f>
        <v>7114.1</v>
      </c>
      <c r="E48" s="1">
        <f>+D46</f>
        <v>7114.1</v>
      </c>
      <c r="F48" s="1">
        <f>+D46</f>
        <v>7114.1</v>
      </c>
      <c r="G48" s="1">
        <f>+D46</f>
        <v>7114.1</v>
      </c>
      <c r="H48" s="1">
        <f>+D46</f>
        <v>7114.1</v>
      </c>
      <c r="I48" s="1">
        <f>+D46</f>
        <v>7114.1</v>
      </c>
      <c r="J48" s="1">
        <f>+D46</f>
        <v>7114.1</v>
      </c>
      <c r="K48" s="1">
        <f>+D46</f>
        <v>7114.1</v>
      </c>
      <c r="L48" s="1">
        <f>+D46</f>
        <v>7114.1</v>
      </c>
      <c r="M48" s="1">
        <f>+D46</f>
        <v>7114.1</v>
      </c>
      <c r="N48" s="1">
        <f>+D46</f>
        <v>7114.1</v>
      </c>
      <c r="O48" s="1">
        <f>+D46</f>
        <v>7114.1</v>
      </c>
      <c r="P48" s="1">
        <f>+D46</f>
        <v>7114.1</v>
      </c>
      <c r="Q48" s="1">
        <f>+D46</f>
        <v>7114.1</v>
      </c>
      <c r="R48" s="1">
        <f>+D46</f>
        <v>7114.1</v>
      </c>
      <c r="S48" s="1">
        <f>+D46</f>
        <v>7114.1</v>
      </c>
      <c r="T48" s="1">
        <f>+D46</f>
        <v>7114.1</v>
      </c>
      <c r="U48" s="1">
        <f>+D46</f>
        <v>7114.1</v>
      </c>
      <c r="V48" s="1">
        <f>+D46</f>
        <v>7114.1</v>
      </c>
      <c r="W48" s="1">
        <f>+D46</f>
        <v>7114.1</v>
      </c>
      <c r="X48" s="1">
        <f>+D46</f>
        <v>7114.1</v>
      </c>
      <c r="Y48" s="1">
        <f>+D46</f>
        <v>7114.1</v>
      </c>
      <c r="Z48" s="1">
        <f>+D46</f>
        <v>7114.1</v>
      </c>
      <c r="AA48" s="5">
        <f>+D46</f>
        <v>7114.1</v>
      </c>
      <c r="AB48" s="130">
        <f t="shared" si="0"/>
        <v>170738.40000000008</v>
      </c>
      <c r="AC48" s="130">
        <v>4</v>
      </c>
      <c r="AD48" s="131"/>
      <c r="AE48" s="27"/>
    </row>
    <row r="49" spans="2:31" ht="15" thickBot="1">
      <c r="B49" s="132"/>
      <c r="C49" s="133" t="s">
        <v>8</v>
      </c>
      <c r="D49" s="3">
        <f>+D46</f>
        <v>7114.1</v>
      </c>
      <c r="E49" s="3">
        <f>+D46</f>
        <v>7114.1</v>
      </c>
      <c r="F49" s="3">
        <f>+D46</f>
        <v>7114.1</v>
      </c>
      <c r="G49" s="3">
        <f>+D46</f>
        <v>7114.1</v>
      </c>
      <c r="H49" s="3">
        <f>+D46</f>
        <v>7114.1</v>
      </c>
      <c r="I49" s="3">
        <f>+D46</f>
        <v>7114.1</v>
      </c>
      <c r="J49" s="3">
        <f>+D46</f>
        <v>7114.1</v>
      </c>
      <c r="K49" s="3">
        <f>+D46</f>
        <v>7114.1</v>
      </c>
      <c r="L49" s="3">
        <f>+D46</f>
        <v>7114.1</v>
      </c>
      <c r="M49" s="3">
        <f>+D46</f>
        <v>7114.1</v>
      </c>
      <c r="N49" s="3">
        <f>+D46</f>
        <v>7114.1</v>
      </c>
      <c r="O49" s="3">
        <f>+D46</f>
        <v>7114.1</v>
      </c>
      <c r="P49" s="3">
        <f>+D46</f>
        <v>7114.1</v>
      </c>
      <c r="Q49" s="3">
        <f>+D46</f>
        <v>7114.1</v>
      </c>
      <c r="R49" s="3">
        <f>+D46</f>
        <v>7114.1</v>
      </c>
      <c r="S49" s="3">
        <f>+D46</f>
        <v>7114.1</v>
      </c>
      <c r="T49" s="3">
        <f>+D46</f>
        <v>7114.1</v>
      </c>
      <c r="U49" s="3">
        <f>+D46</f>
        <v>7114.1</v>
      </c>
      <c r="V49" s="3">
        <f>+D46</f>
        <v>7114.1</v>
      </c>
      <c r="W49" s="3">
        <f>+D46</f>
        <v>7114.1</v>
      </c>
      <c r="X49" s="3">
        <f>+D46</f>
        <v>7114.1</v>
      </c>
      <c r="Y49" s="3">
        <f>+D46</f>
        <v>7114.1</v>
      </c>
      <c r="Z49" s="3">
        <f>+D46</f>
        <v>7114.1</v>
      </c>
      <c r="AA49" s="6">
        <f>+D46</f>
        <v>7114.1</v>
      </c>
      <c r="AB49" s="134">
        <f t="shared" si="0"/>
        <v>170738.40000000008</v>
      </c>
      <c r="AC49" s="134">
        <v>2</v>
      </c>
      <c r="AD49" s="135"/>
      <c r="AE49" s="27"/>
    </row>
    <row r="50" spans="2:31">
      <c r="B50" s="124">
        <v>47088</v>
      </c>
      <c r="C50" s="125" t="s">
        <v>5</v>
      </c>
      <c r="D50" s="2">
        <v>7580.89</v>
      </c>
      <c r="E50" s="2">
        <f>+D50</f>
        <v>7580.89</v>
      </c>
      <c r="F50" s="2">
        <f>+D50</f>
        <v>7580.89</v>
      </c>
      <c r="G50" s="2">
        <f>+D50</f>
        <v>7580.89</v>
      </c>
      <c r="H50" s="2">
        <f>+D50</f>
        <v>7580.89</v>
      </c>
      <c r="I50" s="2">
        <f>+D50</f>
        <v>7580.89</v>
      </c>
      <c r="J50" s="2">
        <f>+D50</f>
        <v>7580.89</v>
      </c>
      <c r="K50" s="2">
        <f>+D50</f>
        <v>7580.89</v>
      </c>
      <c r="L50" s="2">
        <f>+D50</f>
        <v>7580.89</v>
      </c>
      <c r="M50" s="2">
        <f>+D50</f>
        <v>7580.89</v>
      </c>
      <c r="N50" s="2">
        <f>+D50</f>
        <v>7580.89</v>
      </c>
      <c r="O50" s="2">
        <f>+D50</f>
        <v>7580.89</v>
      </c>
      <c r="P50" s="2">
        <f>+D50</f>
        <v>7580.89</v>
      </c>
      <c r="Q50" s="2">
        <f>+D50</f>
        <v>7580.89</v>
      </c>
      <c r="R50" s="2">
        <f>+D50</f>
        <v>7580.89</v>
      </c>
      <c r="S50" s="2">
        <f>+D50</f>
        <v>7580.89</v>
      </c>
      <c r="T50" s="2">
        <f>+D50</f>
        <v>7580.89</v>
      </c>
      <c r="U50" s="2">
        <f>+D50</f>
        <v>7580.89</v>
      </c>
      <c r="V50" s="2">
        <f>+D50</f>
        <v>7580.89</v>
      </c>
      <c r="W50" s="2">
        <f>+D50</f>
        <v>7580.89</v>
      </c>
      <c r="X50" s="2">
        <f>+D50</f>
        <v>7580.89</v>
      </c>
      <c r="Y50" s="2">
        <f>+D50</f>
        <v>7580.89</v>
      </c>
      <c r="Z50" s="2">
        <f>+D50</f>
        <v>7580.89</v>
      </c>
      <c r="AA50" s="4">
        <f>+D50</f>
        <v>7580.89</v>
      </c>
      <c r="AB50" s="126">
        <f t="shared" si="0"/>
        <v>181941.3600000001</v>
      </c>
      <c r="AC50" s="126">
        <v>19</v>
      </c>
      <c r="AD50" s="127">
        <f>(AB50*AC50)+(AB51*AC51)+(AB52*AC52)+(AB53*AC53)</f>
        <v>5640182.1600000039</v>
      </c>
      <c r="AE50" s="27"/>
    </row>
    <row r="51" spans="2:31">
      <c r="B51" s="128"/>
      <c r="C51" s="129" t="s">
        <v>6</v>
      </c>
      <c r="D51" s="1">
        <f>+D50</f>
        <v>7580.89</v>
      </c>
      <c r="E51" s="1">
        <f>+D50</f>
        <v>7580.89</v>
      </c>
      <c r="F51" s="1">
        <f>+D50</f>
        <v>7580.89</v>
      </c>
      <c r="G51" s="1">
        <f>+D50</f>
        <v>7580.89</v>
      </c>
      <c r="H51" s="1">
        <f>+D50</f>
        <v>7580.89</v>
      </c>
      <c r="I51" s="1">
        <f>+D50</f>
        <v>7580.89</v>
      </c>
      <c r="J51" s="1">
        <f>+D50</f>
        <v>7580.89</v>
      </c>
      <c r="K51" s="1">
        <f>+D50</f>
        <v>7580.89</v>
      </c>
      <c r="L51" s="1">
        <f>+D50</f>
        <v>7580.89</v>
      </c>
      <c r="M51" s="1">
        <f>+D50</f>
        <v>7580.89</v>
      </c>
      <c r="N51" s="1">
        <f>+D50</f>
        <v>7580.89</v>
      </c>
      <c r="O51" s="1">
        <f>+D50</f>
        <v>7580.89</v>
      </c>
      <c r="P51" s="1">
        <f>+D50</f>
        <v>7580.89</v>
      </c>
      <c r="Q51" s="1">
        <f>+D50</f>
        <v>7580.89</v>
      </c>
      <c r="R51" s="1">
        <f>+D50</f>
        <v>7580.89</v>
      </c>
      <c r="S51" s="1">
        <f>+D50</f>
        <v>7580.89</v>
      </c>
      <c r="T51" s="1">
        <f>+D50</f>
        <v>7580.89</v>
      </c>
      <c r="U51" s="1">
        <f>+D50</f>
        <v>7580.89</v>
      </c>
      <c r="V51" s="1">
        <f>+D50</f>
        <v>7580.89</v>
      </c>
      <c r="W51" s="1">
        <f>+D50</f>
        <v>7580.89</v>
      </c>
      <c r="X51" s="1">
        <f>+D50</f>
        <v>7580.89</v>
      </c>
      <c r="Y51" s="1">
        <f>+D50</f>
        <v>7580.89</v>
      </c>
      <c r="Z51" s="1">
        <f>+D50</f>
        <v>7580.89</v>
      </c>
      <c r="AA51" s="5">
        <f>+D50</f>
        <v>7580.89</v>
      </c>
      <c r="AB51" s="130">
        <f t="shared" si="0"/>
        <v>181941.3600000001</v>
      </c>
      <c r="AC51" s="130">
        <v>5</v>
      </c>
      <c r="AD51" s="131"/>
      <c r="AE51" s="27"/>
    </row>
    <row r="52" spans="2:31">
      <c r="B52" s="128"/>
      <c r="C52" s="129" t="s">
        <v>7</v>
      </c>
      <c r="D52" s="1">
        <f>+D50</f>
        <v>7580.89</v>
      </c>
      <c r="E52" s="1">
        <f>+D50</f>
        <v>7580.89</v>
      </c>
      <c r="F52" s="1">
        <f>+D50</f>
        <v>7580.89</v>
      </c>
      <c r="G52" s="1">
        <f>+D50</f>
        <v>7580.89</v>
      </c>
      <c r="H52" s="1">
        <f>+D50</f>
        <v>7580.89</v>
      </c>
      <c r="I52" s="1">
        <f>+D50</f>
        <v>7580.89</v>
      </c>
      <c r="J52" s="1">
        <f>+D50</f>
        <v>7580.89</v>
      </c>
      <c r="K52" s="1">
        <f>+D50</f>
        <v>7580.89</v>
      </c>
      <c r="L52" s="1">
        <f>+D50</f>
        <v>7580.89</v>
      </c>
      <c r="M52" s="1">
        <f>+D50</f>
        <v>7580.89</v>
      </c>
      <c r="N52" s="1">
        <f>+D50</f>
        <v>7580.89</v>
      </c>
      <c r="O52" s="1">
        <f>+D50</f>
        <v>7580.89</v>
      </c>
      <c r="P52" s="1">
        <f>+D50</f>
        <v>7580.89</v>
      </c>
      <c r="Q52" s="1">
        <f>+D50</f>
        <v>7580.89</v>
      </c>
      <c r="R52" s="1">
        <f>+D50</f>
        <v>7580.89</v>
      </c>
      <c r="S52" s="1">
        <f>+D50</f>
        <v>7580.89</v>
      </c>
      <c r="T52" s="1">
        <f>+D50</f>
        <v>7580.89</v>
      </c>
      <c r="U52" s="1">
        <f>+D50</f>
        <v>7580.89</v>
      </c>
      <c r="V52" s="1">
        <f>+D50</f>
        <v>7580.89</v>
      </c>
      <c r="W52" s="1">
        <f>+D50</f>
        <v>7580.89</v>
      </c>
      <c r="X52" s="1">
        <f>+D50</f>
        <v>7580.89</v>
      </c>
      <c r="Y52" s="1">
        <f>+D50</f>
        <v>7580.89</v>
      </c>
      <c r="Z52" s="1">
        <f>+D50</f>
        <v>7580.89</v>
      </c>
      <c r="AA52" s="5">
        <f>+D50</f>
        <v>7580.89</v>
      </c>
      <c r="AB52" s="130">
        <f t="shared" si="0"/>
        <v>181941.3600000001</v>
      </c>
      <c r="AC52" s="130">
        <v>5</v>
      </c>
      <c r="AD52" s="131"/>
      <c r="AE52" s="27"/>
    </row>
    <row r="53" spans="2:31" ht="15" thickBot="1">
      <c r="B53" s="132"/>
      <c r="C53" s="133" t="s">
        <v>8</v>
      </c>
      <c r="D53" s="3">
        <f>+D50</f>
        <v>7580.89</v>
      </c>
      <c r="E53" s="3">
        <f>+D50</f>
        <v>7580.89</v>
      </c>
      <c r="F53" s="3">
        <f>+D50</f>
        <v>7580.89</v>
      </c>
      <c r="G53" s="3">
        <f>+D50</f>
        <v>7580.89</v>
      </c>
      <c r="H53" s="3">
        <f>+D50</f>
        <v>7580.89</v>
      </c>
      <c r="I53" s="3">
        <f>+D50</f>
        <v>7580.89</v>
      </c>
      <c r="J53" s="3">
        <f>+D50</f>
        <v>7580.89</v>
      </c>
      <c r="K53" s="3">
        <f>+D50</f>
        <v>7580.89</v>
      </c>
      <c r="L53" s="3">
        <f>+D50</f>
        <v>7580.89</v>
      </c>
      <c r="M53" s="3">
        <f>+D50</f>
        <v>7580.89</v>
      </c>
      <c r="N53" s="3">
        <f>+D50</f>
        <v>7580.89</v>
      </c>
      <c r="O53" s="3">
        <f>+D50</f>
        <v>7580.89</v>
      </c>
      <c r="P53" s="3">
        <f>+D50</f>
        <v>7580.89</v>
      </c>
      <c r="Q53" s="3">
        <f>+D50</f>
        <v>7580.89</v>
      </c>
      <c r="R53" s="3">
        <f>+D50</f>
        <v>7580.89</v>
      </c>
      <c r="S53" s="3">
        <f>+D50</f>
        <v>7580.89</v>
      </c>
      <c r="T53" s="3">
        <f>+D50</f>
        <v>7580.89</v>
      </c>
      <c r="U53" s="3">
        <f>+D50</f>
        <v>7580.89</v>
      </c>
      <c r="V53" s="3">
        <f>+D50</f>
        <v>7580.89</v>
      </c>
      <c r="W53" s="3">
        <f>+D50</f>
        <v>7580.89</v>
      </c>
      <c r="X53" s="3">
        <f>+D50</f>
        <v>7580.89</v>
      </c>
      <c r="Y53" s="3">
        <f>+D50</f>
        <v>7580.89</v>
      </c>
      <c r="Z53" s="3">
        <f>+D50</f>
        <v>7580.89</v>
      </c>
      <c r="AA53" s="6">
        <f>+D50</f>
        <v>7580.89</v>
      </c>
      <c r="AB53" s="134">
        <f t="shared" si="0"/>
        <v>181941.3600000001</v>
      </c>
      <c r="AC53" s="134">
        <v>2</v>
      </c>
      <c r="AD53" s="135"/>
      <c r="AE53" s="27"/>
    </row>
    <row r="54" spans="2:31" ht="15" thickBot="1">
      <c r="AD54" s="7">
        <f>SUM(AD6:AD53)</f>
        <v>58490442.000000007</v>
      </c>
    </row>
    <row r="56" spans="2:31">
      <c r="AD56" s="33"/>
    </row>
  </sheetData>
  <mergeCells count="27">
    <mergeCell ref="B50:B53"/>
    <mergeCell ref="AD50:AD53"/>
    <mergeCell ref="B38:B41"/>
    <mergeCell ref="AD38:AD41"/>
    <mergeCell ref="B42:B45"/>
    <mergeCell ref="AD42:AD45"/>
    <mergeCell ref="B46:B49"/>
    <mergeCell ref="AD46:AD49"/>
    <mergeCell ref="B26:B29"/>
    <mergeCell ref="AD26:AD29"/>
    <mergeCell ref="B30:B33"/>
    <mergeCell ref="AD30:AD33"/>
    <mergeCell ref="B34:B37"/>
    <mergeCell ref="AD34:AD37"/>
    <mergeCell ref="B14:B17"/>
    <mergeCell ref="AD14:AD17"/>
    <mergeCell ref="B18:B21"/>
    <mergeCell ref="AD18:AD21"/>
    <mergeCell ref="B22:B25"/>
    <mergeCell ref="AD22:AD25"/>
    <mergeCell ref="B6:B9"/>
    <mergeCell ref="AD6:AD9"/>
    <mergeCell ref="B10:B13"/>
    <mergeCell ref="AD10:AD13"/>
    <mergeCell ref="B2:AB2"/>
    <mergeCell ref="B3:AB3"/>
    <mergeCell ref="B4:AB4"/>
  </mergeCells>
  <conditionalFormatting sqref="D6:AA53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BEA1-2868-43B9-B801-DF66FEFBFC18}">
  <dimension ref="B3:M28"/>
  <sheetViews>
    <sheetView showGridLines="0" zoomScale="90" zoomScaleNormal="90" workbookViewId="0">
      <selection activeCell="E9" sqref="E9:F20"/>
    </sheetView>
  </sheetViews>
  <sheetFormatPr baseColWidth="10" defaultColWidth="11.453125" defaultRowHeight="14.5"/>
  <cols>
    <col min="1" max="3" width="11.453125" style="8"/>
    <col min="4" max="4" width="15.26953125" style="8" customWidth="1"/>
    <col min="5" max="5" width="11.453125" style="8" bestFit="1"/>
    <col min="6" max="6" width="14.54296875" style="8" customWidth="1"/>
    <col min="7" max="7" width="11.453125" style="8" bestFit="1"/>
    <col min="8" max="8" width="12.6328125" style="26" bestFit="1" customWidth="1"/>
    <col min="9" max="9" width="11.453125" style="29" bestFit="1"/>
    <col min="10" max="10" width="16.36328125" style="8" bestFit="1" customWidth="1"/>
    <col min="11" max="16384" width="11.453125" style="8"/>
  </cols>
  <sheetData>
    <row r="3" spans="2:13" ht="15" thickBot="1"/>
    <row r="4" spans="2:13">
      <c r="B4" s="61" t="s">
        <v>63</v>
      </c>
      <c r="C4" s="61"/>
      <c r="D4" s="61"/>
      <c r="E4" s="61"/>
      <c r="F4" s="61"/>
      <c r="G4" s="62"/>
    </row>
    <row r="5" spans="2:13">
      <c r="B5" s="63" t="s">
        <v>9</v>
      </c>
      <c r="C5" s="63"/>
      <c r="D5" s="63"/>
      <c r="E5" s="63"/>
      <c r="F5" s="63"/>
      <c r="G5" s="64"/>
    </row>
    <row r="6" spans="2:13">
      <c r="B6" s="65" t="s">
        <v>10</v>
      </c>
      <c r="C6" s="65"/>
      <c r="D6" s="65"/>
      <c r="E6" s="65"/>
      <c r="F6" s="65"/>
      <c r="G6" s="66"/>
    </row>
    <row r="7" spans="2:13" ht="15" thickBot="1">
      <c r="B7" s="67" t="s">
        <v>39</v>
      </c>
      <c r="C7" s="67"/>
      <c r="D7" s="67"/>
      <c r="E7" s="67"/>
      <c r="F7" s="67"/>
      <c r="G7" s="68"/>
    </row>
    <row r="8" spans="2:13" ht="15" thickBot="1">
      <c r="B8" s="70" t="s">
        <v>61</v>
      </c>
      <c r="C8" s="70"/>
      <c r="D8" s="70"/>
      <c r="E8" s="70"/>
      <c r="F8" s="70"/>
      <c r="G8" s="161"/>
    </row>
    <row r="9" spans="2:13">
      <c r="B9" s="34">
        <v>2028</v>
      </c>
      <c r="C9" s="35" t="s">
        <v>25</v>
      </c>
      <c r="D9" s="36">
        <f>+'Producto 6 Plano 2028'!AE6</f>
        <v>11633317.919999998</v>
      </c>
      <c r="E9" s="156"/>
      <c r="F9" s="53">
        <f>+$E$9*D9</f>
        <v>0</v>
      </c>
      <c r="G9" s="49"/>
      <c r="H9" s="32">
        <f>+SUM(D9:D20)</f>
        <v>58490442.000000007</v>
      </c>
      <c r="I9" s="160"/>
    </row>
    <row r="10" spans="2:13">
      <c r="B10" s="38">
        <v>2028</v>
      </c>
      <c r="C10" s="39" t="s">
        <v>26</v>
      </c>
      <c r="D10" s="40">
        <f>+'Producto 6 Plano 2028'!AE7</f>
        <v>10751856.720000003</v>
      </c>
      <c r="E10" s="157"/>
      <c r="F10" s="54">
        <f>+$E$9*D10</f>
        <v>0</v>
      </c>
      <c r="G10" s="37"/>
    </row>
    <row r="11" spans="2:13">
      <c r="B11" s="38">
        <v>2028</v>
      </c>
      <c r="C11" s="39" t="s">
        <v>27</v>
      </c>
      <c r="D11" s="40">
        <f>+'Producto 6 Plano 2028'!AE8</f>
        <v>11573797.919999996</v>
      </c>
      <c r="E11" s="157"/>
      <c r="F11" s="54">
        <f>+$E$9*D11</f>
        <v>0</v>
      </c>
      <c r="G11" s="37"/>
    </row>
    <row r="12" spans="2:13">
      <c r="B12" s="38">
        <v>2028</v>
      </c>
      <c r="C12" s="39" t="s">
        <v>28</v>
      </c>
      <c r="D12" s="40">
        <f>+'Producto 6 Plano 2028'!AE9</f>
        <v>3210796.8000000012</v>
      </c>
      <c r="E12" s="157"/>
      <c r="F12" s="54">
        <f>+$E$9*D12</f>
        <v>0</v>
      </c>
      <c r="G12" s="37"/>
      <c r="I12" s="45"/>
      <c r="J12" s="46"/>
      <c r="K12" s="47"/>
      <c r="M12" s="47"/>
    </row>
    <row r="13" spans="2:13">
      <c r="B13" s="38">
        <v>2028</v>
      </c>
      <c r="C13" s="39" t="s">
        <v>29</v>
      </c>
      <c r="D13" s="40">
        <f>+'Producto 6 Plano 2028'!AE10</f>
        <v>0</v>
      </c>
      <c r="E13" s="157"/>
      <c r="F13" s="54">
        <f>+$E$9*D13</f>
        <v>0</v>
      </c>
      <c r="G13" s="37"/>
      <c r="I13" s="45"/>
      <c r="J13" s="46"/>
      <c r="K13" s="47"/>
      <c r="M13" s="47"/>
    </row>
    <row r="14" spans="2:13">
      <c r="B14" s="38">
        <v>2028</v>
      </c>
      <c r="C14" s="39" t="s">
        <v>18</v>
      </c>
      <c r="D14" s="40">
        <f>+'Producto 6 Plano 2028'!AE11</f>
        <v>0</v>
      </c>
      <c r="E14" s="157"/>
      <c r="F14" s="54">
        <f>+$E$9*D14</f>
        <v>0</v>
      </c>
      <c r="G14" s="37"/>
      <c r="I14" s="45"/>
      <c r="J14" s="46"/>
      <c r="K14" s="47"/>
      <c r="M14" s="47"/>
    </row>
    <row r="15" spans="2:13">
      <c r="B15" s="38">
        <v>2028</v>
      </c>
      <c r="C15" s="39" t="s">
        <v>19</v>
      </c>
      <c r="D15" s="40">
        <f>+'Producto 6 Plano 2028'!AE12</f>
        <v>0</v>
      </c>
      <c r="E15" s="157"/>
      <c r="F15" s="54">
        <f>+$E$9*D15</f>
        <v>0</v>
      </c>
      <c r="G15" s="37"/>
      <c r="I15" s="45"/>
      <c r="J15" s="46"/>
      <c r="K15" s="47"/>
      <c r="M15" s="47"/>
    </row>
    <row r="16" spans="2:13">
      <c r="B16" s="38">
        <v>2028</v>
      </c>
      <c r="C16" s="39" t="s">
        <v>20</v>
      </c>
      <c r="D16" s="40">
        <f>+'Producto 6 Plano 2028'!AE13</f>
        <v>0</v>
      </c>
      <c r="E16" s="157"/>
      <c r="F16" s="54">
        <f>+$E$9*D16</f>
        <v>0</v>
      </c>
      <c r="G16" s="37"/>
      <c r="I16" s="45"/>
      <c r="J16" s="46"/>
      <c r="K16" s="47"/>
      <c r="M16" s="47"/>
    </row>
    <row r="17" spans="2:13">
      <c r="B17" s="38">
        <v>2028</v>
      </c>
      <c r="C17" s="39" t="s">
        <v>21</v>
      </c>
      <c r="D17" s="40">
        <f>+'Producto 6 Plano 2028'!AE14</f>
        <v>5166072.0000000028</v>
      </c>
      <c r="E17" s="157"/>
      <c r="F17" s="54">
        <f>+$E$9*D17</f>
        <v>0</v>
      </c>
      <c r="G17" s="37"/>
      <c r="I17" s="45"/>
      <c r="J17" s="46"/>
      <c r="K17" s="47"/>
      <c r="M17" s="47"/>
    </row>
    <row r="18" spans="2:13">
      <c r="B18" s="38">
        <v>2028</v>
      </c>
      <c r="C18" s="39" t="s">
        <v>22</v>
      </c>
      <c r="D18" s="40">
        <f>+'Producto 6 Plano 2028'!AE15</f>
        <v>5392266.4800000014</v>
      </c>
      <c r="E18" s="157"/>
      <c r="F18" s="54">
        <f>+$E$9*D18</f>
        <v>0</v>
      </c>
      <c r="G18" s="37"/>
      <c r="I18" s="45"/>
      <c r="J18" s="46"/>
      <c r="K18" s="47"/>
      <c r="M18" s="47"/>
    </row>
    <row r="19" spans="2:13">
      <c r="B19" s="38">
        <v>2028</v>
      </c>
      <c r="C19" s="39" t="s">
        <v>23</v>
      </c>
      <c r="D19" s="40">
        <f>+'Producto 6 Plano 2028'!AE16</f>
        <v>5122152.0000000028</v>
      </c>
      <c r="E19" s="157"/>
      <c r="F19" s="54">
        <f>+$E$9*D19</f>
        <v>0</v>
      </c>
      <c r="G19" s="37"/>
      <c r="I19" s="45"/>
      <c r="J19" s="46"/>
      <c r="K19" s="47"/>
      <c r="M19" s="47"/>
    </row>
    <row r="20" spans="2:13" ht="15" thickBot="1">
      <c r="B20" s="41">
        <v>2028</v>
      </c>
      <c r="C20" s="42" t="s">
        <v>24</v>
      </c>
      <c r="D20" s="43">
        <f>+'Producto 6 Plano 2028'!AE17</f>
        <v>5640182.1600000039</v>
      </c>
      <c r="E20" s="158"/>
      <c r="F20" s="55">
        <f>+$E$9*D20</f>
        <v>0</v>
      </c>
      <c r="G20" s="44"/>
      <c r="I20" s="45"/>
      <c r="J20" s="46"/>
      <c r="K20" s="47"/>
      <c r="M20" s="47"/>
    </row>
    <row r="21" spans="2:13" ht="15" thickBot="1">
      <c r="B21" s="59" t="s">
        <v>62</v>
      </c>
      <c r="C21" s="60"/>
      <c r="D21" s="24">
        <f>+SUM(D9:D20)</f>
        <v>58490442.000000007</v>
      </c>
      <c r="F21" s="159"/>
      <c r="J21" s="31"/>
      <c r="K21" s="48"/>
    </row>
    <row r="22" spans="2:13">
      <c r="D22" s="31"/>
    </row>
    <row r="23" spans="2:13">
      <c r="B23" s="8" t="s">
        <v>30</v>
      </c>
    </row>
    <row r="24" spans="2:13">
      <c r="B24" s="8" t="s">
        <v>31</v>
      </c>
    </row>
    <row r="25" spans="2:13">
      <c r="B25" s="8" t="s">
        <v>32</v>
      </c>
    </row>
    <row r="26" spans="2:13">
      <c r="B26" s="8" t="s">
        <v>33</v>
      </c>
    </row>
    <row r="28" spans="2:13">
      <c r="D28" s="25"/>
    </row>
  </sheetData>
  <mergeCells count="7">
    <mergeCell ref="B21:C21"/>
    <mergeCell ref="B4:G4"/>
    <mergeCell ref="B5:G5"/>
    <mergeCell ref="B6:G6"/>
    <mergeCell ref="B7:G7"/>
    <mergeCell ref="B8:G8"/>
    <mergeCell ref="E9:E2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D704-91A5-4306-BBDD-3C00CE14605F}">
  <dimension ref="B2:AE58"/>
  <sheetViews>
    <sheetView showGridLines="0" zoomScale="90" zoomScaleNormal="90" workbookViewId="0">
      <selection activeCell="U47" sqref="U47"/>
    </sheetView>
  </sheetViews>
  <sheetFormatPr baseColWidth="10" defaultRowHeight="14.5"/>
  <cols>
    <col min="1" max="1" width="1.81640625" style="109" customWidth="1"/>
    <col min="2" max="2" width="10" style="109" customWidth="1"/>
    <col min="3" max="3" width="8.81640625" style="109" bestFit="1" customWidth="1"/>
    <col min="4" max="4" width="9.81640625" style="109" customWidth="1"/>
    <col min="5" max="25" width="8.81640625" style="109" bestFit="1" customWidth="1"/>
    <col min="26" max="26" width="8.81640625" style="109" customWidth="1"/>
    <col min="27" max="27" width="8.81640625" style="109" bestFit="1" customWidth="1"/>
    <col min="28" max="28" width="8.453125" style="109" bestFit="1" customWidth="1"/>
    <col min="29" max="29" width="7.453125" style="109" customWidth="1"/>
    <col min="30" max="30" width="19.1796875" style="109" customWidth="1"/>
    <col min="31" max="31" width="14.90625" style="142" customWidth="1"/>
    <col min="32" max="32" width="17.453125" style="109" bestFit="1" customWidth="1"/>
    <col min="33" max="16384" width="10.90625" style="109"/>
  </cols>
  <sheetData>
    <row r="2" spans="2:31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</row>
    <row r="3" spans="2:31">
      <c r="B3" s="113" t="s">
        <v>66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</row>
    <row r="4" spans="2:31" ht="15" thickBot="1">
      <c r="B4" s="114" t="s">
        <v>53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 spans="2:31" ht="25.5" customHeight="1" thickBot="1">
      <c r="B5" s="144"/>
      <c r="C5" s="115" t="s">
        <v>1</v>
      </c>
      <c r="D5" s="117">
        <v>1</v>
      </c>
      <c r="E5" s="117">
        <v>2</v>
      </c>
      <c r="F5" s="117">
        <v>3</v>
      </c>
      <c r="G5" s="117">
        <v>4</v>
      </c>
      <c r="H5" s="117">
        <v>5</v>
      </c>
      <c r="I5" s="117">
        <v>6</v>
      </c>
      <c r="J5" s="118">
        <v>7</v>
      </c>
      <c r="K5" s="118">
        <v>8</v>
      </c>
      <c r="L5" s="118">
        <v>9</v>
      </c>
      <c r="M5" s="118">
        <v>10</v>
      </c>
      <c r="N5" s="118">
        <v>11</v>
      </c>
      <c r="O5" s="118">
        <v>12</v>
      </c>
      <c r="P5" s="118">
        <v>13</v>
      </c>
      <c r="Q5" s="118">
        <v>14</v>
      </c>
      <c r="R5" s="118">
        <v>15</v>
      </c>
      <c r="S5" s="118">
        <v>16</v>
      </c>
      <c r="T5" s="118">
        <v>17</v>
      </c>
      <c r="U5" s="118">
        <v>18</v>
      </c>
      <c r="V5" s="119">
        <v>19</v>
      </c>
      <c r="W5" s="119">
        <v>20</v>
      </c>
      <c r="X5" s="119">
        <v>21</v>
      </c>
      <c r="Y5" s="117">
        <v>22</v>
      </c>
      <c r="Z5" s="117">
        <v>23</v>
      </c>
      <c r="AA5" s="120">
        <v>24</v>
      </c>
      <c r="AB5" s="121" t="s">
        <v>2</v>
      </c>
      <c r="AC5" s="122" t="s">
        <v>3</v>
      </c>
      <c r="AD5" s="123" t="s">
        <v>2</v>
      </c>
    </row>
    <row r="6" spans="2:31">
      <c r="B6" s="145">
        <v>46753</v>
      </c>
      <c r="C6" s="150" t="s">
        <v>5</v>
      </c>
      <c r="D6" s="2">
        <v>2732.25</v>
      </c>
      <c r="E6" s="1">
        <f>+D6</f>
        <v>2732.25</v>
      </c>
      <c r="F6" s="1">
        <f>+D6</f>
        <v>2732.25</v>
      </c>
      <c r="G6" s="1">
        <f>+D6</f>
        <v>2732.25</v>
      </c>
      <c r="H6" s="1">
        <f>+D6</f>
        <v>2732.25</v>
      </c>
      <c r="I6" s="1">
        <f>+D6</f>
        <v>2732.25</v>
      </c>
      <c r="J6" s="1">
        <f>+D6</f>
        <v>2732.25</v>
      </c>
      <c r="K6" s="1">
        <f>+D6</f>
        <v>2732.25</v>
      </c>
      <c r="L6" s="1">
        <f>+D6</f>
        <v>2732.25</v>
      </c>
      <c r="M6" s="1">
        <f>+D6</f>
        <v>2732.25</v>
      </c>
      <c r="N6" s="1">
        <f>+D6</f>
        <v>2732.25</v>
      </c>
      <c r="O6" s="1">
        <f>+D6</f>
        <v>2732.25</v>
      </c>
      <c r="P6" s="1">
        <f>+D6</f>
        <v>2732.25</v>
      </c>
      <c r="Q6" s="1">
        <f>+D6</f>
        <v>2732.25</v>
      </c>
      <c r="R6" s="1">
        <f>+D6</f>
        <v>2732.25</v>
      </c>
      <c r="S6" s="1">
        <f>+D6</f>
        <v>2732.25</v>
      </c>
      <c r="T6" s="1">
        <f>+D6</f>
        <v>2732.25</v>
      </c>
      <c r="U6" s="1">
        <f>+D6</f>
        <v>2732.25</v>
      </c>
      <c r="V6" s="1">
        <f>+D6</f>
        <v>2732.25</v>
      </c>
      <c r="W6" s="1">
        <f>+D6</f>
        <v>2732.25</v>
      </c>
      <c r="X6" s="1">
        <f>+D6</f>
        <v>2732.25</v>
      </c>
      <c r="Y6" s="1">
        <f>+D6</f>
        <v>2732.25</v>
      </c>
      <c r="Z6" s="1">
        <f>+D6</f>
        <v>2732.25</v>
      </c>
      <c r="AA6" s="1">
        <f>+D6</f>
        <v>2732.25</v>
      </c>
      <c r="AB6" s="126">
        <f t="shared" ref="AB6:AB53" si="0">(SUM(D6:AA6))</f>
        <v>65574</v>
      </c>
      <c r="AC6" s="126">
        <v>20</v>
      </c>
      <c r="AD6" s="127">
        <f>(AB6*AC6)+(AB7*AC7)+(AB8*AC8)+(AB9*AC9)</f>
        <v>2032794</v>
      </c>
      <c r="AE6" s="143">
        <f>+AD6</f>
        <v>2032794</v>
      </c>
    </row>
    <row r="7" spans="2:31">
      <c r="B7" s="146"/>
      <c r="C7" s="151" t="s">
        <v>6</v>
      </c>
      <c r="D7" s="1">
        <f>+D6</f>
        <v>2732.25</v>
      </c>
      <c r="E7" s="1">
        <f>+D6</f>
        <v>2732.25</v>
      </c>
      <c r="F7" s="1">
        <f>+D6</f>
        <v>2732.25</v>
      </c>
      <c r="G7" s="1">
        <f>+D6</f>
        <v>2732.25</v>
      </c>
      <c r="H7" s="1">
        <f>+D6</f>
        <v>2732.25</v>
      </c>
      <c r="I7" s="1">
        <f>+D6</f>
        <v>2732.25</v>
      </c>
      <c r="J7" s="1">
        <f>+D6</f>
        <v>2732.25</v>
      </c>
      <c r="K7" s="1">
        <f>+D6</f>
        <v>2732.25</v>
      </c>
      <c r="L7" s="1">
        <f>+D6</f>
        <v>2732.25</v>
      </c>
      <c r="M7" s="1">
        <f>+D6</f>
        <v>2732.25</v>
      </c>
      <c r="N7" s="1">
        <f>+D6</f>
        <v>2732.25</v>
      </c>
      <c r="O7" s="1">
        <f>+D6</f>
        <v>2732.25</v>
      </c>
      <c r="P7" s="1">
        <f>+D6</f>
        <v>2732.25</v>
      </c>
      <c r="Q7" s="1">
        <f>+D6</f>
        <v>2732.25</v>
      </c>
      <c r="R7" s="1">
        <f>+D6</f>
        <v>2732.25</v>
      </c>
      <c r="S7" s="1">
        <f>+D6</f>
        <v>2732.25</v>
      </c>
      <c r="T7" s="1">
        <f>+D6</f>
        <v>2732.25</v>
      </c>
      <c r="U7" s="1">
        <f>+D6</f>
        <v>2732.25</v>
      </c>
      <c r="V7" s="1">
        <f>+D6</f>
        <v>2732.25</v>
      </c>
      <c r="W7" s="1">
        <f>+D6</f>
        <v>2732.25</v>
      </c>
      <c r="X7" s="1">
        <f>+D6</f>
        <v>2732.25</v>
      </c>
      <c r="Y7" s="1">
        <f>+D6</f>
        <v>2732.25</v>
      </c>
      <c r="Z7" s="1">
        <f>+D6</f>
        <v>2732.25</v>
      </c>
      <c r="AA7" s="1">
        <f>+D6</f>
        <v>2732.25</v>
      </c>
      <c r="AB7" s="130">
        <f t="shared" si="0"/>
        <v>65574</v>
      </c>
      <c r="AC7" s="130">
        <v>4</v>
      </c>
      <c r="AD7" s="131"/>
      <c r="AE7" s="143">
        <f>+AD10</f>
        <v>1901646</v>
      </c>
    </row>
    <row r="8" spans="2:31">
      <c r="B8" s="146"/>
      <c r="C8" s="151" t="s">
        <v>7</v>
      </c>
      <c r="D8" s="1">
        <f>+D6</f>
        <v>2732.25</v>
      </c>
      <c r="E8" s="1">
        <f>+D6</f>
        <v>2732.25</v>
      </c>
      <c r="F8" s="1">
        <f>+D6</f>
        <v>2732.25</v>
      </c>
      <c r="G8" s="1">
        <f>+D6</f>
        <v>2732.25</v>
      </c>
      <c r="H8" s="1">
        <f>+D6</f>
        <v>2732.25</v>
      </c>
      <c r="I8" s="1">
        <f>+D6</f>
        <v>2732.25</v>
      </c>
      <c r="J8" s="1">
        <f>+D6</f>
        <v>2732.25</v>
      </c>
      <c r="K8" s="1">
        <f>+D6</f>
        <v>2732.25</v>
      </c>
      <c r="L8" s="1">
        <f>+D6</f>
        <v>2732.25</v>
      </c>
      <c r="M8" s="1">
        <f>+D6</f>
        <v>2732.25</v>
      </c>
      <c r="N8" s="1">
        <f>+D6</f>
        <v>2732.25</v>
      </c>
      <c r="O8" s="1">
        <f>+D6</f>
        <v>2732.25</v>
      </c>
      <c r="P8" s="1">
        <f>+D6</f>
        <v>2732.25</v>
      </c>
      <c r="Q8" s="1">
        <f>+D6</f>
        <v>2732.25</v>
      </c>
      <c r="R8" s="1">
        <f>+D6</f>
        <v>2732.25</v>
      </c>
      <c r="S8" s="1">
        <f>+D6</f>
        <v>2732.25</v>
      </c>
      <c r="T8" s="1">
        <f>+D6</f>
        <v>2732.25</v>
      </c>
      <c r="U8" s="1">
        <f>+D6</f>
        <v>2732.25</v>
      </c>
      <c r="V8" s="1">
        <f>+D6</f>
        <v>2732.25</v>
      </c>
      <c r="W8" s="1">
        <f>+D6</f>
        <v>2732.25</v>
      </c>
      <c r="X8" s="1">
        <f>+D6</f>
        <v>2732.25</v>
      </c>
      <c r="Y8" s="1">
        <f>+D6</f>
        <v>2732.25</v>
      </c>
      <c r="Z8" s="1">
        <f>+D6</f>
        <v>2732.25</v>
      </c>
      <c r="AA8" s="1">
        <f>+D6</f>
        <v>2732.25</v>
      </c>
      <c r="AB8" s="130">
        <f t="shared" si="0"/>
        <v>65574</v>
      </c>
      <c r="AC8" s="130">
        <v>5</v>
      </c>
      <c r="AD8" s="131"/>
      <c r="AE8" s="143">
        <f>+AD14</f>
        <v>2032794</v>
      </c>
    </row>
    <row r="9" spans="2:31" ht="15" thickBot="1">
      <c r="B9" s="147"/>
      <c r="C9" s="152" t="s">
        <v>8</v>
      </c>
      <c r="D9" s="138">
        <f>+D6</f>
        <v>2732.25</v>
      </c>
      <c r="E9" s="138">
        <f>+D6</f>
        <v>2732.25</v>
      </c>
      <c r="F9" s="138">
        <f>+D6</f>
        <v>2732.25</v>
      </c>
      <c r="G9" s="138">
        <f>+D6</f>
        <v>2732.25</v>
      </c>
      <c r="H9" s="138">
        <f>+D6</f>
        <v>2732.25</v>
      </c>
      <c r="I9" s="138">
        <f>+D6</f>
        <v>2732.25</v>
      </c>
      <c r="J9" s="138">
        <f>+D6</f>
        <v>2732.25</v>
      </c>
      <c r="K9" s="138">
        <f>+D6</f>
        <v>2732.25</v>
      </c>
      <c r="L9" s="138">
        <f>+D6</f>
        <v>2732.25</v>
      </c>
      <c r="M9" s="138">
        <f>+D6</f>
        <v>2732.25</v>
      </c>
      <c r="N9" s="138">
        <f>+D6</f>
        <v>2732.25</v>
      </c>
      <c r="O9" s="138">
        <f>+D6</f>
        <v>2732.25</v>
      </c>
      <c r="P9" s="138">
        <f>+D6</f>
        <v>2732.25</v>
      </c>
      <c r="Q9" s="138">
        <f>+D6</f>
        <v>2732.25</v>
      </c>
      <c r="R9" s="138">
        <f>+D6</f>
        <v>2732.25</v>
      </c>
      <c r="S9" s="138">
        <f>+D6</f>
        <v>2732.25</v>
      </c>
      <c r="T9" s="138">
        <f>+D6</f>
        <v>2732.25</v>
      </c>
      <c r="U9" s="138">
        <f>+D6</f>
        <v>2732.25</v>
      </c>
      <c r="V9" s="138">
        <f>+D6</f>
        <v>2732.25</v>
      </c>
      <c r="W9" s="138">
        <f>+D6</f>
        <v>2732.25</v>
      </c>
      <c r="X9" s="138">
        <f>+D6</f>
        <v>2732.25</v>
      </c>
      <c r="Y9" s="138">
        <f>+D6</f>
        <v>2732.25</v>
      </c>
      <c r="Z9" s="138">
        <f>+D6</f>
        <v>2732.25</v>
      </c>
      <c r="AA9" s="138">
        <f>+D6</f>
        <v>2732.25</v>
      </c>
      <c r="AB9" s="139">
        <f t="shared" si="0"/>
        <v>65574</v>
      </c>
      <c r="AC9" s="139">
        <v>2</v>
      </c>
      <c r="AD9" s="131"/>
      <c r="AE9" s="143">
        <f>+AD18</f>
        <v>1967220</v>
      </c>
    </row>
    <row r="10" spans="2:31">
      <c r="B10" s="145">
        <v>46784</v>
      </c>
      <c r="C10" s="150" t="s">
        <v>5</v>
      </c>
      <c r="D10" s="2">
        <v>2732.25</v>
      </c>
      <c r="E10" s="2">
        <f>+D10</f>
        <v>2732.25</v>
      </c>
      <c r="F10" s="2">
        <f>+D10</f>
        <v>2732.25</v>
      </c>
      <c r="G10" s="2">
        <f>+D10</f>
        <v>2732.25</v>
      </c>
      <c r="H10" s="2">
        <f>+D10</f>
        <v>2732.25</v>
      </c>
      <c r="I10" s="2">
        <f>+D10</f>
        <v>2732.25</v>
      </c>
      <c r="J10" s="2">
        <f>+D10</f>
        <v>2732.25</v>
      </c>
      <c r="K10" s="2">
        <f>+D10</f>
        <v>2732.25</v>
      </c>
      <c r="L10" s="2">
        <f>+D10</f>
        <v>2732.25</v>
      </c>
      <c r="M10" s="2">
        <f>+D10</f>
        <v>2732.25</v>
      </c>
      <c r="N10" s="2">
        <f>+D10</f>
        <v>2732.25</v>
      </c>
      <c r="O10" s="2">
        <f>+D10</f>
        <v>2732.25</v>
      </c>
      <c r="P10" s="2">
        <f>+D10</f>
        <v>2732.25</v>
      </c>
      <c r="Q10" s="2">
        <f>+D10</f>
        <v>2732.25</v>
      </c>
      <c r="R10" s="2">
        <f>+D10</f>
        <v>2732.25</v>
      </c>
      <c r="S10" s="2">
        <f>+D10</f>
        <v>2732.25</v>
      </c>
      <c r="T10" s="2">
        <f>+D10</f>
        <v>2732.25</v>
      </c>
      <c r="U10" s="2">
        <f>+D10</f>
        <v>2732.25</v>
      </c>
      <c r="V10" s="2">
        <f>+D10</f>
        <v>2732.25</v>
      </c>
      <c r="W10" s="2">
        <f>+D10</f>
        <v>2732.25</v>
      </c>
      <c r="X10" s="2">
        <f>+D10</f>
        <v>2732.25</v>
      </c>
      <c r="Y10" s="2">
        <f>+D10</f>
        <v>2732.25</v>
      </c>
      <c r="Z10" s="2">
        <f>+D10</f>
        <v>2732.25</v>
      </c>
      <c r="AA10" s="2">
        <f>+D10</f>
        <v>2732.25</v>
      </c>
      <c r="AB10" s="126">
        <f t="shared" si="0"/>
        <v>65574</v>
      </c>
      <c r="AC10" s="126">
        <v>21</v>
      </c>
      <c r="AD10" s="127">
        <f>(AB10*AC10)+(AB11*AC11)+(AB12*AC12)+(AB13*AC13)</f>
        <v>1901646</v>
      </c>
      <c r="AE10" s="143">
        <f>+AD22</f>
        <v>2032794</v>
      </c>
    </row>
    <row r="11" spans="2:31">
      <c r="B11" s="146"/>
      <c r="C11" s="151" t="s">
        <v>6</v>
      </c>
      <c r="D11" s="1">
        <f>+D10</f>
        <v>2732.25</v>
      </c>
      <c r="E11" s="1">
        <f>+D10</f>
        <v>2732.25</v>
      </c>
      <c r="F11" s="1">
        <f>+D10</f>
        <v>2732.25</v>
      </c>
      <c r="G11" s="1">
        <f>+D10</f>
        <v>2732.25</v>
      </c>
      <c r="H11" s="1">
        <f>+D10</f>
        <v>2732.25</v>
      </c>
      <c r="I11" s="1">
        <f>+D10</f>
        <v>2732.25</v>
      </c>
      <c r="J11" s="1">
        <f>+D10</f>
        <v>2732.25</v>
      </c>
      <c r="K11" s="1">
        <f>+D10</f>
        <v>2732.25</v>
      </c>
      <c r="L11" s="1">
        <f>+D10</f>
        <v>2732.25</v>
      </c>
      <c r="M11" s="1">
        <f>+D10</f>
        <v>2732.25</v>
      </c>
      <c r="N11" s="1">
        <f>+D10</f>
        <v>2732.25</v>
      </c>
      <c r="O11" s="1">
        <f>+D10</f>
        <v>2732.25</v>
      </c>
      <c r="P11" s="1">
        <f>+D10</f>
        <v>2732.25</v>
      </c>
      <c r="Q11" s="1">
        <f>+D10</f>
        <v>2732.25</v>
      </c>
      <c r="R11" s="1">
        <f>+D10</f>
        <v>2732.25</v>
      </c>
      <c r="S11" s="1">
        <f>+D10</f>
        <v>2732.25</v>
      </c>
      <c r="T11" s="1">
        <f>+D10</f>
        <v>2732.25</v>
      </c>
      <c r="U11" s="1">
        <f>+D10</f>
        <v>2732.25</v>
      </c>
      <c r="V11" s="1">
        <f>+D10</f>
        <v>2732.25</v>
      </c>
      <c r="W11" s="1">
        <f>+D10</f>
        <v>2732.25</v>
      </c>
      <c r="X11" s="1">
        <f>+D10</f>
        <v>2732.25</v>
      </c>
      <c r="Y11" s="1">
        <f>+D10</f>
        <v>2732.25</v>
      </c>
      <c r="Z11" s="1">
        <f>+D10</f>
        <v>2732.25</v>
      </c>
      <c r="AA11" s="1">
        <f>+D10</f>
        <v>2732.25</v>
      </c>
      <c r="AB11" s="130">
        <f t="shared" si="0"/>
        <v>65574</v>
      </c>
      <c r="AC11" s="130">
        <v>4</v>
      </c>
      <c r="AD11" s="131"/>
      <c r="AE11" s="143">
        <f>+AD26</f>
        <v>1967220</v>
      </c>
    </row>
    <row r="12" spans="2:31">
      <c r="B12" s="146"/>
      <c r="C12" s="151" t="s">
        <v>7</v>
      </c>
      <c r="D12" s="1">
        <f>+D10</f>
        <v>2732.25</v>
      </c>
      <c r="E12" s="1">
        <f>+D10</f>
        <v>2732.25</v>
      </c>
      <c r="F12" s="1">
        <f>+D10</f>
        <v>2732.25</v>
      </c>
      <c r="G12" s="1">
        <f>+D10</f>
        <v>2732.25</v>
      </c>
      <c r="H12" s="1">
        <f>+D10</f>
        <v>2732.25</v>
      </c>
      <c r="I12" s="1">
        <f>+D10</f>
        <v>2732.25</v>
      </c>
      <c r="J12" s="1">
        <f>+D10</f>
        <v>2732.25</v>
      </c>
      <c r="K12" s="1">
        <f>+D10</f>
        <v>2732.25</v>
      </c>
      <c r="L12" s="1">
        <f>+D10</f>
        <v>2732.25</v>
      </c>
      <c r="M12" s="1">
        <f>+D10</f>
        <v>2732.25</v>
      </c>
      <c r="N12" s="1">
        <f>+D10</f>
        <v>2732.25</v>
      </c>
      <c r="O12" s="1">
        <f>+D10</f>
        <v>2732.25</v>
      </c>
      <c r="P12" s="1">
        <f>+D10</f>
        <v>2732.25</v>
      </c>
      <c r="Q12" s="1">
        <f>+D10</f>
        <v>2732.25</v>
      </c>
      <c r="R12" s="1">
        <f>+D10</f>
        <v>2732.25</v>
      </c>
      <c r="S12" s="1">
        <f>+D10</f>
        <v>2732.25</v>
      </c>
      <c r="T12" s="1">
        <f>+D10</f>
        <v>2732.25</v>
      </c>
      <c r="U12" s="1">
        <f>+D10</f>
        <v>2732.25</v>
      </c>
      <c r="V12" s="1">
        <f>+D10</f>
        <v>2732.25</v>
      </c>
      <c r="W12" s="1">
        <f>+D10</f>
        <v>2732.25</v>
      </c>
      <c r="X12" s="1">
        <f>+D10</f>
        <v>2732.25</v>
      </c>
      <c r="Y12" s="1">
        <f>+D10</f>
        <v>2732.25</v>
      </c>
      <c r="Z12" s="1">
        <f>+D10</f>
        <v>2732.25</v>
      </c>
      <c r="AA12" s="1">
        <f>+D10</f>
        <v>2732.25</v>
      </c>
      <c r="AB12" s="130">
        <f t="shared" si="0"/>
        <v>65574</v>
      </c>
      <c r="AC12" s="130">
        <v>4</v>
      </c>
      <c r="AD12" s="131"/>
      <c r="AE12" s="143">
        <f>+AD30</f>
        <v>2032794</v>
      </c>
    </row>
    <row r="13" spans="2:31" ht="15" thickBot="1">
      <c r="B13" s="148"/>
      <c r="C13" s="153" t="s">
        <v>8</v>
      </c>
      <c r="D13" s="3">
        <f>+D10</f>
        <v>2732.25</v>
      </c>
      <c r="E13" s="3">
        <f>+D10</f>
        <v>2732.25</v>
      </c>
      <c r="F13" s="3">
        <f>+D10</f>
        <v>2732.25</v>
      </c>
      <c r="G13" s="3">
        <f>+D10</f>
        <v>2732.25</v>
      </c>
      <c r="H13" s="3">
        <f>+D10</f>
        <v>2732.25</v>
      </c>
      <c r="I13" s="3">
        <f>+D10</f>
        <v>2732.25</v>
      </c>
      <c r="J13" s="3">
        <f>+D10</f>
        <v>2732.25</v>
      </c>
      <c r="K13" s="3">
        <f>+D10</f>
        <v>2732.25</v>
      </c>
      <c r="L13" s="3">
        <f>+D10</f>
        <v>2732.25</v>
      </c>
      <c r="M13" s="3">
        <f>+D10</f>
        <v>2732.25</v>
      </c>
      <c r="N13" s="3">
        <f>+D10</f>
        <v>2732.25</v>
      </c>
      <c r="O13" s="3">
        <f>+D10</f>
        <v>2732.25</v>
      </c>
      <c r="P13" s="3">
        <f>+D10</f>
        <v>2732.25</v>
      </c>
      <c r="Q13" s="3">
        <f>+D10</f>
        <v>2732.25</v>
      </c>
      <c r="R13" s="3">
        <f>+D10</f>
        <v>2732.25</v>
      </c>
      <c r="S13" s="3">
        <f>+D10</f>
        <v>2732.25</v>
      </c>
      <c r="T13" s="3">
        <f>+D10</f>
        <v>2732.25</v>
      </c>
      <c r="U13" s="3">
        <f>+D10</f>
        <v>2732.25</v>
      </c>
      <c r="V13" s="3">
        <f>+D10</f>
        <v>2732.25</v>
      </c>
      <c r="W13" s="3">
        <f>+D10</f>
        <v>2732.25</v>
      </c>
      <c r="X13" s="3">
        <f>+D10</f>
        <v>2732.25</v>
      </c>
      <c r="Y13" s="3">
        <f>+D10</f>
        <v>2732.25</v>
      </c>
      <c r="Z13" s="3">
        <f>+D10</f>
        <v>2732.25</v>
      </c>
      <c r="AA13" s="3">
        <f>+D10</f>
        <v>2732.25</v>
      </c>
      <c r="AB13" s="134">
        <f t="shared" si="0"/>
        <v>65574</v>
      </c>
      <c r="AC13" s="134">
        <v>0</v>
      </c>
      <c r="AD13" s="135"/>
      <c r="AE13" s="143">
        <f>+AD34</f>
        <v>2032794</v>
      </c>
    </row>
    <row r="14" spans="2:31">
      <c r="B14" s="145">
        <v>46813</v>
      </c>
      <c r="C14" s="150" t="s">
        <v>5</v>
      </c>
      <c r="D14" s="2">
        <v>2732.25</v>
      </c>
      <c r="E14" s="2">
        <f>+D14</f>
        <v>2732.25</v>
      </c>
      <c r="F14" s="2">
        <f>+D14</f>
        <v>2732.25</v>
      </c>
      <c r="G14" s="2">
        <f>+D14</f>
        <v>2732.25</v>
      </c>
      <c r="H14" s="2">
        <f>+D14</f>
        <v>2732.25</v>
      </c>
      <c r="I14" s="2">
        <f>+D14</f>
        <v>2732.25</v>
      </c>
      <c r="J14" s="2">
        <f>+D14</f>
        <v>2732.25</v>
      </c>
      <c r="K14" s="2">
        <f>+D14</f>
        <v>2732.25</v>
      </c>
      <c r="L14" s="2">
        <f>+D14</f>
        <v>2732.25</v>
      </c>
      <c r="M14" s="2">
        <f>+D14</f>
        <v>2732.25</v>
      </c>
      <c r="N14" s="2">
        <f>+D14</f>
        <v>2732.25</v>
      </c>
      <c r="O14" s="2">
        <f>+D14</f>
        <v>2732.25</v>
      </c>
      <c r="P14" s="2">
        <f>+D14</f>
        <v>2732.25</v>
      </c>
      <c r="Q14" s="2">
        <f>+D14</f>
        <v>2732.25</v>
      </c>
      <c r="R14" s="2">
        <f>+D14</f>
        <v>2732.25</v>
      </c>
      <c r="S14" s="2">
        <f>+D14</f>
        <v>2732.25</v>
      </c>
      <c r="T14" s="2">
        <f>+D14</f>
        <v>2732.25</v>
      </c>
      <c r="U14" s="2">
        <f>+D14</f>
        <v>2732.25</v>
      </c>
      <c r="V14" s="2">
        <f>+D14</f>
        <v>2732.25</v>
      </c>
      <c r="W14" s="2">
        <f>+D14</f>
        <v>2732.25</v>
      </c>
      <c r="X14" s="2">
        <f>+D14</f>
        <v>2732.25</v>
      </c>
      <c r="Y14" s="2">
        <f>+D14</f>
        <v>2732.25</v>
      </c>
      <c r="Z14" s="2">
        <f>+D14</f>
        <v>2732.25</v>
      </c>
      <c r="AA14" s="2">
        <f>+D14</f>
        <v>2732.25</v>
      </c>
      <c r="AB14" s="126">
        <f t="shared" si="0"/>
        <v>65574</v>
      </c>
      <c r="AC14" s="126">
        <v>22</v>
      </c>
      <c r="AD14" s="127">
        <f>(AB14*AC14)+(AB15*AC15)+(AB16*AC16)+(AB17*AC17)</f>
        <v>2032794</v>
      </c>
      <c r="AE14" s="143">
        <f>+AD38</f>
        <v>1967220</v>
      </c>
    </row>
    <row r="15" spans="2:31">
      <c r="B15" s="146"/>
      <c r="C15" s="151" t="s">
        <v>6</v>
      </c>
      <c r="D15" s="1">
        <f>+D14</f>
        <v>2732.25</v>
      </c>
      <c r="E15" s="1">
        <f>+D14</f>
        <v>2732.25</v>
      </c>
      <c r="F15" s="1">
        <f>+D14</f>
        <v>2732.25</v>
      </c>
      <c r="G15" s="1">
        <f>+D14</f>
        <v>2732.25</v>
      </c>
      <c r="H15" s="1">
        <f>+D14</f>
        <v>2732.25</v>
      </c>
      <c r="I15" s="1">
        <f>+D14</f>
        <v>2732.25</v>
      </c>
      <c r="J15" s="1">
        <f>+D14</f>
        <v>2732.25</v>
      </c>
      <c r="K15" s="1">
        <f>+D14</f>
        <v>2732.25</v>
      </c>
      <c r="L15" s="1">
        <f>+D14</f>
        <v>2732.25</v>
      </c>
      <c r="M15" s="1">
        <f>+D14</f>
        <v>2732.25</v>
      </c>
      <c r="N15" s="1">
        <f>+D14</f>
        <v>2732.25</v>
      </c>
      <c r="O15" s="1">
        <f>+D14</f>
        <v>2732.25</v>
      </c>
      <c r="P15" s="1">
        <f>+D14</f>
        <v>2732.25</v>
      </c>
      <c r="Q15" s="1">
        <f>+D14</f>
        <v>2732.25</v>
      </c>
      <c r="R15" s="1">
        <f>+D14</f>
        <v>2732.25</v>
      </c>
      <c r="S15" s="1">
        <f>+D14</f>
        <v>2732.25</v>
      </c>
      <c r="T15" s="1">
        <f>+D14</f>
        <v>2732.25</v>
      </c>
      <c r="U15" s="1">
        <f>+D14</f>
        <v>2732.25</v>
      </c>
      <c r="V15" s="1">
        <f>+D14</f>
        <v>2732.25</v>
      </c>
      <c r="W15" s="1">
        <f>+D14</f>
        <v>2732.25</v>
      </c>
      <c r="X15" s="1">
        <f>+D14</f>
        <v>2732.25</v>
      </c>
      <c r="Y15" s="1">
        <f>+D14</f>
        <v>2732.25</v>
      </c>
      <c r="Z15" s="1">
        <f>+D14</f>
        <v>2732.25</v>
      </c>
      <c r="AA15" s="1">
        <f>+D14</f>
        <v>2732.25</v>
      </c>
      <c r="AB15" s="130">
        <f t="shared" si="0"/>
        <v>65574</v>
      </c>
      <c r="AC15" s="130">
        <v>4</v>
      </c>
      <c r="AD15" s="131"/>
      <c r="AE15" s="143">
        <f>+AD42</f>
        <v>2032794</v>
      </c>
    </row>
    <row r="16" spans="2:31">
      <c r="B16" s="146"/>
      <c r="C16" s="151" t="s">
        <v>7</v>
      </c>
      <c r="D16" s="1">
        <f>+D14</f>
        <v>2732.25</v>
      </c>
      <c r="E16" s="1">
        <f>+D14</f>
        <v>2732.25</v>
      </c>
      <c r="F16" s="1">
        <f>+D14</f>
        <v>2732.25</v>
      </c>
      <c r="G16" s="1">
        <f>+D14</f>
        <v>2732.25</v>
      </c>
      <c r="H16" s="1">
        <f>+D14</f>
        <v>2732.25</v>
      </c>
      <c r="I16" s="1">
        <f>+D14</f>
        <v>2732.25</v>
      </c>
      <c r="J16" s="1">
        <f>+D14</f>
        <v>2732.25</v>
      </c>
      <c r="K16" s="1">
        <f>+D14</f>
        <v>2732.25</v>
      </c>
      <c r="L16" s="1">
        <f>+D14</f>
        <v>2732.25</v>
      </c>
      <c r="M16" s="1">
        <f>+D14</f>
        <v>2732.25</v>
      </c>
      <c r="N16" s="1">
        <f>+D14</f>
        <v>2732.25</v>
      </c>
      <c r="O16" s="1">
        <f>+D14</f>
        <v>2732.25</v>
      </c>
      <c r="P16" s="1">
        <f>+D14</f>
        <v>2732.25</v>
      </c>
      <c r="Q16" s="1">
        <f>+D14</f>
        <v>2732.25</v>
      </c>
      <c r="R16" s="1">
        <f>+D14</f>
        <v>2732.25</v>
      </c>
      <c r="S16" s="1">
        <f>+D14</f>
        <v>2732.25</v>
      </c>
      <c r="T16" s="1">
        <f>+D14</f>
        <v>2732.25</v>
      </c>
      <c r="U16" s="1">
        <f>+D14</f>
        <v>2732.25</v>
      </c>
      <c r="V16" s="1">
        <f>+D14</f>
        <v>2732.25</v>
      </c>
      <c r="W16" s="1">
        <f>+D14</f>
        <v>2732.25</v>
      </c>
      <c r="X16" s="1">
        <f>+D14</f>
        <v>2732.25</v>
      </c>
      <c r="Y16" s="1">
        <f>+D14</f>
        <v>2732.25</v>
      </c>
      <c r="Z16" s="1">
        <f>+D14</f>
        <v>2732.25</v>
      </c>
      <c r="AA16" s="1">
        <f>+D14</f>
        <v>2732.25</v>
      </c>
      <c r="AB16" s="130">
        <f t="shared" si="0"/>
        <v>65574</v>
      </c>
      <c r="AC16" s="130">
        <v>4</v>
      </c>
      <c r="AD16" s="131"/>
      <c r="AE16" s="143">
        <f>+AD46</f>
        <v>1967220</v>
      </c>
    </row>
    <row r="17" spans="2:31" ht="15" thickBot="1">
      <c r="B17" s="148"/>
      <c r="C17" s="153" t="s">
        <v>8</v>
      </c>
      <c r="D17" s="3">
        <f>+D14</f>
        <v>2732.25</v>
      </c>
      <c r="E17" s="3">
        <f>+D14</f>
        <v>2732.25</v>
      </c>
      <c r="F17" s="3">
        <f>+D14</f>
        <v>2732.25</v>
      </c>
      <c r="G17" s="3">
        <f>+D14</f>
        <v>2732.25</v>
      </c>
      <c r="H17" s="3">
        <f>+D14</f>
        <v>2732.25</v>
      </c>
      <c r="I17" s="3">
        <f>+D14</f>
        <v>2732.25</v>
      </c>
      <c r="J17" s="3">
        <f>+D14</f>
        <v>2732.25</v>
      </c>
      <c r="K17" s="3">
        <f>+D14</f>
        <v>2732.25</v>
      </c>
      <c r="L17" s="3">
        <f>+D14</f>
        <v>2732.25</v>
      </c>
      <c r="M17" s="3">
        <f>+D14</f>
        <v>2732.25</v>
      </c>
      <c r="N17" s="3">
        <f>+D14</f>
        <v>2732.25</v>
      </c>
      <c r="O17" s="3">
        <f>+D14</f>
        <v>2732.25</v>
      </c>
      <c r="P17" s="3">
        <f>+D14</f>
        <v>2732.25</v>
      </c>
      <c r="Q17" s="3">
        <f>+D14</f>
        <v>2732.25</v>
      </c>
      <c r="R17" s="3">
        <f>+D14</f>
        <v>2732.25</v>
      </c>
      <c r="S17" s="3">
        <f>+D14</f>
        <v>2732.25</v>
      </c>
      <c r="T17" s="3">
        <f>+D14</f>
        <v>2732.25</v>
      </c>
      <c r="U17" s="3">
        <f>+D14</f>
        <v>2732.25</v>
      </c>
      <c r="V17" s="3">
        <f>+D14</f>
        <v>2732.25</v>
      </c>
      <c r="W17" s="3">
        <f>+D14</f>
        <v>2732.25</v>
      </c>
      <c r="X17" s="3">
        <f>+D14</f>
        <v>2732.25</v>
      </c>
      <c r="Y17" s="3">
        <f>+D14</f>
        <v>2732.25</v>
      </c>
      <c r="Z17" s="3">
        <f>+D14</f>
        <v>2732.25</v>
      </c>
      <c r="AA17" s="3">
        <f>+D14</f>
        <v>2732.25</v>
      </c>
      <c r="AB17" s="134">
        <f t="shared" si="0"/>
        <v>65574</v>
      </c>
      <c r="AC17" s="134">
        <v>1</v>
      </c>
      <c r="AD17" s="135"/>
      <c r="AE17" s="143">
        <f>+AD50</f>
        <v>2032794</v>
      </c>
    </row>
    <row r="18" spans="2:31">
      <c r="B18" s="149">
        <v>46844</v>
      </c>
      <c r="C18" s="154" t="s">
        <v>5</v>
      </c>
      <c r="D18" s="2">
        <v>2732.25</v>
      </c>
      <c r="E18" s="140">
        <f>+D18</f>
        <v>2732.25</v>
      </c>
      <c r="F18" s="140">
        <f>+D18</f>
        <v>2732.25</v>
      </c>
      <c r="G18" s="140">
        <f>+D18</f>
        <v>2732.25</v>
      </c>
      <c r="H18" s="140">
        <f>+D18</f>
        <v>2732.25</v>
      </c>
      <c r="I18" s="140">
        <f>+D18</f>
        <v>2732.25</v>
      </c>
      <c r="J18" s="140">
        <f>+D18</f>
        <v>2732.25</v>
      </c>
      <c r="K18" s="140">
        <f>+D18</f>
        <v>2732.25</v>
      </c>
      <c r="L18" s="140">
        <f>+D18</f>
        <v>2732.25</v>
      </c>
      <c r="M18" s="140">
        <f>+D18</f>
        <v>2732.25</v>
      </c>
      <c r="N18" s="140">
        <f>+D18</f>
        <v>2732.25</v>
      </c>
      <c r="O18" s="140">
        <f>+D18</f>
        <v>2732.25</v>
      </c>
      <c r="P18" s="140">
        <f>+D18</f>
        <v>2732.25</v>
      </c>
      <c r="Q18" s="140">
        <f>+D18</f>
        <v>2732.25</v>
      </c>
      <c r="R18" s="140">
        <f>+D18</f>
        <v>2732.25</v>
      </c>
      <c r="S18" s="140">
        <f>+D18</f>
        <v>2732.25</v>
      </c>
      <c r="T18" s="140">
        <f>+D18</f>
        <v>2732.25</v>
      </c>
      <c r="U18" s="140">
        <f>+D18</f>
        <v>2732.25</v>
      </c>
      <c r="V18" s="140">
        <f>+D18</f>
        <v>2732.25</v>
      </c>
      <c r="W18" s="140">
        <f>+D18</f>
        <v>2732.25</v>
      </c>
      <c r="X18" s="140">
        <f>+D18</f>
        <v>2732.25</v>
      </c>
      <c r="Y18" s="140">
        <f>+D18</f>
        <v>2732.25</v>
      </c>
      <c r="Z18" s="140">
        <f>+D18</f>
        <v>2732.25</v>
      </c>
      <c r="AA18" s="140">
        <f>+D18</f>
        <v>2732.25</v>
      </c>
      <c r="AB18" s="141">
        <f t="shared" si="0"/>
        <v>65574</v>
      </c>
      <c r="AC18" s="141">
        <v>18</v>
      </c>
      <c r="AD18" s="131">
        <f>(AB18*AC18)+(AB19*AC19)+(AB20*AC20)+(AB21*AC21)</f>
        <v>1967220</v>
      </c>
      <c r="AE18" s="143"/>
    </row>
    <row r="19" spans="2:31">
      <c r="B19" s="146"/>
      <c r="C19" s="151" t="s">
        <v>6</v>
      </c>
      <c r="D19" s="1">
        <f>+D18</f>
        <v>2732.25</v>
      </c>
      <c r="E19" s="1">
        <f>+D18</f>
        <v>2732.25</v>
      </c>
      <c r="F19" s="1">
        <f>+D18</f>
        <v>2732.25</v>
      </c>
      <c r="G19" s="1">
        <f>+D18</f>
        <v>2732.25</v>
      </c>
      <c r="H19" s="1">
        <f>+D18</f>
        <v>2732.25</v>
      </c>
      <c r="I19" s="1">
        <f>+D18</f>
        <v>2732.25</v>
      </c>
      <c r="J19" s="1">
        <f>+D18</f>
        <v>2732.25</v>
      </c>
      <c r="K19" s="1">
        <f>+D18</f>
        <v>2732.25</v>
      </c>
      <c r="L19" s="1">
        <f>+D18</f>
        <v>2732.25</v>
      </c>
      <c r="M19" s="1">
        <f>+D18</f>
        <v>2732.25</v>
      </c>
      <c r="N19" s="1">
        <f>+D18</f>
        <v>2732.25</v>
      </c>
      <c r="O19" s="1">
        <f>+D18</f>
        <v>2732.25</v>
      </c>
      <c r="P19" s="1">
        <f>+D18</f>
        <v>2732.25</v>
      </c>
      <c r="Q19" s="1">
        <f>+D18</f>
        <v>2732.25</v>
      </c>
      <c r="R19" s="1">
        <f>+D18</f>
        <v>2732.25</v>
      </c>
      <c r="S19" s="1">
        <f>+D18</f>
        <v>2732.25</v>
      </c>
      <c r="T19" s="1">
        <f>+D18</f>
        <v>2732.25</v>
      </c>
      <c r="U19" s="1">
        <f>+D18</f>
        <v>2732.25</v>
      </c>
      <c r="V19" s="1">
        <f>+D18</f>
        <v>2732.25</v>
      </c>
      <c r="W19" s="1">
        <f>+D18</f>
        <v>2732.25</v>
      </c>
      <c r="X19" s="1">
        <f>+D18</f>
        <v>2732.25</v>
      </c>
      <c r="Y19" s="1">
        <f>+D18</f>
        <v>2732.25</v>
      </c>
      <c r="Z19" s="1">
        <f>+D18</f>
        <v>2732.25</v>
      </c>
      <c r="AA19" s="1">
        <f>+D18</f>
        <v>2732.25</v>
      </c>
      <c r="AB19" s="130">
        <f t="shared" si="0"/>
        <v>65574</v>
      </c>
      <c r="AC19" s="130">
        <v>5</v>
      </c>
      <c r="AD19" s="131"/>
      <c r="AE19" s="143"/>
    </row>
    <row r="20" spans="2:31">
      <c r="B20" s="146"/>
      <c r="C20" s="151" t="s">
        <v>7</v>
      </c>
      <c r="D20" s="1">
        <f>+D18</f>
        <v>2732.25</v>
      </c>
      <c r="E20" s="1">
        <f>+D18</f>
        <v>2732.25</v>
      </c>
      <c r="F20" s="1">
        <f>+D18</f>
        <v>2732.25</v>
      </c>
      <c r="G20" s="1">
        <f>+D18</f>
        <v>2732.25</v>
      </c>
      <c r="H20" s="1">
        <f>+D18</f>
        <v>2732.25</v>
      </c>
      <c r="I20" s="1">
        <f>+D18</f>
        <v>2732.25</v>
      </c>
      <c r="J20" s="1">
        <f>+D18</f>
        <v>2732.25</v>
      </c>
      <c r="K20" s="1">
        <f>+D18</f>
        <v>2732.25</v>
      </c>
      <c r="L20" s="1">
        <f>+D18</f>
        <v>2732.25</v>
      </c>
      <c r="M20" s="1">
        <f>+D18</f>
        <v>2732.25</v>
      </c>
      <c r="N20" s="1">
        <f>+D18</f>
        <v>2732.25</v>
      </c>
      <c r="O20" s="1">
        <f>+D18</f>
        <v>2732.25</v>
      </c>
      <c r="P20" s="1">
        <f>+D18</f>
        <v>2732.25</v>
      </c>
      <c r="Q20" s="1">
        <f>+D18</f>
        <v>2732.25</v>
      </c>
      <c r="R20" s="1">
        <f>+D18</f>
        <v>2732.25</v>
      </c>
      <c r="S20" s="1">
        <f>+D18</f>
        <v>2732.25</v>
      </c>
      <c r="T20" s="1">
        <f>+D18</f>
        <v>2732.25</v>
      </c>
      <c r="U20" s="1">
        <f>+D18</f>
        <v>2732.25</v>
      </c>
      <c r="V20" s="1">
        <f>+D18</f>
        <v>2732.25</v>
      </c>
      <c r="W20" s="1">
        <f>+D18</f>
        <v>2732.25</v>
      </c>
      <c r="X20" s="1">
        <f>+D18</f>
        <v>2732.25</v>
      </c>
      <c r="Y20" s="1">
        <f>+D18</f>
        <v>2732.25</v>
      </c>
      <c r="Z20" s="1">
        <f>+D18</f>
        <v>2732.25</v>
      </c>
      <c r="AA20" s="1">
        <f>+D18</f>
        <v>2732.25</v>
      </c>
      <c r="AB20" s="130">
        <f t="shared" si="0"/>
        <v>65574</v>
      </c>
      <c r="AC20" s="130">
        <v>5</v>
      </c>
      <c r="AD20" s="131"/>
      <c r="AE20" s="143"/>
    </row>
    <row r="21" spans="2:31" ht="15" thickBot="1">
      <c r="B21" s="148"/>
      <c r="C21" s="153" t="s">
        <v>8</v>
      </c>
      <c r="D21" s="3">
        <f>+D18</f>
        <v>2732.25</v>
      </c>
      <c r="E21" s="3">
        <f>+D18</f>
        <v>2732.25</v>
      </c>
      <c r="F21" s="3">
        <f>+D18</f>
        <v>2732.25</v>
      </c>
      <c r="G21" s="3">
        <f>+D18</f>
        <v>2732.25</v>
      </c>
      <c r="H21" s="3">
        <f>+D18</f>
        <v>2732.25</v>
      </c>
      <c r="I21" s="3">
        <f>+D18</f>
        <v>2732.25</v>
      </c>
      <c r="J21" s="3">
        <f>+D18</f>
        <v>2732.25</v>
      </c>
      <c r="K21" s="3">
        <f>+D18</f>
        <v>2732.25</v>
      </c>
      <c r="L21" s="3">
        <f>+D18</f>
        <v>2732.25</v>
      </c>
      <c r="M21" s="3">
        <f>+D18</f>
        <v>2732.25</v>
      </c>
      <c r="N21" s="3">
        <f>+D18</f>
        <v>2732.25</v>
      </c>
      <c r="O21" s="3">
        <f>+D18</f>
        <v>2732.25</v>
      </c>
      <c r="P21" s="3">
        <f>+D18</f>
        <v>2732.25</v>
      </c>
      <c r="Q21" s="3">
        <f>+D18</f>
        <v>2732.25</v>
      </c>
      <c r="R21" s="3">
        <f>+D18</f>
        <v>2732.25</v>
      </c>
      <c r="S21" s="3">
        <f>+D18</f>
        <v>2732.25</v>
      </c>
      <c r="T21" s="3">
        <f>+D18</f>
        <v>2732.25</v>
      </c>
      <c r="U21" s="3">
        <f>+D18</f>
        <v>2732.25</v>
      </c>
      <c r="V21" s="3">
        <f>+D18</f>
        <v>2732.25</v>
      </c>
      <c r="W21" s="3">
        <f>+D18</f>
        <v>2732.25</v>
      </c>
      <c r="X21" s="3">
        <f>+D18</f>
        <v>2732.25</v>
      </c>
      <c r="Y21" s="3">
        <f>+D18</f>
        <v>2732.25</v>
      </c>
      <c r="Z21" s="3">
        <f>+D18</f>
        <v>2732.25</v>
      </c>
      <c r="AA21" s="3">
        <f>+D18</f>
        <v>2732.25</v>
      </c>
      <c r="AB21" s="134">
        <f t="shared" si="0"/>
        <v>65574</v>
      </c>
      <c r="AC21" s="134">
        <v>2</v>
      </c>
      <c r="AD21" s="135"/>
      <c r="AE21" s="143"/>
    </row>
    <row r="22" spans="2:31">
      <c r="B22" s="145">
        <v>46874</v>
      </c>
      <c r="C22" s="150" t="s">
        <v>5</v>
      </c>
      <c r="D22" s="2">
        <v>2732.25</v>
      </c>
      <c r="E22" s="2">
        <f t="shared" ref="E22" si="1">+D22</f>
        <v>2732.25</v>
      </c>
      <c r="F22" s="2">
        <f t="shared" ref="F22:F33" si="2">+D22</f>
        <v>2732.25</v>
      </c>
      <c r="G22" s="2">
        <f t="shared" ref="G22:G33" si="3">+D22</f>
        <v>2732.25</v>
      </c>
      <c r="H22" s="2">
        <f t="shared" ref="H22:H33" si="4">+D22</f>
        <v>2732.25</v>
      </c>
      <c r="I22" s="2">
        <f t="shared" ref="I22:I33" si="5">+D22</f>
        <v>2732.25</v>
      </c>
      <c r="J22" s="2">
        <f t="shared" ref="J22:J33" si="6">+D22</f>
        <v>2732.25</v>
      </c>
      <c r="K22" s="2">
        <f t="shared" ref="K22:K33" si="7">+D22</f>
        <v>2732.25</v>
      </c>
      <c r="L22" s="2">
        <f t="shared" ref="L22:L33" si="8">+D22</f>
        <v>2732.25</v>
      </c>
      <c r="M22" s="2">
        <f t="shared" ref="M22:M33" si="9">+D22</f>
        <v>2732.25</v>
      </c>
      <c r="N22" s="2">
        <f t="shared" ref="N22:N33" si="10">+D22</f>
        <v>2732.25</v>
      </c>
      <c r="O22" s="2">
        <f t="shared" ref="O22:O33" si="11">+D22</f>
        <v>2732.25</v>
      </c>
      <c r="P22" s="2">
        <f t="shared" ref="P22:P33" si="12">+D22</f>
        <v>2732.25</v>
      </c>
      <c r="Q22" s="2">
        <f t="shared" ref="Q22:Q33" si="13">+D22</f>
        <v>2732.25</v>
      </c>
      <c r="R22" s="2">
        <f t="shared" ref="R22:R33" si="14">+D22</f>
        <v>2732.25</v>
      </c>
      <c r="S22" s="2">
        <f t="shared" ref="S22:S33" si="15">+D22</f>
        <v>2732.25</v>
      </c>
      <c r="T22" s="2">
        <f t="shared" ref="T22:T33" si="16">+D22</f>
        <v>2732.25</v>
      </c>
      <c r="U22" s="2">
        <f t="shared" ref="U22:U33" si="17">+D22</f>
        <v>2732.25</v>
      </c>
      <c r="V22" s="2">
        <f t="shared" ref="V22:V33" si="18">+D22</f>
        <v>2732.25</v>
      </c>
      <c r="W22" s="2">
        <f t="shared" ref="W22:W33" si="19">+D22</f>
        <v>2732.25</v>
      </c>
      <c r="X22" s="2">
        <f t="shared" ref="X22:X33" si="20">+D22</f>
        <v>2732.25</v>
      </c>
      <c r="Y22" s="2">
        <f t="shared" ref="Y22:Y33" si="21">+D22</f>
        <v>2732.25</v>
      </c>
      <c r="Z22" s="2">
        <f t="shared" ref="Z22:Z33" si="22">+D22</f>
        <v>2732.25</v>
      </c>
      <c r="AA22" s="4">
        <f t="shared" ref="AA22:AA33" si="23">+D22</f>
        <v>2732.25</v>
      </c>
      <c r="AB22" s="126">
        <f t="shared" si="0"/>
        <v>65574</v>
      </c>
      <c r="AC22" s="126">
        <v>21</v>
      </c>
      <c r="AD22" s="127">
        <f>(AB22*AC22)+(AB23*AC23)+(AB24*AC24)+(AB25*AC25)</f>
        <v>2032794</v>
      </c>
      <c r="AE22" s="143"/>
    </row>
    <row r="23" spans="2:31">
      <c r="B23" s="146"/>
      <c r="C23" s="151" t="s">
        <v>6</v>
      </c>
      <c r="D23" s="1">
        <f t="shared" ref="D23:D33" si="24">+D22</f>
        <v>2732.25</v>
      </c>
      <c r="E23" s="1">
        <f t="shared" ref="E23:E33" si="25">+D22</f>
        <v>2732.25</v>
      </c>
      <c r="F23" s="1">
        <f t="shared" ref="F23:F33" si="26">+D22</f>
        <v>2732.25</v>
      </c>
      <c r="G23" s="1">
        <f t="shared" ref="G23:G33" si="27">+D22</f>
        <v>2732.25</v>
      </c>
      <c r="H23" s="1">
        <f t="shared" ref="H23:H33" si="28">+D22</f>
        <v>2732.25</v>
      </c>
      <c r="I23" s="1">
        <f t="shared" ref="I23:I33" si="29">+D22</f>
        <v>2732.25</v>
      </c>
      <c r="J23" s="1">
        <f t="shared" ref="J23:J33" si="30">+D22</f>
        <v>2732.25</v>
      </c>
      <c r="K23" s="1">
        <f t="shared" ref="K23:K33" si="31">+D22</f>
        <v>2732.25</v>
      </c>
      <c r="L23" s="1">
        <f t="shared" ref="L23:L33" si="32">+D22</f>
        <v>2732.25</v>
      </c>
      <c r="M23" s="1">
        <f t="shared" ref="M23:M33" si="33">+D22</f>
        <v>2732.25</v>
      </c>
      <c r="N23" s="1">
        <f t="shared" ref="N23:N33" si="34">+D22</f>
        <v>2732.25</v>
      </c>
      <c r="O23" s="1">
        <f t="shared" ref="O23:O33" si="35">+D22</f>
        <v>2732.25</v>
      </c>
      <c r="P23" s="1">
        <f t="shared" ref="P23:P33" si="36">+D22</f>
        <v>2732.25</v>
      </c>
      <c r="Q23" s="1">
        <f t="shared" ref="Q23:Q33" si="37">+D22</f>
        <v>2732.25</v>
      </c>
      <c r="R23" s="1">
        <f t="shared" ref="R23:R33" si="38">+D22</f>
        <v>2732.25</v>
      </c>
      <c r="S23" s="1">
        <f t="shared" ref="S23:S33" si="39">+D22</f>
        <v>2732.25</v>
      </c>
      <c r="T23" s="1">
        <f t="shared" ref="T23:T33" si="40">+D22</f>
        <v>2732.25</v>
      </c>
      <c r="U23" s="1">
        <f t="shared" ref="U23:U33" si="41">+D22</f>
        <v>2732.25</v>
      </c>
      <c r="V23" s="1">
        <f t="shared" ref="V23:V33" si="42">+D22</f>
        <v>2732.25</v>
      </c>
      <c r="W23" s="1">
        <f t="shared" ref="W23:W33" si="43">+D22</f>
        <v>2732.25</v>
      </c>
      <c r="X23" s="1">
        <f t="shared" ref="X23:X33" si="44">+D22</f>
        <v>2732.25</v>
      </c>
      <c r="Y23" s="1">
        <f t="shared" ref="Y23:Y33" si="45">+D22</f>
        <v>2732.25</v>
      </c>
      <c r="Z23" s="1">
        <f t="shared" ref="Z23:Z33" si="46">+D22</f>
        <v>2732.25</v>
      </c>
      <c r="AA23" s="5">
        <f t="shared" ref="AA23:AA33" si="47">+D22</f>
        <v>2732.25</v>
      </c>
      <c r="AB23" s="130">
        <f t="shared" si="0"/>
        <v>65574</v>
      </c>
      <c r="AC23" s="130">
        <v>4</v>
      </c>
      <c r="AD23" s="131"/>
      <c r="AE23" s="143"/>
    </row>
    <row r="24" spans="2:31">
      <c r="B24" s="146"/>
      <c r="C24" s="151" t="s">
        <v>7</v>
      </c>
      <c r="D24" s="1">
        <f t="shared" ref="D24" si="48">+D22</f>
        <v>2732.25</v>
      </c>
      <c r="E24" s="1">
        <f t="shared" ref="E24" si="49">+D22</f>
        <v>2732.25</v>
      </c>
      <c r="F24" s="1">
        <f t="shared" ref="F24" si="50">+D22</f>
        <v>2732.25</v>
      </c>
      <c r="G24" s="1">
        <f t="shared" ref="G24" si="51">+D22</f>
        <v>2732.25</v>
      </c>
      <c r="H24" s="1">
        <f t="shared" ref="H24" si="52">+D22</f>
        <v>2732.25</v>
      </c>
      <c r="I24" s="1">
        <f t="shared" ref="I24" si="53">+D22</f>
        <v>2732.25</v>
      </c>
      <c r="J24" s="1">
        <f t="shared" ref="J24" si="54">+D22</f>
        <v>2732.25</v>
      </c>
      <c r="K24" s="1">
        <f t="shared" ref="K24" si="55">+D22</f>
        <v>2732.25</v>
      </c>
      <c r="L24" s="1">
        <f t="shared" ref="L24" si="56">+D22</f>
        <v>2732.25</v>
      </c>
      <c r="M24" s="1">
        <f t="shared" ref="M24" si="57">+D22</f>
        <v>2732.25</v>
      </c>
      <c r="N24" s="1">
        <f t="shared" ref="N24" si="58">+D22</f>
        <v>2732.25</v>
      </c>
      <c r="O24" s="1">
        <f t="shared" ref="O24" si="59">+D22</f>
        <v>2732.25</v>
      </c>
      <c r="P24" s="1">
        <f t="shared" ref="P24" si="60">+D22</f>
        <v>2732.25</v>
      </c>
      <c r="Q24" s="1">
        <f t="shared" ref="Q24" si="61">+D22</f>
        <v>2732.25</v>
      </c>
      <c r="R24" s="1">
        <f t="shared" ref="R24" si="62">+D22</f>
        <v>2732.25</v>
      </c>
      <c r="S24" s="1">
        <f t="shared" ref="S24" si="63">+D22</f>
        <v>2732.25</v>
      </c>
      <c r="T24" s="1">
        <f t="shared" ref="T24" si="64">+D22</f>
        <v>2732.25</v>
      </c>
      <c r="U24" s="1">
        <f t="shared" ref="U24" si="65">+D22</f>
        <v>2732.25</v>
      </c>
      <c r="V24" s="1">
        <f t="shared" ref="V24" si="66">+D22</f>
        <v>2732.25</v>
      </c>
      <c r="W24" s="1">
        <f t="shared" ref="W24" si="67">+D22</f>
        <v>2732.25</v>
      </c>
      <c r="X24" s="1">
        <f t="shared" ref="X24" si="68">+D22</f>
        <v>2732.25</v>
      </c>
      <c r="Y24" s="1">
        <f t="shared" ref="Y24" si="69">+D22</f>
        <v>2732.25</v>
      </c>
      <c r="Z24" s="1">
        <f t="shared" ref="Z24" si="70">+D22</f>
        <v>2732.25</v>
      </c>
      <c r="AA24" s="5">
        <f t="shared" ref="AA24" si="71">+D22</f>
        <v>2732.25</v>
      </c>
      <c r="AB24" s="130">
        <f t="shared" si="0"/>
        <v>65574</v>
      </c>
      <c r="AC24" s="130">
        <v>4</v>
      </c>
      <c r="AD24" s="131"/>
      <c r="AE24" s="143"/>
    </row>
    <row r="25" spans="2:31" ht="15" thickBot="1">
      <c r="B25" s="148"/>
      <c r="C25" s="153" t="s">
        <v>8</v>
      </c>
      <c r="D25" s="3">
        <f t="shared" ref="D25" si="72">+D22</f>
        <v>2732.25</v>
      </c>
      <c r="E25" s="3">
        <f t="shared" ref="E25" si="73">+D22</f>
        <v>2732.25</v>
      </c>
      <c r="F25" s="3">
        <f t="shared" ref="F25" si="74">+D22</f>
        <v>2732.25</v>
      </c>
      <c r="G25" s="3">
        <f t="shared" ref="G25" si="75">+D22</f>
        <v>2732.25</v>
      </c>
      <c r="H25" s="3">
        <f t="shared" ref="H25" si="76">+D22</f>
        <v>2732.25</v>
      </c>
      <c r="I25" s="3">
        <f t="shared" ref="I25" si="77">+D22</f>
        <v>2732.25</v>
      </c>
      <c r="J25" s="3">
        <f t="shared" ref="J25" si="78">+D22</f>
        <v>2732.25</v>
      </c>
      <c r="K25" s="3">
        <f t="shared" ref="K25" si="79">+D22</f>
        <v>2732.25</v>
      </c>
      <c r="L25" s="3">
        <f t="shared" ref="L25" si="80">+D22</f>
        <v>2732.25</v>
      </c>
      <c r="M25" s="3">
        <f t="shared" ref="M25" si="81">+D22</f>
        <v>2732.25</v>
      </c>
      <c r="N25" s="3">
        <f t="shared" ref="N25" si="82">+D22</f>
        <v>2732.25</v>
      </c>
      <c r="O25" s="3">
        <f t="shared" ref="O25" si="83">+D22</f>
        <v>2732.25</v>
      </c>
      <c r="P25" s="3">
        <f t="shared" ref="P25" si="84">+D22</f>
        <v>2732.25</v>
      </c>
      <c r="Q25" s="3">
        <f t="shared" ref="Q25" si="85">+D22</f>
        <v>2732.25</v>
      </c>
      <c r="R25" s="3">
        <f t="shared" ref="R25" si="86">+D22</f>
        <v>2732.25</v>
      </c>
      <c r="S25" s="3">
        <f t="shared" ref="S25" si="87">+D22</f>
        <v>2732.25</v>
      </c>
      <c r="T25" s="3">
        <f t="shared" ref="T25" si="88">+D22</f>
        <v>2732.25</v>
      </c>
      <c r="U25" s="3">
        <f t="shared" ref="U25" si="89">+D22</f>
        <v>2732.25</v>
      </c>
      <c r="V25" s="3">
        <f t="shared" ref="V25" si="90">+D22</f>
        <v>2732.25</v>
      </c>
      <c r="W25" s="3">
        <f t="shared" ref="W25" si="91">+D22</f>
        <v>2732.25</v>
      </c>
      <c r="X25" s="3">
        <f t="shared" ref="X25" si="92">+D22</f>
        <v>2732.25</v>
      </c>
      <c r="Y25" s="3">
        <f t="shared" ref="Y25" si="93">+D22</f>
        <v>2732.25</v>
      </c>
      <c r="Z25" s="3">
        <f t="shared" ref="Z25" si="94">+D22</f>
        <v>2732.25</v>
      </c>
      <c r="AA25" s="6">
        <f t="shared" ref="AA25" si="95">+D22</f>
        <v>2732.25</v>
      </c>
      <c r="AB25" s="134">
        <f t="shared" si="0"/>
        <v>65574</v>
      </c>
      <c r="AC25" s="134">
        <v>2</v>
      </c>
      <c r="AD25" s="135"/>
      <c r="AE25" s="143"/>
    </row>
    <row r="26" spans="2:31">
      <c r="B26" s="145">
        <v>46905</v>
      </c>
      <c r="C26" s="150" t="s">
        <v>5</v>
      </c>
      <c r="D26" s="2">
        <v>2732.25</v>
      </c>
      <c r="E26" s="2">
        <f t="shared" ref="E26" si="96">+D26</f>
        <v>2732.25</v>
      </c>
      <c r="F26" s="2">
        <f t="shared" ref="F26:F33" si="97">+D26</f>
        <v>2732.25</v>
      </c>
      <c r="G26" s="2">
        <f t="shared" ref="G26:G33" si="98">+D26</f>
        <v>2732.25</v>
      </c>
      <c r="H26" s="2">
        <f t="shared" ref="H26:H33" si="99">+D26</f>
        <v>2732.25</v>
      </c>
      <c r="I26" s="2">
        <f t="shared" ref="I26:I33" si="100">+D26</f>
        <v>2732.25</v>
      </c>
      <c r="J26" s="2">
        <f t="shared" ref="J26:J33" si="101">+D26</f>
        <v>2732.25</v>
      </c>
      <c r="K26" s="2">
        <f t="shared" ref="K26:K33" si="102">+D26</f>
        <v>2732.25</v>
      </c>
      <c r="L26" s="2">
        <f t="shared" ref="L26:L33" si="103">+D26</f>
        <v>2732.25</v>
      </c>
      <c r="M26" s="2">
        <f t="shared" ref="M26:M33" si="104">+D26</f>
        <v>2732.25</v>
      </c>
      <c r="N26" s="2">
        <f t="shared" ref="N26:N33" si="105">+D26</f>
        <v>2732.25</v>
      </c>
      <c r="O26" s="2">
        <f t="shared" ref="O26:O33" si="106">+D26</f>
        <v>2732.25</v>
      </c>
      <c r="P26" s="2">
        <f t="shared" ref="P26:P33" si="107">+D26</f>
        <v>2732.25</v>
      </c>
      <c r="Q26" s="2">
        <f t="shared" ref="Q26:Q33" si="108">+D26</f>
        <v>2732.25</v>
      </c>
      <c r="R26" s="2">
        <f t="shared" ref="R26:R33" si="109">+D26</f>
        <v>2732.25</v>
      </c>
      <c r="S26" s="2">
        <f t="shared" ref="S26:S33" si="110">+D26</f>
        <v>2732.25</v>
      </c>
      <c r="T26" s="2">
        <f t="shared" ref="T26:T33" si="111">+D26</f>
        <v>2732.25</v>
      </c>
      <c r="U26" s="2">
        <f t="shared" ref="U26:U33" si="112">+D26</f>
        <v>2732.25</v>
      </c>
      <c r="V26" s="2">
        <f t="shared" ref="V26:V33" si="113">+D26</f>
        <v>2732.25</v>
      </c>
      <c r="W26" s="2">
        <f t="shared" ref="W26:W33" si="114">+D26</f>
        <v>2732.25</v>
      </c>
      <c r="X26" s="2">
        <f t="shared" ref="X26:X33" si="115">+D26</f>
        <v>2732.25</v>
      </c>
      <c r="Y26" s="2">
        <f t="shared" ref="Y26:Y33" si="116">+D26</f>
        <v>2732.25</v>
      </c>
      <c r="Z26" s="2">
        <f t="shared" ref="Z26:Z33" si="117">+D26</f>
        <v>2732.25</v>
      </c>
      <c r="AA26" s="4">
        <f t="shared" ref="AA26:AA33" si="118">+D26</f>
        <v>2732.25</v>
      </c>
      <c r="AB26" s="126">
        <f t="shared" si="0"/>
        <v>65574</v>
      </c>
      <c r="AC26" s="126">
        <v>20</v>
      </c>
      <c r="AD26" s="127">
        <f>(AB26*AC26)+(AB27*AC27)+(AB28*AC28)+(AB29*AC29)</f>
        <v>1967220</v>
      </c>
      <c r="AE26" s="143"/>
    </row>
    <row r="27" spans="2:31">
      <c r="B27" s="146"/>
      <c r="C27" s="151" t="s">
        <v>6</v>
      </c>
      <c r="D27" s="1">
        <f t="shared" ref="D27:D33" si="119">+D26</f>
        <v>2732.25</v>
      </c>
      <c r="E27" s="1">
        <f t="shared" ref="E27:E33" si="120">+D26</f>
        <v>2732.25</v>
      </c>
      <c r="F27" s="1">
        <f t="shared" ref="F27:F33" si="121">+D26</f>
        <v>2732.25</v>
      </c>
      <c r="G27" s="1">
        <f t="shared" ref="G27:G33" si="122">+D26</f>
        <v>2732.25</v>
      </c>
      <c r="H27" s="1">
        <f t="shared" ref="H27:H33" si="123">+D26</f>
        <v>2732.25</v>
      </c>
      <c r="I27" s="1">
        <f t="shared" ref="I27:I33" si="124">+D26</f>
        <v>2732.25</v>
      </c>
      <c r="J27" s="1">
        <f t="shared" ref="J27:J33" si="125">+D26</f>
        <v>2732.25</v>
      </c>
      <c r="K27" s="1">
        <f t="shared" ref="K27:K33" si="126">+D26</f>
        <v>2732.25</v>
      </c>
      <c r="L27" s="1">
        <f t="shared" ref="L27:L33" si="127">+D26</f>
        <v>2732.25</v>
      </c>
      <c r="M27" s="1">
        <f t="shared" ref="M27:M33" si="128">+D26</f>
        <v>2732.25</v>
      </c>
      <c r="N27" s="1">
        <f t="shared" ref="N27:N33" si="129">+D26</f>
        <v>2732.25</v>
      </c>
      <c r="O27" s="1">
        <f t="shared" ref="O27:O33" si="130">+D26</f>
        <v>2732.25</v>
      </c>
      <c r="P27" s="1">
        <f t="shared" ref="P27:P33" si="131">+D26</f>
        <v>2732.25</v>
      </c>
      <c r="Q27" s="1">
        <f t="shared" ref="Q27:Q33" si="132">+D26</f>
        <v>2732.25</v>
      </c>
      <c r="R27" s="1">
        <f t="shared" ref="R27:R33" si="133">+D26</f>
        <v>2732.25</v>
      </c>
      <c r="S27" s="1">
        <f t="shared" ref="S27:S33" si="134">+D26</f>
        <v>2732.25</v>
      </c>
      <c r="T27" s="1">
        <f t="shared" ref="T27:T33" si="135">+D26</f>
        <v>2732.25</v>
      </c>
      <c r="U27" s="1">
        <f t="shared" ref="U27:U33" si="136">+D26</f>
        <v>2732.25</v>
      </c>
      <c r="V27" s="1">
        <f t="shared" ref="V27:V33" si="137">+D26</f>
        <v>2732.25</v>
      </c>
      <c r="W27" s="1">
        <f t="shared" ref="W27:W33" si="138">+D26</f>
        <v>2732.25</v>
      </c>
      <c r="X27" s="1">
        <f t="shared" ref="X27:X33" si="139">+D26</f>
        <v>2732.25</v>
      </c>
      <c r="Y27" s="1">
        <f t="shared" ref="Y27:Y33" si="140">+D26</f>
        <v>2732.25</v>
      </c>
      <c r="Z27" s="1">
        <f t="shared" ref="Z27:Z33" si="141">+D26</f>
        <v>2732.25</v>
      </c>
      <c r="AA27" s="5">
        <f t="shared" ref="AA27:AA33" si="142">+D26</f>
        <v>2732.25</v>
      </c>
      <c r="AB27" s="130">
        <f t="shared" si="0"/>
        <v>65574</v>
      </c>
      <c r="AC27" s="130">
        <v>4</v>
      </c>
      <c r="AD27" s="131"/>
      <c r="AE27" s="143"/>
    </row>
    <row r="28" spans="2:31">
      <c r="B28" s="146"/>
      <c r="C28" s="151" t="s">
        <v>7</v>
      </c>
      <c r="D28" s="1">
        <f t="shared" ref="D28" si="143">+D26</f>
        <v>2732.25</v>
      </c>
      <c r="E28" s="1">
        <f t="shared" ref="E28" si="144">+D26</f>
        <v>2732.25</v>
      </c>
      <c r="F28" s="1">
        <f t="shared" ref="F28" si="145">+D26</f>
        <v>2732.25</v>
      </c>
      <c r="G28" s="1">
        <f t="shared" ref="G28" si="146">+D26</f>
        <v>2732.25</v>
      </c>
      <c r="H28" s="1">
        <f t="shared" ref="H28" si="147">+D26</f>
        <v>2732.25</v>
      </c>
      <c r="I28" s="1">
        <f t="shared" ref="I28" si="148">+D26</f>
        <v>2732.25</v>
      </c>
      <c r="J28" s="1">
        <f t="shared" ref="J28" si="149">+D26</f>
        <v>2732.25</v>
      </c>
      <c r="K28" s="1">
        <f t="shared" ref="K28" si="150">+D26</f>
        <v>2732.25</v>
      </c>
      <c r="L28" s="1">
        <f t="shared" ref="L28" si="151">+D26</f>
        <v>2732.25</v>
      </c>
      <c r="M28" s="1">
        <f t="shared" ref="M28" si="152">+D26</f>
        <v>2732.25</v>
      </c>
      <c r="N28" s="1">
        <f t="shared" ref="N28" si="153">+D26</f>
        <v>2732.25</v>
      </c>
      <c r="O28" s="1">
        <f t="shared" ref="O28" si="154">+D26</f>
        <v>2732.25</v>
      </c>
      <c r="P28" s="1">
        <f t="shared" ref="P28" si="155">+D26</f>
        <v>2732.25</v>
      </c>
      <c r="Q28" s="1">
        <f t="shared" ref="Q28" si="156">+D26</f>
        <v>2732.25</v>
      </c>
      <c r="R28" s="1">
        <f t="shared" ref="R28" si="157">+D26</f>
        <v>2732.25</v>
      </c>
      <c r="S28" s="1">
        <f t="shared" ref="S28" si="158">+D26</f>
        <v>2732.25</v>
      </c>
      <c r="T28" s="1">
        <f t="shared" ref="T28" si="159">+D26</f>
        <v>2732.25</v>
      </c>
      <c r="U28" s="1">
        <f t="shared" ref="U28" si="160">+D26</f>
        <v>2732.25</v>
      </c>
      <c r="V28" s="1">
        <f t="shared" ref="V28" si="161">+D26</f>
        <v>2732.25</v>
      </c>
      <c r="W28" s="1">
        <f t="shared" ref="W28" si="162">+D26</f>
        <v>2732.25</v>
      </c>
      <c r="X28" s="1">
        <f t="shared" ref="X28" si="163">+D26</f>
        <v>2732.25</v>
      </c>
      <c r="Y28" s="1">
        <f t="shared" ref="Y28" si="164">+D26</f>
        <v>2732.25</v>
      </c>
      <c r="Z28" s="1">
        <f t="shared" ref="Z28" si="165">+D26</f>
        <v>2732.25</v>
      </c>
      <c r="AA28" s="5">
        <f t="shared" ref="AA28" si="166">+D26</f>
        <v>2732.25</v>
      </c>
      <c r="AB28" s="130">
        <f t="shared" si="0"/>
        <v>65574</v>
      </c>
      <c r="AC28" s="130">
        <v>4</v>
      </c>
      <c r="AD28" s="131"/>
      <c r="AE28" s="143"/>
    </row>
    <row r="29" spans="2:31" ht="15" thickBot="1">
      <c r="B29" s="148"/>
      <c r="C29" s="153" t="s">
        <v>8</v>
      </c>
      <c r="D29" s="3">
        <f t="shared" ref="D29" si="167">+D26</f>
        <v>2732.25</v>
      </c>
      <c r="E29" s="3">
        <f t="shared" ref="E29" si="168">+D26</f>
        <v>2732.25</v>
      </c>
      <c r="F29" s="3">
        <f t="shared" ref="F29" si="169">+D26</f>
        <v>2732.25</v>
      </c>
      <c r="G29" s="3">
        <f t="shared" ref="G29" si="170">+D26</f>
        <v>2732.25</v>
      </c>
      <c r="H29" s="3">
        <f t="shared" ref="H29" si="171">+D26</f>
        <v>2732.25</v>
      </c>
      <c r="I29" s="3">
        <f t="shared" ref="I29" si="172">+D26</f>
        <v>2732.25</v>
      </c>
      <c r="J29" s="3">
        <f t="shared" ref="J29" si="173">+D26</f>
        <v>2732.25</v>
      </c>
      <c r="K29" s="3">
        <f t="shared" ref="K29" si="174">+D26</f>
        <v>2732.25</v>
      </c>
      <c r="L29" s="3">
        <f t="shared" ref="L29" si="175">+D26</f>
        <v>2732.25</v>
      </c>
      <c r="M29" s="3">
        <f t="shared" ref="M29" si="176">+D26</f>
        <v>2732.25</v>
      </c>
      <c r="N29" s="3">
        <f t="shared" ref="N29" si="177">+D26</f>
        <v>2732.25</v>
      </c>
      <c r="O29" s="3">
        <f t="shared" ref="O29" si="178">+D26</f>
        <v>2732.25</v>
      </c>
      <c r="P29" s="3">
        <f t="shared" ref="P29" si="179">+D26</f>
        <v>2732.25</v>
      </c>
      <c r="Q29" s="3">
        <f t="shared" ref="Q29" si="180">+D26</f>
        <v>2732.25</v>
      </c>
      <c r="R29" s="3">
        <f t="shared" ref="R29" si="181">+D26</f>
        <v>2732.25</v>
      </c>
      <c r="S29" s="3">
        <f t="shared" ref="S29" si="182">+D26</f>
        <v>2732.25</v>
      </c>
      <c r="T29" s="3">
        <f t="shared" ref="T29" si="183">+D26</f>
        <v>2732.25</v>
      </c>
      <c r="U29" s="3">
        <f t="shared" ref="U29" si="184">+D26</f>
        <v>2732.25</v>
      </c>
      <c r="V29" s="3">
        <f t="shared" ref="V29" si="185">+D26</f>
        <v>2732.25</v>
      </c>
      <c r="W29" s="3">
        <f t="shared" ref="W29" si="186">+D26</f>
        <v>2732.25</v>
      </c>
      <c r="X29" s="3">
        <f t="shared" ref="X29" si="187">+D26</f>
        <v>2732.25</v>
      </c>
      <c r="Y29" s="3">
        <f t="shared" ref="Y29" si="188">+D26</f>
        <v>2732.25</v>
      </c>
      <c r="Z29" s="3">
        <f t="shared" ref="Z29" si="189">+D26</f>
        <v>2732.25</v>
      </c>
      <c r="AA29" s="6">
        <f t="shared" ref="AA29" si="190">+D26</f>
        <v>2732.25</v>
      </c>
      <c r="AB29" s="134">
        <f t="shared" si="0"/>
        <v>65574</v>
      </c>
      <c r="AC29" s="134">
        <v>2</v>
      </c>
      <c r="AD29" s="135"/>
      <c r="AE29" s="143"/>
    </row>
    <row r="30" spans="2:31">
      <c r="B30" s="145">
        <v>46935</v>
      </c>
      <c r="C30" s="150" t="s">
        <v>5</v>
      </c>
      <c r="D30" s="2">
        <v>2732.25</v>
      </c>
      <c r="E30" s="2">
        <f t="shared" ref="E30" si="191">+D30</f>
        <v>2732.25</v>
      </c>
      <c r="F30" s="2">
        <f t="shared" ref="F30:F33" si="192">+D30</f>
        <v>2732.25</v>
      </c>
      <c r="G30" s="2">
        <f t="shared" ref="G30:G33" si="193">+D30</f>
        <v>2732.25</v>
      </c>
      <c r="H30" s="2">
        <f t="shared" ref="H30:H33" si="194">+D30</f>
        <v>2732.25</v>
      </c>
      <c r="I30" s="2">
        <f t="shared" ref="I30:I33" si="195">+D30</f>
        <v>2732.25</v>
      </c>
      <c r="J30" s="2">
        <f t="shared" ref="J30:J33" si="196">+D30</f>
        <v>2732.25</v>
      </c>
      <c r="K30" s="2">
        <f t="shared" ref="K30:K33" si="197">+D30</f>
        <v>2732.25</v>
      </c>
      <c r="L30" s="2">
        <f t="shared" ref="L30:L33" si="198">+D30</f>
        <v>2732.25</v>
      </c>
      <c r="M30" s="2">
        <f t="shared" ref="M30:M33" si="199">+D30</f>
        <v>2732.25</v>
      </c>
      <c r="N30" s="2">
        <f t="shared" ref="N30:N33" si="200">+D30</f>
        <v>2732.25</v>
      </c>
      <c r="O30" s="2">
        <f t="shared" ref="O30:O33" si="201">+D30</f>
        <v>2732.25</v>
      </c>
      <c r="P30" s="2">
        <f t="shared" ref="P30:P33" si="202">+D30</f>
        <v>2732.25</v>
      </c>
      <c r="Q30" s="2">
        <f t="shared" ref="Q30:Q33" si="203">+D30</f>
        <v>2732.25</v>
      </c>
      <c r="R30" s="2">
        <f t="shared" ref="R30:R33" si="204">+D30</f>
        <v>2732.25</v>
      </c>
      <c r="S30" s="2">
        <f t="shared" ref="S30:S33" si="205">+D30</f>
        <v>2732.25</v>
      </c>
      <c r="T30" s="2">
        <f t="shared" ref="T30:T33" si="206">+D30</f>
        <v>2732.25</v>
      </c>
      <c r="U30" s="2">
        <f t="shared" ref="U30:U33" si="207">+D30</f>
        <v>2732.25</v>
      </c>
      <c r="V30" s="2">
        <f t="shared" ref="V30:V33" si="208">+D30</f>
        <v>2732.25</v>
      </c>
      <c r="W30" s="2">
        <f t="shared" ref="W30:W33" si="209">+D30</f>
        <v>2732.25</v>
      </c>
      <c r="X30" s="2">
        <f t="shared" ref="X30:X33" si="210">+D30</f>
        <v>2732.25</v>
      </c>
      <c r="Y30" s="2">
        <f t="shared" ref="Y30:Y33" si="211">+D30</f>
        <v>2732.25</v>
      </c>
      <c r="Z30" s="2">
        <f t="shared" ref="Z30:Z33" si="212">+D30</f>
        <v>2732.25</v>
      </c>
      <c r="AA30" s="4">
        <f t="shared" ref="AA30:AA33" si="213">+D30</f>
        <v>2732.25</v>
      </c>
      <c r="AB30" s="126">
        <f t="shared" si="0"/>
        <v>65574</v>
      </c>
      <c r="AC30" s="126">
        <v>19</v>
      </c>
      <c r="AD30" s="127">
        <f>(AB30*AC30)+(AB31*AC31)+(AB32*AC32)+(AB33*AC33)</f>
        <v>2032794</v>
      </c>
      <c r="AE30" s="143"/>
    </row>
    <row r="31" spans="2:31">
      <c r="B31" s="146"/>
      <c r="C31" s="151" t="s">
        <v>6</v>
      </c>
      <c r="D31" s="1">
        <f t="shared" ref="D31:D33" si="214">+D30</f>
        <v>2732.25</v>
      </c>
      <c r="E31" s="1">
        <f t="shared" ref="E31:E33" si="215">+D30</f>
        <v>2732.25</v>
      </c>
      <c r="F31" s="1">
        <f t="shared" ref="F31:F33" si="216">+D30</f>
        <v>2732.25</v>
      </c>
      <c r="G31" s="1">
        <f t="shared" ref="G31:G33" si="217">+D30</f>
        <v>2732.25</v>
      </c>
      <c r="H31" s="1">
        <f t="shared" ref="H31:H33" si="218">+D30</f>
        <v>2732.25</v>
      </c>
      <c r="I31" s="1">
        <f t="shared" ref="I31:I33" si="219">+D30</f>
        <v>2732.25</v>
      </c>
      <c r="J31" s="1">
        <f t="shared" ref="J31:J33" si="220">+D30</f>
        <v>2732.25</v>
      </c>
      <c r="K31" s="1">
        <f t="shared" ref="K31:K33" si="221">+D30</f>
        <v>2732.25</v>
      </c>
      <c r="L31" s="1">
        <f t="shared" ref="L31:L33" si="222">+D30</f>
        <v>2732.25</v>
      </c>
      <c r="M31" s="1">
        <f t="shared" ref="M31:M33" si="223">+D30</f>
        <v>2732.25</v>
      </c>
      <c r="N31" s="1">
        <f t="shared" ref="N31:N33" si="224">+D30</f>
        <v>2732.25</v>
      </c>
      <c r="O31" s="1">
        <f t="shared" ref="O31:O33" si="225">+D30</f>
        <v>2732.25</v>
      </c>
      <c r="P31" s="1">
        <f t="shared" ref="P31:P33" si="226">+D30</f>
        <v>2732.25</v>
      </c>
      <c r="Q31" s="1">
        <f t="shared" ref="Q31:Q33" si="227">+D30</f>
        <v>2732.25</v>
      </c>
      <c r="R31" s="1">
        <f t="shared" ref="R31:R33" si="228">+D30</f>
        <v>2732.25</v>
      </c>
      <c r="S31" s="1">
        <f t="shared" ref="S31:S33" si="229">+D30</f>
        <v>2732.25</v>
      </c>
      <c r="T31" s="1">
        <f t="shared" ref="T31:T33" si="230">+D30</f>
        <v>2732.25</v>
      </c>
      <c r="U31" s="1">
        <f t="shared" ref="U31:U33" si="231">+D30</f>
        <v>2732.25</v>
      </c>
      <c r="V31" s="1">
        <f t="shared" ref="V31:V33" si="232">+D30</f>
        <v>2732.25</v>
      </c>
      <c r="W31" s="1">
        <f t="shared" ref="W31:W33" si="233">+D30</f>
        <v>2732.25</v>
      </c>
      <c r="X31" s="1">
        <f t="shared" ref="X31:X33" si="234">+D30</f>
        <v>2732.25</v>
      </c>
      <c r="Y31" s="1">
        <f t="shared" ref="Y31:Y33" si="235">+D30</f>
        <v>2732.25</v>
      </c>
      <c r="Z31" s="1">
        <f t="shared" ref="Z31:Z33" si="236">+D30</f>
        <v>2732.25</v>
      </c>
      <c r="AA31" s="5">
        <f t="shared" ref="AA31:AA33" si="237">+D30</f>
        <v>2732.25</v>
      </c>
      <c r="AB31" s="130">
        <f t="shared" si="0"/>
        <v>65574</v>
      </c>
      <c r="AC31" s="130">
        <v>5</v>
      </c>
      <c r="AD31" s="131"/>
      <c r="AE31" s="143"/>
    </row>
    <row r="32" spans="2:31">
      <c r="B32" s="146"/>
      <c r="C32" s="151" t="s">
        <v>4</v>
      </c>
      <c r="D32" s="1">
        <f t="shared" ref="D32" si="238">+D30</f>
        <v>2732.25</v>
      </c>
      <c r="E32" s="1">
        <f t="shared" ref="E32" si="239">+D30</f>
        <v>2732.25</v>
      </c>
      <c r="F32" s="1">
        <f t="shared" ref="F32" si="240">+D30</f>
        <v>2732.25</v>
      </c>
      <c r="G32" s="1">
        <f t="shared" ref="G32" si="241">+D30</f>
        <v>2732.25</v>
      </c>
      <c r="H32" s="1">
        <f t="shared" ref="H32" si="242">+D30</f>
        <v>2732.25</v>
      </c>
      <c r="I32" s="1">
        <f t="shared" ref="I32" si="243">+D30</f>
        <v>2732.25</v>
      </c>
      <c r="J32" s="1">
        <f t="shared" ref="J32" si="244">+D30</f>
        <v>2732.25</v>
      </c>
      <c r="K32" s="1">
        <f t="shared" ref="K32" si="245">+D30</f>
        <v>2732.25</v>
      </c>
      <c r="L32" s="1">
        <f t="shared" ref="L32" si="246">+D30</f>
        <v>2732.25</v>
      </c>
      <c r="M32" s="1">
        <f t="shared" ref="M32" si="247">+D30</f>
        <v>2732.25</v>
      </c>
      <c r="N32" s="1">
        <f t="shared" ref="N32" si="248">+D30</f>
        <v>2732.25</v>
      </c>
      <c r="O32" s="1">
        <f t="shared" ref="O32" si="249">+D30</f>
        <v>2732.25</v>
      </c>
      <c r="P32" s="1">
        <f t="shared" ref="P32" si="250">+D30</f>
        <v>2732.25</v>
      </c>
      <c r="Q32" s="1">
        <f t="shared" ref="Q32" si="251">+D30</f>
        <v>2732.25</v>
      </c>
      <c r="R32" s="1">
        <f t="shared" ref="R32" si="252">+D30</f>
        <v>2732.25</v>
      </c>
      <c r="S32" s="1">
        <f t="shared" ref="S32" si="253">+D30</f>
        <v>2732.25</v>
      </c>
      <c r="T32" s="1">
        <f t="shared" ref="T32" si="254">+D30</f>
        <v>2732.25</v>
      </c>
      <c r="U32" s="1">
        <f t="shared" ref="U32" si="255">+D30</f>
        <v>2732.25</v>
      </c>
      <c r="V32" s="1">
        <f t="shared" ref="V32" si="256">+D30</f>
        <v>2732.25</v>
      </c>
      <c r="W32" s="1">
        <f t="shared" ref="W32" si="257">+D30</f>
        <v>2732.25</v>
      </c>
      <c r="X32" s="1">
        <f t="shared" ref="X32" si="258">+D30</f>
        <v>2732.25</v>
      </c>
      <c r="Y32" s="1">
        <f t="shared" ref="Y32" si="259">+D30</f>
        <v>2732.25</v>
      </c>
      <c r="Z32" s="1">
        <f t="shared" ref="Z32" si="260">+D30</f>
        <v>2732.25</v>
      </c>
      <c r="AA32" s="5">
        <f t="shared" ref="AA32" si="261">+D30</f>
        <v>2732.25</v>
      </c>
      <c r="AB32" s="130">
        <f t="shared" si="0"/>
        <v>65574</v>
      </c>
      <c r="AC32" s="130">
        <v>5</v>
      </c>
      <c r="AD32" s="131"/>
      <c r="AE32" s="143"/>
    </row>
    <row r="33" spans="2:31" ht="15" thickBot="1">
      <c r="B33" s="148"/>
      <c r="C33" s="153" t="s">
        <v>8</v>
      </c>
      <c r="D33" s="3">
        <f t="shared" ref="D33" si="262">+D30</f>
        <v>2732.25</v>
      </c>
      <c r="E33" s="3">
        <f t="shared" ref="E33" si="263">+D30</f>
        <v>2732.25</v>
      </c>
      <c r="F33" s="3">
        <f t="shared" ref="F33" si="264">+D30</f>
        <v>2732.25</v>
      </c>
      <c r="G33" s="3">
        <f t="shared" ref="G33" si="265">+D30</f>
        <v>2732.25</v>
      </c>
      <c r="H33" s="3">
        <f t="shared" ref="H33" si="266">+D30</f>
        <v>2732.25</v>
      </c>
      <c r="I33" s="3">
        <f t="shared" ref="I33" si="267">+D30</f>
        <v>2732.25</v>
      </c>
      <c r="J33" s="3">
        <f t="shared" ref="J33" si="268">+D30</f>
        <v>2732.25</v>
      </c>
      <c r="K33" s="3">
        <f t="shared" ref="K33" si="269">+D30</f>
        <v>2732.25</v>
      </c>
      <c r="L33" s="3">
        <f t="shared" ref="L33" si="270">+D30</f>
        <v>2732.25</v>
      </c>
      <c r="M33" s="3">
        <f t="shared" ref="M33" si="271">+D30</f>
        <v>2732.25</v>
      </c>
      <c r="N33" s="3">
        <f t="shared" ref="N33" si="272">+D30</f>
        <v>2732.25</v>
      </c>
      <c r="O33" s="3">
        <f t="shared" ref="O33" si="273">+D30</f>
        <v>2732.25</v>
      </c>
      <c r="P33" s="3">
        <f t="shared" ref="P33" si="274">+D30</f>
        <v>2732.25</v>
      </c>
      <c r="Q33" s="3">
        <f t="shared" ref="Q33" si="275">+D30</f>
        <v>2732.25</v>
      </c>
      <c r="R33" s="3">
        <f t="shared" ref="R33" si="276">+D30</f>
        <v>2732.25</v>
      </c>
      <c r="S33" s="3">
        <f t="shared" ref="S33" si="277">+D30</f>
        <v>2732.25</v>
      </c>
      <c r="T33" s="3">
        <f t="shared" ref="T33" si="278">+D30</f>
        <v>2732.25</v>
      </c>
      <c r="U33" s="3">
        <f t="shared" ref="U33" si="279">+D30</f>
        <v>2732.25</v>
      </c>
      <c r="V33" s="3">
        <f t="shared" ref="V33" si="280">+D30</f>
        <v>2732.25</v>
      </c>
      <c r="W33" s="3">
        <f t="shared" ref="W33" si="281">+D30</f>
        <v>2732.25</v>
      </c>
      <c r="X33" s="3">
        <f t="shared" ref="X33" si="282">+D30</f>
        <v>2732.25</v>
      </c>
      <c r="Y33" s="3">
        <f t="shared" ref="Y33" si="283">+D30</f>
        <v>2732.25</v>
      </c>
      <c r="Z33" s="3">
        <f t="shared" ref="Z33" si="284">+D30</f>
        <v>2732.25</v>
      </c>
      <c r="AA33" s="6">
        <f t="shared" ref="AA33" si="285">+D30</f>
        <v>2732.25</v>
      </c>
      <c r="AB33" s="134">
        <f t="shared" si="0"/>
        <v>65574</v>
      </c>
      <c r="AC33" s="134">
        <v>2</v>
      </c>
      <c r="AD33" s="135"/>
      <c r="AE33" s="143"/>
    </row>
    <row r="34" spans="2:31">
      <c r="B34" s="145">
        <v>46966</v>
      </c>
      <c r="C34" s="150" t="s">
        <v>5</v>
      </c>
      <c r="D34" s="2">
        <v>2732.25</v>
      </c>
      <c r="E34" s="2">
        <f t="shared" ref="E34" si="286">+D34</f>
        <v>2732.25</v>
      </c>
      <c r="F34" s="2">
        <f t="shared" ref="F34:F49" si="287">+D34</f>
        <v>2732.25</v>
      </c>
      <c r="G34" s="2">
        <f t="shared" ref="G34:G49" si="288">+D34</f>
        <v>2732.25</v>
      </c>
      <c r="H34" s="2">
        <f t="shared" ref="H34:H49" si="289">+D34</f>
        <v>2732.25</v>
      </c>
      <c r="I34" s="2">
        <f t="shared" ref="I34:I49" si="290">+D34</f>
        <v>2732.25</v>
      </c>
      <c r="J34" s="2">
        <f t="shared" ref="J34:J49" si="291">+D34</f>
        <v>2732.25</v>
      </c>
      <c r="K34" s="2">
        <f t="shared" ref="K34:K49" si="292">+D34</f>
        <v>2732.25</v>
      </c>
      <c r="L34" s="2">
        <f t="shared" ref="L34:L49" si="293">+D34</f>
        <v>2732.25</v>
      </c>
      <c r="M34" s="2">
        <f t="shared" ref="M34:M49" si="294">+D34</f>
        <v>2732.25</v>
      </c>
      <c r="N34" s="2">
        <f t="shared" ref="N34:N49" si="295">+D34</f>
        <v>2732.25</v>
      </c>
      <c r="O34" s="2">
        <f t="shared" ref="O34:O49" si="296">+D34</f>
        <v>2732.25</v>
      </c>
      <c r="P34" s="2">
        <f t="shared" ref="P34:P49" si="297">+D34</f>
        <v>2732.25</v>
      </c>
      <c r="Q34" s="2">
        <f t="shared" ref="Q34:Q49" si="298">+D34</f>
        <v>2732.25</v>
      </c>
      <c r="R34" s="2">
        <f t="shared" ref="R34:R49" si="299">+D34</f>
        <v>2732.25</v>
      </c>
      <c r="S34" s="2">
        <f t="shared" ref="S34:S49" si="300">+D34</f>
        <v>2732.25</v>
      </c>
      <c r="T34" s="2">
        <f t="shared" ref="T34:T49" si="301">+D34</f>
        <v>2732.25</v>
      </c>
      <c r="U34" s="2">
        <f t="shared" ref="U34:U49" si="302">+D34</f>
        <v>2732.25</v>
      </c>
      <c r="V34" s="2">
        <f t="shared" ref="V34:V49" si="303">+D34</f>
        <v>2732.25</v>
      </c>
      <c r="W34" s="2">
        <f t="shared" ref="W34:W49" si="304">+D34</f>
        <v>2732.25</v>
      </c>
      <c r="X34" s="2">
        <f t="shared" ref="X34:X49" si="305">+D34</f>
        <v>2732.25</v>
      </c>
      <c r="Y34" s="2">
        <f t="shared" ref="Y34:Y49" si="306">+D34</f>
        <v>2732.25</v>
      </c>
      <c r="Z34" s="2">
        <f t="shared" ref="Z34:Z49" si="307">+D34</f>
        <v>2732.25</v>
      </c>
      <c r="AA34" s="4">
        <f t="shared" ref="AA34:AA49" si="308">+D34</f>
        <v>2732.25</v>
      </c>
      <c r="AB34" s="126">
        <f t="shared" si="0"/>
        <v>65574</v>
      </c>
      <c r="AC34" s="126">
        <v>21</v>
      </c>
      <c r="AD34" s="127">
        <f>(AB34*AC34)+(AB35*AC35)+(AB36*AC36)+(AB37*AC37)</f>
        <v>2032794</v>
      </c>
      <c r="AE34" s="143"/>
    </row>
    <row r="35" spans="2:31">
      <c r="B35" s="146"/>
      <c r="C35" s="151" t="s">
        <v>6</v>
      </c>
      <c r="D35" s="1">
        <f t="shared" ref="D35:D49" si="309">+D34</f>
        <v>2732.25</v>
      </c>
      <c r="E35" s="1">
        <f t="shared" ref="E35:E49" si="310">+D34</f>
        <v>2732.25</v>
      </c>
      <c r="F35" s="1">
        <f t="shared" ref="F35:F49" si="311">+D34</f>
        <v>2732.25</v>
      </c>
      <c r="G35" s="1">
        <f t="shared" ref="G35:G49" si="312">+D34</f>
        <v>2732.25</v>
      </c>
      <c r="H35" s="1">
        <f t="shared" ref="H35:H49" si="313">+D34</f>
        <v>2732.25</v>
      </c>
      <c r="I35" s="1">
        <f t="shared" ref="I35:I49" si="314">+D34</f>
        <v>2732.25</v>
      </c>
      <c r="J35" s="1">
        <f t="shared" ref="J35:J49" si="315">+D34</f>
        <v>2732.25</v>
      </c>
      <c r="K35" s="1">
        <f t="shared" ref="K35:K49" si="316">+D34</f>
        <v>2732.25</v>
      </c>
      <c r="L35" s="1">
        <f t="shared" ref="L35:L49" si="317">+D34</f>
        <v>2732.25</v>
      </c>
      <c r="M35" s="1">
        <f t="shared" ref="M35:M49" si="318">+D34</f>
        <v>2732.25</v>
      </c>
      <c r="N35" s="1">
        <f t="shared" ref="N35:N49" si="319">+D34</f>
        <v>2732.25</v>
      </c>
      <c r="O35" s="1">
        <f t="shared" ref="O35:O49" si="320">+D34</f>
        <v>2732.25</v>
      </c>
      <c r="P35" s="1">
        <f t="shared" ref="P35:P49" si="321">+D34</f>
        <v>2732.25</v>
      </c>
      <c r="Q35" s="1">
        <f t="shared" ref="Q35:Q49" si="322">+D34</f>
        <v>2732.25</v>
      </c>
      <c r="R35" s="1">
        <f t="shared" ref="R35:R49" si="323">+D34</f>
        <v>2732.25</v>
      </c>
      <c r="S35" s="1">
        <f t="shared" ref="S35:S49" si="324">+D34</f>
        <v>2732.25</v>
      </c>
      <c r="T35" s="1">
        <f t="shared" ref="T35:T49" si="325">+D34</f>
        <v>2732.25</v>
      </c>
      <c r="U35" s="1">
        <f t="shared" ref="U35:U49" si="326">+D34</f>
        <v>2732.25</v>
      </c>
      <c r="V35" s="1">
        <f t="shared" ref="V35:V49" si="327">+D34</f>
        <v>2732.25</v>
      </c>
      <c r="W35" s="1">
        <f t="shared" ref="W35:W49" si="328">+D34</f>
        <v>2732.25</v>
      </c>
      <c r="X35" s="1">
        <f t="shared" ref="X35:X49" si="329">+D34</f>
        <v>2732.25</v>
      </c>
      <c r="Y35" s="1">
        <f t="shared" ref="Y35:Y49" si="330">+D34</f>
        <v>2732.25</v>
      </c>
      <c r="Z35" s="1">
        <f t="shared" ref="Z35:Z49" si="331">+D34</f>
        <v>2732.25</v>
      </c>
      <c r="AA35" s="5">
        <f t="shared" ref="AA35:AA49" si="332">+D34</f>
        <v>2732.25</v>
      </c>
      <c r="AB35" s="130">
        <f t="shared" si="0"/>
        <v>65574</v>
      </c>
      <c r="AC35" s="130">
        <v>4</v>
      </c>
      <c r="AD35" s="131"/>
      <c r="AE35" s="143"/>
    </row>
    <row r="36" spans="2:31">
      <c r="B36" s="146"/>
      <c r="C36" s="151" t="s">
        <v>7</v>
      </c>
      <c r="D36" s="1">
        <f t="shared" ref="D36" si="333">+D34</f>
        <v>2732.25</v>
      </c>
      <c r="E36" s="1">
        <f t="shared" ref="E36" si="334">+D34</f>
        <v>2732.25</v>
      </c>
      <c r="F36" s="1">
        <f t="shared" ref="F36" si="335">+D34</f>
        <v>2732.25</v>
      </c>
      <c r="G36" s="1">
        <f t="shared" ref="G36" si="336">+D34</f>
        <v>2732.25</v>
      </c>
      <c r="H36" s="1">
        <f t="shared" ref="H36" si="337">+D34</f>
        <v>2732.25</v>
      </c>
      <c r="I36" s="1">
        <f t="shared" ref="I36" si="338">+D34</f>
        <v>2732.25</v>
      </c>
      <c r="J36" s="1">
        <f t="shared" ref="J36" si="339">+D34</f>
        <v>2732.25</v>
      </c>
      <c r="K36" s="1">
        <f t="shared" ref="K36" si="340">+D34</f>
        <v>2732.25</v>
      </c>
      <c r="L36" s="1">
        <f t="shared" ref="L36" si="341">+D34</f>
        <v>2732.25</v>
      </c>
      <c r="M36" s="1">
        <f t="shared" ref="M36" si="342">+D34</f>
        <v>2732.25</v>
      </c>
      <c r="N36" s="1">
        <f t="shared" ref="N36" si="343">+D34</f>
        <v>2732.25</v>
      </c>
      <c r="O36" s="1">
        <f t="shared" ref="O36" si="344">+D34</f>
        <v>2732.25</v>
      </c>
      <c r="P36" s="1">
        <f t="shared" ref="P36" si="345">+D34</f>
        <v>2732.25</v>
      </c>
      <c r="Q36" s="1">
        <f t="shared" ref="Q36" si="346">+D34</f>
        <v>2732.25</v>
      </c>
      <c r="R36" s="1">
        <f t="shared" ref="R36" si="347">+D34</f>
        <v>2732.25</v>
      </c>
      <c r="S36" s="1">
        <f t="shared" ref="S36" si="348">+D34</f>
        <v>2732.25</v>
      </c>
      <c r="T36" s="1">
        <f t="shared" ref="T36" si="349">+D34</f>
        <v>2732.25</v>
      </c>
      <c r="U36" s="1">
        <f t="shared" ref="U36" si="350">+D34</f>
        <v>2732.25</v>
      </c>
      <c r="V36" s="1">
        <f t="shared" ref="V36" si="351">+D34</f>
        <v>2732.25</v>
      </c>
      <c r="W36" s="1">
        <f t="shared" ref="W36" si="352">+D34</f>
        <v>2732.25</v>
      </c>
      <c r="X36" s="1">
        <f t="shared" ref="X36" si="353">+D34</f>
        <v>2732.25</v>
      </c>
      <c r="Y36" s="1">
        <f t="shared" ref="Y36" si="354">+D34</f>
        <v>2732.25</v>
      </c>
      <c r="Z36" s="1">
        <f t="shared" ref="Z36" si="355">+D34</f>
        <v>2732.25</v>
      </c>
      <c r="AA36" s="5">
        <f t="shared" ref="AA36" si="356">+D34</f>
        <v>2732.25</v>
      </c>
      <c r="AB36" s="130">
        <f t="shared" si="0"/>
        <v>65574</v>
      </c>
      <c r="AC36" s="130">
        <v>4</v>
      </c>
      <c r="AD36" s="131"/>
      <c r="AE36" s="143"/>
    </row>
    <row r="37" spans="2:31" ht="15" thickBot="1">
      <c r="B37" s="148"/>
      <c r="C37" s="153" t="s">
        <v>8</v>
      </c>
      <c r="D37" s="3">
        <f t="shared" ref="D37" si="357">+D34</f>
        <v>2732.25</v>
      </c>
      <c r="E37" s="3">
        <f t="shared" ref="E37" si="358">+D34</f>
        <v>2732.25</v>
      </c>
      <c r="F37" s="3">
        <f t="shared" ref="F37" si="359">+D34</f>
        <v>2732.25</v>
      </c>
      <c r="G37" s="3">
        <f t="shared" ref="G37" si="360">+D34</f>
        <v>2732.25</v>
      </c>
      <c r="H37" s="3">
        <f t="shared" ref="H37" si="361">+D34</f>
        <v>2732.25</v>
      </c>
      <c r="I37" s="3">
        <f t="shared" ref="I37" si="362">+D34</f>
        <v>2732.25</v>
      </c>
      <c r="J37" s="3">
        <f t="shared" ref="J37" si="363">+D34</f>
        <v>2732.25</v>
      </c>
      <c r="K37" s="3">
        <f t="shared" ref="K37" si="364">+D34</f>
        <v>2732.25</v>
      </c>
      <c r="L37" s="3">
        <f t="shared" ref="L37" si="365">+D34</f>
        <v>2732.25</v>
      </c>
      <c r="M37" s="3">
        <f t="shared" ref="M37" si="366">+D34</f>
        <v>2732.25</v>
      </c>
      <c r="N37" s="3">
        <f t="shared" ref="N37" si="367">+D34</f>
        <v>2732.25</v>
      </c>
      <c r="O37" s="3">
        <f t="shared" ref="O37" si="368">+D34</f>
        <v>2732.25</v>
      </c>
      <c r="P37" s="3">
        <f t="shared" ref="P37" si="369">+D34</f>
        <v>2732.25</v>
      </c>
      <c r="Q37" s="3">
        <f t="shared" ref="Q37" si="370">+D34</f>
        <v>2732.25</v>
      </c>
      <c r="R37" s="3">
        <f t="shared" ref="R37" si="371">+D34</f>
        <v>2732.25</v>
      </c>
      <c r="S37" s="3">
        <f t="shared" ref="S37" si="372">+D34</f>
        <v>2732.25</v>
      </c>
      <c r="T37" s="3">
        <f t="shared" ref="T37" si="373">+D34</f>
        <v>2732.25</v>
      </c>
      <c r="U37" s="3">
        <f t="shared" ref="U37" si="374">+D34</f>
        <v>2732.25</v>
      </c>
      <c r="V37" s="3">
        <f t="shared" ref="V37" si="375">+D34</f>
        <v>2732.25</v>
      </c>
      <c r="W37" s="3">
        <f t="shared" ref="W37" si="376">+D34</f>
        <v>2732.25</v>
      </c>
      <c r="X37" s="3">
        <f t="shared" ref="X37" si="377">+D34</f>
        <v>2732.25</v>
      </c>
      <c r="Y37" s="3">
        <f t="shared" ref="Y37" si="378">+D34</f>
        <v>2732.25</v>
      </c>
      <c r="Z37" s="3">
        <f t="shared" ref="Z37" si="379">+D34</f>
        <v>2732.25</v>
      </c>
      <c r="AA37" s="6">
        <f t="shared" ref="AA37" si="380">+D34</f>
        <v>2732.25</v>
      </c>
      <c r="AB37" s="134">
        <f t="shared" si="0"/>
        <v>65574</v>
      </c>
      <c r="AC37" s="134">
        <v>2</v>
      </c>
      <c r="AD37" s="135"/>
      <c r="AE37" s="143"/>
    </row>
    <row r="38" spans="2:31">
      <c r="B38" s="145">
        <v>46997</v>
      </c>
      <c r="C38" s="150" t="s">
        <v>5</v>
      </c>
      <c r="D38" s="2">
        <v>2732.25</v>
      </c>
      <c r="E38" s="2">
        <f t="shared" ref="E38" si="381">+D38</f>
        <v>2732.25</v>
      </c>
      <c r="F38" s="2">
        <f t="shared" ref="F38:F49" si="382">+D38</f>
        <v>2732.25</v>
      </c>
      <c r="G38" s="2">
        <f t="shared" ref="G38:G49" si="383">+D38</f>
        <v>2732.25</v>
      </c>
      <c r="H38" s="2">
        <f t="shared" ref="H38:H49" si="384">+D38</f>
        <v>2732.25</v>
      </c>
      <c r="I38" s="2">
        <f t="shared" ref="I38:I49" si="385">+D38</f>
        <v>2732.25</v>
      </c>
      <c r="J38" s="2">
        <f t="shared" ref="J38:J49" si="386">+D38</f>
        <v>2732.25</v>
      </c>
      <c r="K38" s="2">
        <f t="shared" ref="K38:K49" si="387">+D38</f>
        <v>2732.25</v>
      </c>
      <c r="L38" s="2">
        <f t="shared" ref="L38:L49" si="388">+D38</f>
        <v>2732.25</v>
      </c>
      <c r="M38" s="2">
        <f t="shared" ref="M38:M49" si="389">+D38</f>
        <v>2732.25</v>
      </c>
      <c r="N38" s="2">
        <f t="shared" ref="N38:N49" si="390">+D38</f>
        <v>2732.25</v>
      </c>
      <c r="O38" s="2">
        <f t="shared" ref="O38:O49" si="391">+D38</f>
        <v>2732.25</v>
      </c>
      <c r="P38" s="2">
        <f t="shared" ref="P38:P49" si="392">+D38</f>
        <v>2732.25</v>
      </c>
      <c r="Q38" s="2">
        <f t="shared" ref="Q38:Q49" si="393">+D38</f>
        <v>2732.25</v>
      </c>
      <c r="R38" s="2">
        <f t="shared" ref="R38:R49" si="394">+D38</f>
        <v>2732.25</v>
      </c>
      <c r="S38" s="2">
        <f t="shared" ref="S38:S49" si="395">+D38</f>
        <v>2732.25</v>
      </c>
      <c r="T38" s="2">
        <f t="shared" ref="T38:T49" si="396">+D38</f>
        <v>2732.25</v>
      </c>
      <c r="U38" s="2">
        <f t="shared" ref="U38:U49" si="397">+D38</f>
        <v>2732.25</v>
      </c>
      <c r="V38" s="2">
        <f t="shared" ref="V38:V49" si="398">+D38</f>
        <v>2732.25</v>
      </c>
      <c r="W38" s="2">
        <f t="shared" ref="W38:W49" si="399">+D38</f>
        <v>2732.25</v>
      </c>
      <c r="X38" s="2">
        <f t="shared" ref="X38:X49" si="400">+D38</f>
        <v>2732.25</v>
      </c>
      <c r="Y38" s="2">
        <f t="shared" ref="Y38:Y49" si="401">+D38</f>
        <v>2732.25</v>
      </c>
      <c r="Z38" s="2">
        <f t="shared" ref="Z38:Z49" si="402">+D38</f>
        <v>2732.25</v>
      </c>
      <c r="AA38" s="4">
        <f t="shared" ref="AA38:AA49" si="403">+D38</f>
        <v>2732.25</v>
      </c>
      <c r="AB38" s="126">
        <f t="shared" si="0"/>
        <v>65574</v>
      </c>
      <c r="AC38" s="126">
        <v>21</v>
      </c>
      <c r="AD38" s="127">
        <f>(AB38*AC38)+(AB39*AC39)+(AB40*AC40)+(AB41*AC41)</f>
        <v>1967220</v>
      </c>
      <c r="AE38" s="143"/>
    </row>
    <row r="39" spans="2:31">
      <c r="B39" s="146"/>
      <c r="C39" s="151" t="s">
        <v>6</v>
      </c>
      <c r="D39" s="1">
        <f t="shared" ref="D39:D49" si="404">+D38</f>
        <v>2732.25</v>
      </c>
      <c r="E39" s="1">
        <f t="shared" ref="E39:E49" si="405">+D38</f>
        <v>2732.25</v>
      </c>
      <c r="F39" s="1">
        <f t="shared" ref="F39:F49" si="406">+D38</f>
        <v>2732.25</v>
      </c>
      <c r="G39" s="1">
        <f t="shared" ref="G39:G49" si="407">+D38</f>
        <v>2732.25</v>
      </c>
      <c r="H39" s="1">
        <f t="shared" ref="H39:H49" si="408">+D38</f>
        <v>2732.25</v>
      </c>
      <c r="I39" s="1">
        <f t="shared" ref="I39:I49" si="409">+D38</f>
        <v>2732.25</v>
      </c>
      <c r="J39" s="1">
        <f t="shared" ref="J39:J49" si="410">+D38</f>
        <v>2732.25</v>
      </c>
      <c r="K39" s="1">
        <f t="shared" ref="K39:K49" si="411">+D38</f>
        <v>2732.25</v>
      </c>
      <c r="L39" s="1">
        <f t="shared" ref="L39:L49" si="412">+D38</f>
        <v>2732.25</v>
      </c>
      <c r="M39" s="1">
        <f t="shared" ref="M39:M49" si="413">+D38</f>
        <v>2732.25</v>
      </c>
      <c r="N39" s="1">
        <f t="shared" ref="N39:N49" si="414">+D38</f>
        <v>2732.25</v>
      </c>
      <c r="O39" s="1">
        <f t="shared" ref="O39:O49" si="415">+D38</f>
        <v>2732.25</v>
      </c>
      <c r="P39" s="1">
        <f t="shared" ref="P39:P49" si="416">+D38</f>
        <v>2732.25</v>
      </c>
      <c r="Q39" s="1">
        <f t="shared" ref="Q39:Q49" si="417">+D38</f>
        <v>2732.25</v>
      </c>
      <c r="R39" s="1">
        <f t="shared" ref="R39:R49" si="418">+D38</f>
        <v>2732.25</v>
      </c>
      <c r="S39" s="1">
        <f t="shared" ref="S39:S49" si="419">+D38</f>
        <v>2732.25</v>
      </c>
      <c r="T39" s="1">
        <f t="shared" ref="T39:T49" si="420">+D38</f>
        <v>2732.25</v>
      </c>
      <c r="U39" s="1">
        <f t="shared" ref="U39:U49" si="421">+D38</f>
        <v>2732.25</v>
      </c>
      <c r="V39" s="1">
        <f t="shared" ref="V39:V49" si="422">+D38</f>
        <v>2732.25</v>
      </c>
      <c r="W39" s="1">
        <f t="shared" ref="W39:W49" si="423">+D38</f>
        <v>2732.25</v>
      </c>
      <c r="X39" s="1">
        <f t="shared" ref="X39:X49" si="424">+D38</f>
        <v>2732.25</v>
      </c>
      <c r="Y39" s="1">
        <f t="shared" ref="Y39:Y49" si="425">+D38</f>
        <v>2732.25</v>
      </c>
      <c r="Z39" s="1">
        <f t="shared" ref="Z39:Z49" si="426">+D38</f>
        <v>2732.25</v>
      </c>
      <c r="AA39" s="5">
        <f t="shared" ref="AA39:AA49" si="427">+D38</f>
        <v>2732.25</v>
      </c>
      <c r="AB39" s="130">
        <f t="shared" si="0"/>
        <v>65574</v>
      </c>
      <c r="AC39" s="130">
        <v>5</v>
      </c>
      <c r="AD39" s="131"/>
      <c r="AE39" s="143"/>
    </row>
    <row r="40" spans="2:31">
      <c r="B40" s="146"/>
      <c r="C40" s="151" t="s">
        <v>7</v>
      </c>
      <c r="D40" s="1">
        <f t="shared" ref="D40" si="428">+D38</f>
        <v>2732.25</v>
      </c>
      <c r="E40" s="1">
        <f t="shared" ref="E40" si="429">+D38</f>
        <v>2732.25</v>
      </c>
      <c r="F40" s="1">
        <f t="shared" ref="F40" si="430">+D38</f>
        <v>2732.25</v>
      </c>
      <c r="G40" s="1">
        <f t="shared" ref="G40" si="431">+D38</f>
        <v>2732.25</v>
      </c>
      <c r="H40" s="1">
        <f t="shared" ref="H40" si="432">+D38</f>
        <v>2732.25</v>
      </c>
      <c r="I40" s="1">
        <f t="shared" ref="I40" si="433">+D38</f>
        <v>2732.25</v>
      </c>
      <c r="J40" s="1">
        <f t="shared" ref="J40" si="434">+D38</f>
        <v>2732.25</v>
      </c>
      <c r="K40" s="1">
        <f t="shared" ref="K40" si="435">+D38</f>
        <v>2732.25</v>
      </c>
      <c r="L40" s="1">
        <f t="shared" ref="L40" si="436">+D38</f>
        <v>2732.25</v>
      </c>
      <c r="M40" s="1">
        <f t="shared" ref="M40" si="437">+D38</f>
        <v>2732.25</v>
      </c>
      <c r="N40" s="1">
        <f t="shared" ref="N40" si="438">+D38</f>
        <v>2732.25</v>
      </c>
      <c r="O40" s="1">
        <f t="shared" ref="O40" si="439">+D38</f>
        <v>2732.25</v>
      </c>
      <c r="P40" s="1">
        <f t="shared" ref="P40" si="440">+D38</f>
        <v>2732.25</v>
      </c>
      <c r="Q40" s="1">
        <f t="shared" ref="Q40" si="441">+D38</f>
        <v>2732.25</v>
      </c>
      <c r="R40" s="1">
        <f t="shared" ref="R40" si="442">+D38</f>
        <v>2732.25</v>
      </c>
      <c r="S40" s="1">
        <f t="shared" ref="S40" si="443">+D38</f>
        <v>2732.25</v>
      </c>
      <c r="T40" s="1">
        <f t="shared" ref="T40" si="444">+D38</f>
        <v>2732.25</v>
      </c>
      <c r="U40" s="1">
        <f t="shared" ref="U40" si="445">+D38</f>
        <v>2732.25</v>
      </c>
      <c r="V40" s="1">
        <f t="shared" ref="V40" si="446">+D38</f>
        <v>2732.25</v>
      </c>
      <c r="W40" s="1">
        <f t="shared" ref="W40" si="447">+D38</f>
        <v>2732.25</v>
      </c>
      <c r="X40" s="1">
        <f t="shared" ref="X40" si="448">+D38</f>
        <v>2732.25</v>
      </c>
      <c r="Y40" s="1">
        <f t="shared" ref="Y40" si="449">+D38</f>
        <v>2732.25</v>
      </c>
      <c r="Z40" s="1">
        <f t="shared" ref="Z40" si="450">+D38</f>
        <v>2732.25</v>
      </c>
      <c r="AA40" s="5">
        <f t="shared" ref="AA40" si="451">+D38</f>
        <v>2732.25</v>
      </c>
      <c r="AB40" s="130">
        <f t="shared" si="0"/>
        <v>65574</v>
      </c>
      <c r="AC40" s="130">
        <v>4</v>
      </c>
      <c r="AD40" s="131"/>
      <c r="AE40" s="143"/>
    </row>
    <row r="41" spans="2:31" ht="15" thickBot="1">
      <c r="B41" s="148"/>
      <c r="C41" s="153" t="s">
        <v>8</v>
      </c>
      <c r="D41" s="3">
        <f t="shared" ref="D41" si="452">+D38</f>
        <v>2732.25</v>
      </c>
      <c r="E41" s="3">
        <f t="shared" ref="E41" si="453">+D38</f>
        <v>2732.25</v>
      </c>
      <c r="F41" s="3">
        <f t="shared" ref="F41" si="454">+D38</f>
        <v>2732.25</v>
      </c>
      <c r="G41" s="3">
        <f t="shared" ref="G41" si="455">+D38</f>
        <v>2732.25</v>
      </c>
      <c r="H41" s="3">
        <f t="shared" ref="H41" si="456">+D38</f>
        <v>2732.25</v>
      </c>
      <c r="I41" s="3">
        <f t="shared" ref="I41" si="457">+D38</f>
        <v>2732.25</v>
      </c>
      <c r="J41" s="3">
        <f t="shared" ref="J41" si="458">+D38</f>
        <v>2732.25</v>
      </c>
      <c r="K41" s="3">
        <f t="shared" ref="K41" si="459">+D38</f>
        <v>2732.25</v>
      </c>
      <c r="L41" s="3">
        <f t="shared" ref="L41" si="460">+D38</f>
        <v>2732.25</v>
      </c>
      <c r="M41" s="3">
        <f t="shared" ref="M41" si="461">+D38</f>
        <v>2732.25</v>
      </c>
      <c r="N41" s="3">
        <f t="shared" ref="N41" si="462">+D38</f>
        <v>2732.25</v>
      </c>
      <c r="O41" s="3">
        <f t="shared" ref="O41" si="463">+D38</f>
        <v>2732.25</v>
      </c>
      <c r="P41" s="3">
        <f t="shared" ref="P41" si="464">+D38</f>
        <v>2732.25</v>
      </c>
      <c r="Q41" s="3">
        <f t="shared" ref="Q41" si="465">+D38</f>
        <v>2732.25</v>
      </c>
      <c r="R41" s="3">
        <f t="shared" ref="R41" si="466">+D38</f>
        <v>2732.25</v>
      </c>
      <c r="S41" s="3">
        <f t="shared" ref="S41" si="467">+D38</f>
        <v>2732.25</v>
      </c>
      <c r="T41" s="3">
        <f t="shared" ref="T41" si="468">+D38</f>
        <v>2732.25</v>
      </c>
      <c r="U41" s="3">
        <f t="shared" ref="U41" si="469">+D38</f>
        <v>2732.25</v>
      </c>
      <c r="V41" s="3">
        <f t="shared" ref="V41" si="470">+D38</f>
        <v>2732.25</v>
      </c>
      <c r="W41" s="3">
        <f t="shared" ref="W41" si="471">+D38</f>
        <v>2732.25</v>
      </c>
      <c r="X41" s="3">
        <f t="shared" ref="X41" si="472">+D38</f>
        <v>2732.25</v>
      </c>
      <c r="Y41" s="3">
        <f t="shared" ref="Y41" si="473">+D38</f>
        <v>2732.25</v>
      </c>
      <c r="Z41" s="3">
        <f t="shared" ref="Z41" si="474">+D38</f>
        <v>2732.25</v>
      </c>
      <c r="AA41" s="6">
        <f t="shared" ref="AA41" si="475">+D38</f>
        <v>2732.25</v>
      </c>
      <c r="AB41" s="134">
        <f t="shared" si="0"/>
        <v>65574</v>
      </c>
      <c r="AC41" s="134">
        <v>0</v>
      </c>
      <c r="AD41" s="135"/>
      <c r="AE41" s="143"/>
    </row>
    <row r="42" spans="2:31">
      <c r="B42" s="145">
        <v>47027</v>
      </c>
      <c r="C42" s="150" t="s">
        <v>5</v>
      </c>
      <c r="D42" s="2">
        <v>2732.25</v>
      </c>
      <c r="E42" s="2">
        <f t="shared" ref="E42" si="476">+D42</f>
        <v>2732.25</v>
      </c>
      <c r="F42" s="2">
        <f t="shared" ref="F42:F49" si="477">+D42</f>
        <v>2732.25</v>
      </c>
      <c r="G42" s="2">
        <f t="shared" ref="G42:G49" si="478">+D42</f>
        <v>2732.25</v>
      </c>
      <c r="H42" s="2">
        <f t="shared" ref="H42:H49" si="479">+D42</f>
        <v>2732.25</v>
      </c>
      <c r="I42" s="2">
        <f t="shared" ref="I42:I49" si="480">+D42</f>
        <v>2732.25</v>
      </c>
      <c r="J42" s="2">
        <f t="shared" ref="J42:J49" si="481">+D42</f>
        <v>2732.25</v>
      </c>
      <c r="K42" s="2">
        <f t="shared" ref="K42:K49" si="482">+D42</f>
        <v>2732.25</v>
      </c>
      <c r="L42" s="2">
        <f t="shared" ref="L42:L49" si="483">+D42</f>
        <v>2732.25</v>
      </c>
      <c r="M42" s="2">
        <f t="shared" ref="M42:M49" si="484">+D42</f>
        <v>2732.25</v>
      </c>
      <c r="N42" s="2">
        <f t="shared" ref="N42:N49" si="485">+D42</f>
        <v>2732.25</v>
      </c>
      <c r="O42" s="2">
        <f t="shared" ref="O42:O49" si="486">+D42</f>
        <v>2732.25</v>
      </c>
      <c r="P42" s="2">
        <f t="shared" ref="P42:P49" si="487">+D42</f>
        <v>2732.25</v>
      </c>
      <c r="Q42" s="2">
        <f t="shared" ref="Q42:Q49" si="488">+D42</f>
        <v>2732.25</v>
      </c>
      <c r="R42" s="2">
        <f t="shared" ref="R42:R49" si="489">+D42</f>
        <v>2732.25</v>
      </c>
      <c r="S42" s="2">
        <f t="shared" ref="S42:S49" si="490">+D42</f>
        <v>2732.25</v>
      </c>
      <c r="T42" s="2">
        <f t="shared" ref="T42:T49" si="491">+D42</f>
        <v>2732.25</v>
      </c>
      <c r="U42" s="2">
        <f t="shared" ref="U42:U49" si="492">+D42</f>
        <v>2732.25</v>
      </c>
      <c r="V42" s="2">
        <f t="shared" ref="V42:V49" si="493">+D42</f>
        <v>2732.25</v>
      </c>
      <c r="W42" s="2">
        <f t="shared" ref="W42:W49" si="494">+D42</f>
        <v>2732.25</v>
      </c>
      <c r="X42" s="2">
        <f t="shared" ref="X42:X49" si="495">+D42</f>
        <v>2732.25</v>
      </c>
      <c r="Y42" s="2">
        <f t="shared" ref="Y42:Y49" si="496">+D42</f>
        <v>2732.25</v>
      </c>
      <c r="Z42" s="2">
        <f t="shared" ref="Z42:Z49" si="497">+D42</f>
        <v>2732.25</v>
      </c>
      <c r="AA42" s="4">
        <f t="shared" ref="AA42:AA49" si="498">+D42</f>
        <v>2732.25</v>
      </c>
      <c r="AB42" s="126">
        <f t="shared" si="0"/>
        <v>65574</v>
      </c>
      <c r="AC42" s="126">
        <v>21</v>
      </c>
      <c r="AD42" s="127">
        <f>(AB42*AC42)+(AB43*AC43)+(AB44*AC44)+(AB45*AC45)</f>
        <v>2032794</v>
      </c>
      <c r="AE42" s="143"/>
    </row>
    <row r="43" spans="2:31">
      <c r="B43" s="146"/>
      <c r="C43" s="151" t="s">
        <v>6</v>
      </c>
      <c r="D43" s="1">
        <f t="shared" ref="D43:D49" si="499">+D42</f>
        <v>2732.25</v>
      </c>
      <c r="E43" s="1">
        <f t="shared" ref="E43:E49" si="500">+D42</f>
        <v>2732.25</v>
      </c>
      <c r="F43" s="1">
        <f t="shared" ref="F43:F49" si="501">+D42</f>
        <v>2732.25</v>
      </c>
      <c r="G43" s="1">
        <f t="shared" ref="G43:G49" si="502">+D42</f>
        <v>2732.25</v>
      </c>
      <c r="H43" s="1">
        <f t="shared" ref="H43:H49" si="503">+D42</f>
        <v>2732.25</v>
      </c>
      <c r="I43" s="1">
        <f t="shared" ref="I43:I49" si="504">+D42</f>
        <v>2732.25</v>
      </c>
      <c r="J43" s="1">
        <f t="shared" ref="J43:J49" si="505">+D42</f>
        <v>2732.25</v>
      </c>
      <c r="K43" s="1">
        <f t="shared" ref="K43:K49" si="506">+D42</f>
        <v>2732.25</v>
      </c>
      <c r="L43" s="1">
        <f t="shared" ref="L43:L49" si="507">+D42</f>
        <v>2732.25</v>
      </c>
      <c r="M43" s="1">
        <f t="shared" ref="M43:M49" si="508">+D42</f>
        <v>2732.25</v>
      </c>
      <c r="N43" s="1">
        <f t="shared" ref="N43:N49" si="509">+D42</f>
        <v>2732.25</v>
      </c>
      <c r="O43" s="1">
        <f t="shared" ref="O43:O49" si="510">+D42</f>
        <v>2732.25</v>
      </c>
      <c r="P43" s="1">
        <f t="shared" ref="P43:P49" si="511">+D42</f>
        <v>2732.25</v>
      </c>
      <c r="Q43" s="1">
        <f t="shared" ref="Q43:Q49" si="512">+D42</f>
        <v>2732.25</v>
      </c>
      <c r="R43" s="1">
        <f t="shared" ref="R43:R49" si="513">+D42</f>
        <v>2732.25</v>
      </c>
      <c r="S43" s="1">
        <f t="shared" ref="S43:S49" si="514">+D42</f>
        <v>2732.25</v>
      </c>
      <c r="T43" s="1">
        <f t="shared" ref="T43:T49" si="515">+D42</f>
        <v>2732.25</v>
      </c>
      <c r="U43" s="1">
        <f t="shared" ref="U43:U49" si="516">+D42</f>
        <v>2732.25</v>
      </c>
      <c r="V43" s="1">
        <f t="shared" ref="V43:V49" si="517">+D42</f>
        <v>2732.25</v>
      </c>
      <c r="W43" s="1">
        <f t="shared" ref="W43:W49" si="518">+D42</f>
        <v>2732.25</v>
      </c>
      <c r="X43" s="1">
        <f t="shared" ref="X43:X49" si="519">+D42</f>
        <v>2732.25</v>
      </c>
      <c r="Y43" s="1">
        <f t="shared" ref="Y43:Y49" si="520">+D42</f>
        <v>2732.25</v>
      </c>
      <c r="Z43" s="1">
        <f t="shared" ref="Z43:Z49" si="521">+D42</f>
        <v>2732.25</v>
      </c>
      <c r="AA43" s="5">
        <f t="shared" ref="AA43:AA49" si="522">+D42</f>
        <v>2732.25</v>
      </c>
      <c r="AB43" s="130">
        <f t="shared" si="0"/>
        <v>65574</v>
      </c>
      <c r="AC43" s="130">
        <v>4</v>
      </c>
      <c r="AD43" s="131"/>
      <c r="AE43" s="143"/>
    </row>
    <row r="44" spans="2:31">
      <c r="B44" s="146"/>
      <c r="C44" s="151" t="s">
        <v>7</v>
      </c>
      <c r="D44" s="1">
        <f t="shared" ref="D44" si="523">+D42</f>
        <v>2732.25</v>
      </c>
      <c r="E44" s="1">
        <f t="shared" ref="E44" si="524">+D42</f>
        <v>2732.25</v>
      </c>
      <c r="F44" s="1">
        <f t="shared" ref="F44" si="525">+D42</f>
        <v>2732.25</v>
      </c>
      <c r="G44" s="1">
        <f t="shared" ref="G44" si="526">+D42</f>
        <v>2732.25</v>
      </c>
      <c r="H44" s="1">
        <f t="shared" ref="H44" si="527">+D42</f>
        <v>2732.25</v>
      </c>
      <c r="I44" s="1">
        <f t="shared" ref="I44" si="528">+D42</f>
        <v>2732.25</v>
      </c>
      <c r="J44" s="1">
        <f t="shared" ref="J44" si="529">+D42</f>
        <v>2732.25</v>
      </c>
      <c r="K44" s="1">
        <f t="shared" ref="K44" si="530">+D42</f>
        <v>2732.25</v>
      </c>
      <c r="L44" s="1">
        <f t="shared" ref="L44" si="531">+D42</f>
        <v>2732.25</v>
      </c>
      <c r="M44" s="1">
        <f t="shared" ref="M44" si="532">+D42</f>
        <v>2732.25</v>
      </c>
      <c r="N44" s="1">
        <f t="shared" ref="N44" si="533">+D42</f>
        <v>2732.25</v>
      </c>
      <c r="O44" s="1">
        <f t="shared" ref="O44" si="534">+D42</f>
        <v>2732.25</v>
      </c>
      <c r="P44" s="1">
        <f t="shared" ref="P44" si="535">+D42</f>
        <v>2732.25</v>
      </c>
      <c r="Q44" s="1">
        <f t="shared" ref="Q44" si="536">+D42</f>
        <v>2732.25</v>
      </c>
      <c r="R44" s="1">
        <f t="shared" ref="R44" si="537">+D42</f>
        <v>2732.25</v>
      </c>
      <c r="S44" s="1">
        <f t="shared" ref="S44" si="538">+D42</f>
        <v>2732.25</v>
      </c>
      <c r="T44" s="1">
        <f t="shared" ref="T44" si="539">+D42</f>
        <v>2732.25</v>
      </c>
      <c r="U44" s="1">
        <f t="shared" ref="U44" si="540">+D42</f>
        <v>2732.25</v>
      </c>
      <c r="V44" s="1">
        <f t="shared" ref="V44" si="541">+D42</f>
        <v>2732.25</v>
      </c>
      <c r="W44" s="1">
        <f t="shared" ref="W44" si="542">+D42</f>
        <v>2732.25</v>
      </c>
      <c r="X44" s="1">
        <f t="shared" ref="X44" si="543">+D42</f>
        <v>2732.25</v>
      </c>
      <c r="Y44" s="1">
        <f t="shared" ref="Y44" si="544">+D42</f>
        <v>2732.25</v>
      </c>
      <c r="Z44" s="1">
        <f t="shared" ref="Z44" si="545">+D42</f>
        <v>2732.25</v>
      </c>
      <c r="AA44" s="5">
        <f t="shared" ref="AA44" si="546">+D42</f>
        <v>2732.25</v>
      </c>
      <c r="AB44" s="130">
        <f t="shared" si="0"/>
        <v>65574</v>
      </c>
      <c r="AC44" s="130">
        <v>5</v>
      </c>
      <c r="AD44" s="131"/>
      <c r="AE44" s="143"/>
    </row>
    <row r="45" spans="2:31" ht="15" thickBot="1">
      <c r="B45" s="148"/>
      <c r="C45" s="153" t="s">
        <v>8</v>
      </c>
      <c r="D45" s="3">
        <f t="shared" ref="D45" si="547">+D42</f>
        <v>2732.25</v>
      </c>
      <c r="E45" s="3">
        <f t="shared" ref="E45" si="548">+D42</f>
        <v>2732.25</v>
      </c>
      <c r="F45" s="3">
        <f t="shared" ref="F45" si="549">+D42</f>
        <v>2732.25</v>
      </c>
      <c r="G45" s="3">
        <f t="shared" ref="G45" si="550">+D42</f>
        <v>2732.25</v>
      </c>
      <c r="H45" s="3">
        <f t="shared" ref="H45" si="551">+D42</f>
        <v>2732.25</v>
      </c>
      <c r="I45" s="3">
        <f t="shared" ref="I45" si="552">+D42</f>
        <v>2732.25</v>
      </c>
      <c r="J45" s="3">
        <f t="shared" ref="J45" si="553">+D42</f>
        <v>2732.25</v>
      </c>
      <c r="K45" s="3">
        <f t="shared" ref="K45" si="554">+D42</f>
        <v>2732.25</v>
      </c>
      <c r="L45" s="3">
        <f t="shared" ref="L45" si="555">+D42</f>
        <v>2732.25</v>
      </c>
      <c r="M45" s="3">
        <f t="shared" ref="M45" si="556">+D42</f>
        <v>2732.25</v>
      </c>
      <c r="N45" s="3">
        <f t="shared" ref="N45" si="557">+D42</f>
        <v>2732.25</v>
      </c>
      <c r="O45" s="3">
        <f t="shared" ref="O45" si="558">+D42</f>
        <v>2732.25</v>
      </c>
      <c r="P45" s="3">
        <f t="shared" ref="P45" si="559">+D42</f>
        <v>2732.25</v>
      </c>
      <c r="Q45" s="3">
        <f t="shared" ref="Q45" si="560">+D42</f>
        <v>2732.25</v>
      </c>
      <c r="R45" s="3">
        <f t="shared" ref="R45" si="561">+D42</f>
        <v>2732.25</v>
      </c>
      <c r="S45" s="3">
        <f t="shared" ref="S45" si="562">+D42</f>
        <v>2732.25</v>
      </c>
      <c r="T45" s="3">
        <f t="shared" ref="T45" si="563">+D42</f>
        <v>2732.25</v>
      </c>
      <c r="U45" s="3">
        <f t="shared" ref="U45" si="564">+D42</f>
        <v>2732.25</v>
      </c>
      <c r="V45" s="3">
        <f t="shared" ref="V45" si="565">+D42</f>
        <v>2732.25</v>
      </c>
      <c r="W45" s="3">
        <f t="shared" ref="W45" si="566">+D42</f>
        <v>2732.25</v>
      </c>
      <c r="X45" s="3">
        <f t="shared" ref="X45" si="567">+D42</f>
        <v>2732.25</v>
      </c>
      <c r="Y45" s="3">
        <f t="shared" ref="Y45" si="568">+D42</f>
        <v>2732.25</v>
      </c>
      <c r="Z45" s="3">
        <f t="shared" ref="Z45" si="569">+D42</f>
        <v>2732.25</v>
      </c>
      <c r="AA45" s="6">
        <f t="shared" ref="AA45" si="570">+D42</f>
        <v>2732.25</v>
      </c>
      <c r="AB45" s="134">
        <f t="shared" si="0"/>
        <v>65574</v>
      </c>
      <c r="AC45" s="134">
        <v>1</v>
      </c>
      <c r="AD45" s="135"/>
      <c r="AE45" s="143"/>
    </row>
    <row r="46" spans="2:31">
      <c r="B46" s="145">
        <v>47058</v>
      </c>
      <c r="C46" s="150" t="s">
        <v>5</v>
      </c>
      <c r="D46" s="2">
        <v>2732.25</v>
      </c>
      <c r="E46" s="2">
        <f t="shared" ref="E46" si="571">+D46</f>
        <v>2732.25</v>
      </c>
      <c r="F46" s="2">
        <f t="shared" ref="F46:F49" si="572">+D46</f>
        <v>2732.25</v>
      </c>
      <c r="G46" s="2">
        <f t="shared" ref="G46:G49" si="573">+D46</f>
        <v>2732.25</v>
      </c>
      <c r="H46" s="2">
        <f t="shared" ref="H46:H49" si="574">+D46</f>
        <v>2732.25</v>
      </c>
      <c r="I46" s="2">
        <f t="shared" ref="I46:I49" si="575">+D46</f>
        <v>2732.25</v>
      </c>
      <c r="J46" s="2">
        <f t="shared" ref="J46:J49" si="576">+D46</f>
        <v>2732.25</v>
      </c>
      <c r="K46" s="2">
        <f t="shared" ref="K46:K49" si="577">+D46</f>
        <v>2732.25</v>
      </c>
      <c r="L46" s="2">
        <f t="shared" ref="L46:L49" si="578">+D46</f>
        <v>2732.25</v>
      </c>
      <c r="M46" s="2">
        <f t="shared" ref="M46:M49" si="579">+D46</f>
        <v>2732.25</v>
      </c>
      <c r="N46" s="2">
        <f t="shared" ref="N46:N49" si="580">+D46</f>
        <v>2732.25</v>
      </c>
      <c r="O46" s="2">
        <f t="shared" ref="O46:O49" si="581">+D46</f>
        <v>2732.25</v>
      </c>
      <c r="P46" s="2">
        <f t="shared" ref="P46:P49" si="582">+D46</f>
        <v>2732.25</v>
      </c>
      <c r="Q46" s="2">
        <f t="shared" ref="Q46:Q49" si="583">+D46</f>
        <v>2732.25</v>
      </c>
      <c r="R46" s="2">
        <f t="shared" ref="R46:R49" si="584">+D46</f>
        <v>2732.25</v>
      </c>
      <c r="S46" s="2">
        <f t="shared" ref="S46:S49" si="585">+D46</f>
        <v>2732.25</v>
      </c>
      <c r="T46" s="2">
        <f t="shared" ref="T46:T49" si="586">+D46</f>
        <v>2732.25</v>
      </c>
      <c r="U46" s="2">
        <f t="shared" ref="U46:U49" si="587">+D46</f>
        <v>2732.25</v>
      </c>
      <c r="V46" s="2">
        <f t="shared" ref="V46:V49" si="588">+D46</f>
        <v>2732.25</v>
      </c>
      <c r="W46" s="2">
        <f t="shared" ref="W46:W49" si="589">+D46</f>
        <v>2732.25</v>
      </c>
      <c r="X46" s="2">
        <f t="shared" ref="X46:X49" si="590">+D46</f>
        <v>2732.25</v>
      </c>
      <c r="Y46" s="2">
        <f t="shared" ref="Y46:Y49" si="591">+D46</f>
        <v>2732.25</v>
      </c>
      <c r="Z46" s="2">
        <f t="shared" ref="Z46:Z49" si="592">+D46</f>
        <v>2732.25</v>
      </c>
      <c r="AA46" s="4">
        <f t="shared" ref="AA46:AA49" si="593">+D46</f>
        <v>2732.25</v>
      </c>
      <c r="AB46" s="126">
        <f t="shared" si="0"/>
        <v>65574</v>
      </c>
      <c r="AC46" s="126">
        <v>20</v>
      </c>
      <c r="AD46" s="127">
        <f>(AB46*AC46)+(AB47*AC47)+(AB48*AC48)+(AB49*AC49)</f>
        <v>1967220</v>
      </c>
      <c r="AE46" s="143"/>
    </row>
    <row r="47" spans="2:31">
      <c r="B47" s="146"/>
      <c r="C47" s="151" t="s">
        <v>6</v>
      </c>
      <c r="D47" s="1">
        <f t="shared" ref="D47:D49" si="594">+D46</f>
        <v>2732.25</v>
      </c>
      <c r="E47" s="1">
        <f t="shared" ref="E47:E49" si="595">+D46</f>
        <v>2732.25</v>
      </c>
      <c r="F47" s="1">
        <f t="shared" ref="F47:F49" si="596">+D46</f>
        <v>2732.25</v>
      </c>
      <c r="G47" s="1">
        <f t="shared" ref="G47:G49" si="597">+D46</f>
        <v>2732.25</v>
      </c>
      <c r="H47" s="1">
        <f t="shared" ref="H47:H49" si="598">+D46</f>
        <v>2732.25</v>
      </c>
      <c r="I47" s="1">
        <f t="shared" ref="I47:I49" si="599">+D46</f>
        <v>2732.25</v>
      </c>
      <c r="J47" s="1">
        <f t="shared" ref="J47:J49" si="600">+D46</f>
        <v>2732.25</v>
      </c>
      <c r="K47" s="1">
        <f t="shared" ref="K47:K49" si="601">+D46</f>
        <v>2732.25</v>
      </c>
      <c r="L47" s="1">
        <f t="shared" ref="L47:L49" si="602">+D46</f>
        <v>2732.25</v>
      </c>
      <c r="M47" s="1">
        <f t="shared" ref="M47:M49" si="603">+D46</f>
        <v>2732.25</v>
      </c>
      <c r="N47" s="1">
        <f t="shared" ref="N47:N49" si="604">+D46</f>
        <v>2732.25</v>
      </c>
      <c r="O47" s="1">
        <f t="shared" ref="O47:O49" si="605">+D46</f>
        <v>2732.25</v>
      </c>
      <c r="P47" s="1">
        <f t="shared" ref="P47:P49" si="606">+D46</f>
        <v>2732.25</v>
      </c>
      <c r="Q47" s="1">
        <f t="shared" ref="Q47:Q49" si="607">+D46</f>
        <v>2732.25</v>
      </c>
      <c r="R47" s="1">
        <f t="shared" ref="R47:R49" si="608">+D46</f>
        <v>2732.25</v>
      </c>
      <c r="S47" s="1">
        <f t="shared" ref="S47:S49" si="609">+D46</f>
        <v>2732.25</v>
      </c>
      <c r="T47" s="1">
        <f t="shared" ref="T47:T49" si="610">+D46</f>
        <v>2732.25</v>
      </c>
      <c r="U47" s="1">
        <f t="shared" ref="U47:U49" si="611">+D46</f>
        <v>2732.25</v>
      </c>
      <c r="V47" s="1">
        <f t="shared" ref="V47:V49" si="612">+D46</f>
        <v>2732.25</v>
      </c>
      <c r="W47" s="1">
        <f t="shared" ref="W47:W49" si="613">+D46</f>
        <v>2732.25</v>
      </c>
      <c r="X47" s="1">
        <f t="shared" ref="X47:X49" si="614">+D46</f>
        <v>2732.25</v>
      </c>
      <c r="Y47" s="1">
        <f t="shared" ref="Y47:Y49" si="615">+D46</f>
        <v>2732.25</v>
      </c>
      <c r="Z47" s="1">
        <f t="shared" ref="Z47:Z49" si="616">+D46</f>
        <v>2732.25</v>
      </c>
      <c r="AA47" s="5">
        <f t="shared" ref="AA47:AA49" si="617">+D46</f>
        <v>2732.25</v>
      </c>
      <c r="AB47" s="130">
        <f t="shared" si="0"/>
        <v>65574</v>
      </c>
      <c r="AC47" s="130">
        <v>4</v>
      </c>
      <c r="AD47" s="131"/>
      <c r="AE47" s="143"/>
    </row>
    <row r="48" spans="2:31">
      <c r="B48" s="146"/>
      <c r="C48" s="151" t="s">
        <v>7</v>
      </c>
      <c r="D48" s="1">
        <f t="shared" ref="D48" si="618">+D46</f>
        <v>2732.25</v>
      </c>
      <c r="E48" s="1">
        <f t="shared" ref="E48" si="619">+D46</f>
        <v>2732.25</v>
      </c>
      <c r="F48" s="1">
        <f t="shared" ref="F48" si="620">+D46</f>
        <v>2732.25</v>
      </c>
      <c r="G48" s="1">
        <f t="shared" ref="G48" si="621">+D46</f>
        <v>2732.25</v>
      </c>
      <c r="H48" s="1">
        <f t="shared" ref="H48" si="622">+D46</f>
        <v>2732.25</v>
      </c>
      <c r="I48" s="1">
        <f t="shared" ref="I48" si="623">+D46</f>
        <v>2732.25</v>
      </c>
      <c r="J48" s="1">
        <f t="shared" ref="J48" si="624">+D46</f>
        <v>2732.25</v>
      </c>
      <c r="K48" s="1">
        <f t="shared" ref="K48" si="625">+D46</f>
        <v>2732.25</v>
      </c>
      <c r="L48" s="1">
        <f t="shared" ref="L48" si="626">+D46</f>
        <v>2732.25</v>
      </c>
      <c r="M48" s="1">
        <f t="shared" ref="M48" si="627">+D46</f>
        <v>2732.25</v>
      </c>
      <c r="N48" s="1">
        <f t="shared" ref="N48" si="628">+D46</f>
        <v>2732.25</v>
      </c>
      <c r="O48" s="1">
        <f t="shared" ref="O48" si="629">+D46</f>
        <v>2732.25</v>
      </c>
      <c r="P48" s="1">
        <f t="shared" ref="P48" si="630">+D46</f>
        <v>2732.25</v>
      </c>
      <c r="Q48" s="1">
        <f t="shared" ref="Q48" si="631">+D46</f>
        <v>2732.25</v>
      </c>
      <c r="R48" s="1">
        <f t="shared" ref="R48" si="632">+D46</f>
        <v>2732.25</v>
      </c>
      <c r="S48" s="1">
        <f t="shared" ref="S48" si="633">+D46</f>
        <v>2732.25</v>
      </c>
      <c r="T48" s="1">
        <f t="shared" ref="T48" si="634">+D46</f>
        <v>2732.25</v>
      </c>
      <c r="U48" s="1">
        <f t="shared" ref="U48" si="635">+D46</f>
        <v>2732.25</v>
      </c>
      <c r="V48" s="1">
        <f t="shared" ref="V48" si="636">+D46</f>
        <v>2732.25</v>
      </c>
      <c r="W48" s="1">
        <f t="shared" ref="W48" si="637">+D46</f>
        <v>2732.25</v>
      </c>
      <c r="X48" s="1">
        <f t="shared" ref="X48" si="638">+D46</f>
        <v>2732.25</v>
      </c>
      <c r="Y48" s="1">
        <f t="shared" ref="Y48" si="639">+D46</f>
        <v>2732.25</v>
      </c>
      <c r="Z48" s="1">
        <f t="shared" ref="Z48" si="640">+D46</f>
        <v>2732.25</v>
      </c>
      <c r="AA48" s="5">
        <f t="shared" ref="AA48" si="641">+D46</f>
        <v>2732.25</v>
      </c>
      <c r="AB48" s="130">
        <f t="shared" si="0"/>
        <v>65574</v>
      </c>
      <c r="AC48" s="130">
        <v>4</v>
      </c>
      <c r="AD48" s="131"/>
      <c r="AE48" s="143"/>
    </row>
    <row r="49" spans="2:31" ht="15" thickBot="1">
      <c r="B49" s="148"/>
      <c r="C49" s="153" t="s">
        <v>8</v>
      </c>
      <c r="D49" s="3">
        <f t="shared" ref="D49" si="642">+D46</f>
        <v>2732.25</v>
      </c>
      <c r="E49" s="3">
        <f t="shared" ref="E49" si="643">+D46</f>
        <v>2732.25</v>
      </c>
      <c r="F49" s="3">
        <f t="shared" ref="F49" si="644">+D46</f>
        <v>2732.25</v>
      </c>
      <c r="G49" s="3">
        <f t="shared" ref="G49" si="645">+D46</f>
        <v>2732.25</v>
      </c>
      <c r="H49" s="3">
        <f t="shared" ref="H49" si="646">+D46</f>
        <v>2732.25</v>
      </c>
      <c r="I49" s="3">
        <f t="shared" ref="I49" si="647">+D46</f>
        <v>2732.25</v>
      </c>
      <c r="J49" s="3">
        <f t="shared" ref="J49" si="648">+D46</f>
        <v>2732.25</v>
      </c>
      <c r="K49" s="3">
        <f t="shared" ref="K49" si="649">+D46</f>
        <v>2732.25</v>
      </c>
      <c r="L49" s="3">
        <f t="shared" ref="L49" si="650">+D46</f>
        <v>2732.25</v>
      </c>
      <c r="M49" s="3">
        <f t="shared" ref="M49" si="651">+D46</f>
        <v>2732.25</v>
      </c>
      <c r="N49" s="3">
        <f t="shared" ref="N49" si="652">+D46</f>
        <v>2732.25</v>
      </c>
      <c r="O49" s="3">
        <f t="shared" ref="O49" si="653">+D46</f>
        <v>2732.25</v>
      </c>
      <c r="P49" s="3">
        <f t="shared" ref="P49" si="654">+D46</f>
        <v>2732.25</v>
      </c>
      <c r="Q49" s="3">
        <f t="shared" ref="Q49" si="655">+D46</f>
        <v>2732.25</v>
      </c>
      <c r="R49" s="3">
        <f t="shared" ref="R49" si="656">+D46</f>
        <v>2732.25</v>
      </c>
      <c r="S49" s="3">
        <f t="shared" ref="S49" si="657">+D46</f>
        <v>2732.25</v>
      </c>
      <c r="T49" s="3">
        <f t="shared" ref="T49" si="658">+D46</f>
        <v>2732.25</v>
      </c>
      <c r="U49" s="3">
        <f t="shared" ref="U49" si="659">+D46</f>
        <v>2732.25</v>
      </c>
      <c r="V49" s="3">
        <f t="shared" ref="V49" si="660">+D46</f>
        <v>2732.25</v>
      </c>
      <c r="W49" s="3">
        <f t="shared" ref="W49" si="661">+D46</f>
        <v>2732.25</v>
      </c>
      <c r="X49" s="3">
        <f t="shared" ref="X49" si="662">+D46</f>
        <v>2732.25</v>
      </c>
      <c r="Y49" s="3">
        <f t="shared" ref="Y49" si="663">+D46</f>
        <v>2732.25</v>
      </c>
      <c r="Z49" s="3">
        <f t="shared" ref="Z49" si="664">+D46</f>
        <v>2732.25</v>
      </c>
      <c r="AA49" s="6">
        <f t="shared" ref="AA49" si="665">+D46</f>
        <v>2732.25</v>
      </c>
      <c r="AB49" s="134">
        <f t="shared" si="0"/>
        <v>65574</v>
      </c>
      <c r="AC49" s="134">
        <v>2</v>
      </c>
      <c r="AD49" s="135"/>
      <c r="AE49" s="143"/>
    </row>
    <row r="50" spans="2:31">
      <c r="B50" s="145">
        <v>47088</v>
      </c>
      <c r="C50" s="150" t="s">
        <v>5</v>
      </c>
      <c r="D50" s="2">
        <v>2732.25</v>
      </c>
      <c r="E50" s="2">
        <f>+D50</f>
        <v>2732.25</v>
      </c>
      <c r="F50" s="2">
        <f>+D50</f>
        <v>2732.25</v>
      </c>
      <c r="G50" s="2">
        <f>+D50</f>
        <v>2732.25</v>
      </c>
      <c r="H50" s="2">
        <f>+D50</f>
        <v>2732.25</v>
      </c>
      <c r="I50" s="2">
        <f>+D50</f>
        <v>2732.25</v>
      </c>
      <c r="J50" s="2">
        <f>+D50</f>
        <v>2732.25</v>
      </c>
      <c r="K50" s="2">
        <f>+D50</f>
        <v>2732.25</v>
      </c>
      <c r="L50" s="2">
        <f>+D50</f>
        <v>2732.25</v>
      </c>
      <c r="M50" s="2">
        <f>+D50</f>
        <v>2732.25</v>
      </c>
      <c r="N50" s="2">
        <f>+D50</f>
        <v>2732.25</v>
      </c>
      <c r="O50" s="2">
        <f>+D50</f>
        <v>2732.25</v>
      </c>
      <c r="P50" s="2">
        <f>+D50</f>
        <v>2732.25</v>
      </c>
      <c r="Q50" s="2">
        <f>+D50</f>
        <v>2732.25</v>
      </c>
      <c r="R50" s="2">
        <f>+D50</f>
        <v>2732.25</v>
      </c>
      <c r="S50" s="2">
        <f>+D50</f>
        <v>2732.25</v>
      </c>
      <c r="T50" s="2">
        <f>+D50</f>
        <v>2732.25</v>
      </c>
      <c r="U50" s="2">
        <f>+D50</f>
        <v>2732.25</v>
      </c>
      <c r="V50" s="2">
        <f>+D50</f>
        <v>2732.25</v>
      </c>
      <c r="W50" s="2">
        <f>+D50</f>
        <v>2732.25</v>
      </c>
      <c r="X50" s="2">
        <f>+D50</f>
        <v>2732.25</v>
      </c>
      <c r="Y50" s="2">
        <f>+D50</f>
        <v>2732.25</v>
      </c>
      <c r="Z50" s="2">
        <f>+D50</f>
        <v>2732.25</v>
      </c>
      <c r="AA50" s="4">
        <f>+D50</f>
        <v>2732.25</v>
      </c>
      <c r="AB50" s="126">
        <f t="shared" si="0"/>
        <v>65574</v>
      </c>
      <c r="AC50" s="126">
        <v>19</v>
      </c>
      <c r="AD50" s="127">
        <f>(AB50*AC50)+(AB51*AC51)+(AB52*AC52)+(AB53*AC53)</f>
        <v>2032794</v>
      </c>
      <c r="AE50" s="143"/>
    </row>
    <row r="51" spans="2:31">
      <c r="B51" s="146"/>
      <c r="C51" s="151" t="s">
        <v>6</v>
      </c>
      <c r="D51" s="1">
        <f>+D50</f>
        <v>2732.25</v>
      </c>
      <c r="E51" s="1">
        <f>+D50</f>
        <v>2732.25</v>
      </c>
      <c r="F51" s="1">
        <f>+D50</f>
        <v>2732.25</v>
      </c>
      <c r="G51" s="1">
        <f>+D50</f>
        <v>2732.25</v>
      </c>
      <c r="H51" s="1">
        <f>+D50</f>
        <v>2732.25</v>
      </c>
      <c r="I51" s="1">
        <f>+D50</f>
        <v>2732.25</v>
      </c>
      <c r="J51" s="1">
        <f>+D50</f>
        <v>2732.25</v>
      </c>
      <c r="K51" s="1">
        <f>+D50</f>
        <v>2732.25</v>
      </c>
      <c r="L51" s="1">
        <f>+D50</f>
        <v>2732.25</v>
      </c>
      <c r="M51" s="1">
        <f>+D50</f>
        <v>2732.25</v>
      </c>
      <c r="N51" s="1">
        <f>+D50</f>
        <v>2732.25</v>
      </c>
      <c r="O51" s="1">
        <f>+D50</f>
        <v>2732.25</v>
      </c>
      <c r="P51" s="1">
        <f>+D50</f>
        <v>2732.25</v>
      </c>
      <c r="Q51" s="1">
        <f>+D50</f>
        <v>2732.25</v>
      </c>
      <c r="R51" s="1">
        <f>+D50</f>
        <v>2732.25</v>
      </c>
      <c r="S51" s="1">
        <f>+D50</f>
        <v>2732.25</v>
      </c>
      <c r="T51" s="1">
        <f>+D50</f>
        <v>2732.25</v>
      </c>
      <c r="U51" s="1">
        <f>+D50</f>
        <v>2732.25</v>
      </c>
      <c r="V51" s="1">
        <f>+D50</f>
        <v>2732.25</v>
      </c>
      <c r="W51" s="1">
        <f>+D50</f>
        <v>2732.25</v>
      </c>
      <c r="X51" s="1">
        <f>+D50</f>
        <v>2732.25</v>
      </c>
      <c r="Y51" s="1">
        <f>+D50</f>
        <v>2732.25</v>
      </c>
      <c r="Z51" s="1">
        <f>+D50</f>
        <v>2732.25</v>
      </c>
      <c r="AA51" s="5">
        <f>+D50</f>
        <v>2732.25</v>
      </c>
      <c r="AB51" s="130">
        <f t="shared" si="0"/>
        <v>65574</v>
      </c>
      <c r="AC51" s="130">
        <v>5</v>
      </c>
      <c r="AD51" s="131"/>
      <c r="AE51" s="143"/>
    </row>
    <row r="52" spans="2:31">
      <c r="B52" s="146"/>
      <c r="C52" s="151" t="s">
        <v>7</v>
      </c>
      <c r="D52" s="1">
        <f>+D50</f>
        <v>2732.25</v>
      </c>
      <c r="E52" s="1">
        <f>+D50</f>
        <v>2732.25</v>
      </c>
      <c r="F52" s="1">
        <f>+D50</f>
        <v>2732.25</v>
      </c>
      <c r="G52" s="1">
        <f>+D50</f>
        <v>2732.25</v>
      </c>
      <c r="H52" s="1">
        <f>+D50</f>
        <v>2732.25</v>
      </c>
      <c r="I52" s="1">
        <f>+D50</f>
        <v>2732.25</v>
      </c>
      <c r="J52" s="1">
        <f>+D50</f>
        <v>2732.25</v>
      </c>
      <c r="K52" s="1">
        <f>+D50</f>
        <v>2732.25</v>
      </c>
      <c r="L52" s="1">
        <f>+D50</f>
        <v>2732.25</v>
      </c>
      <c r="M52" s="1">
        <f>+D50</f>
        <v>2732.25</v>
      </c>
      <c r="N52" s="1">
        <f>+D50</f>
        <v>2732.25</v>
      </c>
      <c r="O52" s="1">
        <f>+D50</f>
        <v>2732.25</v>
      </c>
      <c r="P52" s="1">
        <f>+D50</f>
        <v>2732.25</v>
      </c>
      <c r="Q52" s="1">
        <f>+D50</f>
        <v>2732.25</v>
      </c>
      <c r="R52" s="1">
        <f>+D50</f>
        <v>2732.25</v>
      </c>
      <c r="S52" s="1">
        <f>+D50</f>
        <v>2732.25</v>
      </c>
      <c r="T52" s="1">
        <f>+D50</f>
        <v>2732.25</v>
      </c>
      <c r="U52" s="1">
        <f>+D50</f>
        <v>2732.25</v>
      </c>
      <c r="V52" s="1">
        <f>+D50</f>
        <v>2732.25</v>
      </c>
      <c r="W52" s="1">
        <f>+D50</f>
        <v>2732.25</v>
      </c>
      <c r="X52" s="1">
        <f>+D50</f>
        <v>2732.25</v>
      </c>
      <c r="Y52" s="1">
        <f>+D50</f>
        <v>2732.25</v>
      </c>
      <c r="Z52" s="1">
        <f>+D50</f>
        <v>2732.25</v>
      </c>
      <c r="AA52" s="5">
        <f>+D50</f>
        <v>2732.25</v>
      </c>
      <c r="AB52" s="130">
        <f t="shared" si="0"/>
        <v>65574</v>
      </c>
      <c r="AC52" s="130">
        <v>5</v>
      </c>
      <c r="AD52" s="131"/>
      <c r="AE52" s="143"/>
    </row>
    <row r="53" spans="2:31" ht="15" thickBot="1">
      <c r="B53" s="148"/>
      <c r="C53" s="153" t="s">
        <v>8</v>
      </c>
      <c r="D53" s="3">
        <f>+D50</f>
        <v>2732.25</v>
      </c>
      <c r="E53" s="3">
        <f>+D50</f>
        <v>2732.25</v>
      </c>
      <c r="F53" s="3">
        <f>+D50</f>
        <v>2732.25</v>
      </c>
      <c r="G53" s="3">
        <f>+D50</f>
        <v>2732.25</v>
      </c>
      <c r="H53" s="3">
        <f>+D50</f>
        <v>2732.25</v>
      </c>
      <c r="I53" s="3">
        <f>+D50</f>
        <v>2732.25</v>
      </c>
      <c r="J53" s="3">
        <f>+D50</f>
        <v>2732.25</v>
      </c>
      <c r="K53" s="3">
        <f>+D50</f>
        <v>2732.25</v>
      </c>
      <c r="L53" s="3">
        <f>+D50</f>
        <v>2732.25</v>
      </c>
      <c r="M53" s="3">
        <f>+D50</f>
        <v>2732.25</v>
      </c>
      <c r="N53" s="3">
        <f>+D50</f>
        <v>2732.25</v>
      </c>
      <c r="O53" s="3">
        <f>+D50</f>
        <v>2732.25</v>
      </c>
      <c r="P53" s="3">
        <f>+D50</f>
        <v>2732.25</v>
      </c>
      <c r="Q53" s="3">
        <f>+D50</f>
        <v>2732.25</v>
      </c>
      <c r="R53" s="3">
        <f>+D50</f>
        <v>2732.25</v>
      </c>
      <c r="S53" s="3">
        <f>+D50</f>
        <v>2732.25</v>
      </c>
      <c r="T53" s="3">
        <f>+D50</f>
        <v>2732.25</v>
      </c>
      <c r="U53" s="3">
        <f>+D50</f>
        <v>2732.25</v>
      </c>
      <c r="V53" s="3">
        <f>+D50</f>
        <v>2732.25</v>
      </c>
      <c r="W53" s="3">
        <f>+D50</f>
        <v>2732.25</v>
      </c>
      <c r="X53" s="3">
        <f>+D50</f>
        <v>2732.25</v>
      </c>
      <c r="Y53" s="3">
        <f>+D50</f>
        <v>2732.25</v>
      </c>
      <c r="Z53" s="3">
        <f>+D50</f>
        <v>2732.25</v>
      </c>
      <c r="AA53" s="6">
        <f>+D50</f>
        <v>2732.25</v>
      </c>
      <c r="AB53" s="134">
        <f t="shared" si="0"/>
        <v>65574</v>
      </c>
      <c r="AC53" s="134">
        <v>2</v>
      </c>
      <c r="AD53" s="135"/>
      <c r="AE53" s="143"/>
    </row>
    <row r="54" spans="2:31" ht="15" thickBot="1">
      <c r="AD54" s="7">
        <f>SUM(AD6:AD53)</f>
        <v>24000084</v>
      </c>
    </row>
    <row r="56" spans="2:31">
      <c r="AD56" s="33"/>
    </row>
    <row r="58" spans="2:31">
      <c r="AD58" s="33"/>
    </row>
  </sheetData>
  <mergeCells count="27">
    <mergeCell ref="B50:B53"/>
    <mergeCell ref="AD50:AD53"/>
    <mergeCell ref="B38:B41"/>
    <mergeCell ref="AD38:AD41"/>
    <mergeCell ref="B42:B45"/>
    <mergeCell ref="AD42:AD45"/>
    <mergeCell ref="B46:B49"/>
    <mergeCell ref="AD46:AD49"/>
    <mergeCell ref="B26:B29"/>
    <mergeCell ref="AD26:AD29"/>
    <mergeCell ref="B30:B33"/>
    <mergeCell ref="AD30:AD33"/>
    <mergeCell ref="B34:B37"/>
    <mergeCell ref="AD34:AD37"/>
    <mergeCell ref="B14:B17"/>
    <mergeCell ref="AD14:AD17"/>
    <mergeCell ref="B18:B21"/>
    <mergeCell ref="AD18:AD21"/>
    <mergeCell ref="B22:B25"/>
    <mergeCell ref="AD22:AD25"/>
    <mergeCell ref="B2:AB2"/>
    <mergeCell ref="B3:AB3"/>
    <mergeCell ref="B4:AB4"/>
    <mergeCell ref="B6:B9"/>
    <mergeCell ref="AD6:AD9"/>
    <mergeCell ref="B10:B13"/>
    <mergeCell ref="AD10:AD13"/>
  </mergeCells>
  <conditionalFormatting sqref="D6:AA53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D8D5-88F0-4E03-87C8-CDA99C6E9244}">
  <dimension ref="B3:M28"/>
  <sheetViews>
    <sheetView showGridLines="0" zoomScale="90" zoomScaleNormal="90" workbookViewId="0">
      <selection activeCell="C43" sqref="C43"/>
    </sheetView>
  </sheetViews>
  <sheetFormatPr baseColWidth="10" defaultColWidth="11.453125" defaultRowHeight="14.5"/>
  <cols>
    <col min="1" max="3" width="11.453125" style="8"/>
    <col min="4" max="4" width="15.26953125" style="8" customWidth="1"/>
    <col min="5" max="5" width="11.453125" style="8"/>
    <col min="6" max="6" width="13.26953125" style="8" customWidth="1"/>
    <col min="7" max="7" width="11.453125" style="8"/>
    <col min="8" max="8" width="12.6328125" style="26" bestFit="1" customWidth="1"/>
    <col min="9" max="9" width="11.453125" style="29"/>
    <col min="10" max="10" width="16.36328125" style="8" bestFit="1" customWidth="1"/>
    <col min="11" max="16384" width="11.453125" style="8"/>
  </cols>
  <sheetData>
    <row r="3" spans="2:13" ht="15" thickBot="1"/>
    <row r="4" spans="2:13">
      <c r="B4" s="61" t="s">
        <v>64</v>
      </c>
      <c r="C4" s="61"/>
      <c r="D4" s="61"/>
      <c r="E4" s="61"/>
      <c r="F4" s="61"/>
      <c r="G4" s="62"/>
    </row>
    <row r="5" spans="2:13">
      <c r="B5" s="63" t="s">
        <v>9</v>
      </c>
      <c r="C5" s="63"/>
      <c r="D5" s="63"/>
      <c r="E5" s="63"/>
      <c r="F5" s="63"/>
      <c r="G5" s="64"/>
    </row>
    <row r="6" spans="2:13">
      <c r="B6" s="65" t="s">
        <v>10</v>
      </c>
      <c r="C6" s="65"/>
      <c r="D6" s="65"/>
      <c r="E6" s="65"/>
      <c r="F6" s="65"/>
      <c r="G6" s="66"/>
    </row>
    <row r="7" spans="2:13" ht="15" thickBot="1">
      <c r="B7" s="67" t="s">
        <v>39</v>
      </c>
      <c r="C7" s="67"/>
      <c r="D7" s="67"/>
      <c r="E7" s="67"/>
      <c r="F7" s="67"/>
      <c r="G7" s="68"/>
    </row>
    <row r="8" spans="2:13" ht="15" thickBot="1">
      <c r="B8" s="69" t="s">
        <v>66</v>
      </c>
      <c r="C8" s="69"/>
      <c r="D8" s="69"/>
      <c r="E8" s="69"/>
      <c r="F8" s="70"/>
      <c r="G8" s="71"/>
    </row>
    <row r="9" spans="2:13">
      <c r="B9" s="34">
        <v>2028</v>
      </c>
      <c r="C9" s="35" t="s">
        <v>25</v>
      </c>
      <c r="D9" s="36">
        <f>+'Producto 7 Plano 2028'!AE6</f>
        <v>2032794</v>
      </c>
      <c r="E9" s="156"/>
      <c r="F9" s="53">
        <f>+$E$9*D9</f>
        <v>0</v>
      </c>
      <c r="G9" s="49"/>
      <c r="H9" s="32">
        <f>+SUM(D9:D20)</f>
        <v>24000084</v>
      </c>
      <c r="I9" s="30"/>
    </row>
    <row r="10" spans="2:13">
      <c r="B10" s="38">
        <v>2028</v>
      </c>
      <c r="C10" s="39" t="s">
        <v>26</v>
      </c>
      <c r="D10" s="40">
        <f>+'Producto 7 Plano 2028'!AE7</f>
        <v>1901646</v>
      </c>
      <c r="E10" s="157"/>
      <c r="F10" s="54">
        <f>+$E$9*D10</f>
        <v>0</v>
      </c>
      <c r="G10" s="37"/>
    </row>
    <row r="11" spans="2:13">
      <c r="B11" s="38">
        <v>2028</v>
      </c>
      <c r="C11" s="39" t="s">
        <v>27</v>
      </c>
      <c r="D11" s="40">
        <f>+'Producto 7 Plano 2028'!AE8</f>
        <v>2032794</v>
      </c>
      <c r="E11" s="157"/>
      <c r="F11" s="54">
        <f>+$E$9*D11</f>
        <v>0</v>
      </c>
      <c r="G11" s="37"/>
    </row>
    <row r="12" spans="2:13">
      <c r="B12" s="38">
        <v>2028</v>
      </c>
      <c r="C12" s="39" t="s">
        <v>28</v>
      </c>
      <c r="D12" s="40">
        <f>+'Producto 7 Plano 2028'!AE9</f>
        <v>1967220</v>
      </c>
      <c r="E12" s="157"/>
      <c r="F12" s="54">
        <f>+$E$9*D12</f>
        <v>0</v>
      </c>
      <c r="G12" s="37"/>
      <c r="I12" s="45"/>
      <c r="J12" s="46"/>
      <c r="K12" s="47"/>
      <c r="M12" s="47"/>
    </row>
    <row r="13" spans="2:13">
      <c r="B13" s="38">
        <v>2028</v>
      </c>
      <c r="C13" s="39" t="s">
        <v>29</v>
      </c>
      <c r="D13" s="40">
        <f>+'Producto 7 Plano 2028'!AE10</f>
        <v>2032794</v>
      </c>
      <c r="E13" s="157"/>
      <c r="F13" s="54">
        <f>+$E$9*D13</f>
        <v>0</v>
      </c>
      <c r="G13" s="37"/>
      <c r="I13" s="45"/>
      <c r="J13" s="46"/>
      <c r="K13" s="47"/>
      <c r="M13" s="47"/>
    </row>
    <row r="14" spans="2:13">
      <c r="B14" s="38">
        <v>2028</v>
      </c>
      <c r="C14" s="39" t="s">
        <v>18</v>
      </c>
      <c r="D14" s="40">
        <f>+'Producto 7 Plano 2028'!AE11</f>
        <v>1967220</v>
      </c>
      <c r="E14" s="157"/>
      <c r="F14" s="54">
        <f>+$E$9*D14</f>
        <v>0</v>
      </c>
      <c r="G14" s="37"/>
      <c r="I14" s="45"/>
      <c r="J14" s="46"/>
      <c r="K14" s="47"/>
      <c r="M14" s="47"/>
    </row>
    <row r="15" spans="2:13">
      <c r="B15" s="38">
        <v>2028</v>
      </c>
      <c r="C15" s="39" t="s">
        <v>19</v>
      </c>
      <c r="D15" s="40">
        <f>+'Producto 7 Plano 2028'!AE12</f>
        <v>2032794</v>
      </c>
      <c r="E15" s="157"/>
      <c r="F15" s="54">
        <f>+$E$9*D15</f>
        <v>0</v>
      </c>
      <c r="G15" s="37"/>
      <c r="I15" s="45"/>
      <c r="J15" s="46"/>
      <c r="K15" s="47"/>
      <c r="M15" s="47"/>
    </row>
    <row r="16" spans="2:13">
      <c r="B16" s="38">
        <v>2028</v>
      </c>
      <c r="C16" s="39" t="s">
        <v>20</v>
      </c>
      <c r="D16" s="40">
        <f>+'Producto 7 Plano 2028'!AE13</f>
        <v>2032794</v>
      </c>
      <c r="E16" s="157"/>
      <c r="F16" s="54">
        <f>+$E$9*D16</f>
        <v>0</v>
      </c>
      <c r="G16" s="37"/>
      <c r="I16" s="45"/>
      <c r="J16" s="46"/>
      <c r="K16" s="47"/>
      <c r="M16" s="47"/>
    </row>
    <row r="17" spans="2:13">
      <c r="B17" s="38">
        <v>2028</v>
      </c>
      <c r="C17" s="39" t="s">
        <v>21</v>
      </c>
      <c r="D17" s="40">
        <f>+'Producto 7 Plano 2028'!AE14</f>
        <v>1967220</v>
      </c>
      <c r="E17" s="157"/>
      <c r="F17" s="54">
        <f>+$E$9*D17</f>
        <v>0</v>
      </c>
      <c r="G17" s="37"/>
      <c r="I17" s="45"/>
      <c r="J17" s="46"/>
      <c r="K17" s="47"/>
      <c r="M17" s="47"/>
    </row>
    <row r="18" spans="2:13">
      <c r="B18" s="38">
        <v>2028</v>
      </c>
      <c r="C18" s="39" t="s">
        <v>22</v>
      </c>
      <c r="D18" s="40">
        <f>+'Producto 7 Plano 2028'!AE15</f>
        <v>2032794</v>
      </c>
      <c r="E18" s="157"/>
      <c r="F18" s="54">
        <f>+$E$9*D18</f>
        <v>0</v>
      </c>
      <c r="G18" s="37"/>
      <c r="I18" s="45"/>
      <c r="J18" s="46"/>
      <c r="K18" s="47"/>
      <c r="M18" s="47"/>
    </row>
    <row r="19" spans="2:13">
      <c r="B19" s="38">
        <v>2028</v>
      </c>
      <c r="C19" s="39" t="s">
        <v>23</v>
      </c>
      <c r="D19" s="40">
        <f>+'Producto 7 Plano 2028'!AE16</f>
        <v>1967220</v>
      </c>
      <c r="E19" s="157"/>
      <c r="F19" s="54">
        <f>+$E$9*D19</f>
        <v>0</v>
      </c>
      <c r="G19" s="37"/>
      <c r="I19" s="45"/>
      <c r="J19" s="46"/>
      <c r="K19" s="47"/>
      <c r="M19" s="47"/>
    </row>
    <row r="20" spans="2:13" ht="15" thickBot="1">
      <c r="B20" s="41">
        <v>2028</v>
      </c>
      <c r="C20" s="42" t="s">
        <v>24</v>
      </c>
      <c r="D20" s="43">
        <f>+'Producto 7 Plano 2028'!AE17</f>
        <v>2032794</v>
      </c>
      <c r="E20" s="158"/>
      <c r="F20" s="55">
        <f>+$E$9*D20</f>
        <v>0</v>
      </c>
      <c r="G20" s="44"/>
      <c r="I20" s="45"/>
      <c r="J20" s="46"/>
      <c r="K20" s="47"/>
      <c r="M20" s="47"/>
    </row>
    <row r="21" spans="2:13" ht="15" thickBot="1">
      <c r="B21" s="59" t="s">
        <v>65</v>
      </c>
      <c r="C21" s="60"/>
      <c r="D21" s="24">
        <f>+SUM(D9:D20)</f>
        <v>24000084</v>
      </c>
      <c r="J21" s="31"/>
      <c r="K21" s="48"/>
    </row>
    <row r="22" spans="2:13">
      <c r="G22" s="31"/>
    </row>
    <row r="23" spans="2:13">
      <c r="B23" s="8" t="s">
        <v>30</v>
      </c>
    </row>
    <row r="24" spans="2:13">
      <c r="B24" s="8" t="s">
        <v>31</v>
      </c>
    </row>
    <row r="25" spans="2:13">
      <c r="B25" s="8" t="s">
        <v>32</v>
      </c>
    </row>
    <row r="26" spans="2:13">
      <c r="B26" s="8" t="s">
        <v>33</v>
      </c>
    </row>
    <row r="28" spans="2:13">
      <c r="D28" s="25"/>
    </row>
  </sheetData>
  <mergeCells count="7">
    <mergeCell ref="B4:G4"/>
    <mergeCell ref="B5:G5"/>
    <mergeCell ref="B6:G6"/>
    <mergeCell ref="B7:G7"/>
    <mergeCell ref="B8:G8"/>
    <mergeCell ref="B21:C21"/>
    <mergeCell ref="E9:E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Producto 1 curvo 26</vt:lpstr>
      <vt:lpstr>Anexo 2 Producto 1</vt:lpstr>
      <vt:lpstr>Producto 2 Plano 26</vt:lpstr>
      <vt:lpstr>Anexo 2 Producto 2</vt:lpstr>
      <vt:lpstr>Producto 3 Plano 29-36</vt:lpstr>
      <vt:lpstr>Anexo 2 Producto 3</vt:lpstr>
      <vt:lpstr>Producto 4 Plano 27</vt:lpstr>
      <vt:lpstr>Anexo 2 Producto 4</vt:lpstr>
      <vt:lpstr>Producto 5 Plano 27</vt:lpstr>
      <vt:lpstr>Anexo 2 Producto 5</vt:lpstr>
      <vt:lpstr>Producto 6 Plano 2028</vt:lpstr>
      <vt:lpstr>Anexo 2 Producto 6</vt:lpstr>
      <vt:lpstr>Producto 7 Plano 2028</vt:lpstr>
      <vt:lpstr>Anexo 2 Producto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Melissa Gonzalez Parra</dc:creator>
  <cp:lastModifiedBy>Kelly Johana Muñoz Novoa</cp:lastModifiedBy>
  <dcterms:created xsi:type="dcterms:W3CDTF">2021-03-30T14:28:44Z</dcterms:created>
  <dcterms:modified xsi:type="dcterms:W3CDTF">2026-05-14T00:10:44Z</dcterms:modified>
</cp:coreProperties>
</file>