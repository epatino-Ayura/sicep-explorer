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5" yWindow="-15" windowWidth="14400" windowHeight="12420" activeTab="4"/>
  </bookViews>
  <sheets>
    <sheet name="PRODUCTO 1" sheetId="21" r:id="rId1"/>
    <sheet name="PRODUCTO 2" sheetId="27" r:id="rId2"/>
    <sheet name="PRODUCTO 3" sheetId="28" r:id="rId3"/>
    <sheet name="PRODUCTO 4" sheetId="29" r:id="rId4"/>
    <sheet name="OFERTA" sheetId="20" r:id="rId5"/>
  </sheets>
  <calcPr calcId="144525"/>
</workbook>
</file>

<file path=xl/calcChain.xml><?xml version="1.0" encoding="utf-8"?>
<calcChain xmlns="http://schemas.openxmlformats.org/spreadsheetml/2006/main">
  <c r="AA12" i="29" l="1"/>
  <c r="AC12" i="29" s="1"/>
  <c r="AA11" i="29"/>
  <c r="AC11" i="29" s="1"/>
  <c r="AA10" i="29"/>
  <c r="AC10" i="29" s="1"/>
  <c r="AA9" i="29"/>
  <c r="AC9" i="29" s="1"/>
  <c r="AA8" i="29"/>
  <c r="AC8" i="29" s="1"/>
  <c r="AA7" i="29"/>
  <c r="AC7" i="29" s="1"/>
  <c r="AA6" i="29"/>
  <c r="AC6" i="29" s="1"/>
  <c r="AA11" i="28"/>
  <c r="AC11" i="28" s="1"/>
  <c r="AA10" i="28"/>
  <c r="AC10" i="28" s="1"/>
  <c r="AA9" i="28"/>
  <c r="AC9" i="28" s="1"/>
  <c r="AA8" i="28"/>
  <c r="AC8" i="28" s="1"/>
  <c r="AA7" i="28"/>
  <c r="AC7" i="28" s="1"/>
  <c r="AA6" i="28"/>
  <c r="AC6" i="28" s="1"/>
  <c r="AA5" i="28"/>
  <c r="AC5" i="28" s="1"/>
  <c r="AA12" i="27"/>
  <c r="AC12" i="27" s="1"/>
  <c r="AA11" i="27"/>
  <c r="AC11" i="27" s="1"/>
  <c r="AA10" i="27"/>
  <c r="AC10" i="27" s="1"/>
  <c r="AA9" i="27"/>
  <c r="AC9" i="27" s="1"/>
  <c r="AA8" i="27"/>
  <c r="AC8" i="27" s="1"/>
  <c r="AA7" i="27"/>
  <c r="AC7" i="27" s="1"/>
  <c r="AA6" i="27"/>
  <c r="AC6" i="27" s="1"/>
  <c r="AA11" i="21" l="1"/>
  <c r="AC11" i="21" s="1"/>
  <c r="AA10" i="21"/>
  <c r="AC10" i="21" s="1"/>
  <c r="AA9" i="21"/>
  <c r="AC9" i="21" s="1"/>
  <c r="AA8" i="21"/>
  <c r="AC8" i="21" s="1"/>
  <c r="AA7" i="21"/>
  <c r="AC7" i="21" s="1"/>
  <c r="AA6" i="21"/>
  <c r="AC6" i="21" s="1"/>
  <c r="AA5" i="21"/>
  <c r="AC5" i="21" s="1"/>
</calcChain>
</file>

<file path=xl/sharedStrings.xml><?xml version="1.0" encoding="utf-8"?>
<sst xmlns="http://schemas.openxmlformats.org/spreadsheetml/2006/main" count="111" uniqueCount="31">
  <si>
    <t>MES</t>
  </si>
  <si>
    <t>TIPO DE</t>
  </si>
  <si>
    <t>HORA</t>
  </si>
  <si>
    <t>TOTAL DIARIO</t>
  </si>
  <si>
    <t>DIAS EN EL MES</t>
  </si>
  <si>
    <t>TOTAL MES</t>
  </si>
  <si>
    <t>DIA</t>
  </si>
  <si>
    <t>ENERO</t>
  </si>
  <si>
    <t>FEBRERO</t>
  </si>
  <si>
    <t>MARZO</t>
  </si>
  <si>
    <t>ABRIL</t>
  </si>
  <si>
    <t>MAYO</t>
  </si>
  <si>
    <t>JUNIO</t>
  </si>
  <si>
    <t>JULIO</t>
  </si>
  <si>
    <t>EMPRESA DE ENERGIA DEL VALLE DE SIBUNDOY S.A. E.S.P.</t>
  </si>
  <si>
    <t>FORMULARIO RESUMEN DE LA PROPUESTA</t>
  </si>
  <si>
    <t>PROPONENTE:</t>
  </si>
  <si>
    <t>AÑO</t>
  </si>
  <si>
    <t>ENERGIA OFRECIDA KWH</t>
  </si>
  <si>
    <t>TARIFA OFRECIDA $/KWH</t>
  </si>
  <si>
    <t>TIPO DE CONTRATO</t>
  </si>
  <si>
    <t>OBSERVACIONES:</t>
  </si>
  <si>
    <t>TODOS</t>
  </si>
  <si>
    <t>PRODUCTO:</t>
  </si>
  <si>
    <t>PROYECCION CANTIDADES DE ENERGIA AÑO 2027 PRODUCTO 1 (KWH)</t>
  </si>
  <si>
    <t>PROYECCION CANTIDADES DE ENERGIA AÑO 2027 PRODUCTO 2 (KWH)</t>
  </si>
  <si>
    <t>PROYECCION CANTIDADES DE ENERGIA AÑO 2027 PRODUCTO 3 (KWH)</t>
  </si>
  <si>
    <t>PROYECCION CANTIDADES DE ENERGIA AÑO 2027 PRODUCTO 4 (KWH)</t>
  </si>
  <si>
    <t>BLOQUE 1</t>
  </si>
  <si>
    <t>BLOQUE 2</t>
  </si>
  <si>
    <t>BLOQUE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</si>
</sst>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6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19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9" xfId="0" applyFont="1" applyBorder="1" applyAlignment="1">
      <alignment horizontal="center" vertical="center" wrapText="1"/>
    </xf>
    <xf numFmtId="0" fontId="0" fillId="0" borderId="20" xfId="0" applyBorder="1"/>
    <xf numFmtId="4" fontId="0" fillId="0" borderId="4" xfId="0" applyNumberFormat="1" applyBorder="1"/>
    <xf numFmtId="0" fontId="0" fillId="0" borderId="6" xfId="0" applyBorder="1"/>
    <xf numFmtId="0" fontId="0" fillId="0" borderId="22" xfId="0" applyBorder="1"/>
    <xf numFmtId="4" fontId="0" fillId="0" borderId="7" xfId="0" applyNumberFormat="1" applyBorder="1"/>
    <xf numFmtId="0" fontId="0" fillId="0" borderId="9" xfId="0" applyBorder="1"/>
    <xf numFmtId="0" fontId="0" fillId="0" borderId="23" xfId="0" applyBorder="1"/>
    <xf numFmtId="4" fontId="0" fillId="0" borderId="10" xfId="0" applyNumberFormat="1" applyBorder="1"/>
    <xf numFmtId="0" fontId="0" fillId="0" borderId="12" xfId="0" applyBorder="1"/>
    <xf numFmtId="0" fontId="1" fillId="0" borderId="0" xfId="0" applyFont="1" applyBorder="1" applyAlignment="1">
      <alignment horizontal="center" vertical="center" textRotation="90" wrapText="1"/>
    </xf>
    <xf numFmtId="0" fontId="0" fillId="0" borderId="0" xfId="0" applyBorder="1"/>
    <xf numFmtId="0" fontId="1" fillId="0" borderId="2" xfId="0" applyFont="1" applyBorder="1"/>
    <xf numFmtId="0" fontId="0" fillId="0" borderId="24" xfId="0" applyBorder="1"/>
    <xf numFmtId="0" fontId="0" fillId="0" borderId="16" xfId="0" applyBorder="1"/>
    <xf numFmtId="0" fontId="0" fillId="0" borderId="21" xfId="0" applyBorder="1"/>
    <xf numFmtId="0" fontId="0" fillId="0" borderId="18" xfId="0" applyBorder="1"/>
    <xf numFmtId="0" fontId="0" fillId="0" borderId="17" xfId="0" applyBorder="1"/>
    <xf numFmtId="0" fontId="0" fillId="0" borderId="25" xfId="0" applyBorder="1"/>
    <xf numFmtId="0" fontId="0" fillId="0" borderId="26" xfId="0" applyBorder="1"/>
    <xf numFmtId="0" fontId="1" fillId="0" borderId="20" xfId="0" applyFont="1" applyBorder="1"/>
    <xf numFmtId="0" fontId="1" fillId="0" borderId="22" xfId="0" applyFont="1" applyBorder="1"/>
    <xf numFmtId="0" fontId="1" fillId="0" borderId="23" xfId="0" applyFont="1" applyBorder="1"/>
    <xf numFmtId="49" fontId="0" fillId="0" borderId="6" xfId="0" applyNumberFormat="1" applyBorder="1"/>
    <xf numFmtId="49" fontId="0" fillId="0" borderId="9" xfId="0" applyNumberFormat="1" applyBorder="1"/>
    <xf numFmtId="49" fontId="0" fillId="0" borderId="12" xfId="0" applyNumberFormat="1" applyBorder="1"/>
    <xf numFmtId="3" fontId="0" fillId="0" borderId="20" xfId="0" applyNumberFormat="1" applyBorder="1"/>
    <xf numFmtId="3" fontId="0" fillId="0" borderId="22" xfId="0" applyNumberFormat="1" applyBorder="1"/>
    <xf numFmtId="3" fontId="0" fillId="0" borderId="23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3" fontId="0" fillId="0" borderId="32" xfId="0" applyNumberFormat="1" applyBorder="1"/>
    <xf numFmtId="49" fontId="1" fillId="0" borderId="2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1" fillId="0" borderId="17" xfId="0" applyFont="1" applyBorder="1" applyAlignment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"/>
  <sheetViews>
    <sheetView showGridLines="0"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activeCell="AC12" sqref="AC12"/>
    </sheetView>
  </sheetViews>
  <sheetFormatPr baseColWidth="10" defaultRowHeight="12.75" x14ac:dyDescent="0.2"/>
  <cols>
    <col min="1" max="1" width="12.85546875" bestFit="1" customWidth="1"/>
    <col min="2" max="2" width="20.140625" bestFit="1" customWidth="1"/>
    <col min="3" max="8" width="5.7109375" customWidth="1"/>
    <col min="9" max="26" width="5.7109375" bestFit="1" customWidth="1"/>
    <col min="27" max="27" width="7.28515625" customWidth="1"/>
    <col min="28" max="28" width="8.42578125" customWidth="1"/>
    <col min="29" max="29" width="9.140625" bestFit="1" customWidth="1"/>
  </cols>
  <sheetData>
    <row r="1" spans="1:29" x14ac:dyDescent="0.2">
      <c r="A1" s="56" t="s">
        <v>24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3.5" thickBot="1" x14ac:dyDescent="0.25"/>
    <row r="3" spans="1:29" ht="13.9" customHeight="1" thickBot="1" x14ac:dyDescent="0.25">
      <c r="A3" s="1" t="s">
        <v>0</v>
      </c>
      <c r="B3" s="2" t="s">
        <v>1</v>
      </c>
      <c r="C3" s="57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/>
      <c r="AA3" s="60" t="s">
        <v>3</v>
      </c>
      <c r="AB3" s="60" t="s">
        <v>4</v>
      </c>
      <c r="AC3" s="60" t="s">
        <v>5</v>
      </c>
    </row>
    <row r="4" spans="1:29" ht="13.5" thickBot="1" x14ac:dyDescent="0.25">
      <c r="A4" s="3"/>
      <c r="B4" s="3" t="s">
        <v>6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61"/>
      <c r="AB4" s="61"/>
      <c r="AC4" s="61"/>
    </row>
    <row r="5" spans="1:29" x14ac:dyDescent="0.2">
      <c r="A5" s="40" t="s">
        <v>7</v>
      </c>
      <c r="B5" s="43" t="s">
        <v>22</v>
      </c>
      <c r="C5" s="46">
        <v>920</v>
      </c>
      <c r="D5" s="5">
        <v>920</v>
      </c>
      <c r="E5" s="5">
        <v>920</v>
      </c>
      <c r="F5" s="5">
        <v>920</v>
      </c>
      <c r="G5" s="5">
        <v>920</v>
      </c>
      <c r="H5" s="5">
        <v>920</v>
      </c>
      <c r="I5" s="5">
        <v>920</v>
      </c>
      <c r="J5" s="5">
        <v>920</v>
      </c>
      <c r="K5" s="5">
        <v>920</v>
      </c>
      <c r="L5" s="5">
        <v>920</v>
      </c>
      <c r="M5" s="5">
        <v>920</v>
      </c>
      <c r="N5" s="5">
        <v>920</v>
      </c>
      <c r="O5" s="5">
        <v>920</v>
      </c>
      <c r="P5" s="5">
        <v>920</v>
      </c>
      <c r="Q5" s="5">
        <v>920</v>
      </c>
      <c r="R5" s="5">
        <v>920</v>
      </c>
      <c r="S5" s="5">
        <v>920</v>
      </c>
      <c r="T5" s="5">
        <v>920</v>
      </c>
      <c r="U5" s="5">
        <v>920</v>
      </c>
      <c r="V5" s="5">
        <v>920</v>
      </c>
      <c r="W5" s="5">
        <v>920</v>
      </c>
      <c r="X5" s="5">
        <v>920</v>
      </c>
      <c r="Y5" s="5">
        <v>920</v>
      </c>
      <c r="Z5" s="7">
        <v>920</v>
      </c>
      <c r="AA5" s="49">
        <f>SUM(C5:Z5)</f>
        <v>22080</v>
      </c>
      <c r="AB5" s="6">
        <v>31</v>
      </c>
      <c r="AC5" s="52">
        <f t="shared" ref="AC5:AC11" si="0">AA5*AB5</f>
        <v>684480</v>
      </c>
    </row>
    <row r="6" spans="1:29" x14ac:dyDescent="0.2">
      <c r="A6" s="41" t="s">
        <v>8</v>
      </c>
      <c r="B6" s="44" t="s">
        <v>22</v>
      </c>
      <c r="C6" s="47">
        <v>920</v>
      </c>
      <c r="D6" s="8">
        <v>920</v>
      </c>
      <c r="E6" s="8">
        <v>920</v>
      </c>
      <c r="F6" s="8">
        <v>920</v>
      </c>
      <c r="G6" s="8">
        <v>920</v>
      </c>
      <c r="H6" s="8">
        <v>920</v>
      </c>
      <c r="I6" s="8">
        <v>920</v>
      </c>
      <c r="J6" s="8">
        <v>920</v>
      </c>
      <c r="K6" s="8">
        <v>920</v>
      </c>
      <c r="L6" s="8">
        <v>920</v>
      </c>
      <c r="M6" s="8">
        <v>920</v>
      </c>
      <c r="N6" s="8">
        <v>920</v>
      </c>
      <c r="O6" s="8">
        <v>920</v>
      </c>
      <c r="P6" s="8">
        <v>920</v>
      </c>
      <c r="Q6" s="8">
        <v>920</v>
      </c>
      <c r="R6" s="8">
        <v>920</v>
      </c>
      <c r="S6" s="8">
        <v>920</v>
      </c>
      <c r="T6" s="8">
        <v>920</v>
      </c>
      <c r="U6" s="8">
        <v>920</v>
      </c>
      <c r="V6" s="8">
        <v>920</v>
      </c>
      <c r="W6" s="8">
        <v>920</v>
      </c>
      <c r="X6" s="8">
        <v>920</v>
      </c>
      <c r="Y6" s="8">
        <v>920</v>
      </c>
      <c r="Z6" s="10">
        <v>920</v>
      </c>
      <c r="AA6" s="50">
        <f>SUM(C6:Z6)</f>
        <v>22080</v>
      </c>
      <c r="AB6" s="9">
        <v>28</v>
      </c>
      <c r="AC6" s="53">
        <f t="shared" si="0"/>
        <v>618240</v>
      </c>
    </row>
    <row r="7" spans="1:29" x14ac:dyDescent="0.2">
      <c r="A7" s="41" t="s">
        <v>9</v>
      </c>
      <c r="B7" s="44" t="s">
        <v>22</v>
      </c>
      <c r="C7" s="47">
        <v>920</v>
      </c>
      <c r="D7" s="8">
        <v>920</v>
      </c>
      <c r="E7" s="8">
        <v>920</v>
      </c>
      <c r="F7" s="8">
        <v>920</v>
      </c>
      <c r="G7" s="8">
        <v>920</v>
      </c>
      <c r="H7" s="8">
        <v>920</v>
      </c>
      <c r="I7" s="8">
        <v>920</v>
      </c>
      <c r="J7" s="8">
        <v>920</v>
      </c>
      <c r="K7" s="8">
        <v>920</v>
      </c>
      <c r="L7" s="8">
        <v>920</v>
      </c>
      <c r="M7" s="8">
        <v>920</v>
      </c>
      <c r="N7" s="8">
        <v>920</v>
      </c>
      <c r="O7" s="8">
        <v>920</v>
      </c>
      <c r="P7" s="8">
        <v>920</v>
      </c>
      <c r="Q7" s="8">
        <v>920</v>
      </c>
      <c r="R7" s="8">
        <v>920</v>
      </c>
      <c r="S7" s="8">
        <v>920</v>
      </c>
      <c r="T7" s="8">
        <v>920</v>
      </c>
      <c r="U7" s="8">
        <v>920</v>
      </c>
      <c r="V7" s="8">
        <v>920</v>
      </c>
      <c r="W7" s="8">
        <v>920</v>
      </c>
      <c r="X7" s="8">
        <v>920</v>
      </c>
      <c r="Y7" s="8">
        <v>920</v>
      </c>
      <c r="Z7" s="10">
        <v>920</v>
      </c>
      <c r="AA7" s="50">
        <f t="shared" ref="AA7:AA11" si="1">SUM(C7:Z7)</f>
        <v>22080</v>
      </c>
      <c r="AB7" s="9">
        <v>31</v>
      </c>
      <c r="AC7" s="53">
        <f t="shared" si="0"/>
        <v>684480</v>
      </c>
    </row>
    <row r="8" spans="1:29" x14ac:dyDescent="0.2">
      <c r="A8" s="41" t="s">
        <v>10</v>
      </c>
      <c r="B8" s="44" t="s">
        <v>22</v>
      </c>
      <c r="C8" s="47">
        <v>920</v>
      </c>
      <c r="D8" s="8">
        <v>920</v>
      </c>
      <c r="E8" s="8">
        <v>920</v>
      </c>
      <c r="F8" s="8">
        <v>920</v>
      </c>
      <c r="G8" s="8">
        <v>920</v>
      </c>
      <c r="H8" s="8">
        <v>920</v>
      </c>
      <c r="I8" s="8">
        <v>920</v>
      </c>
      <c r="J8" s="8">
        <v>920</v>
      </c>
      <c r="K8" s="8">
        <v>920</v>
      </c>
      <c r="L8" s="8">
        <v>920</v>
      </c>
      <c r="M8" s="8">
        <v>920</v>
      </c>
      <c r="N8" s="8">
        <v>920</v>
      </c>
      <c r="O8" s="8">
        <v>920</v>
      </c>
      <c r="P8" s="8">
        <v>920</v>
      </c>
      <c r="Q8" s="8">
        <v>920</v>
      </c>
      <c r="R8" s="8">
        <v>920</v>
      </c>
      <c r="S8" s="8">
        <v>920</v>
      </c>
      <c r="T8" s="8">
        <v>920</v>
      </c>
      <c r="U8" s="8">
        <v>920</v>
      </c>
      <c r="V8" s="8">
        <v>920</v>
      </c>
      <c r="W8" s="8">
        <v>920</v>
      </c>
      <c r="X8" s="8">
        <v>920</v>
      </c>
      <c r="Y8" s="8">
        <v>920</v>
      </c>
      <c r="Z8" s="10">
        <v>920</v>
      </c>
      <c r="AA8" s="50">
        <f t="shared" si="1"/>
        <v>22080</v>
      </c>
      <c r="AB8" s="9">
        <v>30</v>
      </c>
      <c r="AC8" s="53">
        <f t="shared" si="0"/>
        <v>662400</v>
      </c>
    </row>
    <row r="9" spans="1:29" x14ac:dyDescent="0.2">
      <c r="A9" s="41" t="s">
        <v>11</v>
      </c>
      <c r="B9" s="44" t="s">
        <v>22</v>
      </c>
      <c r="C9" s="47">
        <v>920</v>
      </c>
      <c r="D9" s="8">
        <v>920</v>
      </c>
      <c r="E9" s="8">
        <v>920</v>
      </c>
      <c r="F9" s="8">
        <v>920</v>
      </c>
      <c r="G9" s="8">
        <v>920</v>
      </c>
      <c r="H9" s="8">
        <v>920</v>
      </c>
      <c r="I9" s="8">
        <v>920</v>
      </c>
      <c r="J9" s="8">
        <v>920</v>
      </c>
      <c r="K9" s="8">
        <v>920</v>
      </c>
      <c r="L9" s="8">
        <v>920</v>
      </c>
      <c r="M9" s="8">
        <v>920</v>
      </c>
      <c r="N9" s="8">
        <v>920</v>
      </c>
      <c r="O9" s="8">
        <v>920</v>
      </c>
      <c r="P9" s="8">
        <v>920</v>
      </c>
      <c r="Q9" s="8">
        <v>920</v>
      </c>
      <c r="R9" s="8">
        <v>920</v>
      </c>
      <c r="S9" s="8">
        <v>920</v>
      </c>
      <c r="T9" s="8">
        <v>920</v>
      </c>
      <c r="U9" s="8">
        <v>920</v>
      </c>
      <c r="V9" s="8">
        <v>920</v>
      </c>
      <c r="W9" s="8">
        <v>920</v>
      </c>
      <c r="X9" s="8">
        <v>920</v>
      </c>
      <c r="Y9" s="8">
        <v>920</v>
      </c>
      <c r="Z9" s="10">
        <v>920</v>
      </c>
      <c r="AA9" s="50">
        <f t="shared" si="1"/>
        <v>22080</v>
      </c>
      <c r="AB9" s="9">
        <v>31</v>
      </c>
      <c r="AC9" s="53">
        <f t="shared" si="0"/>
        <v>684480</v>
      </c>
    </row>
    <row r="10" spans="1:29" x14ac:dyDescent="0.2">
      <c r="A10" s="41" t="s">
        <v>12</v>
      </c>
      <c r="B10" s="44" t="s">
        <v>22</v>
      </c>
      <c r="C10" s="47">
        <v>920</v>
      </c>
      <c r="D10" s="8">
        <v>920</v>
      </c>
      <c r="E10" s="8">
        <v>920</v>
      </c>
      <c r="F10" s="8">
        <v>920</v>
      </c>
      <c r="G10" s="8">
        <v>920</v>
      </c>
      <c r="H10" s="8">
        <v>920</v>
      </c>
      <c r="I10" s="8">
        <v>920</v>
      </c>
      <c r="J10" s="8">
        <v>920</v>
      </c>
      <c r="K10" s="8">
        <v>920</v>
      </c>
      <c r="L10" s="8">
        <v>920</v>
      </c>
      <c r="M10" s="8">
        <v>920</v>
      </c>
      <c r="N10" s="8">
        <v>920</v>
      </c>
      <c r="O10" s="8">
        <v>920</v>
      </c>
      <c r="P10" s="8">
        <v>920</v>
      </c>
      <c r="Q10" s="8">
        <v>920</v>
      </c>
      <c r="R10" s="8">
        <v>920</v>
      </c>
      <c r="S10" s="8">
        <v>920</v>
      </c>
      <c r="T10" s="8">
        <v>920</v>
      </c>
      <c r="U10" s="8">
        <v>920</v>
      </c>
      <c r="V10" s="8">
        <v>920</v>
      </c>
      <c r="W10" s="8">
        <v>920</v>
      </c>
      <c r="X10" s="8">
        <v>920</v>
      </c>
      <c r="Y10" s="8">
        <v>920</v>
      </c>
      <c r="Z10" s="10">
        <v>920</v>
      </c>
      <c r="AA10" s="50">
        <f t="shared" si="1"/>
        <v>22080</v>
      </c>
      <c r="AB10" s="9">
        <v>30</v>
      </c>
      <c r="AC10" s="53">
        <f t="shared" si="0"/>
        <v>662400</v>
      </c>
    </row>
    <row r="11" spans="1:29" ht="13.5" thickBot="1" x14ac:dyDescent="0.25">
      <c r="A11" s="42" t="s">
        <v>13</v>
      </c>
      <c r="B11" s="45" t="s">
        <v>22</v>
      </c>
      <c r="C11" s="48">
        <v>920</v>
      </c>
      <c r="D11" s="11">
        <v>920</v>
      </c>
      <c r="E11" s="11">
        <v>920</v>
      </c>
      <c r="F11" s="11">
        <v>920</v>
      </c>
      <c r="G11" s="11">
        <v>920</v>
      </c>
      <c r="H11" s="11">
        <v>920</v>
      </c>
      <c r="I11" s="11">
        <v>920</v>
      </c>
      <c r="J11" s="11">
        <v>920</v>
      </c>
      <c r="K11" s="11">
        <v>920</v>
      </c>
      <c r="L11" s="11">
        <v>920</v>
      </c>
      <c r="M11" s="11">
        <v>920</v>
      </c>
      <c r="N11" s="11">
        <v>920</v>
      </c>
      <c r="O11" s="11">
        <v>920</v>
      </c>
      <c r="P11" s="11">
        <v>920</v>
      </c>
      <c r="Q11" s="11">
        <v>920</v>
      </c>
      <c r="R11" s="11">
        <v>920</v>
      </c>
      <c r="S11" s="11">
        <v>920</v>
      </c>
      <c r="T11" s="11">
        <v>920</v>
      </c>
      <c r="U11" s="11">
        <v>920</v>
      </c>
      <c r="V11" s="11">
        <v>920</v>
      </c>
      <c r="W11" s="11">
        <v>920</v>
      </c>
      <c r="X11" s="11">
        <v>920</v>
      </c>
      <c r="Y11" s="11">
        <v>920</v>
      </c>
      <c r="Z11" s="13">
        <v>920</v>
      </c>
      <c r="AA11" s="51">
        <f t="shared" si="1"/>
        <v>22080</v>
      </c>
      <c r="AB11" s="12">
        <v>31</v>
      </c>
      <c r="AC11" s="54">
        <f t="shared" si="0"/>
        <v>684480</v>
      </c>
    </row>
    <row r="12" spans="1:29" x14ac:dyDescent="0.2">
      <c r="AB12" s="14"/>
      <c r="AC12" s="14"/>
    </row>
    <row r="14" spans="1:29" x14ac:dyDescent="0.2">
      <c r="AC14" s="14"/>
    </row>
    <row r="23" ht="12" customHeight="1" x14ac:dyDescent="0.2"/>
  </sheetData>
  <mergeCells count="5">
    <mergeCell ref="A1:AC1"/>
    <mergeCell ref="C3:Z3"/>
    <mergeCell ref="AA3:AA4"/>
    <mergeCell ref="AB3:AB4"/>
    <mergeCell ref="AC3:AC4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showGridLines="0" topLeftCell="A2" workbookViewId="0">
      <pane xSplit="2" ySplit="4" topLeftCell="C6" activePane="bottomRight" state="frozen"/>
      <selection activeCell="A2" sqref="A2"/>
      <selection pane="topRight" activeCell="C2" sqref="C2"/>
      <selection pane="bottomLeft" activeCell="A5" sqref="A5"/>
      <selection pane="bottomRight" activeCell="AC13" sqref="AC13"/>
    </sheetView>
  </sheetViews>
  <sheetFormatPr baseColWidth="10" defaultRowHeight="12.75" x14ac:dyDescent="0.2"/>
  <cols>
    <col min="1" max="1" width="12.85546875" bestFit="1" customWidth="1"/>
    <col min="2" max="2" width="20.140625" bestFit="1" customWidth="1"/>
    <col min="3" max="8" width="5.7109375" customWidth="1"/>
    <col min="9" max="26" width="5.7109375" bestFit="1" customWidth="1"/>
    <col min="27" max="27" width="7.28515625" customWidth="1"/>
    <col min="28" max="28" width="8.42578125" customWidth="1"/>
    <col min="29" max="29" width="9.140625" bestFit="1" customWidth="1"/>
  </cols>
  <sheetData>
    <row r="1" spans="1:29" x14ac:dyDescent="0.2">
      <c r="A1" s="56" t="s">
        <v>25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3.5" thickBot="1" x14ac:dyDescent="0.25"/>
    <row r="3" spans="1:29" ht="13.9" customHeight="1" thickBot="1" x14ac:dyDescent="0.25">
      <c r="A3" s="1" t="s">
        <v>0</v>
      </c>
      <c r="B3" s="2" t="s">
        <v>1</v>
      </c>
      <c r="C3" s="57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/>
      <c r="AA3" s="60" t="s">
        <v>3</v>
      </c>
      <c r="AB3" s="60" t="s">
        <v>4</v>
      </c>
      <c r="AC3" s="60" t="s">
        <v>5</v>
      </c>
    </row>
    <row r="4" spans="1:29" ht="13.9" customHeight="1" thickBot="1" x14ac:dyDescent="0.25">
      <c r="A4" s="3"/>
      <c r="B4" s="55"/>
      <c r="C4" s="57" t="s">
        <v>28</v>
      </c>
      <c r="D4" s="58"/>
      <c r="E4" s="58"/>
      <c r="F4" s="58"/>
      <c r="G4" s="58"/>
      <c r="H4" s="58"/>
      <c r="I4" s="59"/>
      <c r="J4" s="57" t="s">
        <v>29</v>
      </c>
      <c r="K4" s="58"/>
      <c r="L4" s="58"/>
      <c r="M4" s="58"/>
      <c r="N4" s="58"/>
      <c r="O4" s="58"/>
      <c r="P4" s="58"/>
      <c r="Q4" s="58"/>
      <c r="R4" s="58"/>
      <c r="S4" s="59"/>
      <c r="T4" s="57" t="s">
        <v>30</v>
      </c>
      <c r="U4" s="58"/>
      <c r="V4" s="58"/>
      <c r="W4" s="58"/>
      <c r="X4" s="58"/>
      <c r="Y4" s="58"/>
      <c r="Z4" s="59"/>
      <c r="AA4" s="61"/>
      <c r="AB4" s="61"/>
      <c r="AC4" s="61"/>
    </row>
    <row r="5" spans="1:29" ht="13.5" thickBot="1" x14ac:dyDescent="0.25">
      <c r="A5" s="3"/>
      <c r="B5" s="3" t="s">
        <v>6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4">
        <v>12</v>
      </c>
      <c r="O5" s="4">
        <v>13</v>
      </c>
      <c r="P5" s="4">
        <v>14</v>
      </c>
      <c r="Q5" s="4">
        <v>15</v>
      </c>
      <c r="R5" s="4">
        <v>16</v>
      </c>
      <c r="S5" s="4">
        <v>17</v>
      </c>
      <c r="T5" s="4">
        <v>18</v>
      </c>
      <c r="U5" s="4">
        <v>19</v>
      </c>
      <c r="V5" s="4">
        <v>20</v>
      </c>
      <c r="W5" s="4">
        <v>21</v>
      </c>
      <c r="X5" s="4">
        <v>22</v>
      </c>
      <c r="Y5" s="4">
        <v>23</v>
      </c>
      <c r="Z5" s="4">
        <v>24</v>
      </c>
      <c r="AA5" s="61"/>
      <c r="AB5" s="61"/>
      <c r="AC5" s="61"/>
    </row>
    <row r="6" spans="1:29" x14ac:dyDescent="0.2">
      <c r="A6" s="40" t="s">
        <v>7</v>
      </c>
      <c r="B6" s="43" t="s">
        <v>22</v>
      </c>
      <c r="C6" s="46">
        <v>215</v>
      </c>
      <c r="D6" s="5">
        <v>215</v>
      </c>
      <c r="E6" s="5">
        <v>215</v>
      </c>
      <c r="F6" s="5">
        <v>215</v>
      </c>
      <c r="G6" s="5">
        <v>215</v>
      </c>
      <c r="H6" s="5">
        <v>215</v>
      </c>
      <c r="I6" s="5">
        <v>215</v>
      </c>
      <c r="J6" s="5">
        <v>615</v>
      </c>
      <c r="K6" s="5">
        <v>615</v>
      </c>
      <c r="L6" s="5">
        <v>615</v>
      </c>
      <c r="M6" s="5">
        <v>615</v>
      </c>
      <c r="N6" s="5">
        <v>615</v>
      </c>
      <c r="O6" s="5">
        <v>615</v>
      </c>
      <c r="P6" s="5">
        <v>615</v>
      </c>
      <c r="Q6" s="5">
        <v>615</v>
      </c>
      <c r="R6" s="5">
        <v>615</v>
      </c>
      <c r="S6" s="5">
        <v>615</v>
      </c>
      <c r="T6" s="5">
        <v>1145</v>
      </c>
      <c r="U6" s="5">
        <v>1145</v>
      </c>
      <c r="V6" s="5">
        <v>1145</v>
      </c>
      <c r="W6" s="5">
        <v>1145</v>
      </c>
      <c r="X6" s="5">
        <v>1145</v>
      </c>
      <c r="Y6" s="5">
        <v>1145</v>
      </c>
      <c r="Z6" s="7">
        <v>1145</v>
      </c>
      <c r="AA6" s="49">
        <f>SUM(C6:Z6)</f>
        <v>15670</v>
      </c>
      <c r="AB6" s="6">
        <v>31</v>
      </c>
      <c r="AC6" s="52">
        <f t="shared" ref="AC6:AC12" si="0">AA6*AB6</f>
        <v>485770</v>
      </c>
    </row>
    <row r="7" spans="1:29" x14ac:dyDescent="0.2">
      <c r="A7" s="41" t="s">
        <v>8</v>
      </c>
      <c r="B7" s="44" t="s">
        <v>22</v>
      </c>
      <c r="C7" s="47">
        <v>215</v>
      </c>
      <c r="D7" s="8">
        <v>215</v>
      </c>
      <c r="E7" s="8">
        <v>215</v>
      </c>
      <c r="F7" s="8">
        <v>215</v>
      </c>
      <c r="G7" s="8">
        <v>215</v>
      </c>
      <c r="H7" s="8">
        <v>215</v>
      </c>
      <c r="I7" s="8">
        <v>215</v>
      </c>
      <c r="J7" s="8">
        <v>615</v>
      </c>
      <c r="K7" s="8">
        <v>615</v>
      </c>
      <c r="L7" s="8">
        <v>615</v>
      </c>
      <c r="M7" s="8">
        <v>615</v>
      </c>
      <c r="N7" s="8">
        <v>615</v>
      </c>
      <c r="O7" s="8">
        <v>615</v>
      </c>
      <c r="P7" s="8">
        <v>615</v>
      </c>
      <c r="Q7" s="8">
        <v>615</v>
      </c>
      <c r="R7" s="8">
        <v>615</v>
      </c>
      <c r="S7" s="8">
        <v>615</v>
      </c>
      <c r="T7" s="8">
        <v>1145</v>
      </c>
      <c r="U7" s="8">
        <v>1145</v>
      </c>
      <c r="V7" s="8">
        <v>1145</v>
      </c>
      <c r="W7" s="8">
        <v>1145</v>
      </c>
      <c r="X7" s="8">
        <v>1145</v>
      </c>
      <c r="Y7" s="8">
        <v>1145</v>
      </c>
      <c r="Z7" s="10">
        <v>1145</v>
      </c>
      <c r="AA7" s="50">
        <f>SUM(C7:Z7)</f>
        <v>15670</v>
      </c>
      <c r="AB7" s="9">
        <v>28</v>
      </c>
      <c r="AC7" s="53">
        <f t="shared" si="0"/>
        <v>438760</v>
      </c>
    </row>
    <row r="8" spans="1:29" x14ac:dyDescent="0.2">
      <c r="A8" s="41" t="s">
        <v>9</v>
      </c>
      <c r="B8" s="44" t="s">
        <v>22</v>
      </c>
      <c r="C8" s="47">
        <v>215</v>
      </c>
      <c r="D8" s="8">
        <v>215</v>
      </c>
      <c r="E8" s="8">
        <v>215</v>
      </c>
      <c r="F8" s="8">
        <v>215</v>
      </c>
      <c r="G8" s="8">
        <v>215</v>
      </c>
      <c r="H8" s="8">
        <v>215</v>
      </c>
      <c r="I8" s="8">
        <v>215</v>
      </c>
      <c r="J8" s="8">
        <v>615</v>
      </c>
      <c r="K8" s="8">
        <v>615</v>
      </c>
      <c r="L8" s="8">
        <v>615</v>
      </c>
      <c r="M8" s="8">
        <v>615</v>
      </c>
      <c r="N8" s="8">
        <v>615</v>
      </c>
      <c r="O8" s="8">
        <v>615</v>
      </c>
      <c r="P8" s="8">
        <v>615</v>
      </c>
      <c r="Q8" s="8">
        <v>615</v>
      </c>
      <c r="R8" s="8">
        <v>615</v>
      </c>
      <c r="S8" s="8">
        <v>615</v>
      </c>
      <c r="T8" s="8">
        <v>1145</v>
      </c>
      <c r="U8" s="8">
        <v>1145</v>
      </c>
      <c r="V8" s="8">
        <v>1145</v>
      </c>
      <c r="W8" s="8">
        <v>1145</v>
      </c>
      <c r="X8" s="8">
        <v>1145</v>
      </c>
      <c r="Y8" s="8">
        <v>1145</v>
      </c>
      <c r="Z8" s="10">
        <v>1145</v>
      </c>
      <c r="AA8" s="50">
        <f t="shared" ref="AA8:AA12" si="1">SUM(C8:Z8)</f>
        <v>15670</v>
      </c>
      <c r="AB8" s="9">
        <v>31</v>
      </c>
      <c r="AC8" s="53">
        <f t="shared" si="0"/>
        <v>485770</v>
      </c>
    </row>
    <row r="9" spans="1:29" x14ac:dyDescent="0.2">
      <c r="A9" s="41" t="s">
        <v>10</v>
      </c>
      <c r="B9" s="44" t="s">
        <v>22</v>
      </c>
      <c r="C9" s="47">
        <v>215</v>
      </c>
      <c r="D9" s="8">
        <v>215</v>
      </c>
      <c r="E9" s="8">
        <v>215</v>
      </c>
      <c r="F9" s="8">
        <v>215</v>
      </c>
      <c r="G9" s="8">
        <v>215</v>
      </c>
      <c r="H9" s="8">
        <v>215</v>
      </c>
      <c r="I9" s="8">
        <v>215</v>
      </c>
      <c r="J9" s="8">
        <v>615</v>
      </c>
      <c r="K9" s="8">
        <v>615</v>
      </c>
      <c r="L9" s="8">
        <v>615</v>
      </c>
      <c r="M9" s="8">
        <v>615</v>
      </c>
      <c r="N9" s="8">
        <v>615</v>
      </c>
      <c r="O9" s="8">
        <v>615</v>
      </c>
      <c r="P9" s="8">
        <v>615</v>
      </c>
      <c r="Q9" s="8">
        <v>615</v>
      </c>
      <c r="R9" s="8">
        <v>615</v>
      </c>
      <c r="S9" s="8">
        <v>615</v>
      </c>
      <c r="T9" s="8">
        <v>1145</v>
      </c>
      <c r="U9" s="8">
        <v>1145</v>
      </c>
      <c r="V9" s="8">
        <v>1145</v>
      </c>
      <c r="W9" s="8">
        <v>1145</v>
      </c>
      <c r="X9" s="8">
        <v>1145</v>
      </c>
      <c r="Y9" s="8">
        <v>1145</v>
      </c>
      <c r="Z9" s="10">
        <v>1145</v>
      </c>
      <c r="AA9" s="50">
        <f t="shared" si="1"/>
        <v>15670</v>
      </c>
      <c r="AB9" s="9">
        <v>30</v>
      </c>
      <c r="AC9" s="53">
        <f t="shared" si="0"/>
        <v>470100</v>
      </c>
    </row>
    <row r="10" spans="1:29" x14ac:dyDescent="0.2">
      <c r="A10" s="41" t="s">
        <v>11</v>
      </c>
      <c r="B10" s="44" t="s">
        <v>22</v>
      </c>
      <c r="C10" s="47">
        <v>215</v>
      </c>
      <c r="D10" s="8">
        <v>215</v>
      </c>
      <c r="E10" s="8">
        <v>215</v>
      </c>
      <c r="F10" s="8">
        <v>215</v>
      </c>
      <c r="G10" s="8">
        <v>215</v>
      </c>
      <c r="H10" s="8">
        <v>215</v>
      </c>
      <c r="I10" s="8">
        <v>215</v>
      </c>
      <c r="J10" s="8">
        <v>615</v>
      </c>
      <c r="K10" s="8">
        <v>615</v>
      </c>
      <c r="L10" s="8">
        <v>615</v>
      </c>
      <c r="M10" s="8">
        <v>615</v>
      </c>
      <c r="N10" s="8">
        <v>615</v>
      </c>
      <c r="O10" s="8">
        <v>615</v>
      </c>
      <c r="P10" s="8">
        <v>615</v>
      </c>
      <c r="Q10" s="8">
        <v>615</v>
      </c>
      <c r="R10" s="8">
        <v>615</v>
      </c>
      <c r="S10" s="8">
        <v>615</v>
      </c>
      <c r="T10" s="8">
        <v>1145</v>
      </c>
      <c r="U10" s="8">
        <v>1145</v>
      </c>
      <c r="V10" s="8">
        <v>1145</v>
      </c>
      <c r="W10" s="8">
        <v>1145</v>
      </c>
      <c r="X10" s="8">
        <v>1145</v>
      </c>
      <c r="Y10" s="8">
        <v>1145</v>
      </c>
      <c r="Z10" s="10">
        <v>1145</v>
      </c>
      <c r="AA10" s="50">
        <f t="shared" si="1"/>
        <v>15670</v>
      </c>
      <c r="AB10" s="9">
        <v>31</v>
      </c>
      <c r="AC10" s="53">
        <f t="shared" si="0"/>
        <v>485770</v>
      </c>
    </row>
    <row r="11" spans="1:29" x14ac:dyDescent="0.2">
      <c r="A11" s="41" t="s">
        <v>12</v>
      </c>
      <c r="B11" s="44" t="s">
        <v>22</v>
      </c>
      <c r="C11" s="47">
        <v>215</v>
      </c>
      <c r="D11" s="8">
        <v>215</v>
      </c>
      <c r="E11" s="8">
        <v>215</v>
      </c>
      <c r="F11" s="8">
        <v>215</v>
      </c>
      <c r="G11" s="8">
        <v>215</v>
      </c>
      <c r="H11" s="8">
        <v>215</v>
      </c>
      <c r="I11" s="8">
        <v>215</v>
      </c>
      <c r="J11" s="8">
        <v>615</v>
      </c>
      <c r="K11" s="8">
        <v>615</v>
      </c>
      <c r="L11" s="8">
        <v>615</v>
      </c>
      <c r="M11" s="8">
        <v>615</v>
      </c>
      <c r="N11" s="8">
        <v>615</v>
      </c>
      <c r="O11" s="8">
        <v>615</v>
      </c>
      <c r="P11" s="8">
        <v>615</v>
      </c>
      <c r="Q11" s="8">
        <v>615</v>
      </c>
      <c r="R11" s="8">
        <v>615</v>
      </c>
      <c r="S11" s="8">
        <v>615</v>
      </c>
      <c r="T11" s="8">
        <v>1145</v>
      </c>
      <c r="U11" s="8">
        <v>1145</v>
      </c>
      <c r="V11" s="8">
        <v>1145</v>
      </c>
      <c r="W11" s="8">
        <v>1145</v>
      </c>
      <c r="X11" s="8">
        <v>1145</v>
      </c>
      <c r="Y11" s="8">
        <v>1145</v>
      </c>
      <c r="Z11" s="10">
        <v>1145</v>
      </c>
      <c r="AA11" s="50">
        <f t="shared" si="1"/>
        <v>15670</v>
      </c>
      <c r="AB11" s="9">
        <v>30</v>
      </c>
      <c r="AC11" s="53">
        <f t="shared" si="0"/>
        <v>470100</v>
      </c>
    </row>
    <row r="12" spans="1:29" ht="13.5" thickBot="1" x14ac:dyDescent="0.25">
      <c r="A12" s="42" t="s">
        <v>13</v>
      </c>
      <c r="B12" s="45" t="s">
        <v>22</v>
      </c>
      <c r="C12" s="48">
        <v>215</v>
      </c>
      <c r="D12" s="11">
        <v>215</v>
      </c>
      <c r="E12" s="11">
        <v>215</v>
      </c>
      <c r="F12" s="11">
        <v>215</v>
      </c>
      <c r="G12" s="11">
        <v>215</v>
      </c>
      <c r="H12" s="11">
        <v>215</v>
      </c>
      <c r="I12" s="11">
        <v>215</v>
      </c>
      <c r="J12" s="11">
        <v>615</v>
      </c>
      <c r="K12" s="11">
        <v>615</v>
      </c>
      <c r="L12" s="11">
        <v>615</v>
      </c>
      <c r="M12" s="11">
        <v>615</v>
      </c>
      <c r="N12" s="11">
        <v>615</v>
      </c>
      <c r="O12" s="11">
        <v>615</v>
      </c>
      <c r="P12" s="11">
        <v>615</v>
      </c>
      <c r="Q12" s="11">
        <v>615</v>
      </c>
      <c r="R12" s="11">
        <v>615</v>
      </c>
      <c r="S12" s="11">
        <v>615</v>
      </c>
      <c r="T12" s="11">
        <v>1145</v>
      </c>
      <c r="U12" s="11">
        <v>1145</v>
      </c>
      <c r="V12" s="11">
        <v>1145</v>
      </c>
      <c r="W12" s="11">
        <v>1145</v>
      </c>
      <c r="X12" s="11">
        <v>1145</v>
      </c>
      <c r="Y12" s="11">
        <v>1145</v>
      </c>
      <c r="Z12" s="13">
        <v>1145</v>
      </c>
      <c r="AA12" s="51">
        <f t="shared" si="1"/>
        <v>15670</v>
      </c>
      <c r="AB12" s="12">
        <v>31</v>
      </c>
      <c r="AC12" s="54">
        <f t="shared" si="0"/>
        <v>485770</v>
      </c>
    </row>
    <row r="13" spans="1:29" x14ac:dyDescent="0.2">
      <c r="AB13" s="14"/>
      <c r="AC13" s="14"/>
    </row>
    <row r="15" spans="1:29" x14ac:dyDescent="0.2">
      <c r="AC15" s="14"/>
    </row>
    <row r="24" ht="12" customHeight="1" x14ac:dyDescent="0.2"/>
  </sheetData>
  <mergeCells count="8">
    <mergeCell ref="A1:AC1"/>
    <mergeCell ref="C3:Z3"/>
    <mergeCell ref="AA3:AA5"/>
    <mergeCell ref="AB3:AB5"/>
    <mergeCell ref="AC3:AC5"/>
    <mergeCell ref="C4:I4"/>
    <mergeCell ref="J4:S4"/>
    <mergeCell ref="T4:Z4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"/>
  <sheetViews>
    <sheetView showGridLines="0"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activeCell="AC12" sqref="AC12"/>
    </sheetView>
  </sheetViews>
  <sheetFormatPr baseColWidth="10" defaultRowHeight="12.75" x14ac:dyDescent="0.2"/>
  <cols>
    <col min="1" max="1" width="12.85546875" bestFit="1" customWidth="1"/>
    <col min="2" max="2" width="20.140625" bestFit="1" customWidth="1"/>
    <col min="3" max="8" width="5.7109375" customWidth="1"/>
    <col min="9" max="26" width="5.7109375" bestFit="1" customWidth="1"/>
    <col min="27" max="27" width="7.28515625" customWidth="1"/>
    <col min="28" max="28" width="8.42578125" customWidth="1"/>
    <col min="29" max="29" width="9.140625" bestFit="1" customWidth="1"/>
  </cols>
  <sheetData>
    <row r="1" spans="1:29" x14ac:dyDescent="0.2">
      <c r="A1" s="56" t="s">
        <v>26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3.5" thickBot="1" x14ac:dyDescent="0.25"/>
    <row r="3" spans="1:29" ht="13.9" customHeight="1" thickBot="1" x14ac:dyDescent="0.25">
      <c r="A3" s="1" t="s">
        <v>0</v>
      </c>
      <c r="B3" s="2" t="s">
        <v>1</v>
      </c>
      <c r="C3" s="57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/>
      <c r="AA3" s="60" t="s">
        <v>3</v>
      </c>
      <c r="AB3" s="60" t="s">
        <v>4</v>
      </c>
      <c r="AC3" s="60" t="s">
        <v>5</v>
      </c>
    </row>
    <row r="4" spans="1:29" ht="13.5" thickBot="1" x14ac:dyDescent="0.25">
      <c r="A4" s="3"/>
      <c r="B4" s="3" t="s">
        <v>6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61"/>
      <c r="AB4" s="61"/>
      <c r="AC4" s="61"/>
    </row>
    <row r="5" spans="1:29" x14ac:dyDescent="0.2">
      <c r="A5" s="40" t="s">
        <v>7</v>
      </c>
      <c r="B5" s="43" t="s">
        <v>22</v>
      </c>
      <c r="C5" s="46">
        <v>920</v>
      </c>
      <c r="D5" s="5">
        <v>920</v>
      </c>
      <c r="E5" s="5">
        <v>920</v>
      </c>
      <c r="F5" s="5">
        <v>920</v>
      </c>
      <c r="G5" s="5">
        <v>920</v>
      </c>
      <c r="H5" s="5">
        <v>920</v>
      </c>
      <c r="I5" s="5">
        <v>920</v>
      </c>
      <c r="J5" s="5">
        <v>920</v>
      </c>
      <c r="K5" s="5">
        <v>920</v>
      </c>
      <c r="L5" s="5">
        <v>920</v>
      </c>
      <c r="M5" s="5">
        <v>920</v>
      </c>
      <c r="N5" s="5">
        <v>920</v>
      </c>
      <c r="O5" s="5">
        <v>920</v>
      </c>
      <c r="P5" s="5">
        <v>920</v>
      </c>
      <c r="Q5" s="5">
        <v>920</v>
      </c>
      <c r="R5" s="5">
        <v>920</v>
      </c>
      <c r="S5" s="5">
        <v>920</v>
      </c>
      <c r="T5" s="5">
        <v>920</v>
      </c>
      <c r="U5" s="5">
        <v>920</v>
      </c>
      <c r="V5" s="5">
        <v>920</v>
      </c>
      <c r="W5" s="5">
        <v>920</v>
      </c>
      <c r="X5" s="5">
        <v>920</v>
      </c>
      <c r="Y5" s="5">
        <v>920</v>
      </c>
      <c r="Z5" s="7">
        <v>920</v>
      </c>
      <c r="AA5" s="49">
        <f>SUM(C5:Z5)</f>
        <v>22080</v>
      </c>
      <c r="AB5" s="6">
        <v>31</v>
      </c>
      <c r="AC5" s="52">
        <f t="shared" ref="AC5:AC11" si="0">AA5*AB5</f>
        <v>684480</v>
      </c>
    </row>
    <row r="6" spans="1:29" x14ac:dyDescent="0.2">
      <c r="A6" s="41" t="s">
        <v>8</v>
      </c>
      <c r="B6" s="44" t="s">
        <v>22</v>
      </c>
      <c r="C6" s="47">
        <v>920</v>
      </c>
      <c r="D6" s="8">
        <v>920</v>
      </c>
      <c r="E6" s="8">
        <v>920</v>
      </c>
      <c r="F6" s="8">
        <v>920</v>
      </c>
      <c r="G6" s="8">
        <v>920</v>
      </c>
      <c r="H6" s="8">
        <v>920</v>
      </c>
      <c r="I6" s="8">
        <v>920</v>
      </c>
      <c r="J6" s="8">
        <v>920</v>
      </c>
      <c r="K6" s="8">
        <v>920</v>
      </c>
      <c r="L6" s="8">
        <v>920</v>
      </c>
      <c r="M6" s="8">
        <v>920</v>
      </c>
      <c r="N6" s="8">
        <v>920</v>
      </c>
      <c r="O6" s="8">
        <v>920</v>
      </c>
      <c r="P6" s="8">
        <v>920</v>
      </c>
      <c r="Q6" s="8">
        <v>920</v>
      </c>
      <c r="R6" s="8">
        <v>920</v>
      </c>
      <c r="S6" s="8">
        <v>920</v>
      </c>
      <c r="T6" s="8">
        <v>920</v>
      </c>
      <c r="U6" s="8">
        <v>920</v>
      </c>
      <c r="V6" s="8">
        <v>920</v>
      </c>
      <c r="W6" s="8">
        <v>920</v>
      </c>
      <c r="X6" s="8">
        <v>920</v>
      </c>
      <c r="Y6" s="8">
        <v>920</v>
      </c>
      <c r="Z6" s="10">
        <v>920</v>
      </c>
      <c r="AA6" s="50">
        <f>SUM(C6:Z6)</f>
        <v>22080</v>
      </c>
      <c r="AB6" s="9">
        <v>28</v>
      </c>
      <c r="AC6" s="53">
        <f t="shared" si="0"/>
        <v>618240</v>
      </c>
    </row>
    <row r="7" spans="1:29" x14ac:dyDescent="0.2">
      <c r="A7" s="41" t="s">
        <v>9</v>
      </c>
      <c r="B7" s="44" t="s">
        <v>22</v>
      </c>
      <c r="C7" s="47">
        <v>920</v>
      </c>
      <c r="D7" s="8">
        <v>920</v>
      </c>
      <c r="E7" s="8">
        <v>920</v>
      </c>
      <c r="F7" s="8">
        <v>920</v>
      </c>
      <c r="G7" s="8">
        <v>920</v>
      </c>
      <c r="H7" s="8">
        <v>920</v>
      </c>
      <c r="I7" s="8">
        <v>920</v>
      </c>
      <c r="J7" s="8">
        <v>920</v>
      </c>
      <c r="K7" s="8">
        <v>920</v>
      </c>
      <c r="L7" s="8">
        <v>920</v>
      </c>
      <c r="M7" s="8">
        <v>920</v>
      </c>
      <c r="N7" s="8">
        <v>920</v>
      </c>
      <c r="O7" s="8">
        <v>920</v>
      </c>
      <c r="P7" s="8">
        <v>920</v>
      </c>
      <c r="Q7" s="8">
        <v>920</v>
      </c>
      <c r="R7" s="8">
        <v>920</v>
      </c>
      <c r="S7" s="8">
        <v>920</v>
      </c>
      <c r="T7" s="8">
        <v>920</v>
      </c>
      <c r="U7" s="8">
        <v>920</v>
      </c>
      <c r="V7" s="8">
        <v>920</v>
      </c>
      <c r="W7" s="8">
        <v>920</v>
      </c>
      <c r="X7" s="8">
        <v>920</v>
      </c>
      <c r="Y7" s="8">
        <v>920</v>
      </c>
      <c r="Z7" s="10">
        <v>920</v>
      </c>
      <c r="AA7" s="50">
        <f t="shared" ref="AA7:AA11" si="1">SUM(C7:Z7)</f>
        <v>22080</v>
      </c>
      <c r="AB7" s="9">
        <v>31</v>
      </c>
      <c r="AC7" s="53">
        <f t="shared" si="0"/>
        <v>684480</v>
      </c>
    </row>
    <row r="8" spans="1:29" x14ac:dyDescent="0.2">
      <c r="A8" s="41" t="s">
        <v>10</v>
      </c>
      <c r="B8" s="44" t="s">
        <v>22</v>
      </c>
      <c r="C8" s="47">
        <v>920</v>
      </c>
      <c r="D8" s="8">
        <v>920</v>
      </c>
      <c r="E8" s="8">
        <v>920</v>
      </c>
      <c r="F8" s="8">
        <v>920</v>
      </c>
      <c r="G8" s="8">
        <v>920</v>
      </c>
      <c r="H8" s="8">
        <v>920</v>
      </c>
      <c r="I8" s="8">
        <v>920</v>
      </c>
      <c r="J8" s="8">
        <v>920</v>
      </c>
      <c r="K8" s="8">
        <v>920</v>
      </c>
      <c r="L8" s="8">
        <v>920</v>
      </c>
      <c r="M8" s="8">
        <v>920</v>
      </c>
      <c r="N8" s="8">
        <v>920</v>
      </c>
      <c r="O8" s="8">
        <v>920</v>
      </c>
      <c r="P8" s="8">
        <v>920</v>
      </c>
      <c r="Q8" s="8">
        <v>920</v>
      </c>
      <c r="R8" s="8">
        <v>920</v>
      </c>
      <c r="S8" s="8">
        <v>920</v>
      </c>
      <c r="T8" s="8">
        <v>920</v>
      </c>
      <c r="U8" s="8">
        <v>920</v>
      </c>
      <c r="V8" s="8">
        <v>920</v>
      </c>
      <c r="W8" s="8">
        <v>920</v>
      </c>
      <c r="X8" s="8">
        <v>920</v>
      </c>
      <c r="Y8" s="8">
        <v>920</v>
      </c>
      <c r="Z8" s="10">
        <v>920</v>
      </c>
      <c r="AA8" s="50">
        <f t="shared" si="1"/>
        <v>22080</v>
      </c>
      <c r="AB8" s="9">
        <v>30</v>
      </c>
      <c r="AC8" s="53">
        <f t="shared" si="0"/>
        <v>662400</v>
      </c>
    </row>
    <row r="9" spans="1:29" x14ac:dyDescent="0.2">
      <c r="A9" s="41" t="s">
        <v>11</v>
      </c>
      <c r="B9" s="44" t="s">
        <v>22</v>
      </c>
      <c r="C9" s="47">
        <v>920</v>
      </c>
      <c r="D9" s="8">
        <v>920</v>
      </c>
      <c r="E9" s="8">
        <v>920</v>
      </c>
      <c r="F9" s="8">
        <v>920</v>
      </c>
      <c r="G9" s="8">
        <v>920</v>
      </c>
      <c r="H9" s="8">
        <v>920</v>
      </c>
      <c r="I9" s="8">
        <v>920</v>
      </c>
      <c r="J9" s="8">
        <v>920</v>
      </c>
      <c r="K9" s="8">
        <v>920</v>
      </c>
      <c r="L9" s="8">
        <v>920</v>
      </c>
      <c r="M9" s="8">
        <v>920</v>
      </c>
      <c r="N9" s="8">
        <v>920</v>
      </c>
      <c r="O9" s="8">
        <v>920</v>
      </c>
      <c r="P9" s="8">
        <v>920</v>
      </c>
      <c r="Q9" s="8">
        <v>920</v>
      </c>
      <c r="R9" s="8">
        <v>920</v>
      </c>
      <c r="S9" s="8">
        <v>920</v>
      </c>
      <c r="T9" s="8">
        <v>920</v>
      </c>
      <c r="U9" s="8">
        <v>920</v>
      </c>
      <c r="V9" s="8">
        <v>920</v>
      </c>
      <c r="W9" s="8">
        <v>920</v>
      </c>
      <c r="X9" s="8">
        <v>920</v>
      </c>
      <c r="Y9" s="8">
        <v>920</v>
      </c>
      <c r="Z9" s="10">
        <v>920</v>
      </c>
      <c r="AA9" s="50">
        <f t="shared" si="1"/>
        <v>22080</v>
      </c>
      <c r="AB9" s="9">
        <v>31</v>
      </c>
      <c r="AC9" s="53">
        <f t="shared" si="0"/>
        <v>684480</v>
      </c>
    </row>
    <row r="10" spans="1:29" x14ac:dyDescent="0.2">
      <c r="A10" s="41" t="s">
        <v>12</v>
      </c>
      <c r="B10" s="44" t="s">
        <v>22</v>
      </c>
      <c r="C10" s="47">
        <v>920</v>
      </c>
      <c r="D10" s="8">
        <v>920</v>
      </c>
      <c r="E10" s="8">
        <v>920</v>
      </c>
      <c r="F10" s="8">
        <v>920</v>
      </c>
      <c r="G10" s="8">
        <v>920</v>
      </c>
      <c r="H10" s="8">
        <v>920</v>
      </c>
      <c r="I10" s="8">
        <v>920</v>
      </c>
      <c r="J10" s="8">
        <v>920</v>
      </c>
      <c r="K10" s="8">
        <v>920</v>
      </c>
      <c r="L10" s="8">
        <v>920</v>
      </c>
      <c r="M10" s="8">
        <v>920</v>
      </c>
      <c r="N10" s="8">
        <v>920</v>
      </c>
      <c r="O10" s="8">
        <v>920</v>
      </c>
      <c r="P10" s="8">
        <v>920</v>
      </c>
      <c r="Q10" s="8">
        <v>920</v>
      </c>
      <c r="R10" s="8">
        <v>920</v>
      </c>
      <c r="S10" s="8">
        <v>920</v>
      </c>
      <c r="T10" s="8">
        <v>920</v>
      </c>
      <c r="U10" s="8">
        <v>920</v>
      </c>
      <c r="V10" s="8">
        <v>920</v>
      </c>
      <c r="W10" s="8">
        <v>920</v>
      </c>
      <c r="X10" s="8">
        <v>920</v>
      </c>
      <c r="Y10" s="8">
        <v>920</v>
      </c>
      <c r="Z10" s="10">
        <v>920</v>
      </c>
      <c r="AA10" s="50">
        <f t="shared" si="1"/>
        <v>22080</v>
      </c>
      <c r="AB10" s="9">
        <v>30</v>
      </c>
      <c r="AC10" s="53">
        <f t="shared" si="0"/>
        <v>662400</v>
      </c>
    </row>
    <row r="11" spans="1:29" ht="13.5" thickBot="1" x14ac:dyDescent="0.25">
      <c r="A11" s="42" t="s">
        <v>13</v>
      </c>
      <c r="B11" s="45" t="s">
        <v>22</v>
      </c>
      <c r="C11" s="48">
        <v>920</v>
      </c>
      <c r="D11" s="11">
        <v>920</v>
      </c>
      <c r="E11" s="11">
        <v>920</v>
      </c>
      <c r="F11" s="11">
        <v>920</v>
      </c>
      <c r="G11" s="11">
        <v>920</v>
      </c>
      <c r="H11" s="11">
        <v>920</v>
      </c>
      <c r="I11" s="11">
        <v>920</v>
      </c>
      <c r="J11" s="11">
        <v>920</v>
      </c>
      <c r="K11" s="11">
        <v>920</v>
      </c>
      <c r="L11" s="11">
        <v>920</v>
      </c>
      <c r="M11" s="11">
        <v>920</v>
      </c>
      <c r="N11" s="11">
        <v>920</v>
      </c>
      <c r="O11" s="11">
        <v>920</v>
      </c>
      <c r="P11" s="11">
        <v>920</v>
      </c>
      <c r="Q11" s="11">
        <v>920</v>
      </c>
      <c r="R11" s="11">
        <v>920</v>
      </c>
      <c r="S11" s="11">
        <v>920</v>
      </c>
      <c r="T11" s="11">
        <v>920</v>
      </c>
      <c r="U11" s="11">
        <v>920</v>
      </c>
      <c r="V11" s="11">
        <v>920</v>
      </c>
      <c r="W11" s="11">
        <v>920</v>
      </c>
      <c r="X11" s="11">
        <v>920</v>
      </c>
      <c r="Y11" s="11">
        <v>920</v>
      </c>
      <c r="Z11" s="13">
        <v>920</v>
      </c>
      <c r="AA11" s="51">
        <f t="shared" si="1"/>
        <v>22080</v>
      </c>
      <c r="AB11" s="12">
        <v>31</v>
      </c>
      <c r="AC11" s="54">
        <f t="shared" si="0"/>
        <v>684480</v>
      </c>
    </row>
    <row r="12" spans="1:29" x14ac:dyDescent="0.2">
      <c r="AB12" s="14"/>
      <c r="AC12" s="14"/>
    </row>
    <row r="14" spans="1:29" x14ac:dyDescent="0.2">
      <c r="AC14" s="14"/>
    </row>
    <row r="23" ht="12" customHeight="1" x14ac:dyDescent="0.2"/>
  </sheetData>
  <mergeCells count="5">
    <mergeCell ref="A1:AC1"/>
    <mergeCell ref="C3:Z3"/>
    <mergeCell ref="AA3:AA4"/>
    <mergeCell ref="AB3:AB4"/>
    <mergeCell ref="AC3:AC4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showGridLines="0" topLeftCell="A2" workbookViewId="0">
      <pane xSplit="2" ySplit="4" topLeftCell="C6" activePane="bottomRight" state="frozen"/>
      <selection activeCell="A2" sqref="A2"/>
      <selection pane="topRight" activeCell="C2" sqref="C2"/>
      <selection pane="bottomLeft" activeCell="A5" sqref="A5"/>
      <selection pane="bottomRight" activeCell="AB22" sqref="AB22"/>
    </sheetView>
  </sheetViews>
  <sheetFormatPr baseColWidth="10" defaultRowHeight="12.75" x14ac:dyDescent="0.2"/>
  <cols>
    <col min="1" max="1" width="12.85546875" bestFit="1" customWidth="1"/>
    <col min="2" max="2" width="20.140625" bestFit="1" customWidth="1"/>
    <col min="3" max="8" width="5.7109375" customWidth="1"/>
    <col min="9" max="26" width="5.7109375" bestFit="1" customWidth="1"/>
    <col min="27" max="27" width="7.28515625" customWidth="1"/>
    <col min="28" max="28" width="8.42578125" customWidth="1"/>
    <col min="29" max="29" width="9.140625" bestFit="1" customWidth="1"/>
  </cols>
  <sheetData>
    <row r="1" spans="1:29" x14ac:dyDescent="0.2">
      <c r="A1" s="56" t="s">
        <v>27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3.5" thickBot="1" x14ac:dyDescent="0.25"/>
    <row r="3" spans="1:29" ht="13.9" customHeight="1" thickBot="1" x14ac:dyDescent="0.25">
      <c r="A3" s="1" t="s">
        <v>0</v>
      </c>
      <c r="B3" s="2" t="s">
        <v>1</v>
      </c>
      <c r="C3" s="57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/>
      <c r="AA3" s="60" t="s">
        <v>3</v>
      </c>
      <c r="AB3" s="60" t="s">
        <v>4</v>
      </c>
      <c r="AC3" s="60" t="s">
        <v>5</v>
      </c>
    </row>
    <row r="4" spans="1:29" ht="13.9" customHeight="1" thickBot="1" x14ac:dyDescent="0.25">
      <c r="A4" s="3"/>
      <c r="B4" s="55"/>
      <c r="C4" s="57" t="s">
        <v>28</v>
      </c>
      <c r="D4" s="58"/>
      <c r="E4" s="58"/>
      <c r="F4" s="58"/>
      <c r="G4" s="58"/>
      <c r="H4" s="58"/>
      <c r="I4" s="59"/>
      <c r="J4" s="57" t="s">
        <v>29</v>
      </c>
      <c r="K4" s="58"/>
      <c r="L4" s="58"/>
      <c r="M4" s="58"/>
      <c r="N4" s="58"/>
      <c r="O4" s="58"/>
      <c r="P4" s="58"/>
      <c r="Q4" s="58"/>
      <c r="R4" s="58"/>
      <c r="S4" s="59"/>
      <c r="T4" s="57" t="s">
        <v>30</v>
      </c>
      <c r="U4" s="58"/>
      <c r="V4" s="58"/>
      <c r="W4" s="58"/>
      <c r="X4" s="58"/>
      <c r="Y4" s="58"/>
      <c r="Z4" s="59"/>
      <c r="AA4" s="61"/>
      <c r="AB4" s="61"/>
      <c r="AC4" s="61"/>
    </row>
    <row r="5" spans="1:29" ht="13.5" thickBot="1" x14ac:dyDescent="0.25">
      <c r="A5" s="3"/>
      <c r="B5" s="3" t="s">
        <v>6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4">
        <v>12</v>
      </c>
      <c r="O5" s="4">
        <v>13</v>
      </c>
      <c r="P5" s="4">
        <v>14</v>
      </c>
      <c r="Q5" s="4">
        <v>15</v>
      </c>
      <c r="R5" s="4">
        <v>16</v>
      </c>
      <c r="S5" s="4">
        <v>17</v>
      </c>
      <c r="T5" s="4">
        <v>18</v>
      </c>
      <c r="U5" s="4">
        <v>19</v>
      </c>
      <c r="V5" s="4">
        <v>20</v>
      </c>
      <c r="W5" s="4">
        <v>21</v>
      </c>
      <c r="X5" s="4">
        <v>22</v>
      </c>
      <c r="Y5" s="4">
        <v>23</v>
      </c>
      <c r="Z5" s="4">
        <v>24</v>
      </c>
      <c r="AA5" s="61"/>
      <c r="AB5" s="61"/>
      <c r="AC5" s="61"/>
    </row>
    <row r="6" spans="1:29" x14ac:dyDescent="0.2">
      <c r="A6" s="40" t="s">
        <v>7</v>
      </c>
      <c r="B6" s="43" t="s">
        <v>22</v>
      </c>
      <c r="C6" s="46">
        <v>215</v>
      </c>
      <c r="D6" s="5">
        <v>215</v>
      </c>
      <c r="E6" s="5">
        <v>215</v>
      </c>
      <c r="F6" s="5">
        <v>215</v>
      </c>
      <c r="G6" s="5">
        <v>215</v>
      </c>
      <c r="H6" s="5">
        <v>215</v>
      </c>
      <c r="I6" s="5">
        <v>215</v>
      </c>
      <c r="J6" s="5">
        <v>615</v>
      </c>
      <c r="K6" s="5">
        <v>615</v>
      </c>
      <c r="L6" s="5">
        <v>615</v>
      </c>
      <c r="M6" s="5">
        <v>615</v>
      </c>
      <c r="N6" s="5">
        <v>615</v>
      </c>
      <c r="O6" s="5">
        <v>615</v>
      </c>
      <c r="P6" s="5">
        <v>615</v>
      </c>
      <c r="Q6" s="5">
        <v>615</v>
      </c>
      <c r="R6" s="5">
        <v>615</v>
      </c>
      <c r="S6" s="5">
        <v>615</v>
      </c>
      <c r="T6" s="5">
        <v>1145</v>
      </c>
      <c r="U6" s="5">
        <v>1145</v>
      </c>
      <c r="V6" s="5">
        <v>1145</v>
      </c>
      <c r="W6" s="5">
        <v>1145</v>
      </c>
      <c r="X6" s="5">
        <v>1145</v>
      </c>
      <c r="Y6" s="5">
        <v>1145</v>
      </c>
      <c r="Z6" s="7">
        <v>1145</v>
      </c>
      <c r="AA6" s="49">
        <f>SUM(C6:Z6)</f>
        <v>15670</v>
      </c>
      <c r="AB6" s="6">
        <v>31</v>
      </c>
      <c r="AC6" s="52">
        <f t="shared" ref="AC6:AC12" si="0">AA6*AB6</f>
        <v>485770</v>
      </c>
    </row>
    <row r="7" spans="1:29" x14ac:dyDescent="0.2">
      <c r="A7" s="41" t="s">
        <v>8</v>
      </c>
      <c r="B7" s="44" t="s">
        <v>22</v>
      </c>
      <c r="C7" s="47">
        <v>215</v>
      </c>
      <c r="D7" s="8">
        <v>215</v>
      </c>
      <c r="E7" s="8">
        <v>215</v>
      </c>
      <c r="F7" s="8">
        <v>215</v>
      </c>
      <c r="G7" s="8">
        <v>215</v>
      </c>
      <c r="H7" s="8">
        <v>215</v>
      </c>
      <c r="I7" s="8">
        <v>215</v>
      </c>
      <c r="J7" s="8">
        <v>615</v>
      </c>
      <c r="K7" s="8">
        <v>615</v>
      </c>
      <c r="L7" s="8">
        <v>615</v>
      </c>
      <c r="M7" s="8">
        <v>615</v>
      </c>
      <c r="N7" s="8">
        <v>615</v>
      </c>
      <c r="O7" s="8">
        <v>615</v>
      </c>
      <c r="P7" s="8">
        <v>615</v>
      </c>
      <c r="Q7" s="8">
        <v>615</v>
      </c>
      <c r="R7" s="8">
        <v>615</v>
      </c>
      <c r="S7" s="8">
        <v>615</v>
      </c>
      <c r="T7" s="8">
        <v>1145</v>
      </c>
      <c r="U7" s="8">
        <v>1145</v>
      </c>
      <c r="V7" s="8">
        <v>1145</v>
      </c>
      <c r="W7" s="8">
        <v>1145</v>
      </c>
      <c r="X7" s="8">
        <v>1145</v>
      </c>
      <c r="Y7" s="8">
        <v>1145</v>
      </c>
      <c r="Z7" s="10">
        <v>1145</v>
      </c>
      <c r="AA7" s="50">
        <f>SUM(C7:Z7)</f>
        <v>15670</v>
      </c>
      <c r="AB7" s="9">
        <v>28</v>
      </c>
      <c r="AC7" s="53">
        <f t="shared" si="0"/>
        <v>438760</v>
      </c>
    </row>
    <row r="8" spans="1:29" x14ac:dyDescent="0.2">
      <c r="A8" s="41" t="s">
        <v>9</v>
      </c>
      <c r="B8" s="44" t="s">
        <v>22</v>
      </c>
      <c r="C8" s="47">
        <v>215</v>
      </c>
      <c r="D8" s="8">
        <v>215</v>
      </c>
      <c r="E8" s="8">
        <v>215</v>
      </c>
      <c r="F8" s="8">
        <v>215</v>
      </c>
      <c r="G8" s="8">
        <v>215</v>
      </c>
      <c r="H8" s="8">
        <v>215</v>
      </c>
      <c r="I8" s="8">
        <v>215</v>
      </c>
      <c r="J8" s="8">
        <v>615</v>
      </c>
      <c r="K8" s="8">
        <v>615</v>
      </c>
      <c r="L8" s="8">
        <v>615</v>
      </c>
      <c r="M8" s="8">
        <v>615</v>
      </c>
      <c r="N8" s="8">
        <v>615</v>
      </c>
      <c r="O8" s="8">
        <v>615</v>
      </c>
      <c r="P8" s="8">
        <v>615</v>
      </c>
      <c r="Q8" s="8">
        <v>615</v>
      </c>
      <c r="R8" s="8">
        <v>615</v>
      </c>
      <c r="S8" s="8">
        <v>615</v>
      </c>
      <c r="T8" s="8">
        <v>1145</v>
      </c>
      <c r="U8" s="8">
        <v>1145</v>
      </c>
      <c r="V8" s="8">
        <v>1145</v>
      </c>
      <c r="W8" s="8">
        <v>1145</v>
      </c>
      <c r="X8" s="8">
        <v>1145</v>
      </c>
      <c r="Y8" s="8">
        <v>1145</v>
      </c>
      <c r="Z8" s="10">
        <v>1145</v>
      </c>
      <c r="AA8" s="50">
        <f t="shared" ref="AA8:AA12" si="1">SUM(C8:Z8)</f>
        <v>15670</v>
      </c>
      <c r="AB8" s="9">
        <v>31</v>
      </c>
      <c r="AC8" s="53">
        <f t="shared" si="0"/>
        <v>485770</v>
      </c>
    </row>
    <row r="9" spans="1:29" x14ac:dyDescent="0.2">
      <c r="A9" s="41" t="s">
        <v>10</v>
      </c>
      <c r="B9" s="44" t="s">
        <v>22</v>
      </c>
      <c r="C9" s="47">
        <v>215</v>
      </c>
      <c r="D9" s="8">
        <v>215</v>
      </c>
      <c r="E9" s="8">
        <v>215</v>
      </c>
      <c r="F9" s="8">
        <v>215</v>
      </c>
      <c r="G9" s="8">
        <v>215</v>
      </c>
      <c r="H9" s="8">
        <v>215</v>
      </c>
      <c r="I9" s="8">
        <v>215</v>
      </c>
      <c r="J9" s="8">
        <v>615</v>
      </c>
      <c r="K9" s="8">
        <v>615</v>
      </c>
      <c r="L9" s="8">
        <v>615</v>
      </c>
      <c r="M9" s="8">
        <v>615</v>
      </c>
      <c r="N9" s="8">
        <v>615</v>
      </c>
      <c r="O9" s="8">
        <v>615</v>
      </c>
      <c r="P9" s="8">
        <v>615</v>
      </c>
      <c r="Q9" s="8">
        <v>615</v>
      </c>
      <c r="R9" s="8">
        <v>615</v>
      </c>
      <c r="S9" s="8">
        <v>615</v>
      </c>
      <c r="T9" s="8">
        <v>1145</v>
      </c>
      <c r="U9" s="8">
        <v>1145</v>
      </c>
      <c r="V9" s="8">
        <v>1145</v>
      </c>
      <c r="W9" s="8">
        <v>1145</v>
      </c>
      <c r="X9" s="8">
        <v>1145</v>
      </c>
      <c r="Y9" s="8">
        <v>1145</v>
      </c>
      <c r="Z9" s="10">
        <v>1145</v>
      </c>
      <c r="AA9" s="50">
        <f t="shared" si="1"/>
        <v>15670</v>
      </c>
      <c r="AB9" s="9">
        <v>30</v>
      </c>
      <c r="AC9" s="53">
        <f t="shared" si="0"/>
        <v>470100</v>
      </c>
    </row>
    <row r="10" spans="1:29" x14ac:dyDescent="0.2">
      <c r="A10" s="41" t="s">
        <v>11</v>
      </c>
      <c r="B10" s="44" t="s">
        <v>22</v>
      </c>
      <c r="C10" s="47">
        <v>215</v>
      </c>
      <c r="D10" s="8">
        <v>215</v>
      </c>
      <c r="E10" s="8">
        <v>215</v>
      </c>
      <c r="F10" s="8">
        <v>215</v>
      </c>
      <c r="G10" s="8">
        <v>215</v>
      </c>
      <c r="H10" s="8">
        <v>215</v>
      </c>
      <c r="I10" s="8">
        <v>215</v>
      </c>
      <c r="J10" s="8">
        <v>615</v>
      </c>
      <c r="K10" s="8">
        <v>615</v>
      </c>
      <c r="L10" s="8">
        <v>615</v>
      </c>
      <c r="M10" s="8">
        <v>615</v>
      </c>
      <c r="N10" s="8">
        <v>615</v>
      </c>
      <c r="O10" s="8">
        <v>615</v>
      </c>
      <c r="P10" s="8">
        <v>615</v>
      </c>
      <c r="Q10" s="8">
        <v>615</v>
      </c>
      <c r="R10" s="8">
        <v>615</v>
      </c>
      <c r="S10" s="8">
        <v>615</v>
      </c>
      <c r="T10" s="8">
        <v>1145</v>
      </c>
      <c r="U10" s="8">
        <v>1145</v>
      </c>
      <c r="V10" s="8">
        <v>1145</v>
      </c>
      <c r="W10" s="8">
        <v>1145</v>
      </c>
      <c r="X10" s="8">
        <v>1145</v>
      </c>
      <c r="Y10" s="8">
        <v>1145</v>
      </c>
      <c r="Z10" s="10">
        <v>1145</v>
      </c>
      <c r="AA10" s="50">
        <f t="shared" si="1"/>
        <v>15670</v>
      </c>
      <c r="AB10" s="9">
        <v>31</v>
      </c>
      <c r="AC10" s="53">
        <f t="shared" si="0"/>
        <v>485770</v>
      </c>
    </row>
    <row r="11" spans="1:29" x14ac:dyDescent="0.2">
      <c r="A11" s="41" t="s">
        <v>12</v>
      </c>
      <c r="B11" s="44" t="s">
        <v>22</v>
      </c>
      <c r="C11" s="47">
        <v>215</v>
      </c>
      <c r="D11" s="8">
        <v>215</v>
      </c>
      <c r="E11" s="8">
        <v>215</v>
      </c>
      <c r="F11" s="8">
        <v>215</v>
      </c>
      <c r="G11" s="8">
        <v>215</v>
      </c>
      <c r="H11" s="8">
        <v>215</v>
      </c>
      <c r="I11" s="8">
        <v>215</v>
      </c>
      <c r="J11" s="8">
        <v>615</v>
      </c>
      <c r="K11" s="8">
        <v>615</v>
      </c>
      <c r="L11" s="8">
        <v>615</v>
      </c>
      <c r="M11" s="8">
        <v>615</v>
      </c>
      <c r="N11" s="8">
        <v>615</v>
      </c>
      <c r="O11" s="8">
        <v>615</v>
      </c>
      <c r="P11" s="8">
        <v>615</v>
      </c>
      <c r="Q11" s="8">
        <v>615</v>
      </c>
      <c r="R11" s="8">
        <v>615</v>
      </c>
      <c r="S11" s="8">
        <v>615</v>
      </c>
      <c r="T11" s="8">
        <v>1145</v>
      </c>
      <c r="U11" s="8">
        <v>1145</v>
      </c>
      <c r="V11" s="8">
        <v>1145</v>
      </c>
      <c r="W11" s="8">
        <v>1145</v>
      </c>
      <c r="X11" s="8">
        <v>1145</v>
      </c>
      <c r="Y11" s="8">
        <v>1145</v>
      </c>
      <c r="Z11" s="10">
        <v>1145</v>
      </c>
      <c r="AA11" s="50">
        <f t="shared" si="1"/>
        <v>15670</v>
      </c>
      <c r="AB11" s="9">
        <v>30</v>
      </c>
      <c r="AC11" s="53">
        <f t="shared" si="0"/>
        <v>470100</v>
      </c>
    </row>
    <row r="12" spans="1:29" ht="13.5" thickBot="1" x14ac:dyDescent="0.25">
      <c r="A12" s="42" t="s">
        <v>13</v>
      </c>
      <c r="B12" s="45" t="s">
        <v>22</v>
      </c>
      <c r="C12" s="48">
        <v>215</v>
      </c>
      <c r="D12" s="11">
        <v>215</v>
      </c>
      <c r="E12" s="11">
        <v>215</v>
      </c>
      <c r="F12" s="11">
        <v>215</v>
      </c>
      <c r="G12" s="11">
        <v>215</v>
      </c>
      <c r="H12" s="11">
        <v>215</v>
      </c>
      <c r="I12" s="11">
        <v>215</v>
      </c>
      <c r="J12" s="11">
        <v>615</v>
      </c>
      <c r="K12" s="11">
        <v>615</v>
      </c>
      <c r="L12" s="11">
        <v>615</v>
      </c>
      <c r="M12" s="11">
        <v>615</v>
      </c>
      <c r="N12" s="11">
        <v>615</v>
      </c>
      <c r="O12" s="11">
        <v>615</v>
      </c>
      <c r="P12" s="11">
        <v>615</v>
      </c>
      <c r="Q12" s="11">
        <v>615</v>
      </c>
      <c r="R12" s="11">
        <v>615</v>
      </c>
      <c r="S12" s="11">
        <v>615</v>
      </c>
      <c r="T12" s="11">
        <v>1145</v>
      </c>
      <c r="U12" s="11">
        <v>1145</v>
      </c>
      <c r="V12" s="11">
        <v>1145</v>
      </c>
      <c r="W12" s="11">
        <v>1145</v>
      </c>
      <c r="X12" s="11">
        <v>1145</v>
      </c>
      <c r="Y12" s="11">
        <v>1145</v>
      </c>
      <c r="Z12" s="13">
        <v>1145</v>
      </c>
      <c r="AA12" s="51">
        <f t="shared" si="1"/>
        <v>15670</v>
      </c>
      <c r="AB12" s="12">
        <v>31</v>
      </c>
      <c r="AC12" s="54">
        <f t="shared" si="0"/>
        <v>485770</v>
      </c>
    </row>
    <row r="13" spans="1:29" x14ac:dyDescent="0.2">
      <c r="AB13" s="14"/>
      <c r="AC13" s="14"/>
    </row>
    <row r="15" spans="1:29" x14ac:dyDescent="0.2">
      <c r="AC15" s="14"/>
    </row>
    <row r="24" ht="12" customHeight="1" x14ac:dyDescent="0.2"/>
  </sheetData>
  <mergeCells count="8">
    <mergeCell ref="A1:AC1"/>
    <mergeCell ref="C3:Z3"/>
    <mergeCell ref="AA3:AA5"/>
    <mergeCell ref="AB3:AB5"/>
    <mergeCell ref="AC3:AC5"/>
    <mergeCell ref="C4:I4"/>
    <mergeCell ref="J4:S4"/>
    <mergeCell ref="T4:Z4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F18" sqref="F18"/>
    </sheetView>
  </sheetViews>
  <sheetFormatPr baseColWidth="10" defaultRowHeight="12.75" x14ac:dyDescent="0.2"/>
  <cols>
    <col min="1" max="1" width="15" customWidth="1"/>
    <col min="2" max="2" width="13" bestFit="1" customWidth="1"/>
    <col min="3" max="3" width="16" customWidth="1"/>
    <col min="5" max="5" width="23.140625" customWidth="1"/>
  </cols>
  <sheetData>
    <row r="1" spans="1:5" ht="15.75" x14ac:dyDescent="0.25">
      <c r="A1" s="62" t="s">
        <v>14</v>
      </c>
      <c r="B1" s="62"/>
      <c r="C1" s="62"/>
      <c r="D1" s="62"/>
      <c r="E1" s="62"/>
    </row>
    <row r="3" spans="1:5" ht="15.75" x14ac:dyDescent="0.25">
      <c r="A3" s="62" t="s">
        <v>15</v>
      </c>
      <c r="B3" s="62"/>
      <c r="C3" s="62"/>
      <c r="D3" s="62"/>
      <c r="E3" s="62"/>
    </row>
    <row r="4" spans="1:5" ht="13.5" thickBot="1" x14ac:dyDescent="0.25"/>
    <row r="5" spans="1:5" ht="13.5" thickBot="1" x14ac:dyDescent="0.25">
      <c r="A5" s="16" t="s">
        <v>16</v>
      </c>
      <c r="B5" s="17"/>
      <c r="C5" s="18"/>
      <c r="D5" s="18"/>
      <c r="E5" s="19"/>
    </row>
    <row r="6" spans="1:5" ht="13.5" thickBot="1" x14ac:dyDescent="0.25">
      <c r="A6" s="16" t="s">
        <v>23</v>
      </c>
      <c r="B6" s="17"/>
      <c r="C6" s="18"/>
      <c r="D6" s="18"/>
      <c r="E6" s="19"/>
    </row>
    <row r="7" spans="1:5" ht="13.5" thickBot="1" x14ac:dyDescent="0.25"/>
    <row r="8" spans="1:5" ht="39" thickBot="1" x14ac:dyDescent="0.25">
      <c r="A8" s="20" t="s">
        <v>17</v>
      </c>
      <c r="B8" s="15" t="s">
        <v>0</v>
      </c>
      <c r="C8" s="15" t="s">
        <v>18</v>
      </c>
      <c r="D8" s="15" t="s">
        <v>19</v>
      </c>
      <c r="E8" s="15" t="s">
        <v>20</v>
      </c>
    </row>
    <row r="9" spans="1:5" x14ac:dyDescent="0.2">
      <c r="A9" s="63">
        <v>2027</v>
      </c>
      <c r="B9" s="21" t="s">
        <v>7</v>
      </c>
      <c r="C9" s="22"/>
      <c r="D9" s="22"/>
      <c r="E9" s="23"/>
    </row>
    <row r="10" spans="1:5" x14ac:dyDescent="0.2">
      <c r="A10" s="64"/>
      <c r="B10" s="24" t="s">
        <v>8</v>
      </c>
      <c r="C10" s="25"/>
      <c r="D10" s="25"/>
      <c r="E10" s="26"/>
    </row>
    <row r="11" spans="1:5" x14ac:dyDescent="0.2">
      <c r="A11" s="64"/>
      <c r="B11" s="24" t="s">
        <v>9</v>
      </c>
      <c r="C11" s="25"/>
      <c r="D11" s="25"/>
      <c r="E11" s="26"/>
    </row>
    <row r="12" spans="1:5" x14ac:dyDescent="0.2">
      <c r="A12" s="64"/>
      <c r="B12" s="24" t="s">
        <v>10</v>
      </c>
      <c r="C12" s="25"/>
      <c r="D12" s="25"/>
      <c r="E12" s="26"/>
    </row>
    <row r="13" spans="1:5" x14ac:dyDescent="0.2">
      <c r="A13" s="64"/>
      <c r="B13" s="24" t="s">
        <v>11</v>
      </c>
      <c r="C13" s="25"/>
      <c r="D13" s="25"/>
      <c r="E13" s="26"/>
    </row>
    <row r="14" spans="1:5" x14ac:dyDescent="0.2">
      <c r="A14" s="64"/>
      <c r="B14" s="24" t="s">
        <v>12</v>
      </c>
      <c r="C14" s="25"/>
      <c r="D14" s="25"/>
      <c r="E14" s="26"/>
    </row>
    <row r="15" spans="1:5" ht="13.5" thickBot="1" x14ac:dyDescent="0.25">
      <c r="A15" s="65"/>
      <c r="B15" s="27" t="s">
        <v>13</v>
      </c>
      <c r="C15" s="28"/>
      <c r="D15" s="28"/>
      <c r="E15" s="29"/>
    </row>
    <row r="16" spans="1:5" ht="13.5" thickBot="1" x14ac:dyDescent="0.25">
      <c r="A16" s="30"/>
      <c r="B16" s="31"/>
      <c r="C16" s="31"/>
      <c r="D16" s="31"/>
      <c r="E16" s="31"/>
    </row>
    <row r="17" spans="1:5" x14ac:dyDescent="0.2">
      <c r="A17" s="32" t="s">
        <v>21</v>
      </c>
      <c r="B17" s="33"/>
      <c r="C17" s="33"/>
      <c r="D17" s="33"/>
      <c r="E17" s="34"/>
    </row>
    <row r="18" spans="1:5" x14ac:dyDescent="0.2">
      <c r="A18" s="35"/>
      <c r="B18" s="31"/>
      <c r="C18" s="31"/>
      <c r="D18" s="31"/>
      <c r="E18" s="36"/>
    </row>
    <row r="19" spans="1:5" x14ac:dyDescent="0.2">
      <c r="A19" s="35"/>
      <c r="B19" s="31"/>
      <c r="C19" s="31"/>
      <c r="D19" s="31"/>
      <c r="E19" s="36"/>
    </row>
    <row r="20" spans="1:5" x14ac:dyDescent="0.2">
      <c r="A20" s="35"/>
      <c r="B20" s="31"/>
      <c r="C20" s="31"/>
      <c r="D20" s="31"/>
      <c r="E20" s="36"/>
    </row>
    <row r="21" spans="1:5" x14ac:dyDescent="0.2">
      <c r="A21" s="35"/>
      <c r="B21" s="31"/>
      <c r="C21" s="31"/>
      <c r="D21" s="31"/>
      <c r="E21" s="36"/>
    </row>
    <row r="22" spans="1:5" x14ac:dyDescent="0.2">
      <c r="A22" s="35"/>
      <c r="B22" s="31"/>
      <c r="C22" s="31"/>
      <c r="D22" s="31"/>
      <c r="E22" s="36"/>
    </row>
    <row r="23" spans="1:5" ht="13.5" thickBot="1" x14ac:dyDescent="0.25">
      <c r="A23" s="37"/>
      <c r="B23" s="38"/>
      <c r="C23" s="38"/>
      <c r="D23" s="38"/>
      <c r="E23" s="39"/>
    </row>
  </sheetData>
  <mergeCells count="3">
    <mergeCell ref="A1:E1"/>
    <mergeCell ref="A3:E3"/>
    <mergeCell ref="A9:A15"/>
  </mergeCells>
  <printOptions horizontalCentered="1" verticalCentered="1"/>
  <pageMargins left="0" right="0" top="0" bottom="0" header="0" footer="0"/>
  <pageSetup scale="11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 1</vt:lpstr>
      <vt:lpstr>PRODUCTO 2</vt:lpstr>
      <vt:lpstr>PRODUCTO 3</vt:lpstr>
      <vt:lpstr>PRODUCTO 4</vt:lpstr>
      <vt:lpstr>OFERTA</vt:lpstr>
    </vt:vector>
  </TitlesOfParts>
  <Company>EMEVASI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contable emevasi</cp:lastModifiedBy>
  <cp:lastPrinted>2026-08-05T19:47:36Z</cp:lastPrinted>
  <dcterms:created xsi:type="dcterms:W3CDTF">2000-09-12T19:50:14Z</dcterms:created>
  <dcterms:modified xsi:type="dcterms:W3CDTF">2026-08-11T22:13:09Z</dcterms:modified>
</cp:coreProperties>
</file>