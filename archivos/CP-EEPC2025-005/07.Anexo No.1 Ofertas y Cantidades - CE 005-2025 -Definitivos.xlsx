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172.25.2.9\XM_Comercial\09.Compra Energia\01. MERCADO REGULADO\13. INVITACIONES 2025\CE 005-2025\02.Publicación\Definitivos\"/>
    </mc:Choice>
  </mc:AlternateContent>
  <xr:revisionPtr revIDLastSave="0" documentId="13_ncr:1_{D8E532DE-BC9E-45F7-8CE3-09A4A89A1A1D}" xr6:coauthVersionLast="47" xr6:coauthVersionMax="47" xr10:uidLastSave="{00000000-0000-0000-0000-000000000000}"/>
  <bookViews>
    <workbookView xWindow="-28920" yWindow="-4830" windowWidth="29040" windowHeight="15840" xr2:uid="{AB74ADC7-B8B7-4791-9BEB-E1A35E7802FC}"/>
  </bookViews>
  <sheets>
    <sheet name="Oferta Producto No. 1" sheetId="40" r:id="rId1"/>
    <sheet name="Cantidades Producto No. 1" sheetId="12" r:id="rId2"/>
    <sheet name="Oferta Producto No. 2" sheetId="44" r:id="rId3"/>
    <sheet name="Cantidades Producto No. 2" sheetId="45" r:id="rId4"/>
  </sheets>
  <definedNames>
    <definedName name="_xlnm.Print_Area" localSheetId="0">'Oferta Producto No. 1'!$A$1:$M$38</definedName>
    <definedName name="_xlnm.Print_Area" localSheetId="2">'Oferta Producto No. 2'!$A$1:$M$38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32" i="44" l="1"/>
  <c r="B32" i="40"/>
  <c r="B72" i="12"/>
  <c r="C25" i="45" l="1"/>
  <c r="D25" i="45"/>
  <c r="E25" i="45"/>
  <c r="F25" i="45"/>
  <c r="G25" i="45"/>
  <c r="H25" i="45"/>
  <c r="I25" i="45"/>
  <c r="J25" i="45"/>
  <c r="K25" i="45"/>
  <c r="L25" i="45"/>
  <c r="M25" i="45"/>
  <c r="N25" i="45"/>
  <c r="O25" i="45"/>
  <c r="P25" i="45"/>
  <c r="Q25" i="45"/>
  <c r="R25" i="45"/>
  <c r="S25" i="45"/>
  <c r="T25" i="45"/>
  <c r="U25" i="45"/>
  <c r="V25" i="45"/>
  <c r="W25" i="45"/>
  <c r="X25" i="45"/>
  <c r="Y25" i="45"/>
  <c r="C26" i="45"/>
  <c r="D26" i="45"/>
  <c r="E26" i="45"/>
  <c r="F26" i="45"/>
  <c r="G26" i="45"/>
  <c r="H26" i="45"/>
  <c r="I26" i="45"/>
  <c r="J26" i="45"/>
  <c r="K26" i="45"/>
  <c r="L26" i="45"/>
  <c r="M26" i="45"/>
  <c r="N26" i="45"/>
  <c r="O26" i="45"/>
  <c r="P26" i="45"/>
  <c r="Q26" i="45"/>
  <c r="R26" i="45"/>
  <c r="S26" i="45"/>
  <c r="T26" i="45"/>
  <c r="U26" i="45"/>
  <c r="V26" i="45"/>
  <c r="W26" i="45"/>
  <c r="X26" i="45"/>
  <c r="Y26" i="45"/>
  <c r="C27" i="45"/>
  <c r="D27" i="45"/>
  <c r="E27" i="45"/>
  <c r="F27" i="45"/>
  <c r="G27" i="45"/>
  <c r="H27" i="45"/>
  <c r="I27" i="45"/>
  <c r="J27" i="45"/>
  <c r="K27" i="45"/>
  <c r="L27" i="45"/>
  <c r="M27" i="45"/>
  <c r="N27" i="45"/>
  <c r="O27" i="45"/>
  <c r="P27" i="45"/>
  <c r="Q27" i="45"/>
  <c r="R27" i="45"/>
  <c r="S27" i="45"/>
  <c r="T27" i="45"/>
  <c r="U27" i="45"/>
  <c r="V27" i="45"/>
  <c r="W27" i="45"/>
  <c r="X27" i="45"/>
  <c r="Y27" i="45"/>
  <c r="C28" i="45"/>
  <c r="D28" i="45"/>
  <c r="E28" i="45"/>
  <c r="F28" i="45"/>
  <c r="G28" i="45"/>
  <c r="H28" i="45"/>
  <c r="I28" i="45"/>
  <c r="J28" i="45"/>
  <c r="K28" i="45"/>
  <c r="L28" i="45"/>
  <c r="M28" i="45"/>
  <c r="N28" i="45"/>
  <c r="O28" i="45"/>
  <c r="P28" i="45"/>
  <c r="Q28" i="45"/>
  <c r="R28" i="45"/>
  <c r="S28" i="45"/>
  <c r="T28" i="45"/>
  <c r="U28" i="45"/>
  <c r="V28" i="45"/>
  <c r="W28" i="45"/>
  <c r="X28" i="45"/>
  <c r="Y28" i="45"/>
  <c r="C29" i="45"/>
  <c r="D29" i="45"/>
  <c r="E29" i="45"/>
  <c r="F29" i="45"/>
  <c r="G29" i="45"/>
  <c r="H29" i="45"/>
  <c r="I29" i="45"/>
  <c r="J29" i="45"/>
  <c r="K29" i="45"/>
  <c r="L29" i="45"/>
  <c r="M29" i="45"/>
  <c r="N29" i="45"/>
  <c r="O29" i="45"/>
  <c r="P29" i="45"/>
  <c r="Q29" i="45"/>
  <c r="R29" i="45"/>
  <c r="S29" i="45"/>
  <c r="T29" i="45"/>
  <c r="U29" i="45"/>
  <c r="V29" i="45"/>
  <c r="W29" i="45"/>
  <c r="X29" i="45"/>
  <c r="Y29" i="45"/>
  <c r="C30" i="45"/>
  <c r="D30" i="45"/>
  <c r="E30" i="45"/>
  <c r="F30" i="45"/>
  <c r="G30" i="45"/>
  <c r="H30" i="45"/>
  <c r="I30" i="45"/>
  <c r="J30" i="45"/>
  <c r="K30" i="45"/>
  <c r="L30" i="45"/>
  <c r="M30" i="45"/>
  <c r="N30" i="45"/>
  <c r="O30" i="45"/>
  <c r="P30" i="45"/>
  <c r="Q30" i="45"/>
  <c r="R30" i="45"/>
  <c r="S30" i="45"/>
  <c r="T30" i="45"/>
  <c r="U30" i="45"/>
  <c r="V30" i="45"/>
  <c r="W30" i="45"/>
  <c r="X30" i="45"/>
  <c r="Y30" i="45"/>
  <c r="C31" i="45"/>
  <c r="D31" i="45"/>
  <c r="E31" i="45"/>
  <c r="F31" i="45"/>
  <c r="G31" i="45"/>
  <c r="H31" i="45"/>
  <c r="I31" i="45"/>
  <c r="J31" i="45"/>
  <c r="K31" i="45"/>
  <c r="L31" i="45"/>
  <c r="M31" i="45"/>
  <c r="N31" i="45"/>
  <c r="O31" i="45"/>
  <c r="P31" i="45"/>
  <c r="Q31" i="45"/>
  <c r="R31" i="45"/>
  <c r="S31" i="45"/>
  <c r="T31" i="45"/>
  <c r="U31" i="45"/>
  <c r="V31" i="45"/>
  <c r="W31" i="45"/>
  <c r="X31" i="45"/>
  <c r="Y31" i="45"/>
  <c r="C32" i="45"/>
  <c r="D32" i="45"/>
  <c r="E32" i="45"/>
  <c r="F32" i="45"/>
  <c r="G32" i="45"/>
  <c r="H32" i="45"/>
  <c r="I32" i="45"/>
  <c r="J32" i="45"/>
  <c r="K32" i="45"/>
  <c r="L32" i="45"/>
  <c r="M32" i="45"/>
  <c r="N32" i="45"/>
  <c r="O32" i="45"/>
  <c r="P32" i="45"/>
  <c r="Q32" i="45"/>
  <c r="R32" i="45"/>
  <c r="S32" i="45"/>
  <c r="T32" i="45"/>
  <c r="U32" i="45"/>
  <c r="V32" i="45"/>
  <c r="W32" i="45"/>
  <c r="X32" i="45"/>
  <c r="Y32" i="45"/>
  <c r="C33" i="45"/>
  <c r="D33" i="45"/>
  <c r="E33" i="45"/>
  <c r="F33" i="45"/>
  <c r="G33" i="45"/>
  <c r="H33" i="45"/>
  <c r="I33" i="45"/>
  <c r="J33" i="45"/>
  <c r="K33" i="45"/>
  <c r="L33" i="45"/>
  <c r="M33" i="45"/>
  <c r="N33" i="45"/>
  <c r="O33" i="45"/>
  <c r="P33" i="45"/>
  <c r="Q33" i="45"/>
  <c r="R33" i="45"/>
  <c r="S33" i="45"/>
  <c r="T33" i="45"/>
  <c r="U33" i="45"/>
  <c r="V33" i="45"/>
  <c r="W33" i="45"/>
  <c r="X33" i="45"/>
  <c r="Y33" i="45"/>
  <c r="C34" i="45"/>
  <c r="D34" i="45"/>
  <c r="E34" i="45"/>
  <c r="F34" i="45"/>
  <c r="G34" i="45"/>
  <c r="H34" i="45"/>
  <c r="I34" i="45"/>
  <c r="J34" i="45"/>
  <c r="K34" i="45"/>
  <c r="L34" i="45"/>
  <c r="M34" i="45"/>
  <c r="N34" i="45"/>
  <c r="O34" i="45"/>
  <c r="P34" i="45"/>
  <c r="Q34" i="45"/>
  <c r="R34" i="45"/>
  <c r="S34" i="45"/>
  <c r="T34" i="45"/>
  <c r="U34" i="45"/>
  <c r="V34" i="45"/>
  <c r="W34" i="45"/>
  <c r="X34" i="45"/>
  <c r="Y34" i="45"/>
  <c r="C35" i="45"/>
  <c r="D35" i="45"/>
  <c r="E35" i="45"/>
  <c r="F35" i="45"/>
  <c r="G35" i="45"/>
  <c r="H35" i="45"/>
  <c r="I35" i="45"/>
  <c r="J35" i="45"/>
  <c r="K35" i="45"/>
  <c r="L35" i="45"/>
  <c r="M35" i="45"/>
  <c r="N35" i="45"/>
  <c r="O35" i="45"/>
  <c r="P35" i="45"/>
  <c r="Q35" i="45"/>
  <c r="R35" i="45"/>
  <c r="S35" i="45"/>
  <c r="T35" i="45"/>
  <c r="U35" i="45"/>
  <c r="V35" i="45"/>
  <c r="W35" i="45"/>
  <c r="X35" i="45"/>
  <c r="Y35" i="45"/>
  <c r="C36" i="45"/>
  <c r="D36" i="45"/>
  <c r="E36" i="45"/>
  <c r="F36" i="45"/>
  <c r="G36" i="45"/>
  <c r="H36" i="45"/>
  <c r="I36" i="45"/>
  <c r="J36" i="45"/>
  <c r="K36" i="45"/>
  <c r="L36" i="45"/>
  <c r="M36" i="45"/>
  <c r="N36" i="45"/>
  <c r="O36" i="45"/>
  <c r="P36" i="45"/>
  <c r="Q36" i="45"/>
  <c r="R36" i="45"/>
  <c r="S36" i="45"/>
  <c r="T36" i="45"/>
  <c r="U36" i="45"/>
  <c r="V36" i="45"/>
  <c r="W36" i="45"/>
  <c r="X36" i="45"/>
  <c r="Y36" i="45"/>
  <c r="B36" i="45"/>
  <c r="B35" i="45"/>
  <c r="B34" i="45"/>
  <c r="B33" i="45"/>
  <c r="B32" i="45"/>
  <c r="B31" i="45"/>
  <c r="B30" i="45"/>
  <c r="B29" i="45"/>
  <c r="B28" i="45"/>
  <c r="B27" i="45"/>
  <c r="B26" i="45"/>
  <c r="B25" i="45"/>
  <c r="AA26" i="45"/>
  <c r="AA27" i="45"/>
  <c r="AA28" i="45"/>
  <c r="AA29" i="45"/>
  <c r="AA30" i="45"/>
  <c r="AA31" i="45"/>
  <c r="AA32" i="45"/>
  <c r="AA33" i="45"/>
  <c r="AA34" i="45"/>
  <c r="AA35" i="45"/>
  <c r="AA36" i="45"/>
  <c r="AA25" i="45"/>
  <c r="A26" i="45"/>
  <c r="A27" i="45"/>
  <c r="A28" i="45"/>
  <c r="F18" i="44" s="1"/>
  <c r="A29" i="45"/>
  <c r="A30" i="45"/>
  <c r="A31" i="45"/>
  <c r="A32" i="45"/>
  <c r="F22" i="44" s="1"/>
  <c r="A33" i="45"/>
  <c r="A34" i="45"/>
  <c r="A35" i="45"/>
  <c r="F25" i="44" s="1"/>
  <c r="A36" i="45"/>
  <c r="F26" i="44" s="1"/>
  <c r="A25" i="45"/>
  <c r="F15" i="44" s="1"/>
  <c r="F23" i="44"/>
  <c r="F21" i="44"/>
  <c r="F20" i="44"/>
  <c r="F24" i="44"/>
  <c r="F19" i="44"/>
  <c r="F17" i="44"/>
  <c r="F16" i="44"/>
  <c r="Z19" i="45"/>
  <c r="AB19" i="45" s="1"/>
  <c r="Z18" i="45"/>
  <c r="AB18" i="45" s="1"/>
  <c r="Z17" i="45"/>
  <c r="AB17" i="45" s="1"/>
  <c r="Z16" i="45"/>
  <c r="AB16" i="45" s="1"/>
  <c r="Z15" i="45"/>
  <c r="AB15" i="45" s="1"/>
  <c r="Z14" i="45"/>
  <c r="AB14" i="45" s="1"/>
  <c r="Z13" i="45"/>
  <c r="AB13" i="45" s="1"/>
  <c r="Z12" i="45"/>
  <c r="AB12" i="45" s="1"/>
  <c r="Z11" i="45"/>
  <c r="AB11" i="45" s="1"/>
  <c r="Z10" i="45"/>
  <c r="AB10" i="45" s="1"/>
  <c r="Z9" i="45"/>
  <c r="AB9" i="45" s="1"/>
  <c r="Z8" i="45"/>
  <c r="AB8" i="45" s="1"/>
  <c r="F13" i="44"/>
  <c r="C9" i="44"/>
  <c r="F26" i="40"/>
  <c r="F25" i="40"/>
  <c r="F24" i="40"/>
  <c r="F23" i="40"/>
  <c r="F22" i="40"/>
  <c r="F21" i="40"/>
  <c r="F20" i="40"/>
  <c r="F19" i="40"/>
  <c r="F18" i="40"/>
  <c r="F17" i="40"/>
  <c r="F16" i="40"/>
  <c r="F15" i="40"/>
  <c r="F13" i="40"/>
  <c r="C9" i="40"/>
  <c r="Y83" i="12"/>
  <c r="X83" i="12"/>
  <c r="W83" i="12"/>
  <c r="V83" i="12"/>
  <c r="U83" i="12"/>
  <c r="T83" i="12"/>
  <c r="S83" i="12"/>
  <c r="R83" i="12"/>
  <c r="Q83" i="12"/>
  <c r="P83" i="12"/>
  <c r="O83" i="12"/>
  <c r="N83" i="12"/>
  <c r="M83" i="12"/>
  <c r="L83" i="12"/>
  <c r="K83" i="12"/>
  <c r="J83" i="12"/>
  <c r="I83" i="12"/>
  <c r="H83" i="12"/>
  <c r="G83" i="12"/>
  <c r="F83" i="12"/>
  <c r="E83" i="12"/>
  <c r="D83" i="12"/>
  <c r="C83" i="12"/>
  <c r="B83" i="12"/>
  <c r="Y82" i="12"/>
  <c r="X82" i="12"/>
  <c r="W82" i="12"/>
  <c r="V82" i="12"/>
  <c r="U82" i="12"/>
  <c r="T82" i="12"/>
  <c r="S82" i="12"/>
  <c r="R82" i="12"/>
  <c r="Q82" i="12"/>
  <c r="P82" i="12"/>
  <c r="O82" i="12"/>
  <c r="N82" i="12"/>
  <c r="M82" i="12"/>
  <c r="L82" i="12"/>
  <c r="K82" i="12"/>
  <c r="J82" i="12"/>
  <c r="I82" i="12"/>
  <c r="H82" i="12"/>
  <c r="G82" i="12"/>
  <c r="F82" i="12"/>
  <c r="E82" i="12"/>
  <c r="D82" i="12"/>
  <c r="C82" i="12"/>
  <c r="B82" i="12"/>
  <c r="Y81" i="12"/>
  <c r="X81" i="12"/>
  <c r="W81" i="12"/>
  <c r="V81" i="12"/>
  <c r="U81" i="12"/>
  <c r="T81" i="12"/>
  <c r="S81" i="12"/>
  <c r="R81" i="12"/>
  <c r="Q81" i="12"/>
  <c r="P81" i="12"/>
  <c r="O81" i="12"/>
  <c r="N81" i="12"/>
  <c r="M81" i="12"/>
  <c r="L81" i="12"/>
  <c r="K81" i="12"/>
  <c r="J81" i="12"/>
  <c r="I81" i="12"/>
  <c r="H81" i="12"/>
  <c r="G81" i="12"/>
  <c r="F81" i="12"/>
  <c r="E81" i="12"/>
  <c r="D81" i="12"/>
  <c r="C81" i="12"/>
  <c r="B81" i="12"/>
  <c r="Y80" i="12"/>
  <c r="X80" i="12"/>
  <c r="W80" i="12"/>
  <c r="V80" i="12"/>
  <c r="U80" i="12"/>
  <c r="T80" i="12"/>
  <c r="S80" i="12"/>
  <c r="R80" i="12"/>
  <c r="Q80" i="12"/>
  <c r="P80" i="12"/>
  <c r="O80" i="12"/>
  <c r="N80" i="12"/>
  <c r="M80" i="12"/>
  <c r="L80" i="12"/>
  <c r="K80" i="12"/>
  <c r="J80" i="12"/>
  <c r="I80" i="12"/>
  <c r="H80" i="12"/>
  <c r="G80" i="12"/>
  <c r="F80" i="12"/>
  <c r="E80" i="12"/>
  <c r="D80" i="12"/>
  <c r="C80" i="12"/>
  <c r="B80" i="12"/>
  <c r="Y79" i="12"/>
  <c r="X79" i="12"/>
  <c r="W79" i="12"/>
  <c r="V79" i="12"/>
  <c r="U79" i="12"/>
  <c r="T79" i="12"/>
  <c r="S79" i="12"/>
  <c r="R79" i="12"/>
  <c r="Q79" i="12"/>
  <c r="P79" i="12"/>
  <c r="O79" i="12"/>
  <c r="N79" i="12"/>
  <c r="M79" i="12"/>
  <c r="L79" i="12"/>
  <c r="K79" i="12"/>
  <c r="J79" i="12"/>
  <c r="I79" i="12"/>
  <c r="H79" i="12"/>
  <c r="G79" i="12"/>
  <c r="F79" i="12"/>
  <c r="E79" i="12"/>
  <c r="D79" i="12"/>
  <c r="C79" i="12"/>
  <c r="B79" i="12"/>
  <c r="Y78" i="12"/>
  <c r="X78" i="12"/>
  <c r="W78" i="12"/>
  <c r="V78" i="12"/>
  <c r="U78" i="12"/>
  <c r="T78" i="12"/>
  <c r="S78" i="12"/>
  <c r="R78" i="12"/>
  <c r="Q78" i="12"/>
  <c r="P78" i="12"/>
  <c r="O78" i="12"/>
  <c r="N78" i="12"/>
  <c r="M78" i="12"/>
  <c r="L78" i="12"/>
  <c r="K78" i="12"/>
  <c r="J78" i="12"/>
  <c r="I78" i="12"/>
  <c r="H78" i="12"/>
  <c r="G78" i="12"/>
  <c r="F78" i="12"/>
  <c r="E78" i="12"/>
  <c r="D78" i="12"/>
  <c r="C78" i="12"/>
  <c r="B78" i="12"/>
  <c r="Y77" i="12"/>
  <c r="X77" i="12"/>
  <c r="W77" i="12"/>
  <c r="V77" i="12"/>
  <c r="U77" i="12"/>
  <c r="T77" i="12"/>
  <c r="S77" i="12"/>
  <c r="R77" i="12"/>
  <c r="Q77" i="12"/>
  <c r="P77" i="12"/>
  <c r="O77" i="12"/>
  <c r="N77" i="12"/>
  <c r="M77" i="12"/>
  <c r="L77" i="12"/>
  <c r="K77" i="12"/>
  <c r="J77" i="12"/>
  <c r="I77" i="12"/>
  <c r="H77" i="12"/>
  <c r="G77" i="12"/>
  <c r="F77" i="12"/>
  <c r="E77" i="12"/>
  <c r="D77" i="12"/>
  <c r="C77" i="12"/>
  <c r="B77" i="12"/>
  <c r="Y76" i="12"/>
  <c r="X76" i="12"/>
  <c r="W76" i="12"/>
  <c r="V76" i="12"/>
  <c r="U76" i="12"/>
  <c r="T76" i="12"/>
  <c r="S76" i="12"/>
  <c r="R76" i="12"/>
  <c r="Q76" i="12"/>
  <c r="P76" i="12"/>
  <c r="O76" i="12"/>
  <c r="N76" i="12"/>
  <c r="M76" i="12"/>
  <c r="L76" i="12"/>
  <c r="K76" i="12"/>
  <c r="J76" i="12"/>
  <c r="I76" i="12"/>
  <c r="H76" i="12"/>
  <c r="G76" i="12"/>
  <c r="F76" i="12"/>
  <c r="E76" i="12"/>
  <c r="D76" i="12"/>
  <c r="C76" i="12"/>
  <c r="B76" i="12"/>
  <c r="Y75" i="12"/>
  <c r="X75" i="12"/>
  <c r="W75" i="12"/>
  <c r="V75" i="12"/>
  <c r="U75" i="12"/>
  <c r="T75" i="12"/>
  <c r="S75" i="12"/>
  <c r="R75" i="12"/>
  <c r="Q75" i="12"/>
  <c r="P75" i="12"/>
  <c r="O75" i="12"/>
  <c r="N75" i="12"/>
  <c r="M75" i="12"/>
  <c r="L75" i="12"/>
  <c r="K75" i="12"/>
  <c r="J75" i="12"/>
  <c r="I75" i="12"/>
  <c r="H75" i="12"/>
  <c r="G75" i="12"/>
  <c r="F75" i="12"/>
  <c r="E75" i="12"/>
  <c r="D75" i="12"/>
  <c r="C75" i="12"/>
  <c r="B75" i="12"/>
  <c r="Y74" i="12"/>
  <c r="X74" i="12"/>
  <c r="W74" i="12"/>
  <c r="V74" i="12"/>
  <c r="U74" i="12"/>
  <c r="T74" i="12"/>
  <c r="S74" i="12"/>
  <c r="R74" i="12"/>
  <c r="Q74" i="12"/>
  <c r="P74" i="12"/>
  <c r="O74" i="12"/>
  <c r="N74" i="12"/>
  <c r="M74" i="12"/>
  <c r="L74" i="12"/>
  <c r="K74" i="12"/>
  <c r="J74" i="12"/>
  <c r="I74" i="12"/>
  <c r="H74" i="12"/>
  <c r="G74" i="12"/>
  <c r="F74" i="12"/>
  <c r="E74" i="12"/>
  <c r="D74" i="12"/>
  <c r="C74" i="12"/>
  <c r="B74" i="12"/>
  <c r="Y73" i="12"/>
  <c r="X73" i="12"/>
  <c r="W73" i="12"/>
  <c r="V73" i="12"/>
  <c r="U73" i="12"/>
  <c r="T73" i="12"/>
  <c r="S73" i="12"/>
  <c r="R73" i="12"/>
  <c r="Q73" i="12"/>
  <c r="P73" i="12"/>
  <c r="O73" i="12"/>
  <c r="N73" i="12"/>
  <c r="M73" i="12"/>
  <c r="L73" i="12"/>
  <c r="K73" i="12"/>
  <c r="J73" i="12"/>
  <c r="I73" i="12"/>
  <c r="H73" i="12"/>
  <c r="G73" i="12"/>
  <c r="F73" i="12"/>
  <c r="E73" i="12"/>
  <c r="D73" i="12"/>
  <c r="C73" i="12"/>
  <c r="B73" i="12"/>
  <c r="Y72" i="12"/>
  <c r="X72" i="12"/>
  <c r="W72" i="12"/>
  <c r="V72" i="12"/>
  <c r="U72" i="12"/>
  <c r="T72" i="12"/>
  <c r="S72" i="12"/>
  <c r="R72" i="12"/>
  <c r="Q72" i="12"/>
  <c r="P72" i="12"/>
  <c r="O72" i="12"/>
  <c r="N72" i="12"/>
  <c r="M72" i="12"/>
  <c r="L72" i="12"/>
  <c r="K72" i="12"/>
  <c r="J72" i="12"/>
  <c r="I72" i="12"/>
  <c r="H72" i="12"/>
  <c r="G72" i="12"/>
  <c r="F72" i="12"/>
  <c r="E72" i="12"/>
  <c r="D72" i="12"/>
  <c r="C72" i="12"/>
  <c r="AA83" i="12"/>
  <c r="AA82" i="12"/>
  <c r="AA81" i="12"/>
  <c r="AA80" i="12"/>
  <c r="AA79" i="12"/>
  <c r="AA78" i="12"/>
  <c r="AA77" i="12"/>
  <c r="AA76" i="12"/>
  <c r="AA75" i="12"/>
  <c r="AA74" i="12"/>
  <c r="AA73" i="12"/>
  <c r="AA72" i="12"/>
  <c r="A35" i="12"/>
  <c r="A51" i="12" s="1"/>
  <c r="A67" i="12" s="1"/>
  <c r="A83" i="12" s="1"/>
  <c r="A34" i="12"/>
  <c r="A50" i="12" s="1"/>
  <c r="A66" i="12" s="1"/>
  <c r="A82" i="12" s="1"/>
  <c r="A33" i="12"/>
  <c r="A49" i="12" s="1"/>
  <c r="A65" i="12" s="1"/>
  <c r="A81" i="12" s="1"/>
  <c r="A32" i="12"/>
  <c r="A48" i="12" s="1"/>
  <c r="A64" i="12" s="1"/>
  <c r="A80" i="12" s="1"/>
  <c r="A31" i="12"/>
  <c r="A47" i="12" s="1"/>
  <c r="A63" i="12" s="1"/>
  <c r="A79" i="12" s="1"/>
  <c r="A30" i="12"/>
  <c r="A46" i="12" s="1"/>
  <c r="A62" i="12" s="1"/>
  <c r="A78" i="12" s="1"/>
  <c r="A29" i="12"/>
  <c r="A45" i="12" s="1"/>
  <c r="A61" i="12" s="1"/>
  <c r="A77" i="12" s="1"/>
  <c r="A28" i="12"/>
  <c r="A44" i="12" s="1"/>
  <c r="A60" i="12" s="1"/>
  <c r="A76" i="12" s="1"/>
  <c r="A27" i="12"/>
  <c r="A43" i="12" s="1"/>
  <c r="A59" i="12" s="1"/>
  <c r="A75" i="12" s="1"/>
  <c r="A26" i="12"/>
  <c r="A42" i="12" s="1"/>
  <c r="A58" i="12" s="1"/>
  <c r="A74" i="12" s="1"/>
  <c r="A25" i="12"/>
  <c r="A41" i="12" s="1"/>
  <c r="A57" i="12" s="1"/>
  <c r="A73" i="12" s="1"/>
  <c r="A24" i="12"/>
  <c r="A40" i="12" s="1"/>
  <c r="A56" i="12" s="1"/>
  <c r="A72" i="12" s="1"/>
  <c r="Z58" i="12"/>
  <c r="AB58" i="12" s="1"/>
  <c r="Z60" i="12"/>
  <c r="AB60" i="12" s="1"/>
  <c r="Z64" i="12"/>
  <c r="AB64" i="12" s="1"/>
  <c r="Z65" i="12"/>
  <c r="AB65" i="12" s="1"/>
  <c r="Z67" i="12"/>
  <c r="AB67" i="12" s="1"/>
  <c r="Z51" i="12"/>
  <c r="AB51" i="12" s="1"/>
  <c r="Z41" i="12"/>
  <c r="AB41" i="12" s="1"/>
  <c r="Z47" i="12"/>
  <c r="AB47" i="12" s="1"/>
  <c r="Z48" i="12"/>
  <c r="AB48" i="12" s="1"/>
  <c r="Z44" i="12"/>
  <c r="AB44" i="12" s="1"/>
  <c r="Z49" i="12"/>
  <c r="AB49" i="12" s="1"/>
  <c r="Z42" i="12"/>
  <c r="AB42" i="12" s="1"/>
  <c r="Z40" i="12"/>
  <c r="AB40" i="12" s="1"/>
  <c r="Z56" i="12"/>
  <c r="AB56" i="12" s="1"/>
  <c r="Z57" i="12"/>
  <c r="AB57" i="12" s="1"/>
  <c r="Z43" i="12"/>
  <c r="AB43" i="12" s="1"/>
  <c r="Z59" i="12"/>
  <c r="AB59" i="12" s="1"/>
  <c r="Z45" i="12"/>
  <c r="AB45" i="12" s="1"/>
  <c r="Z61" i="12"/>
  <c r="AB61" i="12" s="1"/>
  <c r="Z62" i="12"/>
  <c r="AB62" i="12" s="1"/>
  <c r="Z63" i="12"/>
  <c r="AB63" i="12" s="1"/>
  <c r="Z50" i="12"/>
  <c r="AB50" i="12" s="1"/>
  <c r="Z66" i="12"/>
  <c r="AB66" i="12" s="1"/>
  <c r="Z46" i="12"/>
  <c r="AB46" i="12" s="1"/>
  <c r="Z26" i="12"/>
  <c r="AB26" i="12" s="1"/>
  <c r="Z10" i="12"/>
  <c r="AB10" i="12" s="1"/>
  <c r="Z24" i="12"/>
  <c r="AB24" i="12" s="1"/>
  <c r="Z8" i="12"/>
  <c r="AB8" i="12" s="1"/>
  <c r="Z27" i="12"/>
  <c r="AB27" i="12" s="1"/>
  <c r="Z11" i="12"/>
  <c r="AB11" i="12" s="1"/>
  <c r="Z25" i="12"/>
  <c r="AB25" i="12" s="1"/>
  <c r="Z9" i="12"/>
  <c r="AB9" i="12" s="1"/>
  <c r="Z28" i="12"/>
  <c r="AB28" i="12" s="1"/>
  <c r="Z12" i="12"/>
  <c r="AB12" i="12" s="1"/>
  <c r="Z30" i="12"/>
  <c r="AB30" i="12" s="1"/>
  <c r="Z14" i="12"/>
  <c r="AB14" i="12" s="1"/>
  <c r="Z31" i="12"/>
  <c r="AB31" i="12" s="1"/>
  <c r="Z15" i="12"/>
  <c r="AB15" i="12" s="1"/>
  <c r="Z34" i="12"/>
  <c r="Z18" i="12"/>
  <c r="AB18" i="12" s="1"/>
  <c r="Z29" i="12"/>
  <c r="AB29" i="12" s="1"/>
  <c r="Z13" i="12"/>
  <c r="AB13" i="12" s="1"/>
  <c r="Z32" i="12"/>
  <c r="AB32" i="12" s="1"/>
  <c r="Z16" i="12"/>
  <c r="AB16" i="12" s="1"/>
  <c r="Z35" i="12"/>
  <c r="AB35" i="12" s="1"/>
  <c r="Z19" i="12"/>
  <c r="AB19" i="12" s="1"/>
  <c r="Z33" i="12"/>
  <c r="AB33" i="12" s="1"/>
  <c r="Z17" i="12"/>
  <c r="AB17" i="12" s="1"/>
  <c r="Z30" i="45" l="1"/>
  <c r="G20" i="44" s="1"/>
  <c r="Z31" i="45"/>
  <c r="G21" i="44" s="1"/>
  <c r="Z25" i="45"/>
  <c r="G15" i="44" s="1"/>
  <c r="Z33" i="45"/>
  <c r="G23" i="44" s="1"/>
  <c r="Z26" i="45"/>
  <c r="G16" i="44" s="1"/>
  <c r="Z34" i="45"/>
  <c r="G24" i="44" s="1"/>
  <c r="Z27" i="45"/>
  <c r="G17" i="44" s="1"/>
  <c r="Z35" i="45"/>
  <c r="G25" i="44" s="1"/>
  <c r="Z32" i="45"/>
  <c r="G22" i="44" s="1"/>
  <c r="Z28" i="45"/>
  <c r="G18" i="44" s="1"/>
  <c r="Z36" i="45"/>
  <c r="G26" i="44" s="1"/>
  <c r="Z29" i="45"/>
  <c r="G19" i="44" s="1"/>
  <c r="AB34" i="12"/>
  <c r="AB82" i="12" s="1"/>
  <c r="AB77" i="12"/>
  <c r="Z76" i="12"/>
  <c r="G19" i="40" s="1"/>
  <c r="AB78" i="12"/>
  <c r="AB73" i="12"/>
  <c r="AB76" i="12"/>
  <c r="Z72" i="12"/>
  <c r="G15" i="40" s="1"/>
  <c r="Z73" i="12"/>
  <c r="G16" i="40" s="1"/>
  <c r="Z74" i="12"/>
  <c r="G17" i="40" s="1"/>
  <c r="Z75" i="12"/>
  <c r="G18" i="40" s="1"/>
  <c r="Z77" i="12"/>
  <c r="G20" i="40" s="1"/>
  <c r="Z78" i="12"/>
  <c r="G21" i="40" s="1"/>
  <c r="Z79" i="12"/>
  <c r="G22" i="40" s="1"/>
  <c r="Z80" i="12"/>
  <c r="G23" i="40" s="1"/>
  <c r="Z81" i="12"/>
  <c r="G24" i="40" s="1"/>
  <c r="Z82" i="12"/>
  <c r="G25" i="40" s="1"/>
  <c r="Z83" i="12"/>
  <c r="G26" i="40" s="1"/>
  <c r="AB79" i="12"/>
  <c r="AB74" i="12"/>
  <c r="AB83" i="12"/>
  <c r="AB72" i="12"/>
  <c r="AB81" i="12"/>
  <c r="AB75" i="12"/>
  <c r="AB80" i="12"/>
  <c r="G27" i="44" l="1"/>
  <c r="G27" i="40"/>
</calcChain>
</file>

<file path=xl/sharedStrings.xml><?xml version="1.0" encoding="utf-8"?>
<sst xmlns="http://schemas.openxmlformats.org/spreadsheetml/2006/main" count="299" uniqueCount="59">
  <si>
    <t>ANEXO No. 1 OFERTAS Y CANTIDADES</t>
  </si>
  <si>
    <r>
      <t xml:space="preserve">EMPRESA: </t>
    </r>
    <r>
      <rPr>
        <b/>
        <sz val="16"/>
        <color rgb="FFFF0000"/>
        <rFont val="Verdana"/>
        <family val="2"/>
      </rPr>
      <t>XXXXXXXXXXXXXXXXXXXXXXXXXXXXXX</t>
    </r>
  </si>
  <si>
    <r>
      <t xml:space="preserve">REPRESENTANTE LEGAL: </t>
    </r>
    <r>
      <rPr>
        <b/>
        <sz val="16"/>
        <color rgb="FFFF0000"/>
        <rFont val="Verdana"/>
        <family val="2"/>
      </rPr>
      <t>XXXXXXXXXXXXXXXXXXXXXXXXXXXXXX</t>
    </r>
  </si>
  <si>
    <r>
      <t xml:space="preserve">TIPO DE AGENTE: </t>
    </r>
    <r>
      <rPr>
        <b/>
        <sz val="16"/>
        <color rgb="FFFF0000"/>
        <rFont val="Verdana"/>
        <family val="2"/>
      </rPr>
      <t>(COMERCIALIZADOR/GENERADOR)</t>
    </r>
  </si>
  <si>
    <t>Periodo</t>
  </si>
  <si>
    <t>Tarifa monomia ($/kWh)</t>
  </si>
  <si>
    <t>TOTAL</t>
  </si>
  <si>
    <t>Notas</t>
  </si>
  <si>
    <r>
      <t>(1) Oferta válida para la modalidad</t>
    </r>
    <r>
      <rPr>
        <b/>
        <sz val="16"/>
        <color theme="1"/>
        <rFont val="Verdana"/>
        <family val="2"/>
      </rPr>
      <t xml:space="preserve"> Pague lo Contratado.</t>
    </r>
  </si>
  <si>
    <t>EMPRESA DE ENERGÍA DE PEREIRA S.A. E.S.P.</t>
  </si>
  <si>
    <t>MES</t>
  </si>
  <si>
    <t>H1</t>
  </si>
  <si>
    <t>H2</t>
  </si>
  <si>
    <t>H3</t>
  </si>
  <si>
    <t>H4</t>
  </si>
  <si>
    <t>H5</t>
  </si>
  <si>
    <t>H6</t>
  </si>
  <si>
    <t>H7</t>
  </si>
  <si>
    <t>H8</t>
  </si>
  <si>
    <t>H9</t>
  </si>
  <si>
    <t>H10</t>
  </si>
  <si>
    <t>H11</t>
  </si>
  <si>
    <t>H12</t>
  </si>
  <si>
    <t>H13</t>
  </si>
  <si>
    <t>H14</t>
  </si>
  <si>
    <t>H15</t>
  </si>
  <si>
    <t>H16</t>
  </si>
  <si>
    <t>H17</t>
  </si>
  <si>
    <t>H18</t>
  </si>
  <si>
    <t>H19</t>
  </si>
  <si>
    <t>H20</t>
  </si>
  <si>
    <t>H21</t>
  </si>
  <si>
    <t>H22</t>
  </si>
  <si>
    <t>H23</t>
  </si>
  <si>
    <t>H24</t>
  </si>
  <si>
    <t>Días</t>
  </si>
  <si>
    <t>DEMANDA DIARIA ESTIMADA TOTAL [MWh]</t>
  </si>
  <si>
    <t>PRODUCTO No. 1</t>
  </si>
  <si>
    <t>Energía requerida (MWh-mes)</t>
  </si>
  <si>
    <t>Energía ofertada (%)</t>
  </si>
  <si>
    <t>Energía ofertada (MWh-mes)</t>
  </si>
  <si>
    <t>(4) Esta oferta NO presenta restricciones tales como adjudicación mínima o total u otras que no permitan la evaluación objetiva e integral del producto ofertado.</t>
  </si>
  <si>
    <t>(5) Los precios ofertados incluyen todos los pagos, cargos, impuestos, estampillas, etc., que el Proponente deba realizar ante cualquier entidad gubernamental, o empresa pública, privada o mixta para entregar la energía en la frontera con el Sistema de Transmisión Nacional – STN.</t>
  </si>
  <si>
    <t>DEMANDA DIARIA ESTIMADA DÍA HABIL [MWh]</t>
  </si>
  <si>
    <t>HABIL</t>
  </si>
  <si>
    <t>DEMANDA DIARIA ESTIMADA DÍA SABADO [MWh]</t>
  </si>
  <si>
    <t>SABADOS</t>
  </si>
  <si>
    <t>DEMANDA DIARIA ESTIMADA DÍA DOMINGO Y FESTIVO DIFERENTE A LUNES [MWh]</t>
  </si>
  <si>
    <t>DOMINGOS Y FESTIVOS</t>
  </si>
  <si>
    <t>DEMANDA DIARIA ESTIMADA DÍA LUNES FESTIVO [MWh]</t>
  </si>
  <si>
    <t>LUNES FESTIVOS</t>
  </si>
  <si>
    <t>PRODUCTO No. 2</t>
  </si>
  <si>
    <t>Las tarifas ofertadas están referidas en pesos constantes de abril de 2025 provisional</t>
  </si>
  <si>
    <t>(6) Las cantidades ofertadas están sujetas a la adjudicación en la misma proporción respecto a las cantidades ofertadas para todos y cada uno de los meses del año. Es decir, si la Empresa de Energía de Pereira decide adjudicar, por ejemplo, el 50% de lo ofertado en cualesquiera de los meses de alguno de los años, ese mismo porcentaje debe ser adjudicado en el resto de cada uno de los meses de ese año.</t>
  </si>
  <si>
    <t>OFERTA MERCANTIL IRREVOCABLE A LA EMPRESA DE ENERGIA DE PEREIRA S.A. ESP.
INVITACIÓN PARA EL SUMINISTRO DE ENERGÍA ELÉCTRICA CON DESTINO AL MERCADO REGULADO CONVOCATORIA PÚBLICA No. 005-2025 - CP-EEPC2025-005</t>
  </si>
  <si>
    <t>DEMANDA DIARIA ESTIMADA TO [MWh]</t>
  </si>
  <si>
    <t>…..</t>
  </si>
  <si>
    <t>(3) La cantidad de energía es equivalente a un porcentaje de las cantidades de energía requerida por la Empresa de Energía de Pereira S.A. ESP. (para todo el año/para cada mes), de acuerdo con el Anexo No.1 Ofertas y Cantidades PRODUCTO No. 1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</si>
  <si>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2 de los Pliegos definitivos, que se aplicarán para todas las 24 horas del día de la curva establecida en dicho Anexo, presentando una tarifa para cada año sin ningún tipo de discriminación por mes, ni tipo de carga ni tipo de día.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</si>
</sst>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164" formatCode="_-* #,##0_-;\-* #,##0_-;_-* &quot;-&quot;??_-;_-@_-"/>
    <numFmt numFmtId="165" formatCode="_-* #,##0.00_-;\-* #,##0.00_-;_-* &quot;-&quot;_-;_-@_-"/>
    <numFmt numFmtId="166" formatCode="_ * #,##0_ ;_ * \-#,##0_ ;_ * &quot;-&quot;??_ ;_ @_ "/>
    <numFmt numFmtId="167" formatCode="_ * #,##0.00_ ;_ * \-#,##0.00_ ;_ * &quot;-&quot;?_ ;_ @_ "/>
    <numFmt numFmtId="168" formatCode="_ * #,##0_ ;_ * \-#,##0_ ;_ * &quot;-&quot;?_ ;_ @_ "/>
    <numFmt numFmtId="169" formatCode="_ * #,##0.0000_ ;_ * \-#,##0.0000_ ;_ * &quot;-&quot;?_ ;_ @_ "/>
    <numFmt numFmtId="170" formatCode="0.000%"/>
    <numFmt numFmtId="171" formatCode="_(* #,##0.00_);_(* \(#,##0.00\);_(* &quot;-&quot;??_);_(@_)"/>
  </numFmts>
  <fonts count="34" x14ac:knownFonts="1">
    <font>
      <sz val="11"/>
      <color theme="1"/>
      <name val="Calibri"/>
      <family val="2"/>
      <scheme val="minor"/>
    </font>
    <font>
      <sz val="11"/>
      <color theme="1"/>
      <name val="Calibri"/>
      <family val="2"/>
      <scheme val="minor"/>
    </font>
    <font>
      <sz val="10"/>
      <name val="Arial"/>
      <family val="2"/>
    </font>
    <font>
      <sz val="20"/>
      <name val="Verdana"/>
      <family val="2"/>
    </font>
    <font>
      <b/>
      <i/>
      <sz val="20"/>
      <name val="Verdana"/>
      <family val="2"/>
    </font>
    <font>
      <b/>
      <sz val="18"/>
      <color theme="1"/>
      <name val="Verdana"/>
      <family val="2"/>
    </font>
    <font>
      <b/>
      <i/>
      <sz val="20"/>
      <color theme="1"/>
      <name val="Verdana"/>
      <family val="2"/>
    </font>
    <font>
      <i/>
      <sz val="20"/>
      <name val="Verdana"/>
      <family val="2"/>
    </font>
    <font>
      <sz val="20"/>
      <color theme="1"/>
      <name val="Verdana"/>
      <family val="2"/>
    </font>
    <font>
      <b/>
      <sz val="16"/>
      <name val="Verdana"/>
      <family val="2"/>
    </font>
    <font>
      <b/>
      <sz val="16"/>
      <color rgb="FFFF0000"/>
      <name val="Verdana"/>
      <family val="2"/>
    </font>
    <font>
      <b/>
      <sz val="20"/>
      <name val="Verdana"/>
      <family val="2"/>
    </font>
    <font>
      <b/>
      <sz val="16"/>
      <color theme="1"/>
      <name val="Verdana"/>
      <family val="2"/>
    </font>
    <font>
      <b/>
      <sz val="16"/>
      <color rgb="FF000000"/>
      <name val="Verdana"/>
      <family val="2"/>
    </font>
    <font>
      <sz val="14"/>
      <color theme="0"/>
      <name val="Verdana"/>
      <family val="2"/>
    </font>
    <font>
      <sz val="16"/>
      <name val="Verdana"/>
      <family val="2"/>
    </font>
    <font>
      <sz val="12"/>
      <color theme="0"/>
      <name val="Verdana"/>
      <family val="2"/>
    </font>
    <font>
      <b/>
      <u/>
      <sz val="16"/>
      <name val="Verdana"/>
      <family val="2"/>
    </font>
    <font>
      <sz val="16"/>
      <color theme="1"/>
      <name val="Verdana"/>
      <family val="2"/>
    </font>
    <font>
      <sz val="12"/>
      <name val="Arial"/>
      <family val="2"/>
    </font>
    <font>
      <b/>
      <sz val="12"/>
      <name val="Arial"/>
      <family val="2"/>
    </font>
    <font>
      <b/>
      <sz val="10"/>
      <name val="Arial"/>
      <family val="2"/>
    </font>
    <font>
      <sz val="12"/>
      <color indexed="9"/>
      <name val="Arial"/>
      <family val="2"/>
    </font>
    <font>
      <sz val="10"/>
      <color indexed="9"/>
      <name val="Arial"/>
      <family val="2"/>
    </font>
    <font>
      <b/>
      <i/>
      <sz val="12"/>
      <color indexed="9"/>
      <name val="Arial"/>
      <family val="2"/>
    </font>
    <font>
      <sz val="11"/>
      <name val="Arial"/>
      <family val="2"/>
    </font>
    <font>
      <b/>
      <sz val="11"/>
      <color indexed="10"/>
      <name val="Arial"/>
      <family val="2"/>
    </font>
    <font>
      <b/>
      <sz val="11"/>
      <name val="Arial"/>
      <family val="2"/>
    </font>
    <font>
      <b/>
      <sz val="18"/>
      <name val="Arial"/>
      <family val="2"/>
    </font>
    <font>
      <b/>
      <sz val="16"/>
      <color theme="1"/>
      <name val="Arial"/>
      <family val="2"/>
    </font>
    <font>
      <b/>
      <sz val="18"/>
      <name val="Verdana"/>
      <family val="2"/>
    </font>
    <font>
      <sz val="12"/>
      <color rgb="FFFF0000"/>
      <name val="Arial"/>
      <family val="2"/>
    </font>
    <font>
      <b/>
      <sz val="12"/>
      <color rgb="FFFF0000"/>
      <name val="Arial"/>
      <family val="2"/>
    </font>
    <font>
      <sz val="10"/>
      <color theme="0"/>
      <name val="Arial"/>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rgb="FFE66E23"/>
        <bgColor indexed="64"/>
      </patternFill>
    </fill>
    <fill>
      <patternFill patternType="solid">
        <fgColor rgb="FF73A037"/>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s>
  <cellStyleXfs count="12">
    <xf numFmtId="0" fontId="0" fillId="0" borderId="0"/>
    <xf numFmtId="41" fontId="2" fillId="0" borderId="0" applyFont="0" applyFill="0" applyBorder="0" applyAlignment="0" applyProtection="0"/>
    <xf numFmtId="0" fontId="2" fillId="0" borderId="0"/>
    <xf numFmtId="0" fontId="1" fillId="0" borderId="0"/>
    <xf numFmtId="0" fontId="1" fillId="0" borderId="0"/>
    <xf numFmtId="41" fontId="1" fillId="0" borderId="0" applyFont="0" applyFill="0" applyBorder="0" applyAlignment="0" applyProtection="0"/>
    <xf numFmtId="9" fontId="1" fillId="0" borderId="0" applyFont="0" applyFill="0" applyBorder="0" applyAlignment="0" applyProtection="0"/>
    <xf numFmtId="0" fontId="2" fillId="0" borderId="0" applyFont="0" applyFill="0" applyBorder="0" applyAlignment="0" applyProtection="0"/>
    <xf numFmtId="9" fontId="2" fillId="0" borderId="0" applyFont="0" applyFill="0" applyBorder="0" applyAlignment="0" applyProtection="0"/>
    <xf numFmtId="171" fontId="2" fillId="0" borderId="0" applyFont="0" applyFill="0" applyBorder="0" applyAlignment="0" applyProtection="0"/>
    <xf numFmtId="0" fontId="1" fillId="0" borderId="0"/>
    <xf numFmtId="9" fontId="1" fillId="0" borderId="0" applyFont="0" applyFill="0" applyBorder="0" applyAlignment="0" applyProtection="0"/>
  </cellStyleXfs>
  <cellXfs count="108">
    <xf numFmtId="0" fontId="0" fillId="0" borderId="0" xfId="0"/>
    <xf numFmtId="0" fontId="3" fillId="2" borderId="0" xfId="2" applyFont="1" applyFill="1"/>
    <xf numFmtId="0" fontId="4" fillId="2" borderId="0" xfId="2" applyFont="1" applyFill="1" applyAlignment="1">
      <alignment vertical="center"/>
    </xf>
    <xf numFmtId="0" fontId="6" fillId="2" borderId="0" xfId="2" applyFont="1" applyFill="1" applyAlignment="1">
      <alignment vertical="center"/>
    </xf>
    <xf numFmtId="0" fontId="7" fillId="2" borderId="0" xfId="2" applyFont="1" applyFill="1"/>
    <xf numFmtId="0" fontId="4" fillId="2" borderId="0" xfId="2" applyFont="1" applyFill="1" applyAlignment="1">
      <alignment horizontal="center" vertical="center"/>
    </xf>
    <xf numFmtId="0" fontId="8" fillId="3" borderId="0" xfId="4" applyFont="1" applyFill="1" applyAlignment="1">
      <alignment horizontal="center" vertical="center"/>
    </xf>
    <xf numFmtId="0" fontId="4" fillId="3" borderId="0" xfId="2" applyFont="1" applyFill="1" applyAlignment="1">
      <alignment vertical="center"/>
    </xf>
    <xf numFmtId="0" fontId="4" fillId="3" borderId="0" xfId="2" applyFont="1" applyFill="1" applyAlignment="1">
      <alignment horizontal="center" vertical="center"/>
    </xf>
    <xf numFmtId="0" fontId="7" fillId="2" borderId="0" xfId="2" applyFont="1" applyFill="1" applyAlignment="1">
      <alignment horizontal="center" vertical="center"/>
    </xf>
    <xf numFmtId="0" fontId="9" fillId="2" borderId="0" xfId="2" applyFont="1" applyFill="1"/>
    <xf numFmtId="0" fontId="11" fillId="2" borderId="0" xfId="2" applyFont="1" applyFill="1" applyAlignment="1">
      <alignment horizontal="center" vertical="center"/>
    </xf>
    <xf numFmtId="0" fontId="3" fillId="2" borderId="0" xfId="2" applyFont="1" applyFill="1" applyAlignment="1">
      <alignment horizontal="center" vertical="center"/>
    </xf>
    <xf numFmtId="0" fontId="12" fillId="2" borderId="0" xfId="2" applyFont="1" applyFill="1"/>
    <xf numFmtId="0" fontId="6" fillId="2" borderId="0" xfId="2" applyFont="1" applyFill="1" applyAlignment="1">
      <alignment horizontal="center" vertical="center"/>
    </xf>
    <xf numFmtId="0" fontId="8" fillId="2" borderId="0" xfId="2" applyFont="1" applyFill="1"/>
    <xf numFmtId="0" fontId="11" fillId="2" borderId="0" xfId="2" applyFont="1" applyFill="1"/>
    <xf numFmtId="0" fontId="12" fillId="4" borderId="1" xfId="3" applyFont="1" applyFill="1" applyBorder="1" applyAlignment="1">
      <alignment vertical="center" wrapText="1"/>
    </xf>
    <xf numFmtId="0" fontId="9" fillId="4" borderId="1" xfId="3" applyFont="1" applyFill="1" applyBorder="1" applyAlignment="1">
      <alignment horizontal="center" vertical="center" wrapText="1"/>
    </xf>
    <xf numFmtId="0" fontId="13" fillId="4" borderId="1" xfId="3" applyFont="1" applyFill="1" applyBorder="1" applyAlignment="1">
      <alignment horizontal="center" vertical="center" wrapText="1"/>
    </xf>
    <xf numFmtId="41" fontId="3" fillId="2" borderId="0" xfId="5" applyFont="1" applyFill="1"/>
    <xf numFmtId="164" fontId="14" fillId="2" borderId="0" xfId="2" applyNumberFormat="1" applyFont="1" applyFill="1"/>
    <xf numFmtId="17" fontId="9" fillId="0" borderId="1" xfId="3" applyNumberFormat="1" applyFont="1" applyBorder="1" applyAlignment="1">
      <alignment horizontal="center" vertical="center" wrapText="1"/>
    </xf>
    <xf numFmtId="41" fontId="15" fillId="0" borderId="1" xfId="1" applyFont="1" applyFill="1" applyBorder="1" applyAlignment="1">
      <alignment horizontal="center" vertical="center" wrapText="1"/>
    </xf>
    <xf numFmtId="10" fontId="16" fillId="2" borderId="0" xfId="6" applyNumberFormat="1" applyFont="1" applyFill="1"/>
    <xf numFmtId="165" fontId="3" fillId="2" borderId="0" xfId="5" applyNumberFormat="1" applyFont="1" applyFill="1"/>
    <xf numFmtId="0" fontId="12" fillId="4" borderId="1" xfId="3" applyFont="1" applyFill="1" applyBorder="1" applyAlignment="1">
      <alignment horizontal="center" vertical="center"/>
    </xf>
    <xf numFmtId="166" fontId="3" fillId="2" borderId="0" xfId="7" applyNumberFormat="1" applyFont="1" applyFill="1" applyBorder="1" applyAlignment="1">
      <alignment horizontal="center" vertical="center" wrapText="1"/>
    </xf>
    <xf numFmtId="3" fontId="9" fillId="4" borderId="1" xfId="3" applyNumberFormat="1" applyFont="1" applyFill="1" applyBorder="1" applyAlignment="1">
      <alignment horizontal="center" vertical="center" wrapText="1"/>
    </xf>
    <xf numFmtId="17" fontId="11" fillId="2" borderId="0" xfId="2" applyNumberFormat="1" applyFont="1" applyFill="1" applyAlignment="1">
      <alignment horizontal="left" vertical="center" wrapText="1"/>
    </xf>
    <xf numFmtId="0" fontId="17" fillId="2" borderId="0" xfId="2" applyFont="1" applyFill="1"/>
    <xf numFmtId="0" fontId="15" fillId="2" borderId="0" xfId="2" applyFont="1" applyFill="1"/>
    <xf numFmtId="0" fontId="15" fillId="3" borderId="0" xfId="2" applyFont="1" applyFill="1" applyAlignment="1">
      <alignment horizontal="justify" vertical="justify" wrapText="1"/>
    </xf>
    <xf numFmtId="0" fontId="2" fillId="0" borderId="0" xfId="2"/>
    <xf numFmtId="0" fontId="19" fillId="0" borderId="0" xfId="2" applyFont="1"/>
    <xf numFmtId="167" fontId="2" fillId="0" borderId="0" xfId="2" applyNumberFormat="1"/>
    <xf numFmtId="0" fontId="21" fillId="5" borderId="5" xfId="2" applyFont="1" applyFill="1" applyBorder="1"/>
    <xf numFmtId="0" fontId="24" fillId="6" borderId="7" xfId="3" applyFont="1" applyFill="1" applyBorder="1" applyAlignment="1">
      <alignment horizontal="center"/>
    </xf>
    <xf numFmtId="0" fontId="1" fillId="0" borderId="0" xfId="3"/>
    <xf numFmtId="3" fontId="15" fillId="0" borderId="1" xfId="3" applyNumberFormat="1" applyFont="1" applyBorder="1" applyAlignment="1">
      <alignment horizontal="center" vertical="center" wrapText="1"/>
    </xf>
    <xf numFmtId="170" fontId="15" fillId="0" borderId="1" xfId="6" applyNumberFormat="1" applyFont="1" applyFill="1" applyBorder="1" applyAlignment="1">
      <alignment horizontal="center" vertical="center" wrapText="1"/>
    </xf>
    <xf numFmtId="3" fontId="3" fillId="2" borderId="0" xfId="2" applyNumberFormat="1" applyFont="1" applyFill="1"/>
    <xf numFmtId="170" fontId="9" fillId="4" borderId="1" xfId="6" applyNumberFormat="1" applyFont="1" applyFill="1" applyBorder="1" applyAlignment="1">
      <alignment horizontal="center" vertical="center" wrapText="1"/>
    </xf>
    <xf numFmtId="2" fontId="9" fillId="4" borderId="1" xfId="3" applyNumberFormat="1" applyFont="1" applyFill="1" applyBorder="1" applyAlignment="1">
      <alignment horizontal="center" vertical="center" wrapText="1"/>
    </xf>
    <xf numFmtId="0" fontId="28" fillId="0" borderId="3" xfId="2" applyFont="1" applyBorder="1"/>
    <xf numFmtId="0" fontId="29" fillId="0" borderId="4" xfId="2" applyFont="1" applyBorder="1"/>
    <xf numFmtId="168" fontId="26" fillId="0" borderId="11" xfId="0" applyNumberFormat="1" applyFont="1" applyBorder="1" applyAlignment="1">
      <alignment horizontal="left"/>
    </xf>
    <xf numFmtId="168" fontId="27" fillId="0" borderId="10" xfId="0" quotePrefix="1" applyNumberFormat="1" applyFont="1" applyBorder="1" applyAlignment="1">
      <alignment horizontal="left"/>
    </xf>
    <xf numFmtId="167" fontId="25" fillId="0" borderId="1" xfId="0" quotePrefix="1" applyNumberFormat="1" applyFont="1" applyBorder="1" applyAlignment="1">
      <alignment horizontal="left"/>
    </xf>
    <xf numFmtId="168" fontId="26" fillId="0" borderId="14" xfId="0" applyNumberFormat="1" applyFont="1" applyBorder="1" applyAlignment="1">
      <alignment horizontal="left"/>
    </xf>
    <xf numFmtId="168" fontId="27" fillId="0" borderId="1" xfId="0" quotePrefix="1" applyNumberFormat="1" applyFont="1" applyBorder="1" applyAlignment="1">
      <alignment horizontal="left"/>
    </xf>
    <xf numFmtId="168" fontId="26" fillId="0" borderId="18" xfId="0" applyNumberFormat="1" applyFont="1" applyBorder="1" applyAlignment="1">
      <alignment horizontal="left"/>
    </xf>
    <xf numFmtId="168" fontId="27" fillId="0" borderId="17" xfId="0" quotePrefix="1" applyNumberFormat="1" applyFont="1" applyBorder="1" applyAlignment="1">
      <alignment horizontal="left"/>
    </xf>
    <xf numFmtId="0" fontId="31" fillId="0" borderId="0" xfId="0" applyFont="1"/>
    <xf numFmtId="0" fontId="32" fillId="0" borderId="0" xfId="0" applyFont="1"/>
    <xf numFmtId="0" fontId="22" fillId="0" borderId="0" xfId="0" applyFont="1"/>
    <xf numFmtId="167" fontId="0" fillId="0" borderId="0" xfId="0" applyNumberFormat="1"/>
    <xf numFmtId="166" fontId="0" fillId="0" borderId="0" xfId="0" applyNumberFormat="1"/>
    <xf numFmtId="0" fontId="19" fillId="0" borderId="0" xfId="0" applyFont="1"/>
    <xf numFmtId="0" fontId="23" fillId="6" borderId="6" xfId="0" applyFont="1" applyFill="1" applyBorder="1"/>
    <xf numFmtId="0" fontId="24" fillId="6" borderId="7" xfId="0" applyFont="1" applyFill="1" applyBorder="1" applyAlignment="1">
      <alignment horizontal="center"/>
    </xf>
    <xf numFmtId="0" fontId="23" fillId="6" borderId="8" xfId="0" applyFont="1" applyFill="1" applyBorder="1"/>
    <xf numFmtId="17" fontId="20" fillId="0" borderId="9" xfId="0" applyNumberFormat="1" applyFont="1" applyBorder="1" applyAlignment="1">
      <alignment horizontal="left"/>
    </xf>
    <xf numFmtId="166" fontId="19" fillId="0" borderId="12" xfId="0" applyNumberFormat="1" applyFont="1" applyBorder="1"/>
    <xf numFmtId="17" fontId="20" fillId="0" borderId="13" xfId="0" applyNumberFormat="1" applyFont="1" applyBorder="1" applyAlignment="1">
      <alignment horizontal="left"/>
    </xf>
    <xf numFmtId="166" fontId="19" fillId="0" borderId="15" xfId="0" applyNumberFormat="1" applyFont="1" applyBorder="1"/>
    <xf numFmtId="17" fontId="20" fillId="0" borderId="16" xfId="0" applyNumberFormat="1" applyFont="1" applyBorder="1" applyAlignment="1">
      <alignment horizontal="left"/>
    </xf>
    <xf numFmtId="166" fontId="19" fillId="0" borderId="19" xfId="0" applyNumberFormat="1" applyFont="1" applyBorder="1"/>
    <xf numFmtId="169" fontId="19" fillId="0" borderId="0" xfId="0" applyNumberFormat="1" applyFont="1"/>
    <xf numFmtId="0" fontId="20" fillId="0" borderId="0" xfId="0" applyFont="1"/>
    <xf numFmtId="0" fontId="33" fillId="0" borderId="0" xfId="2" applyFont="1"/>
    <xf numFmtId="10" fontId="33" fillId="0" borderId="0" xfId="11" applyNumberFormat="1" applyFont="1"/>
    <xf numFmtId="168" fontId="25" fillId="0" borderId="10" xfId="0" quotePrefix="1" applyNumberFormat="1" applyFont="1" applyBorder="1" applyAlignment="1">
      <alignment horizontal="left"/>
    </xf>
    <xf numFmtId="0" fontId="19" fillId="0" borderId="0" xfId="2" applyFont="1" applyAlignment="1">
      <alignment horizontal="center"/>
    </xf>
    <xf numFmtId="167" fontId="2" fillId="0" borderId="0" xfId="2" applyNumberFormat="1" applyAlignment="1">
      <alignment horizontal="center"/>
    </xf>
    <xf numFmtId="0" fontId="31" fillId="0" borderId="0" xfId="0" applyFont="1" applyAlignment="1">
      <alignment horizontal="center"/>
    </xf>
    <xf numFmtId="0" fontId="32" fillId="0" borderId="0" xfId="0" applyFont="1" applyAlignment="1">
      <alignment horizontal="center"/>
    </xf>
    <xf numFmtId="0" fontId="22" fillId="0" borderId="0" xfId="0" applyFont="1" applyAlignment="1">
      <alignment horizontal="center"/>
    </xf>
    <xf numFmtId="167" fontId="0" fillId="0" borderId="0" xfId="0" applyNumberFormat="1" applyAlignment="1">
      <alignment horizontal="center"/>
    </xf>
    <xf numFmtId="0" fontId="19" fillId="0" borderId="0" xfId="0" applyFont="1" applyAlignment="1">
      <alignment horizontal="center"/>
    </xf>
    <xf numFmtId="167" fontId="25" fillId="0" borderId="10" xfId="0" quotePrefix="1" applyNumberFormat="1" applyFont="1" applyBorder="1" applyAlignment="1">
      <alignment horizontal="center"/>
    </xf>
    <xf numFmtId="168" fontId="26" fillId="0" borderId="11" xfId="0" applyNumberFormat="1" applyFont="1" applyBorder="1" applyAlignment="1">
      <alignment horizontal="center"/>
    </xf>
    <xf numFmtId="167" fontId="25" fillId="0" borderId="1" xfId="0" quotePrefix="1" applyNumberFormat="1" applyFont="1" applyBorder="1" applyAlignment="1">
      <alignment horizontal="center"/>
    </xf>
    <xf numFmtId="168" fontId="26" fillId="0" borderId="14" xfId="0" applyNumberFormat="1" applyFont="1" applyBorder="1" applyAlignment="1">
      <alignment horizontal="center"/>
    </xf>
    <xf numFmtId="167" fontId="25" fillId="0" borderId="17" xfId="0" quotePrefix="1" applyNumberFormat="1" applyFont="1" applyBorder="1" applyAlignment="1">
      <alignment horizontal="center"/>
    </xf>
    <xf numFmtId="168" fontId="26" fillId="0" borderId="18" xfId="0" applyNumberFormat="1" applyFont="1" applyBorder="1" applyAlignment="1">
      <alignment horizontal="center"/>
    </xf>
    <xf numFmtId="169" fontId="19" fillId="0" borderId="0" xfId="0" applyNumberFormat="1" applyFont="1" applyAlignment="1">
      <alignment horizontal="center"/>
    </xf>
    <xf numFmtId="0" fontId="20" fillId="0" borderId="0" xfId="0" applyFont="1" applyAlignment="1">
      <alignment horizontal="center"/>
    </xf>
    <xf numFmtId="168" fontId="25" fillId="0" borderId="1" xfId="0" quotePrefix="1" applyNumberFormat="1" applyFont="1" applyBorder="1" applyAlignment="1">
      <alignment horizontal="left"/>
    </xf>
    <xf numFmtId="168" fontId="25" fillId="0" borderId="17" xfId="0" quotePrefix="1" applyNumberFormat="1" applyFont="1" applyBorder="1" applyAlignment="1">
      <alignment horizontal="left"/>
    </xf>
    <xf numFmtId="168" fontId="25" fillId="0" borderId="10" xfId="0" quotePrefix="1" applyNumberFormat="1" applyFont="1" applyBorder="1" applyAlignment="1">
      <alignment horizontal="center"/>
    </xf>
    <xf numFmtId="0" fontId="18" fillId="0" borderId="2" xfId="2" applyFont="1" applyBorder="1" applyAlignment="1">
      <alignment horizontal="justify" vertical="justify" wrapText="1"/>
    </xf>
    <xf numFmtId="0" fontId="18" fillId="2" borderId="2" xfId="2" applyFont="1" applyFill="1" applyBorder="1" applyAlignment="1">
      <alignment horizontal="justify" vertical="justify" wrapText="1"/>
    </xf>
    <xf numFmtId="0" fontId="5" fillId="3" borderId="0" xfId="3" applyFont="1" applyFill="1" applyAlignment="1">
      <alignment horizontal="center" vertical="center"/>
    </xf>
    <xf numFmtId="0" fontId="30" fillId="3" borderId="0" xfId="3" applyFont="1" applyFill="1" applyAlignment="1">
      <alignment horizontal="center" vertical="center" wrapText="1"/>
    </xf>
    <xf numFmtId="0" fontId="5" fillId="0" borderId="0" xfId="3" applyFont="1" applyAlignment="1">
      <alignment horizontal="center" vertical="center"/>
    </xf>
    <xf numFmtId="0" fontId="12" fillId="0" borderId="1" xfId="2" applyFont="1" applyBorder="1" applyAlignment="1">
      <alignment horizontal="center"/>
    </xf>
    <xf numFmtId="165" fontId="15" fillId="0" borderId="22" xfId="1" applyNumberFormat="1" applyFont="1" applyFill="1" applyBorder="1" applyAlignment="1">
      <alignment horizontal="center" vertical="center" wrapText="1"/>
    </xf>
    <xf numFmtId="165" fontId="15" fillId="0" borderId="20" xfId="1" applyNumberFormat="1" applyFont="1" applyFill="1" applyBorder="1" applyAlignment="1">
      <alignment horizontal="center" vertical="center" wrapText="1"/>
    </xf>
    <xf numFmtId="165" fontId="15" fillId="0" borderId="21" xfId="1" applyNumberFormat="1" applyFont="1" applyFill="1" applyBorder="1" applyAlignment="1">
      <alignment horizontal="center" vertical="center" wrapText="1"/>
    </xf>
    <xf numFmtId="0" fontId="24" fillId="6" borderId="23" xfId="0" applyFont="1" applyFill="1" applyBorder="1" applyAlignment="1">
      <alignment horizontal="center"/>
    </xf>
    <xf numFmtId="168" fontId="25" fillId="0" borderId="1" xfId="0" quotePrefix="1" applyNumberFormat="1" applyFont="1" applyBorder="1" applyAlignment="1">
      <alignment horizontal="center"/>
    </xf>
    <xf numFmtId="0" fontId="23" fillId="6" borderId="24" xfId="0" applyFont="1" applyFill="1" applyBorder="1"/>
    <xf numFmtId="168" fontId="25" fillId="0" borderId="17" xfId="0" quotePrefix="1" applyNumberFormat="1" applyFont="1" applyBorder="1" applyAlignment="1">
      <alignment horizontal="center"/>
    </xf>
    <xf numFmtId="0" fontId="23" fillId="6" borderId="25" xfId="0" applyFont="1" applyFill="1" applyBorder="1"/>
    <xf numFmtId="168" fontId="26" fillId="0" borderId="1" xfId="0" applyNumberFormat="1" applyFont="1" applyBorder="1" applyAlignment="1">
      <alignment horizontal="center"/>
    </xf>
    <xf numFmtId="168" fontId="26" fillId="0" borderId="10" xfId="0" applyNumberFormat="1" applyFont="1" applyBorder="1" applyAlignment="1">
      <alignment horizontal="center"/>
    </xf>
    <xf numFmtId="168" fontId="26" fillId="0" borderId="17" xfId="0" applyNumberFormat="1" applyFont="1" applyBorder="1" applyAlignment="1">
      <alignment horizontal="center"/>
    </xf>
  </cellXfs>
  <cellStyles count="12">
    <cellStyle name="Millares [0]" xfId="1" builtinId="6"/>
    <cellStyle name="Millares [0] 2" xfId="5" xr:uid="{2416B5C4-CA6E-48A3-8BD0-1D5A04C005F3}"/>
    <cellStyle name="Millares 2" xfId="9" xr:uid="{3785560F-9040-4463-8EA8-ADA74CE91014}"/>
    <cellStyle name="Millares 3" xfId="7" xr:uid="{DB76B201-E1DD-49E7-9F6A-034177E128D1}"/>
    <cellStyle name="Normal" xfId="0" builtinId="0"/>
    <cellStyle name="Normal 2" xfId="3" xr:uid="{87DF4781-0534-4082-AD30-1DDB9B2FA0B6}"/>
    <cellStyle name="Normal 2 2" xfId="4" xr:uid="{43AECF77-DF88-4704-93FB-70773F5F5F7C}"/>
    <cellStyle name="Normal 3" xfId="2" xr:uid="{E9574281-0F53-4598-A4D8-2DFD3A2A7D8F}"/>
    <cellStyle name="Normal 4" xfId="10" xr:uid="{C1C3C225-0B7F-4AA5-861D-96D3A65CFFC0}"/>
    <cellStyle name="Porcentaje" xfId="11" builtinId="5"/>
    <cellStyle name="Porcentaje 2" xfId="6" xr:uid="{0017BC6E-697A-4858-BDB7-805D194BB2B3}"/>
    <cellStyle name="Porcentaje 3" xfId="8" xr:uid="{8C6E2628-1CD5-41BC-9530-6C62ACC7A9A6}"/>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AFD55B67-477C-4019-9C2A-8CC96648C0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4661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37EFB22D-68D0-4E3B-B8BA-CC9F63BB4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91324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54B1831C-DAAD-49D6-AAF1-1CD405DB47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4661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1319FDCD-42DD-4A6B-B0A7-40D4A0CAC7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91324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00580-D667-4CA4-A120-6F8B08FD7F8C}">
  <sheetPr>
    <tabColor theme="9" tint="0.39997558519241921"/>
  </sheetPr>
  <dimension ref="A1:M38"/>
  <sheetViews>
    <sheetView tabSelected="1" view="pageBreakPreview" topLeftCell="A3" zoomScale="60" zoomScaleNormal="100" zoomScalePageLayoutView="30" workbookViewId="0">
      <selection activeCell="G27" sqref="G27"/>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2.7109375" style="1" customWidth="1"/>
    <col min="6" max="6" width="21.140625" style="1" customWidth="1"/>
    <col min="7" max="7" width="23" style="1" customWidth="1"/>
    <col min="8" max="10" width="22.7109375" style="1" customWidth="1"/>
    <col min="11" max="11" width="28.42578125" style="1" customWidth="1"/>
    <col min="12" max="12" width="15.42578125" style="1" customWidth="1"/>
    <col min="13" max="13" width="8.85546875" style="1" bestFit="1" customWidth="1"/>
    <col min="14" max="16384" width="17.85546875" style="1"/>
  </cols>
  <sheetData>
    <row r="1" spans="1:13" ht="171.2" customHeight="1" x14ac:dyDescent="0.3"/>
    <row r="2" spans="1:13" x14ac:dyDescent="0.3">
      <c r="A2" s="2"/>
      <c r="B2" s="2"/>
      <c r="C2" s="2"/>
      <c r="D2" s="93" t="s">
        <v>0</v>
      </c>
      <c r="E2" s="93"/>
      <c r="F2" s="93"/>
      <c r="G2" s="93"/>
      <c r="H2" s="93"/>
      <c r="I2" s="93"/>
      <c r="J2" s="93"/>
      <c r="K2" s="2"/>
      <c r="L2" s="2"/>
      <c r="M2" s="2"/>
    </row>
    <row r="3" spans="1:13" ht="89.25" customHeight="1" x14ac:dyDescent="0.3">
      <c r="A3" s="2"/>
      <c r="B3" s="2"/>
      <c r="C3" s="94" t="s">
        <v>54</v>
      </c>
      <c r="D3" s="94"/>
      <c r="E3" s="94"/>
      <c r="F3" s="94"/>
      <c r="G3" s="94"/>
      <c r="H3" s="94"/>
      <c r="I3" s="94"/>
      <c r="J3" s="94"/>
      <c r="K3" s="94"/>
      <c r="L3" s="2"/>
      <c r="M3" s="2"/>
    </row>
    <row r="4" spans="1:13" x14ac:dyDescent="0.3">
      <c r="A4" s="2"/>
      <c r="B4" s="2"/>
      <c r="C4" s="3"/>
      <c r="D4" s="95" t="s">
        <v>37</v>
      </c>
      <c r="E4" s="95"/>
      <c r="F4" s="95"/>
      <c r="G4" s="95"/>
      <c r="H4" s="95"/>
      <c r="I4" s="95"/>
      <c r="J4" s="95"/>
      <c r="K4" s="3"/>
      <c r="L4" s="2"/>
      <c r="M4" s="2"/>
    </row>
    <row r="5" spans="1:13" ht="19.5" customHeight="1" x14ac:dyDescent="0.3">
      <c r="A5" s="4"/>
      <c r="B5" s="5"/>
      <c r="C5" s="5"/>
      <c r="D5" s="6"/>
      <c r="E5" s="7"/>
      <c r="F5" s="7"/>
      <c r="G5" s="7"/>
      <c r="H5" s="7"/>
      <c r="I5" s="7"/>
      <c r="J5" s="8"/>
      <c r="K5" s="9"/>
      <c r="L5" s="4"/>
      <c r="M5" s="4"/>
    </row>
    <row r="6" spans="1:13" x14ac:dyDescent="0.3">
      <c r="A6" s="4"/>
      <c r="B6" s="5"/>
      <c r="C6" s="10" t="s">
        <v>1</v>
      </c>
      <c r="D6" s="5"/>
      <c r="E6" s="5"/>
      <c r="G6" s="5"/>
      <c r="H6" s="5"/>
      <c r="I6" s="5"/>
      <c r="J6" s="5"/>
      <c r="K6" s="9"/>
      <c r="L6" s="4"/>
      <c r="M6" s="4"/>
    </row>
    <row r="7" spans="1:13" x14ac:dyDescent="0.3">
      <c r="A7" s="4"/>
      <c r="B7" s="5"/>
      <c r="C7" s="10" t="s">
        <v>2</v>
      </c>
      <c r="D7" s="5"/>
      <c r="E7" s="5"/>
      <c r="G7" s="5"/>
      <c r="H7" s="5"/>
      <c r="I7" s="5"/>
      <c r="J7" s="5"/>
      <c r="K7" s="9"/>
      <c r="L7" s="4"/>
      <c r="M7" s="4"/>
    </row>
    <row r="8" spans="1:13" x14ac:dyDescent="0.3">
      <c r="B8" s="11"/>
      <c r="C8" s="10" t="s">
        <v>3</v>
      </c>
      <c r="D8" s="5"/>
      <c r="E8" s="5"/>
      <c r="G8" s="11"/>
      <c r="H8" s="11"/>
      <c r="I8" s="11"/>
      <c r="J8" s="11"/>
      <c r="K8" s="12"/>
    </row>
    <row r="9" spans="1:13" x14ac:dyDescent="0.3">
      <c r="B9" s="11"/>
      <c r="C9" s="13" t="str">
        <f>"PRODUCTO OFERTADO: "&amp;D4</f>
        <v>PRODUCTO OFERTADO: PRODUCTO No. 1</v>
      </c>
      <c r="D9" s="5"/>
      <c r="E9" s="5"/>
      <c r="G9" s="11"/>
      <c r="H9" s="11"/>
      <c r="I9" s="11"/>
      <c r="J9" s="11"/>
      <c r="K9" s="12"/>
    </row>
    <row r="10" spans="1:13" x14ac:dyDescent="0.3">
      <c r="B10" s="11"/>
      <c r="C10" s="13"/>
      <c r="D10" s="5"/>
      <c r="E10" s="5"/>
      <c r="G10" s="11"/>
      <c r="H10" s="11"/>
      <c r="I10" s="11"/>
      <c r="J10" s="11"/>
      <c r="K10" s="12"/>
    </row>
    <row r="11" spans="1:13" x14ac:dyDescent="0.3">
      <c r="B11" s="11"/>
      <c r="C11" s="10" t="s">
        <v>52</v>
      </c>
      <c r="D11" s="14"/>
      <c r="E11" s="14"/>
      <c r="F11" s="15"/>
      <c r="G11" s="11"/>
      <c r="H11" s="11"/>
      <c r="I11" s="11"/>
      <c r="J11" s="11"/>
      <c r="K11" s="12"/>
    </row>
    <row r="12" spans="1:13" x14ac:dyDescent="0.3">
      <c r="B12" s="16"/>
      <c r="C12" s="15"/>
    </row>
    <row r="13" spans="1:13" x14ac:dyDescent="0.3">
      <c r="F13" s="96" t="str">
        <f>"Oferta " &amp; PROPER(D4)</f>
        <v>Oferta Producto No. 1</v>
      </c>
      <c r="G13" s="96"/>
      <c r="H13" s="96"/>
      <c r="I13" s="96"/>
      <c r="J13" s="96"/>
    </row>
    <row r="14" spans="1:13" ht="72.75" customHeight="1" x14ac:dyDescent="0.3">
      <c r="F14" s="17" t="s">
        <v>4</v>
      </c>
      <c r="G14" s="18" t="s">
        <v>38</v>
      </c>
      <c r="H14" s="18" t="s">
        <v>39</v>
      </c>
      <c r="I14" s="18" t="s">
        <v>40</v>
      </c>
      <c r="J14" s="19" t="s">
        <v>5</v>
      </c>
    </row>
    <row r="15" spans="1:13" x14ac:dyDescent="0.3">
      <c r="A15" s="21">
        <v>22.85</v>
      </c>
      <c r="B15" s="21">
        <v>31</v>
      </c>
      <c r="F15" s="22">
        <f>+'Cantidades Producto No. 1'!A72</f>
        <v>46023</v>
      </c>
      <c r="G15" s="39">
        <f>+SUMIFS('Cantidades Producto No. 1'!$Z$72:$Z$83,'Cantidades Producto No. 1'!$A$72:$A$83,'Oferta Producto No. 1'!$F15)</f>
        <v>6500.8297280113957</v>
      </c>
      <c r="H15" s="23"/>
      <c r="I15" s="40"/>
      <c r="J15" s="97"/>
      <c r="L15" s="24"/>
      <c r="M15" s="24"/>
    </row>
    <row r="16" spans="1:13" x14ac:dyDescent="0.3">
      <c r="A16" s="20"/>
      <c r="B16" s="21">
        <v>28</v>
      </c>
      <c r="F16" s="22">
        <f>+'Cantidades Producto No. 1'!A73</f>
        <v>46054</v>
      </c>
      <c r="G16" s="39">
        <f>+SUMIFS('Cantidades Producto No. 1'!$Z$72:$Z$83,'Cantidades Producto No. 1'!$A$72:$A$83,'Oferta Producto No. 1'!$F16)</f>
        <v>5864.8480721064598</v>
      </c>
      <c r="H16" s="23"/>
      <c r="I16" s="40"/>
      <c r="J16" s="98"/>
      <c r="L16" s="24"/>
      <c r="M16" s="24"/>
    </row>
    <row r="17" spans="1:13" x14ac:dyDescent="0.3">
      <c r="A17" s="20"/>
      <c r="B17" s="21">
        <v>31</v>
      </c>
      <c r="F17" s="22">
        <f>+'Cantidades Producto No. 1'!A74</f>
        <v>46082</v>
      </c>
      <c r="G17" s="39">
        <f>+SUMIFS('Cantidades Producto No. 1'!$Z$72:$Z$83,'Cantidades Producto No. 1'!$A$72:$A$83,'Oferta Producto No. 1'!$F17)</f>
        <v>5506.0620864568273</v>
      </c>
      <c r="H17" s="23"/>
      <c r="I17" s="40"/>
      <c r="J17" s="98"/>
      <c r="L17" s="24"/>
      <c r="M17" s="24"/>
    </row>
    <row r="18" spans="1:13" x14ac:dyDescent="0.3">
      <c r="A18" s="20"/>
      <c r="B18" s="21">
        <v>30</v>
      </c>
      <c r="F18" s="22">
        <f>+'Cantidades Producto No. 1'!A75</f>
        <v>46113</v>
      </c>
      <c r="G18" s="39">
        <f>+SUMIFS('Cantidades Producto No. 1'!$Z$72:$Z$83,'Cantidades Producto No. 1'!$A$72:$A$83,'Oferta Producto No. 1'!$F18)</f>
        <v>5239.9784149243342</v>
      </c>
      <c r="H18" s="23"/>
      <c r="I18" s="40"/>
      <c r="J18" s="98"/>
      <c r="L18" s="24"/>
      <c r="M18" s="24"/>
    </row>
    <row r="19" spans="1:13" x14ac:dyDescent="0.3">
      <c r="A19" s="20"/>
      <c r="B19" s="21">
        <v>31</v>
      </c>
      <c r="F19" s="22">
        <f>+'Cantidades Producto No. 1'!A76</f>
        <v>46143</v>
      </c>
      <c r="G19" s="39">
        <f>+SUMIFS('Cantidades Producto No. 1'!$Z$72:$Z$83,'Cantidades Producto No. 1'!$A$72:$A$83,'Oferta Producto No. 1'!$F19)</f>
        <v>5429.2531742509918</v>
      </c>
      <c r="H19" s="23"/>
      <c r="I19" s="40"/>
      <c r="J19" s="98"/>
      <c r="L19" s="24"/>
      <c r="M19" s="24"/>
    </row>
    <row r="20" spans="1:13" x14ac:dyDescent="0.3">
      <c r="A20" s="25"/>
      <c r="B20" s="21">
        <v>30</v>
      </c>
      <c r="F20" s="22">
        <f>+'Cantidades Producto No. 1'!A77</f>
        <v>46174</v>
      </c>
      <c r="G20" s="39">
        <f>+SUMIFS('Cantidades Producto No. 1'!$Z$72:$Z$83,'Cantidades Producto No. 1'!$A$72:$A$83,'Oferta Producto No. 1'!$F20)</f>
        <v>5133.3159671216645</v>
      </c>
      <c r="H20" s="23"/>
      <c r="I20" s="40"/>
      <c r="J20" s="98"/>
      <c r="L20" s="24"/>
      <c r="M20" s="24"/>
    </row>
    <row r="21" spans="1:13" x14ac:dyDescent="0.3">
      <c r="A21" s="20"/>
      <c r="B21" s="21">
        <v>31</v>
      </c>
      <c r="F21" s="22">
        <f>+'Cantidades Producto No. 1'!A78</f>
        <v>46204</v>
      </c>
      <c r="G21" s="39">
        <f>+SUMIFS('Cantidades Producto No. 1'!$Z$72:$Z$83,'Cantidades Producto No. 1'!$A$72:$A$83,'Oferta Producto No. 1'!$F21)</f>
        <v>5052.6096943633929</v>
      </c>
      <c r="H21" s="23"/>
      <c r="I21" s="40"/>
      <c r="J21" s="98"/>
      <c r="L21" s="24"/>
      <c r="M21" s="24"/>
    </row>
    <row r="22" spans="1:13" x14ac:dyDescent="0.3">
      <c r="A22" s="20"/>
      <c r="B22" s="21">
        <v>31</v>
      </c>
      <c r="F22" s="22">
        <f>+'Cantidades Producto No. 1'!A79</f>
        <v>46235</v>
      </c>
      <c r="G22" s="39">
        <f>+SUMIFS('Cantidades Producto No. 1'!$Z$72:$Z$83,'Cantidades Producto No. 1'!$A$72:$A$83,'Oferta Producto No. 1'!$F22)</f>
        <v>5004.3502447637111</v>
      </c>
      <c r="H22" s="23"/>
      <c r="I22" s="40"/>
      <c r="J22" s="98"/>
      <c r="K22" s="41"/>
      <c r="L22" s="24"/>
      <c r="M22" s="24"/>
    </row>
    <row r="23" spans="1:13" x14ac:dyDescent="0.3">
      <c r="A23" s="25"/>
      <c r="B23" s="21">
        <v>30</v>
      </c>
      <c r="F23" s="22">
        <f>+'Cantidades Producto No. 1'!A80</f>
        <v>46266</v>
      </c>
      <c r="G23" s="39">
        <f>+SUMIFS('Cantidades Producto No. 1'!$Z$72:$Z$83,'Cantidades Producto No. 1'!$A$72:$A$83,'Oferta Producto No. 1'!$F23)</f>
        <v>4833.3263882152205</v>
      </c>
      <c r="H23" s="23"/>
      <c r="I23" s="40"/>
      <c r="J23" s="98"/>
      <c r="K23" s="41"/>
      <c r="L23" s="24"/>
      <c r="M23" s="24"/>
    </row>
    <row r="24" spans="1:13" x14ac:dyDescent="0.3">
      <c r="A24" s="25"/>
      <c r="B24" s="21">
        <v>31</v>
      </c>
      <c r="F24" s="22">
        <f>+'Cantidades Producto No. 1'!A81</f>
        <v>46296</v>
      </c>
      <c r="G24" s="39">
        <f>+SUMIFS('Cantidades Producto No. 1'!$Z$72:$Z$83,'Cantidades Producto No. 1'!$A$72:$A$83,'Oferta Producto No. 1'!$F24)</f>
        <v>4999.9257737037933</v>
      </c>
      <c r="H24" s="23"/>
      <c r="I24" s="40"/>
      <c r="J24" s="98"/>
      <c r="L24" s="24"/>
      <c r="M24" s="24"/>
    </row>
    <row r="25" spans="1:13" x14ac:dyDescent="0.3">
      <c r="A25" s="20"/>
      <c r="B25" s="21">
        <v>30</v>
      </c>
      <c r="F25" s="22">
        <f>+'Cantidades Producto No. 1'!A82</f>
        <v>46327</v>
      </c>
      <c r="G25" s="39">
        <f>+SUMIFS('Cantidades Producto No. 1'!$Z$72:$Z$83,'Cantidades Producto No. 1'!$A$72:$A$83,'Oferta Producto No. 1'!$F25)</f>
        <v>4775.1491892236909</v>
      </c>
      <c r="H25" s="23"/>
      <c r="I25" s="40"/>
      <c r="J25" s="98"/>
      <c r="L25" s="24"/>
      <c r="M25" s="24"/>
    </row>
    <row r="26" spans="1:13" x14ac:dyDescent="0.3">
      <c r="A26" s="20"/>
      <c r="B26" s="21">
        <v>31</v>
      </c>
      <c r="D26" s="41"/>
      <c r="E26" s="41"/>
      <c r="F26" s="22">
        <f>+'Cantidades Producto No. 1'!A83</f>
        <v>46357</v>
      </c>
      <c r="G26" s="39">
        <f>+SUMIFS('Cantidades Producto No. 1'!$Z$72:$Z$83,'Cantidades Producto No. 1'!$A$72:$A$83,'Oferta Producto No. 1'!$F26)</f>
        <v>5200.3838952958795</v>
      </c>
      <c r="H26" s="23"/>
      <c r="I26" s="40"/>
      <c r="J26" s="99"/>
      <c r="L26" s="24"/>
      <c r="M26" s="24"/>
    </row>
    <row r="27" spans="1:13" x14ac:dyDescent="0.3">
      <c r="F27" s="26" t="s">
        <v>6</v>
      </c>
      <c r="G27" s="28">
        <f>SUM(G15:G26)</f>
        <v>63540.032628437359</v>
      </c>
      <c r="H27" s="42"/>
      <c r="I27" s="42"/>
      <c r="J27" s="43"/>
    </row>
    <row r="28" spans="1:13" x14ac:dyDescent="0.3">
      <c r="F28" s="29"/>
      <c r="G28" s="27"/>
    </row>
    <row r="29" spans="1:13" x14ac:dyDescent="0.3">
      <c r="B29" s="30" t="s">
        <v>7</v>
      </c>
      <c r="C29" s="31"/>
      <c r="D29" s="31"/>
      <c r="E29" s="31"/>
      <c r="F29" s="31"/>
      <c r="G29" s="31"/>
      <c r="L29" s="31"/>
    </row>
    <row r="30" spans="1:13" x14ac:dyDescent="0.3">
      <c r="B30" s="30"/>
      <c r="C30" s="31"/>
      <c r="D30" s="31"/>
      <c r="E30" s="31"/>
      <c r="F30" s="31"/>
      <c r="G30" s="31"/>
      <c r="H30" s="31"/>
      <c r="I30" s="31"/>
      <c r="J30" s="31"/>
      <c r="K30" s="31"/>
      <c r="L30" s="31"/>
    </row>
    <row r="31" spans="1:13" ht="24.75" customHeight="1" x14ac:dyDescent="0.3">
      <c r="B31" s="91" t="s">
        <v>8</v>
      </c>
      <c r="C31" s="91"/>
      <c r="D31" s="91"/>
      <c r="E31" s="91"/>
      <c r="F31" s="91"/>
      <c r="G31" s="91"/>
      <c r="H31" s="91"/>
      <c r="I31" s="91"/>
      <c r="J31" s="91"/>
      <c r="K31" s="91"/>
      <c r="L31" s="91"/>
    </row>
    <row r="32" spans="1:13" ht="39" customHeight="1" x14ac:dyDescent="0.3">
      <c r="B32" s="91" t="str">
        <f>"(2) Las cantidades se distribuyen de acuerdo a la curva del Anexo 1. Ofertas y Cantidades "&amp; D4 &amp;" de los Pliegos de Condiciones definitivos"</f>
        <v>(2) Las cantidades se distribuyen de acuerdo a la curva del Anexo 1. Ofertas y Cantidades PRODUCTO No. 1 de los Pliegos de Condiciones definitivos</v>
      </c>
      <c r="C32" s="91"/>
      <c r="D32" s="91"/>
      <c r="E32" s="91"/>
      <c r="F32" s="91"/>
      <c r="G32" s="91"/>
      <c r="H32" s="91"/>
      <c r="I32" s="91"/>
      <c r="J32" s="91"/>
      <c r="K32" s="91"/>
      <c r="L32" s="91"/>
    </row>
    <row r="33" spans="1:12" ht="83.25" customHeight="1" x14ac:dyDescent="0.3">
      <c r="B33" s="92" t="s">
        <v>57</v>
      </c>
      <c r="C33" s="92"/>
      <c r="D33" s="92"/>
      <c r="E33" s="92"/>
      <c r="F33" s="92"/>
      <c r="G33" s="92"/>
      <c r="H33" s="92"/>
      <c r="I33" s="92"/>
      <c r="J33" s="92"/>
      <c r="K33" s="92"/>
      <c r="L33" s="92"/>
    </row>
    <row r="34" spans="1:12" ht="43.5" customHeight="1" x14ac:dyDescent="0.3">
      <c r="B34" s="92" t="s">
        <v>41</v>
      </c>
      <c r="C34" s="92"/>
      <c r="D34" s="92"/>
      <c r="E34" s="92"/>
      <c r="F34" s="92"/>
      <c r="G34" s="92"/>
      <c r="H34" s="92"/>
      <c r="I34" s="92"/>
      <c r="J34" s="92"/>
      <c r="K34" s="92"/>
      <c r="L34" s="92"/>
    </row>
    <row r="35" spans="1:12" ht="60" customHeight="1" x14ac:dyDescent="0.3">
      <c r="B35" s="92" t="s">
        <v>42</v>
      </c>
      <c r="C35" s="92"/>
      <c r="D35" s="92"/>
      <c r="E35" s="92"/>
      <c r="F35" s="92"/>
      <c r="G35" s="92"/>
      <c r="H35" s="92"/>
      <c r="I35" s="92"/>
      <c r="J35" s="92"/>
      <c r="K35" s="92"/>
      <c r="L35" s="92"/>
    </row>
    <row r="36" spans="1:12" ht="80.25" customHeight="1" x14ac:dyDescent="0.3">
      <c r="A36" s="15"/>
      <c r="B36" s="92" t="s">
        <v>53</v>
      </c>
      <c r="C36" s="92"/>
      <c r="D36" s="92"/>
      <c r="E36" s="92"/>
      <c r="F36" s="92"/>
      <c r="G36" s="92"/>
      <c r="H36" s="92"/>
      <c r="I36" s="92"/>
      <c r="J36" s="92"/>
      <c r="K36" s="92"/>
      <c r="L36" s="92"/>
    </row>
    <row r="38" spans="1:12" ht="24.75" customHeight="1" x14ac:dyDescent="0.3">
      <c r="B38" s="32"/>
      <c r="C38" s="32"/>
      <c r="D38" s="32"/>
      <c r="E38" s="32"/>
      <c r="F38" s="32"/>
      <c r="G38" s="32"/>
      <c r="H38" s="32"/>
      <c r="I38" s="32"/>
      <c r="J38" s="32"/>
      <c r="K38" s="32"/>
      <c r="L38" s="32"/>
    </row>
  </sheetData>
  <mergeCells count="11">
    <mergeCell ref="B31:L31"/>
    <mergeCell ref="D2:J2"/>
    <mergeCell ref="C3:K3"/>
    <mergeCell ref="D4:J4"/>
    <mergeCell ref="F13:J13"/>
    <mergeCell ref="J15:J26"/>
    <mergeCell ref="B32:L32"/>
    <mergeCell ref="B33:L33"/>
    <mergeCell ref="B34:L34"/>
    <mergeCell ref="B35:L35"/>
    <mergeCell ref="B36:L36"/>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63577-1FDD-45BB-9214-E0F57370864B}">
  <sheetPr>
    <tabColor theme="9" tint="0.39997558519241921"/>
  </sheetPr>
  <dimension ref="A1:AD83"/>
  <sheetViews>
    <sheetView showGridLines="0" zoomScale="70" zoomScaleNormal="70" workbookViewId="0">
      <selection activeCell="Z72" sqref="Z72"/>
    </sheetView>
  </sheetViews>
  <sheetFormatPr baseColWidth="10" defaultColWidth="14.42578125" defaultRowHeight="15" x14ac:dyDescent="0.2"/>
  <cols>
    <col min="1" max="1" width="93.140625" style="33" bestFit="1" customWidth="1"/>
    <col min="2" max="2" width="7.28515625" style="34" bestFit="1" customWidth="1"/>
    <col min="3" max="10" width="6.42578125" style="34" bestFit="1" customWidth="1"/>
    <col min="11" max="20" width="7.28515625" style="34" bestFit="1" customWidth="1"/>
    <col min="21" max="21" width="7.7109375" style="34" bestFit="1" customWidth="1"/>
    <col min="22" max="25" width="7.28515625" style="34" bestFit="1" customWidth="1"/>
    <col min="26" max="26" width="10.28515625" style="35" bestFit="1" customWidth="1"/>
    <col min="27" max="27" width="6.7109375" style="33" customWidth="1"/>
    <col min="28" max="28" width="9.7109375" style="33" customWidth="1"/>
    <col min="29" max="29" width="5.28515625" style="33" customWidth="1"/>
    <col min="30" max="30" width="14.42578125" style="70"/>
    <col min="31" max="16384" width="14.42578125" style="33"/>
  </cols>
  <sheetData>
    <row r="1" spans="1:30" ht="93" customHeight="1" thickBot="1" x14ac:dyDescent="0.25"/>
    <row r="2" spans="1:30" ht="23.25" x14ac:dyDescent="0.35">
      <c r="A2" s="44" t="s">
        <v>9</v>
      </c>
    </row>
    <row r="3" spans="1:30" ht="21" thickBot="1" x14ac:dyDescent="0.35">
      <c r="A3" s="45" t="s">
        <v>37</v>
      </c>
    </row>
    <row r="4" spans="1:30" ht="15.75" thickBot="1" x14ac:dyDescent="0.25"/>
    <row r="5" spans="1:30" ht="16.5" thickBot="1" x14ac:dyDescent="0.3">
      <c r="A5" s="36" t="s">
        <v>43</v>
      </c>
      <c r="B5" s="53"/>
      <c r="C5" s="53"/>
      <c r="D5" s="53"/>
      <c r="E5" s="54"/>
      <c r="F5" s="53"/>
      <c r="G5" s="53"/>
      <c r="H5" s="53"/>
      <c r="I5" s="53"/>
      <c r="J5" s="53"/>
      <c r="K5" s="55"/>
      <c r="L5" s="55"/>
      <c r="M5" s="55"/>
      <c r="N5" s="55"/>
      <c r="O5" s="55"/>
      <c r="P5" s="55"/>
      <c r="Q5" s="55"/>
      <c r="R5" s="55"/>
      <c r="S5" s="55"/>
      <c r="T5" s="55"/>
      <c r="U5" s="55"/>
      <c r="V5" s="55"/>
      <c r="W5" s="55"/>
      <c r="X5" s="55"/>
      <c r="Y5" s="55"/>
      <c r="Z5" s="56"/>
      <c r="AA5"/>
      <c r="AB5" s="57"/>
    </row>
    <row r="6" spans="1:30" ht="16.5" thickBot="1" x14ac:dyDescent="0.3">
      <c r="A6"/>
      <c r="B6" s="53"/>
      <c r="C6" s="53"/>
      <c r="D6" s="53"/>
      <c r="E6" s="53"/>
      <c r="F6" s="53"/>
      <c r="G6" s="53"/>
      <c r="H6" s="53"/>
      <c r="I6" s="53"/>
      <c r="J6" s="53"/>
      <c r="K6" s="58"/>
      <c r="L6" s="58"/>
      <c r="M6" s="58"/>
      <c r="N6" s="58"/>
      <c r="O6" s="58"/>
      <c r="P6" s="58"/>
      <c r="Q6" s="58"/>
      <c r="R6" s="58"/>
      <c r="S6" s="58"/>
      <c r="T6" s="58"/>
      <c r="U6" s="58"/>
      <c r="V6" s="58"/>
      <c r="W6" s="58"/>
      <c r="X6" s="58"/>
      <c r="Y6" s="58"/>
      <c r="Z6" s="56"/>
      <c r="AA6"/>
      <c r="AB6"/>
    </row>
    <row r="7" spans="1:30" ht="15.95" customHeight="1" thickBot="1" x14ac:dyDescent="0.25">
      <c r="A7" s="59" t="s">
        <v>10</v>
      </c>
      <c r="B7" s="60" t="s">
        <v>11</v>
      </c>
      <c r="C7" s="60" t="s">
        <v>12</v>
      </c>
      <c r="D7" s="60" t="s">
        <v>13</v>
      </c>
      <c r="E7" s="60" t="s">
        <v>14</v>
      </c>
      <c r="F7" s="60" t="s">
        <v>15</v>
      </c>
      <c r="G7" s="60" t="s">
        <v>16</v>
      </c>
      <c r="H7" s="60" t="s">
        <v>17</v>
      </c>
      <c r="I7" s="60" t="s">
        <v>18</v>
      </c>
      <c r="J7" s="60" t="s">
        <v>19</v>
      </c>
      <c r="K7" s="60" t="s">
        <v>20</v>
      </c>
      <c r="L7" s="60" t="s">
        <v>21</v>
      </c>
      <c r="M7" s="60" t="s">
        <v>22</v>
      </c>
      <c r="N7" s="60" t="s">
        <v>23</v>
      </c>
      <c r="O7" s="60" t="s">
        <v>24</v>
      </c>
      <c r="P7" s="60" t="s">
        <v>25</v>
      </c>
      <c r="Q7" s="60" t="s">
        <v>26</v>
      </c>
      <c r="R7" s="60" t="s">
        <v>27</v>
      </c>
      <c r="S7" s="60" t="s">
        <v>28</v>
      </c>
      <c r="T7" s="60" t="s">
        <v>29</v>
      </c>
      <c r="U7" s="60" t="s">
        <v>30</v>
      </c>
      <c r="V7" s="60" t="s">
        <v>31</v>
      </c>
      <c r="W7" s="60" t="s">
        <v>32</v>
      </c>
      <c r="X7" s="60" t="s">
        <v>33</v>
      </c>
      <c r="Y7" s="60" t="s">
        <v>34</v>
      </c>
      <c r="Z7" s="60" t="s">
        <v>6</v>
      </c>
      <c r="AA7" s="37" t="s">
        <v>35</v>
      </c>
      <c r="AB7" s="61"/>
    </row>
    <row r="8" spans="1:30" ht="15.75" x14ac:dyDescent="0.25">
      <c r="A8" s="62">
        <v>46023</v>
      </c>
      <c r="B8" s="48">
        <v>5.6228536724852924</v>
      </c>
      <c r="C8" s="48">
        <v>4.6995265678042077</v>
      </c>
      <c r="D8" s="48">
        <v>4.199390620845584</v>
      </c>
      <c r="E8" s="48">
        <v>4.0157763316209483</v>
      </c>
      <c r="F8" s="48">
        <v>4.3248208747718193</v>
      </c>
      <c r="G8" s="48">
        <v>5.4029519230951291</v>
      </c>
      <c r="H8" s="48">
        <v>7.3454113633600384</v>
      </c>
      <c r="I8" s="48">
        <v>5.4841269140498436</v>
      </c>
      <c r="J8" s="48">
        <v>7.4071856250056909</v>
      </c>
      <c r="K8" s="48">
        <v>8.8722183482758954</v>
      </c>
      <c r="L8" s="48">
        <v>10.290309174292608</v>
      </c>
      <c r="M8" s="48">
        <v>11.61780243913898</v>
      </c>
      <c r="N8" s="48">
        <v>11.650473516173607</v>
      </c>
      <c r="O8" s="48">
        <v>11.393131775663878</v>
      </c>
      <c r="P8" s="48">
        <v>11.648708794505804</v>
      </c>
      <c r="Q8" s="48">
        <v>11.570256371552652</v>
      </c>
      <c r="R8" s="48">
        <v>11.13290465818829</v>
      </c>
      <c r="S8" s="48">
        <v>14.667571532491467</v>
      </c>
      <c r="T8" s="48">
        <v>15.004678584967161</v>
      </c>
      <c r="U8" s="48">
        <v>15.500651138347576</v>
      </c>
      <c r="V8" s="48">
        <v>14.563378330954448</v>
      </c>
      <c r="W8" s="48">
        <v>13.051134513128581</v>
      </c>
      <c r="X8" s="48">
        <v>10.716000374906875</v>
      </c>
      <c r="Y8" s="48">
        <v>8.0870667923172679</v>
      </c>
      <c r="Z8" s="46">
        <f t="shared" ref="Z8:Z19" si="0">SUM(B8:Y8)</f>
        <v>228.26833023794364</v>
      </c>
      <c r="AA8" s="47">
        <v>20</v>
      </c>
      <c r="AB8" s="63">
        <f>+Z8*AA8</f>
        <v>4565.3666047588731</v>
      </c>
      <c r="AD8" s="70" t="s">
        <v>44</v>
      </c>
    </row>
    <row r="9" spans="1:30" ht="15.75" x14ac:dyDescent="0.25">
      <c r="A9" s="64">
        <v>46054</v>
      </c>
      <c r="B9" s="48">
        <v>5.2969796715417639</v>
      </c>
      <c r="C9" s="48">
        <v>4.4810151877567357</v>
      </c>
      <c r="D9" s="48">
        <v>4.0315953914041991</v>
      </c>
      <c r="E9" s="48">
        <v>3.9008265310905581</v>
      </c>
      <c r="F9" s="48">
        <v>4.345964953160542</v>
      </c>
      <c r="G9" s="48">
        <v>6.0938854520747077</v>
      </c>
      <c r="H9" s="48">
        <v>8.2087607218458611</v>
      </c>
      <c r="I9" s="48">
        <v>6.1051756595488431</v>
      </c>
      <c r="J9" s="48">
        <v>7.6821477200917387</v>
      </c>
      <c r="K9" s="48">
        <v>8.9511957591036015</v>
      </c>
      <c r="L9" s="48">
        <v>10.249789256779669</v>
      </c>
      <c r="M9" s="48">
        <v>11.432989134656502</v>
      </c>
      <c r="N9" s="48">
        <v>11.044737465463307</v>
      </c>
      <c r="O9" s="48">
        <v>10.994527297543787</v>
      </c>
      <c r="P9" s="48">
        <v>11.433875072378072</v>
      </c>
      <c r="Q9" s="48">
        <v>11.481684608337517</v>
      </c>
      <c r="R9" s="48">
        <v>11.087865933389915</v>
      </c>
      <c r="S9" s="48">
        <v>13.972920057881366</v>
      </c>
      <c r="T9" s="48">
        <v>13.793293869683289</v>
      </c>
      <c r="U9" s="48">
        <v>14.580336520555091</v>
      </c>
      <c r="V9" s="48">
        <v>13.934795345342263</v>
      </c>
      <c r="W9" s="48">
        <v>12.460246086930685</v>
      </c>
      <c r="X9" s="48">
        <v>10.077621020577597</v>
      </c>
      <c r="Y9" s="48">
        <v>7.5596613209445156</v>
      </c>
      <c r="Z9" s="49">
        <f t="shared" si="0"/>
        <v>223.20189003808207</v>
      </c>
      <c r="AA9" s="50">
        <v>20</v>
      </c>
      <c r="AB9" s="65">
        <f>+Z9*AA9</f>
        <v>4464.0378007616418</v>
      </c>
      <c r="AD9" s="70" t="s">
        <v>44</v>
      </c>
    </row>
    <row r="10" spans="1:30" ht="15.75" x14ac:dyDescent="0.25">
      <c r="A10" s="64">
        <v>46082</v>
      </c>
      <c r="B10" s="48">
        <v>4.3340097873079095</v>
      </c>
      <c r="C10" s="48">
        <v>3.5951387419515042</v>
      </c>
      <c r="D10" s="48">
        <v>3.2288694651947543</v>
      </c>
      <c r="E10" s="48">
        <v>3.0873104920552676</v>
      </c>
      <c r="F10" s="48">
        <v>3.5150807755819433</v>
      </c>
      <c r="G10" s="48">
        <v>5.108862344990305</v>
      </c>
      <c r="H10" s="48">
        <v>6.952904283675986</v>
      </c>
      <c r="I10" s="48">
        <v>5.2129164932464072</v>
      </c>
      <c r="J10" s="48">
        <v>6.667652250581293</v>
      </c>
      <c r="K10" s="48">
        <v>7.738380164589568</v>
      </c>
      <c r="L10" s="48">
        <v>8.9453367543047531</v>
      </c>
      <c r="M10" s="48">
        <v>9.9731556504168299</v>
      </c>
      <c r="N10" s="48">
        <v>9.7584356923926272</v>
      </c>
      <c r="O10" s="48">
        <v>9.5643105812511671</v>
      </c>
      <c r="P10" s="48">
        <v>9.8870645091930527</v>
      </c>
      <c r="Q10" s="48">
        <v>9.8038626091958907</v>
      </c>
      <c r="R10" s="48">
        <v>9.5085746732662262</v>
      </c>
      <c r="S10" s="48">
        <v>12.473957455102758</v>
      </c>
      <c r="T10" s="48">
        <v>12.455835869436221</v>
      </c>
      <c r="U10" s="48">
        <v>13.223207599587553</v>
      </c>
      <c r="V10" s="48">
        <v>12.36957565758572</v>
      </c>
      <c r="W10" s="48">
        <v>10.984633940083524</v>
      </c>
      <c r="X10" s="48">
        <v>8.8134653639889979</v>
      </c>
      <c r="Y10" s="48">
        <v>6.5039870632292249</v>
      </c>
      <c r="Z10" s="49">
        <f t="shared" si="0"/>
        <v>193.70652821820946</v>
      </c>
      <c r="AA10" s="50">
        <v>21</v>
      </c>
      <c r="AB10" s="65">
        <f t="shared" ref="AB10:AB19" si="1">+Z10*AA10</f>
        <v>4067.8370925823988</v>
      </c>
      <c r="AD10" s="70" t="s">
        <v>44</v>
      </c>
    </row>
    <row r="11" spans="1:30" ht="15.75" x14ac:dyDescent="0.25">
      <c r="A11" s="64">
        <v>46113</v>
      </c>
      <c r="B11" s="48">
        <v>4.2881339917961769</v>
      </c>
      <c r="C11" s="48">
        <v>3.5269578412179352</v>
      </c>
      <c r="D11" s="48">
        <v>3.1626350222130597</v>
      </c>
      <c r="E11" s="48">
        <v>3.0184878078630963</v>
      </c>
      <c r="F11" s="48">
        <v>3.4436173447132052</v>
      </c>
      <c r="G11" s="48">
        <v>4.8447448931655774</v>
      </c>
      <c r="H11" s="48">
        <v>6.705716193677504</v>
      </c>
      <c r="I11" s="48">
        <v>5.1411968674089028</v>
      </c>
      <c r="J11" s="48">
        <v>6.4474323901465276</v>
      </c>
      <c r="K11" s="48">
        <v>7.9008406512773028</v>
      </c>
      <c r="L11" s="48">
        <v>8.975574834600808</v>
      </c>
      <c r="M11" s="48">
        <v>9.9754594778254582</v>
      </c>
      <c r="N11" s="48">
        <v>9.7841966366082236</v>
      </c>
      <c r="O11" s="48">
        <v>9.4278097130987035</v>
      </c>
      <c r="P11" s="48">
        <v>9.3715560229403234</v>
      </c>
      <c r="Q11" s="48">
        <v>9.4300338316322492</v>
      </c>
      <c r="R11" s="48">
        <v>9.1785218454374888</v>
      </c>
      <c r="S11" s="48">
        <v>12.421876682147497</v>
      </c>
      <c r="T11" s="48">
        <v>12.669884045206835</v>
      </c>
      <c r="U11" s="48">
        <v>13.105045439404469</v>
      </c>
      <c r="V11" s="48">
        <v>12.205834179996538</v>
      </c>
      <c r="W11" s="48">
        <v>10.801673629680186</v>
      </c>
      <c r="X11" s="48">
        <v>8.6674688062866512</v>
      </c>
      <c r="Y11" s="48">
        <v>6.4788688195229946</v>
      </c>
      <c r="Z11" s="49">
        <f t="shared" si="0"/>
        <v>190.97356696786773</v>
      </c>
      <c r="AA11" s="50">
        <v>20</v>
      </c>
      <c r="AB11" s="65">
        <f t="shared" si="1"/>
        <v>3819.4713393573547</v>
      </c>
      <c r="AD11" s="70" t="s">
        <v>44</v>
      </c>
    </row>
    <row r="12" spans="1:30" ht="15.75" x14ac:dyDescent="0.25">
      <c r="A12" s="64">
        <v>46143</v>
      </c>
      <c r="B12" s="48">
        <v>4.3311724132115446</v>
      </c>
      <c r="C12" s="48">
        <v>3.5801217104423877</v>
      </c>
      <c r="D12" s="48">
        <v>3.1937073422141502</v>
      </c>
      <c r="E12" s="48">
        <v>3.0275416362384666</v>
      </c>
      <c r="F12" s="48">
        <v>3.4750037782190657</v>
      </c>
      <c r="G12" s="48">
        <v>4.7702963350224259</v>
      </c>
      <c r="H12" s="48">
        <v>6.7905631567056002</v>
      </c>
      <c r="I12" s="48">
        <v>5.1227224214508196</v>
      </c>
      <c r="J12" s="48">
        <v>6.6831926928271956</v>
      </c>
      <c r="K12" s="48">
        <v>7.8910510324389351</v>
      </c>
      <c r="L12" s="48">
        <v>9.1321499758071774</v>
      </c>
      <c r="M12" s="48">
        <v>10.259396451807469</v>
      </c>
      <c r="N12" s="48">
        <v>9.9997848969321392</v>
      </c>
      <c r="O12" s="48">
        <v>9.6771163924909676</v>
      </c>
      <c r="P12" s="48">
        <v>9.8452848550578231</v>
      </c>
      <c r="Q12" s="48">
        <v>9.7222220978336296</v>
      </c>
      <c r="R12" s="48">
        <v>9.2212939356520991</v>
      </c>
      <c r="S12" s="48">
        <v>12.574699909974818</v>
      </c>
      <c r="T12" s="48">
        <v>12.792142903900316</v>
      </c>
      <c r="U12" s="48">
        <v>13.137423955880502</v>
      </c>
      <c r="V12" s="48">
        <v>12.237198549970094</v>
      </c>
      <c r="W12" s="48">
        <v>10.711256879868085</v>
      </c>
      <c r="X12" s="48">
        <v>8.5100170868990066</v>
      </c>
      <c r="Y12" s="48">
        <v>6.3511291735778679</v>
      </c>
      <c r="Z12" s="49">
        <f t="shared" si="0"/>
        <v>193.03648958442261</v>
      </c>
      <c r="AA12" s="50">
        <v>19</v>
      </c>
      <c r="AB12" s="65">
        <f t="shared" si="1"/>
        <v>3667.6933021040295</v>
      </c>
      <c r="AD12" s="70" t="s">
        <v>44</v>
      </c>
    </row>
    <row r="13" spans="1:30" ht="15.75" x14ac:dyDescent="0.25">
      <c r="A13" s="64">
        <v>46174</v>
      </c>
      <c r="B13" s="48">
        <v>4.1794892568632598</v>
      </c>
      <c r="C13" s="48">
        <v>3.415558415740207</v>
      </c>
      <c r="D13" s="48">
        <v>2.9742547988737744</v>
      </c>
      <c r="E13" s="48">
        <v>2.8189088957757731</v>
      </c>
      <c r="F13" s="48">
        <v>3.2493220289503908</v>
      </c>
      <c r="G13" s="48">
        <v>4.4217338155979187</v>
      </c>
      <c r="H13" s="48">
        <v>6.5493437845547184</v>
      </c>
      <c r="I13" s="48">
        <v>5.0906425108273208</v>
      </c>
      <c r="J13" s="48">
        <v>6.6399424171230663</v>
      </c>
      <c r="K13" s="48">
        <v>7.8370493097461029</v>
      </c>
      <c r="L13" s="48">
        <v>8.927894121395747</v>
      </c>
      <c r="M13" s="48">
        <v>10.039817025819172</v>
      </c>
      <c r="N13" s="48">
        <v>9.8946132910837505</v>
      </c>
      <c r="O13" s="48">
        <v>9.479100126555732</v>
      </c>
      <c r="P13" s="48">
        <v>9.4843833296041442</v>
      </c>
      <c r="Q13" s="48">
        <v>9.3840403292325387</v>
      </c>
      <c r="R13" s="48">
        <v>9.1040834482566897</v>
      </c>
      <c r="S13" s="48">
        <v>12.353600340542721</v>
      </c>
      <c r="T13" s="48">
        <v>12.547286808106353</v>
      </c>
      <c r="U13" s="48">
        <v>13.265843019925105</v>
      </c>
      <c r="V13" s="48">
        <v>12.344286279216616</v>
      </c>
      <c r="W13" s="48">
        <v>10.753372642091785</v>
      </c>
      <c r="X13" s="48">
        <v>8.4251695041985979</v>
      </c>
      <c r="Y13" s="48">
        <v>6.2681974870036239</v>
      </c>
      <c r="Z13" s="49">
        <f t="shared" si="0"/>
        <v>189.44793298708512</v>
      </c>
      <c r="AA13" s="50">
        <v>19</v>
      </c>
      <c r="AB13" s="65">
        <f t="shared" si="1"/>
        <v>3599.5107267546173</v>
      </c>
      <c r="AD13" s="70" t="s">
        <v>44</v>
      </c>
    </row>
    <row r="14" spans="1:30" ht="15.75" x14ac:dyDescent="0.25">
      <c r="A14" s="64">
        <v>46204</v>
      </c>
      <c r="B14" s="48">
        <v>3.6735807423575562</v>
      </c>
      <c r="C14" s="48">
        <v>3.0386830666383422</v>
      </c>
      <c r="D14" s="48">
        <v>2.628674140967155</v>
      </c>
      <c r="E14" s="48">
        <v>2.4898393625623165</v>
      </c>
      <c r="F14" s="48">
        <v>2.8915605069669645</v>
      </c>
      <c r="G14" s="48">
        <v>4.0771502534964119</v>
      </c>
      <c r="H14" s="48">
        <v>5.909896810482441</v>
      </c>
      <c r="I14" s="48">
        <v>4.5085874629034759</v>
      </c>
      <c r="J14" s="48">
        <v>6.03776729246764</v>
      </c>
      <c r="K14" s="48">
        <v>7.2423549886745269</v>
      </c>
      <c r="L14" s="48">
        <v>8.2803321477823673</v>
      </c>
      <c r="M14" s="48">
        <v>9.4113382790250366</v>
      </c>
      <c r="N14" s="48">
        <v>9.1869095898691633</v>
      </c>
      <c r="O14" s="48">
        <v>8.8508177419093599</v>
      </c>
      <c r="P14" s="48">
        <v>8.9949924629679181</v>
      </c>
      <c r="Q14" s="48">
        <v>9.0470029293277072</v>
      </c>
      <c r="R14" s="48">
        <v>8.8158169290293777</v>
      </c>
      <c r="S14" s="48">
        <v>11.662929357679296</v>
      </c>
      <c r="T14" s="48">
        <v>11.504856953082639</v>
      </c>
      <c r="U14" s="48">
        <v>12.378383236478989</v>
      </c>
      <c r="V14" s="48">
        <v>11.496777576410215</v>
      </c>
      <c r="W14" s="48">
        <v>10.016504218604943</v>
      </c>
      <c r="X14" s="48">
        <v>7.7778665908500724</v>
      </c>
      <c r="Y14" s="48">
        <v>5.9009515101143215</v>
      </c>
      <c r="Z14" s="49">
        <f t="shared" si="0"/>
        <v>175.82357415064823</v>
      </c>
      <c r="AA14" s="50">
        <v>22</v>
      </c>
      <c r="AB14" s="65">
        <f t="shared" si="1"/>
        <v>3868.1186313142612</v>
      </c>
      <c r="AD14" s="70" t="s">
        <v>44</v>
      </c>
    </row>
    <row r="15" spans="1:30" ht="15.75" x14ac:dyDescent="0.25">
      <c r="A15" s="64">
        <v>46235</v>
      </c>
      <c r="B15" s="48">
        <v>3.8475733949030499</v>
      </c>
      <c r="C15" s="48">
        <v>3.1440869124256379</v>
      </c>
      <c r="D15" s="48">
        <v>2.760802542694345</v>
      </c>
      <c r="E15" s="48">
        <v>2.6307558880036912</v>
      </c>
      <c r="F15" s="48">
        <v>3.0426584177233624</v>
      </c>
      <c r="G15" s="48">
        <v>4.4067666812062773</v>
      </c>
      <c r="H15" s="48">
        <v>6.2238466089374151</v>
      </c>
      <c r="I15" s="48">
        <v>4.7319370321013441</v>
      </c>
      <c r="J15" s="48">
        <v>6.2049089225418168</v>
      </c>
      <c r="K15" s="48">
        <v>7.2896243055473855</v>
      </c>
      <c r="L15" s="48">
        <v>8.5088423030825684</v>
      </c>
      <c r="M15" s="48">
        <v>9.6039883281359835</v>
      </c>
      <c r="N15" s="48">
        <v>9.3836033803042849</v>
      </c>
      <c r="O15" s="48">
        <v>9.1151757806752762</v>
      </c>
      <c r="P15" s="48">
        <v>9.2500707192469456</v>
      </c>
      <c r="Q15" s="48">
        <v>9.165832863240535</v>
      </c>
      <c r="R15" s="48">
        <v>8.8972185058117503</v>
      </c>
      <c r="S15" s="48">
        <v>11.757278330134071</v>
      </c>
      <c r="T15" s="48">
        <v>11.74129474239168</v>
      </c>
      <c r="U15" s="48">
        <v>12.39834083218461</v>
      </c>
      <c r="V15" s="48">
        <v>11.470829523394281</v>
      </c>
      <c r="W15" s="48">
        <v>9.996833055932056</v>
      </c>
      <c r="X15" s="48">
        <v>7.7177896275917472</v>
      </c>
      <c r="Y15" s="48">
        <v>5.8406430963353442</v>
      </c>
      <c r="Z15" s="49">
        <f t="shared" si="0"/>
        <v>179.13070179454547</v>
      </c>
      <c r="AA15" s="50">
        <v>19</v>
      </c>
      <c r="AB15" s="65">
        <f t="shared" si="1"/>
        <v>3403.4833340963642</v>
      </c>
      <c r="AD15" s="70" t="s">
        <v>44</v>
      </c>
    </row>
    <row r="16" spans="1:30" ht="15.75" x14ac:dyDescent="0.25">
      <c r="A16" s="64">
        <v>46266</v>
      </c>
      <c r="B16" s="48">
        <v>3.6959106781881736</v>
      </c>
      <c r="C16" s="48">
        <v>2.992284118510196</v>
      </c>
      <c r="D16" s="48">
        <v>2.6258647528584724</v>
      </c>
      <c r="E16" s="48">
        <v>2.5076040202490431</v>
      </c>
      <c r="F16" s="48">
        <v>2.9428878152521527</v>
      </c>
      <c r="G16" s="48">
        <v>4.2611299096689059</v>
      </c>
      <c r="H16" s="48">
        <v>6.1102820055136498</v>
      </c>
      <c r="I16" s="48">
        <v>4.5590160440609138</v>
      </c>
      <c r="J16" s="48">
        <v>5.5855935216046522</v>
      </c>
      <c r="K16" s="48">
        <v>6.8007594060517178</v>
      </c>
      <c r="L16" s="48">
        <v>8.1706126815338092</v>
      </c>
      <c r="M16" s="48">
        <v>9.1956874292802429</v>
      </c>
      <c r="N16" s="48">
        <v>8.9415282218394463</v>
      </c>
      <c r="O16" s="48">
        <v>8.6711086206147492</v>
      </c>
      <c r="P16" s="48">
        <v>8.8915404938688329</v>
      </c>
      <c r="Q16" s="48">
        <v>8.8551104748790124</v>
      </c>
      <c r="R16" s="48">
        <v>8.5479638924180659</v>
      </c>
      <c r="S16" s="48">
        <v>11.479511234292982</v>
      </c>
      <c r="T16" s="48">
        <v>11.898482452337561</v>
      </c>
      <c r="U16" s="48">
        <v>11.890254534902288</v>
      </c>
      <c r="V16" s="48">
        <v>10.951195914351763</v>
      </c>
      <c r="W16" s="48">
        <v>9.5405034823514114</v>
      </c>
      <c r="X16" s="48">
        <v>7.3907488833351698</v>
      </c>
      <c r="Y16" s="48">
        <v>5.5371182362026037</v>
      </c>
      <c r="Z16" s="49">
        <f t="shared" si="0"/>
        <v>172.04269882416583</v>
      </c>
      <c r="AA16" s="50">
        <v>22</v>
      </c>
      <c r="AB16" s="65">
        <f t="shared" si="1"/>
        <v>3784.939374131648</v>
      </c>
      <c r="AD16" s="70" t="s">
        <v>44</v>
      </c>
    </row>
    <row r="17" spans="1:30" ht="15.75" x14ac:dyDescent="0.25">
      <c r="A17" s="64">
        <v>46296</v>
      </c>
      <c r="B17" s="48">
        <v>3.6544800062787428</v>
      </c>
      <c r="C17" s="48">
        <v>2.9319741782432565</v>
      </c>
      <c r="D17" s="48">
        <v>2.5967233194566024</v>
      </c>
      <c r="E17" s="48">
        <v>2.4849565559493083</v>
      </c>
      <c r="F17" s="48">
        <v>2.7988206247304941</v>
      </c>
      <c r="G17" s="48">
        <v>3.5028845441593974</v>
      </c>
      <c r="H17" s="48">
        <v>5.5049533789827061</v>
      </c>
      <c r="I17" s="48">
        <v>4.312106809117136</v>
      </c>
      <c r="J17" s="48">
        <v>5.9888791762998688</v>
      </c>
      <c r="K17" s="48">
        <v>7.2893426208978012</v>
      </c>
      <c r="L17" s="48">
        <v>8.512273768448944</v>
      </c>
      <c r="M17" s="48">
        <v>9.5148759056004675</v>
      </c>
      <c r="N17" s="48">
        <v>9.3317929092276355</v>
      </c>
      <c r="O17" s="48">
        <v>9.0663930681540847</v>
      </c>
      <c r="P17" s="48">
        <v>9.2132774056242823</v>
      </c>
      <c r="Q17" s="48">
        <v>9.0081443945410893</v>
      </c>
      <c r="R17" s="48">
        <v>8.7273941344366932</v>
      </c>
      <c r="S17" s="48">
        <v>11.969209747381818</v>
      </c>
      <c r="T17" s="48">
        <v>12.39393157762934</v>
      </c>
      <c r="U17" s="48">
        <v>11.885445398427754</v>
      </c>
      <c r="V17" s="48">
        <v>10.969307065035512</v>
      </c>
      <c r="W17" s="48">
        <v>9.5460954445408248</v>
      </c>
      <c r="X17" s="48">
        <v>7.5739295304226717</v>
      </c>
      <c r="Y17" s="48">
        <v>5.709536904103766</v>
      </c>
      <c r="Z17" s="49">
        <f t="shared" si="0"/>
        <v>174.4867284676902</v>
      </c>
      <c r="AA17" s="50">
        <v>21</v>
      </c>
      <c r="AB17" s="65">
        <f t="shared" si="1"/>
        <v>3664.2212978214943</v>
      </c>
      <c r="AD17" s="70" t="s">
        <v>44</v>
      </c>
    </row>
    <row r="18" spans="1:30" ht="15.75" x14ac:dyDescent="0.25">
      <c r="A18" s="64">
        <v>46327</v>
      </c>
      <c r="B18" s="48">
        <v>3.8009402311726181</v>
      </c>
      <c r="C18" s="48">
        <v>3.0779938120877661</v>
      </c>
      <c r="D18" s="48">
        <v>2.6831941133055541</v>
      </c>
      <c r="E18" s="48">
        <v>2.557805090244011</v>
      </c>
      <c r="F18" s="48">
        <v>2.8716180956508062</v>
      </c>
      <c r="G18" s="48">
        <v>3.7702188117060387</v>
      </c>
      <c r="H18" s="48">
        <v>5.6583285601103155</v>
      </c>
      <c r="I18" s="48">
        <v>4.4953026642327707</v>
      </c>
      <c r="J18" s="48">
        <v>6.0407961851033933</v>
      </c>
      <c r="K18" s="48">
        <v>7.1479803894932799</v>
      </c>
      <c r="L18" s="48">
        <v>8.2363611758716182</v>
      </c>
      <c r="M18" s="48">
        <v>9.24660020621066</v>
      </c>
      <c r="N18" s="48">
        <v>9.1476159210657961</v>
      </c>
      <c r="O18" s="48">
        <v>8.8996432850374152</v>
      </c>
      <c r="P18" s="48">
        <v>9.2125353513493362</v>
      </c>
      <c r="Q18" s="48">
        <v>9.0836731734998502</v>
      </c>
      <c r="R18" s="48">
        <v>8.8047728602794848</v>
      </c>
      <c r="S18" s="48">
        <v>12.182600873945008</v>
      </c>
      <c r="T18" s="48">
        <v>12.445357551131169</v>
      </c>
      <c r="U18" s="48">
        <v>12.019480434791058</v>
      </c>
      <c r="V18" s="48">
        <v>11.138776185727203</v>
      </c>
      <c r="W18" s="48">
        <v>9.7260145669557065</v>
      </c>
      <c r="X18" s="48">
        <v>7.7006427048264259</v>
      </c>
      <c r="Y18" s="48">
        <v>5.7900288822413817</v>
      </c>
      <c r="Z18" s="49">
        <f t="shared" si="0"/>
        <v>175.73828112603869</v>
      </c>
      <c r="AA18" s="50">
        <v>19</v>
      </c>
      <c r="AB18" s="65">
        <f t="shared" si="1"/>
        <v>3339.0273413947352</v>
      </c>
      <c r="AD18" s="70" t="s">
        <v>44</v>
      </c>
    </row>
    <row r="19" spans="1:30" ht="16.5" thickBot="1" x14ac:dyDescent="0.3">
      <c r="A19" s="66">
        <v>46357</v>
      </c>
      <c r="B19" s="48">
        <v>4.3975060995926931</v>
      </c>
      <c r="C19" s="48">
        <v>3.5326635411564449</v>
      </c>
      <c r="D19" s="48">
        <v>3.0714190474763625</v>
      </c>
      <c r="E19" s="48">
        <v>2.8766777013429992</v>
      </c>
      <c r="F19" s="48">
        <v>3.1087283671406869</v>
      </c>
      <c r="G19" s="48">
        <v>3.8524063298002464</v>
      </c>
      <c r="H19" s="48">
        <v>5.6054583982899011</v>
      </c>
      <c r="I19" s="48">
        <v>4.4457232857305309</v>
      </c>
      <c r="J19" s="48">
        <v>6.1406790212723381</v>
      </c>
      <c r="K19" s="48">
        <v>7.2537201596319161</v>
      </c>
      <c r="L19" s="48">
        <v>8.3336361748726233</v>
      </c>
      <c r="M19" s="48">
        <v>9.3036645912326534</v>
      </c>
      <c r="N19" s="48">
        <v>9.3595991723370275</v>
      </c>
      <c r="O19" s="48">
        <v>9.1835543516438367</v>
      </c>
      <c r="P19" s="48">
        <v>9.3213829109140676</v>
      </c>
      <c r="Q19" s="48">
        <v>9.1935142659876039</v>
      </c>
      <c r="R19" s="48">
        <v>8.8100915653854504</v>
      </c>
      <c r="S19" s="48">
        <v>11.782742546069564</v>
      </c>
      <c r="T19" s="48">
        <v>12.360871145669753</v>
      </c>
      <c r="U19" s="48">
        <v>12.297351637192627</v>
      </c>
      <c r="V19" s="48">
        <v>11.442408433754423</v>
      </c>
      <c r="W19" s="48">
        <v>10.25824683310169</v>
      </c>
      <c r="X19" s="48">
        <v>8.5048576521663453</v>
      </c>
      <c r="Y19" s="48">
        <v>6.6511525745065185</v>
      </c>
      <c r="Z19" s="51">
        <f t="shared" si="0"/>
        <v>181.0880558062683</v>
      </c>
      <c r="AA19" s="52">
        <v>21</v>
      </c>
      <c r="AB19" s="67">
        <f t="shared" si="1"/>
        <v>3802.8491719316344</v>
      </c>
      <c r="AD19" s="70" t="s">
        <v>44</v>
      </c>
    </row>
    <row r="20" spans="1:30" ht="16.5" thickBot="1" x14ac:dyDescent="0.3">
      <c r="A20"/>
      <c r="B20" s="68"/>
      <c r="C20" s="58"/>
      <c r="D20" s="58"/>
      <c r="E20" s="58"/>
      <c r="F20" s="58"/>
      <c r="G20" s="58"/>
      <c r="H20" s="58"/>
      <c r="I20" s="58"/>
      <c r="J20" s="58"/>
      <c r="K20" s="58"/>
      <c r="L20" s="58"/>
      <c r="M20" s="58"/>
      <c r="N20" s="58"/>
      <c r="O20" s="58"/>
      <c r="P20" s="58"/>
      <c r="Q20" s="58"/>
      <c r="R20" s="58"/>
      <c r="S20" s="58"/>
      <c r="T20" s="58"/>
      <c r="U20" s="58"/>
      <c r="V20" s="58"/>
      <c r="W20" s="58"/>
      <c r="X20" s="58"/>
      <c r="Y20" s="58"/>
      <c r="Z20" s="56"/>
      <c r="AA20" s="38"/>
      <c r="AB20"/>
    </row>
    <row r="21" spans="1:30" ht="16.5" thickBot="1" x14ac:dyDescent="0.3">
      <c r="A21" s="36" t="s">
        <v>45</v>
      </c>
      <c r="B21" s="58"/>
      <c r="C21" s="58"/>
      <c r="D21" s="58"/>
      <c r="E21" s="69"/>
      <c r="F21" s="58"/>
      <c r="G21" s="58"/>
      <c r="H21" s="58"/>
      <c r="I21" s="58"/>
      <c r="J21" s="58"/>
      <c r="K21" s="58"/>
      <c r="L21" s="58"/>
      <c r="M21" s="58"/>
      <c r="N21" s="58"/>
      <c r="O21" s="58"/>
      <c r="P21" s="58"/>
      <c r="Q21" s="58"/>
      <c r="R21" s="58"/>
      <c r="S21" s="58"/>
      <c r="T21" s="58"/>
      <c r="U21" s="58"/>
      <c r="V21" s="58"/>
      <c r="W21" s="58"/>
      <c r="X21" s="58"/>
      <c r="Y21" s="58"/>
      <c r="Z21" s="56"/>
      <c r="AA21" s="38"/>
      <c r="AB21"/>
    </row>
    <row r="22" spans="1:30" ht="16.5" thickBot="1" x14ac:dyDescent="0.3">
      <c r="A22"/>
      <c r="B22" s="68"/>
      <c r="C22" s="58"/>
      <c r="D22" s="58"/>
      <c r="E22" s="58"/>
      <c r="F22" s="58"/>
      <c r="G22" s="58"/>
      <c r="H22" s="58"/>
      <c r="I22" s="58"/>
      <c r="J22" s="58"/>
      <c r="K22" s="58"/>
      <c r="L22" s="58"/>
      <c r="M22" s="58"/>
      <c r="N22" s="58"/>
      <c r="O22" s="58"/>
      <c r="P22" s="58"/>
      <c r="Q22" s="58"/>
      <c r="R22" s="58"/>
      <c r="S22" s="58"/>
      <c r="T22" s="58"/>
      <c r="U22" s="58"/>
      <c r="V22" s="58"/>
      <c r="W22" s="58"/>
      <c r="X22" s="58"/>
      <c r="Y22" s="58"/>
      <c r="Z22" s="56"/>
      <c r="AA22"/>
      <c r="AB22"/>
    </row>
    <row r="23" spans="1:30" ht="15.75" thickBot="1" x14ac:dyDescent="0.25">
      <c r="A23" s="59" t="s">
        <v>10</v>
      </c>
      <c r="B23" s="60" t="s">
        <v>11</v>
      </c>
      <c r="C23" s="60" t="s">
        <v>12</v>
      </c>
      <c r="D23" s="60" t="s">
        <v>13</v>
      </c>
      <c r="E23" s="60" t="s">
        <v>14</v>
      </c>
      <c r="F23" s="60" t="s">
        <v>15</v>
      </c>
      <c r="G23" s="60" t="s">
        <v>16</v>
      </c>
      <c r="H23" s="60" t="s">
        <v>17</v>
      </c>
      <c r="I23" s="60" t="s">
        <v>18</v>
      </c>
      <c r="J23" s="60" t="s">
        <v>19</v>
      </c>
      <c r="K23" s="60" t="s">
        <v>20</v>
      </c>
      <c r="L23" s="60" t="s">
        <v>21</v>
      </c>
      <c r="M23" s="60" t="s">
        <v>22</v>
      </c>
      <c r="N23" s="60" t="s">
        <v>23</v>
      </c>
      <c r="O23" s="60" t="s">
        <v>24</v>
      </c>
      <c r="P23" s="60" t="s">
        <v>25</v>
      </c>
      <c r="Q23" s="60" t="s">
        <v>26</v>
      </c>
      <c r="R23" s="60" t="s">
        <v>27</v>
      </c>
      <c r="S23" s="60" t="s">
        <v>28</v>
      </c>
      <c r="T23" s="60" t="s">
        <v>29</v>
      </c>
      <c r="U23" s="60" t="s">
        <v>30</v>
      </c>
      <c r="V23" s="60" t="s">
        <v>31</v>
      </c>
      <c r="W23" s="60" t="s">
        <v>32</v>
      </c>
      <c r="X23" s="60" t="s">
        <v>33</v>
      </c>
      <c r="Y23" s="60" t="s">
        <v>34</v>
      </c>
      <c r="Z23" s="60" t="s">
        <v>6</v>
      </c>
      <c r="AA23" s="60" t="s">
        <v>35</v>
      </c>
      <c r="AB23" s="61"/>
    </row>
    <row r="24" spans="1:30" ht="15.75" x14ac:dyDescent="0.25">
      <c r="A24" s="62">
        <f t="shared" ref="A24:A35" si="2">+A8</f>
        <v>46023</v>
      </c>
      <c r="B24" s="48">
        <v>5.7592285123335047</v>
      </c>
      <c r="C24" s="48">
        <v>4.778334319772136</v>
      </c>
      <c r="D24" s="48">
        <v>4.2005861888300382</v>
      </c>
      <c r="E24" s="48">
        <v>3.8859761328290214</v>
      </c>
      <c r="F24" s="48">
        <v>3.993053040520036</v>
      </c>
      <c r="G24" s="48">
        <v>4.5788368587114769</v>
      </c>
      <c r="H24" s="48">
        <v>6.0692918874880295</v>
      </c>
      <c r="I24" s="48">
        <v>4.2683032603889473</v>
      </c>
      <c r="J24" s="48">
        <v>6.3087851465925437</v>
      </c>
      <c r="K24" s="48">
        <v>8.0877064504711473</v>
      </c>
      <c r="L24" s="48">
        <v>9.2640473460823163</v>
      </c>
      <c r="M24" s="48">
        <v>10.286835051818027</v>
      </c>
      <c r="N24" s="48">
        <v>10.441415948584869</v>
      </c>
      <c r="O24" s="48">
        <v>9.848950277199652</v>
      </c>
      <c r="P24" s="48">
        <v>9.3466203716542253</v>
      </c>
      <c r="Q24" s="48">
        <v>9.1470893346051128</v>
      </c>
      <c r="R24" s="48">
        <v>8.7814655206253551</v>
      </c>
      <c r="S24" s="48">
        <v>13.006922183874321</v>
      </c>
      <c r="T24" s="48">
        <v>13.730883649987266</v>
      </c>
      <c r="U24" s="48">
        <v>14.057943715380109</v>
      </c>
      <c r="V24" s="48">
        <v>13.054211940040538</v>
      </c>
      <c r="W24" s="48">
        <v>11.671841728117094</v>
      </c>
      <c r="X24" s="48">
        <v>9.8685986937400632</v>
      </c>
      <c r="Y24" s="48">
        <v>8.0204950542699756</v>
      </c>
      <c r="Z24" s="46">
        <f t="shared" ref="Z24:Z35" si="3">SUM(B24:Y24)</f>
        <v>202.45742261391584</v>
      </c>
      <c r="AA24" s="47">
        <v>5</v>
      </c>
      <c r="AB24" s="63">
        <f>+Z24*AA24</f>
        <v>1012.2871130695792</v>
      </c>
      <c r="AD24" s="70" t="s">
        <v>46</v>
      </c>
    </row>
    <row r="25" spans="1:30" ht="15.75" x14ac:dyDescent="0.25">
      <c r="A25" s="64">
        <f t="shared" si="2"/>
        <v>46054</v>
      </c>
      <c r="B25" s="48">
        <v>5.3552593324966029</v>
      </c>
      <c r="C25" s="48">
        <v>4.4857956843994282</v>
      </c>
      <c r="D25" s="48">
        <v>3.9863519441918132</v>
      </c>
      <c r="E25" s="48">
        <v>3.7307238624816992</v>
      </c>
      <c r="F25" s="48">
        <v>3.8719929059827871</v>
      </c>
      <c r="G25" s="48">
        <v>4.6548861011751894</v>
      </c>
      <c r="H25" s="48">
        <v>6.3681724906292976</v>
      </c>
      <c r="I25" s="48">
        <v>4.6551082782044713</v>
      </c>
      <c r="J25" s="48">
        <v>6.6043251731351509</v>
      </c>
      <c r="K25" s="48">
        <v>8.025575879085018</v>
      </c>
      <c r="L25" s="48">
        <v>9.176115176431292</v>
      </c>
      <c r="M25" s="48">
        <v>9.8971210605768896</v>
      </c>
      <c r="N25" s="48">
        <v>9.8969103392375146</v>
      </c>
      <c r="O25" s="48">
        <v>9.5297046592586963</v>
      </c>
      <c r="P25" s="48">
        <v>9.218879860230448</v>
      </c>
      <c r="Q25" s="48">
        <v>9.0166530894442509</v>
      </c>
      <c r="R25" s="48">
        <v>8.7981514584148215</v>
      </c>
      <c r="S25" s="48">
        <v>12.502224213064244</v>
      </c>
      <c r="T25" s="48">
        <v>12.758341809242138</v>
      </c>
      <c r="U25" s="48">
        <v>13.647874830773256</v>
      </c>
      <c r="V25" s="48">
        <v>12.774194628704329</v>
      </c>
      <c r="W25" s="48">
        <v>11.549208580425121</v>
      </c>
      <c r="X25" s="48">
        <v>9.7620709627675719</v>
      </c>
      <c r="Y25" s="48">
        <v>7.9986794323944146</v>
      </c>
      <c r="Z25" s="49">
        <f t="shared" si="3"/>
        <v>198.26432175274647</v>
      </c>
      <c r="AA25" s="50">
        <v>4</v>
      </c>
      <c r="AB25" s="65">
        <f>+Z25*AA25</f>
        <v>793.05728701098587</v>
      </c>
      <c r="AD25" s="70" t="s">
        <v>46</v>
      </c>
    </row>
    <row r="26" spans="1:30" ht="15.75" x14ac:dyDescent="0.25">
      <c r="A26" s="64">
        <f t="shared" si="2"/>
        <v>46082</v>
      </c>
      <c r="B26" s="48">
        <v>4.4264508578628545</v>
      </c>
      <c r="C26" s="48">
        <v>3.6003013210439994</v>
      </c>
      <c r="D26" s="48">
        <v>3.1464472100896699</v>
      </c>
      <c r="E26" s="48">
        <v>2.911924339144377</v>
      </c>
      <c r="F26" s="48">
        <v>3.1250357080259592</v>
      </c>
      <c r="G26" s="48">
        <v>3.7977080345389505</v>
      </c>
      <c r="H26" s="48">
        <v>5.1742777847962165</v>
      </c>
      <c r="I26" s="48">
        <v>3.8062232204477287</v>
      </c>
      <c r="J26" s="48">
        <v>5.6659245141795864</v>
      </c>
      <c r="K26" s="48">
        <v>6.8775675384774253</v>
      </c>
      <c r="L26" s="48">
        <v>7.8960829703745645</v>
      </c>
      <c r="M26" s="48">
        <v>8.8571752941283961</v>
      </c>
      <c r="N26" s="48">
        <v>8.8348213405803868</v>
      </c>
      <c r="O26" s="48">
        <v>8.2115254587855198</v>
      </c>
      <c r="P26" s="48">
        <v>7.7906854143768172</v>
      </c>
      <c r="Q26" s="48">
        <v>7.5863675346279296</v>
      </c>
      <c r="R26" s="48">
        <v>7.3720246970629626</v>
      </c>
      <c r="S26" s="48">
        <v>11.091669224885122</v>
      </c>
      <c r="T26" s="48">
        <v>11.251112578043411</v>
      </c>
      <c r="U26" s="48">
        <v>11.60565333827015</v>
      </c>
      <c r="V26" s="48">
        <v>10.79066539359812</v>
      </c>
      <c r="W26" s="48">
        <v>9.7011849065088214</v>
      </c>
      <c r="X26" s="48">
        <v>8.0854779866924691</v>
      </c>
      <c r="Y26" s="48">
        <v>6.4927741257801195</v>
      </c>
      <c r="Z26" s="49">
        <f t="shared" si="3"/>
        <v>168.09908079232156</v>
      </c>
      <c r="AA26" s="50">
        <v>4</v>
      </c>
      <c r="AB26" s="65">
        <f t="shared" ref="AB26:AB35" si="4">+Z26*AA26</f>
        <v>672.39632316928623</v>
      </c>
      <c r="AD26" s="70" t="s">
        <v>46</v>
      </c>
    </row>
    <row r="27" spans="1:30" ht="15.75" x14ac:dyDescent="0.25">
      <c r="A27" s="64">
        <f t="shared" si="2"/>
        <v>46113</v>
      </c>
      <c r="B27" s="48">
        <v>4.4890387204496394</v>
      </c>
      <c r="C27" s="48">
        <v>3.6216568001003497</v>
      </c>
      <c r="D27" s="48">
        <v>3.117899486155856</v>
      </c>
      <c r="E27" s="48">
        <v>2.8604377896908288</v>
      </c>
      <c r="F27" s="48">
        <v>2.9945641198398252</v>
      </c>
      <c r="G27" s="48">
        <v>3.3438674356314175</v>
      </c>
      <c r="H27" s="48">
        <v>4.9358993008390559</v>
      </c>
      <c r="I27" s="48">
        <v>3.6627302731755362</v>
      </c>
      <c r="J27" s="48">
        <v>5.4196099151718835</v>
      </c>
      <c r="K27" s="48">
        <v>6.7877632738067</v>
      </c>
      <c r="L27" s="48">
        <v>7.8171420293917357</v>
      </c>
      <c r="M27" s="48">
        <v>8.6482109480800471</v>
      </c>
      <c r="N27" s="48">
        <v>8.7199846414880771</v>
      </c>
      <c r="O27" s="48">
        <v>8.0737025696040678</v>
      </c>
      <c r="P27" s="48">
        <v>7.745127567802486</v>
      </c>
      <c r="Q27" s="48">
        <v>7.546924619748915</v>
      </c>
      <c r="R27" s="48">
        <v>7.1798032462139405</v>
      </c>
      <c r="S27" s="48">
        <v>10.820233201492458</v>
      </c>
      <c r="T27" s="48">
        <v>11.302500750407892</v>
      </c>
      <c r="U27" s="48">
        <v>11.751804295277372</v>
      </c>
      <c r="V27" s="48">
        <v>10.939796562257293</v>
      </c>
      <c r="W27" s="48">
        <v>9.7875977232721532</v>
      </c>
      <c r="X27" s="48">
        <v>8.2535707325537846</v>
      </c>
      <c r="Y27" s="48">
        <v>6.6762087859537376</v>
      </c>
      <c r="Z27" s="49">
        <f t="shared" si="3"/>
        <v>166.49607478840505</v>
      </c>
      <c r="AA27" s="50">
        <v>4</v>
      </c>
      <c r="AB27" s="65">
        <f t="shared" si="4"/>
        <v>665.98429915362021</v>
      </c>
      <c r="AD27" s="70" t="s">
        <v>46</v>
      </c>
    </row>
    <row r="28" spans="1:30" ht="15.75" x14ac:dyDescent="0.25">
      <c r="A28" s="64">
        <f t="shared" si="2"/>
        <v>46143</v>
      </c>
      <c r="B28" s="48">
        <v>4.3164222470235138</v>
      </c>
      <c r="C28" s="48">
        <v>3.5468292153787506</v>
      </c>
      <c r="D28" s="48">
        <v>3.0935526546616559</v>
      </c>
      <c r="E28" s="48">
        <v>2.8688152112933705</v>
      </c>
      <c r="F28" s="48">
        <v>3.0462028586593104</v>
      </c>
      <c r="G28" s="48">
        <v>3.4467311525504876</v>
      </c>
      <c r="H28" s="48">
        <v>5.2521593991450821</v>
      </c>
      <c r="I28" s="48">
        <v>4.0035974504693028</v>
      </c>
      <c r="J28" s="48">
        <v>5.8381686356459275</v>
      </c>
      <c r="K28" s="48">
        <v>7.3442526353100357</v>
      </c>
      <c r="L28" s="48">
        <v>8.3038247235835847</v>
      </c>
      <c r="M28" s="48">
        <v>9.0864543243534897</v>
      </c>
      <c r="N28" s="48">
        <v>8.9180697384519334</v>
      </c>
      <c r="O28" s="48">
        <v>8.1629651033030708</v>
      </c>
      <c r="P28" s="48">
        <v>7.865013689577502</v>
      </c>
      <c r="Q28" s="48">
        <v>7.6348609976621615</v>
      </c>
      <c r="R28" s="48">
        <v>7.2979827229588432</v>
      </c>
      <c r="S28" s="48">
        <v>11.049214482032406</v>
      </c>
      <c r="T28" s="48">
        <v>11.581422135714686</v>
      </c>
      <c r="U28" s="48">
        <v>12.058996203946746</v>
      </c>
      <c r="V28" s="48">
        <v>11.138448573809251</v>
      </c>
      <c r="W28" s="48">
        <v>9.9692959947837192</v>
      </c>
      <c r="X28" s="48">
        <v>8.343944084984189</v>
      </c>
      <c r="Y28" s="48">
        <v>6.6938691140042161</v>
      </c>
      <c r="Z28" s="49">
        <f t="shared" si="3"/>
        <v>170.86109334930325</v>
      </c>
      <c r="AA28" s="50">
        <v>5</v>
      </c>
      <c r="AB28" s="65">
        <f t="shared" si="4"/>
        <v>854.30546674651623</v>
      </c>
      <c r="AD28" s="70" t="s">
        <v>46</v>
      </c>
    </row>
    <row r="29" spans="1:30" ht="15.75" x14ac:dyDescent="0.25">
      <c r="A29" s="64">
        <f t="shared" si="2"/>
        <v>46174</v>
      </c>
      <c r="B29" s="48">
        <v>4.2401565589311385</v>
      </c>
      <c r="C29" s="48">
        <v>3.4161854055633256</v>
      </c>
      <c r="D29" s="48">
        <v>2.9561481427318896</v>
      </c>
      <c r="E29" s="48">
        <v>2.746794475715479</v>
      </c>
      <c r="F29" s="48">
        <v>2.9145763502728976</v>
      </c>
      <c r="G29" s="48">
        <v>3.4688894522724611</v>
      </c>
      <c r="H29" s="48">
        <v>4.9697210826336331</v>
      </c>
      <c r="I29" s="48">
        <v>3.6974077024228711</v>
      </c>
      <c r="J29" s="48">
        <v>5.5374431230423902</v>
      </c>
      <c r="K29" s="48">
        <v>6.9879230909638892</v>
      </c>
      <c r="L29" s="48">
        <v>7.8982373240593544</v>
      </c>
      <c r="M29" s="48">
        <v>8.7875818246745077</v>
      </c>
      <c r="N29" s="48">
        <v>8.8992455657862184</v>
      </c>
      <c r="O29" s="48">
        <v>8.3630105369141994</v>
      </c>
      <c r="P29" s="48">
        <v>7.843799363538924</v>
      </c>
      <c r="Q29" s="48">
        <v>7.4507741385200816</v>
      </c>
      <c r="R29" s="48">
        <v>7.1104409461357312</v>
      </c>
      <c r="S29" s="48">
        <v>10.783084447114739</v>
      </c>
      <c r="T29" s="48">
        <v>11.338213786343072</v>
      </c>
      <c r="U29" s="48">
        <v>11.789171839089565</v>
      </c>
      <c r="V29" s="48">
        <v>10.859910410291723</v>
      </c>
      <c r="W29" s="48">
        <v>9.622025130410421</v>
      </c>
      <c r="X29" s="48">
        <v>7.9245056794529178</v>
      </c>
      <c r="Y29" s="48">
        <v>6.2095988757383269</v>
      </c>
      <c r="Z29" s="49">
        <f t="shared" si="3"/>
        <v>165.81484525261976</v>
      </c>
      <c r="AA29" s="50">
        <v>4</v>
      </c>
      <c r="AB29" s="65">
        <f t="shared" si="4"/>
        <v>663.25938101047905</v>
      </c>
      <c r="AD29" s="70" t="s">
        <v>46</v>
      </c>
    </row>
    <row r="30" spans="1:30" ht="15.75" x14ac:dyDescent="0.25">
      <c r="A30" s="64">
        <f t="shared" si="2"/>
        <v>46204</v>
      </c>
      <c r="B30" s="48">
        <v>4.0188696234758998</v>
      </c>
      <c r="C30" s="48">
        <v>3.1771902954987552</v>
      </c>
      <c r="D30" s="48">
        <v>2.6339354750614246</v>
      </c>
      <c r="E30" s="48">
        <v>2.436822198279132</v>
      </c>
      <c r="F30" s="48">
        <v>2.5746148205980015</v>
      </c>
      <c r="G30" s="48">
        <v>2.917582924562371</v>
      </c>
      <c r="H30" s="48">
        <v>4.4399154664302429</v>
      </c>
      <c r="I30" s="48">
        <v>3.1693351535842185</v>
      </c>
      <c r="J30" s="48">
        <v>5.0282563179331365</v>
      </c>
      <c r="K30" s="48">
        <v>6.4511998146143625</v>
      </c>
      <c r="L30" s="48">
        <v>7.3677294203249142</v>
      </c>
      <c r="M30" s="48">
        <v>8.2427950243120183</v>
      </c>
      <c r="N30" s="48">
        <v>8.3649309028985481</v>
      </c>
      <c r="O30" s="48">
        <v>7.7786731328048804</v>
      </c>
      <c r="P30" s="48">
        <v>7.2157795334415376</v>
      </c>
      <c r="Q30" s="48">
        <v>6.76051202602775</v>
      </c>
      <c r="R30" s="48">
        <v>6.4815247758718568</v>
      </c>
      <c r="S30" s="48">
        <v>9.9947981655509022</v>
      </c>
      <c r="T30" s="48">
        <v>10.239864435660104</v>
      </c>
      <c r="U30" s="48">
        <v>11.075904883587905</v>
      </c>
      <c r="V30" s="48">
        <v>10.190052480666065</v>
      </c>
      <c r="W30" s="48">
        <v>9.1093697816432222</v>
      </c>
      <c r="X30" s="48">
        <v>7.6121444013334507</v>
      </c>
      <c r="Y30" s="48">
        <v>6.033665041556505</v>
      </c>
      <c r="Z30" s="49">
        <f t="shared" si="3"/>
        <v>153.3154660957172</v>
      </c>
      <c r="AA30" s="50">
        <v>4</v>
      </c>
      <c r="AB30" s="65">
        <f t="shared" si="4"/>
        <v>613.26186438286879</v>
      </c>
      <c r="AD30" s="70" t="s">
        <v>46</v>
      </c>
    </row>
    <row r="31" spans="1:30" ht="15.75" x14ac:dyDescent="0.25">
      <c r="A31" s="64">
        <f t="shared" si="2"/>
        <v>46235</v>
      </c>
      <c r="B31" s="48">
        <v>4.1591578261992792</v>
      </c>
      <c r="C31" s="48">
        <v>3.3722859265202816</v>
      </c>
      <c r="D31" s="48">
        <v>2.8872171771700259</v>
      </c>
      <c r="E31" s="48">
        <v>2.6322567983783474</v>
      </c>
      <c r="F31" s="48">
        <v>2.8046279184525074</v>
      </c>
      <c r="G31" s="48">
        <v>3.283655959187755</v>
      </c>
      <c r="H31" s="48">
        <v>4.849507539037079</v>
      </c>
      <c r="I31" s="48">
        <v>3.5114023643378269</v>
      </c>
      <c r="J31" s="48">
        <v>5.2328989803166648</v>
      </c>
      <c r="K31" s="48">
        <v>6.5755810104546937</v>
      </c>
      <c r="L31" s="48">
        <v>7.5191772074637804</v>
      </c>
      <c r="M31" s="48">
        <v>8.3337662513196147</v>
      </c>
      <c r="N31" s="48">
        <v>8.358751215728164</v>
      </c>
      <c r="O31" s="48">
        <v>7.7549006109393259</v>
      </c>
      <c r="P31" s="48">
        <v>7.2548779114821764</v>
      </c>
      <c r="Q31" s="48">
        <v>6.7946985398880235</v>
      </c>
      <c r="R31" s="48">
        <v>6.4580565810491564</v>
      </c>
      <c r="S31" s="48">
        <v>9.8323984793163071</v>
      </c>
      <c r="T31" s="48">
        <v>10.244921441423434</v>
      </c>
      <c r="U31" s="48">
        <v>10.850297806361933</v>
      </c>
      <c r="V31" s="48">
        <v>10.033284872488384</v>
      </c>
      <c r="W31" s="48">
        <v>8.9836045351362959</v>
      </c>
      <c r="X31" s="48">
        <v>7.5065227107928827</v>
      </c>
      <c r="Y31" s="48">
        <v>5.9215211500409888</v>
      </c>
      <c r="Z31" s="49">
        <f t="shared" si="3"/>
        <v>155.15537081348495</v>
      </c>
      <c r="AA31" s="50">
        <v>5</v>
      </c>
      <c r="AB31" s="65">
        <f t="shared" si="4"/>
        <v>775.77685406742478</v>
      </c>
      <c r="AD31" s="70" t="s">
        <v>46</v>
      </c>
    </row>
    <row r="32" spans="1:30" ht="15.75" x14ac:dyDescent="0.25">
      <c r="A32" s="64">
        <f t="shared" si="2"/>
        <v>46266</v>
      </c>
      <c r="B32" s="48">
        <v>3.7369883887364512</v>
      </c>
      <c r="C32" s="48">
        <v>3.0010406972637309</v>
      </c>
      <c r="D32" s="48">
        <v>2.5637140638126468</v>
      </c>
      <c r="E32" s="48">
        <v>2.3181267193089616</v>
      </c>
      <c r="F32" s="48">
        <v>2.4891625118229812</v>
      </c>
      <c r="G32" s="48">
        <v>2.9294520252757894</v>
      </c>
      <c r="H32" s="48">
        <v>4.474342915506818</v>
      </c>
      <c r="I32" s="48">
        <v>3.4221722998017023</v>
      </c>
      <c r="J32" s="48">
        <v>5.1250909819066752</v>
      </c>
      <c r="K32" s="48">
        <v>6.3375352090538613</v>
      </c>
      <c r="L32" s="48">
        <v>7.3805750625078534</v>
      </c>
      <c r="M32" s="48">
        <v>8.2194338460445611</v>
      </c>
      <c r="N32" s="48">
        <v>7.8514155702045274</v>
      </c>
      <c r="O32" s="48">
        <v>7.6016376393515852</v>
      </c>
      <c r="P32" s="48">
        <v>7.037636190835113</v>
      </c>
      <c r="Q32" s="48">
        <v>6.7560293382411141</v>
      </c>
      <c r="R32" s="48">
        <v>6.3657067387222446</v>
      </c>
      <c r="S32" s="48">
        <v>10.197109364541841</v>
      </c>
      <c r="T32" s="48">
        <v>10.790535786545002</v>
      </c>
      <c r="U32" s="48">
        <v>10.593837928440163</v>
      </c>
      <c r="V32" s="48">
        <v>9.6925355086257881</v>
      </c>
      <c r="W32" s="48">
        <v>8.5588200286711551</v>
      </c>
      <c r="X32" s="48">
        <v>7.0103827287976772</v>
      </c>
      <c r="Y32" s="48">
        <v>5.5204274191002654</v>
      </c>
      <c r="Z32" s="49">
        <f t="shared" si="3"/>
        <v>149.97370896311853</v>
      </c>
      <c r="AA32" s="50">
        <v>4</v>
      </c>
      <c r="AB32" s="65">
        <f t="shared" si="4"/>
        <v>599.8948358524741</v>
      </c>
      <c r="AD32" s="70" t="s">
        <v>46</v>
      </c>
    </row>
    <row r="33" spans="1:30" ht="15.75" x14ac:dyDescent="0.25">
      <c r="A33" s="64">
        <f t="shared" si="2"/>
        <v>46296</v>
      </c>
      <c r="B33" s="48">
        <v>3.8844438372408576</v>
      </c>
      <c r="C33" s="48">
        <v>3.0991009431548329</v>
      </c>
      <c r="D33" s="48">
        <v>2.6621071801076788</v>
      </c>
      <c r="E33" s="48">
        <v>2.4872535706739027</v>
      </c>
      <c r="F33" s="48">
        <v>2.6570928658930963</v>
      </c>
      <c r="G33" s="48">
        <v>2.8675184806152929</v>
      </c>
      <c r="H33" s="48">
        <v>4.5135454576471483</v>
      </c>
      <c r="I33" s="48">
        <v>3.3722409283063053</v>
      </c>
      <c r="J33" s="48">
        <v>5.172501414380541</v>
      </c>
      <c r="K33" s="48">
        <v>6.4347083193467434</v>
      </c>
      <c r="L33" s="48">
        <v>7.4158623677321112</v>
      </c>
      <c r="M33" s="48">
        <v>8.2566105980602327</v>
      </c>
      <c r="N33" s="48">
        <v>8.2605778966327232</v>
      </c>
      <c r="O33" s="48">
        <v>7.7632266980437876</v>
      </c>
      <c r="P33" s="48">
        <v>7.3676192061174106</v>
      </c>
      <c r="Q33" s="48">
        <v>6.9906071932440348</v>
      </c>
      <c r="R33" s="48">
        <v>6.5952413269079146</v>
      </c>
      <c r="S33" s="48">
        <v>10.350908249021737</v>
      </c>
      <c r="T33" s="48">
        <v>11.107890483468564</v>
      </c>
      <c r="U33" s="48">
        <v>10.694580196737817</v>
      </c>
      <c r="V33" s="48">
        <v>9.6350630844891683</v>
      </c>
      <c r="W33" s="48">
        <v>8.5846885037063725</v>
      </c>
      <c r="X33" s="48">
        <v>7.239946269602525</v>
      </c>
      <c r="Y33" s="48">
        <v>5.7499659864111479</v>
      </c>
      <c r="Z33" s="49">
        <f t="shared" si="3"/>
        <v>153.16330105754193</v>
      </c>
      <c r="AA33" s="50">
        <v>5</v>
      </c>
      <c r="AB33" s="65">
        <f t="shared" si="4"/>
        <v>765.81650528770967</v>
      </c>
      <c r="AD33" s="70" t="s">
        <v>46</v>
      </c>
    </row>
    <row r="34" spans="1:30" ht="15.75" x14ac:dyDescent="0.25">
      <c r="A34" s="64">
        <f t="shared" si="2"/>
        <v>46327</v>
      </c>
      <c r="B34" s="48">
        <v>3.9101439579396056</v>
      </c>
      <c r="C34" s="48">
        <v>3.1247705367498884</v>
      </c>
      <c r="D34" s="48">
        <v>2.6748784383184128</v>
      </c>
      <c r="E34" s="48">
        <v>2.4383180582266024</v>
      </c>
      <c r="F34" s="48">
        <v>2.6007454087787072</v>
      </c>
      <c r="G34" s="48">
        <v>2.8752430734724141</v>
      </c>
      <c r="H34" s="48">
        <v>4.5128143902156763</v>
      </c>
      <c r="I34" s="48">
        <v>3.5032101760931718</v>
      </c>
      <c r="J34" s="48">
        <v>5.2223207426469047</v>
      </c>
      <c r="K34" s="48">
        <v>6.456439880649584</v>
      </c>
      <c r="L34" s="48">
        <v>7.4818442378957721</v>
      </c>
      <c r="M34" s="48">
        <v>8.404999474251138</v>
      </c>
      <c r="N34" s="48">
        <v>8.3705032572217206</v>
      </c>
      <c r="O34" s="48">
        <v>7.7438394692018218</v>
      </c>
      <c r="P34" s="48">
        <v>7.2820691282428189</v>
      </c>
      <c r="Q34" s="48">
        <v>7.0830175386556542</v>
      </c>
      <c r="R34" s="48">
        <v>6.8211833263036707</v>
      </c>
      <c r="S34" s="48">
        <v>10.253908534136466</v>
      </c>
      <c r="T34" s="48">
        <v>11.217476826255824</v>
      </c>
      <c r="U34" s="48">
        <v>10.973020603170172</v>
      </c>
      <c r="V34" s="48">
        <v>10.016510788599586</v>
      </c>
      <c r="W34" s="48">
        <v>9.0359119774642132</v>
      </c>
      <c r="X34" s="48">
        <v>7.4914083454803428</v>
      </c>
      <c r="Y34" s="48">
        <v>5.9420650048242338</v>
      </c>
      <c r="Z34" s="49">
        <f t="shared" si="3"/>
        <v>155.43664317479443</v>
      </c>
      <c r="AA34" s="50">
        <v>4</v>
      </c>
      <c r="AB34" s="65">
        <f t="shared" si="4"/>
        <v>621.7465726991777</v>
      </c>
      <c r="AD34" s="70" t="s">
        <v>46</v>
      </c>
    </row>
    <row r="35" spans="1:30" ht="16.5" thickBot="1" x14ac:dyDescent="0.3">
      <c r="A35" s="66">
        <f t="shared" si="2"/>
        <v>46357</v>
      </c>
      <c r="B35" s="48">
        <v>4.4709420410614795</v>
      </c>
      <c r="C35" s="48">
        <v>3.5948574432922422</v>
      </c>
      <c r="D35" s="48">
        <v>3.0784834754628565</v>
      </c>
      <c r="E35" s="48">
        <v>2.8107274696367557</v>
      </c>
      <c r="F35" s="48">
        <v>2.9686052854864418</v>
      </c>
      <c r="G35" s="48">
        <v>3.3508691665297037</v>
      </c>
      <c r="H35" s="48">
        <v>4.9326423677931404</v>
      </c>
      <c r="I35" s="48">
        <v>3.7860508581994754</v>
      </c>
      <c r="J35" s="48">
        <v>5.6045269521830585</v>
      </c>
      <c r="K35" s="48">
        <v>6.8768549640438383</v>
      </c>
      <c r="L35" s="48">
        <v>7.8658452890371002</v>
      </c>
      <c r="M35" s="48">
        <v>8.7705417190902555</v>
      </c>
      <c r="N35" s="48">
        <v>8.7527327393574268</v>
      </c>
      <c r="O35" s="48">
        <v>8.0662508337154453</v>
      </c>
      <c r="P35" s="48">
        <v>7.4618745553143846</v>
      </c>
      <c r="Q35" s="48">
        <v>7.1526988834537359</v>
      </c>
      <c r="R35" s="48">
        <v>7.0300702816713123</v>
      </c>
      <c r="S35" s="48">
        <v>10.681414062382002</v>
      </c>
      <c r="T35" s="48">
        <v>11.416527516764374</v>
      </c>
      <c r="U35" s="48">
        <v>11.247475393872653</v>
      </c>
      <c r="V35" s="48">
        <v>10.336363899187415</v>
      </c>
      <c r="W35" s="48">
        <v>9.2092510573730948</v>
      </c>
      <c r="X35" s="48">
        <v>7.7272800991497448</v>
      </c>
      <c r="Y35" s="48">
        <v>6.2282848263623265</v>
      </c>
      <c r="Z35" s="51">
        <f t="shared" si="3"/>
        <v>163.42117118042023</v>
      </c>
      <c r="AA35" s="52">
        <v>4</v>
      </c>
      <c r="AB35" s="67">
        <f t="shared" si="4"/>
        <v>653.68468472168092</v>
      </c>
      <c r="AD35" s="70" t="s">
        <v>46</v>
      </c>
    </row>
    <row r="36" spans="1:30" ht="16.5" thickBot="1" x14ac:dyDescent="0.3">
      <c r="A36"/>
      <c r="B36" s="68"/>
      <c r="C36" s="58"/>
      <c r="D36" s="58"/>
      <c r="E36" s="58"/>
      <c r="F36" s="58"/>
      <c r="G36" s="58"/>
      <c r="H36" s="58"/>
      <c r="I36" s="58"/>
      <c r="J36" s="58"/>
      <c r="K36" s="58"/>
      <c r="L36" s="58"/>
      <c r="M36" s="58"/>
      <c r="N36" s="58"/>
      <c r="O36" s="58"/>
      <c r="P36" s="58"/>
      <c r="Q36" s="58"/>
      <c r="R36" s="58"/>
      <c r="S36" s="58"/>
      <c r="T36" s="58"/>
      <c r="U36" s="58"/>
      <c r="V36" s="58"/>
      <c r="W36" s="58"/>
      <c r="X36" s="58"/>
      <c r="Y36" s="58"/>
      <c r="Z36" s="56"/>
      <c r="AA36" s="38"/>
      <c r="AB36"/>
    </row>
    <row r="37" spans="1:30" ht="16.5" thickBot="1" x14ac:dyDescent="0.3">
      <c r="A37" s="36" t="s">
        <v>47</v>
      </c>
      <c r="B37" s="58"/>
      <c r="C37" s="58"/>
      <c r="D37" s="58"/>
      <c r="E37" s="69"/>
      <c r="F37" s="58"/>
      <c r="G37" s="58"/>
      <c r="H37" s="58"/>
      <c r="I37" s="58"/>
      <c r="J37" s="58"/>
      <c r="K37" s="58"/>
      <c r="L37" s="58"/>
      <c r="M37" s="58"/>
      <c r="N37" s="58"/>
      <c r="O37" s="58"/>
      <c r="P37" s="58"/>
      <c r="Q37" s="58"/>
      <c r="R37" s="58"/>
      <c r="S37" s="58"/>
      <c r="T37" s="58"/>
      <c r="U37" s="58"/>
      <c r="V37" s="58"/>
      <c r="W37" s="58"/>
      <c r="X37" s="58"/>
      <c r="Y37" s="58"/>
      <c r="Z37" s="56"/>
      <c r="AA37" s="38"/>
      <c r="AB37"/>
    </row>
    <row r="38" spans="1:30" ht="16.5" thickBot="1" x14ac:dyDescent="0.3">
      <c r="A38"/>
      <c r="B38" s="68"/>
      <c r="C38" s="58"/>
      <c r="D38" s="58"/>
      <c r="E38" s="58"/>
      <c r="F38" s="58"/>
      <c r="G38" s="58"/>
      <c r="H38" s="58"/>
      <c r="I38" s="58"/>
      <c r="J38" s="58"/>
      <c r="K38" s="58"/>
      <c r="L38" s="58"/>
      <c r="M38" s="58"/>
      <c r="N38" s="58"/>
      <c r="O38" s="58"/>
      <c r="P38" s="58"/>
      <c r="Q38" s="58"/>
      <c r="R38" s="58"/>
      <c r="S38" s="58"/>
      <c r="T38" s="58"/>
      <c r="U38" s="58"/>
      <c r="V38" s="58"/>
      <c r="W38" s="58"/>
      <c r="X38" s="58"/>
      <c r="Y38" s="58"/>
      <c r="Z38" s="56"/>
      <c r="AA38"/>
      <c r="AB38"/>
    </row>
    <row r="39" spans="1:30" ht="15.75" thickBot="1" x14ac:dyDescent="0.25">
      <c r="A39" s="59" t="s">
        <v>10</v>
      </c>
      <c r="B39" s="60" t="s">
        <v>11</v>
      </c>
      <c r="C39" s="60" t="s">
        <v>12</v>
      </c>
      <c r="D39" s="60" t="s">
        <v>13</v>
      </c>
      <c r="E39" s="60" t="s">
        <v>14</v>
      </c>
      <c r="F39" s="60" t="s">
        <v>15</v>
      </c>
      <c r="G39" s="60" t="s">
        <v>16</v>
      </c>
      <c r="H39" s="60" t="s">
        <v>17</v>
      </c>
      <c r="I39" s="60" t="s">
        <v>18</v>
      </c>
      <c r="J39" s="60" t="s">
        <v>19</v>
      </c>
      <c r="K39" s="60" t="s">
        <v>20</v>
      </c>
      <c r="L39" s="60" t="s">
        <v>21</v>
      </c>
      <c r="M39" s="60" t="s">
        <v>22</v>
      </c>
      <c r="N39" s="60" t="s">
        <v>23</v>
      </c>
      <c r="O39" s="60" t="s">
        <v>24</v>
      </c>
      <c r="P39" s="60" t="s">
        <v>25</v>
      </c>
      <c r="Q39" s="60" t="s">
        <v>26</v>
      </c>
      <c r="R39" s="60" t="s">
        <v>27</v>
      </c>
      <c r="S39" s="60" t="s">
        <v>28</v>
      </c>
      <c r="T39" s="60" t="s">
        <v>29</v>
      </c>
      <c r="U39" s="60" t="s">
        <v>30</v>
      </c>
      <c r="V39" s="60" t="s">
        <v>31</v>
      </c>
      <c r="W39" s="60" t="s">
        <v>32</v>
      </c>
      <c r="X39" s="60" t="s">
        <v>33</v>
      </c>
      <c r="Y39" s="60" t="s">
        <v>34</v>
      </c>
      <c r="Z39" s="60" t="s">
        <v>6</v>
      </c>
      <c r="AA39" s="60" t="s">
        <v>35</v>
      </c>
      <c r="AB39" s="61"/>
    </row>
    <row r="40" spans="1:30" ht="15.75" x14ac:dyDescent="0.25">
      <c r="A40" s="62">
        <f t="shared" ref="A40:A51" si="5">+A24</f>
        <v>46023</v>
      </c>
      <c r="B40" s="48">
        <v>5.980722682240196</v>
      </c>
      <c r="C40" s="48">
        <v>5.0176636071928327</v>
      </c>
      <c r="D40" s="48">
        <v>4.2053350503406213</v>
      </c>
      <c r="E40" s="48">
        <v>3.8961486421548934</v>
      </c>
      <c r="F40" s="48">
        <v>3.7005301745757633</v>
      </c>
      <c r="G40" s="48">
        <v>3.779190055377144</v>
      </c>
      <c r="H40" s="48">
        <v>4.3579545354278482</v>
      </c>
      <c r="I40" s="48">
        <v>1.3467457267937089</v>
      </c>
      <c r="J40" s="48">
        <v>2.4898572704713615</v>
      </c>
      <c r="K40" s="48">
        <v>3.7450253516680632</v>
      </c>
      <c r="L40" s="48">
        <v>4.8197173076713904</v>
      </c>
      <c r="M40" s="48">
        <v>5.8154552836884861</v>
      </c>
      <c r="N40" s="48">
        <v>6.519422407544555</v>
      </c>
      <c r="O40" s="48">
        <v>6.6191403497771129</v>
      </c>
      <c r="P40" s="48">
        <v>6.3445468911089291</v>
      </c>
      <c r="Q40" s="48">
        <v>6.2067202506951604</v>
      </c>
      <c r="R40" s="48">
        <v>6.154694054707611</v>
      </c>
      <c r="S40" s="48">
        <v>10.347513015006571</v>
      </c>
      <c r="T40" s="48">
        <v>11.212046965789119</v>
      </c>
      <c r="U40" s="48">
        <v>12.33915787210374</v>
      </c>
      <c r="V40" s="48">
        <v>12.002328340117808</v>
      </c>
      <c r="W40" s="48">
        <v>10.831751595076817</v>
      </c>
      <c r="X40" s="48">
        <v>9.1315164390592951</v>
      </c>
      <c r="Y40" s="48">
        <v>7.4197217657931063</v>
      </c>
      <c r="Z40" s="46">
        <f t="shared" ref="Z40:Z51" si="6">SUM(B40:Y40)</f>
        <v>154.2829056343821</v>
      </c>
      <c r="AA40" s="47">
        <v>5</v>
      </c>
      <c r="AB40" s="63">
        <f>+Z40*AA40</f>
        <v>771.41452817191055</v>
      </c>
      <c r="AD40" s="70" t="s">
        <v>48</v>
      </c>
    </row>
    <row r="41" spans="1:30" ht="15.75" x14ac:dyDescent="0.25">
      <c r="A41" s="64">
        <f t="shared" si="5"/>
        <v>46054</v>
      </c>
      <c r="B41" s="48">
        <v>5.6515241590547403</v>
      </c>
      <c r="C41" s="48">
        <v>4.6917877762517923</v>
      </c>
      <c r="D41" s="48">
        <v>3.9968847847063107</v>
      </c>
      <c r="E41" s="48">
        <v>3.6284805098088793</v>
      </c>
      <c r="F41" s="48">
        <v>3.5793135574118669</v>
      </c>
      <c r="G41" s="48">
        <v>3.8687220553170727</v>
      </c>
      <c r="H41" s="48">
        <v>4.6890053106561274</v>
      </c>
      <c r="I41" s="48">
        <v>2.1066094891888962</v>
      </c>
      <c r="J41" s="48">
        <v>3.5088363832751885</v>
      </c>
      <c r="K41" s="48">
        <v>4.8468752362852126</v>
      </c>
      <c r="L41" s="48">
        <v>5.6412131378082586</v>
      </c>
      <c r="M41" s="48">
        <v>6.5172465048351684</v>
      </c>
      <c r="N41" s="48">
        <v>6.9459971823840778</v>
      </c>
      <c r="O41" s="48">
        <v>6.7426954023335881</v>
      </c>
      <c r="P41" s="48">
        <v>6.2539350780545169</v>
      </c>
      <c r="Q41" s="48">
        <v>5.9352538971053823</v>
      </c>
      <c r="R41" s="48">
        <v>5.73561704488574</v>
      </c>
      <c r="S41" s="48">
        <v>9.7670268354560061</v>
      </c>
      <c r="T41" s="48">
        <v>10.106973841230854</v>
      </c>
      <c r="U41" s="48">
        <v>11.86097849766343</v>
      </c>
      <c r="V41" s="48">
        <v>11.460297761800033</v>
      </c>
      <c r="W41" s="48">
        <v>10.151687508818807</v>
      </c>
      <c r="X41" s="48">
        <v>8.1187747575118809</v>
      </c>
      <c r="Y41" s="48">
        <v>6.1325093716141446</v>
      </c>
      <c r="Z41" s="49">
        <f t="shared" si="6"/>
        <v>151.93824608345795</v>
      </c>
      <c r="AA41" s="50">
        <v>4</v>
      </c>
      <c r="AB41" s="65">
        <f>+Z41*AA41</f>
        <v>607.75298433383182</v>
      </c>
      <c r="AD41" s="70" t="s">
        <v>48</v>
      </c>
    </row>
    <row r="42" spans="1:30" ht="15.75" x14ac:dyDescent="0.25">
      <c r="A42" s="64">
        <f t="shared" si="5"/>
        <v>46082</v>
      </c>
      <c r="B42" s="48">
        <v>4.5137215846731955</v>
      </c>
      <c r="C42" s="48">
        <v>3.6612972904806185</v>
      </c>
      <c r="D42" s="48">
        <v>3.1378898346964732</v>
      </c>
      <c r="E42" s="48">
        <v>2.8336482523433544</v>
      </c>
      <c r="F42" s="48">
        <v>2.7372700222438535</v>
      </c>
      <c r="G42" s="48">
        <v>3.0314113947595933</v>
      </c>
      <c r="H42" s="48">
        <v>3.7275097627894676</v>
      </c>
      <c r="I42" s="48">
        <v>1.4674186714893032</v>
      </c>
      <c r="J42" s="48">
        <v>2.6184154896137435</v>
      </c>
      <c r="K42" s="48">
        <v>3.7178425786484905</v>
      </c>
      <c r="L42" s="48">
        <v>4.4049989886672218</v>
      </c>
      <c r="M42" s="48">
        <v>5.0727929294496086</v>
      </c>
      <c r="N42" s="48">
        <v>5.612812362257336</v>
      </c>
      <c r="O42" s="48">
        <v>5.6003965933786777</v>
      </c>
      <c r="P42" s="48">
        <v>5.1508573106373978</v>
      </c>
      <c r="Q42" s="48">
        <v>4.9540500631609712</v>
      </c>
      <c r="R42" s="48">
        <v>4.970731120536958</v>
      </c>
      <c r="S42" s="48">
        <v>8.9106630654208967</v>
      </c>
      <c r="T42" s="48">
        <v>9.5567333939988703</v>
      </c>
      <c r="U42" s="48">
        <v>10.501769903989796</v>
      </c>
      <c r="V42" s="48">
        <v>9.9385309332112115</v>
      </c>
      <c r="W42" s="48">
        <v>8.7311551869157515</v>
      </c>
      <c r="X42" s="48">
        <v>7.0858751263259281</v>
      </c>
      <c r="Y42" s="48">
        <v>5.3750711985836128</v>
      </c>
      <c r="Z42" s="49">
        <f t="shared" si="6"/>
        <v>127.31286305827233</v>
      </c>
      <c r="AA42" s="50">
        <v>5</v>
      </c>
      <c r="AB42" s="65">
        <f t="shared" ref="AB42:AB51" si="7">+Z42*AA42</f>
        <v>636.56431529136159</v>
      </c>
      <c r="AD42" s="70" t="s">
        <v>48</v>
      </c>
    </row>
    <row r="43" spans="1:30" ht="15.75" x14ac:dyDescent="0.25">
      <c r="A43" s="64">
        <f t="shared" si="5"/>
        <v>46113</v>
      </c>
      <c r="B43" s="48">
        <v>4.2689568111647409</v>
      </c>
      <c r="C43" s="48">
        <v>3.384002560392287</v>
      </c>
      <c r="D43" s="48">
        <v>2.8283671908103378</v>
      </c>
      <c r="E43" s="48">
        <v>2.5403440056487554</v>
      </c>
      <c r="F43" s="48">
        <v>2.5426123410693937</v>
      </c>
      <c r="G43" s="48">
        <v>2.5576997251510503</v>
      </c>
      <c r="H43" s="48">
        <v>3.3459162922086132</v>
      </c>
      <c r="I43" s="48">
        <v>1.3602105518007328</v>
      </c>
      <c r="J43" s="48">
        <v>2.5762788086637474</v>
      </c>
      <c r="K43" s="48">
        <v>3.7499938252860474</v>
      </c>
      <c r="L43" s="48">
        <v>4.6459927764522897</v>
      </c>
      <c r="M43" s="48">
        <v>5.5713647886323185</v>
      </c>
      <c r="N43" s="48">
        <v>6.0226745054988307</v>
      </c>
      <c r="O43" s="48">
        <v>5.7965693971800603</v>
      </c>
      <c r="P43" s="48">
        <v>5.5824237240542161</v>
      </c>
      <c r="Q43" s="48">
        <v>5.0155531478533479</v>
      </c>
      <c r="R43" s="48">
        <v>4.8906496090195972</v>
      </c>
      <c r="S43" s="48">
        <v>8.8805298017449577</v>
      </c>
      <c r="T43" s="48">
        <v>9.4759949298487811</v>
      </c>
      <c r="U43" s="48">
        <v>10.116976123004108</v>
      </c>
      <c r="V43" s="48">
        <v>9.6441911844731916</v>
      </c>
      <c r="W43" s="48">
        <v>8.549400338408141</v>
      </c>
      <c r="X43" s="48">
        <v>6.9583638682615954</v>
      </c>
      <c r="Y43" s="48">
        <v>5.4487297622660869</v>
      </c>
      <c r="Z43" s="49">
        <f t="shared" si="6"/>
        <v>125.75379606889321</v>
      </c>
      <c r="AA43" s="50">
        <v>6</v>
      </c>
      <c r="AB43" s="65">
        <f t="shared" si="7"/>
        <v>754.52277641335922</v>
      </c>
      <c r="AD43" s="70" t="s">
        <v>48</v>
      </c>
    </row>
    <row r="44" spans="1:30" ht="15.75" x14ac:dyDescent="0.25">
      <c r="A44" s="64">
        <f t="shared" si="5"/>
        <v>46143</v>
      </c>
      <c r="B44" s="48">
        <v>4.4027030338950093</v>
      </c>
      <c r="C44" s="48">
        <v>3.5085291161311569</v>
      </c>
      <c r="D44" s="48">
        <v>2.9956585890475136</v>
      </c>
      <c r="E44" s="48">
        <v>2.6383010207328872</v>
      </c>
      <c r="F44" s="48">
        <v>2.5496079300309091</v>
      </c>
      <c r="G44" s="48">
        <v>2.3233079702393398</v>
      </c>
      <c r="H44" s="48">
        <v>3.5478883469914972</v>
      </c>
      <c r="I44" s="48">
        <v>1.5560112179143426</v>
      </c>
      <c r="J44" s="48">
        <v>2.8516242754236472</v>
      </c>
      <c r="K44" s="48">
        <v>4.1921737943232174</v>
      </c>
      <c r="L44" s="48">
        <v>5.0602883521912183</v>
      </c>
      <c r="M44" s="48">
        <v>5.7303016336098906</v>
      </c>
      <c r="N44" s="48">
        <v>5.8324889237560589</v>
      </c>
      <c r="O44" s="48">
        <v>5.7602431438728114</v>
      </c>
      <c r="P44" s="48">
        <v>5.0801445566584036</v>
      </c>
      <c r="Q44" s="48">
        <v>5.1964182521677893</v>
      </c>
      <c r="R44" s="48">
        <v>5.1701337847223359</v>
      </c>
      <c r="S44" s="48">
        <v>9.0294743385990479</v>
      </c>
      <c r="T44" s="48">
        <v>9.5693697210148354</v>
      </c>
      <c r="U44" s="48">
        <v>10.573862159691922</v>
      </c>
      <c r="V44" s="48">
        <v>10.179239712776729</v>
      </c>
      <c r="W44" s="48">
        <v>9.0163781813536801</v>
      </c>
      <c r="X44" s="48">
        <v>7.2332050760839799</v>
      </c>
      <c r="Y44" s="48">
        <v>5.5359473760396822</v>
      </c>
      <c r="Z44" s="49">
        <f t="shared" si="6"/>
        <v>129.53330050726791</v>
      </c>
      <c r="AA44" s="50">
        <v>6</v>
      </c>
      <c r="AB44" s="65">
        <f t="shared" si="7"/>
        <v>777.19980304360752</v>
      </c>
      <c r="AD44" s="70" t="s">
        <v>48</v>
      </c>
    </row>
    <row r="45" spans="1:30" ht="15.75" x14ac:dyDescent="0.25">
      <c r="A45" s="64">
        <f t="shared" si="5"/>
        <v>46174</v>
      </c>
      <c r="B45" s="48">
        <v>4.0726207726615566</v>
      </c>
      <c r="C45" s="48">
        <v>3.1802165782136318</v>
      </c>
      <c r="D45" s="48">
        <v>2.6942922321355245</v>
      </c>
      <c r="E45" s="48">
        <v>2.3754170927839979</v>
      </c>
      <c r="F45" s="48">
        <v>2.3565215668784685</v>
      </c>
      <c r="G45" s="48">
        <v>2.4136058589028861</v>
      </c>
      <c r="H45" s="48">
        <v>3.3592672472450023</v>
      </c>
      <c r="I45" s="48">
        <v>1.415732100839773</v>
      </c>
      <c r="J45" s="48">
        <v>2.6886049263516423</v>
      </c>
      <c r="K45" s="48">
        <v>3.9316060436904618</v>
      </c>
      <c r="L45" s="48">
        <v>4.6172985612369333</v>
      </c>
      <c r="M45" s="48">
        <v>5.2372126589654169</v>
      </c>
      <c r="N45" s="48">
        <v>5.630397311377604</v>
      </c>
      <c r="O45" s="48">
        <v>5.6265531950296159</v>
      </c>
      <c r="P45" s="48">
        <v>5.2359044283377472</v>
      </c>
      <c r="Q45" s="48">
        <v>4.9187768438080415</v>
      </c>
      <c r="R45" s="48">
        <v>4.7413627763097859</v>
      </c>
      <c r="S45" s="48">
        <v>8.4499709905144087</v>
      </c>
      <c r="T45" s="48">
        <v>8.9203032467734271</v>
      </c>
      <c r="U45" s="48">
        <v>10.233491831901539</v>
      </c>
      <c r="V45" s="48">
        <v>9.8010403951484228</v>
      </c>
      <c r="W45" s="48">
        <v>8.6470042927871003</v>
      </c>
      <c r="X45" s="48">
        <v>7.071970647192134</v>
      </c>
      <c r="Y45" s="48">
        <v>5.3931728834983685</v>
      </c>
      <c r="Z45" s="49">
        <f t="shared" si="6"/>
        <v>123.01234448258349</v>
      </c>
      <c r="AA45" s="50">
        <v>4</v>
      </c>
      <c r="AB45" s="65">
        <f t="shared" si="7"/>
        <v>492.04937793033395</v>
      </c>
      <c r="AD45" s="70" t="s">
        <v>48</v>
      </c>
    </row>
    <row r="46" spans="1:30" ht="15.75" x14ac:dyDescent="0.25">
      <c r="A46" s="64">
        <f t="shared" si="5"/>
        <v>46204</v>
      </c>
      <c r="B46" s="48">
        <v>3.9077952428996459</v>
      </c>
      <c r="C46" s="48">
        <v>3.1314852388851748</v>
      </c>
      <c r="D46" s="48">
        <v>2.6326106751289071</v>
      </c>
      <c r="E46" s="48">
        <v>2.3078256047039494</v>
      </c>
      <c r="F46" s="48">
        <v>2.2762290337387339</v>
      </c>
      <c r="G46" s="48">
        <v>2.2870400176397481</v>
      </c>
      <c r="H46" s="48">
        <v>3.0448348644960377</v>
      </c>
      <c r="I46" s="48">
        <v>1.1703435741884851</v>
      </c>
      <c r="J46" s="48">
        <v>2.3864824113889656</v>
      </c>
      <c r="K46" s="48">
        <v>3.5488258021161116</v>
      </c>
      <c r="L46" s="48">
        <v>4.2589894276433284</v>
      </c>
      <c r="M46" s="48">
        <v>5.0938509996932364</v>
      </c>
      <c r="N46" s="48">
        <v>5.409715421631331</v>
      </c>
      <c r="O46" s="48">
        <v>5.141018474818086</v>
      </c>
      <c r="P46" s="48">
        <v>4.7804016951242474</v>
      </c>
      <c r="Q46" s="48">
        <v>4.5390651015313805</v>
      </c>
      <c r="R46" s="48">
        <v>4.5469283758509587</v>
      </c>
      <c r="S46" s="48">
        <v>8.0537299969996194</v>
      </c>
      <c r="T46" s="48">
        <v>8.2776417956583721</v>
      </c>
      <c r="U46" s="48">
        <v>9.5354909431471064</v>
      </c>
      <c r="V46" s="48">
        <v>9.1902697925887296</v>
      </c>
      <c r="W46" s="48">
        <v>8.0912122940500577</v>
      </c>
      <c r="X46" s="48">
        <v>6.511638959375591</v>
      </c>
      <c r="Y46" s="48">
        <v>4.9126486781570886</v>
      </c>
      <c r="Z46" s="49">
        <f t="shared" si="6"/>
        <v>115.03607442145488</v>
      </c>
      <c r="AA46" s="50">
        <v>4</v>
      </c>
      <c r="AB46" s="65">
        <f t="shared" si="7"/>
        <v>460.14429768581954</v>
      </c>
      <c r="AD46" s="70" t="s">
        <v>48</v>
      </c>
    </row>
    <row r="47" spans="1:30" ht="15.75" x14ac:dyDescent="0.25">
      <c r="A47" s="64">
        <f t="shared" si="5"/>
        <v>46235</v>
      </c>
      <c r="B47" s="48">
        <v>4.0359362625076853</v>
      </c>
      <c r="C47" s="48">
        <v>3.2224883915104101</v>
      </c>
      <c r="D47" s="48">
        <v>2.7436519649359861</v>
      </c>
      <c r="E47" s="48">
        <v>2.4542503518859911</v>
      </c>
      <c r="F47" s="48">
        <v>2.3976525530013051</v>
      </c>
      <c r="G47" s="48">
        <v>2.4138038279201091</v>
      </c>
      <c r="H47" s="48">
        <v>3.0196015395846798</v>
      </c>
      <c r="I47" s="48">
        <v>1.0855711547108831</v>
      </c>
      <c r="J47" s="48">
        <v>2.3339051087072828</v>
      </c>
      <c r="K47" s="48">
        <v>3.4999027269740575</v>
      </c>
      <c r="L47" s="48">
        <v>4.3754703586369095</v>
      </c>
      <c r="M47" s="48">
        <v>5.1091527437891013</v>
      </c>
      <c r="N47" s="48">
        <v>5.5376790419147977</v>
      </c>
      <c r="O47" s="48">
        <v>5.48733248360515</v>
      </c>
      <c r="P47" s="48">
        <v>5.1268404555599947</v>
      </c>
      <c r="Q47" s="48">
        <v>4.8554331641572599</v>
      </c>
      <c r="R47" s="48">
        <v>4.5719491764529767</v>
      </c>
      <c r="S47" s="48">
        <v>8.050902811585491</v>
      </c>
      <c r="T47" s="48">
        <v>8.5598243393678377</v>
      </c>
      <c r="U47" s="48">
        <v>9.7059489208480478</v>
      </c>
      <c r="V47" s="48">
        <v>9.3562752400778297</v>
      </c>
      <c r="W47" s="48">
        <v>8.2265279240610507</v>
      </c>
      <c r="X47" s="48">
        <v>6.5720613969956059</v>
      </c>
      <c r="Y47" s="48">
        <v>4.975066092497868</v>
      </c>
      <c r="Z47" s="49">
        <f t="shared" si="6"/>
        <v>117.71722803128831</v>
      </c>
      <c r="AA47" s="50">
        <v>6</v>
      </c>
      <c r="AB47" s="65">
        <f t="shared" si="7"/>
        <v>706.30336818772992</v>
      </c>
      <c r="AD47" s="70" t="s">
        <v>48</v>
      </c>
    </row>
    <row r="48" spans="1:30" ht="15.75" x14ac:dyDescent="0.25">
      <c r="A48" s="64">
        <f t="shared" si="5"/>
        <v>46266</v>
      </c>
      <c r="B48" s="48">
        <v>3.709795652685937</v>
      </c>
      <c r="C48" s="48">
        <v>2.9725224369111336</v>
      </c>
      <c r="D48" s="48">
        <v>2.5037284530887653</v>
      </c>
      <c r="E48" s="48">
        <v>2.1668628208932015</v>
      </c>
      <c r="F48" s="48">
        <v>2.1172684327222333</v>
      </c>
      <c r="G48" s="48">
        <v>2.0549424512518262</v>
      </c>
      <c r="H48" s="48">
        <v>2.8197154376097706</v>
      </c>
      <c r="I48" s="48">
        <v>1.0252333389297592</v>
      </c>
      <c r="J48" s="48">
        <v>2.2121159939120436</v>
      </c>
      <c r="K48" s="48">
        <v>3.3502493902524395</v>
      </c>
      <c r="L48" s="48">
        <v>4.1199398582250604</v>
      </c>
      <c r="M48" s="48">
        <v>4.9461484586550606</v>
      </c>
      <c r="N48" s="48">
        <v>5.317908885130298</v>
      </c>
      <c r="O48" s="48">
        <v>5.2175019438689585</v>
      </c>
      <c r="P48" s="48">
        <v>4.7520655301114703</v>
      </c>
      <c r="Q48" s="48">
        <v>4.5018512697669824</v>
      </c>
      <c r="R48" s="48">
        <v>4.4380220527027516</v>
      </c>
      <c r="S48" s="48">
        <v>7.8855036993523422</v>
      </c>
      <c r="T48" s="48">
        <v>8.8486389271830816</v>
      </c>
      <c r="U48" s="48">
        <v>9.4848177981570156</v>
      </c>
      <c r="V48" s="48">
        <v>9.0494739708069432</v>
      </c>
      <c r="W48" s="48">
        <v>7.8983139816466528</v>
      </c>
      <c r="X48" s="48">
        <v>6.1824518783824489</v>
      </c>
      <c r="Y48" s="48">
        <v>4.5479718955283852</v>
      </c>
      <c r="Z48" s="49">
        <f t="shared" si="6"/>
        <v>112.12304455777456</v>
      </c>
      <c r="AA48" s="50">
        <v>4</v>
      </c>
      <c r="AB48" s="65">
        <f t="shared" si="7"/>
        <v>448.49217823109825</v>
      </c>
      <c r="AD48" s="70" t="s">
        <v>48</v>
      </c>
    </row>
    <row r="49" spans="1:30" ht="15.75" x14ac:dyDescent="0.25">
      <c r="A49" s="64">
        <f t="shared" si="5"/>
        <v>46296</v>
      </c>
      <c r="B49" s="48">
        <v>3.7207796269767233</v>
      </c>
      <c r="C49" s="48">
        <v>2.9090204892828577</v>
      </c>
      <c r="D49" s="48">
        <v>2.4613534244296926</v>
      </c>
      <c r="E49" s="48">
        <v>2.1949677323592507</v>
      </c>
      <c r="F49" s="48">
        <v>2.1393372375527422</v>
      </c>
      <c r="G49" s="48">
        <v>1.9233870734761831</v>
      </c>
      <c r="H49" s="48">
        <v>2.7572570107570162</v>
      </c>
      <c r="I49" s="48">
        <v>0.92308677196201738</v>
      </c>
      <c r="J49" s="48">
        <v>2.1815638577946621</v>
      </c>
      <c r="K49" s="48">
        <v>3.2991665748943007</v>
      </c>
      <c r="L49" s="48">
        <v>4.1741686857617415</v>
      </c>
      <c r="M49" s="48">
        <v>4.9950651753113515</v>
      </c>
      <c r="N49" s="48">
        <v>5.3932661032832865</v>
      </c>
      <c r="O49" s="48">
        <v>5.221864716785773</v>
      </c>
      <c r="P49" s="48">
        <v>4.8781836468379867</v>
      </c>
      <c r="Q49" s="48">
        <v>4.6052030414186254</v>
      </c>
      <c r="R49" s="48">
        <v>4.4779874601698788</v>
      </c>
      <c r="S49" s="48">
        <v>8.2124453671861382</v>
      </c>
      <c r="T49" s="48">
        <v>9.211097627315171</v>
      </c>
      <c r="U49" s="48">
        <v>9.1487447637330437</v>
      </c>
      <c r="V49" s="48">
        <v>8.7801014060769695</v>
      </c>
      <c r="W49" s="48">
        <v>7.8786679075257808</v>
      </c>
      <c r="X49" s="48">
        <v>6.5096430859464043</v>
      </c>
      <c r="Y49" s="48">
        <v>4.9760978322915568</v>
      </c>
      <c r="Z49" s="49">
        <f t="shared" si="6"/>
        <v>112.97245661912916</v>
      </c>
      <c r="AA49" s="50">
        <v>4</v>
      </c>
      <c r="AB49" s="65">
        <f t="shared" si="7"/>
        <v>451.88982647651665</v>
      </c>
      <c r="AD49" s="70" t="s">
        <v>48</v>
      </c>
    </row>
    <row r="50" spans="1:30" ht="15.75" x14ac:dyDescent="0.25">
      <c r="A50" s="64">
        <f t="shared" si="5"/>
        <v>46327</v>
      </c>
      <c r="B50" s="48">
        <v>3.8962647661953405</v>
      </c>
      <c r="C50" s="48">
        <v>3.1286665599315922</v>
      </c>
      <c r="D50" s="48">
        <v>2.5903038251082715</v>
      </c>
      <c r="E50" s="48">
        <v>2.2527299949267934</v>
      </c>
      <c r="F50" s="48">
        <v>2.204559827851782</v>
      </c>
      <c r="G50" s="48">
        <v>2.0019299901149452</v>
      </c>
      <c r="H50" s="48">
        <v>2.7929618943989216</v>
      </c>
      <c r="I50" s="48">
        <v>0.92746999205730662</v>
      </c>
      <c r="J50" s="48">
        <v>2.1946399186739827</v>
      </c>
      <c r="K50" s="48">
        <v>3.2548744442216728</v>
      </c>
      <c r="L50" s="48">
        <v>4.0885230974973483</v>
      </c>
      <c r="M50" s="48">
        <v>5.0292862639324767</v>
      </c>
      <c r="N50" s="48">
        <v>5.5598522586753631</v>
      </c>
      <c r="O50" s="48">
        <v>5.4336206028089684</v>
      </c>
      <c r="P50" s="48">
        <v>5.06230303797674</v>
      </c>
      <c r="Q50" s="48">
        <v>4.916837676482845</v>
      </c>
      <c r="R50" s="48">
        <v>4.7847232961820145</v>
      </c>
      <c r="S50" s="48">
        <v>8.4663075976843132</v>
      </c>
      <c r="T50" s="48">
        <v>9.5480710598705745</v>
      </c>
      <c r="U50" s="48">
        <v>9.4769554746975739</v>
      </c>
      <c r="V50" s="48">
        <v>8.9979189339675028</v>
      </c>
      <c r="W50" s="48">
        <v>7.9717968560438921</v>
      </c>
      <c r="X50" s="48">
        <v>6.4757370479400373</v>
      </c>
      <c r="Y50" s="48">
        <v>4.9307583637739034</v>
      </c>
      <c r="Z50" s="49">
        <f t="shared" si="6"/>
        <v>115.98709278101418</v>
      </c>
      <c r="AA50" s="50">
        <v>5</v>
      </c>
      <c r="AB50" s="65">
        <f t="shared" si="7"/>
        <v>579.93546390507095</v>
      </c>
      <c r="AD50" s="70" t="s">
        <v>48</v>
      </c>
    </row>
    <row r="51" spans="1:30" ht="16.5" thickBot="1" x14ac:dyDescent="0.3">
      <c r="A51" s="66">
        <f t="shared" si="5"/>
        <v>46357</v>
      </c>
      <c r="B51" s="48">
        <v>4.5354873612301994</v>
      </c>
      <c r="C51" s="48">
        <v>3.6960310273400783</v>
      </c>
      <c r="D51" s="48">
        <v>3.135746790482862</v>
      </c>
      <c r="E51" s="48">
        <v>2.7465604348538575</v>
      </c>
      <c r="F51" s="48">
        <v>2.6202167282440088</v>
      </c>
      <c r="G51" s="48">
        <v>2.6431770808806205</v>
      </c>
      <c r="H51" s="48">
        <v>3.2001724945305567</v>
      </c>
      <c r="I51" s="48">
        <v>1.132748860787101</v>
      </c>
      <c r="J51" s="48">
        <v>2.1294301033989642</v>
      </c>
      <c r="K51" s="48">
        <v>3.3693731969737373</v>
      </c>
      <c r="L51" s="48">
        <v>4.4139725948110451</v>
      </c>
      <c r="M51" s="48">
        <v>5.2485524491336788</v>
      </c>
      <c r="N51" s="48">
        <v>5.805857623666884</v>
      </c>
      <c r="O51" s="48">
        <v>5.8584596045438255</v>
      </c>
      <c r="P51" s="48">
        <v>5.4612152442272519</v>
      </c>
      <c r="Q51" s="48">
        <v>5.1878767660080367</v>
      </c>
      <c r="R51" s="48">
        <v>4.9545190585747072</v>
      </c>
      <c r="S51" s="48">
        <v>8.5627432410943403</v>
      </c>
      <c r="T51" s="48">
        <v>9.6433044596239377</v>
      </c>
      <c r="U51" s="48">
        <v>9.6196746770626955</v>
      </c>
      <c r="V51" s="48">
        <v>9.1254364758718687</v>
      </c>
      <c r="W51" s="48">
        <v>8.3084663603721385</v>
      </c>
      <c r="X51" s="48">
        <v>7.0351729325307195</v>
      </c>
      <c r="Y51" s="48">
        <v>5.5408108741842543</v>
      </c>
      <c r="Z51" s="51">
        <f t="shared" si="6"/>
        <v>123.97500644042735</v>
      </c>
      <c r="AA51" s="52">
        <v>6</v>
      </c>
      <c r="AB51" s="67">
        <f t="shared" si="7"/>
        <v>743.85003864256407</v>
      </c>
      <c r="AD51" s="70" t="s">
        <v>48</v>
      </c>
    </row>
    <row r="52" spans="1:30" ht="16.5" thickBot="1" x14ac:dyDescent="0.3">
      <c r="A52"/>
      <c r="B52" s="68"/>
      <c r="C52" s="58"/>
      <c r="D52" s="58"/>
      <c r="E52" s="58"/>
      <c r="F52" s="58"/>
      <c r="G52" s="58"/>
      <c r="H52" s="58"/>
      <c r="I52" s="58"/>
      <c r="J52" s="58"/>
      <c r="K52" s="58"/>
      <c r="L52" s="58"/>
      <c r="M52" s="58"/>
      <c r="N52" s="58"/>
      <c r="O52" s="58"/>
      <c r="P52" s="58"/>
      <c r="Q52" s="58"/>
      <c r="R52" s="58"/>
      <c r="S52" s="58"/>
      <c r="T52" s="58"/>
      <c r="U52" s="58"/>
      <c r="V52" s="58"/>
      <c r="W52" s="58"/>
      <c r="X52" s="58"/>
      <c r="Y52" s="58"/>
      <c r="Z52" s="56"/>
      <c r="AA52" s="38"/>
      <c r="AB52"/>
    </row>
    <row r="53" spans="1:30" ht="16.5" thickBot="1" x14ac:dyDescent="0.3">
      <c r="A53" s="36" t="s">
        <v>49</v>
      </c>
      <c r="B53" s="58"/>
      <c r="C53" s="58"/>
      <c r="D53" s="58"/>
      <c r="E53" s="69"/>
      <c r="F53" s="58"/>
      <c r="G53" s="58"/>
      <c r="H53" s="58"/>
      <c r="I53" s="58"/>
      <c r="J53" s="58"/>
      <c r="K53" s="58"/>
      <c r="L53" s="58"/>
      <c r="M53" s="58"/>
      <c r="N53" s="58"/>
      <c r="O53" s="58"/>
      <c r="P53" s="58"/>
      <c r="Q53" s="58"/>
      <c r="R53" s="58"/>
      <c r="S53" s="58"/>
      <c r="T53" s="58"/>
      <c r="U53" s="58"/>
      <c r="V53" s="58"/>
      <c r="W53" s="58"/>
      <c r="X53" s="58"/>
      <c r="Y53" s="58"/>
      <c r="Z53" s="56"/>
      <c r="AA53" s="38"/>
      <c r="AB53"/>
    </row>
    <row r="54" spans="1:30" ht="16.5" thickBot="1" x14ac:dyDescent="0.3">
      <c r="A54"/>
      <c r="B54" s="68"/>
      <c r="C54" s="58"/>
      <c r="D54" s="58"/>
      <c r="E54" s="58"/>
      <c r="F54" s="58"/>
      <c r="G54" s="58"/>
      <c r="H54" s="58"/>
      <c r="I54" s="58"/>
      <c r="J54" s="58"/>
      <c r="K54" s="58"/>
      <c r="L54" s="58"/>
      <c r="M54" s="58"/>
      <c r="N54" s="58"/>
      <c r="O54" s="58"/>
      <c r="P54" s="58"/>
      <c r="Q54" s="58"/>
      <c r="R54" s="58"/>
      <c r="S54" s="58"/>
      <c r="T54" s="58"/>
      <c r="U54" s="58"/>
      <c r="V54" s="58"/>
      <c r="W54" s="58"/>
      <c r="X54" s="58"/>
      <c r="Y54" s="58"/>
      <c r="Z54" s="56"/>
      <c r="AA54"/>
      <c r="AB54"/>
    </row>
    <row r="55" spans="1:30" ht="15.75" thickBot="1" x14ac:dyDescent="0.25">
      <c r="A55" s="59" t="s">
        <v>10</v>
      </c>
      <c r="B55" s="60" t="s">
        <v>11</v>
      </c>
      <c r="C55" s="60" t="s">
        <v>12</v>
      </c>
      <c r="D55" s="60" t="s">
        <v>13</v>
      </c>
      <c r="E55" s="60" t="s">
        <v>14</v>
      </c>
      <c r="F55" s="60" t="s">
        <v>15</v>
      </c>
      <c r="G55" s="60" t="s">
        <v>16</v>
      </c>
      <c r="H55" s="60" t="s">
        <v>17</v>
      </c>
      <c r="I55" s="60" t="s">
        <v>18</v>
      </c>
      <c r="J55" s="60" t="s">
        <v>19</v>
      </c>
      <c r="K55" s="60" t="s">
        <v>20</v>
      </c>
      <c r="L55" s="60" t="s">
        <v>21</v>
      </c>
      <c r="M55" s="60" t="s">
        <v>22</v>
      </c>
      <c r="N55" s="60" t="s">
        <v>23</v>
      </c>
      <c r="O55" s="60" t="s">
        <v>24</v>
      </c>
      <c r="P55" s="60" t="s">
        <v>25</v>
      </c>
      <c r="Q55" s="60" t="s">
        <v>26</v>
      </c>
      <c r="R55" s="60" t="s">
        <v>27</v>
      </c>
      <c r="S55" s="60" t="s">
        <v>28</v>
      </c>
      <c r="T55" s="60" t="s">
        <v>29</v>
      </c>
      <c r="U55" s="60" t="s">
        <v>30</v>
      </c>
      <c r="V55" s="60" t="s">
        <v>31</v>
      </c>
      <c r="W55" s="60" t="s">
        <v>32</v>
      </c>
      <c r="X55" s="60" t="s">
        <v>33</v>
      </c>
      <c r="Y55" s="60" t="s">
        <v>34</v>
      </c>
      <c r="Z55" s="60" t="s">
        <v>6</v>
      </c>
      <c r="AA55" s="60" t="s">
        <v>35</v>
      </c>
      <c r="AB55" s="61"/>
    </row>
    <row r="56" spans="1:30" ht="15.75" x14ac:dyDescent="0.25">
      <c r="A56" s="62">
        <f t="shared" ref="A56:A67" si="8">+A40</f>
        <v>46023</v>
      </c>
      <c r="B56" s="48">
        <v>5.1255712382157608</v>
      </c>
      <c r="C56" s="48">
        <v>4.1682256081331097</v>
      </c>
      <c r="D56" s="48">
        <v>3.5611315068550855</v>
      </c>
      <c r="E56" s="48">
        <v>3.2080486006643723</v>
      </c>
      <c r="F56" s="48">
        <v>3.1954408518561714</v>
      </c>
      <c r="G56" s="48">
        <v>3.5216849390847957</v>
      </c>
      <c r="H56" s="48">
        <v>4.5253365332486455</v>
      </c>
      <c r="I56" s="48">
        <v>1.7029044416779753</v>
      </c>
      <c r="J56" s="48">
        <v>2.9430154750961108</v>
      </c>
      <c r="K56" s="48">
        <v>4.4151057211976248</v>
      </c>
      <c r="L56" s="48">
        <v>5.7992440547049871</v>
      </c>
      <c r="M56" s="48">
        <v>6.8861468421192136</v>
      </c>
      <c r="N56" s="48">
        <v>7.4598635575180552</v>
      </c>
      <c r="O56" s="48">
        <v>7.1079525783577369</v>
      </c>
      <c r="P56" s="48">
        <v>6.2267100572915837</v>
      </c>
      <c r="Q56" s="48">
        <v>5.8528590025607796</v>
      </c>
      <c r="R56" s="48">
        <v>5.9906691482713024</v>
      </c>
      <c r="S56" s="48">
        <v>10.726270789665254</v>
      </c>
      <c r="T56" s="48">
        <v>11.729322601379794</v>
      </c>
      <c r="U56" s="48">
        <v>12.238717272712286</v>
      </c>
      <c r="V56" s="48">
        <v>11.418816452417198</v>
      </c>
      <c r="W56" s="48">
        <v>9.9452628842246007</v>
      </c>
      <c r="X56" s="48">
        <v>7.963638755235511</v>
      </c>
      <c r="Y56" s="48">
        <v>6.0495430985449152</v>
      </c>
      <c r="Z56" s="46">
        <f t="shared" ref="Z56:Z67" si="9">SUM(B56:Y56)</f>
        <v>151.76148201103285</v>
      </c>
      <c r="AA56" s="47">
        <v>1</v>
      </c>
      <c r="AB56" s="63">
        <f>+Z56*AA56</f>
        <v>151.76148201103285</v>
      </c>
      <c r="AD56" s="70" t="s">
        <v>50</v>
      </c>
    </row>
    <row r="57" spans="1:30" ht="15.75" x14ac:dyDescent="0.25">
      <c r="A57" s="64">
        <f t="shared" si="8"/>
        <v>46054</v>
      </c>
      <c r="B57" s="48">
        <v>10.387092813703118</v>
      </c>
      <c r="C57" s="48">
        <v>8.8894391901955565</v>
      </c>
      <c r="D57" s="48">
        <v>7.85934871744809</v>
      </c>
      <c r="E57" s="48">
        <v>7.282530850306145</v>
      </c>
      <c r="F57" s="48">
        <v>7.1770861726617943</v>
      </c>
      <c r="G57" s="48">
        <v>7.4304648381799119</v>
      </c>
      <c r="H57" s="48">
        <v>8.0100079905302</v>
      </c>
      <c r="I57" s="48">
        <v>5.6890224050740175</v>
      </c>
      <c r="J57" s="48">
        <v>7.8726473734383422</v>
      </c>
      <c r="K57" s="48">
        <v>9.9129355499375276</v>
      </c>
      <c r="L57" s="48">
        <v>11.275640971490382</v>
      </c>
      <c r="M57" s="48">
        <v>12.578885697062605</v>
      </c>
      <c r="N57" s="48">
        <v>13.178776365119596</v>
      </c>
      <c r="O57" s="48">
        <v>12.823909198807694</v>
      </c>
      <c r="P57" s="48">
        <v>12.014163955583044</v>
      </c>
      <c r="Q57" s="48">
        <v>11.481875079723377</v>
      </c>
      <c r="R57" s="48">
        <v>11.155610645547164</v>
      </c>
      <c r="S57" s="48">
        <v>15.990080431833402</v>
      </c>
      <c r="T57" s="48">
        <v>17.832300957892894</v>
      </c>
      <c r="U57" s="48">
        <v>20.294115908924478</v>
      </c>
      <c r="V57" s="48">
        <v>19.715846351574129</v>
      </c>
      <c r="W57" s="48">
        <v>17.783000548575171</v>
      </c>
      <c r="X57" s="48">
        <v>14.596985820341823</v>
      </c>
      <c r="Y57" s="48">
        <v>11.446476719682428</v>
      </c>
      <c r="Z57" s="49">
        <f t="shared" si="9"/>
        <v>282.67824455363291</v>
      </c>
      <c r="AA57" s="50">
        <v>0</v>
      </c>
      <c r="AB57" s="65">
        <f>+Z57*AA57</f>
        <v>0</v>
      </c>
      <c r="AD57" s="70" t="s">
        <v>50</v>
      </c>
    </row>
    <row r="58" spans="1:30" ht="15.75" x14ac:dyDescent="0.25">
      <c r="A58" s="64">
        <f t="shared" si="8"/>
        <v>46082</v>
      </c>
      <c r="B58" s="48">
        <v>4.0588129246186826</v>
      </c>
      <c r="C58" s="48">
        <v>3.277742320959248</v>
      </c>
      <c r="D58" s="48">
        <v>2.7966418673976832</v>
      </c>
      <c r="E58" s="48">
        <v>2.5092942586079108</v>
      </c>
      <c r="F58" s="48">
        <v>2.4161909792491598</v>
      </c>
      <c r="G58" s="48">
        <v>2.7185944852394197</v>
      </c>
      <c r="H58" s="48">
        <v>3.3715454200423074</v>
      </c>
      <c r="I58" s="48">
        <v>1.4052568367959128</v>
      </c>
      <c r="J58" s="48">
        <v>2.7883545115116384</v>
      </c>
      <c r="K58" s="48">
        <v>3.9002176382555289</v>
      </c>
      <c r="L58" s="48">
        <v>4.8470569813604039</v>
      </c>
      <c r="M58" s="48">
        <v>5.7263318990133074</v>
      </c>
      <c r="N58" s="48">
        <v>6.0267357207300476</v>
      </c>
      <c r="O58" s="48">
        <v>5.8828950365539452</v>
      </c>
      <c r="P58" s="48">
        <v>5.6236921355671905</v>
      </c>
      <c r="Q58" s="48">
        <v>5.3649859753560403</v>
      </c>
      <c r="R58" s="48">
        <v>5.3745258808350869</v>
      </c>
      <c r="S58" s="48">
        <v>9.2775341322110805</v>
      </c>
      <c r="T58" s="48">
        <v>9.7892692421344076</v>
      </c>
      <c r="U58" s="48">
        <v>10.660776355676605</v>
      </c>
      <c r="V58" s="48">
        <v>10.235723753497329</v>
      </c>
      <c r="W58" s="48">
        <v>9.0128581240126255</v>
      </c>
      <c r="X58" s="48">
        <v>6.9446792463084668</v>
      </c>
      <c r="Y58" s="48">
        <v>5.2546396878456534</v>
      </c>
      <c r="Z58" s="49">
        <f t="shared" si="9"/>
        <v>129.2643554137797</v>
      </c>
      <c r="AA58" s="50">
        <v>1</v>
      </c>
      <c r="AB58" s="65">
        <f t="shared" ref="AB58:AB67" si="10">+Z58*AA58</f>
        <v>129.2643554137797</v>
      </c>
      <c r="AD58" s="70" t="s">
        <v>50</v>
      </c>
    </row>
    <row r="59" spans="1:30" ht="15.75" x14ac:dyDescent="0.25">
      <c r="A59" s="64">
        <f t="shared" si="8"/>
        <v>46113</v>
      </c>
      <c r="B59" s="48">
        <v>9.2299890927831836</v>
      </c>
      <c r="C59" s="48">
        <v>7.7804602824850759</v>
      </c>
      <c r="D59" s="48">
        <v>6.874211166376436</v>
      </c>
      <c r="E59" s="48">
        <v>6.366935004517515</v>
      </c>
      <c r="F59" s="48">
        <v>6.3090601360882532</v>
      </c>
      <c r="G59" s="48">
        <v>6.2855953478304425</v>
      </c>
      <c r="H59" s="48">
        <v>6.8147409837024711</v>
      </c>
      <c r="I59" s="48">
        <v>5.1031967317171683</v>
      </c>
      <c r="J59" s="48">
        <v>7.1392643358140004</v>
      </c>
      <c r="K59" s="48">
        <v>9.0484829819538106</v>
      </c>
      <c r="L59" s="48">
        <v>10.537808433377981</v>
      </c>
      <c r="M59" s="48">
        <v>11.911841181459426</v>
      </c>
      <c r="N59" s="48">
        <v>12.544459813141028</v>
      </c>
      <c r="O59" s="48">
        <v>12.157568861055337</v>
      </c>
      <c r="P59" s="48">
        <v>11.605008663030068</v>
      </c>
      <c r="Q59" s="48">
        <v>10.817495601260827</v>
      </c>
      <c r="R59" s="48">
        <v>10.567073551012767</v>
      </c>
      <c r="S59" s="48">
        <v>15.399693899660432</v>
      </c>
      <c r="T59" s="48">
        <v>17.571218690636965</v>
      </c>
      <c r="U59" s="48">
        <v>18.954336465712387</v>
      </c>
      <c r="V59" s="48">
        <v>18.295744388269409</v>
      </c>
      <c r="W59" s="48">
        <v>16.544883794539846</v>
      </c>
      <c r="X59" s="48">
        <v>13.747050434114982</v>
      </c>
      <c r="Y59" s="48">
        <v>11.016061341222205</v>
      </c>
      <c r="Z59" s="49">
        <f t="shared" si="9"/>
        <v>262.62218118176196</v>
      </c>
      <c r="AA59" s="50">
        <v>0</v>
      </c>
      <c r="AB59" s="65">
        <f t="shared" si="10"/>
        <v>0</v>
      </c>
      <c r="AD59" s="70" t="s">
        <v>50</v>
      </c>
    </row>
    <row r="60" spans="1:30" ht="15.75" x14ac:dyDescent="0.25">
      <c r="A60" s="64">
        <f t="shared" si="8"/>
        <v>46143</v>
      </c>
      <c r="B60" s="48">
        <v>3.5017904746911399</v>
      </c>
      <c r="C60" s="48">
        <v>2.7543617454438527</v>
      </c>
      <c r="D60" s="48">
        <v>2.4084129046190674</v>
      </c>
      <c r="E60" s="48">
        <v>2.1843531779804062</v>
      </c>
      <c r="F60" s="48">
        <v>2.260019681273191</v>
      </c>
      <c r="G60" s="48">
        <v>2.327906239687715</v>
      </c>
      <c r="H60" s="48">
        <v>3.4291225325410806</v>
      </c>
      <c r="I60" s="48">
        <v>1.669104567074809</v>
      </c>
      <c r="J60" s="48">
        <v>3.2461641192129274</v>
      </c>
      <c r="K60" s="48">
        <v>4.3369286948167893</v>
      </c>
      <c r="L60" s="48">
        <v>5.1196700271316029</v>
      </c>
      <c r="M60" s="48">
        <v>6.402524756821494</v>
      </c>
      <c r="N60" s="48">
        <v>7.2534594292488714</v>
      </c>
      <c r="O60" s="48">
        <v>6.8815794581314433</v>
      </c>
      <c r="P60" s="48">
        <v>5.8805768564032945</v>
      </c>
      <c r="Q60" s="48">
        <v>5.4818937273996156</v>
      </c>
      <c r="R60" s="48">
        <v>5.3072232064292866</v>
      </c>
      <c r="S60" s="48">
        <v>9.147118728171499</v>
      </c>
      <c r="T60" s="48">
        <v>9.3656957931410183</v>
      </c>
      <c r="U60" s="48">
        <v>10.62310881265131</v>
      </c>
      <c r="V60" s="48">
        <v>10.024295610907652</v>
      </c>
      <c r="W60" s="48">
        <v>8.7367355926388957</v>
      </c>
      <c r="X60" s="48">
        <v>6.7380396750664326</v>
      </c>
      <c r="Y60" s="48">
        <v>4.9745165453570328</v>
      </c>
      <c r="Z60" s="49">
        <f t="shared" si="9"/>
        <v>130.05460235684041</v>
      </c>
      <c r="AA60" s="50">
        <v>1</v>
      </c>
      <c r="AB60" s="65">
        <f t="shared" si="10"/>
        <v>130.05460235684041</v>
      </c>
      <c r="AD60" s="70" t="s">
        <v>50</v>
      </c>
    </row>
    <row r="61" spans="1:30" ht="15.75" x14ac:dyDescent="0.25">
      <c r="A61" s="64">
        <f t="shared" si="8"/>
        <v>46174</v>
      </c>
      <c r="B61" s="48">
        <v>3.5945040041562342</v>
      </c>
      <c r="C61" s="48">
        <v>2.775939221759868</v>
      </c>
      <c r="D61" s="48">
        <v>2.3192282166940013</v>
      </c>
      <c r="E61" s="48">
        <v>2.1197157990430959</v>
      </c>
      <c r="F61" s="48">
        <v>2.1755912300054288</v>
      </c>
      <c r="G61" s="48">
        <v>2.0745427507148078</v>
      </c>
      <c r="H61" s="48">
        <v>3.2413671351407056</v>
      </c>
      <c r="I61" s="48">
        <v>1.3051015939015587</v>
      </c>
      <c r="J61" s="48">
        <v>2.6440721924485362</v>
      </c>
      <c r="K61" s="48">
        <v>3.8989467653186614</v>
      </c>
      <c r="L61" s="48">
        <v>4.7985388777714935</v>
      </c>
      <c r="M61" s="48">
        <v>5.7690447460850143</v>
      </c>
      <c r="N61" s="48">
        <v>6.4816872237051166</v>
      </c>
      <c r="O61" s="48">
        <v>6.3621454278889171</v>
      </c>
      <c r="P61" s="48">
        <v>5.7484658993268631</v>
      </c>
      <c r="Q61" s="48">
        <v>5.4524694280729555</v>
      </c>
      <c r="R61" s="48">
        <v>5.2194771952140098</v>
      </c>
      <c r="S61" s="48">
        <v>9.1405753706629884</v>
      </c>
      <c r="T61" s="48">
        <v>9.5614535353961507</v>
      </c>
      <c r="U61" s="48">
        <v>10.719281392852771</v>
      </c>
      <c r="V61" s="48">
        <v>10.137982316993813</v>
      </c>
      <c r="W61" s="48">
        <v>8.7614442218518409</v>
      </c>
      <c r="X61" s="48">
        <v>6.8351735173706141</v>
      </c>
      <c r="Y61" s="48">
        <v>5.0287457463691849</v>
      </c>
      <c r="Z61" s="49">
        <f t="shared" si="9"/>
        <v>126.16549380874466</v>
      </c>
      <c r="AA61" s="50">
        <v>3</v>
      </c>
      <c r="AB61" s="65">
        <f t="shared" si="10"/>
        <v>378.49648142623397</v>
      </c>
      <c r="AD61" s="70" t="s">
        <v>50</v>
      </c>
    </row>
    <row r="62" spans="1:30" ht="15.75" x14ac:dyDescent="0.25">
      <c r="A62" s="64">
        <f t="shared" si="8"/>
        <v>46204</v>
      </c>
      <c r="B62" s="48">
        <v>3.6899442909831661</v>
      </c>
      <c r="C62" s="48">
        <v>2.9077587539648548</v>
      </c>
      <c r="D62" s="48">
        <v>2.39294731730442</v>
      </c>
      <c r="E62" s="48">
        <v>2.1314728412366701</v>
      </c>
      <c r="F62" s="48">
        <v>2.0836303331393236</v>
      </c>
      <c r="G62" s="48">
        <v>2.0516550284215365</v>
      </c>
      <c r="H62" s="48">
        <v>2.9684239932867666</v>
      </c>
      <c r="I62" s="48">
        <v>1.1439786674778252</v>
      </c>
      <c r="J62" s="48">
        <v>2.3487514714994422</v>
      </c>
      <c r="K62" s="48">
        <v>3.4360327678116183</v>
      </c>
      <c r="L62" s="48">
        <v>4.5210500879460112</v>
      </c>
      <c r="M62" s="48">
        <v>5.6113942438921836</v>
      </c>
      <c r="N62" s="48">
        <v>6.2392523716289388</v>
      </c>
      <c r="O62" s="48">
        <v>5.7556691803066959</v>
      </c>
      <c r="P62" s="48">
        <v>4.6874882045926158</v>
      </c>
      <c r="Q62" s="48">
        <v>4.1497301931759241</v>
      </c>
      <c r="R62" s="48">
        <v>3.9246877641774729</v>
      </c>
      <c r="S62" s="48">
        <v>7.3766716792594549</v>
      </c>
      <c r="T62" s="48">
        <v>7.5449422886694331</v>
      </c>
      <c r="U62" s="48">
        <v>9.1730089130315289</v>
      </c>
      <c r="V62" s="48">
        <v>8.7800007611967406</v>
      </c>
      <c r="W62" s="48">
        <v>7.7065469713386943</v>
      </c>
      <c r="X62" s="48">
        <v>6.0683683817791341</v>
      </c>
      <c r="Y62" s="48">
        <v>4.391494474323455</v>
      </c>
      <c r="Z62" s="49">
        <f t="shared" si="9"/>
        <v>111.0849009804439</v>
      </c>
      <c r="AA62" s="50">
        <v>1</v>
      </c>
      <c r="AB62" s="65">
        <f t="shared" si="10"/>
        <v>111.0849009804439</v>
      </c>
      <c r="AD62" s="70" t="s">
        <v>50</v>
      </c>
    </row>
    <row r="63" spans="1:30" ht="15.75" x14ac:dyDescent="0.25">
      <c r="A63" s="64">
        <f t="shared" si="8"/>
        <v>46235</v>
      </c>
      <c r="B63" s="48">
        <v>3.5619939326989796</v>
      </c>
      <c r="C63" s="48">
        <v>2.8258716263857888</v>
      </c>
      <c r="D63" s="48">
        <v>2.3865459460134688</v>
      </c>
      <c r="E63" s="48">
        <v>2.2151949087755738</v>
      </c>
      <c r="F63" s="48">
        <v>2.1401742214219439</v>
      </c>
      <c r="G63" s="48">
        <v>2.3704316728946604</v>
      </c>
      <c r="H63" s="48">
        <v>3.0568740996627266</v>
      </c>
      <c r="I63" s="48">
        <v>1.2487219759423269</v>
      </c>
      <c r="J63" s="48">
        <v>2.6678750507455287</v>
      </c>
      <c r="K63" s="48">
        <v>3.871335492385918</v>
      </c>
      <c r="L63" s="48">
        <v>4.9761970522203365</v>
      </c>
      <c r="M63" s="48">
        <v>5.8963602440635903</v>
      </c>
      <c r="N63" s="48">
        <v>6.3130293477443145</v>
      </c>
      <c r="O63" s="48">
        <v>6.1775298568151147</v>
      </c>
      <c r="P63" s="48">
        <v>5.4385675178195694</v>
      </c>
      <c r="Q63" s="48">
        <v>4.8945564154957273</v>
      </c>
      <c r="R63" s="48">
        <v>4.7496280469787919</v>
      </c>
      <c r="S63" s="48">
        <v>8.1481011580064102</v>
      </c>
      <c r="T63" s="48">
        <v>8.429776196395844</v>
      </c>
      <c r="U63" s="48">
        <v>9.7686439917467904</v>
      </c>
      <c r="V63" s="48">
        <v>9.1663780330391269</v>
      </c>
      <c r="W63" s="48">
        <v>7.9073211047898688</v>
      </c>
      <c r="X63" s="48">
        <v>6.0572131431805349</v>
      </c>
      <c r="Y63" s="48">
        <v>4.5183673769707191</v>
      </c>
      <c r="Z63" s="49">
        <f t="shared" si="9"/>
        <v>118.78668841219364</v>
      </c>
      <c r="AA63" s="50">
        <v>1</v>
      </c>
      <c r="AB63" s="65">
        <f t="shared" si="10"/>
        <v>118.78668841219364</v>
      </c>
      <c r="AD63" s="70" t="s">
        <v>50</v>
      </c>
    </row>
    <row r="64" spans="1:30" ht="15.75" x14ac:dyDescent="0.25">
      <c r="A64" s="64">
        <f t="shared" si="8"/>
        <v>46266</v>
      </c>
      <c r="B64" s="48">
        <v>8.6853570473736799</v>
      </c>
      <c r="C64" s="48">
        <v>7.3909013081803598</v>
      </c>
      <c r="D64" s="48">
        <v>6.5752469594982532</v>
      </c>
      <c r="E64" s="48">
        <v>6.0214309364741956</v>
      </c>
      <c r="F64" s="48">
        <v>5.9136890480818973</v>
      </c>
      <c r="G64" s="48">
        <v>5.8119608691312665</v>
      </c>
      <c r="H64" s="48">
        <v>6.3474149910794324</v>
      </c>
      <c r="I64" s="48">
        <v>4.8358870084716861</v>
      </c>
      <c r="J64" s="48">
        <v>6.8342494313804956</v>
      </c>
      <c r="K64" s="48">
        <v>8.6993464492649029</v>
      </c>
      <c r="L64" s="48">
        <v>10.055452212993707</v>
      </c>
      <c r="M64" s="48">
        <v>11.326409181196727</v>
      </c>
      <c r="N64" s="48">
        <v>11.877752450815107</v>
      </c>
      <c r="O64" s="48">
        <v>11.618983815015246</v>
      </c>
      <c r="P64" s="48">
        <v>10.81545236004121</v>
      </c>
      <c r="Q64" s="48">
        <v>10.344750165969247</v>
      </c>
      <c r="R64" s="48">
        <v>10.156004807050126</v>
      </c>
      <c r="S64" s="48">
        <v>14.416416205231133</v>
      </c>
      <c r="T64" s="48">
        <v>16.91347950909087</v>
      </c>
      <c r="U64" s="48">
        <v>18.279606408617557</v>
      </c>
      <c r="V64" s="48">
        <v>17.658362311022753</v>
      </c>
      <c r="W64" s="48">
        <v>15.856754916668379</v>
      </c>
      <c r="X64" s="48">
        <v>12.944160977896765</v>
      </c>
      <c r="Y64" s="48">
        <v>10.104607122401244</v>
      </c>
      <c r="Z64" s="49">
        <f t="shared" si="9"/>
        <v>249.48367649294624</v>
      </c>
      <c r="AA64" s="50">
        <v>0</v>
      </c>
      <c r="AB64" s="65">
        <f t="shared" si="10"/>
        <v>0</v>
      </c>
      <c r="AD64" s="70" t="s">
        <v>50</v>
      </c>
    </row>
    <row r="65" spans="1:30" ht="15.75" x14ac:dyDescent="0.25">
      <c r="A65" s="64">
        <f t="shared" si="8"/>
        <v>46296</v>
      </c>
      <c r="B65" s="48">
        <v>3.5706083172343379</v>
      </c>
      <c r="C65" s="48">
        <v>2.8107247863767508</v>
      </c>
      <c r="D65" s="48">
        <v>2.3608659110523611</v>
      </c>
      <c r="E65" s="48">
        <v>2.1053314622319839</v>
      </c>
      <c r="F65" s="48">
        <v>2.047962950475291</v>
      </c>
      <c r="G65" s="48">
        <v>1.75971769473133</v>
      </c>
      <c r="H65" s="48">
        <v>2.8505149384220378</v>
      </c>
      <c r="I65" s="48">
        <v>1.1052591764396302</v>
      </c>
      <c r="J65" s="48">
        <v>2.4091146437792439</v>
      </c>
      <c r="K65" s="48">
        <v>3.6543153957378043</v>
      </c>
      <c r="L65" s="48">
        <v>4.6834898702032612</v>
      </c>
      <c r="M65" s="48">
        <v>5.8089911862251489</v>
      </c>
      <c r="N65" s="48">
        <v>6.4666451323355822</v>
      </c>
      <c r="O65" s="48">
        <v>6.0037281046964592</v>
      </c>
      <c r="P65" s="48">
        <v>5.096410679521588</v>
      </c>
      <c r="Q65" s="48">
        <v>4.50970281536347</v>
      </c>
      <c r="R65" s="48">
        <v>4.5211341870357815</v>
      </c>
      <c r="S65" s="48">
        <v>8.4747054785319236</v>
      </c>
      <c r="T65" s="48">
        <v>9.7658252025614463</v>
      </c>
      <c r="U65" s="48">
        <v>9.7696762016472753</v>
      </c>
      <c r="V65" s="48">
        <v>9.2178498006200567</v>
      </c>
      <c r="W65" s="48">
        <v>8.069027880088079</v>
      </c>
      <c r="X65" s="48">
        <v>6.3769588797525456</v>
      </c>
      <c r="Y65" s="48">
        <v>4.5595834230088901</v>
      </c>
      <c r="Z65" s="49">
        <f t="shared" si="9"/>
        <v>117.99814411807228</v>
      </c>
      <c r="AA65" s="50">
        <v>1</v>
      </c>
      <c r="AB65" s="65">
        <f t="shared" si="10"/>
        <v>117.99814411807228</v>
      </c>
      <c r="AD65" s="70" t="s">
        <v>50</v>
      </c>
    </row>
    <row r="66" spans="1:30" ht="15.75" x14ac:dyDescent="0.25">
      <c r="A66" s="64">
        <f t="shared" si="8"/>
        <v>46327</v>
      </c>
      <c r="B66" s="48">
        <v>3.2868212304567743</v>
      </c>
      <c r="C66" s="48">
        <v>2.5204483968107989</v>
      </c>
      <c r="D66" s="48">
        <v>2.1358416103968367</v>
      </c>
      <c r="E66" s="48">
        <v>1.9046818327077808</v>
      </c>
      <c r="F66" s="48">
        <v>1.9396973811521847</v>
      </c>
      <c r="G66" s="48">
        <v>2.0074014406564338</v>
      </c>
      <c r="H66" s="48">
        <v>2.8068875395475872</v>
      </c>
      <c r="I66" s="48">
        <v>1.100356622955619</v>
      </c>
      <c r="J66" s="48">
        <v>2.3579332284291548</v>
      </c>
      <c r="K66" s="48">
        <v>3.5677158088722671</v>
      </c>
      <c r="L66" s="48">
        <v>4.6264117678310166</v>
      </c>
      <c r="M66" s="48">
        <v>5.2977112628347482</v>
      </c>
      <c r="N66" s="48">
        <v>5.8638725526977682</v>
      </c>
      <c r="O66" s="48">
        <v>5.7100336389479081</v>
      </c>
      <c r="P66" s="48">
        <v>5.2496246808449607</v>
      </c>
      <c r="Q66" s="48">
        <v>4.9881937843692388</v>
      </c>
      <c r="R66" s="48">
        <v>4.9820567097024133</v>
      </c>
      <c r="S66" s="48">
        <v>8.8027408171812098</v>
      </c>
      <c r="T66" s="48">
        <v>9.7771948478056689</v>
      </c>
      <c r="U66" s="48">
        <v>9.6916998398210374</v>
      </c>
      <c r="V66" s="48">
        <v>9.2212076577714939</v>
      </c>
      <c r="W66" s="48">
        <v>8.1916790633560836</v>
      </c>
      <c r="X66" s="48">
        <v>6.4878400639327696</v>
      </c>
      <c r="Y66" s="48">
        <v>4.7018538332722919</v>
      </c>
      <c r="Z66" s="49">
        <f t="shared" si="9"/>
        <v>117.21990561235403</v>
      </c>
      <c r="AA66" s="50">
        <v>2</v>
      </c>
      <c r="AB66" s="65">
        <f t="shared" si="10"/>
        <v>234.43981122470805</v>
      </c>
      <c r="AD66" s="70" t="s">
        <v>50</v>
      </c>
    </row>
    <row r="67" spans="1:30" ht="16.5" thickBot="1" x14ac:dyDescent="0.3">
      <c r="A67" s="66">
        <f t="shared" si="8"/>
        <v>46357</v>
      </c>
      <c r="B67" s="48">
        <v>5.897350210654043</v>
      </c>
      <c r="C67" s="48">
        <v>4.8929043879614715</v>
      </c>
      <c r="D67" s="48">
        <v>4.218469044759261</v>
      </c>
      <c r="E67" s="48">
        <v>3.7350478039087127</v>
      </c>
      <c r="F67" s="48">
        <v>3.541160890877999</v>
      </c>
      <c r="G67" s="48">
        <v>3.519088908610279</v>
      </c>
      <c r="H67" s="48">
        <v>4.1336597630236307</v>
      </c>
      <c r="I67" s="48">
        <v>2.1375041906219585</v>
      </c>
      <c r="J67" s="48">
        <v>3.254580779579078</v>
      </c>
      <c r="K67" s="48">
        <v>4.5637367371695241</v>
      </c>
      <c r="L67" s="48">
        <v>5.6369307561275441</v>
      </c>
      <c r="M67" s="48">
        <v>6.4874819281954217</v>
      </c>
      <c r="N67" s="48">
        <v>7.0866187194210024</v>
      </c>
      <c r="O67" s="48">
        <v>7.1605351256575407</v>
      </c>
      <c r="P67" s="48">
        <v>6.761498138952537</v>
      </c>
      <c r="Q67" s="48">
        <v>6.4404956397827071</v>
      </c>
      <c r="R67" s="48">
        <v>6.1851485816782397</v>
      </c>
      <c r="S67" s="48">
        <v>9.8275292405928525</v>
      </c>
      <c r="T67" s="48">
        <v>11.116837648289369</v>
      </c>
      <c r="U67" s="48">
        <v>11.278631861306119</v>
      </c>
      <c r="V67" s="48">
        <v>10.833566235123708</v>
      </c>
      <c r="W67" s="48">
        <v>9.9844914766682447</v>
      </c>
      <c r="X67" s="48">
        <v>8.5068020099049502</v>
      </c>
      <c r="Y67" s="48">
        <v>6.8078081204322034</v>
      </c>
      <c r="Z67" s="51">
        <f t="shared" si="9"/>
        <v>154.0078781992984</v>
      </c>
      <c r="AA67" s="52">
        <v>0</v>
      </c>
      <c r="AB67" s="67">
        <f t="shared" si="10"/>
        <v>0</v>
      </c>
      <c r="AD67" s="70" t="s">
        <v>50</v>
      </c>
    </row>
    <row r="68" spans="1:30" ht="16.5" thickBot="1" x14ac:dyDescent="0.3">
      <c r="A68"/>
      <c r="B68" s="68"/>
      <c r="C68" s="58"/>
      <c r="D68" s="58"/>
      <c r="E68" s="58"/>
      <c r="F68" s="58"/>
      <c r="G68" s="58"/>
      <c r="H68" s="58"/>
      <c r="I68" s="58"/>
      <c r="J68" s="58"/>
      <c r="K68" s="58"/>
      <c r="L68" s="58"/>
      <c r="M68" s="58"/>
      <c r="N68" s="58"/>
      <c r="O68" s="58"/>
      <c r="P68" s="58"/>
      <c r="Q68" s="58"/>
      <c r="R68" s="58"/>
      <c r="S68" s="58"/>
      <c r="T68" s="58"/>
      <c r="U68" s="58"/>
      <c r="V68" s="58"/>
      <c r="W68" s="58"/>
      <c r="X68" s="58"/>
      <c r="Y68" s="58"/>
      <c r="Z68" s="56"/>
      <c r="AA68" s="38"/>
      <c r="AB68"/>
    </row>
    <row r="69" spans="1:30" ht="16.5" thickBot="1" x14ac:dyDescent="0.3">
      <c r="A69" s="36" t="s">
        <v>36</v>
      </c>
      <c r="B69" s="58"/>
      <c r="C69" s="58"/>
      <c r="D69" s="58"/>
      <c r="E69" s="69"/>
      <c r="F69" s="58"/>
      <c r="G69" s="58"/>
      <c r="H69" s="58"/>
      <c r="I69" s="58"/>
      <c r="J69" s="58"/>
      <c r="K69" s="58"/>
      <c r="L69" s="58"/>
      <c r="M69" s="58"/>
      <c r="N69" s="58"/>
      <c r="O69" s="58"/>
      <c r="P69" s="58"/>
      <c r="Q69" s="58"/>
      <c r="R69" s="58"/>
      <c r="S69" s="58"/>
      <c r="T69" s="58"/>
      <c r="U69" s="58"/>
      <c r="V69" s="58"/>
      <c r="W69" s="58"/>
      <c r="X69" s="58"/>
      <c r="Y69" s="58"/>
      <c r="Z69" s="56"/>
      <c r="AA69" s="38"/>
      <c r="AB69"/>
    </row>
    <row r="70" spans="1:30" ht="16.5" thickBot="1" x14ac:dyDescent="0.3">
      <c r="A70"/>
      <c r="B70" s="68"/>
      <c r="C70" s="58"/>
      <c r="D70" s="58"/>
      <c r="E70" s="58"/>
      <c r="F70" s="58"/>
      <c r="G70" s="58"/>
      <c r="H70" s="58"/>
      <c r="I70" s="58"/>
      <c r="J70" s="58"/>
      <c r="K70" s="58"/>
      <c r="L70" s="58"/>
      <c r="M70" s="58"/>
      <c r="N70" s="58"/>
      <c r="O70" s="58"/>
      <c r="P70" s="58"/>
      <c r="Q70" s="58"/>
      <c r="R70" s="58"/>
      <c r="S70" s="58"/>
      <c r="T70" s="58"/>
      <c r="U70" s="58"/>
      <c r="V70" s="58"/>
      <c r="W70" s="58"/>
      <c r="X70" s="58"/>
      <c r="Y70" s="58"/>
      <c r="Z70" s="56"/>
      <c r="AA70"/>
      <c r="AB70"/>
    </row>
    <row r="71" spans="1:30" ht="15.75" thickBot="1" x14ac:dyDescent="0.25">
      <c r="A71" s="59" t="s">
        <v>10</v>
      </c>
      <c r="B71" s="60" t="s">
        <v>11</v>
      </c>
      <c r="C71" s="60" t="s">
        <v>12</v>
      </c>
      <c r="D71" s="60" t="s">
        <v>13</v>
      </c>
      <c r="E71" s="60" t="s">
        <v>14</v>
      </c>
      <c r="F71" s="60" t="s">
        <v>15</v>
      </c>
      <c r="G71" s="60" t="s">
        <v>16</v>
      </c>
      <c r="H71" s="60" t="s">
        <v>17</v>
      </c>
      <c r="I71" s="60" t="s">
        <v>18</v>
      </c>
      <c r="J71" s="60" t="s">
        <v>19</v>
      </c>
      <c r="K71" s="60" t="s">
        <v>20</v>
      </c>
      <c r="L71" s="60" t="s">
        <v>21</v>
      </c>
      <c r="M71" s="60" t="s">
        <v>22</v>
      </c>
      <c r="N71" s="60" t="s">
        <v>23</v>
      </c>
      <c r="O71" s="60" t="s">
        <v>24</v>
      </c>
      <c r="P71" s="60" t="s">
        <v>25</v>
      </c>
      <c r="Q71" s="60" t="s">
        <v>26</v>
      </c>
      <c r="R71" s="60" t="s">
        <v>27</v>
      </c>
      <c r="S71" s="60" t="s">
        <v>28</v>
      </c>
      <c r="T71" s="60" t="s">
        <v>29</v>
      </c>
      <c r="U71" s="60" t="s">
        <v>30</v>
      </c>
      <c r="V71" s="60" t="s">
        <v>31</v>
      </c>
      <c r="W71" s="60" t="s">
        <v>32</v>
      </c>
      <c r="X71" s="60" t="s">
        <v>33</v>
      </c>
      <c r="Y71" s="60" t="s">
        <v>34</v>
      </c>
      <c r="Z71" s="60" t="s">
        <v>6</v>
      </c>
      <c r="AA71" s="60" t="s">
        <v>35</v>
      </c>
      <c r="AB71" s="61"/>
      <c r="AD71" s="71"/>
    </row>
    <row r="72" spans="1:30" ht="15.75" x14ac:dyDescent="0.25">
      <c r="A72" s="62">
        <f t="shared" ref="A72:A83" si="11">+A56</f>
        <v>46023</v>
      </c>
      <c r="B72" s="72">
        <f>+B8*$AA8+B24*$AA24+B40*$AA40+B56*$AA56</f>
        <v>176.2824006607901</v>
      </c>
      <c r="C72" s="72">
        <f t="shared" ref="C72:Y72" si="12">+C8*$AA8+C24*$AA24+C40*$AA40+C56*$AA56</f>
        <v>147.13874659904209</v>
      </c>
      <c r="D72" s="72">
        <f t="shared" si="12"/>
        <v>129.57855011962008</v>
      </c>
      <c r="E72" s="72">
        <f t="shared" si="12"/>
        <v>122.4341991080029</v>
      </c>
      <c r="F72" s="72">
        <f t="shared" si="12"/>
        <v>128.15977442277156</v>
      </c>
      <c r="G72" s="72">
        <f t="shared" si="12"/>
        <v>153.37085797143047</v>
      </c>
      <c r="H72" s="72">
        <f t="shared" si="12"/>
        <v>203.56979591502878</v>
      </c>
      <c r="I72" s="72">
        <f t="shared" si="12"/>
        <v>139.46068765858817</v>
      </c>
      <c r="J72" s="72">
        <f t="shared" si="12"/>
        <v>195.07994006052945</v>
      </c>
      <c r="K72" s="72">
        <f t="shared" si="12"/>
        <v>241.02313169741157</v>
      </c>
      <c r="L72" s="72">
        <f t="shared" si="12"/>
        <v>282.02425080932568</v>
      </c>
      <c r="M72" s="72">
        <f t="shared" si="12"/>
        <v>319.75364730243138</v>
      </c>
      <c r="N72" s="72">
        <f t="shared" si="12"/>
        <v>325.27352566163728</v>
      </c>
      <c r="O72" s="72">
        <f t="shared" si="12"/>
        <v>317.31104122651914</v>
      </c>
      <c r="P72" s="72">
        <f t="shared" si="12"/>
        <v>317.65672226122348</v>
      </c>
      <c r="Q72" s="72">
        <f t="shared" si="12"/>
        <v>314.02703436011518</v>
      </c>
      <c r="R72" s="72">
        <f t="shared" si="12"/>
        <v>303.32956018870192</v>
      </c>
      <c r="S72" s="72">
        <f t="shared" si="12"/>
        <v>420.84987743389911</v>
      </c>
      <c r="T72" s="72">
        <f t="shared" si="12"/>
        <v>436.53754737960497</v>
      </c>
      <c r="U72" s="72">
        <f t="shared" si="12"/>
        <v>454.23724797708303</v>
      </c>
      <c r="V72" s="72">
        <f t="shared" si="12"/>
        <v>427.96908447229794</v>
      </c>
      <c r="W72" s="72">
        <f t="shared" si="12"/>
        <v>383.48591976276572</v>
      </c>
      <c r="X72" s="72">
        <f t="shared" si="12"/>
        <v>317.28422191736979</v>
      </c>
      <c r="Y72" s="72">
        <f t="shared" si="12"/>
        <v>244.99196304520567</v>
      </c>
      <c r="Z72" s="46">
        <f t="shared" ref="Z72:Z83" si="13">SUM(B72:Y72)</f>
        <v>6500.8297280113957</v>
      </c>
      <c r="AA72" s="47">
        <f t="shared" ref="AA72:AA83" si="14">AA8+AA24+AA40+AA56</f>
        <v>31</v>
      </c>
      <c r="AB72" s="63">
        <f t="shared" ref="AB72:AB83" si="15">+AB8+AB24+AB40+AB56</f>
        <v>6500.8297280113957</v>
      </c>
      <c r="AD72" s="71"/>
    </row>
    <row r="73" spans="1:30" ht="15.75" x14ac:dyDescent="0.25">
      <c r="A73" s="64">
        <f t="shared" si="11"/>
        <v>46054</v>
      </c>
      <c r="B73" s="88">
        <f t="shared" ref="B73:Y73" si="16">+B9*$AA9+B25*$AA25+B41*$AA41+B57*$AA57</f>
        <v>149.96672739704064</v>
      </c>
      <c r="C73" s="88">
        <f t="shared" si="16"/>
        <v>126.3306375977396</v>
      </c>
      <c r="D73" s="88">
        <f t="shared" si="16"/>
        <v>112.56485474367648</v>
      </c>
      <c r="E73" s="88">
        <f t="shared" si="16"/>
        <v>107.45334811097348</v>
      </c>
      <c r="F73" s="88">
        <f t="shared" si="16"/>
        <v>116.72452491678945</v>
      </c>
      <c r="G73" s="88">
        <f t="shared" si="16"/>
        <v>155.97214166746321</v>
      </c>
      <c r="H73" s="88">
        <f t="shared" si="16"/>
        <v>208.40392564205894</v>
      </c>
      <c r="I73" s="88">
        <f t="shared" si="16"/>
        <v>149.15038426055034</v>
      </c>
      <c r="J73" s="88">
        <f t="shared" si="16"/>
        <v>194.09560062747613</v>
      </c>
      <c r="K73" s="88">
        <f t="shared" si="16"/>
        <v>230.51371964355295</v>
      </c>
      <c r="L73" s="88">
        <f t="shared" si="16"/>
        <v>264.26509839255164</v>
      </c>
      <c r="M73" s="88">
        <f t="shared" si="16"/>
        <v>294.31725295477827</v>
      </c>
      <c r="N73" s="88">
        <f t="shared" si="16"/>
        <v>288.26637939575249</v>
      </c>
      <c r="O73" s="88">
        <f t="shared" si="16"/>
        <v>284.98014619724484</v>
      </c>
      <c r="P73" s="88">
        <f t="shared" si="16"/>
        <v>290.56876120070126</v>
      </c>
      <c r="Q73" s="88">
        <f t="shared" si="16"/>
        <v>289.44132011294886</v>
      </c>
      <c r="R73" s="88">
        <f t="shared" si="16"/>
        <v>279.89239268100056</v>
      </c>
      <c r="S73" s="88">
        <f t="shared" si="16"/>
        <v>368.53540535170828</v>
      </c>
      <c r="T73" s="88">
        <f t="shared" si="16"/>
        <v>367.32713999555773</v>
      </c>
      <c r="U73" s="88">
        <f t="shared" si="16"/>
        <v>393.64214372484855</v>
      </c>
      <c r="V73" s="88">
        <f t="shared" si="16"/>
        <v>375.6338764688627</v>
      </c>
      <c r="W73" s="88">
        <f t="shared" si="16"/>
        <v>336.00850609558938</v>
      </c>
      <c r="X73" s="88">
        <f t="shared" si="16"/>
        <v>273.07580329266978</v>
      </c>
      <c r="Y73" s="88">
        <f t="shared" si="16"/>
        <v>207.71798163492457</v>
      </c>
      <c r="Z73" s="49">
        <f t="shared" si="13"/>
        <v>5864.8480721064598</v>
      </c>
      <c r="AA73" s="50">
        <f t="shared" si="14"/>
        <v>28</v>
      </c>
      <c r="AB73" s="65">
        <f t="shared" si="15"/>
        <v>5864.8480721064598</v>
      </c>
      <c r="AD73" s="71"/>
    </row>
    <row r="74" spans="1:30" ht="15.75" x14ac:dyDescent="0.25">
      <c r="A74" s="64">
        <f t="shared" si="11"/>
        <v>46082</v>
      </c>
      <c r="B74" s="88">
        <f t="shared" ref="B74:Y74" si="17">+B10*$AA10+B26*$AA26+B42*$AA42+B58*$AA58</f>
        <v>135.34742981290216</v>
      </c>
      <c r="C74" s="88">
        <f t="shared" si="17"/>
        <v>111.48334763851993</v>
      </c>
      <c r="D74" s="88">
        <f t="shared" si="17"/>
        <v>98.878138650328566</v>
      </c>
      <c r="E74" s="88">
        <f t="shared" si="17"/>
        <v>93.158753210062812</v>
      </c>
      <c r="F74" s="88">
        <f t="shared" si="17"/>
        <v>102.41938020979308</v>
      </c>
      <c r="G74" s="88">
        <f t="shared" si="17"/>
        <v>140.35259284198958</v>
      </c>
      <c r="H74" s="88">
        <f t="shared" si="17"/>
        <v>188.71719533037023</v>
      </c>
      <c r="I74" s="88">
        <f t="shared" si="17"/>
        <v>133.4384894342079</v>
      </c>
      <c r="J74" s="88">
        <f t="shared" si="17"/>
        <v>178.56482727850587</v>
      </c>
      <c r="K74" s="88">
        <f t="shared" si="17"/>
        <v>212.50568414178861</v>
      </c>
      <c r="L74" s="88">
        <f t="shared" si="17"/>
        <v>246.30845564659458</v>
      </c>
      <c r="M74" s="88">
        <f t="shared" si="17"/>
        <v>275.95526638152836</v>
      </c>
      <c r="N74" s="88">
        <f t="shared" si="17"/>
        <v>274.35723243458352</v>
      </c>
      <c r="O74" s="88">
        <f t="shared" si="17"/>
        <v>267.5815020448639</v>
      </c>
      <c r="P74" s="88">
        <f t="shared" si="17"/>
        <v>270.16907503931554</v>
      </c>
      <c r="Q74" s="88">
        <f t="shared" si="17"/>
        <v>266.36182122278632</v>
      </c>
      <c r="R74" s="88">
        <f t="shared" si="17"/>
        <v>259.39634841036246</v>
      </c>
      <c r="S74" s="88">
        <f t="shared" si="17"/>
        <v>360.15063291601399</v>
      </c>
      <c r="T74" s="88">
        <f t="shared" si="17"/>
        <v>364.14993978246309</v>
      </c>
      <c r="U74" s="88">
        <f t="shared" si="17"/>
        <v>387.27959882004478</v>
      </c>
      <c r="V74" s="88">
        <f t="shared" si="17"/>
        <v>362.85212880324599</v>
      </c>
      <c r="W74" s="88">
        <f t="shared" si="17"/>
        <v>322.15068642638062</v>
      </c>
      <c r="X74" s="88">
        <f t="shared" si="17"/>
        <v>259.79873946847692</v>
      </c>
      <c r="Y74" s="88">
        <f t="shared" si="17"/>
        <v>194.68482051169792</v>
      </c>
      <c r="Z74" s="49">
        <f t="shared" si="13"/>
        <v>5506.0620864568273</v>
      </c>
      <c r="AA74" s="50">
        <f t="shared" si="14"/>
        <v>31</v>
      </c>
      <c r="AB74" s="65">
        <f t="shared" si="15"/>
        <v>5506.0620864568264</v>
      </c>
      <c r="AD74" s="71"/>
    </row>
    <row r="75" spans="1:30" ht="15.75" x14ac:dyDescent="0.25">
      <c r="A75" s="64">
        <f t="shared" si="11"/>
        <v>46113</v>
      </c>
      <c r="B75" s="88">
        <f t="shared" ref="B75:Y75" si="18">+B11*$AA11+B27*$AA27+B43*$AA43+B59*$AA59</f>
        <v>129.33257558471053</v>
      </c>
      <c r="C75" s="88">
        <f t="shared" si="18"/>
        <v>105.32979938711382</v>
      </c>
      <c r="D75" s="88">
        <f t="shared" si="18"/>
        <v>92.694501533746646</v>
      </c>
      <c r="E75" s="88">
        <f t="shared" si="18"/>
        <v>87.053571349917775</v>
      </c>
      <c r="F75" s="88">
        <f t="shared" si="18"/>
        <v>96.10627742003976</v>
      </c>
      <c r="G75" s="88">
        <f t="shared" si="18"/>
        <v>125.61656595674351</v>
      </c>
      <c r="H75" s="88">
        <f t="shared" si="18"/>
        <v>173.93341883015799</v>
      </c>
      <c r="I75" s="88">
        <f t="shared" si="18"/>
        <v>125.6361217516846</v>
      </c>
      <c r="J75" s="88">
        <f t="shared" si="18"/>
        <v>166.08476031560059</v>
      </c>
      <c r="K75" s="88">
        <f t="shared" si="18"/>
        <v>207.66782907248916</v>
      </c>
      <c r="L75" s="88">
        <f t="shared" si="18"/>
        <v>238.65602146829684</v>
      </c>
      <c r="M75" s="88">
        <f t="shared" si="18"/>
        <v>267.53022208062328</v>
      </c>
      <c r="N75" s="88">
        <f t="shared" si="18"/>
        <v>266.69991833110976</v>
      </c>
      <c r="O75" s="88">
        <f t="shared" si="18"/>
        <v>255.63042092347069</v>
      </c>
      <c r="P75" s="88">
        <f t="shared" si="18"/>
        <v>251.90617307434172</v>
      </c>
      <c r="Q75" s="88">
        <f t="shared" si="18"/>
        <v>248.88169399876074</v>
      </c>
      <c r="R75" s="88">
        <f t="shared" si="18"/>
        <v>241.63354754772314</v>
      </c>
      <c r="S75" s="88">
        <f t="shared" si="18"/>
        <v>345.00164525938953</v>
      </c>
      <c r="T75" s="88">
        <f t="shared" si="18"/>
        <v>355.46365348486097</v>
      </c>
      <c r="U75" s="88">
        <f t="shared" si="18"/>
        <v>369.80998270722353</v>
      </c>
      <c r="V75" s="88">
        <f t="shared" si="18"/>
        <v>345.74101695579907</v>
      </c>
      <c r="W75" s="88">
        <f t="shared" si="18"/>
        <v>306.48026551714122</v>
      </c>
      <c r="X75" s="88">
        <f t="shared" si="18"/>
        <v>248.11384226551772</v>
      </c>
      <c r="Y75" s="88">
        <f t="shared" si="18"/>
        <v>188.97459010787139</v>
      </c>
      <c r="Z75" s="49">
        <f t="shared" si="13"/>
        <v>5239.9784149243342</v>
      </c>
      <c r="AA75" s="50">
        <f t="shared" si="14"/>
        <v>30</v>
      </c>
      <c r="AB75" s="65">
        <f t="shared" si="15"/>
        <v>5239.9784149243351</v>
      </c>
      <c r="AD75" s="71"/>
    </row>
    <row r="76" spans="1:30" ht="15.75" x14ac:dyDescent="0.25">
      <c r="A76" s="64">
        <f t="shared" si="11"/>
        <v>46143</v>
      </c>
      <c r="B76" s="88">
        <f t="shared" ref="B76:Y76" si="19">+B12*$AA12+B28*$AA28+B44*$AA44+B60*$AA60</f>
        <v>133.79239576419812</v>
      </c>
      <c r="C76" s="88">
        <f t="shared" si="19"/>
        <v>109.56199501752992</v>
      </c>
      <c r="D76" s="88">
        <f t="shared" si="19"/>
        <v>96.530567214281277</v>
      </c>
      <c r="E76" s="88">
        <f t="shared" si="19"/>
        <v>89.88152644737545</v>
      </c>
      <c r="F76" s="88">
        <f t="shared" si="19"/>
        <v>98.813753340917444</v>
      </c>
      <c r="G76" s="88">
        <f t="shared" si="19"/>
        <v>124.13704018930228</v>
      </c>
      <c r="H76" s="88">
        <f t="shared" si="19"/>
        <v>179.99794958762186</v>
      </c>
      <c r="I76" s="88">
        <f t="shared" si="19"/>
        <v>128.35488513447297</v>
      </c>
      <c r="J76" s="88">
        <f t="shared" si="19"/>
        <v>176.52741411370116</v>
      </c>
      <c r="K76" s="88">
        <f t="shared" si="19"/>
        <v>216.14120425364604</v>
      </c>
      <c r="L76" s="88">
        <f t="shared" si="19"/>
        <v>250.51137329853321</v>
      </c>
      <c r="M76" s="88">
        <f t="shared" si="19"/>
        <v>281.14513876459017</v>
      </c>
      <c r="N76" s="88">
        <f t="shared" si="19"/>
        <v>276.83465470575555</v>
      </c>
      <c r="O76" s="88">
        <f t="shared" si="19"/>
        <v>266.12307529521206</v>
      </c>
      <c r="P76" s="88">
        <f t="shared" si="19"/>
        <v>262.74692489033987</v>
      </c>
      <c r="Q76" s="88">
        <f t="shared" si="19"/>
        <v>259.55692808755612</v>
      </c>
      <c r="R76" s="88">
        <f t="shared" si="19"/>
        <v>248.02252430694739</v>
      </c>
      <c r="S76" s="88">
        <f t="shared" si="19"/>
        <v>357.48933545944936</v>
      </c>
      <c r="T76" s="88">
        <f t="shared" si="19"/>
        <v>367.73973997190944</v>
      </c>
      <c r="U76" s="88">
        <f t="shared" si="19"/>
        <v>383.97231795226611</v>
      </c>
      <c r="V76" s="88">
        <f t="shared" si="19"/>
        <v>359.29874920604607</v>
      </c>
      <c r="W76" s="88">
        <f t="shared" si="19"/>
        <v>316.19536537217323</v>
      </c>
      <c r="X76" s="88">
        <f t="shared" si="19"/>
        <v>253.54731520757238</v>
      </c>
      <c r="Y76" s="88">
        <f t="shared" si="19"/>
        <v>192.33100066959571</v>
      </c>
      <c r="Z76" s="49">
        <f t="shared" si="13"/>
        <v>5429.2531742509918</v>
      </c>
      <c r="AA76" s="50">
        <f t="shared" si="14"/>
        <v>31</v>
      </c>
      <c r="AB76" s="65">
        <f t="shared" si="15"/>
        <v>5429.2531742509946</v>
      </c>
      <c r="AD76" s="71"/>
    </row>
    <row r="77" spans="1:30" ht="15.75" x14ac:dyDescent="0.25">
      <c r="A77" s="64">
        <f t="shared" si="11"/>
        <v>46174</v>
      </c>
      <c r="B77" s="88">
        <f t="shared" ref="B77:Y77" si="20">+B13*$AA13+B29*$AA29+B45*$AA45+B61*$AA61</f>
        <v>123.44491721924142</v>
      </c>
      <c r="C77" s="88">
        <f t="shared" si="20"/>
        <v>99.609035499451352</v>
      </c>
      <c r="D77" s="88">
        <f t="shared" si="20"/>
        <v>86.07028732815337</v>
      </c>
      <c r="E77" s="88">
        <f t="shared" si="20"/>
        <v>80.407262690866887</v>
      </c>
      <c r="F77" s="88">
        <f t="shared" si="20"/>
        <v>89.348283908679178</v>
      </c>
      <c r="G77" s="88">
        <f t="shared" si="20"/>
        <v>113.76655199320626</v>
      </c>
      <c r="H77" s="88">
        <f t="shared" si="20"/>
        <v>167.4775866314763</v>
      </c>
      <c r="I77" s="88">
        <f t="shared" si="20"/>
        <v>121.09007170047435</v>
      </c>
      <c r="J77" s="88">
        <f t="shared" si="20"/>
        <v>166.99531470026</v>
      </c>
      <c r="K77" s="88">
        <f t="shared" si="20"/>
        <v>204.27889371974936</v>
      </c>
      <c r="L77" s="88">
        <f t="shared" si="20"/>
        <v>234.08774848101882</v>
      </c>
      <c r="M77" s="88">
        <f t="shared" si="20"/>
        <v>264.16283566337904</v>
      </c>
      <c r="N77" s="88">
        <f t="shared" si="20"/>
        <v>265.56128571036191</v>
      </c>
      <c r="O77" s="88">
        <f t="shared" si="20"/>
        <v>255.14759361600093</v>
      </c>
      <c r="P77" s="88">
        <f t="shared" si="20"/>
        <v>249.76749612796601</v>
      </c>
      <c r="Q77" s="88">
        <f t="shared" si="20"/>
        <v>244.13237846894961</v>
      </c>
      <c r="R77" s="88">
        <f t="shared" si="20"/>
        <v>236.0432319923012</v>
      </c>
      <c r="S77" s="88">
        <f t="shared" si="20"/>
        <v>339.07235433281721</v>
      </c>
      <c r="T77" s="88">
        <f t="shared" si="20"/>
        <v>348.11687809267517</v>
      </c>
      <c r="U77" s="88">
        <f t="shared" si="20"/>
        <v>372.2995162410997</v>
      </c>
      <c r="V77" s="88">
        <f t="shared" si="20"/>
        <v>347.59918947785769</v>
      </c>
      <c r="W77" s="88">
        <f t="shared" si="20"/>
        <v>303.67453055808949</v>
      </c>
      <c r="X77" s="88">
        <f t="shared" si="20"/>
        <v>240.56964643846541</v>
      </c>
      <c r="Y77" s="88">
        <f t="shared" si="20"/>
        <v>180.59307652912318</v>
      </c>
      <c r="Z77" s="49">
        <f t="shared" si="13"/>
        <v>5133.3159671216645</v>
      </c>
      <c r="AA77" s="50">
        <f t="shared" si="14"/>
        <v>30</v>
      </c>
      <c r="AB77" s="65">
        <f t="shared" si="15"/>
        <v>5133.3159671216645</v>
      </c>
      <c r="AD77" s="71"/>
    </row>
    <row r="78" spans="1:30" ht="15.75" x14ac:dyDescent="0.25">
      <c r="A78" s="64">
        <f t="shared" si="11"/>
        <v>46204</v>
      </c>
      <c r="B78" s="88">
        <f t="shared" ref="B78:Y78" si="21">+B14*$AA14+B30*$AA30+B46*$AA46+B62*$AA62</f>
        <v>116.21538008835158</v>
      </c>
      <c r="C78" s="88">
        <f t="shared" si="21"/>
        <v>94.993488357544109</v>
      </c>
      <c r="D78" s="88">
        <f t="shared" si="21"/>
        <v>81.289963019343162</v>
      </c>
      <c r="E78" s="88">
        <f t="shared" si="21"/>
        <v>75.886530029539969</v>
      </c>
      <c r="F78" s="88">
        <f t="shared" si="21"/>
        <v>85.101336903759488</v>
      </c>
      <c r="G78" s="88">
        <f t="shared" si="21"/>
        <v>112.56745237415107</v>
      </c>
      <c r="H78" s="88">
        <f t="shared" si="21"/>
        <v>162.92515514760558</v>
      </c>
      <c r="I78" s="88">
        <f t="shared" si="21"/>
        <v>117.69161776244511</v>
      </c>
      <c r="J78" s="88">
        <f t="shared" si="21"/>
        <v>164.83858682307593</v>
      </c>
      <c r="K78" s="88">
        <f t="shared" si="21"/>
        <v>202.76794498557311</v>
      </c>
      <c r="L78" s="88">
        <f t="shared" si="21"/>
        <v>233.19523273103107</v>
      </c>
      <c r="M78" s="88">
        <f t="shared" si="21"/>
        <v>266.00742047846398</v>
      </c>
      <c r="N78" s="88">
        <f t="shared" si="21"/>
        <v>263.44984864687007</v>
      </c>
      <c r="O78" s="88">
        <f t="shared" si="21"/>
        <v>252.15242593280445</v>
      </c>
      <c r="P78" s="88">
        <f t="shared" si="21"/>
        <v>250.56204730414996</v>
      </c>
      <c r="Q78" s="88">
        <f t="shared" si="21"/>
        <v>248.38210314862198</v>
      </c>
      <c r="R78" s="88">
        <f t="shared" si="21"/>
        <v>241.98647280971502</v>
      </c>
      <c r="S78" s="88">
        <f t="shared" si="21"/>
        <v>336.15523019840606</v>
      </c>
      <c r="T78" s="88">
        <f t="shared" si="21"/>
        <v>334.72182018176142</v>
      </c>
      <c r="U78" s="88">
        <f t="shared" si="21"/>
        <v>363.94302342250938</v>
      </c>
      <c r="V78" s="88">
        <f t="shared" si="21"/>
        <v>339.23039653524069</v>
      </c>
      <c r="W78" s="88">
        <f t="shared" si="21"/>
        <v>296.87196808342054</v>
      </c>
      <c r="X78" s="88">
        <f t="shared" si="21"/>
        <v>233.67656682331688</v>
      </c>
      <c r="Y78" s="88">
        <f t="shared" si="21"/>
        <v>177.99768257569289</v>
      </c>
      <c r="Z78" s="49">
        <f t="shared" si="13"/>
        <v>5052.6096943633929</v>
      </c>
      <c r="AA78" s="50">
        <f t="shared" si="14"/>
        <v>31</v>
      </c>
      <c r="AB78" s="65">
        <f t="shared" si="15"/>
        <v>5052.6096943633938</v>
      </c>
      <c r="AD78" s="71"/>
    </row>
    <row r="79" spans="1:30" ht="15.75" x14ac:dyDescent="0.25">
      <c r="A79" s="64">
        <f t="shared" si="11"/>
        <v>46235</v>
      </c>
      <c r="B79" s="88">
        <f t="shared" ref="B79:Y79" si="22">+B15*$AA15+B31*$AA31+B47*$AA47+B63*$AA63</f>
        <v>121.67729514189944</v>
      </c>
      <c r="C79" s="88">
        <f t="shared" si="22"/>
        <v>98.759882944136777</v>
      </c>
      <c r="D79" s="88">
        <f t="shared" si="22"/>
        <v>85.739791932672077</v>
      </c>
      <c r="E79" s="88">
        <f t="shared" si="22"/>
        <v>80.08634288405338</v>
      </c>
      <c r="F79" s="88">
        <f t="shared" si="22"/>
        <v>88.359739068436198</v>
      </c>
      <c r="G79" s="88">
        <f t="shared" si="22"/>
        <v>117.00010137927336</v>
      </c>
      <c r="H79" s="88">
        <f t="shared" si="22"/>
        <v>163.67510660216709</v>
      </c>
      <c r="I79" s="88">
        <f t="shared" si="22"/>
        <v>115.2259643358223</v>
      </c>
      <c r="J79" s="88">
        <f t="shared" si="22"/>
        <v>160.72907013286709</v>
      </c>
      <c r="K79" s="88">
        <f t="shared" si="22"/>
        <v>196.25151871190405</v>
      </c>
      <c r="L79" s="88">
        <f t="shared" si="22"/>
        <v>230.49290899992948</v>
      </c>
      <c r="M79" s="88">
        <f t="shared" si="22"/>
        <v>260.69588619797997</v>
      </c>
      <c r="N79" s="88">
        <f t="shared" si="22"/>
        <v>259.62132390365531</v>
      </c>
      <c r="O79" s="88">
        <f t="shared" si="22"/>
        <v>251.06436764597288</v>
      </c>
      <c r="P79" s="88">
        <f t="shared" si="22"/>
        <v>248.2253434742824</v>
      </c>
      <c r="Q79" s="88">
        <f t="shared" si="22"/>
        <v>242.15147250144955</v>
      </c>
      <c r="R79" s="88">
        <f t="shared" si="22"/>
        <v>233.51875762136569</v>
      </c>
      <c r="S79" s="88">
        <f t="shared" si="22"/>
        <v>329.00379869664823</v>
      </c>
      <c r="T79" s="88">
        <f t="shared" si="22"/>
        <v>334.097929545162</v>
      </c>
      <c r="U79" s="88">
        <f t="shared" si="22"/>
        <v>357.82430236015233</v>
      </c>
      <c r="V79" s="88">
        <f t="shared" si="22"/>
        <v>333.41621478043936</v>
      </c>
      <c r="W79" s="88">
        <f t="shared" si="22"/>
        <v>292.12433938754668</v>
      </c>
      <c r="X79" s="88">
        <f t="shared" si="22"/>
        <v>229.66019800336181</v>
      </c>
      <c r="Y79" s="88">
        <f t="shared" si="22"/>
        <v>174.94858851253443</v>
      </c>
      <c r="Z79" s="49">
        <f t="shared" si="13"/>
        <v>5004.3502447637111</v>
      </c>
      <c r="AA79" s="50">
        <f t="shared" si="14"/>
        <v>31</v>
      </c>
      <c r="AB79" s="65">
        <f t="shared" si="15"/>
        <v>5004.3502447637129</v>
      </c>
      <c r="AD79" s="71"/>
    </row>
    <row r="80" spans="1:30" ht="15.75" x14ac:dyDescent="0.25">
      <c r="A80" s="64">
        <f t="shared" si="11"/>
        <v>46266</v>
      </c>
      <c r="B80" s="88">
        <f t="shared" ref="B80:Y80" si="23">+B16*$AA16+B32*$AA32+B48*$AA48+B64*$AA64</f>
        <v>111.09717108582937</v>
      </c>
      <c r="C80" s="88">
        <f t="shared" si="23"/>
        <v>89.724503143923783</v>
      </c>
      <c r="D80" s="88">
        <f t="shared" si="23"/>
        <v>78.038794630492035</v>
      </c>
      <c r="E80" s="88">
        <f t="shared" si="23"/>
        <v>73.107246606287589</v>
      </c>
      <c r="F80" s="88">
        <f t="shared" si="23"/>
        <v>83.169255713728234</v>
      </c>
      <c r="G80" s="88">
        <f t="shared" si="23"/>
        <v>113.68243591882639</v>
      </c>
      <c r="H80" s="88">
        <f t="shared" si="23"/>
        <v>163.60243753376665</v>
      </c>
      <c r="I80" s="88">
        <f t="shared" si="23"/>
        <v>118.08797552426594</v>
      </c>
      <c r="J80" s="88">
        <f t="shared" si="23"/>
        <v>152.23188537857723</v>
      </c>
      <c r="K80" s="88">
        <f t="shared" si="23"/>
        <v>188.36784533036297</v>
      </c>
      <c r="L80" s="88">
        <f t="shared" si="23"/>
        <v>225.75553867667546</v>
      </c>
      <c r="M80" s="88">
        <f t="shared" si="23"/>
        <v>254.96745266296381</v>
      </c>
      <c r="N80" s="88">
        <f t="shared" si="23"/>
        <v>249.39091870180715</v>
      </c>
      <c r="O80" s="88">
        <f t="shared" si="23"/>
        <v>242.04094798640668</v>
      </c>
      <c r="P80" s="88">
        <f t="shared" si="23"/>
        <v>242.77269774890067</v>
      </c>
      <c r="Q80" s="88">
        <f t="shared" si="23"/>
        <v>239.84395287937065</v>
      </c>
      <c r="R80" s="88">
        <f t="shared" si="23"/>
        <v>231.27012079889744</v>
      </c>
      <c r="S80" s="88">
        <f t="shared" si="23"/>
        <v>324.87969941002234</v>
      </c>
      <c r="T80" s="88">
        <f t="shared" si="23"/>
        <v>340.32331280633866</v>
      </c>
      <c r="U80" s="88">
        <f t="shared" si="23"/>
        <v>341.90022267423905</v>
      </c>
      <c r="V80" s="88">
        <f t="shared" si="23"/>
        <v>315.89434803346973</v>
      </c>
      <c r="W80" s="88">
        <f t="shared" si="23"/>
        <v>275.71961265300229</v>
      </c>
      <c r="X80" s="88">
        <f t="shared" si="23"/>
        <v>215.36781386209427</v>
      </c>
      <c r="Y80" s="88">
        <f t="shared" si="23"/>
        <v>162.0901984549719</v>
      </c>
      <c r="Z80" s="49">
        <f t="shared" si="13"/>
        <v>4833.3263882152205</v>
      </c>
      <c r="AA80" s="50">
        <f t="shared" si="14"/>
        <v>30</v>
      </c>
      <c r="AB80" s="65">
        <f t="shared" si="15"/>
        <v>4833.3263882152205</v>
      </c>
      <c r="AD80" s="71"/>
    </row>
    <row r="81" spans="1:30" ht="15.75" x14ac:dyDescent="0.25">
      <c r="A81" s="64">
        <f t="shared" si="11"/>
        <v>46296</v>
      </c>
      <c r="B81" s="88">
        <f t="shared" ref="B81:Y81" si="24">+B17*$AA17+B33*$AA33+B49*$AA49+B65*$AA65</f>
        <v>114.62002614319911</v>
      </c>
      <c r="C81" s="88">
        <f t="shared" si="24"/>
        <v>91.513769202390719</v>
      </c>
      <c r="D81" s="88">
        <f t="shared" si="24"/>
        <v>80.048005217898165</v>
      </c>
      <c r="E81" s="88">
        <f t="shared" si="24"/>
        <v>75.505557919973995</v>
      </c>
      <c r="F81" s="88">
        <f t="shared" si="24"/>
        <v>82.666009349492114</v>
      </c>
      <c r="G81" s="88">
        <f t="shared" si="24"/>
        <v>97.351433819059864</v>
      </c>
      <c r="H81" s="88">
        <f t="shared" si="24"/>
        <v>152.05129122832267</v>
      </c>
      <c r="I81" s="88">
        <f t="shared" si="24"/>
        <v>112.21305389727908</v>
      </c>
      <c r="J81" s="88">
        <f t="shared" si="24"/>
        <v>162.76433984915786</v>
      </c>
      <c r="K81" s="88">
        <f t="shared" si="24"/>
        <v>202.10071833090254</v>
      </c>
      <c r="L81" s="88">
        <f t="shared" si="24"/>
        <v>237.2172255893386</v>
      </c>
      <c r="M81" s="88">
        <f t="shared" si="24"/>
        <v>266.88469889538158</v>
      </c>
      <c r="N81" s="88">
        <f t="shared" si="24"/>
        <v>265.3102501224127</v>
      </c>
      <c r="O81" s="88">
        <f t="shared" si="24"/>
        <v>256.10157489329424</v>
      </c>
      <c r="P81" s="88">
        <f t="shared" si="24"/>
        <v>254.92606681557055</v>
      </c>
      <c r="Q81" s="88">
        <f t="shared" si="24"/>
        <v>247.05458323262104</v>
      </c>
      <c r="R81" s="88">
        <f t="shared" si="24"/>
        <v>238.68456748542542</v>
      </c>
      <c r="S81" s="88">
        <f t="shared" si="24"/>
        <v>344.43243288740331</v>
      </c>
      <c r="T81" s="88">
        <f t="shared" si="24"/>
        <v>362.42223125938114</v>
      </c>
      <c r="U81" s="88">
        <f t="shared" si="24"/>
        <v>349.43190960725138</v>
      </c>
      <c r="V81" s="88">
        <f t="shared" si="24"/>
        <v>322.86901921311954</v>
      </c>
      <c r="W81" s="88">
        <f t="shared" si="24"/>
        <v>282.97514636408033</v>
      </c>
      <c r="X81" s="88">
        <f t="shared" si="24"/>
        <v>227.66778271042691</v>
      </c>
      <c r="Y81" s="88">
        <f t="shared" si="24"/>
        <v>173.11407967040995</v>
      </c>
      <c r="Z81" s="49">
        <f t="shared" si="13"/>
        <v>4999.9257737037933</v>
      </c>
      <c r="AA81" s="50">
        <f t="shared" si="14"/>
        <v>31</v>
      </c>
      <c r="AB81" s="65">
        <f t="shared" si="15"/>
        <v>4999.9257737037933</v>
      </c>
      <c r="AD81" s="71"/>
    </row>
    <row r="82" spans="1:30" ht="15.75" x14ac:dyDescent="0.25">
      <c r="A82" s="64">
        <f t="shared" si="11"/>
        <v>46327</v>
      </c>
      <c r="B82" s="88">
        <f t="shared" ref="B82:Y82" si="25">+B18*$AA18+B34*$AA34+B50*$AA50+B66*$AA66</f>
        <v>113.91340651592843</v>
      </c>
      <c r="C82" s="88">
        <f t="shared" si="25"/>
        <v>91.665194169946659</v>
      </c>
      <c r="D82" s="88">
        <f t="shared" si="25"/>
        <v>78.903404252414205</v>
      </c>
      <c r="E82" s="88">
        <f t="shared" si="25"/>
        <v>73.424582587592155</v>
      </c>
      <c r="F82" s="88">
        <f t="shared" si="25"/>
        <v>79.865919354043427</v>
      </c>
      <c r="G82" s="88">
        <f t="shared" si="25"/>
        <v>97.159582548191992</v>
      </c>
      <c r="H82" s="88">
        <f t="shared" si="25"/>
        <v>145.13808475404849</v>
      </c>
      <c r="I82" s="88">
        <f t="shared" si="25"/>
        <v>106.2616545309931</v>
      </c>
      <c r="J82" s="88">
        <f t="shared" si="25"/>
        <v>151.35347653778032</v>
      </c>
      <c r="K82" s="88">
        <f t="shared" si="25"/>
        <v>185.04719076182354</v>
      </c>
      <c r="L82" s="88">
        <f t="shared" si="25"/>
        <v>216.11367831629261</v>
      </c>
      <c r="M82" s="88">
        <f t="shared" si="25"/>
        <v>245.04725566033898</v>
      </c>
      <c r="N82" s="88">
        <f t="shared" si="25"/>
        <v>246.81372192790937</v>
      </c>
      <c r="O82" s="88">
        <f t="shared" si="25"/>
        <v>238.65675058445885</v>
      </c>
      <c r="P82" s="88">
        <f t="shared" si="25"/>
        <v>239.97721274018227</v>
      </c>
      <c r="Q82" s="88">
        <f t="shared" si="25"/>
        <v>235.48243640227247</v>
      </c>
      <c r="R82" s="88">
        <f t="shared" si="25"/>
        <v>228.46314755083981</v>
      </c>
      <c r="S82" s="88">
        <f t="shared" si="25"/>
        <v>332.42207036428505</v>
      </c>
      <c r="T82" s="88">
        <f t="shared" si="25"/>
        <v>348.62644577147972</v>
      </c>
      <c r="U82" s="88">
        <f t="shared" si="25"/>
        <v>339.03038772684073</v>
      </c>
      <c r="V82" s="88">
        <f t="shared" si="25"/>
        <v>315.13480066859569</v>
      </c>
      <c r="W82" s="88">
        <f t="shared" si="25"/>
        <v>277.18026708894689</v>
      </c>
      <c r="X82" s="88">
        <f t="shared" si="25"/>
        <v>221.63221014118918</v>
      </c>
      <c r="Y82" s="88">
        <f t="shared" si="25"/>
        <v>167.83630826729728</v>
      </c>
      <c r="Z82" s="49">
        <f t="shared" si="13"/>
        <v>4775.1491892236909</v>
      </c>
      <c r="AA82" s="50">
        <f t="shared" si="14"/>
        <v>30</v>
      </c>
      <c r="AB82" s="65">
        <f t="shared" si="15"/>
        <v>4775.1491892236918</v>
      </c>
      <c r="AD82" s="71"/>
    </row>
    <row r="83" spans="1:30" ht="16.5" thickBot="1" x14ac:dyDescent="0.3">
      <c r="A83" s="66">
        <f t="shared" si="11"/>
        <v>46357</v>
      </c>
      <c r="B83" s="89">
        <f t="shared" ref="B83:Y83" si="26">+B19*$AA19+B35*$AA35+B51*$AA51+B67*$AA67</f>
        <v>137.44432042307366</v>
      </c>
      <c r="C83" s="89">
        <f t="shared" si="26"/>
        <v>110.74155030149478</v>
      </c>
      <c r="D83" s="89">
        <f t="shared" si="26"/>
        <v>95.628214641752209</v>
      </c>
      <c r="E83" s="89">
        <f t="shared" si="26"/>
        <v>88.132504215873141</v>
      </c>
      <c r="F83" s="89">
        <f t="shared" si="26"/>
        <v>92.879017221364251</v>
      </c>
      <c r="G83" s="89">
        <f t="shared" si="26"/>
        <v>110.16307207720772</v>
      </c>
      <c r="H83" s="89">
        <f t="shared" si="26"/>
        <v>156.64623080244382</v>
      </c>
      <c r="I83" s="89">
        <f t="shared" si="26"/>
        <v>115.30088559786167</v>
      </c>
      <c r="J83" s="89">
        <f t="shared" si="26"/>
        <v>164.14894787584512</v>
      </c>
      <c r="K83" s="89">
        <f t="shared" si="26"/>
        <v>200.051782390288</v>
      </c>
      <c r="L83" s="89">
        <f t="shared" si="26"/>
        <v>232.95357639733976</v>
      </c>
      <c r="M83" s="89">
        <f t="shared" si="26"/>
        <v>261.95043798704882</v>
      </c>
      <c r="N83" s="89">
        <f t="shared" si="26"/>
        <v>266.3976593185086</v>
      </c>
      <c r="O83" s="89">
        <f t="shared" si="26"/>
        <v>260.27040234664531</v>
      </c>
      <c r="P83" s="89">
        <f t="shared" si="26"/>
        <v>258.36383081581641</v>
      </c>
      <c r="Q83" s="89">
        <f t="shared" si="26"/>
        <v>252.80185571560284</v>
      </c>
      <c r="R83" s="89">
        <f t="shared" si="26"/>
        <v>242.85931835122796</v>
      </c>
      <c r="S83" s="89">
        <f t="shared" si="26"/>
        <v>341.5397091635549</v>
      </c>
      <c r="T83" s="89">
        <f t="shared" si="26"/>
        <v>363.10423088386597</v>
      </c>
      <c r="U83" s="89">
        <f t="shared" si="26"/>
        <v>360.95233401891193</v>
      </c>
      <c r="V83" s="89">
        <f t="shared" si="26"/>
        <v>336.38865156082375</v>
      </c>
      <c r="W83" s="89">
        <f t="shared" si="26"/>
        <v>302.1109858868607</v>
      </c>
      <c r="X83" s="89">
        <f t="shared" si="26"/>
        <v>251.72216868727654</v>
      </c>
      <c r="Y83" s="89">
        <f t="shared" si="26"/>
        <v>197.83220861519172</v>
      </c>
      <c r="Z83" s="51">
        <f t="shared" si="13"/>
        <v>5200.3838952958795</v>
      </c>
      <c r="AA83" s="52">
        <f t="shared" si="14"/>
        <v>31</v>
      </c>
      <c r="AB83" s="67">
        <f t="shared" si="15"/>
        <v>5200.3838952958795</v>
      </c>
      <c r="AD83" s="71"/>
    </row>
  </sheetData>
  <conditionalFormatting sqref="B1:Y1048576">
    <cfRule type="cellIs" dxfId="8" priority="2" operator="lessThan">
      <formula>0</formula>
    </cfRule>
  </conditionalFormatting>
  <conditionalFormatting sqref="AA8:AA19">
    <cfRule type="cellIs" dxfId="7" priority="350" operator="lessThan">
      <formula>0</formula>
    </cfRule>
  </conditionalFormatting>
  <conditionalFormatting sqref="AA24:AA35">
    <cfRule type="cellIs" dxfId="6" priority="104" operator="lessThan">
      <formula>0</formula>
    </cfRule>
  </conditionalFormatting>
  <conditionalFormatting sqref="AA40:AA51">
    <cfRule type="cellIs" dxfId="5" priority="78" operator="lessThan">
      <formula>0</formula>
    </cfRule>
  </conditionalFormatting>
  <conditionalFormatting sqref="AA56:AA67">
    <cfRule type="cellIs" dxfId="4" priority="52" operator="lessThan">
      <formula>0</formula>
    </cfRule>
  </conditionalFormatting>
  <conditionalFormatting sqref="AA72:AA83">
    <cfRule type="cellIs" dxfId="3" priority="26" operator="lessThan">
      <formula>0</formula>
    </cfRule>
  </conditionalFormatting>
  <pageMargins left="0.75" right="0.75" top="1" bottom="1" header="0" footer="0"/>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25D66-BB62-4FDC-866E-73A19E81A7AF}">
  <sheetPr>
    <tabColor theme="9" tint="0.39997558519241921"/>
  </sheetPr>
  <dimension ref="A1:M38"/>
  <sheetViews>
    <sheetView view="pageBreakPreview" zoomScale="60" zoomScaleNormal="100" zoomScalePageLayoutView="30" workbookViewId="0">
      <selection activeCell="B33" sqref="B33:L33"/>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2.7109375" style="1" customWidth="1"/>
    <col min="6" max="6" width="21.140625" style="1" customWidth="1"/>
    <col min="7" max="7" width="23" style="1" customWidth="1"/>
    <col min="8" max="10" width="22.7109375" style="1" customWidth="1"/>
    <col min="11" max="11" width="28.42578125" style="1" customWidth="1"/>
    <col min="12" max="12" width="15.42578125" style="1" customWidth="1"/>
    <col min="13" max="13" width="8.85546875" style="1" bestFit="1" customWidth="1"/>
    <col min="14" max="16384" width="17.85546875" style="1"/>
  </cols>
  <sheetData>
    <row r="1" spans="1:13" ht="171.2" customHeight="1" x14ac:dyDescent="0.3"/>
    <row r="2" spans="1:13" x14ac:dyDescent="0.3">
      <c r="A2" s="2"/>
      <c r="B2" s="2"/>
      <c r="C2" s="2"/>
      <c r="D2" s="93" t="s">
        <v>0</v>
      </c>
      <c r="E2" s="93"/>
      <c r="F2" s="93"/>
      <c r="G2" s="93"/>
      <c r="H2" s="93"/>
      <c r="I2" s="93"/>
      <c r="J2" s="93"/>
      <c r="K2" s="2"/>
      <c r="L2" s="2"/>
      <c r="M2" s="2"/>
    </row>
    <row r="3" spans="1:13" ht="89.25" customHeight="1" x14ac:dyDescent="0.3">
      <c r="A3" s="2"/>
      <c r="B3" s="2"/>
      <c r="C3" s="94" t="s">
        <v>54</v>
      </c>
      <c r="D3" s="94"/>
      <c r="E3" s="94"/>
      <c r="F3" s="94"/>
      <c r="G3" s="94"/>
      <c r="H3" s="94"/>
      <c r="I3" s="94"/>
      <c r="J3" s="94"/>
      <c r="K3" s="94"/>
      <c r="L3" s="2"/>
      <c r="M3" s="2"/>
    </row>
    <row r="4" spans="1:13" x14ac:dyDescent="0.3">
      <c r="A4" s="2"/>
      <c r="B4" s="2"/>
      <c r="C4" s="3"/>
      <c r="D4" s="95" t="s">
        <v>51</v>
      </c>
      <c r="E4" s="95"/>
      <c r="F4" s="95"/>
      <c r="G4" s="95"/>
      <c r="H4" s="95"/>
      <c r="I4" s="95"/>
      <c r="J4" s="95"/>
      <c r="K4" s="3"/>
      <c r="L4" s="2"/>
      <c r="M4" s="2"/>
    </row>
    <row r="5" spans="1:13" ht="19.5" customHeight="1" x14ac:dyDescent="0.3">
      <c r="A5" s="4"/>
      <c r="B5" s="5"/>
      <c r="C5" s="5"/>
      <c r="D5" s="6"/>
      <c r="E5" s="7"/>
      <c r="F5" s="7"/>
      <c r="G5" s="7"/>
      <c r="H5" s="7"/>
      <c r="I5" s="7"/>
      <c r="J5" s="8"/>
      <c r="K5" s="9"/>
      <c r="L5" s="4"/>
      <c r="M5" s="4"/>
    </row>
    <row r="6" spans="1:13" x14ac:dyDescent="0.3">
      <c r="A6" s="4"/>
      <c r="B6" s="5"/>
      <c r="C6" s="10" t="s">
        <v>1</v>
      </c>
      <c r="D6" s="5"/>
      <c r="E6" s="5"/>
      <c r="G6" s="5"/>
      <c r="H6" s="5"/>
      <c r="I6" s="5"/>
      <c r="J6" s="5"/>
      <c r="K6" s="9"/>
      <c r="L6" s="4"/>
      <c r="M6" s="4"/>
    </row>
    <row r="7" spans="1:13" x14ac:dyDescent="0.3">
      <c r="A7" s="4"/>
      <c r="B7" s="5"/>
      <c r="C7" s="10" t="s">
        <v>2</v>
      </c>
      <c r="D7" s="5"/>
      <c r="E7" s="5"/>
      <c r="G7" s="5"/>
      <c r="H7" s="5"/>
      <c r="I7" s="5"/>
      <c r="J7" s="5"/>
      <c r="K7" s="9"/>
      <c r="L7" s="4"/>
      <c r="M7" s="4"/>
    </row>
    <row r="8" spans="1:13" x14ac:dyDescent="0.3">
      <c r="B8" s="11"/>
      <c r="C8" s="10" t="s">
        <v>3</v>
      </c>
      <c r="D8" s="5"/>
      <c r="E8" s="5"/>
      <c r="G8" s="11"/>
      <c r="H8" s="11"/>
      <c r="I8" s="11"/>
      <c r="J8" s="11"/>
      <c r="K8" s="12"/>
    </row>
    <row r="9" spans="1:13" x14ac:dyDescent="0.3">
      <c r="B9" s="11"/>
      <c r="C9" s="13" t="str">
        <f>"PRODUCTO OFERTADO: "&amp;D4</f>
        <v>PRODUCTO OFERTADO: PRODUCTO No. 2</v>
      </c>
      <c r="D9" s="5"/>
      <c r="E9" s="5"/>
      <c r="G9" s="11"/>
      <c r="H9" s="11"/>
      <c r="I9" s="11"/>
      <c r="J9" s="11"/>
      <c r="K9" s="12"/>
    </row>
    <row r="10" spans="1:13" x14ac:dyDescent="0.3">
      <c r="B10" s="11"/>
      <c r="C10" s="13"/>
      <c r="D10" s="5"/>
      <c r="E10" s="5"/>
      <c r="G10" s="11"/>
      <c r="H10" s="11"/>
      <c r="I10" s="11"/>
      <c r="J10" s="11"/>
      <c r="K10" s="12"/>
    </row>
    <row r="11" spans="1:13" x14ac:dyDescent="0.3">
      <c r="B11" s="11"/>
      <c r="C11" s="10" t="s">
        <v>52</v>
      </c>
      <c r="D11" s="14"/>
      <c r="E11" s="14"/>
      <c r="F11" s="15"/>
      <c r="G11" s="11"/>
      <c r="H11" s="11"/>
      <c r="I11" s="11"/>
      <c r="J11" s="11"/>
      <c r="K11" s="12"/>
    </row>
    <row r="12" spans="1:13" x14ac:dyDescent="0.3">
      <c r="B12" s="16"/>
      <c r="C12" s="15"/>
    </row>
    <row r="13" spans="1:13" x14ac:dyDescent="0.3">
      <c r="F13" s="96" t="str">
        <f>"Oferta " &amp; PROPER(D4)</f>
        <v>Oferta Producto No. 2</v>
      </c>
      <c r="G13" s="96"/>
      <c r="H13" s="96"/>
      <c r="I13" s="96"/>
      <c r="J13" s="96"/>
    </row>
    <row r="14" spans="1:13" ht="72.75" customHeight="1" x14ac:dyDescent="0.3">
      <c r="F14" s="17" t="s">
        <v>4</v>
      </c>
      <c r="G14" s="18" t="s">
        <v>38</v>
      </c>
      <c r="H14" s="18" t="s">
        <v>39</v>
      </c>
      <c r="I14" s="18" t="s">
        <v>40</v>
      </c>
      <c r="J14" s="19" t="s">
        <v>5</v>
      </c>
    </row>
    <row r="15" spans="1:13" x14ac:dyDescent="0.3">
      <c r="A15" s="21">
        <v>22.85</v>
      </c>
      <c r="B15" s="21">
        <v>31</v>
      </c>
      <c r="F15" s="22">
        <f>+'Cantidades Producto No. 2'!A25</f>
        <v>46023</v>
      </c>
      <c r="G15" s="39">
        <f>+SUMIFS('Cantidades Producto No. 2'!$Z$25:$Z$36,'Cantidades Producto No. 2'!$A$25:$A$36,'Oferta Producto No. 2'!$F15)</f>
        <v>2747.1062333589648</v>
      </c>
      <c r="H15" s="23"/>
      <c r="I15" s="40"/>
      <c r="J15" s="97"/>
      <c r="L15" s="24"/>
      <c r="M15" s="24"/>
    </row>
    <row r="16" spans="1:13" x14ac:dyDescent="0.3">
      <c r="A16" s="20"/>
      <c r="B16" s="21">
        <v>28</v>
      </c>
      <c r="F16" s="22">
        <f>+'Cantidades Producto No. 2'!A26</f>
        <v>46054</v>
      </c>
      <c r="G16" s="39">
        <f>+SUMIFS('Cantidades Producto No. 2'!$Z$25:$Z$36,'Cantidades Producto No. 2'!$A$25:$A$36,'Oferta Producto No. 2'!$F16)</f>
        <v>2481.2572430339028</v>
      </c>
      <c r="H16" s="23"/>
      <c r="I16" s="40"/>
      <c r="J16" s="98"/>
      <c r="L16" s="24"/>
      <c r="M16" s="24"/>
    </row>
    <row r="17" spans="1:13" x14ac:dyDescent="0.3">
      <c r="A17" s="20"/>
      <c r="B17" s="21">
        <v>31</v>
      </c>
      <c r="F17" s="22">
        <f>+'Cantidades Producto No. 2'!A27</f>
        <v>46082</v>
      </c>
      <c r="G17" s="39">
        <f>+SUMIFS('Cantidades Producto No. 2'!$Z$25:$Z$36,'Cantidades Producto No. 2'!$A$25:$A$36,'Oferta Producto No. 2'!$F17)</f>
        <v>2747.1062333589648</v>
      </c>
      <c r="H17" s="23"/>
      <c r="I17" s="40"/>
      <c r="J17" s="98"/>
      <c r="L17" s="24"/>
      <c r="M17" s="24"/>
    </row>
    <row r="18" spans="1:13" x14ac:dyDescent="0.3">
      <c r="A18" s="20"/>
      <c r="B18" s="21">
        <v>30</v>
      </c>
      <c r="F18" s="22">
        <f>+'Cantidades Producto No. 2'!A28</f>
        <v>46113</v>
      </c>
      <c r="G18" s="39">
        <f>+SUMIFS('Cantidades Producto No. 2'!$Z$25:$Z$36,'Cantidades Producto No. 2'!$A$25:$A$36,'Oferta Producto No. 2'!$F18)</f>
        <v>2658.4899032506105</v>
      </c>
      <c r="H18" s="23"/>
      <c r="I18" s="40"/>
      <c r="J18" s="98"/>
      <c r="L18" s="24"/>
      <c r="M18" s="24"/>
    </row>
    <row r="19" spans="1:13" x14ac:dyDescent="0.3">
      <c r="A19" s="20"/>
      <c r="B19" s="21">
        <v>31</v>
      </c>
      <c r="F19" s="22">
        <f>+'Cantidades Producto No. 2'!A29</f>
        <v>46143</v>
      </c>
      <c r="G19" s="39">
        <f>+SUMIFS('Cantidades Producto No. 2'!$Z$25:$Z$36,'Cantidades Producto No. 2'!$A$25:$A$36,'Oferta Producto No. 2'!$F19)</f>
        <v>2747.1062333589648</v>
      </c>
      <c r="H19" s="23"/>
      <c r="I19" s="40"/>
      <c r="J19" s="98"/>
      <c r="L19" s="24"/>
      <c r="M19" s="24"/>
    </row>
    <row r="20" spans="1:13" x14ac:dyDescent="0.3">
      <c r="A20" s="25"/>
      <c r="B20" s="21">
        <v>30</v>
      </c>
      <c r="F20" s="22">
        <f>+'Cantidades Producto No. 2'!A30</f>
        <v>46174</v>
      </c>
      <c r="G20" s="39">
        <f>+SUMIFS('Cantidades Producto No. 2'!$Z$25:$Z$36,'Cantidades Producto No. 2'!$A$25:$A$36,'Oferta Producto No. 2'!$F20)</f>
        <v>2658.4899032506105</v>
      </c>
      <c r="H20" s="23"/>
      <c r="I20" s="40"/>
      <c r="J20" s="98"/>
      <c r="L20" s="24"/>
      <c r="M20" s="24"/>
    </row>
    <row r="21" spans="1:13" x14ac:dyDescent="0.3">
      <c r="A21" s="20"/>
      <c r="B21" s="21">
        <v>31</v>
      </c>
      <c r="F21" s="22">
        <f>+'Cantidades Producto No. 2'!A31</f>
        <v>46204</v>
      </c>
      <c r="G21" s="39">
        <f>+SUMIFS('Cantidades Producto No. 2'!$Z$25:$Z$36,'Cantidades Producto No. 2'!$A$25:$A$36,'Oferta Producto No. 2'!$F21)</f>
        <v>2747.1062333589648</v>
      </c>
      <c r="H21" s="23"/>
      <c r="I21" s="40"/>
      <c r="J21" s="98"/>
      <c r="L21" s="24"/>
      <c r="M21" s="24"/>
    </row>
    <row r="22" spans="1:13" x14ac:dyDescent="0.3">
      <c r="A22" s="20"/>
      <c r="B22" s="21">
        <v>31</v>
      </c>
      <c r="F22" s="22">
        <f>+'Cantidades Producto No. 2'!A32</f>
        <v>46235</v>
      </c>
      <c r="G22" s="39">
        <f>+SUMIFS('Cantidades Producto No. 2'!$Z$25:$Z$36,'Cantidades Producto No. 2'!$A$25:$A$36,'Oferta Producto No. 2'!$F22)</f>
        <v>2747.1062333589648</v>
      </c>
      <c r="H22" s="23"/>
      <c r="I22" s="40"/>
      <c r="J22" s="98"/>
      <c r="K22" s="41"/>
      <c r="L22" s="24"/>
      <c r="M22" s="24"/>
    </row>
    <row r="23" spans="1:13" x14ac:dyDescent="0.3">
      <c r="A23" s="25"/>
      <c r="B23" s="21">
        <v>30</v>
      </c>
      <c r="F23" s="22">
        <f>+'Cantidades Producto No. 2'!A33</f>
        <v>46266</v>
      </c>
      <c r="G23" s="39">
        <f>+SUMIFS('Cantidades Producto No. 2'!$Z$25:$Z$36,'Cantidades Producto No. 2'!$A$25:$A$36,'Oferta Producto No. 2'!$F23)</f>
        <v>2658.4899032506105</v>
      </c>
      <c r="H23" s="23"/>
      <c r="I23" s="40"/>
      <c r="J23" s="98"/>
      <c r="K23" s="41"/>
      <c r="L23" s="24"/>
      <c r="M23" s="24"/>
    </row>
    <row r="24" spans="1:13" x14ac:dyDescent="0.3">
      <c r="A24" s="25"/>
      <c r="B24" s="21">
        <v>31</v>
      </c>
      <c r="F24" s="22">
        <f>+'Cantidades Producto No. 2'!A34</f>
        <v>46296</v>
      </c>
      <c r="G24" s="39">
        <f>+SUMIFS('Cantidades Producto No. 2'!$Z$25:$Z$36,'Cantidades Producto No. 2'!$A$25:$A$36,'Oferta Producto No. 2'!$F24)</f>
        <v>2747.1062333589648</v>
      </c>
      <c r="H24" s="23"/>
      <c r="I24" s="40"/>
      <c r="J24" s="98"/>
      <c r="L24" s="24"/>
      <c r="M24" s="24"/>
    </row>
    <row r="25" spans="1:13" x14ac:dyDescent="0.3">
      <c r="A25" s="20"/>
      <c r="B25" s="21">
        <v>30</v>
      </c>
      <c r="F25" s="22">
        <f>+'Cantidades Producto No. 2'!A35</f>
        <v>46327</v>
      </c>
      <c r="G25" s="39">
        <f>+SUMIFS('Cantidades Producto No. 2'!$Z$25:$Z$36,'Cantidades Producto No. 2'!$A$25:$A$36,'Oferta Producto No. 2'!$F25)</f>
        <v>2658.4899032506105</v>
      </c>
      <c r="H25" s="23"/>
      <c r="I25" s="40"/>
      <c r="J25" s="98"/>
      <c r="L25" s="24"/>
      <c r="M25" s="24"/>
    </row>
    <row r="26" spans="1:13" x14ac:dyDescent="0.3">
      <c r="A26" s="20"/>
      <c r="B26" s="21">
        <v>31</v>
      </c>
      <c r="D26" s="41"/>
      <c r="E26" s="41"/>
      <c r="F26" s="22">
        <f>+'Cantidades Producto No. 2'!A36</f>
        <v>46357</v>
      </c>
      <c r="G26" s="39">
        <f>+SUMIFS('Cantidades Producto No. 2'!$Z$25:$Z$36,'Cantidades Producto No. 2'!$A$25:$A$36,'Oferta Producto No. 2'!$F26)</f>
        <v>2747.1062333589648</v>
      </c>
      <c r="H26" s="23"/>
      <c r="I26" s="40"/>
      <c r="J26" s="99"/>
      <c r="L26" s="24"/>
      <c r="M26" s="24"/>
    </row>
    <row r="27" spans="1:13" x14ac:dyDescent="0.3">
      <c r="F27" s="26" t="s">
        <v>6</v>
      </c>
      <c r="G27" s="28">
        <f>SUM(G15:G26)</f>
        <v>32344.960489549103</v>
      </c>
      <c r="H27" s="42"/>
      <c r="I27" s="42"/>
      <c r="J27" s="43"/>
    </row>
    <row r="28" spans="1:13" x14ac:dyDescent="0.3">
      <c r="F28" s="29"/>
      <c r="G28" s="27"/>
    </row>
    <row r="29" spans="1:13" x14ac:dyDescent="0.3">
      <c r="B29" s="30" t="s">
        <v>7</v>
      </c>
      <c r="C29" s="31"/>
      <c r="D29" s="31"/>
      <c r="E29" s="31"/>
      <c r="F29" s="31"/>
      <c r="G29" s="31"/>
      <c r="L29" s="31"/>
    </row>
    <row r="30" spans="1:13" x14ac:dyDescent="0.3">
      <c r="B30" s="30"/>
      <c r="C30" s="31"/>
      <c r="D30" s="31"/>
      <c r="E30" s="31"/>
      <c r="F30" s="31"/>
      <c r="G30" s="31"/>
      <c r="H30" s="31"/>
      <c r="I30" s="31"/>
      <c r="J30" s="31"/>
      <c r="K30" s="31"/>
      <c r="L30" s="31"/>
    </row>
    <row r="31" spans="1:13" ht="24.75" customHeight="1" x14ac:dyDescent="0.3">
      <c r="B31" s="91" t="s">
        <v>8</v>
      </c>
      <c r="C31" s="91"/>
      <c r="D31" s="91"/>
      <c r="E31" s="91"/>
      <c r="F31" s="91"/>
      <c r="G31" s="91"/>
      <c r="H31" s="91"/>
      <c r="I31" s="91"/>
      <c r="J31" s="91"/>
      <c r="K31" s="91"/>
      <c r="L31" s="91"/>
    </row>
    <row r="32" spans="1:13" ht="39" customHeight="1" x14ac:dyDescent="0.3">
      <c r="B32" s="91" t="str">
        <f>"(2) Las cantidades se distribuyen de acuerdo a la curva del Anexo 1. Ofertas y Cantidades "&amp; D4 &amp;" de los Pliegos de Condiciones definitivos."</f>
        <v>(2) Las cantidades se distribuyen de acuerdo a la curva del Anexo 1. Ofertas y Cantidades PRODUCTO No. 2 de los Pliegos de Condiciones definitivos.</v>
      </c>
      <c r="C32" s="91"/>
      <c r="D32" s="91"/>
      <c r="E32" s="91"/>
      <c r="F32" s="91"/>
      <c r="G32" s="91"/>
      <c r="H32" s="91"/>
      <c r="I32" s="91"/>
      <c r="J32" s="91"/>
      <c r="K32" s="91"/>
      <c r="L32" s="91"/>
    </row>
    <row r="33" spans="1:12" ht="83.25" customHeight="1" x14ac:dyDescent="0.3">
      <c r="B33" s="92" t="s">
        <v>58</v>
      </c>
      <c r="C33" s="92"/>
      <c r="D33" s="92"/>
      <c r="E33" s="92"/>
      <c r="F33" s="92"/>
      <c r="G33" s="92"/>
      <c r="H33" s="92"/>
      <c r="I33" s="92"/>
      <c r="J33" s="92"/>
      <c r="K33" s="92"/>
      <c r="L33" s="92"/>
    </row>
    <row r="34" spans="1:12" ht="43.5" customHeight="1" x14ac:dyDescent="0.3">
      <c r="B34" s="92" t="s">
        <v>41</v>
      </c>
      <c r="C34" s="92"/>
      <c r="D34" s="92"/>
      <c r="E34" s="92"/>
      <c r="F34" s="92"/>
      <c r="G34" s="92"/>
      <c r="H34" s="92"/>
      <c r="I34" s="92"/>
      <c r="J34" s="92"/>
      <c r="K34" s="92"/>
      <c r="L34" s="92"/>
    </row>
    <row r="35" spans="1:12" ht="60" customHeight="1" x14ac:dyDescent="0.3">
      <c r="B35" s="92" t="s">
        <v>42</v>
      </c>
      <c r="C35" s="92"/>
      <c r="D35" s="92"/>
      <c r="E35" s="92"/>
      <c r="F35" s="92"/>
      <c r="G35" s="92"/>
      <c r="H35" s="92"/>
      <c r="I35" s="92"/>
      <c r="J35" s="92"/>
      <c r="K35" s="92"/>
      <c r="L35" s="92"/>
    </row>
    <row r="36" spans="1:12" ht="80.25" customHeight="1" x14ac:dyDescent="0.3">
      <c r="A36" s="15"/>
      <c r="B36" s="92" t="s">
        <v>53</v>
      </c>
      <c r="C36" s="92"/>
      <c r="D36" s="92"/>
      <c r="E36" s="92"/>
      <c r="F36" s="92"/>
      <c r="G36" s="92"/>
      <c r="H36" s="92"/>
      <c r="I36" s="92"/>
      <c r="J36" s="92"/>
      <c r="K36" s="92"/>
      <c r="L36" s="92"/>
    </row>
    <row r="38" spans="1:12" ht="24.75" customHeight="1" x14ac:dyDescent="0.3">
      <c r="B38" s="32"/>
      <c r="C38" s="32"/>
      <c r="D38" s="32"/>
      <c r="E38" s="32"/>
      <c r="F38" s="32"/>
      <c r="G38" s="32"/>
      <c r="H38" s="32"/>
      <c r="I38" s="32"/>
      <c r="J38" s="32"/>
      <c r="K38" s="32"/>
      <c r="L38" s="32"/>
    </row>
  </sheetData>
  <mergeCells count="11">
    <mergeCell ref="B32:L32"/>
    <mergeCell ref="B33:L33"/>
    <mergeCell ref="B34:L34"/>
    <mergeCell ref="B35:L35"/>
    <mergeCell ref="B36:L36"/>
    <mergeCell ref="B31:L31"/>
    <mergeCell ref="D2:J2"/>
    <mergeCell ref="C3:K3"/>
    <mergeCell ref="D4:J4"/>
    <mergeCell ref="F13:J13"/>
    <mergeCell ref="J15:J26"/>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F6575-1B8C-4879-8BA0-77AF5E7CA12A}">
  <sheetPr>
    <tabColor theme="9" tint="0.39997558519241921"/>
  </sheetPr>
  <dimension ref="A1:AJ36"/>
  <sheetViews>
    <sheetView showGridLines="0" zoomScale="70" zoomScaleNormal="70" workbookViewId="0">
      <selection activeCell="Z25" sqref="Z25"/>
    </sheetView>
  </sheetViews>
  <sheetFormatPr baseColWidth="10" defaultColWidth="14.42578125" defaultRowHeight="15" x14ac:dyDescent="0.2"/>
  <cols>
    <col min="1" max="1" width="93.140625" style="33" bestFit="1" customWidth="1"/>
    <col min="2" max="2" width="8.42578125" style="73" bestFit="1" customWidth="1"/>
    <col min="3" max="25" width="6.42578125" style="73" bestFit="1" customWidth="1"/>
    <col min="26" max="26" width="10" style="74" bestFit="1" customWidth="1"/>
    <col min="27" max="27" width="6.7109375" style="33" customWidth="1"/>
    <col min="28" max="28" width="9.7109375" style="33" customWidth="1"/>
    <col min="29" max="29" width="5.28515625" style="33" customWidth="1"/>
    <col min="30" max="30" width="14.42578125" style="70"/>
    <col min="31" max="16384" width="14.42578125" style="33"/>
  </cols>
  <sheetData>
    <row r="1" spans="1:36" ht="93" customHeight="1" thickBot="1" x14ac:dyDescent="0.25">
      <c r="AJ1" s="33" t="s">
        <v>56</v>
      </c>
    </row>
    <row r="2" spans="1:36" ht="23.25" x14ac:dyDescent="0.35">
      <c r="A2" s="44" t="s">
        <v>9</v>
      </c>
    </row>
    <row r="3" spans="1:36" ht="21" thickBot="1" x14ac:dyDescent="0.35">
      <c r="A3" s="45" t="s">
        <v>51</v>
      </c>
    </row>
    <row r="4" spans="1:36" ht="15.75" thickBot="1" x14ac:dyDescent="0.25"/>
    <row r="5" spans="1:36" ht="16.5" thickBot="1" x14ac:dyDescent="0.3">
      <c r="A5" s="36" t="s">
        <v>55</v>
      </c>
      <c r="B5" s="75"/>
      <c r="C5" s="75"/>
      <c r="D5" s="75"/>
      <c r="E5" s="76"/>
      <c r="F5" s="75"/>
      <c r="G5" s="75"/>
      <c r="H5" s="75"/>
      <c r="I5" s="75"/>
      <c r="J5" s="75"/>
      <c r="K5" s="77"/>
      <c r="L5" s="77"/>
      <c r="M5" s="77"/>
      <c r="N5" s="77"/>
      <c r="O5" s="77"/>
      <c r="P5" s="77"/>
      <c r="Q5" s="77"/>
      <c r="R5" s="77"/>
      <c r="S5" s="77"/>
      <c r="T5" s="77"/>
      <c r="U5" s="77"/>
      <c r="V5" s="77"/>
      <c r="W5" s="77"/>
      <c r="X5" s="77"/>
      <c r="Y5" s="77"/>
      <c r="Z5" s="78"/>
      <c r="AA5"/>
      <c r="AB5" s="57"/>
    </row>
    <row r="6" spans="1:36" ht="16.5" thickBot="1" x14ac:dyDescent="0.3">
      <c r="A6"/>
      <c r="B6" s="75"/>
      <c r="C6" s="75"/>
      <c r="D6" s="75"/>
      <c r="E6" s="75"/>
      <c r="F6" s="75"/>
      <c r="G6" s="75"/>
      <c r="H6" s="75"/>
      <c r="I6" s="75"/>
      <c r="J6" s="75"/>
      <c r="K6" s="79"/>
      <c r="L6" s="79"/>
      <c r="M6" s="79"/>
      <c r="N6" s="79"/>
      <c r="O6" s="79"/>
      <c r="P6" s="79"/>
      <c r="Q6" s="79"/>
      <c r="R6" s="79"/>
      <c r="S6" s="79"/>
      <c r="T6" s="79"/>
      <c r="U6" s="79"/>
      <c r="V6" s="79"/>
      <c r="W6" s="79"/>
      <c r="X6" s="79"/>
      <c r="Y6" s="79"/>
      <c r="Z6" s="78"/>
      <c r="AA6"/>
      <c r="AB6"/>
    </row>
    <row r="7" spans="1:36" ht="15.95" customHeight="1" thickBot="1" x14ac:dyDescent="0.25">
      <c r="A7" s="59" t="s">
        <v>10</v>
      </c>
      <c r="B7" s="60" t="s">
        <v>11</v>
      </c>
      <c r="C7" s="60" t="s">
        <v>12</v>
      </c>
      <c r="D7" s="60" t="s">
        <v>13</v>
      </c>
      <c r="E7" s="60" t="s">
        <v>14</v>
      </c>
      <c r="F7" s="60" t="s">
        <v>15</v>
      </c>
      <c r="G7" s="60" t="s">
        <v>16</v>
      </c>
      <c r="H7" s="60" t="s">
        <v>17</v>
      </c>
      <c r="I7" s="60" t="s">
        <v>18</v>
      </c>
      <c r="J7" s="60" t="s">
        <v>19</v>
      </c>
      <c r="K7" s="60" t="s">
        <v>20</v>
      </c>
      <c r="L7" s="60" t="s">
        <v>21</v>
      </c>
      <c r="M7" s="60" t="s">
        <v>22</v>
      </c>
      <c r="N7" s="60" t="s">
        <v>23</v>
      </c>
      <c r="O7" s="60" t="s">
        <v>24</v>
      </c>
      <c r="P7" s="60" t="s">
        <v>25</v>
      </c>
      <c r="Q7" s="60" t="s">
        <v>26</v>
      </c>
      <c r="R7" s="60" t="s">
        <v>27</v>
      </c>
      <c r="S7" s="60" t="s">
        <v>28</v>
      </c>
      <c r="T7" s="60" t="s">
        <v>29</v>
      </c>
      <c r="U7" s="60" t="s">
        <v>30</v>
      </c>
      <c r="V7" s="60" t="s">
        <v>31</v>
      </c>
      <c r="W7" s="60" t="s">
        <v>32</v>
      </c>
      <c r="X7" s="60" t="s">
        <v>33</v>
      </c>
      <c r="Y7" s="60" t="s">
        <v>34</v>
      </c>
      <c r="Z7" s="60" t="s">
        <v>6</v>
      </c>
      <c r="AA7" s="37" t="s">
        <v>35</v>
      </c>
      <c r="AB7" s="61"/>
    </row>
    <row r="8" spans="1:36" ht="15.75" x14ac:dyDescent="0.25">
      <c r="A8" s="62">
        <v>46023</v>
      </c>
      <c r="B8" s="80">
        <v>3.6923470878480704</v>
      </c>
      <c r="C8" s="80">
        <v>3.6923470878480704</v>
      </c>
      <c r="D8" s="80">
        <v>3.6923470878480704</v>
      </c>
      <c r="E8" s="80">
        <v>3.6923470878480704</v>
      </c>
      <c r="F8" s="80">
        <v>3.6923470878480704</v>
      </c>
      <c r="G8" s="80">
        <v>3.6923470878480704</v>
      </c>
      <c r="H8" s="80">
        <v>3.6923470878480704</v>
      </c>
      <c r="I8" s="80">
        <v>3.6923470878480704</v>
      </c>
      <c r="J8" s="80">
        <v>3.6923470878480704</v>
      </c>
      <c r="K8" s="80">
        <v>3.6923470878480704</v>
      </c>
      <c r="L8" s="80">
        <v>3.6923470878480704</v>
      </c>
      <c r="M8" s="80">
        <v>3.6923470878480704</v>
      </c>
      <c r="N8" s="80">
        <v>3.6923470878480704</v>
      </c>
      <c r="O8" s="80">
        <v>3.6923470878480704</v>
      </c>
      <c r="P8" s="80">
        <v>3.6923470878480704</v>
      </c>
      <c r="Q8" s="80">
        <v>3.6923470878480704</v>
      </c>
      <c r="R8" s="80">
        <v>3.6923470878480704</v>
      </c>
      <c r="S8" s="80">
        <v>3.6923470878480704</v>
      </c>
      <c r="T8" s="80">
        <v>3.6923470878480704</v>
      </c>
      <c r="U8" s="80">
        <v>3.6923470878480704</v>
      </c>
      <c r="V8" s="80">
        <v>3.6923470878480704</v>
      </c>
      <c r="W8" s="80">
        <v>3.6923470878480704</v>
      </c>
      <c r="X8" s="80">
        <v>3.6923470878480704</v>
      </c>
      <c r="Y8" s="80">
        <v>3.6923470878480704</v>
      </c>
      <c r="Z8" s="81">
        <f t="shared" ref="Z8:Z19" si="0">SUM(B8:Y8)</f>
        <v>88.616330108353736</v>
      </c>
      <c r="AA8" s="47">
        <v>31</v>
      </c>
      <c r="AB8" s="63">
        <f>+Z8*AA8</f>
        <v>2747.1062333589657</v>
      </c>
      <c r="AD8" s="70" t="s">
        <v>44</v>
      </c>
    </row>
    <row r="9" spans="1:36" ht="15.75" x14ac:dyDescent="0.25">
      <c r="A9" s="64">
        <v>46054</v>
      </c>
      <c r="B9" s="82">
        <v>3.6923470878480704</v>
      </c>
      <c r="C9" s="82">
        <v>3.6923470878480704</v>
      </c>
      <c r="D9" s="82">
        <v>3.6923470878480704</v>
      </c>
      <c r="E9" s="82">
        <v>3.6923470878480704</v>
      </c>
      <c r="F9" s="82">
        <v>3.6923470878480704</v>
      </c>
      <c r="G9" s="82">
        <v>3.6923470878480704</v>
      </c>
      <c r="H9" s="82">
        <v>3.6923470878480704</v>
      </c>
      <c r="I9" s="82">
        <v>3.6923470878480704</v>
      </c>
      <c r="J9" s="82">
        <v>3.6923470878480704</v>
      </c>
      <c r="K9" s="82">
        <v>3.6923470878480704</v>
      </c>
      <c r="L9" s="82">
        <v>3.6923470878480704</v>
      </c>
      <c r="M9" s="82">
        <v>3.6923470878480704</v>
      </c>
      <c r="N9" s="82">
        <v>3.6923470878480704</v>
      </c>
      <c r="O9" s="82">
        <v>3.6923470878480704</v>
      </c>
      <c r="P9" s="82">
        <v>3.6923470878480704</v>
      </c>
      <c r="Q9" s="82">
        <v>3.6923470878480704</v>
      </c>
      <c r="R9" s="82">
        <v>3.6923470878480704</v>
      </c>
      <c r="S9" s="82">
        <v>3.6923470878480704</v>
      </c>
      <c r="T9" s="82">
        <v>3.6923470878480704</v>
      </c>
      <c r="U9" s="82">
        <v>3.6923470878480704</v>
      </c>
      <c r="V9" s="82">
        <v>3.6923470878480704</v>
      </c>
      <c r="W9" s="82">
        <v>3.6923470878480704</v>
      </c>
      <c r="X9" s="82">
        <v>3.6923470878480704</v>
      </c>
      <c r="Y9" s="82">
        <v>3.6923470878480704</v>
      </c>
      <c r="Z9" s="83">
        <f t="shared" si="0"/>
        <v>88.616330108353736</v>
      </c>
      <c r="AA9" s="50">
        <v>28</v>
      </c>
      <c r="AB9" s="65">
        <f>+Z9*AA9</f>
        <v>2481.2572430339046</v>
      </c>
      <c r="AD9" s="70" t="s">
        <v>44</v>
      </c>
    </row>
    <row r="10" spans="1:36" ht="15.75" x14ac:dyDescent="0.25">
      <c r="A10" s="64">
        <v>46082</v>
      </c>
      <c r="B10" s="82">
        <v>3.6923470878480704</v>
      </c>
      <c r="C10" s="82">
        <v>3.6923470878480704</v>
      </c>
      <c r="D10" s="82">
        <v>3.6923470878480704</v>
      </c>
      <c r="E10" s="82">
        <v>3.6923470878480704</v>
      </c>
      <c r="F10" s="82">
        <v>3.6923470878480704</v>
      </c>
      <c r="G10" s="82">
        <v>3.6923470878480704</v>
      </c>
      <c r="H10" s="82">
        <v>3.6923470878480704</v>
      </c>
      <c r="I10" s="82">
        <v>3.6923470878480704</v>
      </c>
      <c r="J10" s="82">
        <v>3.6923470878480704</v>
      </c>
      <c r="K10" s="82">
        <v>3.6923470878480704</v>
      </c>
      <c r="L10" s="82">
        <v>3.6923470878480704</v>
      </c>
      <c r="M10" s="82">
        <v>3.6923470878480704</v>
      </c>
      <c r="N10" s="82">
        <v>3.6923470878480704</v>
      </c>
      <c r="O10" s="82">
        <v>3.6923470878480704</v>
      </c>
      <c r="P10" s="82">
        <v>3.6923470878480704</v>
      </c>
      <c r="Q10" s="82">
        <v>3.6923470878480704</v>
      </c>
      <c r="R10" s="82">
        <v>3.6923470878480704</v>
      </c>
      <c r="S10" s="82">
        <v>3.6923470878480704</v>
      </c>
      <c r="T10" s="82">
        <v>3.6923470878480704</v>
      </c>
      <c r="U10" s="82">
        <v>3.6923470878480704</v>
      </c>
      <c r="V10" s="82">
        <v>3.6923470878480704</v>
      </c>
      <c r="W10" s="82">
        <v>3.6923470878480704</v>
      </c>
      <c r="X10" s="82">
        <v>3.6923470878480704</v>
      </c>
      <c r="Y10" s="82">
        <v>3.6923470878480704</v>
      </c>
      <c r="Z10" s="83">
        <f t="shared" si="0"/>
        <v>88.616330108353736</v>
      </c>
      <c r="AA10" s="50">
        <v>31</v>
      </c>
      <c r="AB10" s="65">
        <f t="shared" ref="AB10:AB19" si="1">+Z10*AA10</f>
        <v>2747.1062333589657</v>
      </c>
      <c r="AD10" s="70" t="s">
        <v>44</v>
      </c>
    </row>
    <row r="11" spans="1:36" ht="15.75" x14ac:dyDescent="0.25">
      <c r="A11" s="64">
        <v>46113</v>
      </c>
      <c r="B11" s="82">
        <v>3.6923470878480704</v>
      </c>
      <c r="C11" s="82">
        <v>3.6923470878480704</v>
      </c>
      <c r="D11" s="82">
        <v>3.6923470878480704</v>
      </c>
      <c r="E11" s="82">
        <v>3.6923470878480704</v>
      </c>
      <c r="F11" s="82">
        <v>3.6923470878480704</v>
      </c>
      <c r="G11" s="82">
        <v>3.6923470878480704</v>
      </c>
      <c r="H11" s="82">
        <v>3.6923470878480704</v>
      </c>
      <c r="I11" s="82">
        <v>3.6923470878480704</v>
      </c>
      <c r="J11" s="82">
        <v>3.6923470878480704</v>
      </c>
      <c r="K11" s="82">
        <v>3.6923470878480704</v>
      </c>
      <c r="L11" s="82">
        <v>3.6923470878480704</v>
      </c>
      <c r="M11" s="82">
        <v>3.6923470878480704</v>
      </c>
      <c r="N11" s="82">
        <v>3.6923470878480704</v>
      </c>
      <c r="O11" s="82">
        <v>3.6923470878480704</v>
      </c>
      <c r="P11" s="82">
        <v>3.6923470878480704</v>
      </c>
      <c r="Q11" s="82">
        <v>3.6923470878480704</v>
      </c>
      <c r="R11" s="82">
        <v>3.6923470878480704</v>
      </c>
      <c r="S11" s="82">
        <v>3.6923470878480704</v>
      </c>
      <c r="T11" s="82">
        <v>3.6923470878480704</v>
      </c>
      <c r="U11" s="82">
        <v>3.6923470878480704</v>
      </c>
      <c r="V11" s="82">
        <v>3.6923470878480704</v>
      </c>
      <c r="W11" s="82">
        <v>3.6923470878480704</v>
      </c>
      <c r="X11" s="82">
        <v>3.6923470878480704</v>
      </c>
      <c r="Y11" s="82">
        <v>3.6923470878480704</v>
      </c>
      <c r="Z11" s="83">
        <f t="shared" si="0"/>
        <v>88.616330108353736</v>
      </c>
      <c r="AA11" s="50">
        <v>30</v>
      </c>
      <c r="AB11" s="65">
        <f t="shared" si="1"/>
        <v>2658.4899032506119</v>
      </c>
      <c r="AD11" s="70" t="s">
        <v>44</v>
      </c>
    </row>
    <row r="12" spans="1:36" ht="15.75" x14ac:dyDescent="0.25">
      <c r="A12" s="64">
        <v>46143</v>
      </c>
      <c r="B12" s="82">
        <v>3.6923470878480704</v>
      </c>
      <c r="C12" s="82">
        <v>3.6923470878480704</v>
      </c>
      <c r="D12" s="82">
        <v>3.6923470878480704</v>
      </c>
      <c r="E12" s="82">
        <v>3.6923470878480704</v>
      </c>
      <c r="F12" s="82">
        <v>3.6923470878480704</v>
      </c>
      <c r="G12" s="82">
        <v>3.6923470878480704</v>
      </c>
      <c r="H12" s="82">
        <v>3.6923470878480704</v>
      </c>
      <c r="I12" s="82">
        <v>3.6923470878480704</v>
      </c>
      <c r="J12" s="82">
        <v>3.6923470878480704</v>
      </c>
      <c r="K12" s="82">
        <v>3.6923470878480704</v>
      </c>
      <c r="L12" s="82">
        <v>3.6923470878480704</v>
      </c>
      <c r="M12" s="82">
        <v>3.6923470878480704</v>
      </c>
      <c r="N12" s="82">
        <v>3.6923470878480704</v>
      </c>
      <c r="O12" s="82">
        <v>3.6923470878480704</v>
      </c>
      <c r="P12" s="82">
        <v>3.6923470878480704</v>
      </c>
      <c r="Q12" s="82">
        <v>3.6923470878480704</v>
      </c>
      <c r="R12" s="82">
        <v>3.6923470878480704</v>
      </c>
      <c r="S12" s="82">
        <v>3.6923470878480704</v>
      </c>
      <c r="T12" s="82">
        <v>3.6923470878480704</v>
      </c>
      <c r="U12" s="82">
        <v>3.6923470878480704</v>
      </c>
      <c r="V12" s="82">
        <v>3.6923470878480704</v>
      </c>
      <c r="W12" s="82">
        <v>3.6923470878480704</v>
      </c>
      <c r="X12" s="82">
        <v>3.6923470878480704</v>
      </c>
      <c r="Y12" s="82">
        <v>3.6923470878480704</v>
      </c>
      <c r="Z12" s="83">
        <f t="shared" si="0"/>
        <v>88.616330108353736</v>
      </c>
      <c r="AA12" s="50">
        <v>31</v>
      </c>
      <c r="AB12" s="65">
        <f t="shared" si="1"/>
        <v>2747.1062333589657</v>
      </c>
      <c r="AD12" s="70" t="s">
        <v>44</v>
      </c>
    </row>
    <row r="13" spans="1:36" ht="15.75" x14ac:dyDescent="0.25">
      <c r="A13" s="64">
        <v>46174</v>
      </c>
      <c r="B13" s="82">
        <v>3.6923470878480704</v>
      </c>
      <c r="C13" s="82">
        <v>3.6923470878480704</v>
      </c>
      <c r="D13" s="82">
        <v>3.6923470878480704</v>
      </c>
      <c r="E13" s="82">
        <v>3.6923470878480704</v>
      </c>
      <c r="F13" s="82">
        <v>3.6923470878480704</v>
      </c>
      <c r="G13" s="82">
        <v>3.6923470878480704</v>
      </c>
      <c r="H13" s="82">
        <v>3.6923470878480704</v>
      </c>
      <c r="I13" s="82">
        <v>3.6923470878480704</v>
      </c>
      <c r="J13" s="82">
        <v>3.6923470878480704</v>
      </c>
      <c r="K13" s="82">
        <v>3.6923470878480704</v>
      </c>
      <c r="L13" s="82">
        <v>3.6923470878480704</v>
      </c>
      <c r="M13" s="82">
        <v>3.6923470878480704</v>
      </c>
      <c r="N13" s="82">
        <v>3.6923470878480704</v>
      </c>
      <c r="O13" s="82">
        <v>3.6923470878480704</v>
      </c>
      <c r="P13" s="82">
        <v>3.6923470878480704</v>
      </c>
      <c r="Q13" s="82">
        <v>3.6923470878480704</v>
      </c>
      <c r="R13" s="82">
        <v>3.6923470878480704</v>
      </c>
      <c r="S13" s="82">
        <v>3.6923470878480704</v>
      </c>
      <c r="T13" s="82">
        <v>3.6923470878480704</v>
      </c>
      <c r="U13" s="82">
        <v>3.6923470878480704</v>
      </c>
      <c r="V13" s="82">
        <v>3.6923470878480704</v>
      </c>
      <c r="W13" s="82">
        <v>3.6923470878480704</v>
      </c>
      <c r="X13" s="82">
        <v>3.6923470878480704</v>
      </c>
      <c r="Y13" s="82">
        <v>3.6923470878480704</v>
      </c>
      <c r="Z13" s="83">
        <f t="shared" si="0"/>
        <v>88.616330108353736</v>
      </c>
      <c r="AA13" s="50">
        <v>30</v>
      </c>
      <c r="AB13" s="65">
        <f t="shared" si="1"/>
        <v>2658.4899032506119</v>
      </c>
      <c r="AD13" s="70" t="s">
        <v>44</v>
      </c>
    </row>
    <row r="14" spans="1:36" ht="15.75" x14ac:dyDescent="0.25">
      <c r="A14" s="64">
        <v>46204</v>
      </c>
      <c r="B14" s="82">
        <v>3.6923470878480704</v>
      </c>
      <c r="C14" s="82">
        <v>3.6923470878480704</v>
      </c>
      <c r="D14" s="82">
        <v>3.6923470878480704</v>
      </c>
      <c r="E14" s="82">
        <v>3.6923470878480704</v>
      </c>
      <c r="F14" s="82">
        <v>3.6923470878480704</v>
      </c>
      <c r="G14" s="82">
        <v>3.6923470878480704</v>
      </c>
      <c r="H14" s="82">
        <v>3.6923470878480704</v>
      </c>
      <c r="I14" s="82">
        <v>3.6923470878480704</v>
      </c>
      <c r="J14" s="82">
        <v>3.6923470878480704</v>
      </c>
      <c r="K14" s="82">
        <v>3.6923470878480704</v>
      </c>
      <c r="L14" s="82">
        <v>3.6923470878480704</v>
      </c>
      <c r="M14" s="82">
        <v>3.6923470878480704</v>
      </c>
      <c r="N14" s="82">
        <v>3.6923470878480704</v>
      </c>
      <c r="O14" s="82">
        <v>3.6923470878480704</v>
      </c>
      <c r="P14" s="82">
        <v>3.6923470878480704</v>
      </c>
      <c r="Q14" s="82">
        <v>3.6923470878480704</v>
      </c>
      <c r="R14" s="82">
        <v>3.6923470878480704</v>
      </c>
      <c r="S14" s="82">
        <v>3.6923470878480704</v>
      </c>
      <c r="T14" s="82">
        <v>3.6923470878480704</v>
      </c>
      <c r="U14" s="82">
        <v>3.6923470878480704</v>
      </c>
      <c r="V14" s="82">
        <v>3.6923470878480704</v>
      </c>
      <c r="W14" s="82">
        <v>3.6923470878480704</v>
      </c>
      <c r="X14" s="82">
        <v>3.6923470878480704</v>
      </c>
      <c r="Y14" s="82">
        <v>3.6923470878480704</v>
      </c>
      <c r="Z14" s="83">
        <f t="shared" si="0"/>
        <v>88.616330108353736</v>
      </c>
      <c r="AA14" s="50">
        <v>31</v>
      </c>
      <c r="AB14" s="65">
        <f t="shared" si="1"/>
        <v>2747.1062333589657</v>
      </c>
      <c r="AD14" s="70" t="s">
        <v>44</v>
      </c>
    </row>
    <row r="15" spans="1:36" ht="15.75" x14ac:dyDescent="0.25">
      <c r="A15" s="64">
        <v>46235</v>
      </c>
      <c r="B15" s="82">
        <v>3.6923470878480704</v>
      </c>
      <c r="C15" s="82">
        <v>3.6923470878480704</v>
      </c>
      <c r="D15" s="82">
        <v>3.6923470878480704</v>
      </c>
      <c r="E15" s="82">
        <v>3.6923470878480704</v>
      </c>
      <c r="F15" s="82">
        <v>3.6923470878480704</v>
      </c>
      <c r="G15" s="82">
        <v>3.6923470878480704</v>
      </c>
      <c r="H15" s="82">
        <v>3.6923470878480704</v>
      </c>
      <c r="I15" s="82">
        <v>3.6923470878480704</v>
      </c>
      <c r="J15" s="82">
        <v>3.6923470878480704</v>
      </c>
      <c r="K15" s="82">
        <v>3.6923470878480704</v>
      </c>
      <c r="L15" s="82">
        <v>3.6923470878480704</v>
      </c>
      <c r="M15" s="82">
        <v>3.6923470878480704</v>
      </c>
      <c r="N15" s="82">
        <v>3.6923470878480704</v>
      </c>
      <c r="O15" s="82">
        <v>3.6923470878480704</v>
      </c>
      <c r="P15" s="82">
        <v>3.6923470878480704</v>
      </c>
      <c r="Q15" s="82">
        <v>3.6923470878480704</v>
      </c>
      <c r="R15" s="82">
        <v>3.6923470878480704</v>
      </c>
      <c r="S15" s="82">
        <v>3.6923470878480704</v>
      </c>
      <c r="T15" s="82">
        <v>3.6923470878480704</v>
      </c>
      <c r="U15" s="82">
        <v>3.6923470878480704</v>
      </c>
      <c r="V15" s="82">
        <v>3.6923470878480704</v>
      </c>
      <c r="W15" s="82">
        <v>3.6923470878480704</v>
      </c>
      <c r="X15" s="82">
        <v>3.6923470878480704</v>
      </c>
      <c r="Y15" s="82">
        <v>3.6923470878480704</v>
      </c>
      <c r="Z15" s="83">
        <f t="shared" si="0"/>
        <v>88.616330108353736</v>
      </c>
      <c r="AA15" s="50">
        <v>31</v>
      </c>
      <c r="AB15" s="65">
        <f t="shared" si="1"/>
        <v>2747.1062333589657</v>
      </c>
      <c r="AD15" s="70" t="s">
        <v>44</v>
      </c>
    </row>
    <row r="16" spans="1:36" ht="15.75" x14ac:dyDescent="0.25">
      <c r="A16" s="64">
        <v>46266</v>
      </c>
      <c r="B16" s="82">
        <v>3.6923470878480704</v>
      </c>
      <c r="C16" s="82">
        <v>3.6923470878480704</v>
      </c>
      <c r="D16" s="82">
        <v>3.6923470878480704</v>
      </c>
      <c r="E16" s="82">
        <v>3.6923470878480704</v>
      </c>
      <c r="F16" s="82">
        <v>3.6923470878480704</v>
      </c>
      <c r="G16" s="82">
        <v>3.6923470878480704</v>
      </c>
      <c r="H16" s="82">
        <v>3.6923470878480704</v>
      </c>
      <c r="I16" s="82">
        <v>3.6923470878480704</v>
      </c>
      <c r="J16" s="82">
        <v>3.6923470878480704</v>
      </c>
      <c r="K16" s="82">
        <v>3.6923470878480704</v>
      </c>
      <c r="L16" s="82">
        <v>3.6923470878480704</v>
      </c>
      <c r="M16" s="82">
        <v>3.6923470878480704</v>
      </c>
      <c r="N16" s="82">
        <v>3.6923470878480704</v>
      </c>
      <c r="O16" s="82">
        <v>3.6923470878480704</v>
      </c>
      <c r="P16" s="82">
        <v>3.6923470878480704</v>
      </c>
      <c r="Q16" s="82">
        <v>3.6923470878480704</v>
      </c>
      <c r="R16" s="82">
        <v>3.6923470878480704</v>
      </c>
      <c r="S16" s="82">
        <v>3.6923470878480704</v>
      </c>
      <c r="T16" s="82">
        <v>3.6923470878480704</v>
      </c>
      <c r="U16" s="82">
        <v>3.6923470878480704</v>
      </c>
      <c r="V16" s="82">
        <v>3.6923470878480704</v>
      </c>
      <c r="W16" s="82">
        <v>3.6923470878480704</v>
      </c>
      <c r="X16" s="82">
        <v>3.6923470878480704</v>
      </c>
      <c r="Y16" s="82">
        <v>3.6923470878480704</v>
      </c>
      <c r="Z16" s="83">
        <f t="shared" si="0"/>
        <v>88.616330108353736</v>
      </c>
      <c r="AA16" s="50">
        <v>30</v>
      </c>
      <c r="AB16" s="65">
        <f t="shared" si="1"/>
        <v>2658.4899032506119</v>
      </c>
      <c r="AD16" s="70" t="s">
        <v>44</v>
      </c>
    </row>
    <row r="17" spans="1:30" ht="15.75" x14ac:dyDescent="0.25">
      <c r="A17" s="64">
        <v>46296</v>
      </c>
      <c r="B17" s="82">
        <v>3.6923470878480704</v>
      </c>
      <c r="C17" s="82">
        <v>3.6923470878480704</v>
      </c>
      <c r="D17" s="82">
        <v>3.6923470878480704</v>
      </c>
      <c r="E17" s="82">
        <v>3.6923470878480704</v>
      </c>
      <c r="F17" s="82">
        <v>3.6923470878480704</v>
      </c>
      <c r="G17" s="82">
        <v>3.6923470878480704</v>
      </c>
      <c r="H17" s="82">
        <v>3.6923470878480704</v>
      </c>
      <c r="I17" s="82">
        <v>3.6923470878480704</v>
      </c>
      <c r="J17" s="82">
        <v>3.6923470878480704</v>
      </c>
      <c r="K17" s="82">
        <v>3.6923470878480704</v>
      </c>
      <c r="L17" s="82">
        <v>3.6923470878480704</v>
      </c>
      <c r="M17" s="82">
        <v>3.6923470878480704</v>
      </c>
      <c r="N17" s="82">
        <v>3.6923470878480704</v>
      </c>
      <c r="O17" s="82">
        <v>3.6923470878480704</v>
      </c>
      <c r="P17" s="82">
        <v>3.6923470878480704</v>
      </c>
      <c r="Q17" s="82">
        <v>3.6923470878480704</v>
      </c>
      <c r="R17" s="82">
        <v>3.6923470878480704</v>
      </c>
      <c r="S17" s="82">
        <v>3.6923470878480704</v>
      </c>
      <c r="T17" s="82">
        <v>3.6923470878480704</v>
      </c>
      <c r="U17" s="82">
        <v>3.6923470878480704</v>
      </c>
      <c r="V17" s="82">
        <v>3.6923470878480704</v>
      </c>
      <c r="W17" s="82">
        <v>3.6923470878480704</v>
      </c>
      <c r="X17" s="82">
        <v>3.6923470878480704</v>
      </c>
      <c r="Y17" s="82">
        <v>3.6923470878480704</v>
      </c>
      <c r="Z17" s="83">
        <f t="shared" si="0"/>
        <v>88.616330108353736</v>
      </c>
      <c r="AA17" s="50">
        <v>31</v>
      </c>
      <c r="AB17" s="65">
        <f t="shared" si="1"/>
        <v>2747.1062333589657</v>
      </c>
      <c r="AD17" s="70" t="s">
        <v>44</v>
      </c>
    </row>
    <row r="18" spans="1:30" ht="15.75" x14ac:dyDescent="0.25">
      <c r="A18" s="64">
        <v>46327</v>
      </c>
      <c r="B18" s="82">
        <v>3.6923470878480704</v>
      </c>
      <c r="C18" s="82">
        <v>3.6923470878480704</v>
      </c>
      <c r="D18" s="82">
        <v>3.6923470878480704</v>
      </c>
      <c r="E18" s="82">
        <v>3.6923470878480704</v>
      </c>
      <c r="F18" s="82">
        <v>3.6923470878480704</v>
      </c>
      <c r="G18" s="82">
        <v>3.6923470878480704</v>
      </c>
      <c r="H18" s="82">
        <v>3.6923470878480704</v>
      </c>
      <c r="I18" s="82">
        <v>3.6923470878480704</v>
      </c>
      <c r="J18" s="82">
        <v>3.6923470878480704</v>
      </c>
      <c r="K18" s="82">
        <v>3.6923470878480704</v>
      </c>
      <c r="L18" s="82">
        <v>3.6923470878480704</v>
      </c>
      <c r="M18" s="82">
        <v>3.6923470878480704</v>
      </c>
      <c r="N18" s="82">
        <v>3.6923470878480704</v>
      </c>
      <c r="O18" s="82">
        <v>3.6923470878480704</v>
      </c>
      <c r="P18" s="82">
        <v>3.6923470878480704</v>
      </c>
      <c r="Q18" s="82">
        <v>3.6923470878480704</v>
      </c>
      <c r="R18" s="82">
        <v>3.6923470878480704</v>
      </c>
      <c r="S18" s="82">
        <v>3.6923470878480704</v>
      </c>
      <c r="T18" s="82">
        <v>3.6923470878480704</v>
      </c>
      <c r="U18" s="82">
        <v>3.6923470878480704</v>
      </c>
      <c r="V18" s="82">
        <v>3.6923470878480704</v>
      </c>
      <c r="W18" s="82">
        <v>3.6923470878480704</v>
      </c>
      <c r="X18" s="82">
        <v>3.6923470878480704</v>
      </c>
      <c r="Y18" s="82">
        <v>3.6923470878480704</v>
      </c>
      <c r="Z18" s="83">
        <f t="shared" si="0"/>
        <v>88.616330108353736</v>
      </c>
      <c r="AA18" s="50">
        <v>30</v>
      </c>
      <c r="AB18" s="65">
        <f t="shared" si="1"/>
        <v>2658.4899032506119</v>
      </c>
      <c r="AD18" s="70" t="s">
        <v>44</v>
      </c>
    </row>
    <row r="19" spans="1:30" ht="16.5" thickBot="1" x14ac:dyDescent="0.3">
      <c r="A19" s="66">
        <v>46357</v>
      </c>
      <c r="B19" s="84">
        <v>3.6923470878480704</v>
      </c>
      <c r="C19" s="84">
        <v>3.6923470878480704</v>
      </c>
      <c r="D19" s="84">
        <v>3.6923470878480704</v>
      </c>
      <c r="E19" s="84">
        <v>3.6923470878480704</v>
      </c>
      <c r="F19" s="84">
        <v>3.6923470878480704</v>
      </c>
      <c r="G19" s="84">
        <v>3.6923470878480704</v>
      </c>
      <c r="H19" s="84">
        <v>3.6923470878480704</v>
      </c>
      <c r="I19" s="84">
        <v>3.6923470878480704</v>
      </c>
      <c r="J19" s="84">
        <v>3.6923470878480704</v>
      </c>
      <c r="K19" s="84">
        <v>3.6923470878480704</v>
      </c>
      <c r="L19" s="84">
        <v>3.6923470878480704</v>
      </c>
      <c r="M19" s="84">
        <v>3.6923470878480704</v>
      </c>
      <c r="N19" s="84">
        <v>3.6923470878480704</v>
      </c>
      <c r="O19" s="84">
        <v>3.6923470878480704</v>
      </c>
      <c r="P19" s="84">
        <v>3.6923470878480704</v>
      </c>
      <c r="Q19" s="84">
        <v>3.6923470878480704</v>
      </c>
      <c r="R19" s="84">
        <v>3.6923470878480704</v>
      </c>
      <c r="S19" s="84">
        <v>3.6923470878480704</v>
      </c>
      <c r="T19" s="84">
        <v>3.6923470878480704</v>
      </c>
      <c r="U19" s="84">
        <v>3.6923470878480704</v>
      </c>
      <c r="V19" s="84">
        <v>3.6923470878480704</v>
      </c>
      <c r="W19" s="84">
        <v>3.6923470878480704</v>
      </c>
      <c r="X19" s="84">
        <v>3.6923470878480704</v>
      </c>
      <c r="Y19" s="84">
        <v>3.6923470878480704</v>
      </c>
      <c r="Z19" s="85">
        <f t="shared" si="0"/>
        <v>88.616330108353736</v>
      </c>
      <c r="AA19" s="52">
        <v>31</v>
      </c>
      <c r="AB19" s="67">
        <f t="shared" si="1"/>
        <v>2747.1062333589657</v>
      </c>
      <c r="AD19" s="70" t="s">
        <v>44</v>
      </c>
    </row>
    <row r="20" spans="1:30" ht="15.75" x14ac:dyDescent="0.25">
      <c r="A20"/>
      <c r="B20" s="86"/>
      <c r="C20" s="79"/>
      <c r="D20" s="79"/>
      <c r="E20" s="79"/>
      <c r="F20" s="79"/>
      <c r="G20" s="79"/>
      <c r="H20" s="79"/>
      <c r="I20" s="79"/>
      <c r="J20" s="79"/>
      <c r="K20" s="79"/>
      <c r="L20" s="79"/>
      <c r="M20" s="79"/>
      <c r="N20" s="79"/>
      <c r="O20" s="79"/>
      <c r="P20" s="79"/>
      <c r="Q20" s="79"/>
      <c r="R20" s="79"/>
      <c r="S20" s="79"/>
      <c r="T20" s="79"/>
      <c r="U20" s="79"/>
      <c r="V20" s="79"/>
      <c r="W20" s="79"/>
      <c r="X20" s="79"/>
      <c r="Y20" s="79"/>
      <c r="Z20" s="78"/>
      <c r="AA20" s="38"/>
      <c r="AB20"/>
    </row>
    <row r="21" spans="1:30" ht="16.5" thickBot="1" x14ac:dyDescent="0.3">
      <c r="A21"/>
      <c r="B21" s="86"/>
      <c r="C21" s="79"/>
      <c r="D21" s="79"/>
      <c r="E21" s="79"/>
      <c r="F21" s="79"/>
      <c r="G21" s="79"/>
      <c r="H21" s="79"/>
      <c r="I21" s="79"/>
      <c r="J21" s="79"/>
      <c r="K21" s="79"/>
      <c r="L21" s="79"/>
      <c r="M21" s="79"/>
      <c r="N21" s="79"/>
      <c r="O21" s="79"/>
      <c r="P21" s="79"/>
      <c r="Q21" s="79"/>
      <c r="R21" s="79"/>
      <c r="S21" s="79"/>
      <c r="T21" s="79"/>
      <c r="U21" s="79"/>
      <c r="V21" s="79"/>
      <c r="W21" s="79"/>
      <c r="X21" s="79"/>
      <c r="Y21" s="79"/>
      <c r="Z21" s="78"/>
      <c r="AA21" s="38"/>
      <c r="AB21"/>
    </row>
    <row r="22" spans="1:30" ht="16.5" thickBot="1" x14ac:dyDescent="0.3">
      <c r="A22" s="36" t="s">
        <v>36</v>
      </c>
      <c r="B22" s="79"/>
      <c r="C22" s="79"/>
      <c r="D22" s="79"/>
      <c r="E22" s="87"/>
      <c r="F22" s="79"/>
      <c r="G22" s="79"/>
      <c r="H22" s="79"/>
      <c r="I22" s="79"/>
      <c r="J22" s="79"/>
      <c r="K22" s="79"/>
      <c r="L22" s="79"/>
      <c r="M22" s="79"/>
      <c r="N22" s="79"/>
      <c r="O22" s="79"/>
      <c r="P22" s="79"/>
      <c r="Q22" s="79"/>
      <c r="R22" s="79"/>
      <c r="S22" s="79"/>
      <c r="T22" s="79"/>
      <c r="U22" s="79"/>
      <c r="V22" s="79"/>
      <c r="W22" s="79"/>
      <c r="X22" s="79"/>
      <c r="Y22" s="79"/>
      <c r="Z22" s="78"/>
      <c r="AA22" s="38"/>
      <c r="AB22"/>
    </row>
    <row r="23" spans="1:30" ht="16.5" thickBot="1" x14ac:dyDescent="0.3">
      <c r="A23"/>
      <c r="B23" s="86"/>
      <c r="C23" s="79"/>
      <c r="D23" s="79"/>
      <c r="E23" s="79"/>
      <c r="F23" s="79"/>
      <c r="G23" s="79"/>
      <c r="H23" s="79"/>
      <c r="I23" s="79"/>
      <c r="J23" s="79"/>
      <c r="K23" s="79"/>
      <c r="L23" s="79"/>
      <c r="M23" s="79"/>
      <c r="N23" s="79"/>
      <c r="O23" s="79"/>
      <c r="P23" s="79"/>
      <c r="Q23" s="79"/>
      <c r="R23" s="79"/>
      <c r="S23" s="79"/>
      <c r="T23" s="79"/>
      <c r="U23" s="79"/>
      <c r="V23" s="79"/>
      <c r="W23" s="79"/>
      <c r="X23" s="79"/>
      <c r="Y23" s="79"/>
      <c r="Z23" s="78"/>
      <c r="AA23"/>
      <c r="AB23"/>
    </row>
    <row r="24" spans="1:30" ht="15.75" thickBot="1" x14ac:dyDescent="0.25">
      <c r="A24" s="104" t="s">
        <v>10</v>
      </c>
      <c r="B24" s="100" t="s">
        <v>11</v>
      </c>
      <c r="C24" s="100" t="s">
        <v>12</v>
      </c>
      <c r="D24" s="100" t="s">
        <v>13</v>
      </c>
      <c r="E24" s="100" t="s">
        <v>14</v>
      </c>
      <c r="F24" s="100" t="s">
        <v>15</v>
      </c>
      <c r="G24" s="100" t="s">
        <v>16</v>
      </c>
      <c r="H24" s="100" t="s">
        <v>17</v>
      </c>
      <c r="I24" s="100" t="s">
        <v>18</v>
      </c>
      <c r="J24" s="100" t="s">
        <v>19</v>
      </c>
      <c r="K24" s="100" t="s">
        <v>20</v>
      </c>
      <c r="L24" s="100" t="s">
        <v>21</v>
      </c>
      <c r="M24" s="100" t="s">
        <v>22</v>
      </c>
      <c r="N24" s="100" t="s">
        <v>23</v>
      </c>
      <c r="O24" s="100" t="s">
        <v>24</v>
      </c>
      <c r="P24" s="100" t="s">
        <v>25</v>
      </c>
      <c r="Q24" s="100" t="s">
        <v>26</v>
      </c>
      <c r="R24" s="100" t="s">
        <v>27</v>
      </c>
      <c r="S24" s="100" t="s">
        <v>28</v>
      </c>
      <c r="T24" s="100" t="s">
        <v>29</v>
      </c>
      <c r="U24" s="100" t="s">
        <v>30</v>
      </c>
      <c r="V24" s="100" t="s">
        <v>31</v>
      </c>
      <c r="W24" s="100" t="s">
        <v>32</v>
      </c>
      <c r="X24" s="100" t="s">
        <v>33</v>
      </c>
      <c r="Y24" s="100" t="s">
        <v>34</v>
      </c>
      <c r="Z24" s="100" t="s">
        <v>6</v>
      </c>
      <c r="AA24" s="100" t="s">
        <v>35</v>
      </c>
      <c r="AB24" s="102"/>
      <c r="AD24" s="71"/>
    </row>
    <row r="25" spans="1:30" ht="15.75" x14ac:dyDescent="0.25">
      <c r="A25" s="62">
        <f>+A8</f>
        <v>46023</v>
      </c>
      <c r="B25" s="90">
        <f>+B8*$AA25</f>
        <v>114.46275972329018</v>
      </c>
      <c r="C25" s="90">
        <f t="shared" ref="C25:Y25" si="2">+C8*$AA25</f>
        <v>114.46275972329018</v>
      </c>
      <c r="D25" s="90">
        <f t="shared" si="2"/>
        <v>114.46275972329018</v>
      </c>
      <c r="E25" s="90">
        <f t="shared" si="2"/>
        <v>114.46275972329018</v>
      </c>
      <c r="F25" s="90">
        <f t="shared" si="2"/>
        <v>114.46275972329018</v>
      </c>
      <c r="G25" s="90">
        <f t="shared" si="2"/>
        <v>114.46275972329018</v>
      </c>
      <c r="H25" s="90">
        <f t="shared" si="2"/>
        <v>114.46275972329018</v>
      </c>
      <c r="I25" s="90">
        <f t="shared" si="2"/>
        <v>114.46275972329018</v>
      </c>
      <c r="J25" s="90">
        <f t="shared" si="2"/>
        <v>114.46275972329018</v>
      </c>
      <c r="K25" s="90">
        <f t="shared" si="2"/>
        <v>114.46275972329018</v>
      </c>
      <c r="L25" s="90">
        <f t="shared" si="2"/>
        <v>114.46275972329018</v>
      </c>
      <c r="M25" s="90">
        <f t="shared" si="2"/>
        <v>114.46275972329018</v>
      </c>
      <c r="N25" s="90">
        <f t="shared" si="2"/>
        <v>114.46275972329018</v>
      </c>
      <c r="O25" s="90">
        <f t="shared" si="2"/>
        <v>114.46275972329018</v>
      </c>
      <c r="P25" s="90">
        <f t="shared" si="2"/>
        <v>114.46275972329018</v>
      </c>
      <c r="Q25" s="90">
        <f t="shared" si="2"/>
        <v>114.46275972329018</v>
      </c>
      <c r="R25" s="90">
        <f t="shared" si="2"/>
        <v>114.46275972329018</v>
      </c>
      <c r="S25" s="90">
        <f t="shared" si="2"/>
        <v>114.46275972329018</v>
      </c>
      <c r="T25" s="90">
        <f t="shared" si="2"/>
        <v>114.46275972329018</v>
      </c>
      <c r="U25" s="90">
        <f t="shared" si="2"/>
        <v>114.46275972329018</v>
      </c>
      <c r="V25" s="90">
        <f t="shared" si="2"/>
        <v>114.46275972329018</v>
      </c>
      <c r="W25" s="90">
        <f t="shared" si="2"/>
        <v>114.46275972329018</v>
      </c>
      <c r="X25" s="90">
        <f t="shared" si="2"/>
        <v>114.46275972329018</v>
      </c>
      <c r="Y25" s="90">
        <f t="shared" si="2"/>
        <v>114.46275972329018</v>
      </c>
      <c r="Z25" s="106">
        <f t="shared" ref="Z25:Z36" si="3">SUM(B25:Y25)</f>
        <v>2747.1062333589648</v>
      </c>
      <c r="AA25" s="47">
        <f>+AA8</f>
        <v>31</v>
      </c>
      <c r="AB25" s="63"/>
      <c r="AD25" s="71"/>
    </row>
    <row r="26" spans="1:30" ht="15.75" x14ac:dyDescent="0.25">
      <c r="A26" s="64">
        <f t="shared" ref="A26:A36" si="4">+A9</f>
        <v>46054</v>
      </c>
      <c r="B26" s="101">
        <f t="shared" ref="B26" si="5">+B9*$AA26</f>
        <v>103.38571845974597</v>
      </c>
      <c r="C26" s="101">
        <f t="shared" ref="C26:Y26" si="6">+C9*$AA26</f>
        <v>103.38571845974597</v>
      </c>
      <c r="D26" s="101">
        <f t="shared" si="6"/>
        <v>103.38571845974597</v>
      </c>
      <c r="E26" s="101">
        <f t="shared" si="6"/>
        <v>103.38571845974597</v>
      </c>
      <c r="F26" s="101">
        <f t="shared" si="6"/>
        <v>103.38571845974597</v>
      </c>
      <c r="G26" s="101">
        <f t="shared" si="6"/>
        <v>103.38571845974597</v>
      </c>
      <c r="H26" s="101">
        <f t="shared" si="6"/>
        <v>103.38571845974597</v>
      </c>
      <c r="I26" s="101">
        <f t="shared" si="6"/>
        <v>103.38571845974597</v>
      </c>
      <c r="J26" s="101">
        <f t="shared" si="6"/>
        <v>103.38571845974597</v>
      </c>
      <c r="K26" s="101">
        <f t="shared" si="6"/>
        <v>103.38571845974597</v>
      </c>
      <c r="L26" s="101">
        <f t="shared" si="6"/>
        <v>103.38571845974597</v>
      </c>
      <c r="M26" s="101">
        <f t="shared" si="6"/>
        <v>103.38571845974597</v>
      </c>
      <c r="N26" s="101">
        <f t="shared" si="6"/>
        <v>103.38571845974597</v>
      </c>
      <c r="O26" s="101">
        <f t="shared" si="6"/>
        <v>103.38571845974597</v>
      </c>
      <c r="P26" s="101">
        <f t="shared" si="6"/>
        <v>103.38571845974597</v>
      </c>
      <c r="Q26" s="101">
        <f t="shared" si="6"/>
        <v>103.38571845974597</v>
      </c>
      <c r="R26" s="101">
        <f t="shared" si="6"/>
        <v>103.38571845974597</v>
      </c>
      <c r="S26" s="101">
        <f t="shared" si="6"/>
        <v>103.38571845974597</v>
      </c>
      <c r="T26" s="101">
        <f t="shared" si="6"/>
        <v>103.38571845974597</v>
      </c>
      <c r="U26" s="101">
        <f t="shared" si="6"/>
        <v>103.38571845974597</v>
      </c>
      <c r="V26" s="101">
        <f t="shared" si="6"/>
        <v>103.38571845974597</v>
      </c>
      <c r="W26" s="101">
        <f t="shared" si="6"/>
        <v>103.38571845974597</v>
      </c>
      <c r="X26" s="101">
        <f t="shared" si="6"/>
        <v>103.38571845974597</v>
      </c>
      <c r="Y26" s="101">
        <f t="shared" si="6"/>
        <v>103.38571845974597</v>
      </c>
      <c r="Z26" s="105">
        <f t="shared" si="3"/>
        <v>2481.2572430339028</v>
      </c>
      <c r="AA26" s="50">
        <f t="shared" ref="AA26:AA36" si="7">+AA9</f>
        <v>28</v>
      </c>
      <c r="AB26" s="65"/>
      <c r="AD26" s="71"/>
    </row>
    <row r="27" spans="1:30" ht="15.75" x14ac:dyDescent="0.25">
      <c r="A27" s="64">
        <f t="shared" si="4"/>
        <v>46082</v>
      </c>
      <c r="B27" s="101">
        <f t="shared" ref="B27" si="8">+B10*$AA27</f>
        <v>114.46275972329018</v>
      </c>
      <c r="C27" s="101">
        <f t="shared" ref="C27:Y27" si="9">+C10*$AA27</f>
        <v>114.46275972329018</v>
      </c>
      <c r="D27" s="101">
        <f t="shared" si="9"/>
        <v>114.46275972329018</v>
      </c>
      <c r="E27" s="101">
        <f t="shared" si="9"/>
        <v>114.46275972329018</v>
      </c>
      <c r="F27" s="101">
        <f t="shared" si="9"/>
        <v>114.46275972329018</v>
      </c>
      <c r="G27" s="101">
        <f t="shared" si="9"/>
        <v>114.46275972329018</v>
      </c>
      <c r="H27" s="101">
        <f t="shared" si="9"/>
        <v>114.46275972329018</v>
      </c>
      <c r="I27" s="101">
        <f t="shared" si="9"/>
        <v>114.46275972329018</v>
      </c>
      <c r="J27" s="101">
        <f t="shared" si="9"/>
        <v>114.46275972329018</v>
      </c>
      <c r="K27" s="101">
        <f t="shared" si="9"/>
        <v>114.46275972329018</v>
      </c>
      <c r="L27" s="101">
        <f t="shared" si="9"/>
        <v>114.46275972329018</v>
      </c>
      <c r="M27" s="101">
        <f t="shared" si="9"/>
        <v>114.46275972329018</v>
      </c>
      <c r="N27" s="101">
        <f t="shared" si="9"/>
        <v>114.46275972329018</v>
      </c>
      <c r="O27" s="101">
        <f t="shared" si="9"/>
        <v>114.46275972329018</v>
      </c>
      <c r="P27" s="101">
        <f t="shared" si="9"/>
        <v>114.46275972329018</v>
      </c>
      <c r="Q27" s="101">
        <f t="shared" si="9"/>
        <v>114.46275972329018</v>
      </c>
      <c r="R27" s="101">
        <f t="shared" si="9"/>
        <v>114.46275972329018</v>
      </c>
      <c r="S27" s="101">
        <f t="shared" si="9"/>
        <v>114.46275972329018</v>
      </c>
      <c r="T27" s="101">
        <f t="shared" si="9"/>
        <v>114.46275972329018</v>
      </c>
      <c r="U27" s="101">
        <f t="shared" si="9"/>
        <v>114.46275972329018</v>
      </c>
      <c r="V27" s="101">
        <f t="shared" si="9"/>
        <v>114.46275972329018</v>
      </c>
      <c r="W27" s="101">
        <f t="shared" si="9"/>
        <v>114.46275972329018</v>
      </c>
      <c r="X27" s="101">
        <f t="shared" si="9"/>
        <v>114.46275972329018</v>
      </c>
      <c r="Y27" s="101">
        <f t="shared" si="9"/>
        <v>114.46275972329018</v>
      </c>
      <c r="Z27" s="105">
        <f t="shared" si="3"/>
        <v>2747.1062333589648</v>
      </c>
      <c r="AA27" s="50">
        <f t="shared" si="7"/>
        <v>31</v>
      </c>
      <c r="AB27" s="65"/>
      <c r="AD27" s="71"/>
    </row>
    <row r="28" spans="1:30" ht="15.75" x14ac:dyDescent="0.25">
      <c r="A28" s="64">
        <f t="shared" si="4"/>
        <v>46113</v>
      </c>
      <c r="B28" s="101">
        <f t="shared" ref="B28" si="10">+B11*$AA28</f>
        <v>110.77041263544211</v>
      </c>
      <c r="C28" s="101">
        <f t="shared" ref="C28:Y28" si="11">+C11*$AA28</f>
        <v>110.77041263544211</v>
      </c>
      <c r="D28" s="101">
        <f t="shared" si="11"/>
        <v>110.77041263544211</v>
      </c>
      <c r="E28" s="101">
        <f t="shared" si="11"/>
        <v>110.77041263544211</v>
      </c>
      <c r="F28" s="101">
        <f t="shared" si="11"/>
        <v>110.77041263544211</v>
      </c>
      <c r="G28" s="101">
        <f t="shared" si="11"/>
        <v>110.77041263544211</v>
      </c>
      <c r="H28" s="101">
        <f t="shared" si="11"/>
        <v>110.77041263544211</v>
      </c>
      <c r="I28" s="101">
        <f t="shared" si="11"/>
        <v>110.77041263544211</v>
      </c>
      <c r="J28" s="101">
        <f t="shared" si="11"/>
        <v>110.77041263544211</v>
      </c>
      <c r="K28" s="101">
        <f t="shared" si="11"/>
        <v>110.77041263544211</v>
      </c>
      <c r="L28" s="101">
        <f t="shared" si="11"/>
        <v>110.77041263544211</v>
      </c>
      <c r="M28" s="101">
        <f t="shared" si="11"/>
        <v>110.77041263544211</v>
      </c>
      <c r="N28" s="101">
        <f t="shared" si="11"/>
        <v>110.77041263544211</v>
      </c>
      <c r="O28" s="101">
        <f t="shared" si="11"/>
        <v>110.77041263544211</v>
      </c>
      <c r="P28" s="101">
        <f t="shared" si="11"/>
        <v>110.77041263544211</v>
      </c>
      <c r="Q28" s="101">
        <f t="shared" si="11"/>
        <v>110.77041263544211</v>
      </c>
      <c r="R28" s="101">
        <f t="shared" si="11"/>
        <v>110.77041263544211</v>
      </c>
      <c r="S28" s="101">
        <f t="shared" si="11"/>
        <v>110.77041263544211</v>
      </c>
      <c r="T28" s="101">
        <f t="shared" si="11"/>
        <v>110.77041263544211</v>
      </c>
      <c r="U28" s="101">
        <f t="shared" si="11"/>
        <v>110.77041263544211</v>
      </c>
      <c r="V28" s="101">
        <f t="shared" si="11"/>
        <v>110.77041263544211</v>
      </c>
      <c r="W28" s="101">
        <f t="shared" si="11"/>
        <v>110.77041263544211</v>
      </c>
      <c r="X28" s="101">
        <f t="shared" si="11"/>
        <v>110.77041263544211</v>
      </c>
      <c r="Y28" s="101">
        <f t="shared" si="11"/>
        <v>110.77041263544211</v>
      </c>
      <c r="Z28" s="105">
        <f t="shared" si="3"/>
        <v>2658.4899032506105</v>
      </c>
      <c r="AA28" s="50">
        <f t="shared" si="7"/>
        <v>30</v>
      </c>
      <c r="AB28" s="65"/>
      <c r="AD28" s="71"/>
    </row>
    <row r="29" spans="1:30" ht="15.75" x14ac:dyDescent="0.25">
      <c r="A29" s="64">
        <f t="shared" si="4"/>
        <v>46143</v>
      </c>
      <c r="B29" s="101">
        <f t="shared" ref="B29" si="12">+B12*$AA29</f>
        <v>114.46275972329018</v>
      </c>
      <c r="C29" s="101">
        <f t="shared" ref="C29:Y29" si="13">+C12*$AA29</f>
        <v>114.46275972329018</v>
      </c>
      <c r="D29" s="101">
        <f t="shared" si="13"/>
        <v>114.46275972329018</v>
      </c>
      <c r="E29" s="101">
        <f t="shared" si="13"/>
        <v>114.46275972329018</v>
      </c>
      <c r="F29" s="101">
        <f t="shared" si="13"/>
        <v>114.46275972329018</v>
      </c>
      <c r="G29" s="101">
        <f t="shared" si="13"/>
        <v>114.46275972329018</v>
      </c>
      <c r="H29" s="101">
        <f t="shared" si="13"/>
        <v>114.46275972329018</v>
      </c>
      <c r="I29" s="101">
        <f t="shared" si="13"/>
        <v>114.46275972329018</v>
      </c>
      <c r="J29" s="101">
        <f t="shared" si="13"/>
        <v>114.46275972329018</v>
      </c>
      <c r="K29" s="101">
        <f t="shared" si="13"/>
        <v>114.46275972329018</v>
      </c>
      <c r="L29" s="101">
        <f t="shared" si="13"/>
        <v>114.46275972329018</v>
      </c>
      <c r="M29" s="101">
        <f t="shared" si="13"/>
        <v>114.46275972329018</v>
      </c>
      <c r="N29" s="101">
        <f t="shared" si="13"/>
        <v>114.46275972329018</v>
      </c>
      <c r="O29" s="101">
        <f t="shared" si="13"/>
        <v>114.46275972329018</v>
      </c>
      <c r="P29" s="101">
        <f t="shared" si="13"/>
        <v>114.46275972329018</v>
      </c>
      <c r="Q29" s="101">
        <f t="shared" si="13"/>
        <v>114.46275972329018</v>
      </c>
      <c r="R29" s="101">
        <f t="shared" si="13"/>
        <v>114.46275972329018</v>
      </c>
      <c r="S29" s="101">
        <f t="shared" si="13"/>
        <v>114.46275972329018</v>
      </c>
      <c r="T29" s="101">
        <f t="shared" si="13"/>
        <v>114.46275972329018</v>
      </c>
      <c r="U29" s="101">
        <f t="shared" si="13"/>
        <v>114.46275972329018</v>
      </c>
      <c r="V29" s="101">
        <f t="shared" si="13"/>
        <v>114.46275972329018</v>
      </c>
      <c r="W29" s="101">
        <f t="shared" si="13"/>
        <v>114.46275972329018</v>
      </c>
      <c r="X29" s="101">
        <f t="shared" si="13"/>
        <v>114.46275972329018</v>
      </c>
      <c r="Y29" s="101">
        <f t="shared" si="13"/>
        <v>114.46275972329018</v>
      </c>
      <c r="Z29" s="105">
        <f t="shared" si="3"/>
        <v>2747.1062333589648</v>
      </c>
      <c r="AA29" s="50">
        <f t="shared" si="7"/>
        <v>31</v>
      </c>
      <c r="AB29" s="65"/>
      <c r="AD29" s="71"/>
    </row>
    <row r="30" spans="1:30" ht="15.75" x14ac:dyDescent="0.25">
      <c r="A30" s="64">
        <f t="shared" si="4"/>
        <v>46174</v>
      </c>
      <c r="B30" s="101">
        <f t="shared" ref="B30" si="14">+B13*$AA30</f>
        <v>110.77041263544211</v>
      </c>
      <c r="C30" s="101">
        <f t="shared" ref="C30:Y30" si="15">+C13*$AA30</f>
        <v>110.77041263544211</v>
      </c>
      <c r="D30" s="101">
        <f t="shared" si="15"/>
        <v>110.77041263544211</v>
      </c>
      <c r="E30" s="101">
        <f t="shared" si="15"/>
        <v>110.77041263544211</v>
      </c>
      <c r="F30" s="101">
        <f t="shared" si="15"/>
        <v>110.77041263544211</v>
      </c>
      <c r="G30" s="101">
        <f t="shared" si="15"/>
        <v>110.77041263544211</v>
      </c>
      <c r="H30" s="101">
        <f t="shared" si="15"/>
        <v>110.77041263544211</v>
      </c>
      <c r="I30" s="101">
        <f t="shared" si="15"/>
        <v>110.77041263544211</v>
      </c>
      <c r="J30" s="101">
        <f t="shared" si="15"/>
        <v>110.77041263544211</v>
      </c>
      <c r="K30" s="101">
        <f t="shared" si="15"/>
        <v>110.77041263544211</v>
      </c>
      <c r="L30" s="101">
        <f t="shared" si="15"/>
        <v>110.77041263544211</v>
      </c>
      <c r="M30" s="101">
        <f t="shared" si="15"/>
        <v>110.77041263544211</v>
      </c>
      <c r="N30" s="101">
        <f t="shared" si="15"/>
        <v>110.77041263544211</v>
      </c>
      <c r="O30" s="101">
        <f t="shared" si="15"/>
        <v>110.77041263544211</v>
      </c>
      <c r="P30" s="101">
        <f t="shared" si="15"/>
        <v>110.77041263544211</v>
      </c>
      <c r="Q30" s="101">
        <f t="shared" si="15"/>
        <v>110.77041263544211</v>
      </c>
      <c r="R30" s="101">
        <f t="shared" si="15"/>
        <v>110.77041263544211</v>
      </c>
      <c r="S30" s="101">
        <f t="shared" si="15"/>
        <v>110.77041263544211</v>
      </c>
      <c r="T30" s="101">
        <f t="shared" si="15"/>
        <v>110.77041263544211</v>
      </c>
      <c r="U30" s="101">
        <f t="shared" si="15"/>
        <v>110.77041263544211</v>
      </c>
      <c r="V30" s="101">
        <f t="shared" si="15"/>
        <v>110.77041263544211</v>
      </c>
      <c r="W30" s="101">
        <f t="shared" si="15"/>
        <v>110.77041263544211</v>
      </c>
      <c r="X30" s="101">
        <f t="shared" si="15"/>
        <v>110.77041263544211</v>
      </c>
      <c r="Y30" s="101">
        <f t="shared" si="15"/>
        <v>110.77041263544211</v>
      </c>
      <c r="Z30" s="105">
        <f t="shared" si="3"/>
        <v>2658.4899032506105</v>
      </c>
      <c r="AA30" s="50">
        <f t="shared" si="7"/>
        <v>30</v>
      </c>
      <c r="AB30" s="65"/>
      <c r="AD30" s="71"/>
    </row>
    <row r="31" spans="1:30" ht="15.75" x14ac:dyDescent="0.25">
      <c r="A31" s="64">
        <f t="shared" si="4"/>
        <v>46204</v>
      </c>
      <c r="B31" s="101">
        <f t="shared" ref="B31" si="16">+B14*$AA31</f>
        <v>114.46275972329018</v>
      </c>
      <c r="C31" s="101">
        <f t="shared" ref="C31:Y31" si="17">+C14*$AA31</f>
        <v>114.46275972329018</v>
      </c>
      <c r="D31" s="101">
        <f t="shared" si="17"/>
        <v>114.46275972329018</v>
      </c>
      <c r="E31" s="101">
        <f t="shared" si="17"/>
        <v>114.46275972329018</v>
      </c>
      <c r="F31" s="101">
        <f t="shared" si="17"/>
        <v>114.46275972329018</v>
      </c>
      <c r="G31" s="101">
        <f t="shared" si="17"/>
        <v>114.46275972329018</v>
      </c>
      <c r="H31" s="101">
        <f t="shared" si="17"/>
        <v>114.46275972329018</v>
      </c>
      <c r="I31" s="101">
        <f t="shared" si="17"/>
        <v>114.46275972329018</v>
      </c>
      <c r="J31" s="101">
        <f t="shared" si="17"/>
        <v>114.46275972329018</v>
      </c>
      <c r="K31" s="101">
        <f t="shared" si="17"/>
        <v>114.46275972329018</v>
      </c>
      <c r="L31" s="101">
        <f t="shared" si="17"/>
        <v>114.46275972329018</v>
      </c>
      <c r="M31" s="101">
        <f t="shared" si="17"/>
        <v>114.46275972329018</v>
      </c>
      <c r="N31" s="101">
        <f t="shared" si="17"/>
        <v>114.46275972329018</v>
      </c>
      <c r="O31" s="101">
        <f t="shared" si="17"/>
        <v>114.46275972329018</v>
      </c>
      <c r="P31" s="101">
        <f t="shared" si="17"/>
        <v>114.46275972329018</v>
      </c>
      <c r="Q31" s="101">
        <f t="shared" si="17"/>
        <v>114.46275972329018</v>
      </c>
      <c r="R31" s="101">
        <f t="shared" si="17"/>
        <v>114.46275972329018</v>
      </c>
      <c r="S31" s="101">
        <f t="shared" si="17"/>
        <v>114.46275972329018</v>
      </c>
      <c r="T31" s="101">
        <f t="shared" si="17"/>
        <v>114.46275972329018</v>
      </c>
      <c r="U31" s="101">
        <f t="shared" si="17"/>
        <v>114.46275972329018</v>
      </c>
      <c r="V31" s="101">
        <f t="shared" si="17"/>
        <v>114.46275972329018</v>
      </c>
      <c r="W31" s="101">
        <f t="shared" si="17"/>
        <v>114.46275972329018</v>
      </c>
      <c r="X31" s="101">
        <f t="shared" si="17"/>
        <v>114.46275972329018</v>
      </c>
      <c r="Y31" s="101">
        <f t="shared" si="17"/>
        <v>114.46275972329018</v>
      </c>
      <c r="Z31" s="105">
        <f t="shared" si="3"/>
        <v>2747.1062333589648</v>
      </c>
      <c r="AA31" s="50">
        <f t="shared" si="7"/>
        <v>31</v>
      </c>
      <c r="AB31" s="65"/>
      <c r="AD31" s="71"/>
    </row>
    <row r="32" spans="1:30" ht="15.75" x14ac:dyDescent="0.25">
      <c r="A32" s="64">
        <f t="shared" si="4"/>
        <v>46235</v>
      </c>
      <c r="B32" s="101">
        <f t="shared" ref="B32" si="18">+B15*$AA32</f>
        <v>114.46275972329018</v>
      </c>
      <c r="C32" s="101">
        <f t="shared" ref="C32:Y32" si="19">+C15*$AA32</f>
        <v>114.46275972329018</v>
      </c>
      <c r="D32" s="101">
        <f t="shared" si="19"/>
        <v>114.46275972329018</v>
      </c>
      <c r="E32" s="101">
        <f t="shared" si="19"/>
        <v>114.46275972329018</v>
      </c>
      <c r="F32" s="101">
        <f t="shared" si="19"/>
        <v>114.46275972329018</v>
      </c>
      <c r="G32" s="101">
        <f t="shared" si="19"/>
        <v>114.46275972329018</v>
      </c>
      <c r="H32" s="101">
        <f t="shared" si="19"/>
        <v>114.46275972329018</v>
      </c>
      <c r="I32" s="101">
        <f t="shared" si="19"/>
        <v>114.46275972329018</v>
      </c>
      <c r="J32" s="101">
        <f t="shared" si="19"/>
        <v>114.46275972329018</v>
      </c>
      <c r="K32" s="101">
        <f t="shared" si="19"/>
        <v>114.46275972329018</v>
      </c>
      <c r="L32" s="101">
        <f t="shared" si="19"/>
        <v>114.46275972329018</v>
      </c>
      <c r="M32" s="101">
        <f t="shared" si="19"/>
        <v>114.46275972329018</v>
      </c>
      <c r="N32" s="101">
        <f t="shared" si="19"/>
        <v>114.46275972329018</v>
      </c>
      <c r="O32" s="101">
        <f t="shared" si="19"/>
        <v>114.46275972329018</v>
      </c>
      <c r="P32" s="101">
        <f t="shared" si="19"/>
        <v>114.46275972329018</v>
      </c>
      <c r="Q32" s="101">
        <f t="shared" si="19"/>
        <v>114.46275972329018</v>
      </c>
      <c r="R32" s="101">
        <f t="shared" si="19"/>
        <v>114.46275972329018</v>
      </c>
      <c r="S32" s="101">
        <f t="shared" si="19"/>
        <v>114.46275972329018</v>
      </c>
      <c r="T32" s="101">
        <f t="shared" si="19"/>
        <v>114.46275972329018</v>
      </c>
      <c r="U32" s="101">
        <f t="shared" si="19"/>
        <v>114.46275972329018</v>
      </c>
      <c r="V32" s="101">
        <f t="shared" si="19"/>
        <v>114.46275972329018</v>
      </c>
      <c r="W32" s="101">
        <f t="shared" si="19"/>
        <v>114.46275972329018</v>
      </c>
      <c r="X32" s="101">
        <f t="shared" si="19"/>
        <v>114.46275972329018</v>
      </c>
      <c r="Y32" s="101">
        <f t="shared" si="19"/>
        <v>114.46275972329018</v>
      </c>
      <c r="Z32" s="105">
        <f t="shared" si="3"/>
        <v>2747.1062333589648</v>
      </c>
      <c r="AA32" s="50">
        <f t="shared" si="7"/>
        <v>31</v>
      </c>
      <c r="AB32" s="65"/>
      <c r="AD32" s="71"/>
    </row>
    <row r="33" spans="1:30" ht="15.75" x14ac:dyDescent="0.25">
      <c r="A33" s="64">
        <f t="shared" si="4"/>
        <v>46266</v>
      </c>
      <c r="B33" s="101">
        <f t="shared" ref="B33" si="20">+B16*$AA33</f>
        <v>110.77041263544211</v>
      </c>
      <c r="C33" s="101">
        <f t="shared" ref="C33:Y33" si="21">+C16*$AA33</f>
        <v>110.77041263544211</v>
      </c>
      <c r="D33" s="101">
        <f t="shared" si="21"/>
        <v>110.77041263544211</v>
      </c>
      <c r="E33" s="101">
        <f t="shared" si="21"/>
        <v>110.77041263544211</v>
      </c>
      <c r="F33" s="101">
        <f t="shared" si="21"/>
        <v>110.77041263544211</v>
      </c>
      <c r="G33" s="101">
        <f t="shared" si="21"/>
        <v>110.77041263544211</v>
      </c>
      <c r="H33" s="101">
        <f t="shared" si="21"/>
        <v>110.77041263544211</v>
      </c>
      <c r="I33" s="101">
        <f t="shared" si="21"/>
        <v>110.77041263544211</v>
      </c>
      <c r="J33" s="101">
        <f t="shared" si="21"/>
        <v>110.77041263544211</v>
      </c>
      <c r="K33" s="101">
        <f t="shared" si="21"/>
        <v>110.77041263544211</v>
      </c>
      <c r="L33" s="101">
        <f t="shared" si="21"/>
        <v>110.77041263544211</v>
      </c>
      <c r="M33" s="101">
        <f t="shared" si="21"/>
        <v>110.77041263544211</v>
      </c>
      <c r="N33" s="101">
        <f t="shared" si="21"/>
        <v>110.77041263544211</v>
      </c>
      <c r="O33" s="101">
        <f t="shared" si="21"/>
        <v>110.77041263544211</v>
      </c>
      <c r="P33" s="101">
        <f t="shared" si="21"/>
        <v>110.77041263544211</v>
      </c>
      <c r="Q33" s="101">
        <f t="shared" si="21"/>
        <v>110.77041263544211</v>
      </c>
      <c r="R33" s="101">
        <f t="shared" si="21"/>
        <v>110.77041263544211</v>
      </c>
      <c r="S33" s="101">
        <f t="shared" si="21"/>
        <v>110.77041263544211</v>
      </c>
      <c r="T33" s="101">
        <f t="shared" si="21"/>
        <v>110.77041263544211</v>
      </c>
      <c r="U33" s="101">
        <f t="shared" si="21"/>
        <v>110.77041263544211</v>
      </c>
      <c r="V33" s="101">
        <f t="shared" si="21"/>
        <v>110.77041263544211</v>
      </c>
      <c r="W33" s="101">
        <f t="shared" si="21"/>
        <v>110.77041263544211</v>
      </c>
      <c r="X33" s="101">
        <f t="shared" si="21"/>
        <v>110.77041263544211</v>
      </c>
      <c r="Y33" s="101">
        <f t="shared" si="21"/>
        <v>110.77041263544211</v>
      </c>
      <c r="Z33" s="105">
        <f t="shared" si="3"/>
        <v>2658.4899032506105</v>
      </c>
      <c r="AA33" s="50">
        <f t="shared" si="7"/>
        <v>30</v>
      </c>
      <c r="AB33" s="65"/>
      <c r="AD33" s="71"/>
    </row>
    <row r="34" spans="1:30" ht="15.75" x14ac:dyDescent="0.25">
      <c r="A34" s="64">
        <f t="shared" si="4"/>
        <v>46296</v>
      </c>
      <c r="B34" s="101">
        <f t="shared" ref="B34" si="22">+B17*$AA34</f>
        <v>114.46275972329018</v>
      </c>
      <c r="C34" s="101">
        <f t="shared" ref="C34:Y34" si="23">+C17*$AA34</f>
        <v>114.46275972329018</v>
      </c>
      <c r="D34" s="101">
        <f t="shared" si="23"/>
        <v>114.46275972329018</v>
      </c>
      <c r="E34" s="101">
        <f t="shared" si="23"/>
        <v>114.46275972329018</v>
      </c>
      <c r="F34" s="101">
        <f t="shared" si="23"/>
        <v>114.46275972329018</v>
      </c>
      <c r="G34" s="101">
        <f t="shared" si="23"/>
        <v>114.46275972329018</v>
      </c>
      <c r="H34" s="101">
        <f t="shared" si="23"/>
        <v>114.46275972329018</v>
      </c>
      <c r="I34" s="101">
        <f t="shared" si="23"/>
        <v>114.46275972329018</v>
      </c>
      <c r="J34" s="101">
        <f t="shared" si="23"/>
        <v>114.46275972329018</v>
      </c>
      <c r="K34" s="101">
        <f t="shared" si="23"/>
        <v>114.46275972329018</v>
      </c>
      <c r="L34" s="101">
        <f t="shared" si="23"/>
        <v>114.46275972329018</v>
      </c>
      <c r="M34" s="101">
        <f t="shared" si="23"/>
        <v>114.46275972329018</v>
      </c>
      <c r="N34" s="101">
        <f t="shared" si="23"/>
        <v>114.46275972329018</v>
      </c>
      <c r="O34" s="101">
        <f t="shared" si="23"/>
        <v>114.46275972329018</v>
      </c>
      <c r="P34" s="101">
        <f t="shared" si="23"/>
        <v>114.46275972329018</v>
      </c>
      <c r="Q34" s="101">
        <f t="shared" si="23"/>
        <v>114.46275972329018</v>
      </c>
      <c r="R34" s="101">
        <f t="shared" si="23"/>
        <v>114.46275972329018</v>
      </c>
      <c r="S34" s="101">
        <f t="shared" si="23"/>
        <v>114.46275972329018</v>
      </c>
      <c r="T34" s="101">
        <f t="shared" si="23"/>
        <v>114.46275972329018</v>
      </c>
      <c r="U34" s="101">
        <f t="shared" si="23"/>
        <v>114.46275972329018</v>
      </c>
      <c r="V34" s="101">
        <f t="shared" si="23"/>
        <v>114.46275972329018</v>
      </c>
      <c r="W34" s="101">
        <f t="shared" si="23"/>
        <v>114.46275972329018</v>
      </c>
      <c r="X34" s="101">
        <f t="shared" si="23"/>
        <v>114.46275972329018</v>
      </c>
      <c r="Y34" s="101">
        <f t="shared" si="23"/>
        <v>114.46275972329018</v>
      </c>
      <c r="Z34" s="105">
        <f t="shared" si="3"/>
        <v>2747.1062333589648</v>
      </c>
      <c r="AA34" s="50">
        <f t="shared" si="7"/>
        <v>31</v>
      </c>
      <c r="AB34" s="65"/>
      <c r="AD34" s="71"/>
    </row>
    <row r="35" spans="1:30" ht="15.75" x14ac:dyDescent="0.25">
      <c r="A35" s="64">
        <f t="shared" si="4"/>
        <v>46327</v>
      </c>
      <c r="B35" s="101">
        <f t="shared" ref="B35" si="24">+B18*$AA35</f>
        <v>110.77041263544211</v>
      </c>
      <c r="C35" s="101">
        <f t="shared" ref="C35:Y35" si="25">+C18*$AA35</f>
        <v>110.77041263544211</v>
      </c>
      <c r="D35" s="101">
        <f t="shared" si="25"/>
        <v>110.77041263544211</v>
      </c>
      <c r="E35" s="101">
        <f t="shared" si="25"/>
        <v>110.77041263544211</v>
      </c>
      <c r="F35" s="101">
        <f t="shared" si="25"/>
        <v>110.77041263544211</v>
      </c>
      <c r="G35" s="101">
        <f t="shared" si="25"/>
        <v>110.77041263544211</v>
      </c>
      <c r="H35" s="101">
        <f t="shared" si="25"/>
        <v>110.77041263544211</v>
      </c>
      <c r="I35" s="101">
        <f t="shared" si="25"/>
        <v>110.77041263544211</v>
      </c>
      <c r="J35" s="101">
        <f t="shared" si="25"/>
        <v>110.77041263544211</v>
      </c>
      <c r="K35" s="101">
        <f t="shared" si="25"/>
        <v>110.77041263544211</v>
      </c>
      <c r="L35" s="101">
        <f t="shared" si="25"/>
        <v>110.77041263544211</v>
      </c>
      <c r="M35" s="101">
        <f t="shared" si="25"/>
        <v>110.77041263544211</v>
      </c>
      <c r="N35" s="101">
        <f t="shared" si="25"/>
        <v>110.77041263544211</v>
      </c>
      <c r="O35" s="101">
        <f t="shared" si="25"/>
        <v>110.77041263544211</v>
      </c>
      <c r="P35" s="101">
        <f t="shared" si="25"/>
        <v>110.77041263544211</v>
      </c>
      <c r="Q35" s="101">
        <f t="shared" si="25"/>
        <v>110.77041263544211</v>
      </c>
      <c r="R35" s="101">
        <f t="shared" si="25"/>
        <v>110.77041263544211</v>
      </c>
      <c r="S35" s="101">
        <f t="shared" si="25"/>
        <v>110.77041263544211</v>
      </c>
      <c r="T35" s="101">
        <f t="shared" si="25"/>
        <v>110.77041263544211</v>
      </c>
      <c r="U35" s="101">
        <f t="shared" si="25"/>
        <v>110.77041263544211</v>
      </c>
      <c r="V35" s="101">
        <f t="shared" si="25"/>
        <v>110.77041263544211</v>
      </c>
      <c r="W35" s="101">
        <f t="shared" si="25"/>
        <v>110.77041263544211</v>
      </c>
      <c r="X35" s="101">
        <f t="shared" si="25"/>
        <v>110.77041263544211</v>
      </c>
      <c r="Y35" s="101">
        <f t="shared" si="25"/>
        <v>110.77041263544211</v>
      </c>
      <c r="Z35" s="105">
        <f t="shared" si="3"/>
        <v>2658.4899032506105</v>
      </c>
      <c r="AA35" s="50">
        <f t="shared" si="7"/>
        <v>30</v>
      </c>
      <c r="AB35" s="65"/>
      <c r="AD35" s="71"/>
    </row>
    <row r="36" spans="1:30" ht="16.5" thickBot="1" x14ac:dyDescent="0.3">
      <c r="A36" s="66">
        <f t="shared" si="4"/>
        <v>46357</v>
      </c>
      <c r="B36" s="103">
        <f t="shared" ref="B36" si="26">+B19*$AA36</f>
        <v>114.46275972329018</v>
      </c>
      <c r="C36" s="103">
        <f t="shared" ref="C36:Y36" si="27">+C19*$AA36</f>
        <v>114.46275972329018</v>
      </c>
      <c r="D36" s="103">
        <f t="shared" si="27"/>
        <v>114.46275972329018</v>
      </c>
      <c r="E36" s="103">
        <f t="shared" si="27"/>
        <v>114.46275972329018</v>
      </c>
      <c r="F36" s="103">
        <f t="shared" si="27"/>
        <v>114.46275972329018</v>
      </c>
      <c r="G36" s="103">
        <f t="shared" si="27"/>
        <v>114.46275972329018</v>
      </c>
      <c r="H36" s="103">
        <f t="shared" si="27"/>
        <v>114.46275972329018</v>
      </c>
      <c r="I36" s="103">
        <f t="shared" si="27"/>
        <v>114.46275972329018</v>
      </c>
      <c r="J36" s="103">
        <f t="shared" si="27"/>
        <v>114.46275972329018</v>
      </c>
      <c r="K36" s="103">
        <f t="shared" si="27"/>
        <v>114.46275972329018</v>
      </c>
      <c r="L36" s="103">
        <f t="shared" si="27"/>
        <v>114.46275972329018</v>
      </c>
      <c r="M36" s="103">
        <f t="shared" si="27"/>
        <v>114.46275972329018</v>
      </c>
      <c r="N36" s="103">
        <f t="shared" si="27"/>
        <v>114.46275972329018</v>
      </c>
      <c r="O36" s="103">
        <f t="shared" si="27"/>
        <v>114.46275972329018</v>
      </c>
      <c r="P36" s="103">
        <f t="shared" si="27"/>
        <v>114.46275972329018</v>
      </c>
      <c r="Q36" s="103">
        <f t="shared" si="27"/>
        <v>114.46275972329018</v>
      </c>
      <c r="R36" s="103">
        <f t="shared" si="27"/>
        <v>114.46275972329018</v>
      </c>
      <c r="S36" s="103">
        <f t="shared" si="27"/>
        <v>114.46275972329018</v>
      </c>
      <c r="T36" s="103">
        <f t="shared" si="27"/>
        <v>114.46275972329018</v>
      </c>
      <c r="U36" s="103">
        <f t="shared" si="27"/>
        <v>114.46275972329018</v>
      </c>
      <c r="V36" s="103">
        <f t="shared" si="27"/>
        <v>114.46275972329018</v>
      </c>
      <c r="W36" s="103">
        <f t="shared" si="27"/>
        <v>114.46275972329018</v>
      </c>
      <c r="X36" s="103">
        <f t="shared" si="27"/>
        <v>114.46275972329018</v>
      </c>
      <c r="Y36" s="103">
        <f t="shared" si="27"/>
        <v>114.46275972329018</v>
      </c>
      <c r="Z36" s="107">
        <f t="shared" si="3"/>
        <v>2747.1062333589648</v>
      </c>
      <c r="AA36" s="52">
        <f t="shared" si="7"/>
        <v>31</v>
      </c>
      <c r="AB36" s="67"/>
      <c r="AD36" s="71"/>
    </row>
  </sheetData>
  <conditionalFormatting sqref="B1:Y1048576">
    <cfRule type="cellIs" dxfId="2" priority="2" operator="lessThan">
      <formula>0</formula>
    </cfRule>
  </conditionalFormatting>
  <conditionalFormatting sqref="AA8:AA19">
    <cfRule type="cellIs" dxfId="1" priority="7" operator="lessThan">
      <formula>0</formula>
    </cfRule>
  </conditionalFormatting>
  <conditionalFormatting sqref="AA25:AA36">
    <cfRule type="cellIs" dxfId="0" priority="1" operator="lessThan">
      <formula>0</formula>
    </cfRule>
  </conditionalFormatting>
  <pageMargins left="0.75" right="0.75" top="1" bottom="1" header="0" footer="0"/>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Oferta Producto No. 1</vt:lpstr>
      <vt:lpstr>Cantidades Producto No. 1</vt:lpstr>
      <vt:lpstr>Oferta Producto No. 2</vt:lpstr>
      <vt:lpstr>Cantidades Producto No. 2</vt:lpstr>
      <vt:lpstr>'Oferta Producto No. 1'!Área_de_impresión</vt:lpstr>
      <vt:lpstr>'Oferta Producto No. 2'!Área_de_impresión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 Caicedo Aristizabal</dc:creator>
  <cp:lastModifiedBy>John Alexander Perilla Rincon</cp:lastModifiedBy>
  <dcterms:created xsi:type="dcterms:W3CDTF">2023-08-25T18:59:43Z</dcterms:created>
  <dcterms:modified xsi:type="dcterms:W3CDTF">2025-07-15T03:08:55Z</dcterms:modified>
</cp:coreProperties>
</file>