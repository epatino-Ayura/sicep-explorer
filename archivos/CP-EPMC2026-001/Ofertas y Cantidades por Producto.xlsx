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pmco.sharepoint.com/sites/file-7501-ute/7501_TCE/CompraEnergia/ComprasBilateralesSICEP/CompraCRW382012-2026/SICEP/Definitivos/"/>
    </mc:Choice>
  </mc:AlternateContent>
  <xr:revisionPtr revIDLastSave="975" documentId="14_{44A8E853-3705-4256-9B74-AADE9313159D}" xr6:coauthVersionLast="47" xr6:coauthVersionMax="47" xr10:uidLastSave="{1CC4B44D-5156-4B24-A505-124D07099FC5}"/>
  <bookViews>
    <workbookView xWindow="-110" yWindow="-110" windowWidth="19420" windowHeight="10300" firstSheet="4" activeTab="6" xr2:uid="{973B4848-E2D4-4964-BCF6-5DB1BE618D36}"/>
  </bookViews>
  <sheets>
    <sheet name="Cantidades 2027" sheetId="30" r:id="rId1"/>
    <sheet name="Cantidades 2028" sheetId="31" r:id="rId2"/>
    <sheet name="Cantidades 2029" sheetId="16" r:id="rId3"/>
    <sheet name="Cantidades 2030" sheetId="40" r:id="rId4"/>
    <sheet name="Cantidades 2031" sheetId="42" r:id="rId5"/>
    <sheet name="Cantidades 2032" sheetId="43" r:id="rId6"/>
    <sheet name="Oferta 2027" sheetId="33" r:id="rId7"/>
    <sheet name="Oferta 2028" sheetId="34" r:id="rId8"/>
    <sheet name="Oferta 2029" sheetId="39" r:id="rId9"/>
    <sheet name="Oferta 2030" sheetId="41" r:id="rId10"/>
    <sheet name="Oferta 2031" sheetId="44" r:id="rId11"/>
    <sheet name="Oferta 2032" sheetId="45" r:id="rId12"/>
    <sheet name="Oferta Horaria 2027-2032" sheetId="1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Print_Area" localSheetId="6">'Oferta 2027'!$B$2:$I$17</definedName>
    <definedName name="_xlnm.Print_Area" localSheetId="7">'Oferta 2028'!$B$2:$I$17</definedName>
    <definedName name="_xlnm.Print_Area" localSheetId="8">'Oferta 2029'!$B$2:$I$17</definedName>
    <definedName name="_xlnm.Print_Area" localSheetId="9">'Oferta 2030'!$B$2:$I$17</definedName>
    <definedName name="_xlnm.Print_Area" localSheetId="10">'Oferta 2031'!$B$2:$I$17</definedName>
    <definedName name="_xlnm.Print_Area" localSheetId="11">'Oferta 2032'!$B$2:$I$17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9" l="1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0" i="44"/>
  <c r="C19" i="44"/>
  <c r="C18" i="44"/>
  <c r="C17" i="44"/>
  <c r="C16" i="44"/>
  <c r="C15" i="44"/>
  <c r="C14" i="44"/>
  <c r="C13" i="44"/>
  <c r="C12" i="44"/>
  <c r="C11" i="44"/>
  <c r="C10" i="44"/>
  <c r="C9" i="44"/>
  <c r="C21" i="44" s="1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AA8" i="43"/>
  <c r="AB8" i="43"/>
  <c r="AC8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AA9" i="43"/>
  <c r="AB9" i="43"/>
  <c r="AC9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AA10" i="43"/>
  <c r="AB10" i="43"/>
  <c r="AC10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AA11" i="43"/>
  <c r="AB11" i="43"/>
  <c r="AC11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AA12" i="43"/>
  <c r="AB12" i="43"/>
  <c r="AC12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AA13" i="43"/>
  <c r="AB13" i="43"/>
  <c r="AC13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AA14" i="43"/>
  <c r="AB14" i="43"/>
  <c r="AC14" i="43"/>
  <c r="F15" i="43"/>
  <c r="G15" i="43"/>
  <c r="H15" i="43"/>
  <c r="I15" i="43"/>
  <c r="J15" i="43"/>
  <c r="K15" i="43"/>
  <c r="L15" i="43"/>
  <c r="M15" i="43"/>
  <c r="N15" i="43"/>
  <c r="O15" i="43"/>
  <c r="P15" i="43"/>
  <c r="Q15" i="43"/>
  <c r="R15" i="43"/>
  <c r="S15" i="43"/>
  <c r="T15" i="43"/>
  <c r="U15" i="43"/>
  <c r="V15" i="43"/>
  <c r="W15" i="43"/>
  <c r="X15" i="43"/>
  <c r="Y15" i="43"/>
  <c r="Z15" i="43"/>
  <c r="AA15" i="43"/>
  <c r="AB15" i="43"/>
  <c r="AC15" i="43"/>
  <c r="F16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T16" i="43"/>
  <c r="U16" i="43"/>
  <c r="V16" i="43"/>
  <c r="W16" i="43"/>
  <c r="X16" i="43"/>
  <c r="Y16" i="43"/>
  <c r="Z16" i="43"/>
  <c r="AA16" i="43"/>
  <c r="AB16" i="43"/>
  <c r="AC16" i="43"/>
  <c r="F17" i="43"/>
  <c r="G17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T17" i="43"/>
  <c r="U17" i="43"/>
  <c r="V17" i="43"/>
  <c r="W17" i="43"/>
  <c r="X17" i="43"/>
  <c r="Y17" i="43"/>
  <c r="Z17" i="43"/>
  <c r="AA17" i="43"/>
  <c r="AB17" i="43"/>
  <c r="AC17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T18" i="43"/>
  <c r="U18" i="43"/>
  <c r="V18" i="43"/>
  <c r="W18" i="43"/>
  <c r="X18" i="43"/>
  <c r="Y18" i="43"/>
  <c r="Z18" i="43"/>
  <c r="AA18" i="43"/>
  <c r="AB18" i="43"/>
  <c r="AC18" i="43"/>
  <c r="F19" i="43"/>
  <c r="G19" i="43"/>
  <c r="H19" i="43"/>
  <c r="I19" i="43"/>
  <c r="J19" i="43"/>
  <c r="K19" i="43"/>
  <c r="L19" i="43"/>
  <c r="M19" i="43"/>
  <c r="N19" i="43"/>
  <c r="O19" i="43"/>
  <c r="P19" i="43"/>
  <c r="Q19" i="43"/>
  <c r="R19" i="43"/>
  <c r="S19" i="43"/>
  <c r="T19" i="43"/>
  <c r="U19" i="43"/>
  <c r="V19" i="43"/>
  <c r="W19" i="43"/>
  <c r="X19" i="43"/>
  <c r="Y19" i="43"/>
  <c r="Z19" i="43"/>
  <c r="AA19" i="43"/>
  <c r="AB19" i="43"/>
  <c r="AC19" i="43"/>
  <c r="F20" i="43"/>
  <c r="G20" i="43"/>
  <c r="H20" i="43"/>
  <c r="I20" i="43"/>
  <c r="J20" i="43"/>
  <c r="K20" i="43"/>
  <c r="L20" i="43"/>
  <c r="M20" i="43"/>
  <c r="N20" i="43"/>
  <c r="O20" i="43"/>
  <c r="P20" i="43"/>
  <c r="Q20" i="43"/>
  <c r="R20" i="43"/>
  <c r="S20" i="43"/>
  <c r="T20" i="43"/>
  <c r="U20" i="43"/>
  <c r="V20" i="43"/>
  <c r="W20" i="43"/>
  <c r="X20" i="43"/>
  <c r="Y20" i="43"/>
  <c r="Z20" i="43"/>
  <c r="AA20" i="43"/>
  <c r="AB20" i="43"/>
  <c r="AC20" i="43"/>
  <c r="F21" i="43"/>
  <c r="G21" i="43"/>
  <c r="H21" i="43"/>
  <c r="I21" i="43"/>
  <c r="J21" i="43"/>
  <c r="K21" i="43"/>
  <c r="L21" i="43"/>
  <c r="M21" i="43"/>
  <c r="N21" i="43"/>
  <c r="O21" i="43"/>
  <c r="P21" i="43"/>
  <c r="Q21" i="43"/>
  <c r="R21" i="43"/>
  <c r="S21" i="43"/>
  <c r="T21" i="43"/>
  <c r="U21" i="43"/>
  <c r="V21" i="43"/>
  <c r="W21" i="43"/>
  <c r="X21" i="43"/>
  <c r="Y21" i="43"/>
  <c r="Z21" i="43"/>
  <c r="AA21" i="43"/>
  <c r="AB21" i="43"/>
  <c r="AC21" i="43"/>
  <c r="F22" i="43"/>
  <c r="G22" i="43"/>
  <c r="H22" i="43"/>
  <c r="I22" i="43"/>
  <c r="J22" i="43"/>
  <c r="K22" i="43"/>
  <c r="L22" i="43"/>
  <c r="M22" i="43"/>
  <c r="N22" i="43"/>
  <c r="O22" i="43"/>
  <c r="P22" i="43"/>
  <c r="Q22" i="43"/>
  <c r="R22" i="43"/>
  <c r="S22" i="43"/>
  <c r="T22" i="43"/>
  <c r="U22" i="43"/>
  <c r="V22" i="43"/>
  <c r="W22" i="43"/>
  <c r="X22" i="43"/>
  <c r="Y22" i="43"/>
  <c r="Z22" i="43"/>
  <c r="AA22" i="43"/>
  <c r="AB22" i="43"/>
  <c r="AC22" i="43"/>
  <c r="F23" i="43"/>
  <c r="G23" i="43"/>
  <c r="H23" i="43"/>
  <c r="I23" i="43"/>
  <c r="J23" i="43"/>
  <c r="K23" i="43"/>
  <c r="L23" i="43"/>
  <c r="M23" i="43"/>
  <c r="N23" i="43"/>
  <c r="O23" i="43"/>
  <c r="P23" i="43"/>
  <c r="Q23" i="43"/>
  <c r="R23" i="43"/>
  <c r="S23" i="43"/>
  <c r="T23" i="43"/>
  <c r="U23" i="43"/>
  <c r="V23" i="43"/>
  <c r="W23" i="43"/>
  <c r="X23" i="43"/>
  <c r="Y23" i="43"/>
  <c r="Z23" i="43"/>
  <c r="AA23" i="43"/>
  <c r="AB23" i="43"/>
  <c r="AC23" i="43"/>
  <c r="F24" i="43"/>
  <c r="G24" i="43"/>
  <c r="H24" i="43"/>
  <c r="I24" i="43"/>
  <c r="J24" i="43"/>
  <c r="K24" i="43"/>
  <c r="L24" i="43"/>
  <c r="M24" i="43"/>
  <c r="N24" i="43"/>
  <c r="O24" i="43"/>
  <c r="P24" i="43"/>
  <c r="Q24" i="43"/>
  <c r="R24" i="43"/>
  <c r="S24" i="43"/>
  <c r="T24" i="43"/>
  <c r="U24" i="43"/>
  <c r="V24" i="43"/>
  <c r="W24" i="43"/>
  <c r="X24" i="43"/>
  <c r="Y24" i="43"/>
  <c r="Z24" i="43"/>
  <c r="AA24" i="43"/>
  <c r="AB24" i="43"/>
  <c r="AC24" i="43"/>
  <c r="F25" i="43"/>
  <c r="G25" i="43"/>
  <c r="H25" i="43"/>
  <c r="I25" i="43"/>
  <c r="J25" i="43"/>
  <c r="K25" i="43"/>
  <c r="L25" i="43"/>
  <c r="M25" i="43"/>
  <c r="N25" i="43"/>
  <c r="O25" i="43"/>
  <c r="P25" i="43"/>
  <c r="Q25" i="43"/>
  <c r="R25" i="43"/>
  <c r="S25" i="43"/>
  <c r="T25" i="43"/>
  <c r="U25" i="43"/>
  <c r="V25" i="43"/>
  <c r="W25" i="43"/>
  <c r="X25" i="43"/>
  <c r="Y25" i="43"/>
  <c r="Z25" i="43"/>
  <c r="AA25" i="43"/>
  <c r="AB25" i="43"/>
  <c r="AC25" i="43"/>
  <c r="F26" i="43"/>
  <c r="G26" i="43"/>
  <c r="H26" i="43"/>
  <c r="I26" i="43"/>
  <c r="J26" i="43"/>
  <c r="K26" i="43"/>
  <c r="L26" i="43"/>
  <c r="M26" i="43"/>
  <c r="N26" i="43"/>
  <c r="O26" i="43"/>
  <c r="P26" i="43"/>
  <c r="Q26" i="43"/>
  <c r="R26" i="43"/>
  <c r="S26" i="43"/>
  <c r="T26" i="43"/>
  <c r="U26" i="43"/>
  <c r="V26" i="43"/>
  <c r="W26" i="43"/>
  <c r="X26" i="43"/>
  <c r="Y26" i="43"/>
  <c r="Z26" i="43"/>
  <c r="AA26" i="43"/>
  <c r="AB26" i="43"/>
  <c r="AC26" i="43"/>
  <c r="F27" i="43"/>
  <c r="G27" i="43"/>
  <c r="H27" i="43"/>
  <c r="I27" i="43"/>
  <c r="J27" i="43"/>
  <c r="K27" i="43"/>
  <c r="L27" i="43"/>
  <c r="M27" i="43"/>
  <c r="N27" i="43"/>
  <c r="O27" i="43"/>
  <c r="P27" i="43"/>
  <c r="Q27" i="43"/>
  <c r="R27" i="43"/>
  <c r="S27" i="43"/>
  <c r="T27" i="43"/>
  <c r="U27" i="43"/>
  <c r="V27" i="43"/>
  <c r="W27" i="43"/>
  <c r="X27" i="43"/>
  <c r="Y27" i="43"/>
  <c r="Z27" i="43"/>
  <c r="AA27" i="43"/>
  <c r="AB27" i="43"/>
  <c r="AC27" i="43"/>
  <c r="F28" i="43"/>
  <c r="G28" i="43"/>
  <c r="H28" i="43"/>
  <c r="I28" i="43"/>
  <c r="J28" i="43"/>
  <c r="K28" i="43"/>
  <c r="L28" i="43"/>
  <c r="M28" i="43"/>
  <c r="N28" i="43"/>
  <c r="O28" i="43"/>
  <c r="P28" i="43"/>
  <c r="Q28" i="43"/>
  <c r="R28" i="43"/>
  <c r="S28" i="43"/>
  <c r="T28" i="43"/>
  <c r="U28" i="43"/>
  <c r="V28" i="43"/>
  <c r="W28" i="43"/>
  <c r="X28" i="43"/>
  <c r="Y28" i="43"/>
  <c r="Z28" i="43"/>
  <c r="AA28" i="43"/>
  <c r="AB28" i="43"/>
  <c r="AC28" i="43"/>
  <c r="F29" i="43"/>
  <c r="G29" i="43"/>
  <c r="H29" i="43"/>
  <c r="I29" i="43"/>
  <c r="J29" i="43"/>
  <c r="K29" i="43"/>
  <c r="L29" i="43"/>
  <c r="M29" i="43"/>
  <c r="N29" i="43"/>
  <c r="O29" i="43"/>
  <c r="P29" i="43"/>
  <c r="Q29" i="43"/>
  <c r="R29" i="43"/>
  <c r="S29" i="43"/>
  <c r="T29" i="43"/>
  <c r="U29" i="43"/>
  <c r="V29" i="43"/>
  <c r="W29" i="43"/>
  <c r="X29" i="43"/>
  <c r="Y29" i="43"/>
  <c r="Z29" i="43"/>
  <c r="AA29" i="43"/>
  <c r="AB29" i="43"/>
  <c r="AC29" i="43"/>
  <c r="F30" i="43"/>
  <c r="G30" i="43"/>
  <c r="H30" i="43"/>
  <c r="I30" i="43"/>
  <c r="J30" i="43"/>
  <c r="K30" i="43"/>
  <c r="L30" i="43"/>
  <c r="M30" i="43"/>
  <c r="N30" i="43"/>
  <c r="O30" i="43"/>
  <c r="P30" i="43"/>
  <c r="Q30" i="43"/>
  <c r="R30" i="43"/>
  <c r="S30" i="43"/>
  <c r="T30" i="43"/>
  <c r="U30" i="43"/>
  <c r="V30" i="43"/>
  <c r="W30" i="43"/>
  <c r="X30" i="43"/>
  <c r="Y30" i="43"/>
  <c r="Z30" i="43"/>
  <c r="AA30" i="43"/>
  <c r="AB30" i="43"/>
  <c r="AC30" i="43"/>
  <c r="F31" i="43"/>
  <c r="G31" i="43"/>
  <c r="H31" i="43"/>
  <c r="I31" i="43"/>
  <c r="J31" i="43"/>
  <c r="K31" i="43"/>
  <c r="L31" i="43"/>
  <c r="M31" i="43"/>
  <c r="N31" i="43"/>
  <c r="O31" i="43"/>
  <c r="P31" i="43"/>
  <c r="Q31" i="43"/>
  <c r="R31" i="43"/>
  <c r="S31" i="43"/>
  <c r="T31" i="43"/>
  <c r="U31" i="43"/>
  <c r="V31" i="43"/>
  <c r="W31" i="43"/>
  <c r="X31" i="43"/>
  <c r="Y31" i="43"/>
  <c r="Z31" i="43"/>
  <c r="AA31" i="43"/>
  <c r="AB31" i="43"/>
  <c r="AC31" i="43"/>
  <c r="F32" i="43"/>
  <c r="G32" i="43"/>
  <c r="H32" i="43"/>
  <c r="I32" i="43"/>
  <c r="J32" i="43"/>
  <c r="K32" i="43"/>
  <c r="L32" i="43"/>
  <c r="M32" i="43"/>
  <c r="N32" i="43"/>
  <c r="O32" i="43"/>
  <c r="P32" i="43"/>
  <c r="Q32" i="43"/>
  <c r="R32" i="43"/>
  <c r="S32" i="43"/>
  <c r="T32" i="43"/>
  <c r="U32" i="43"/>
  <c r="V32" i="43"/>
  <c r="W32" i="43"/>
  <c r="X32" i="43"/>
  <c r="Y32" i="43"/>
  <c r="Z32" i="43"/>
  <c r="AA32" i="43"/>
  <c r="AB32" i="43"/>
  <c r="AC32" i="43"/>
  <c r="F33" i="43"/>
  <c r="G33" i="43"/>
  <c r="H33" i="43"/>
  <c r="I33" i="43"/>
  <c r="J33" i="43"/>
  <c r="K33" i="43"/>
  <c r="L33" i="43"/>
  <c r="M33" i="43"/>
  <c r="N33" i="43"/>
  <c r="O33" i="43"/>
  <c r="P33" i="43"/>
  <c r="Q33" i="43"/>
  <c r="R33" i="43"/>
  <c r="S33" i="43"/>
  <c r="T33" i="43"/>
  <c r="U33" i="43"/>
  <c r="V33" i="43"/>
  <c r="W33" i="43"/>
  <c r="X33" i="43"/>
  <c r="Y33" i="43"/>
  <c r="Z33" i="43"/>
  <c r="AA33" i="43"/>
  <c r="AB33" i="43"/>
  <c r="AC33" i="43"/>
  <c r="F34" i="43"/>
  <c r="G34" i="43"/>
  <c r="H34" i="43"/>
  <c r="I34" i="43"/>
  <c r="J34" i="43"/>
  <c r="K34" i="43"/>
  <c r="L34" i="43"/>
  <c r="M34" i="43"/>
  <c r="N34" i="43"/>
  <c r="O34" i="43"/>
  <c r="P34" i="43"/>
  <c r="Q34" i="43"/>
  <c r="R34" i="43"/>
  <c r="S34" i="43"/>
  <c r="T34" i="43"/>
  <c r="U34" i="43"/>
  <c r="V34" i="43"/>
  <c r="W34" i="43"/>
  <c r="X34" i="43"/>
  <c r="Y34" i="43"/>
  <c r="Z34" i="43"/>
  <c r="AA34" i="43"/>
  <c r="AB34" i="43"/>
  <c r="AC34" i="43"/>
  <c r="F35" i="43"/>
  <c r="G35" i="43"/>
  <c r="H35" i="43"/>
  <c r="I35" i="43"/>
  <c r="J35" i="43"/>
  <c r="K35" i="43"/>
  <c r="L35" i="43"/>
  <c r="M35" i="43"/>
  <c r="N35" i="43"/>
  <c r="O35" i="43"/>
  <c r="P35" i="43"/>
  <c r="Q35" i="43"/>
  <c r="R35" i="43"/>
  <c r="S35" i="43"/>
  <c r="T35" i="43"/>
  <c r="U35" i="43"/>
  <c r="V35" i="43"/>
  <c r="W35" i="43"/>
  <c r="X35" i="43"/>
  <c r="Y35" i="43"/>
  <c r="Z35" i="43"/>
  <c r="AA35" i="43"/>
  <c r="AB35" i="43"/>
  <c r="AC35" i="43"/>
  <c r="F36" i="43"/>
  <c r="G36" i="43"/>
  <c r="H36" i="43"/>
  <c r="I36" i="43"/>
  <c r="J36" i="43"/>
  <c r="K36" i="43"/>
  <c r="L36" i="43"/>
  <c r="M36" i="43"/>
  <c r="N36" i="43"/>
  <c r="O36" i="43"/>
  <c r="P36" i="43"/>
  <c r="Q36" i="43"/>
  <c r="R36" i="43"/>
  <c r="S36" i="43"/>
  <c r="T36" i="43"/>
  <c r="U36" i="43"/>
  <c r="V36" i="43"/>
  <c r="W36" i="43"/>
  <c r="X36" i="43"/>
  <c r="Y36" i="43"/>
  <c r="Z36" i="43"/>
  <c r="AA36" i="43"/>
  <c r="AB36" i="43"/>
  <c r="AC36" i="43"/>
  <c r="F37" i="43"/>
  <c r="G37" i="43"/>
  <c r="H37" i="43"/>
  <c r="I37" i="43"/>
  <c r="J37" i="43"/>
  <c r="K37" i="43"/>
  <c r="L37" i="43"/>
  <c r="M37" i="43"/>
  <c r="N37" i="43"/>
  <c r="O37" i="43"/>
  <c r="P37" i="43"/>
  <c r="Q37" i="43"/>
  <c r="R37" i="43"/>
  <c r="S37" i="43"/>
  <c r="T37" i="43"/>
  <c r="U37" i="43"/>
  <c r="V37" i="43"/>
  <c r="W37" i="43"/>
  <c r="X37" i="43"/>
  <c r="Y37" i="43"/>
  <c r="Z37" i="43"/>
  <c r="AA37" i="43"/>
  <c r="AB37" i="43"/>
  <c r="AC37" i="43"/>
  <c r="F38" i="43"/>
  <c r="G38" i="43"/>
  <c r="H38" i="43"/>
  <c r="I38" i="43"/>
  <c r="J38" i="43"/>
  <c r="K38" i="43"/>
  <c r="L38" i="43"/>
  <c r="M38" i="43"/>
  <c r="N38" i="43"/>
  <c r="O38" i="43"/>
  <c r="P38" i="43"/>
  <c r="Q38" i="43"/>
  <c r="R38" i="43"/>
  <c r="S38" i="43"/>
  <c r="T38" i="43"/>
  <c r="U38" i="43"/>
  <c r="V38" i="43"/>
  <c r="W38" i="43"/>
  <c r="X38" i="43"/>
  <c r="Y38" i="43"/>
  <c r="Z38" i="43"/>
  <c r="AA38" i="43"/>
  <c r="AB38" i="43"/>
  <c r="AC38" i="43"/>
  <c r="F39" i="43"/>
  <c r="G39" i="43"/>
  <c r="H39" i="43"/>
  <c r="I39" i="43"/>
  <c r="J39" i="43"/>
  <c r="K39" i="43"/>
  <c r="L39" i="43"/>
  <c r="M39" i="43"/>
  <c r="N39" i="43"/>
  <c r="O39" i="43"/>
  <c r="P39" i="43"/>
  <c r="Q39" i="43"/>
  <c r="R39" i="43"/>
  <c r="S39" i="43"/>
  <c r="T39" i="43"/>
  <c r="U39" i="43"/>
  <c r="V39" i="43"/>
  <c r="W39" i="43"/>
  <c r="X39" i="43"/>
  <c r="Y39" i="43"/>
  <c r="Z39" i="43"/>
  <c r="AA39" i="43"/>
  <c r="AB39" i="43"/>
  <c r="AC39" i="43"/>
  <c r="F40" i="43"/>
  <c r="G40" i="43"/>
  <c r="H40" i="43"/>
  <c r="I40" i="43"/>
  <c r="J40" i="43"/>
  <c r="K40" i="43"/>
  <c r="L40" i="43"/>
  <c r="M40" i="43"/>
  <c r="N40" i="43"/>
  <c r="O40" i="43"/>
  <c r="P40" i="43"/>
  <c r="Q40" i="43"/>
  <c r="R40" i="43"/>
  <c r="S40" i="43"/>
  <c r="T40" i="43"/>
  <c r="U40" i="43"/>
  <c r="V40" i="43"/>
  <c r="W40" i="43"/>
  <c r="X40" i="43"/>
  <c r="Y40" i="43"/>
  <c r="Z40" i="43"/>
  <c r="AA40" i="43"/>
  <c r="AB40" i="43"/>
  <c r="AC40" i="43"/>
  <c r="F41" i="43"/>
  <c r="G41" i="43"/>
  <c r="H41" i="43"/>
  <c r="I41" i="43"/>
  <c r="J41" i="43"/>
  <c r="K41" i="43"/>
  <c r="L41" i="43"/>
  <c r="M41" i="43"/>
  <c r="N41" i="43"/>
  <c r="O41" i="43"/>
  <c r="P41" i="43"/>
  <c r="Q41" i="43"/>
  <c r="R41" i="43"/>
  <c r="S41" i="43"/>
  <c r="T41" i="43"/>
  <c r="U41" i="43"/>
  <c r="V41" i="43"/>
  <c r="W41" i="43"/>
  <c r="X41" i="43"/>
  <c r="Y41" i="43"/>
  <c r="Z41" i="43"/>
  <c r="AA41" i="43"/>
  <c r="AB41" i="43"/>
  <c r="AC41" i="43"/>
  <c r="F42" i="43"/>
  <c r="G42" i="43"/>
  <c r="H42" i="43"/>
  <c r="I42" i="43"/>
  <c r="J42" i="43"/>
  <c r="K42" i="43"/>
  <c r="L42" i="43"/>
  <c r="M42" i="43"/>
  <c r="N42" i="43"/>
  <c r="O42" i="43"/>
  <c r="P42" i="43"/>
  <c r="Q42" i="43"/>
  <c r="R42" i="43"/>
  <c r="S42" i="43"/>
  <c r="T42" i="43"/>
  <c r="U42" i="43"/>
  <c r="V42" i="43"/>
  <c r="W42" i="43"/>
  <c r="X42" i="43"/>
  <c r="Y42" i="43"/>
  <c r="Z42" i="43"/>
  <c r="AA42" i="43"/>
  <c r="AB42" i="43"/>
  <c r="AC42" i="43"/>
  <c r="F43" i="43"/>
  <c r="G43" i="43"/>
  <c r="H43" i="43"/>
  <c r="I43" i="43"/>
  <c r="J43" i="43"/>
  <c r="K43" i="43"/>
  <c r="L43" i="43"/>
  <c r="M43" i="43"/>
  <c r="N43" i="43"/>
  <c r="O43" i="43"/>
  <c r="P43" i="43"/>
  <c r="Q43" i="43"/>
  <c r="R43" i="43"/>
  <c r="S43" i="43"/>
  <c r="T43" i="43"/>
  <c r="U43" i="43"/>
  <c r="V43" i="43"/>
  <c r="W43" i="43"/>
  <c r="X43" i="43"/>
  <c r="Y43" i="43"/>
  <c r="Z43" i="43"/>
  <c r="AA43" i="43"/>
  <c r="AB43" i="43"/>
  <c r="AC43" i="43"/>
  <c r="F44" i="43"/>
  <c r="G44" i="43"/>
  <c r="H44" i="43"/>
  <c r="I44" i="43"/>
  <c r="J44" i="43"/>
  <c r="K44" i="43"/>
  <c r="L44" i="43"/>
  <c r="M44" i="43"/>
  <c r="N44" i="43"/>
  <c r="O44" i="43"/>
  <c r="P44" i="43"/>
  <c r="Q44" i="43"/>
  <c r="R44" i="43"/>
  <c r="S44" i="43"/>
  <c r="T44" i="43"/>
  <c r="U44" i="43"/>
  <c r="V44" i="43"/>
  <c r="W44" i="43"/>
  <c r="X44" i="43"/>
  <c r="Y44" i="43"/>
  <c r="Z44" i="43"/>
  <c r="AA44" i="43"/>
  <c r="AB44" i="43"/>
  <c r="AC44" i="43"/>
  <c r="F45" i="43"/>
  <c r="G45" i="43"/>
  <c r="H45" i="43"/>
  <c r="I45" i="43"/>
  <c r="J45" i="43"/>
  <c r="K45" i="43"/>
  <c r="L45" i="43"/>
  <c r="M45" i="43"/>
  <c r="N45" i="43"/>
  <c r="O45" i="43"/>
  <c r="P45" i="43"/>
  <c r="Q45" i="43"/>
  <c r="R45" i="43"/>
  <c r="S45" i="43"/>
  <c r="T45" i="43"/>
  <c r="U45" i="43"/>
  <c r="V45" i="43"/>
  <c r="W45" i="43"/>
  <c r="X45" i="43"/>
  <c r="Y45" i="43"/>
  <c r="Z45" i="43"/>
  <c r="AA45" i="43"/>
  <c r="AB45" i="43"/>
  <c r="AC45" i="43"/>
  <c r="F46" i="43"/>
  <c r="G46" i="43"/>
  <c r="H46" i="43"/>
  <c r="I46" i="43"/>
  <c r="J46" i="43"/>
  <c r="K46" i="43"/>
  <c r="L46" i="43"/>
  <c r="M46" i="43"/>
  <c r="N46" i="43"/>
  <c r="O46" i="43"/>
  <c r="P46" i="43"/>
  <c r="Q46" i="43"/>
  <c r="R46" i="43"/>
  <c r="S46" i="43"/>
  <c r="T46" i="43"/>
  <c r="U46" i="43"/>
  <c r="V46" i="43"/>
  <c r="W46" i="43"/>
  <c r="X46" i="43"/>
  <c r="Y46" i="43"/>
  <c r="Z46" i="43"/>
  <c r="AA46" i="43"/>
  <c r="AB46" i="43"/>
  <c r="AC46" i="43"/>
  <c r="F47" i="43"/>
  <c r="G47" i="43"/>
  <c r="H47" i="43"/>
  <c r="I47" i="43"/>
  <c r="J47" i="43"/>
  <c r="K47" i="43"/>
  <c r="L47" i="43"/>
  <c r="M47" i="43"/>
  <c r="N47" i="43"/>
  <c r="O47" i="43"/>
  <c r="P47" i="43"/>
  <c r="Q47" i="43"/>
  <c r="R47" i="43"/>
  <c r="S47" i="43"/>
  <c r="T47" i="43"/>
  <c r="U47" i="43"/>
  <c r="V47" i="43"/>
  <c r="W47" i="43"/>
  <c r="X47" i="43"/>
  <c r="Y47" i="43"/>
  <c r="Z47" i="43"/>
  <c r="AA47" i="43"/>
  <c r="AB47" i="43"/>
  <c r="AC47" i="43"/>
  <c r="F48" i="43"/>
  <c r="G48" i="43"/>
  <c r="H48" i="43"/>
  <c r="I48" i="43"/>
  <c r="J48" i="43"/>
  <c r="K48" i="43"/>
  <c r="L48" i="43"/>
  <c r="M48" i="43"/>
  <c r="N48" i="43"/>
  <c r="O48" i="43"/>
  <c r="P48" i="43"/>
  <c r="Q48" i="43"/>
  <c r="R48" i="43"/>
  <c r="S48" i="43"/>
  <c r="T48" i="43"/>
  <c r="U48" i="43"/>
  <c r="V48" i="43"/>
  <c r="W48" i="43"/>
  <c r="X48" i="43"/>
  <c r="Y48" i="43"/>
  <c r="Z48" i="43"/>
  <c r="AA48" i="43"/>
  <c r="AB48" i="43"/>
  <c r="AC48" i="43"/>
  <c r="F49" i="43"/>
  <c r="G49" i="43"/>
  <c r="H49" i="43"/>
  <c r="I49" i="43"/>
  <c r="J49" i="43"/>
  <c r="K49" i="43"/>
  <c r="L49" i="43"/>
  <c r="M49" i="43"/>
  <c r="N49" i="43"/>
  <c r="O49" i="43"/>
  <c r="P49" i="43"/>
  <c r="Q49" i="43"/>
  <c r="R49" i="43"/>
  <c r="S49" i="43"/>
  <c r="T49" i="43"/>
  <c r="U49" i="43"/>
  <c r="V49" i="43"/>
  <c r="W49" i="43"/>
  <c r="X49" i="43"/>
  <c r="Y49" i="43"/>
  <c r="Z49" i="43"/>
  <c r="AA49" i="43"/>
  <c r="AB49" i="43"/>
  <c r="AC49" i="43"/>
  <c r="F50" i="43"/>
  <c r="G50" i="43"/>
  <c r="H50" i="43"/>
  <c r="I50" i="43"/>
  <c r="J50" i="43"/>
  <c r="K50" i="43"/>
  <c r="L50" i="43"/>
  <c r="M50" i="43"/>
  <c r="N50" i="43"/>
  <c r="O50" i="43"/>
  <c r="P50" i="43"/>
  <c r="Q50" i="43"/>
  <c r="R50" i="43"/>
  <c r="S50" i="43"/>
  <c r="T50" i="43"/>
  <c r="U50" i="43"/>
  <c r="V50" i="43"/>
  <c r="W50" i="43"/>
  <c r="X50" i="43"/>
  <c r="Y50" i="43"/>
  <c r="Z50" i="43"/>
  <c r="AA50" i="43"/>
  <c r="AB50" i="43"/>
  <c r="AC50" i="43"/>
  <c r="F51" i="43"/>
  <c r="G51" i="43"/>
  <c r="H51" i="43"/>
  <c r="I51" i="43"/>
  <c r="J51" i="43"/>
  <c r="K51" i="43"/>
  <c r="L51" i="43"/>
  <c r="M51" i="43"/>
  <c r="N51" i="43"/>
  <c r="O51" i="43"/>
  <c r="P51" i="43"/>
  <c r="Q51" i="43"/>
  <c r="R51" i="43"/>
  <c r="S51" i="43"/>
  <c r="T51" i="43"/>
  <c r="U51" i="43"/>
  <c r="V51" i="43"/>
  <c r="W51" i="43"/>
  <c r="X51" i="43"/>
  <c r="Y51" i="43"/>
  <c r="Z51" i="43"/>
  <c r="AA51" i="43"/>
  <c r="AB51" i="43"/>
  <c r="AC51" i="43"/>
  <c r="F52" i="43"/>
  <c r="G52" i="43"/>
  <c r="H52" i="43"/>
  <c r="I52" i="43"/>
  <c r="J52" i="43"/>
  <c r="K52" i="43"/>
  <c r="L52" i="43"/>
  <c r="M52" i="43"/>
  <c r="N52" i="43"/>
  <c r="O52" i="43"/>
  <c r="P52" i="43"/>
  <c r="Q52" i="43"/>
  <c r="R52" i="43"/>
  <c r="S52" i="43"/>
  <c r="T52" i="43"/>
  <c r="U52" i="43"/>
  <c r="V52" i="43"/>
  <c r="W52" i="43"/>
  <c r="X52" i="43"/>
  <c r="Y52" i="43"/>
  <c r="Z52" i="43"/>
  <c r="AA52" i="43"/>
  <c r="AB52" i="43"/>
  <c r="AC52" i="43"/>
  <c r="F53" i="43"/>
  <c r="G53" i="43"/>
  <c r="H53" i="43"/>
  <c r="I53" i="43"/>
  <c r="J53" i="43"/>
  <c r="K53" i="43"/>
  <c r="L53" i="43"/>
  <c r="M53" i="43"/>
  <c r="N53" i="43"/>
  <c r="O53" i="43"/>
  <c r="P53" i="43"/>
  <c r="Q53" i="43"/>
  <c r="R53" i="43"/>
  <c r="S53" i="43"/>
  <c r="T53" i="43"/>
  <c r="U53" i="43"/>
  <c r="V53" i="43"/>
  <c r="W53" i="43"/>
  <c r="X53" i="43"/>
  <c r="Y53" i="43"/>
  <c r="Z53" i="43"/>
  <c r="AA53" i="43"/>
  <c r="AB53" i="43"/>
  <c r="AC53" i="43"/>
  <c r="F54" i="43"/>
  <c r="G54" i="43"/>
  <c r="H54" i="43"/>
  <c r="I54" i="43"/>
  <c r="J54" i="43"/>
  <c r="K54" i="43"/>
  <c r="L54" i="43"/>
  <c r="M54" i="43"/>
  <c r="N54" i="43"/>
  <c r="O54" i="43"/>
  <c r="P54" i="43"/>
  <c r="Q54" i="43"/>
  <c r="R54" i="43"/>
  <c r="S54" i="43"/>
  <c r="T54" i="43"/>
  <c r="U54" i="43"/>
  <c r="V54" i="43"/>
  <c r="W54" i="43"/>
  <c r="X54" i="43"/>
  <c r="Y54" i="43"/>
  <c r="Z54" i="43"/>
  <c r="AA54" i="43"/>
  <c r="AB54" i="43"/>
  <c r="AC54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AA7" i="43"/>
  <c r="AB7" i="43"/>
  <c r="AC7" i="43"/>
  <c r="F7" i="43"/>
  <c r="F8" i="42"/>
  <c r="G8" i="42"/>
  <c r="H8" i="42"/>
  <c r="I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F10" i="42"/>
  <c r="G10" i="42"/>
  <c r="H10" i="42"/>
  <c r="I10" i="42"/>
  <c r="J10" i="42"/>
  <c r="K10" i="42"/>
  <c r="L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F11" i="42"/>
  <c r="G11" i="42"/>
  <c r="H11" i="42"/>
  <c r="I11" i="42"/>
  <c r="J11" i="42"/>
  <c r="K11" i="42"/>
  <c r="AD11" i="42" s="1"/>
  <c r="L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F12" i="42"/>
  <c r="G12" i="42"/>
  <c r="H12" i="42"/>
  <c r="I12" i="42"/>
  <c r="J12" i="42"/>
  <c r="K12" i="42"/>
  <c r="L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B12" i="42"/>
  <c r="AC12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F15" i="42"/>
  <c r="G15" i="42"/>
  <c r="H15" i="42"/>
  <c r="I15" i="42"/>
  <c r="J15" i="42"/>
  <c r="K15" i="42"/>
  <c r="AD15" i="42" s="1"/>
  <c r="L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F16" i="42"/>
  <c r="G16" i="42"/>
  <c r="H16" i="42"/>
  <c r="I16" i="42"/>
  <c r="J16" i="42"/>
  <c r="K16" i="42"/>
  <c r="L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B16" i="42"/>
  <c r="AC16" i="42"/>
  <c r="F17" i="42"/>
  <c r="G17" i="42"/>
  <c r="H17" i="42"/>
  <c r="I17" i="42"/>
  <c r="J17" i="42"/>
  <c r="K17" i="42"/>
  <c r="L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F18" i="42"/>
  <c r="G18" i="42"/>
  <c r="H18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F19" i="42"/>
  <c r="G19" i="42"/>
  <c r="H19" i="42"/>
  <c r="I19" i="42"/>
  <c r="J19" i="42"/>
  <c r="AD19" i="42" s="1"/>
  <c r="K19" i="42"/>
  <c r="L19" i="42"/>
  <c r="M19" i="42"/>
  <c r="N19" i="42"/>
  <c r="O19" i="42"/>
  <c r="P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F20" i="42"/>
  <c r="G20" i="42"/>
  <c r="H20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B20" i="42"/>
  <c r="AC20" i="42"/>
  <c r="F21" i="42"/>
  <c r="G21" i="42"/>
  <c r="H21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W21" i="42"/>
  <c r="X21" i="42"/>
  <c r="Y21" i="42"/>
  <c r="Z21" i="42"/>
  <c r="AA21" i="42"/>
  <c r="AB21" i="42"/>
  <c r="AC21" i="42"/>
  <c r="F22" i="42"/>
  <c r="G22" i="42"/>
  <c r="H22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F23" i="42"/>
  <c r="G23" i="42"/>
  <c r="H23" i="42"/>
  <c r="I23" i="42"/>
  <c r="J23" i="42"/>
  <c r="AD23" i="42" s="1"/>
  <c r="K23" i="42"/>
  <c r="L23" i="42"/>
  <c r="M23" i="42"/>
  <c r="N23" i="42"/>
  <c r="O23" i="42"/>
  <c r="P23" i="42"/>
  <c r="Q23" i="42"/>
  <c r="R23" i="42"/>
  <c r="S23" i="42"/>
  <c r="T23" i="42"/>
  <c r="U23" i="42"/>
  <c r="V23" i="42"/>
  <c r="W23" i="42"/>
  <c r="X23" i="42"/>
  <c r="Y23" i="42"/>
  <c r="Z23" i="42"/>
  <c r="AA23" i="42"/>
  <c r="AB23" i="42"/>
  <c r="AC23" i="42"/>
  <c r="F24" i="42"/>
  <c r="G24" i="42"/>
  <c r="H24" i="42"/>
  <c r="I24" i="42"/>
  <c r="J24" i="42"/>
  <c r="K24" i="42"/>
  <c r="L24" i="42"/>
  <c r="M24" i="42"/>
  <c r="N24" i="42"/>
  <c r="O24" i="42"/>
  <c r="P24" i="42"/>
  <c r="Q24" i="42"/>
  <c r="R24" i="42"/>
  <c r="S24" i="42"/>
  <c r="T24" i="42"/>
  <c r="U24" i="42"/>
  <c r="V24" i="42"/>
  <c r="W24" i="42"/>
  <c r="X24" i="42"/>
  <c r="Y24" i="42"/>
  <c r="Z24" i="42"/>
  <c r="AA24" i="42"/>
  <c r="AB24" i="42"/>
  <c r="AC24" i="42"/>
  <c r="F25" i="42"/>
  <c r="G25" i="42"/>
  <c r="H25" i="42"/>
  <c r="I25" i="42"/>
  <c r="J25" i="42"/>
  <c r="K25" i="42"/>
  <c r="L25" i="42"/>
  <c r="M25" i="42"/>
  <c r="N25" i="42"/>
  <c r="O25" i="42"/>
  <c r="P25" i="42"/>
  <c r="Q25" i="42"/>
  <c r="R25" i="42"/>
  <c r="S25" i="42"/>
  <c r="T25" i="42"/>
  <c r="U25" i="42"/>
  <c r="V25" i="42"/>
  <c r="W25" i="42"/>
  <c r="X25" i="42"/>
  <c r="Y25" i="42"/>
  <c r="Z25" i="42"/>
  <c r="AA25" i="42"/>
  <c r="AB25" i="42"/>
  <c r="AC25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R26" i="42"/>
  <c r="S26" i="42"/>
  <c r="T26" i="42"/>
  <c r="U26" i="42"/>
  <c r="V26" i="42"/>
  <c r="W26" i="42"/>
  <c r="X26" i="42"/>
  <c r="Y26" i="42"/>
  <c r="Z26" i="42"/>
  <c r="AA26" i="42"/>
  <c r="AB26" i="42"/>
  <c r="AC26" i="42"/>
  <c r="F27" i="42"/>
  <c r="G27" i="42"/>
  <c r="H27" i="42"/>
  <c r="I27" i="42"/>
  <c r="J27" i="42"/>
  <c r="K27" i="42"/>
  <c r="AD27" i="42" s="1"/>
  <c r="L27" i="42"/>
  <c r="M27" i="42"/>
  <c r="N27" i="42"/>
  <c r="O27" i="42"/>
  <c r="P27" i="42"/>
  <c r="Q27" i="42"/>
  <c r="R27" i="42"/>
  <c r="S27" i="42"/>
  <c r="T27" i="42"/>
  <c r="U27" i="42"/>
  <c r="V27" i="42"/>
  <c r="W27" i="42"/>
  <c r="X27" i="42"/>
  <c r="Y27" i="42"/>
  <c r="Z27" i="42"/>
  <c r="AA27" i="42"/>
  <c r="AB27" i="42"/>
  <c r="AC27" i="42"/>
  <c r="F28" i="42"/>
  <c r="G28" i="42"/>
  <c r="H28" i="42"/>
  <c r="I28" i="42"/>
  <c r="J28" i="42"/>
  <c r="K28" i="42"/>
  <c r="L28" i="42"/>
  <c r="M28" i="42"/>
  <c r="N28" i="42"/>
  <c r="O28" i="42"/>
  <c r="P28" i="42"/>
  <c r="Q28" i="42"/>
  <c r="R28" i="42"/>
  <c r="S28" i="42"/>
  <c r="T28" i="42"/>
  <c r="U28" i="42"/>
  <c r="V28" i="42"/>
  <c r="W28" i="42"/>
  <c r="X28" i="42"/>
  <c r="Y28" i="42"/>
  <c r="Z28" i="42"/>
  <c r="AA28" i="42"/>
  <c r="AB28" i="42"/>
  <c r="AC28" i="42"/>
  <c r="F29" i="42"/>
  <c r="G29" i="42"/>
  <c r="H29" i="42"/>
  <c r="I29" i="42"/>
  <c r="J29" i="42"/>
  <c r="K29" i="42"/>
  <c r="L29" i="42"/>
  <c r="M29" i="42"/>
  <c r="N29" i="42"/>
  <c r="O29" i="42"/>
  <c r="P29" i="42"/>
  <c r="Q29" i="42"/>
  <c r="R29" i="42"/>
  <c r="S29" i="42"/>
  <c r="T29" i="42"/>
  <c r="U29" i="42"/>
  <c r="V29" i="42"/>
  <c r="W29" i="42"/>
  <c r="X29" i="42"/>
  <c r="Y29" i="42"/>
  <c r="Z29" i="42"/>
  <c r="AA29" i="42"/>
  <c r="AB29" i="42"/>
  <c r="AC29" i="42"/>
  <c r="F30" i="42"/>
  <c r="G30" i="42"/>
  <c r="H30" i="42"/>
  <c r="I30" i="42"/>
  <c r="J30" i="42"/>
  <c r="K30" i="42"/>
  <c r="L30" i="42"/>
  <c r="M30" i="42"/>
  <c r="N30" i="42"/>
  <c r="O30" i="42"/>
  <c r="P30" i="42"/>
  <c r="Q30" i="42"/>
  <c r="R30" i="42"/>
  <c r="S30" i="42"/>
  <c r="T30" i="42"/>
  <c r="U30" i="42"/>
  <c r="V30" i="42"/>
  <c r="W30" i="42"/>
  <c r="X30" i="42"/>
  <c r="Y30" i="42"/>
  <c r="Z30" i="42"/>
  <c r="AA30" i="42"/>
  <c r="AB30" i="42"/>
  <c r="AC30" i="42"/>
  <c r="F31" i="42"/>
  <c r="G31" i="42"/>
  <c r="H31" i="42"/>
  <c r="I31" i="42"/>
  <c r="J31" i="42"/>
  <c r="K31" i="42"/>
  <c r="L31" i="42"/>
  <c r="AD31" i="42" s="1"/>
  <c r="M31" i="42"/>
  <c r="N31" i="42"/>
  <c r="O31" i="42"/>
  <c r="P31" i="42"/>
  <c r="Q31" i="42"/>
  <c r="R31" i="42"/>
  <c r="S31" i="42"/>
  <c r="T31" i="42"/>
  <c r="U31" i="42"/>
  <c r="V31" i="42"/>
  <c r="W31" i="42"/>
  <c r="X31" i="42"/>
  <c r="Y31" i="42"/>
  <c r="Z31" i="42"/>
  <c r="AA31" i="42"/>
  <c r="AB31" i="42"/>
  <c r="AC31" i="42"/>
  <c r="F32" i="42"/>
  <c r="G32" i="42"/>
  <c r="H32" i="42"/>
  <c r="I32" i="42"/>
  <c r="J32" i="42"/>
  <c r="K32" i="42"/>
  <c r="L32" i="42"/>
  <c r="M32" i="42"/>
  <c r="N32" i="42"/>
  <c r="O32" i="42"/>
  <c r="P32" i="42"/>
  <c r="Q32" i="42"/>
  <c r="R32" i="42"/>
  <c r="S32" i="42"/>
  <c r="T32" i="42"/>
  <c r="U32" i="42"/>
  <c r="V32" i="42"/>
  <c r="W32" i="42"/>
  <c r="X32" i="42"/>
  <c r="Y32" i="42"/>
  <c r="Z32" i="42"/>
  <c r="AA32" i="42"/>
  <c r="AB32" i="42"/>
  <c r="AC32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R33" i="42"/>
  <c r="S33" i="42"/>
  <c r="T33" i="42"/>
  <c r="U33" i="42"/>
  <c r="V33" i="42"/>
  <c r="W33" i="42"/>
  <c r="X33" i="42"/>
  <c r="Y33" i="42"/>
  <c r="Z33" i="42"/>
  <c r="AA33" i="42"/>
  <c r="AB33" i="42"/>
  <c r="AC33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R34" i="42"/>
  <c r="S34" i="42"/>
  <c r="T34" i="42"/>
  <c r="U34" i="42"/>
  <c r="V34" i="42"/>
  <c r="W34" i="42"/>
  <c r="X34" i="42"/>
  <c r="Y34" i="42"/>
  <c r="Z34" i="42"/>
  <c r="AA34" i="42"/>
  <c r="AB34" i="42"/>
  <c r="AC34" i="42"/>
  <c r="F35" i="42"/>
  <c r="G35" i="42"/>
  <c r="H35" i="42"/>
  <c r="I35" i="42"/>
  <c r="J35" i="42"/>
  <c r="K35" i="42"/>
  <c r="L35" i="42"/>
  <c r="M35" i="42"/>
  <c r="AD35" i="42" s="1"/>
  <c r="N35" i="42"/>
  <c r="O35" i="42"/>
  <c r="P35" i="42"/>
  <c r="Q35" i="42"/>
  <c r="R35" i="42"/>
  <c r="S35" i="42"/>
  <c r="T35" i="42"/>
  <c r="U35" i="42"/>
  <c r="V35" i="42"/>
  <c r="W35" i="42"/>
  <c r="X35" i="42"/>
  <c r="Y35" i="42"/>
  <c r="Z35" i="42"/>
  <c r="AA35" i="42"/>
  <c r="AB35" i="42"/>
  <c r="AC35" i="42"/>
  <c r="F36" i="42"/>
  <c r="G36" i="42"/>
  <c r="H36" i="42"/>
  <c r="I36" i="42"/>
  <c r="J36" i="42"/>
  <c r="K36" i="42"/>
  <c r="L36" i="42"/>
  <c r="M36" i="42"/>
  <c r="N36" i="42"/>
  <c r="O36" i="42"/>
  <c r="P36" i="42"/>
  <c r="Q36" i="42"/>
  <c r="R36" i="42"/>
  <c r="S36" i="42"/>
  <c r="T36" i="42"/>
  <c r="U36" i="42"/>
  <c r="V36" i="42"/>
  <c r="W36" i="42"/>
  <c r="X36" i="42"/>
  <c r="Y36" i="42"/>
  <c r="Z36" i="42"/>
  <c r="AA36" i="42"/>
  <c r="AB36" i="42"/>
  <c r="AC36" i="42"/>
  <c r="F37" i="42"/>
  <c r="G37" i="42"/>
  <c r="H37" i="42"/>
  <c r="I37" i="42"/>
  <c r="J37" i="42"/>
  <c r="K37" i="42"/>
  <c r="L37" i="42"/>
  <c r="M37" i="42"/>
  <c r="N37" i="42"/>
  <c r="O37" i="42"/>
  <c r="P37" i="42"/>
  <c r="Q37" i="42"/>
  <c r="R37" i="42"/>
  <c r="S37" i="42"/>
  <c r="T37" i="42"/>
  <c r="U37" i="42"/>
  <c r="V37" i="42"/>
  <c r="W37" i="42"/>
  <c r="X37" i="42"/>
  <c r="Y37" i="42"/>
  <c r="Z37" i="42"/>
  <c r="AA37" i="42"/>
  <c r="AB37" i="42"/>
  <c r="AC37" i="42"/>
  <c r="F38" i="42"/>
  <c r="G38" i="42"/>
  <c r="H38" i="42"/>
  <c r="I38" i="42"/>
  <c r="J38" i="42"/>
  <c r="K38" i="42"/>
  <c r="L38" i="42"/>
  <c r="M38" i="42"/>
  <c r="N38" i="42"/>
  <c r="O38" i="42"/>
  <c r="P38" i="42"/>
  <c r="Q38" i="42"/>
  <c r="R38" i="42"/>
  <c r="S38" i="42"/>
  <c r="T38" i="42"/>
  <c r="U38" i="42"/>
  <c r="V38" i="42"/>
  <c r="W38" i="42"/>
  <c r="X38" i="42"/>
  <c r="Y38" i="42"/>
  <c r="Z38" i="42"/>
  <c r="AA38" i="42"/>
  <c r="AB38" i="42"/>
  <c r="AC38" i="42"/>
  <c r="F39" i="42"/>
  <c r="G39" i="42"/>
  <c r="H39" i="42"/>
  <c r="I39" i="42"/>
  <c r="J39" i="42"/>
  <c r="K39" i="42"/>
  <c r="L39" i="42"/>
  <c r="M39" i="42"/>
  <c r="N39" i="42"/>
  <c r="O39" i="42"/>
  <c r="P39" i="42"/>
  <c r="Q39" i="42"/>
  <c r="R39" i="42"/>
  <c r="S39" i="42"/>
  <c r="T39" i="42"/>
  <c r="U39" i="42"/>
  <c r="V39" i="42"/>
  <c r="W39" i="42"/>
  <c r="X39" i="42"/>
  <c r="Y39" i="42"/>
  <c r="Z39" i="42"/>
  <c r="AA39" i="42"/>
  <c r="AB39" i="42"/>
  <c r="AC39" i="42"/>
  <c r="F40" i="42"/>
  <c r="G40" i="42"/>
  <c r="H40" i="42"/>
  <c r="I40" i="42"/>
  <c r="J40" i="42"/>
  <c r="K40" i="42"/>
  <c r="L40" i="42"/>
  <c r="M40" i="42"/>
  <c r="N40" i="42"/>
  <c r="O40" i="42"/>
  <c r="P40" i="42"/>
  <c r="Q40" i="42"/>
  <c r="R40" i="42"/>
  <c r="S40" i="42"/>
  <c r="T40" i="42"/>
  <c r="U40" i="42"/>
  <c r="V40" i="42"/>
  <c r="W40" i="42"/>
  <c r="X40" i="42"/>
  <c r="Y40" i="42"/>
  <c r="Z40" i="42"/>
  <c r="AA40" i="42"/>
  <c r="AB40" i="42"/>
  <c r="AC40" i="42"/>
  <c r="F41" i="42"/>
  <c r="G41" i="42"/>
  <c r="H41" i="42"/>
  <c r="I41" i="42"/>
  <c r="J41" i="42"/>
  <c r="K41" i="42"/>
  <c r="L41" i="42"/>
  <c r="M41" i="42"/>
  <c r="N41" i="42"/>
  <c r="O41" i="42"/>
  <c r="P41" i="42"/>
  <c r="Q41" i="42"/>
  <c r="R41" i="42"/>
  <c r="S41" i="42"/>
  <c r="T41" i="42"/>
  <c r="U41" i="42"/>
  <c r="V41" i="42"/>
  <c r="W41" i="42"/>
  <c r="X41" i="42"/>
  <c r="Y41" i="42"/>
  <c r="Z41" i="42"/>
  <c r="AA41" i="42"/>
  <c r="AB41" i="42"/>
  <c r="AC41" i="42"/>
  <c r="F42" i="42"/>
  <c r="G42" i="42"/>
  <c r="H42" i="42"/>
  <c r="I42" i="42"/>
  <c r="J42" i="42"/>
  <c r="K42" i="42"/>
  <c r="L42" i="42"/>
  <c r="M42" i="42"/>
  <c r="N42" i="42"/>
  <c r="O42" i="42"/>
  <c r="P42" i="42"/>
  <c r="Q42" i="42"/>
  <c r="R42" i="42"/>
  <c r="S42" i="42"/>
  <c r="T42" i="42"/>
  <c r="U42" i="42"/>
  <c r="V42" i="42"/>
  <c r="W42" i="42"/>
  <c r="X42" i="42"/>
  <c r="Y42" i="42"/>
  <c r="Z42" i="42"/>
  <c r="AA42" i="42"/>
  <c r="AB42" i="42"/>
  <c r="AC42" i="42"/>
  <c r="F43" i="42"/>
  <c r="G43" i="42"/>
  <c r="H43" i="42"/>
  <c r="I43" i="42"/>
  <c r="J43" i="42"/>
  <c r="AD43" i="42" s="1"/>
  <c r="K43" i="42"/>
  <c r="L43" i="42"/>
  <c r="M43" i="42"/>
  <c r="N43" i="42"/>
  <c r="O43" i="42"/>
  <c r="P43" i="42"/>
  <c r="Q43" i="42"/>
  <c r="R43" i="42"/>
  <c r="S43" i="42"/>
  <c r="T43" i="42"/>
  <c r="U43" i="42"/>
  <c r="V43" i="42"/>
  <c r="W43" i="42"/>
  <c r="X43" i="42"/>
  <c r="Y43" i="42"/>
  <c r="Z43" i="42"/>
  <c r="AA43" i="42"/>
  <c r="AB43" i="42"/>
  <c r="AC43" i="42"/>
  <c r="F44" i="42"/>
  <c r="G44" i="42"/>
  <c r="H44" i="42"/>
  <c r="I44" i="42"/>
  <c r="J44" i="42"/>
  <c r="K44" i="42"/>
  <c r="L44" i="42"/>
  <c r="M44" i="42"/>
  <c r="N44" i="42"/>
  <c r="O44" i="42"/>
  <c r="P44" i="42"/>
  <c r="Q44" i="42"/>
  <c r="R44" i="42"/>
  <c r="S44" i="42"/>
  <c r="T44" i="42"/>
  <c r="U44" i="42"/>
  <c r="V44" i="42"/>
  <c r="W44" i="42"/>
  <c r="X44" i="42"/>
  <c r="Y44" i="42"/>
  <c r="Z44" i="42"/>
  <c r="AA44" i="42"/>
  <c r="AB44" i="42"/>
  <c r="AC44" i="42"/>
  <c r="F45" i="42"/>
  <c r="G45" i="42"/>
  <c r="H45" i="42"/>
  <c r="I45" i="42"/>
  <c r="J45" i="42"/>
  <c r="K45" i="42"/>
  <c r="L45" i="42"/>
  <c r="M45" i="42"/>
  <c r="N45" i="42"/>
  <c r="O45" i="42"/>
  <c r="P45" i="42"/>
  <c r="Q45" i="42"/>
  <c r="R45" i="42"/>
  <c r="S45" i="42"/>
  <c r="T45" i="42"/>
  <c r="U45" i="42"/>
  <c r="V45" i="42"/>
  <c r="W45" i="42"/>
  <c r="X45" i="42"/>
  <c r="Y45" i="42"/>
  <c r="Z45" i="42"/>
  <c r="AA45" i="42"/>
  <c r="AB45" i="42"/>
  <c r="AC45" i="42"/>
  <c r="F46" i="42"/>
  <c r="G46" i="42"/>
  <c r="H46" i="42"/>
  <c r="I46" i="42"/>
  <c r="J46" i="42"/>
  <c r="K46" i="42"/>
  <c r="L46" i="42"/>
  <c r="M46" i="42"/>
  <c r="N46" i="42"/>
  <c r="O46" i="42"/>
  <c r="P46" i="42"/>
  <c r="Q46" i="42"/>
  <c r="R46" i="42"/>
  <c r="S46" i="42"/>
  <c r="T46" i="42"/>
  <c r="U46" i="42"/>
  <c r="V46" i="42"/>
  <c r="W46" i="42"/>
  <c r="X46" i="42"/>
  <c r="Y46" i="42"/>
  <c r="Z46" i="42"/>
  <c r="AA46" i="42"/>
  <c r="AB46" i="42"/>
  <c r="AC46" i="42"/>
  <c r="F47" i="42"/>
  <c r="G47" i="42"/>
  <c r="H47" i="42"/>
  <c r="I47" i="42"/>
  <c r="J47" i="42"/>
  <c r="AD47" i="42" s="1"/>
  <c r="K47" i="42"/>
  <c r="L47" i="42"/>
  <c r="M47" i="42"/>
  <c r="N47" i="42"/>
  <c r="O47" i="42"/>
  <c r="P47" i="42"/>
  <c r="Q47" i="42"/>
  <c r="R47" i="42"/>
  <c r="S47" i="42"/>
  <c r="T47" i="42"/>
  <c r="U47" i="42"/>
  <c r="V47" i="42"/>
  <c r="W47" i="42"/>
  <c r="X47" i="42"/>
  <c r="Y47" i="42"/>
  <c r="Z47" i="42"/>
  <c r="AA47" i="42"/>
  <c r="AB47" i="42"/>
  <c r="AC47" i="42"/>
  <c r="F48" i="42"/>
  <c r="G48" i="42"/>
  <c r="H48" i="42"/>
  <c r="I48" i="42"/>
  <c r="J48" i="42"/>
  <c r="K48" i="42"/>
  <c r="L48" i="42"/>
  <c r="M48" i="42"/>
  <c r="N48" i="42"/>
  <c r="O48" i="42"/>
  <c r="P48" i="42"/>
  <c r="Q48" i="42"/>
  <c r="R48" i="42"/>
  <c r="S48" i="42"/>
  <c r="T48" i="42"/>
  <c r="U48" i="42"/>
  <c r="V48" i="42"/>
  <c r="W48" i="42"/>
  <c r="X48" i="42"/>
  <c r="Y48" i="42"/>
  <c r="Z48" i="42"/>
  <c r="AA48" i="42"/>
  <c r="AB48" i="42"/>
  <c r="AC48" i="42"/>
  <c r="F49" i="42"/>
  <c r="G49" i="42"/>
  <c r="H49" i="42"/>
  <c r="I49" i="42"/>
  <c r="J49" i="42"/>
  <c r="K49" i="42"/>
  <c r="L49" i="42"/>
  <c r="M49" i="42"/>
  <c r="N49" i="42"/>
  <c r="O49" i="42"/>
  <c r="P49" i="42"/>
  <c r="Q49" i="42"/>
  <c r="R49" i="42"/>
  <c r="S49" i="42"/>
  <c r="T49" i="42"/>
  <c r="U49" i="42"/>
  <c r="V49" i="42"/>
  <c r="W49" i="42"/>
  <c r="X49" i="42"/>
  <c r="Y49" i="42"/>
  <c r="Z49" i="42"/>
  <c r="AA49" i="42"/>
  <c r="AB49" i="42"/>
  <c r="AC49" i="42"/>
  <c r="F50" i="42"/>
  <c r="G50" i="42"/>
  <c r="H50" i="42"/>
  <c r="I50" i="42"/>
  <c r="J50" i="42"/>
  <c r="K50" i="42"/>
  <c r="L50" i="42"/>
  <c r="M50" i="42"/>
  <c r="N50" i="42"/>
  <c r="O50" i="42"/>
  <c r="P50" i="42"/>
  <c r="Q50" i="42"/>
  <c r="R50" i="42"/>
  <c r="S50" i="42"/>
  <c r="T50" i="42"/>
  <c r="U50" i="42"/>
  <c r="V50" i="42"/>
  <c r="W50" i="42"/>
  <c r="X50" i="42"/>
  <c r="Y50" i="42"/>
  <c r="Z50" i="42"/>
  <c r="AA50" i="42"/>
  <c r="AB50" i="42"/>
  <c r="AC50" i="42"/>
  <c r="F51" i="42"/>
  <c r="G51" i="42"/>
  <c r="H51" i="42"/>
  <c r="I51" i="42"/>
  <c r="J51" i="42"/>
  <c r="K51" i="42"/>
  <c r="L51" i="42"/>
  <c r="M51" i="42"/>
  <c r="AD51" i="42" s="1"/>
  <c r="N51" i="42"/>
  <c r="O51" i="42"/>
  <c r="P51" i="42"/>
  <c r="Q51" i="42"/>
  <c r="R51" i="42"/>
  <c r="S51" i="42"/>
  <c r="T51" i="42"/>
  <c r="U51" i="42"/>
  <c r="V51" i="42"/>
  <c r="W51" i="42"/>
  <c r="X51" i="42"/>
  <c r="Y51" i="42"/>
  <c r="Z51" i="42"/>
  <c r="AA51" i="42"/>
  <c r="AB51" i="42"/>
  <c r="AC51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R52" i="42"/>
  <c r="S52" i="42"/>
  <c r="T52" i="42"/>
  <c r="U52" i="42"/>
  <c r="V52" i="42"/>
  <c r="W52" i="42"/>
  <c r="X52" i="42"/>
  <c r="Y52" i="42"/>
  <c r="Z52" i="42"/>
  <c r="AA52" i="42"/>
  <c r="AB52" i="42"/>
  <c r="AC52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R53" i="42"/>
  <c r="S53" i="42"/>
  <c r="T53" i="42"/>
  <c r="U53" i="42"/>
  <c r="V53" i="42"/>
  <c r="W53" i="42"/>
  <c r="X53" i="42"/>
  <c r="Y53" i="42"/>
  <c r="Z53" i="42"/>
  <c r="AA53" i="42"/>
  <c r="AB53" i="42"/>
  <c r="AC53" i="42"/>
  <c r="F54" i="42"/>
  <c r="G54" i="42"/>
  <c r="H54" i="42"/>
  <c r="I54" i="42"/>
  <c r="J54" i="42"/>
  <c r="K54" i="42"/>
  <c r="L54" i="42"/>
  <c r="M54" i="42"/>
  <c r="N54" i="42"/>
  <c r="O54" i="42"/>
  <c r="P54" i="42"/>
  <c r="Q54" i="42"/>
  <c r="R54" i="42"/>
  <c r="S54" i="42"/>
  <c r="T54" i="42"/>
  <c r="U54" i="42"/>
  <c r="V54" i="42"/>
  <c r="W54" i="42"/>
  <c r="X54" i="42"/>
  <c r="Y54" i="42"/>
  <c r="Z54" i="42"/>
  <c r="AA54" i="42"/>
  <c r="AB54" i="42"/>
  <c r="AC54" i="42"/>
  <c r="AD39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F7" i="42"/>
  <c r="AD43" i="43" l="1"/>
  <c r="C18" i="45" s="1"/>
  <c r="AD51" i="43"/>
  <c r="C20" i="45" s="1"/>
  <c r="AD47" i="43"/>
  <c r="C19" i="45" s="1"/>
  <c r="AD35" i="43"/>
  <c r="C16" i="45" s="1"/>
  <c r="AD31" i="43"/>
  <c r="C15" i="45" s="1"/>
  <c r="AD39" i="43"/>
  <c r="C17" i="45" s="1"/>
  <c r="AD27" i="43"/>
  <c r="C14" i="45" s="1"/>
  <c r="AD23" i="43"/>
  <c r="C13" i="45" s="1"/>
  <c r="AD11" i="43"/>
  <c r="C10" i="45" s="1"/>
  <c r="AD19" i="43"/>
  <c r="C12" i="45" s="1"/>
  <c r="AD15" i="43"/>
  <c r="C11" i="45" s="1"/>
  <c r="C23" i="44"/>
  <c r="AD7" i="43"/>
  <c r="C9" i="45" s="1"/>
  <c r="AD7" i="42"/>
  <c r="AD55" i="42" s="1"/>
  <c r="F8" i="40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F9" i="40"/>
  <c r="G9" i="40"/>
  <c r="H9" i="40"/>
  <c r="I9" i="40"/>
  <c r="J9" i="40"/>
  <c r="K9" i="40"/>
  <c r="L9" i="40"/>
  <c r="M9" i="40"/>
  <c r="N9" i="40"/>
  <c r="O9" i="40"/>
  <c r="P9" i="40"/>
  <c r="Q9" i="40"/>
  <c r="R9" i="40"/>
  <c r="S9" i="40"/>
  <c r="T9" i="40"/>
  <c r="U9" i="40"/>
  <c r="V9" i="40"/>
  <c r="W9" i="40"/>
  <c r="X9" i="40"/>
  <c r="Y9" i="40"/>
  <c r="Z9" i="40"/>
  <c r="AA9" i="40"/>
  <c r="AB9" i="40"/>
  <c r="AC9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W13" i="40"/>
  <c r="X13" i="40"/>
  <c r="Y13" i="40"/>
  <c r="Z13" i="40"/>
  <c r="AA13" i="40"/>
  <c r="AB13" i="40"/>
  <c r="AC13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Z18" i="40"/>
  <c r="AA18" i="40"/>
  <c r="AB18" i="40"/>
  <c r="AC18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Z19" i="40"/>
  <c r="AA19" i="40"/>
  <c r="AB19" i="40"/>
  <c r="AC19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Z21" i="40"/>
  <c r="AA21" i="40"/>
  <c r="AB21" i="40"/>
  <c r="AC21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Z22" i="40"/>
  <c r="AA22" i="40"/>
  <c r="AB22" i="40"/>
  <c r="AC22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Z23" i="40"/>
  <c r="AA23" i="40"/>
  <c r="AB23" i="40"/>
  <c r="AC23" i="40"/>
  <c r="F24" i="40"/>
  <c r="G24" i="40"/>
  <c r="H24" i="40"/>
  <c r="I24" i="40"/>
  <c r="J24" i="40"/>
  <c r="K24" i="40"/>
  <c r="L24" i="40"/>
  <c r="M24" i="40"/>
  <c r="N24" i="40"/>
  <c r="O24" i="40"/>
  <c r="P24" i="40"/>
  <c r="Q24" i="40"/>
  <c r="R24" i="40"/>
  <c r="S24" i="40"/>
  <c r="T24" i="40"/>
  <c r="U24" i="40"/>
  <c r="V24" i="40"/>
  <c r="W24" i="40"/>
  <c r="X24" i="40"/>
  <c r="Y24" i="40"/>
  <c r="Z24" i="40"/>
  <c r="AA24" i="40"/>
  <c r="AB24" i="40"/>
  <c r="AC24" i="40"/>
  <c r="F25" i="40"/>
  <c r="G25" i="40"/>
  <c r="H25" i="40"/>
  <c r="I25" i="40"/>
  <c r="J25" i="40"/>
  <c r="K25" i="40"/>
  <c r="L25" i="40"/>
  <c r="M25" i="40"/>
  <c r="N25" i="40"/>
  <c r="O25" i="40"/>
  <c r="P25" i="40"/>
  <c r="Q25" i="40"/>
  <c r="R25" i="40"/>
  <c r="S25" i="40"/>
  <c r="T25" i="40"/>
  <c r="U25" i="40"/>
  <c r="V25" i="40"/>
  <c r="W25" i="40"/>
  <c r="X25" i="40"/>
  <c r="Y25" i="40"/>
  <c r="Z25" i="40"/>
  <c r="AA25" i="40"/>
  <c r="AB25" i="40"/>
  <c r="AC25" i="40"/>
  <c r="F26" i="40"/>
  <c r="G26" i="40"/>
  <c r="H26" i="40"/>
  <c r="I26" i="40"/>
  <c r="J26" i="40"/>
  <c r="K26" i="40"/>
  <c r="L26" i="40"/>
  <c r="M26" i="40"/>
  <c r="N26" i="40"/>
  <c r="O26" i="40"/>
  <c r="P26" i="40"/>
  <c r="Q26" i="40"/>
  <c r="R26" i="40"/>
  <c r="S26" i="40"/>
  <c r="T26" i="40"/>
  <c r="U26" i="40"/>
  <c r="V26" i="40"/>
  <c r="W26" i="40"/>
  <c r="X26" i="40"/>
  <c r="Y26" i="40"/>
  <c r="Z26" i="40"/>
  <c r="AA26" i="40"/>
  <c r="AB26" i="40"/>
  <c r="AC26" i="40"/>
  <c r="F27" i="40"/>
  <c r="G27" i="40"/>
  <c r="H27" i="40"/>
  <c r="I27" i="40"/>
  <c r="J27" i="40"/>
  <c r="K27" i="40"/>
  <c r="L27" i="40"/>
  <c r="M27" i="40"/>
  <c r="N27" i="40"/>
  <c r="O27" i="40"/>
  <c r="P27" i="40"/>
  <c r="Q27" i="40"/>
  <c r="R27" i="40"/>
  <c r="S27" i="40"/>
  <c r="T27" i="40"/>
  <c r="U27" i="40"/>
  <c r="V27" i="40"/>
  <c r="W27" i="40"/>
  <c r="X27" i="40"/>
  <c r="Y27" i="40"/>
  <c r="Z27" i="40"/>
  <c r="AA27" i="40"/>
  <c r="AB27" i="40"/>
  <c r="AC27" i="40"/>
  <c r="F28" i="40"/>
  <c r="G28" i="40"/>
  <c r="H28" i="40"/>
  <c r="I28" i="40"/>
  <c r="J28" i="40"/>
  <c r="K28" i="40"/>
  <c r="L28" i="40"/>
  <c r="M28" i="40"/>
  <c r="N28" i="40"/>
  <c r="O28" i="40"/>
  <c r="P28" i="40"/>
  <c r="Q28" i="40"/>
  <c r="R28" i="40"/>
  <c r="S28" i="40"/>
  <c r="T28" i="40"/>
  <c r="U28" i="40"/>
  <c r="V28" i="40"/>
  <c r="W28" i="40"/>
  <c r="X28" i="40"/>
  <c r="Y28" i="40"/>
  <c r="Z28" i="40"/>
  <c r="AA28" i="40"/>
  <c r="AB28" i="40"/>
  <c r="AC28" i="40"/>
  <c r="F29" i="40"/>
  <c r="G29" i="40"/>
  <c r="H29" i="40"/>
  <c r="I29" i="40"/>
  <c r="J29" i="40"/>
  <c r="K29" i="40"/>
  <c r="L29" i="40"/>
  <c r="M29" i="40"/>
  <c r="N29" i="40"/>
  <c r="O29" i="40"/>
  <c r="P29" i="40"/>
  <c r="Q29" i="40"/>
  <c r="R29" i="40"/>
  <c r="S29" i="40"/>
  <c r="T29" i="40"/>
  <c r="U29" i="40"/>
  <c r="V29" i="40"/>
  <c r="W29" i="40"/>
  <c r="X29" i="40"/>
  <c r="Y29" i="40"/>
  <c r="Z29" i="40"/>
  <c r="AA29" i="40"/>
  <c r="AB29" i="40"/>
  <c r="AC29" i="40"/>
  <c r="F30" i="40"/>
  <c r="G30" i="40"/>
  <c r="H30" i="40"/>
  <c r="I30" i="40"/>
  <c r="J30" i="40"/>
  <c r="K30" i="40"/>
  <c r="L30" i="40"/>
  <c r="M30" i="40"/>
  <c r="N30" i="40"/>
  <c r="O30" i="40"/>
  <c r="P30" i="40"/>
  <c r="Q30" i="40"/>
  <c r="R30" i="40"/>
  <c r="S30" i="40"/>
  <c r="T30" i="40"/>
  <c r="U30" i="40"/>
  <c r="V30" i="40"/>
  <c r="W30" i="40"/>
  <c r="X30" i="40"/>
  <c r="Y30" i="40"/>
  <c r="Z30" i="40"/>
  <c r="AA30" i="40"/>
  <c r="AB30" i="40"/>
  <c r="AC30" i="40"/>
  <c r="F31" i="40"/>
  <c r="G31" i="40"/>
  <c r="H31" i="40"/>
  <c r="I31" i="40"/>
  <c r="J31" i="40"/>
  <c r="K31" i="40"/>
  <c r="L31" i="40"/>
  <c r="M31" i="40"/>
  <c r="N31" i="40"/>
  <c r="O31" i="40"/>
  <c r="P31" i="40"/>
  <c r="Q31" i="40"/>
  <c r="R31" i="40"/>
  <c r="S31" i="40"/>
  <c r="T31" i="40"/>
  <c r="U31" i="40"/>
  <c r="V31" i="40"/>
  <c r="W31" i="40"/>
  <c r="X31" i="40"/>
  <c r="Y31" i="40"/>
  <c r="Z31" i="40"/>
  <c r="AA31" i="40"/>
  <c r="AB31" i="40"/>
  <c r="AC31" i="40"/>
  <c r="F32" i="40"/>
  <c r="G32" i="40"/>
  <c r="H32" i="40"/>
  <c r="I32" i="40"/>
  <c r="J32" i="40"/>
  <c r="K32" i="40"/>
  <c r="L32" i="40"/>
  <c r="M32" i="40"/>
  <c r="N32" i="40"/>
  <c r="O32" i="40"/>
  <c r="P32" i="40"/>
  <c r="Q32" i="40"/>
  <c r="R32" i="40"/>
  <c r="S32" i="40"/>
  <c r="T32" i="40"/>
  <c r="U32" i="40"/>
  <c r="V32" i="40"/>
  <c r="W32" i="40"/>
  <c r="X32" i="40"/>
  <c r="Y32" i="40"/>
  <c r="Z32" i="40"/>
  <c r="AA32" i="40"/>
  <c r="AB32" i="40"/>
  <c r="AC32" i="40"/>
  <c r="F33" i="40"/>
  <c r="G33" i="40"/>
  <c r="H33" i="40"/>
  <c r="I33" i="40"/>
  <c r="J33" i="40"/>
  <c r="K33" i="40"/>
  <c r="L33" i="40"/>
  <c r="M33" i="40"/>
  <c r="N33" i="40"/>
  <c r="O33" i="40"/>
  <c r="P33" i="40"/>
  <c r="Q33" i="40"/>
  <c r="R33" i="40"/>
  <c r="S33" i="40"/>
  <c r="T33" i="40"/>
  <c r="U33" i="40"/>
  <c r="V33" i="40"/>
  <c r="W33" i="40"/>
  <c r="X33" i="40"/>
  <c r="Y33" i="40"/>
  <c r="Z33" i="40"/>
  <c r="AA33" i="40"/>
  <c r="AB33" i="40"/>
  <c r="AC33" i="40"/>
  <c r="F34" i="40"/>
  <c r="G34" i="40"/>
  <c r="H34" i="40"/>
  <c r="I34" i="40"/>
  <c r="J34" i="40"/>
  <c r="K34" i="40"/>
  <c r="L34" i="40"/>
  <c r="M34" i="40"/>
  <c r="N34" i="40"/>
  <c r="O34" i="40"/>
  <c r="P34" i="40"/>
  <c r="Q34" i="40"/>
  <c r="R34" i="40"/>
  <c r="S34" i="40"/>
  <c r="T34" i="40"/>
  <c r="U34" i="40"/>
  <c r="V34" i="40"/>
  <c r="W34" i="40"/>
  <c r="X34" i="40"/>
  <c r="Y34" i="40"/>
  <c r="Z34" i="40"/>
  <c r="AA34" i="40"/>
  <c r="AB34" i="40"/>
  <c r="AC34" i="40"/>
  <c r="F35" i="40"/>
  <c r="G35" i="40"/>
  <c r="H35" i="40"/>
  <c r="I35" i="40"/>
  <c r="J35" i="40"/>
  <c r="K35" i="40"/>
  <c r="L35" i="40"/>
  <c r="M35" i="40"/>
  <c r="N35" i="40"/>
  <c r="O35" i="40"/>
  <c r="P35" i="40"/>
  <c r="Q35" i="40"/>
  <c r="R35" i="40"/>
  <c r="S35" i="40"/>
  <c r="T35" i="40"/>
  <c r="U35" i="40"/>
  <c r="V35" i="40"/>
  <c r="W35" i="40"/>
  <c r="X35" i="40"/>
  <c r="Y35" i="40"/>
  <c r="Z35" i="40"/>
  <c r="AA35" i="40"/>
  <c r="AB35" i="40"/>
  <c r="AC35" i="40"/>
  <c r="F36" i="40"/>
  <c r="G36" i="40"/>
  <c r="H36" i="40"/>
  <c r="I36" i="40"/>
  <c r="J36" i="40"/>
  <c r="K36" i="40"/>
  <c r="L36" i="40"/>
  <c r="M36" i="40"/>
  <c r="N36" i="40"/>
  <c r="O36" i="40"/>
  <c r="P36" i="40"/>
  <c r="Q36" i="40"/>
  <c r="R36" i="40"/>
  <c r="S36" i="40"/>
  <c r="T36" i="40"/>
  <c r="U36" i="40"/>
  <c r="V36" i="40"/>
  <c r="W36" i="40"/>
  <c r="X36" i="40"/>
  <c r="Y36" i="40"/>
  <c r="Z36" i="40"/>
  <c r="AA36" i="40"/>
  <c r="AB36" i="40"/>
  <c r="AC36" i="40"/>
  <c r="F37" i="40"/>
  <c r="G37" i="40"/>
  <c r="H37" i="40"/>
  <c r="I37" i="40"/>
  <c r="J37" i="40"/>
  <c r="K37" i="40"/>
  <c r="L37" i="40"/>
  <c r="M37" i="40"/>
  <c r="N37" i="40"/>
  <c r="O37" i="40"/>
  <c r="P37" i="40"/>
  <c r="Q37" i="40"/>
  <c r="R37" i="40"/>
  <c r="S37" i="40"/>
  <c r="T37" i="40"/>
  <c r="U37" i="40"/>
  <c r="V37" i="40"/>
  <c r="W37" i="40"/>
  <c r="X37" i="40"/>
  <c r="Y37" i="40"/>
  <c r="Z37" i="40"/>
  <c r="AA37" i="40"/>
  <c r="AB37" i="40"/>
  <c r="AC37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R39" i="40"/>
  <c r="S39" i="40"/>
  <c r="T39" i="40"/>
  <c r="U39" i="40"/>
  <c r="V39" i="40"/>
  <c r="W39" i="40"/>
  <c r="X39" i="40"/>
  <c r="Y39" i="40"/>
  <c r="Z39" i="40"/>
  <c r="AA39" i="40"/>
  <c r="AB39" i="40"/>
  <c r="AC39" i="40"/>
  <c r="F40" i="40"/>
  <c r="G40" i="40"/>
  <c r="H40" i="40"/>
  <c r="I40" i="40"/>
  <c r="J40" i="40"/>
  <c r="K40" i="40"/>
  <c r="L40" i="40"/>
  <c r="M40" i="40"/>
  <c r="N40" i="40"/>
  <c r="O40" i="40"/>
  <c r="P40" i="40"/>
  <c r="Q40" i="40"/>
  <c r="R40" i="40"/>
  <c r="S40" i="40"/>
  <c r="T40" i="40"/>
  <c r="U40" i="40"/>
  <c r="V40" i="40"/>
  <c r="W40" i="40"/>
  <c r="X40" i="40"/>
  <c r="Y40" i="40"/>
  <c r="Z40" i="40"/>
  <c r="AA40" i="40"/>
  <c r="AB40" i="40"/>
  <c r="AC40" i="40"/>
  <c r="F41" i="40"/>
  <c r="G41" i="40"/>
  <c r="H41" i="40"/>
  <c r="I41" i="40"/>
  <c r="J41" i="40"/>
  <c r="K41" i="40"/>
  <c r="L41" i="40"/>
  <c r="M41" i="40"/>
  <c r="N41" i="40"/>
  <c r="O41" i="40"/>
  <c r="P41" i="40"/>
  <c r="Q41" i="40"/>
  <c r="R41" i="40"/>
  <c r="S41" i="40"/>
  <c r="T41" i="40"/>
  <c r="U41" i="40"/>
  <c r="V41" i="40"/>
  <c r="W41" i="40"/>
  <c r="X41" i="40"/>
  <c r="Y41" i="40"/>
  <c r="Z41" i="40"/>
  <c r="AA41" i="40"/>
  <c r="AB41" i="40"/>
  <c r="AC41" i="40"/>
  <c r="F42" i="40"/>
  <c r="G42" i="40"/>
  <c r="H42" i="40"/>
  <c r="I42" i="40"/>
  <c r="J42" i="40"/>
  <c r="K42" i="40"/>
  <c r="L42" i="40"/>
  <c r="M42" i="40"/>
  <c r="N42" i="40"/>
  <c r="O42" i="40"/>
  <c r="P42" i="40"/>
  <c r="Q42" i="40"/>
  <c r="R42" i="40"/>
  <c r="S42" i="40"/>
  <c r="T42" i="40"/>
  <c r="U42" i="40"/>
  <c r="V42" i="40"/>
  <c r="W42" i="40"/>
  <c r="X42" i="40"/>
  <c r="Y42" i="40"/>
  <c r="Z42" i="40"/>
  <c r="AA42" i="40"/>
  <c r="AB42" i="40"/>
  <c r="AC42" i="40"/>
  <c r="F43" i="40"/>
  <c r="G43" i="40"/>
  <c r="H43" i="40"/>
  <c r="I43" i="40"/>
  <c r="J43" i="40"/>
  <c r="K43" i="40"/>
  <c r="L43" i="40"/>
  <c r="M43" i="40"/>
  <c r="N43" i="40"/>
  <c r="O43" i="40"/>
  <c r="P43" i="40"/>
  <c r="Q43" i="40"/>
  <c r="R43" i="40"/>
  <c r="S43" i="40"/>
  <c r="T43" i="40"/>
  <c r="U43" i="40"/>
  <c r="V43" i="40"/>
  <c r="W43" i="40"/>
  <c r="X43" i="40"/>
  <c r="Y43" i="40"/>
  <c r="Z43" i="40"/>
  <c r="AA43" i="40"/>
  <c r="AB43" i="40"/>
  <c r="AC43" i="40"/>
  <c r="F44" i="40"/>
  <c r="G44" i="40"/>
  <c r="H44" i="40"/>
  <c r="I44" i="40"/>
  <c r="J44" i="40"/>
  <c r="K44" i="40"/>
  <c r="L44" i="40"/>
  <c r="M44" i="40"/>
  <c r="N44" i="40"/>
  <c r="O44" i="40"/>
  <c r="P44" i="40"/>
  <c r="Q44" i="40"/>
  <c r="R44" i="40"/>
  <c r="S44" i="40"/>
  <c r="T44" i="40"/>
  <c r="U44" i="40"/>
  <c r="V44" i="40"/>
  <c r="W44" i="40"/>
  <c r="X44" i="40"/>
  <c r="Y44" i="40"/>
  <c r="Z44" i="40"/>
  <c r="AA44" i="40"/>
  <c r="AB44" i="40"/>
  <c r="AC44" i="40"/>
  <c r="F45" i="40"/>
  <c r="G45" i="40"/>
  <c r="H45" i="40"/>
  <c r="I45" i="40"/>
  <c r="J45" i="40"/>
  <c r="K45" i="40"/>
  <c r="L45" i="40"/>
  <c r="M45" i="40"/>
  <c r="N45" i="40"/>
  <c r="O45" i="40"/>
  <c r="P45" i="40"/>
  <c r="Q45" i="40"/>
  <c r="R45" i="40"/>
  <c r="S45" i="40"/>
  <c r="T45" i="40"/>
  <c r="U45" i="40"/>
  <c r="V45" i="40"/>
  <c r="W45" i="40"/>
  <c r="X45" i="40"/>
  <c r="Y45" i="40"/>
  <c r="Z45" i="40"/>
  <c r="AA45" i="40"/>
  <c r="AB45" i="40"/>
  <c r="AC45" i="40"/>
  <c r="F46" i="40"/>
  <c r="G46" i="40"/>
  <c r="H46" i="40"/>
  <c r="I46" i="40"/>
  <c r="J46" i="40"/>
  <c r="K46" i="40"/>
  <c r="L46" i="40"/>
  <c r="M46" i="40"/>
  <c r="N46" i="40"/>
  <c r="O46" i="40"/>
  <c r="P46" i="40"/>
  <c r="Q46" i="40"/>
  <c r="R46" i="40"/>
  <c r="S46" i="40"/>
  <c r="T46" i="40"/>
  <c r="U46" i="40"/>
  <c r="V46" i="40"/>
  <c r="W46" i="40"/>
  <c r="X46" i="40"/>
  <c r="Y46" i="40"/>
  <c r="Z46" i="40"/>
  <c r="AA46" i="40"/>
  <c r="AB46" i="40"/>
  <c r="AC46" i="40"/>
  <c r="F47" i="40"/>
  <c r="G47" i="40"/>
  <c r="H47" i="40"/>
  <c r="I47" i="40"/>
  <c r="J47" i="40"/>
  <c r="K47" i="40"/>
  <c r="L47" i="40"/>
  <c r="M47" i="40"/>
  <c r="N47" i="40"/>
  <c r="O47" i="40"/>
  <c r="P47" i="40"/>
  <c r="Q47" i="40"/>
  <c r="R47" i="40"/>
  <c r="S47" i="40"/>
  <c r="T47" i="40"/>
  <c r="U47" i="40"/>
  <c r="V47" i="40"/>
  <c r="W47" i="40"/>
  <c r="X47" i="40"/>
  <c r="Y47" i="40"/>
  <c r="Z47" i="40"/>
  <c r="AA47" i="40"/>
  <c r="AB47" i="40"/>
  <c r="AC47" i="40"/>
  <c r="F48" i="40"/>
  <c r="G48" i="40"/>
  <c r="H48" i="40"/>
  <c r="I48" i="40"/>
  <c r="J48" i="40"/>
  <c r="K48" i="40"/>
  <c r="L48" i="40"/>
  <c r="M48" i="40"/>
  <c r="N48" i="40"/>
  <c r="O48" i="40"/>
  <c r="P48" i="40"/>
  <c r="Q48" i="40"/>
  <c r="R48" i="40"/>
  <c r="S48" i="40"/>
  <c r="T48" i="40"/>
  <c r="U48" i="40"/>
  <c r="V48" i="40"/>
  <c r="W48" i="40"/>
  <c r="X48" i="40"/>
  <c r="Y48" i="40"/>
  <c r="Z48" i="40"/>
  <c r="AA48" i="40"/>
  <c r="AB48" i="40"/>
  <c r="AC48" i="40"/>
  <c r="F49" i="40"/>
  <c r="G49" i="40"/>
  <c r="H49" i="40"/>
  <c r="I49" i="40"/>
  <c r="J49" i="40"/>
  <c r="K49" i="40"/>
  <c r="L49" i="40"/>
  <c r="M49" i="40"/>
  <c r="N49" i="40"/>
  <c r="O49" i="40"/>
  <c r="P49" i="40"/>
  <c r="Q49" i="40"/>
  <c r="R49" i="40"/>
  <c r="S49" i="40"/>
  <c r="T49" i="40"/>
  <c r="U49" i="40"/>
  <c r="V49" i="40"/>
  <c r="W49" i="40"/>
  <c r="X49" i="40"/>
  <c r="Y49" i="40"/>
  <c r="Z49" i="40"/>
  <c r="AA49" i="40"/>
  <c r="AB49" i="40"/>
  <c r="AC49" i="40"/>
  <c r="F50" i="40"/>
  <c r="G50" i="40"/>
  <c r="H50" i="40"/>
  <c r="I50" i="40"/>
  <c r="J50" i="40"/>
  <c r="K50" i="40"/>
  <c r="L50" i="40"/>
  <c r="M50" i="40"/>
  <c r="N50" i="40"/>
  <c r="O50" i="40"/>
  <c r="P50" i="40"/>
  <c r="Q50" i="40"/>
  <c r="R50" i="40"/>
  <c r="S50" i="40"/>
  <c r="T50" i="40"/>
  <c r="U50" i="40"/>
  <c r="V50" i="40"/>
  <c r="W50" i="40"/>
  <c r="X50" i="40"/>
  <c r="Y50" i="40"/>
  <c r="Z50" i="40"/>
  <c r="AA50" i="40"/>
  <c r="AB50" i="40"/>
  <c r="AC50" i="40"/>
  <c r="F51" i="40"/>
  <c r="G51" i="40"/>
  <c r="H51" i="40"/>
  <c r="I51" i="40"/>
  <c r="J51" i="40"/>
  <c r="K51" i="40"/>
  <c r="L51" i="40"/>
  <c r="M51" i="40"/>
  <c r="N51" i="40"/>
  <c r="O51" i="40"/>
  <c r="P51" i="40"/>
  <c r="Q51" i="40"/>
  <c r="R51" i="40"/>
  <c r="S51" i="40"/>
  <c r="T51" i="40"/>
  <c r="U51" i="40"/>
  <c r="V51" i="40"/>
  <c r="W51" i="40"/>
  <c r="X51" i="40"/>
  <c r="Y51" i="40"/>
  <c r="Z51" i="40"/>
  <c r="AA51" i="40"/>
  <c r="AB51" i="40"/>
  <c r="AC51" i="40"/>
  <c r="F52" i="40"/>
  <c r="G52" i="40"/>
  <c r="H52" i="40"/>
  <c r="I52" i="40"/>
  <c r="J52" i="40"/>
  <c r="K52" i="40"/>
  <c r="L52" i="40"/>
  <c r="M52" i="40"/>
  <c r="N52" i="40"/>
  <c r="O52" i="40"/>
  <c r="P52" i="40"/>
  <c r="Q52" i="40"/>
  <c r="R52" i="40"/>
  <c r="S52" i="40"/>
  <c r="T52" i="40"/>
  <c r="U52" i="40"/>
  <c r="V52" i="40"/>
  <c r="W52" i="40"/>
  <c r="X52" i="40"/>
  <c r="Y52" i="40"/>
  <c r="Z52" i="40"/>
  <c r="AA52" i="40"/>
  <c r="AB52" i="40"/>
  <c r="AC52" i="40"/>
  <c r="F53" i="40"/>
  <c r="G53" i="40"/>
  <c r="H53" i="40"/>
  <c r="I53" i="40"/>
  <c r="J53" i="40"/>
  <c r="K53" i="40"/>
  <c r="L53" i="40"/>
  <c r="M53" i="40"/>
  <c r="N53" i="40"/>
  <c r="O53" i="40"/>
  <c r="P53" i="40"/>
  <c r="Q53" i="40"/>
  <c r="R53" i="40"/>
  <c r="S53" i="40"/>
  <c r="T53" i="40"/>
  <c r="U53" i="40"/>
  <c r="V53" i="40"/>
  <c r="W53" i="40"/>
  <c r="X53" i="40"/>
  <c r="Y53" i="40"/>
  <c r="Z53" i="40"/>
  <c r="AA53" i="40"/>
  <c r="AB53" i="40"/>
  <c r="AC53" i="40"/>
  <c r="F54" i="40"/>
  <c r="G54" i="40"/>
  <c r="H54" i="40"/>
  <c r="I54" i="40"/>
  <c r="J54" i="40"/>
  <c r="K54" i="40"/>
  <c r="L54" i="40"/>
  <c r="M54" i="40"/>
  <c r="N54" i="40"/>
  <c r="O54" i="40"/>
  <c r="P54" i="40"/>
  <c r="Q54" i="40"/>
  <c r="R54" i="40"/>
  <c r="S54" i="40"/>
  <c r="T54" i="40"/>
  <c r="U54" i="40"/>
  <c r="V54" i="40"/>
  <c r="W54" i="40"/>
  <c r="X54" i="40"/>
  <c r="Y54" i="40"/>
  <c r="Z54" i="40"/>
  <c r="AA54" i="40"/>
  <c r="AB54" i="40"/>
  <c r="AC54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F7" i="40"/>
  <c r="AD55" i="43" l="1"/>
  <c r="C21" i="45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F7" i="16"/>
  <c r="C23" i="45" l="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X8" i="31"/>
  <c r="Y8" i="31"/>
  <c r="Z8" i="31"/>
  <c r="AA8" i="31"/>
  <c r="AB8" i="31"/>
  <c r="AC8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C11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C12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C13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C14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C15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F19" i="31"/>
  <c r="G19" i="31"/>
  <c r="H19" i="31"/>
  <c r="I19" i="31"/>
  <c r="J19" i="31"/>
  <c r="K19" i="31"/>
  <c r="L19" i="31"/>
  <c r="M19" i="31"/>
  <c r="N19" i="31"/>
  <c r="O19" i="31"/>
  <c r="P19" i="31"/>
  <c r="Q19" i="31"/>
  <c r="R19" i="31"/>
  <c r="S19" i="31"/>
  <c r="T19" i="31"/>
  <c r="U19" i="31"/>
  <c r="V19" i="31"/>
  <c r="W19" i="31"/>
  <c r="X19" i="31"/>
  <c r="Y19" i="31"/>
  <c r="Z19" i="31"/>
  <c r="AA19" i="31"/>
  <c r="AB19" i="31"/>
  <c r="AC19" i="31"/>
  <c r="F20" i="31"/>
  <c r="G20" i="31"/>
  <c r="H20" i="31"/>
  <c r="I20" i="31"/>
  <c r="J20" i="31"/>
  <c r="K20" i="31"/>
  <c r="L20" i="31"/>
  <c r="M20" i="31"/>
  <c r="N20" i="31"/>
  <c r="O20" i="31"/>
  <c r="P20" i="31"/>
  <c r="Q20" i="31"/>
  <c r="R20" i="31"/>
  <c r="S20" i="31"/>
  <c r="T20" i="31"/>
  <c r="U20" i="31"/>
  <c r="V20" i="31"/>
  <c r="W20" i="31"/>
  <c r="X20" i="31"/>
  <c r="Y20" i="31"/>
  <c r="Z20" i="31"/>
  <c r="AA20" i="31"/>
  <c r="AB20" i="31"/>
  <c r="AC20" i="31"/>
  <c r="F21" i="31"/>
  <c r="G21" i="31"/>
  <c r="H21" i="31"/>
  <c r="I21" i="31"/>
  <c r="J21" i="31"/>
  <c r="K21" i="31"/>
  <c r="L21" i="31"/>
  <c r="M21" i="31"/>
  <c r="N21" i="31"/>
  <c r="O21" i="31"/>
  <c r="P21" i="31"/>
  <c r="Q21" i="31"/>
  <c r="R21" i="31"/>
  <c r="S21" i="31"/>
  <c r="T21" i="31"/>
  <c r="U21" i="31"/>
  <c r="V21" i="31"/>
  <c r="W21" i="31"/>
  <c r="X21" i="31"/>
  <c r="Y21" i="31"/>
  <c r="Z21" i="31"/>
  <c r="AA21" i="31"/>
  <c r="AB21" i="31"/>
  <c r="AC21" i="31"/>
  <c r="F22" i="31"/>
  <c r="G22" i="31"/>
  <c r="H22" i="31"/>
  <c r="I22" i="31"/>
  <c r="J22" i="31"/>
  <c r="K22" i="31"/>
  <c r="L22" i="31"/>
  <c r="M22" i="31"/>
  <c r="N22" i="31"/>
  <c r="O22" i="31"/>
  <c r="P22" i="31"/>
  <c r="Q22" i="31"/>
  <c r="R22" i="31"/>
  <c r="S22" i="31"/>
  <c r="T22" i="31"/>
  <c r="U22" i="31"/>
  <c r="V22" i="31"/>
  <c r="W22" i="31"/>
  <c r="X22" i="31"/>
  <c r="Y22" i="31"/>
  <c r="Z22" i="31"/>
  <c r="AA22" i="31"/>
  <c r="AB22" i="31"/>
  <c r="AC22" i="31"/>
  <c r="F23" i="31"/>
  <c r="G23" i="31"/>
  <c r="H23" i="31"/>
  <c r="I23" i="31"/>
  <c r="J23" i="31"/>
  <c r="K23" i="31"/>
  <c r="L23" i="31"/>
  <c r="M23" i="31"/>
  <c r="N23" i="31"/>
  <c r="O23" i="31"/>
  <c r="P23" i="31"/>
  <c r="Q23" i="31"/>
  <c r="R23" i="31"/>
  <c r="S23" i="31"/>
  <c r="T23" i="31"/>
  <c r="U23" i="31"/>
  <c r="V23" i="31"/>
  <c r="W23" i="31"/>
  <c r="X23" i="31"/>
  <c r="Y23" i="31"/>
  <c r="Z23" i="31"/>
  <c r="AA23" i="31"/>
  <c r="AB23" i="31"/>
  <c r="AC23" i="31"/>
  <c r="F24" i="31"/>
  <c r="G24" i="31"/>
  <c r="H24" i="31"/>
  <c r="I24" i="31"/>
  <c r="J24" i="31"/>
  <c r="K24" i="31"/>
  <c r="L24" i="31"/>
  <c r="M24" i="31"/>
  <c r="N24" i="31"/>
  <c r="O24" i="31"/>
  <c r="P24" i="31"/>
  <c r="Q24" i="31"/>
  <c r="R24" i="31"/>
  <c r="S24" i="31"/>
  <c r="T24" i="31"/>
  <c r="U24" i="31"/>
  <c r="V24" i="31"/>
  <c r="W24" i="31"/>
  <c r="X24" i="31"/>
  <c r="Y24" i="31"/>
  <c r="Z24" i="31"/>
  <c r="AA24" i="31"/>
  <c r="AB24" i="31"/>
  <c r="AC24" i="31"/>
  <c r="F25" i="31"/>
  <c r="G25" i="31"/>
  <c r="H25" i="31"/>
  <c r="I25" i="31"/>
  <c r="J25" i="31"/>
  <c r="K25" i="31"/>
  <c r="L25" i="31"/>
  <c r="M25" i="31"/>
  <c r="N25" i="31"/>
  <c r="O25" i="31"/>
  <c r="P25" i="31"/>
  <c r="Q25" i="31"/>
  <c r="R25" i="31"/>
  <c r="S25" i="31"/>
  <c r="T25" i="31"/>
  <c r="U25" i="31"/>
  <c r="V25" i="31"/>
  <c r="W25" i="31"/>
  <c r="X25" i="31"/>
  <c r="Y25" i="31"/>
  <c r="Z25" i="31"/>
  <c r="AA25" i="31"/>
  <c r="AB25" i="31"/>
  <c r="AC25" i="31"/>
  <c r="F26" i="31"/>
  <c r="G26" i="31"/>
  <c r="H26" i="31"/>
  <c r="I26" i="31"/>
  <c r="J26" i="31"/>
  <c r="K26" i="31"/>
  <c r="L26" i="31"/>
  <c r="M26" i="31"/>
  <c r="N26" i="31"/>
  <c r="O26" i="31"/>
  <c r="P26" i="31"/>
  <c r="Q26" i="31"/>
  <c r="R26" i="31"/>
  <c r="S26" i="31"/>
  <c r="T26" i="31"/>
  <c r="U26" i="31"/>
  <c r="V26" i="31"/>
  <c r="W26" i="31"/>
  <c r="X26" i="31"/>
  <c r="Y26" i="31"/>
  <c r="Z26" i="31"/>
  <c r="AA26" i="31"/>
  <c r="AB26" i="31"/>
  <c r="AC26" i="31"/>
  <c r="F27" i="31"/>
  <c r="G27" i="31"/>
  <c r="H27" i="31"/>
  <c r="I27" i="31"/>
  <c r="J27" i="31"/>
  <c r="K27" i="31"/>
  <c r="L27" i="31"/>
  <c r="M27" i="31"/>
  <c r="N27" i="31"/>
  <c r="O27" i="31"/>
  <c r="P27" i="31"/>
  <c r="Q27" i="31"/>
  <c r="R27" i="31"/>
  <c r="S27" i="31"/>
  <c r="T27" i="31"/>
  <c r="U27" i="31"/>
  <c r="V27" i="31"/>
  <c r="W27" i="31"/>
  <c r="X27" i="31"/>
  <c r="Y27" i="31"/>
  <c r="Z27" i="31"/>
  <c r="AA27" i="31"/>
  <c r="AB27" i="31"/>
  <c r="AC27" i="31"/>
  <c r="F28" i="31"/>
  <c r="G28" i="31"/>
  <c r="H28" i="31"/>
  <c r="I28" i="31"/>
  <c r="J28" i="31"/>
  <c r="K28" i="31"/>
  <c r="L28" i="31"/>
  <c r="M28" i="31"/>
  <c r="N28" i="31"/>
  <c r="O28" i="31"/>
  <c r="P28" i="31"/>
  <c r="Q28" i="31"/>
  <c r="R28" i="31"/>
  <c r="S28" i="31"/>
  <c r="T28" i="31"/>
  <c r="U28" i="31"/>
  <c r="V28" i="31"/>
  <c r="W28" i="31"/>
  <c r="X28" i="31"/>
  <c r="Y28" i="31"/>
  <c r="Z28" i="31"/>
  <c r="AA28" i="31"/>
  <c r="AB28" i="31"/>
  <c r="AC28" i="31"/>
  <c r="F29" i="31"/>
  <c r="G29" i="31"/>
  <c r="H29" i="31"/>
  <c r="I29" i="31"/>
  <c r="J29" i="31"/>
  <c r="K29" i="31"/>
  <c r="L29" i="31"/>
  <c r="M29" i="31"/>
  <c r="N29" i="31"/>
  <c r="O29" i="31"/>
  <c r="P29" i="31"/>
  <c r="Q29" i="31"/>
  <c r="R29" i="31"/>
  <c r="S29" i="31"/>
  <c r="T29" i="31"/>
  <c r="U29" i="31"/>
  <c r="V29" i="31"/>
  <c r="W29" i="31"/>
  <c r="X29" i="31"/>
  <c r="Y29" i="31"/>
  <c r="Z29" i="31"/>
  <c r="AA29" i="31"/>
  <c r="AB29" i="31"/>
  <c r="AC29" i="31"/>
  <c r="F30" i="31"/>
  <c r="G30" i="31"/>
  <c r="H30" i="31"/>
  <c r="I30" i="31"/>
  <c r="J30" i="31"/>
  <c r="K30" i="31"/>
  <c r="L30" i="31"/>
  <c r="M30" i="31"/>
  <c r="N30" i="31"/>
  <c r="O30" i="31"/>
  <c r="P30" i="31"/>
  <c r="Q30" i="31"/>
  <c r="R30" i="31"/>
  <c r="S30" i="31"/>
  <c r="T30" i="31"/>
  <c r="U30" i="31"/>
  <c r="V30" i="31"/>
  <c r="W30" i="31"/>
  <c r="X30" i="31"/>
  <c r="Y30" i="31"/>
  <c r="Z30" i="31"/>
  <c r="AA30" i="31"/>
  <c r="AB30" i="31"/>
  <c r="AC30" i="31"/>
  <c r="F31" i="31"/>
  <c r="G31" i="31"/>
  <c r="H31" i="31"/>
  <c r="I31" i="31"/>
  <c r="J31" i="31"/>
  <c r="K31" i="31"/>
  <c r="L31" i="31"/>
  <c r="M31" i="31"/>
  <c r="N31" i="31"/>
  <c r="O31" i="31"/>
  <c r="P31" i="31"/>
  <c r="Q31" i="31"/>
  <c r="R31" i="31"/>
  <c r="S31" i="31"/>
  <c r="T31" i="31"/>
  <c r="U31" i="31"/>
  <c r="V31" i="31"/>
  <c r="W31" i="31"/>
  <c r="X31" i="31"/>
  <c r="Y31" i="31"/>
  <c r="Z31" i="31"/>
  <c r="AA31" i="31"/>
  <c r="AB31" i="31"/>
  <c r="AC31" i="31"/>
  <c r="F32" i="31"/>
  <c r="G32" i="31"/>
  <c r="H32" i="31"/>
  <c r="I32" i="31"/>
  <c r="J32" i="31"/>
  <c r="K32" i="31"/>
  <c r="L32" i="31"/>
  <c r="M32" i="31"/>
  <c r="N32" i="31"/>
  <c r="O32" i="31"/>
  <c r="P32" i="31"/>
  <c r="Q32" i="31"/>
  <c r="R32" i="31"/>
  <c r="S32" i="31"/>
  <c r="T32" i="31"/>
  <c r="U32" i="31"/>
  <c r="V32" i="31"/>
  <c r="W32" i="31"/>
  <c r="X32" i="31"/>
  <c r="Y32" i="31"/>
  <c r="Z32" i="31"/>
  <c r="AA32" i="31"/>
  <c r="AB32" i="31"/>
  <c r="AC32" i="31"/>
  <c r="F33" i="31"/>
  <c r="G33" i="31"/>
  <c r="H33" i="31"/>
  <c r="I33" i="31"/>
  <c r="J33" i="31"/>
  <c r="K33" i="31"/>
  <c r="L33" i="31"/>
  <c r="M33" i="31"/>
  <c r="N33" i="31"/>
  <c r="O33" i="31"/>
  <c r="P33" i="31"/>
  <c r="Q33" i="31"/>
  <c r="R33" i="31"/>
  <c r="S33" i="31"/>
  <c r="T33" i="31"/>
  <c r="U33" i="31"/>
  <c r="V33" i="31"/>
  <c r="W33" i="31"/>
  <c r="X33" i="31"/>
  <c r="Y33" i="31"/>
  <c r="Z33" i="31"/>
  <c r="AA33" i="31"/>
  <c r="AB33" i="31"/>
  <c r="AC33" i="31"/>
  <c r="F34" i="31"/>
  <c r="G34" i="31"/>
  <c r="H34" i="31"/>
  <c r="I34" i="31"/>
  <c r="J34" i="31"/>
  <c r="K34" i="31"/>
  <c r="L34" i="31"/>
  <c r="M34" i="31"/>
  <c r="N34" i="31"/>
  <c r="O34" i="31"/>
  <c r="P34" i="31"/>
  <c r="Q34" i="31"/>
  <c r="R34" i="31"/>
  <c r="S34" i="31"/>
  <c r="T34" i="31"/>
  <c r="U34" i="31"/>
  <c r="V34" i="31"/>
  <c r="W34" i="31"/>
  <c r="X34" i="31"/>
  <c r="Y34" i="31"/>
  <c r="Z34" i="31"/>
  <c r="AA34" i="31"/>
  <c r="AB34" i="31"/>
  <c r="AC34" i="31"/>
  <c r="F35" i="31"/>
  <c r="G35" i="31"/>
  <c r="H35" i="31"/>
  <c r="I35" i="31"/>
  <c r="J35" i="31"/>
  <c r="K35" i="31"/>
  <c r="L35" i="31"/>
  <c r="M35" i="31"/>
  <c r="N35" i="31"/>
  <c r="O35" i="31"/>
  <c r="P35" i="31"/>
  <c r="Q35" i="31"/>
  <c r="R35" i="31"/>
  <c r="S35" i="31"/>
  <c r="T35" i="31"/>
  <c r="U35" i="31"/>
  <c r="V35" i="31"/>
  <c r="W35" i="31"/>
  <c r="X35" i="31"/>
  <c r="Y35" i="31"/>
  <c r="Z35" i="31"/>
  <c r="AA35" i="31"/>
  <c r="AB35" i="31"/>
  <c r="AC35" i="31"/>
  <c r="F36" i="31"/>
  <c r="G36" i="31"/>
  <c r="H36" i="31"/>
  <c r="I36" i="31"/>
  <c r="J36" i="31"/>
  <c r="K36" i="31"/>
  <c r="L36" i="31"/>
  <c r="M36" i="31"/>
  <c r="N36" i="31"/>
  <c r="O36" i="31"/>
  <c r="P36" i="31"/>
  <c r="Q36" i="31"/>
  <c r="R36" i="31"/>
  <c r="S36" i="31"/>
  <c r="T36" i="31"/>
  <c r="U36" i="31"/>
  <c r="V36" i="31"/>
  <c r="W36" i="31"/>
  <c r="X36" i="31"/>
  <c r="Y36" i="31"/>
  <c r="Z36" i="31"/>
  <c r="AA36" i="31"/>
  <c r="AB36" i="31"/>
  <c r="AC36" i="31"/>
  <c r="F37" i="31"/>
  <c r="G37" i="31"/>
  <c r="H37" i="31"/>
  <c r="I37" i="31"/>
  <c r="J37" i="31"/>
  <c r="K37" i="31"/>
  <c r="L37" i="31"/>
  <c r="M37" i="31"/>
  <c r="N37" i="31"/>
  <c r="O37" i="31"/>
  <c r="P37" i="31"/>
  <c r="Q37" i="31"/>
  <c r="R37" i="31"/>
  <c r="S37" i="31"/>
  <c r="T37" i="31"/>
  <c r="U37" i="31"/>
  <c r="V37" i="31"/>
  <c r="W37" i="31"/>
  <c r="X37" i="31"/>
  <c r="Y37" i="31"/>
  <c r="Z37" i="31"/>
  <c r="AA37" i="31"/>
  <c r="AB37" i="31"/>
  <c r="AC37" i="31"/>
  <c r="F38" i="31"/>
  <c r="G38" i="31"/>
  <c r="H38" i="31"/>
  <c r="I38" i="31"/>
  <c r="J38" i="31"/>
  <c r="K38" i="31"/>
  <c r="L38" i="31"/>
  <c r="M38" i="31"/>
  <c r="N38" i="31"/>
  <c r="O38" i="31"/>
  <c r="P38" i="31"/>
  <c r="Q38" i="31"/>
  <c r="R38" i="31"/>
  <c r="S38" i="31"/>
  <c r="T38" i="31"/>
  <c r="U38" i="31"/>
  <c r="V38" i="31"/>
  <c r="W38" i="31"/>
  <c r="X38" i="31"/>
  <c r="Y38" i="31"/>
  <c r="Z38" i="31"/>
  <c r="AA38" i="31"/>
  <c r="AB38" i="31"/>
  <c r="AC38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F40" i="31"/>
  <c r="G40" i="31"/>
  <c r="H40" i="31"/>
  <c r="I40" i="31"/>
  <c r="J40" i="31"/>
  <c r="K40" i="31"/>
  <c r="L40" i="31"/>
  <c r="M40" i="31"/>
  <c r="N40" i="31"/>
  <c r="O40" i="31"/>
  <c r="P40" i="31"/>
  <c r="Q40" i="31"/>
  <c r="R40" i="31"/>
  <c r="S40" i="31"/>
  <c r="T40" i="31"/>
  <c r="U40" i="31"/>
  <c r="V40" i="31"/>
  <c r="W40" i="31"/>
  <c r="X40" i="31"/>
  <c r="Y40" i="31"/>
  <c r="Z40" i="31"/>
  <c r="AA40" i="31"/>
  <c r="AB40" i="31"/>
  <c r="AC40" i="31"/>
  <c r="F41" i="31"/>
  <c r="G41" i="31"/>
  <c r="H41" i="31"/>
  <c r="I41" i="31"/>
  <c r="J41" i="31"/>
  <c r="K41" i="31"/>
  <c r="L41" i="31"/>
  <c r="M41" i="31"/>
  <c r="N41" i="31"/>
  <c r="O41" i="31"/>
  <c r="P41" i="31"/>
  <c r="Q41" i="31"/>
  <c r="R41" i="31"/>
  <c r="S41" i="31"/>
  <c r="T41" i="31"/>
  <c r="U41" i="31"/>
  <c r="V41" i="31"/>
  <c r="W41" i="31"/>
  <c r="X41" i="31"/>
  <c r="Y41" i="31"/>
  <c r="Z41" i="31"/>
  <c r="AA41" i="31"/>
  <c r="AB41" i="31"/>
  <c r="AC41" i="31"/>
  <c r="F42" i="31"/>
  <c r="G42" i="31"/>
  <c r="H42" i="31"/>
  <c r="I42" i="31"/>
  <c r="J42" i="31"/>
  <c r="K42" i="31"/>
  <c r="L42" i="31"/>
  <c r="M42" i="31"/>
  <c r="N42" i="31"/>
  <c r="O42" i="31"/>
  <c r="P42" i="31"/>
  <c r="Q42" i="31"/>
  <c r="R42" i="31"/>
  <c r="S42" i="31"/>
  <c r="T42" i="31"/>
  <c r="U42" i="31"/>
  <c r="V42" i="31"/>
  <c r="W42" i="31"/>
  <c r="X42" i="31"/>
  <c r="Y42" i="31"/>
  <c r="Z42" i="31"/>
  <c r="AA42" i="31"/>
  <c r="AB42" i="31"/>
  <c r="AC42" i="31"/>
  <c r="F43" i="31"/>
  <c r="G43" i="31"/>
  <c r="H43" i="31"/>
  <c r="I43" i="31"/>
  <c r="J43" i="31"/>
  <c r="K43" i="31"/>
  <c r="L43" i="31"/>
  <c r="M43" i="31"/>
  <c r="N43" i="31"/>
  <c r="O43" i="31"/>
  <c r="P43" i="31"/>
  <c r="Q43" i="31"/>
  <c r="R43" i="31"/>
  <c r="S43" i="31"/>
  <c r="T43" i="31"/>
  <c r="U43" i="31"/>
  <c r="V43" i="31"/>
  <c r="W43" i="31"/>
  <c r="X43" i="31"/>
  <c r="Y43" i="31"/>
  <c r="Z43" i="31"/>
  <c r="AA43" i="31"/>
  <c r="AB43" i="31"/>
  <c r="AC43" i="31"/>
  <c r="F44" i="31"/>
  <c r="G44" i="31"/>
  <c r="H44" i="31"/>
  <c r="I44" i="31"/>
  <c r="J44" i="31"/>
  <c r="K44" i="31"/>
  <c r="L44" i="31"/>
  <c r="M44" i="31"/>
  <c r="N44" i="31"/>
  <c r="O44" i="31"/>
  <c r="P44" i="31"/>
  <c r="Q44" i="31"/>
  <c r="R44" i="31"/>
  <c r="S44" i="31"/>
  <c r="T44" i="31"/>
  <c r="U44" i="31"/>
  <c r="V44" i="31"/>
  <c r="W44" i="31"/>
  <c r="X44" i="31"/>
  <c r="Y44" i="31"/>
  <c r="Z44" i="31"/>
  <c r="AA44" i="31"/>
  <c r="AB44" i="31"/>
  <c r="AC44" i="31"/>
  <c r="F45" i="31"/>
  <c r="G45" i="31"/>
  <c r="H45" i="31"/>
  <c r="I45" i="31"/>
  <c r="J45" i="31"/>
  <c r="K45" i="31"/>
  <c r="L45" i="31"/>
  <c r="M45" i="31"/>
  <c r="N45" i="31"/>
  <c r="O45" i="31"/>
  <c r="P45" i="31"/>
  <c r="Q45" i="31"/>
  <c r="R45" i="31"/>
  <c r="S45" i="31"/>
  <c r="T45" i="31"/>
  <c r="U45" i="31"/>
  <c r="V45" i="31"/>
  <c r="W45" i="31"/>
  <c r="X45" i="31"/>
  <c r="Y45" i="31"/>
  <c r="Z45" i="31"/>
  <c r="AA45" i="31"/>
  <c r="AB45" i="31"/>
  <c r="AC45" i="31"/>
  <c r="F46" i="31"/>
  <c r="G46" i="31"/>
  <c r="H46" i="31"/>
  <c r="I46" i="31"/>
  <c r="J46" i="31"/>
  <c r="K46" i="31"/>
  <c r="L46" i="31"/>
  <c r="M46" i="31"/>
  <c r="N46" i="31"/>
  <c r="O46" i="31"/>
  <c r="P46" i="31"/>
  <c r="Q46" i="31"/>
  <c r="R46" i="31"/>
  <c r="S46" i="31"/>
  <c r="T46" i="31"/>
  <c r="U46" i="31"/>
  <c r="V46" i="31"/>
  <c r="W46" i="31"/>
  <c r="X46" i="31"/>
  <c r="Y46" i="31"/>
  <c r="Z46" i="31"/>
  <c r="AA46" i="31"/>
  <c r="AB46" i="31"/>
  <c r="AC46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F49" i="31"/>
  <c r="G49" i="31"/>
  <c r="H49" i="31"/>
  <c r="I49" i="31"/>
  <c r="J49" i="31"/>
  <c r="K49" i="31"/>
  <c r="L49" i="31"/>
  <c r="M49" i="31"/>
  <c r="N49" i="31"/>
  <c r="O49" i="31"/>
  <c r="P49" i="31"/>
  <c r="Q49" i="31"/>
  <c r="R49" i="31"/>
  <c r="S49" i="31"/>
  <c r="T49" i="31"/>
  <c r="U49" i="31"/>
  <c r="V49" i="31"/>
  <c r="W49" i="31"/>
  <c r="X49" i="31"/>
  <c r="Y49" i="31"/>
  <c r="Z49" i="31"/>
  <c r="AA49" i="31"/>
  <c r="AB49" i="31"/>
  <c r="AC49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F52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T52" i="31"/>
  <c r="U52" i="31"/>
  <c r="V52" i="31"/>
  <c r="W52" i="31"/>
  <c r="X52" i="31"/>
  <c r="Y52" i="31"/>
  <c r="Z52" i="31"/>
  <c r="AA52" i="31"/>
  <c r="AB52" i="31"/>
  <c r="AC52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F7" i="31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AB10" i="30"/>
  <c r="AC10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AB11" i="30"/>
  <c r="AC11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AB12" i="30"/>
  <c r="AC12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AB13" i="30"/>
  <c r="AC13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X14" i="30"/>
  <c r="Y14" i="30"/>
  <c r="Z14" i="30"/>
  <c r="AA14" i="30"/>
  <c r="AB14" i="30"/>
  <c r="AC14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AB15" i="30"/>
  <c r="AC15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AB16" i="30"/>
  <c r="AC16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AA17" i="30"/>
  <c r="AB17" i="30"/>
  <c r="AC17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AB18" i="30"/>
  <c r="AC18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AA19" i="30"/>
  <c r="AB19" i="30"/>
  <c r="AC19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AB20" i="30"/>
  <c r="AC20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AB21" i="30"/>
  <c r="AC21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X22" i="30"/>
  <c r="Y22" i="30"/>
  <c r="Z22" i="30"/>
  <c r="AA22" i="30"/>
  <c r="AB22" i="30"/>
  <c r="AC22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AB23" i="30"/>
  <c r="AC23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AB25" i="30"/>
  <c r="AC25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AB26" i="30"/>
  <c r="AC26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AB27" i="30"/>
  <c r="AC27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U28" i="30"/>
  <c r="V28" i="30"/>
  <c r="W28" i="30"/>
  <c r="X28" i="30"/>
  <c r="Y28" i="30"/>
  <c r="Z28" i="30"/>
  <c r="AA28" i="30"/>
  <c r="AB28" i="30"/>
  <c r="AC28" i="30"/>
  <c r="F29" i="30"/>
  <c r="G29" i="30"/>
  <c r="H29" i="30"/>
  <c r="I29" i="30"/>
  <c r="J29" i="30"/>
  <c r="K29" i="30"/>
  <c r="L29" i="30"/>
  <c r="M29" i="30"/>
  <c r="N29" i="30"/>
  <c r="O29" i="30"/>
  <c r="P29" i="30"/>
  <c r="Q29" i="30"/>
  <c r="R29" i="30"/>
  <c r="S29" i="30"/>
  <c r="T29" i="30"/>
  <c r="U29" i="30"/>
  <c r="V29" i="30"/>
  <c r="W29" i="30"/>
  <c r="X29" i="30"/>
  <c r="Y29" i="30"/>
  <c r="Z29" i="30"/>
  <c r="AA29" i="30"/>
  <c r="AB29" i="30"/>
  <c r="AC29" i="30"/>
  <c r="F30" i="30"/>
  <c r="G30" i="30"/>
  <c r="H30" i="30"/>
  <c r="I30" i="30"/>
  <c r="J30" i="30"/>
  <c r="K30" i="30"/>
  <c r="L30" i="30"/>
  <c r="M30" i="30"/>
  <c r="N30" i="30"/>
  <c r="O30" i="30"/>
  <c r="P30" i="30"/>
  <c r="Q30" i="30"/>
  <c r="R30" i="30"/>
  <c r="S30" i="30"/>
  <c r="T30" i="30"/>
  <c r="U30" i="30"/>
  <c r="V30" i="30"/>
  <c r="W30" i="30"/>
  <c r="X30" i="30"/>
  <c r="Y30" i="30"/>
  <c r="Z30" i="30"/>
  <c r="AA30" i="30"/>
  <c r="AB30" i="30"/>
  <c r="AC30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AB31" i="30"/>
  <c r="AC31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W32" i="30"/>
  <c r="X32" i="30"/>
  <c r="Y32" i="30"/>
  <c r="Z32" i="30"/>
  <c r="AA32" i="30"/>
  <c r="AB32" i="30"/>
  <c r="AC32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AB33" i="30"/>
  <c r="AC33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T34" i="30"/>
  <c r="U34" i="30"/>
  <c r="V34" i="30"/>
  <c r="W34" i="30"/>
  <c r="X34" i="30"/>
  <c r="Y34" i="30"/>
  <c r="Z34" i="30"/>
  <c r="AA34" i="30"/>
  <c r="AB34" i="30"/>
  <c r="AC34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Z35" i="30"/>
  <c r="AA35" i="30"/>
  <c r="AB35" i="30"/>
  <c r="AC35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AB37" i="30"/>
  <c r="AC37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AA38" i="30"/>
  <c r="AB38" i="30"/>
  <c r="AC38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U39" i="30"/>
  <c r="V39" i="30"/>
  <c r="W39" i="30"/>
  <c r="X39" i="30"/>
  <c r="Y39" i="30"/>
  <c r="Z39" i="30"/>
  <c r="AA39" i="30"/>
  <c r="AB39" i="30"/>
  <c r="AC39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0" i="30"/>
  <c r="AA40" i="30"/>
  <c r="AB40" i="30"/>
  <c r="AC40" i="30"/>
  <c r="F41" i="30"/>
  <c r="G41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T41" i="30"/>
  <c r="U41" i="30"/>
  <c r="V41" i="30"/>
  <c r="W41" i="30"/>
  <c r="X41" i="30"/>
  <c r="Y41" i="30"/>
  <c r="Z41" i="30"/>
  <c r="AA41" i="30"/>
  <c r="AB41" i="30"/>
  <c r="AC41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U42" i="30"/>
  <c r="V42" i="30"/>
  <c r="W42" i="30"/>
  <c r="X42" i="30"/>
  <c r="Y42" i="30"/>
  <c r="Z42" i="30"/>
  <c r="AA42" i="30"/>
  <c r="AB42" i="30"/>
  <c r="AC42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T43" i="30"/>
  <c r="U43" i="30"/>
  <c r="V43" i="30"/>
  <c r="W43" i="30"/>
  <c r="X43" i="30"/>
  <c r="Y43" i="30"/>
  <c r="Z43" i="30"/>
  <c r="AA43" i="30"/>
  <c r="AB43" i="30"/>
  <c r="AC43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Y44" i="30"/>
  <c r="Z44" i="30"/>
  <c r="AA44" i="30"/>
  <c r="AB44" i="30"/>
  <c r="AC44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U45" i="30"/>
  <c r="V45" i="30"/>
  <c r="W45" i="30"/>
  <c r="X45" i="30"/>
  <c r="Y45" i="30"/>
  <c r="Z45" i="30"/>
  <c r="AA45" i="30"/>
  <c r="AB45" i="30"/>
  <c r="AC45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R46" i="30"/>
  <c r="S46" i="30"/>
  <c r="T46" i="30"/>
  <c r="U46" i="30"/>
  <c r="V46" i="30"/>
  <c r="W46" i="30"/>
  <c r="X46" i="30"/>
  <c r="Y46" i="30"/>
  <c r="Z46" i="30"/>
  <c r="AA46" i="30"/>
  <c r="AB46" i="30"/>
  <c r="AC46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U47" i="30"/>
  <c r="V47" i="30"/>
  <c r="W47" i="30"/>
  <c r="X47" i="30"/>
  <c r="Y47" i="30"/>
  <c r="Z47" i="30"/>
  <c r="AA47" i="30"/>
  <c r="AB47" i="30"/>
  <c r="AC47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R48" i="30"/>
  <c r="S48" i="30"/>
  <c r="T48" i="30"/>
  <c r="U48" i="30"/>
  <c r="V48" i="30"/>
  <c r="W48" i="30"/>
  <c r="X48" i="30"/>
  <c r="Y48" i="30"/>
  <c r="Z48" i="30"/>
  <c r="AA48" i="30"/>
  <c r="AB48" i="30"/>
  <c r="AC48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Z49" i="30"/>
  <c r="AA49" i="30"/>
  <c r="AB49" i="30"/>
  <c r="AC49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R50" i="30"/>
  <c r="S50" i="30"/>
  <c r="T50" i="30"/>
  <c r="U50" i="30"/>
  <c r="V50" i="30"/>
  <c r="W50" i="30"/>
  <c r="X50" i="30"/>
  <c r="Y50" i="30"/>
  <c r="Z50" i="30"/>
  <c r="AA50" i="30"/>
  <c r="AB50" i="30"/>
  <c r="AC50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U51" i="30"/>
  <c r="V51" i="30"/>
  <c r="W51" i="30"/>
  <c r="X51" i="30"/>
  <c r="Y51" i="30"/>
  <c r="Z51" i="30"/>
  <c r="AA51" i="30"/>
  <c r="AB51" i="30"/>
  <c r="AC51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R52" i="30"/>
  <c r="S52" i="30"/>
  <c r="T52" i="30"/>
  <c r="U52" i="30"/>
  <c r="V52" i="30"/>
  <c r="W52" i="30"/>
  <c r="X52" i="30"/>
  <c r="Y52" i="30"/>
  <c r="Z52" i="30"/>
  <c r="AA52" i="30"/>
  <c r="AB52" i="30"/>
  <c r="AC52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U53" i="30"/>
  <c r="V53" i="30"/>
  <c r="W53" i="30"/>
  <c r="X53" i="30"/>
  <c r="Y53" i="30"/>
  <c r="Z53" i="30"/>
  <c r="AA53" i="30"/>
  <c r="AB53" i="30"/>
  <c r="AC53" i="30"/>
  <c r="F54" i="30"/>
  <c r="G54" i="30"/>
  <c r="H54" i="30"/>
  <c r="I54" i="30"/>
  <c r="J54" i="30"/>
  <c r="K54" i="30"/>
  <c r="L54" i="30"/>
  <c r="M54" i="30"/>
  <c r="N54" i="30"/>
  <c r="O54" i="30"/>
  <c r="P54" i="30"/>
  <c r="Q54" i="30"/>
  <c r="R54" i="30"/>
  <c r="S54" i="30"/>
  <c r="T54" i="30"/>
  <c r="U54" i="30"/>
  <c r="V54" i="30"/>
  <c r="W54" i="30"/>
  <c r="X54" i="30"/>
  <c r="Y54" i="30"/>
  <c r="Z54" i="30"/>
  <c r="AA54" i="30"/>
  <c r="AB54" i="30"/>
  <c r="AC54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AD27" i="40" l="1"/>
  <c r="C14" i="41" s="1"/>
  <c r="AD31" i="40"/>
  <c r="C15" i="41" s="1"/>
  <c r="AD35" i="40"/>
  <c r="C16" i="41" s="1"/>
  <c r="AD11" i="16"/>
  <c r="AD15" i="16"/>
  <c r="AD19" i="16"/>
  <c r="AD23" i="16"/>
  <c r="AD27" i="16"/>
  <c r="AD31" i="16"/>
  <c r="AD35" i="16"/>
  <c r="AD39" i="16"/>
  <c r="AD43" i="16"/>
  <c r="AD47" i="16"/>
  <c r="AD51" i="16"/>
  <c r="AD31" i="30"/>
  <c r="AD35" i="30"/>
  <c r="AD51" i="40" l="1"/>
  <c r="C20" i="41" s="1"/>
  <c r="AD47" i="40"/>
  <c r="C19" i="41" s="1"/>
  <c r="AD43" i="40"/>
  <c r="C18" i="41" s="1"/>
  <c r="AD39" i="40"/>
  <c r="C17" i="41" s="1"/>
  <c r="AD23" i="40"/>
  <c r="C13" i="41" s="1"/>
  <c r="AD19" i="40"/>
  <c r="C12" i="41" s="1"/>
  <c r="AD15" i="40"/>
  <c r="C11" i="41" s="1"/>
  <c r="AD11" i="40"/>
  <c r="C10" i="41" s="1"/>
  <c r="AD7" i="40"/>
  <c r="C9" i="41" s="1"/>
  <c r="AD55" i="40" l="1"/>
  <c r="AD39" i="31"/>
  <c r="AD23" i="31"/>
  <c r="AD11" i="30"/>
  <c r="AD15" i="30"/>
  <c r="AD19" i="30"/>
  <c r="AD27" i="30"/>
  <c r="AD43" i="30"/>
  <c r="AD47" i="30"/>
  <c r="AD51" i="30"/>
  <c r="AD39" i="30"/>
  <c r="AD23" i="30"/>
  <c r="AD7" i="30"/>
  <c r="C17" i="34" l="1"/>
  <c r="C13" i="34"/>
  <c r="AD51" i="31"/>
  <c r="AD43" i="31"/>
  <c r="AD35" i="31"/>
  <c r="AD31" i="31"/>
  <c r="AD27" i="31"/>
  <c r="AD19" i="31"/>
  <c r="AD15" i="31"/>
  <c r="AD11" i="31"/>
  <c r="AD47" i="31"/>
  <c r="AD7" i="31"/>
  <c r="AD55" i="30"/>
  <c r="C23" i="33" l="1"/>
  <c r="C10" i="34"/>
  <c r="C15" i="34"/>
  <c r="C12" i="34"/>
  <c r="C16" i="34"/>
  <c r="C14" i="34"/>
  <c r="C18" i="34"/>
  <c r="C11" i="34"/>
  <c r="C19" i="34"/>
  <c r="C20" i="34"/>
  <c r="AD55" i="31"/>
  <c r="C9" i="34"/>
  <c r="C21" i="34" l="1"/>
  <c r="C23" i="34" l="1"/>
  <c r="C16" i="39"/>
  <c r="C15" i="39"/>
  <c r="C14" i="39"/>
  <c r="AD7" i="16"/>
  <c r="C11" i="39" l="1"/>
  <c r="C12" i="39"/>
  <c r="C17" i="39"/>
  <c r="C10" i="39"/>
  <c r="C18" i="39"/>
  <c r="C9" i="39"/>
  <c r="C19" i="39"/>
  <c r="C13" i="39"/>
  <c r="C20" i="39"/>
  <c r="AD55" i="16"/>
  <c r="AD7" i="14"/>
  <c r="AD11" i="14"/>
  <c r="AD15" i="14"/>
  <c r="AD19" i="14"/>
  <c r="AD23" i="14"/>
  <c r="AD27" i="14"/>
  <c r="AD31" i="14"/>
  <c r="AD35" i="14"/>
  <c r="AD39" i="14"/>
  <c r="AD43" i="14"/>
  <c r="AD47" i="14"/>
  <c r="AD51" i="14"/>
  <c r="C21" i="41" l="1"/>
  <c r="C21" i="39"/>
  <c r="AD55" i="14"/>
  <c r="C23" i="4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MARIA ROLDAN ARANGO</author>
  </authors>
  <commentList>
    <comment ref="F9" authorId="0" shapeId="0" xr:uid="{C4D3D7C5-3A1E-447E-A9EA-D25339C07E83}">
      <text>
        <r>
          <rPr>
            <b/>
            <sz val="9"/>
            <color indexed="81"/>
            <rFont val="Tahoma"/>
            <family val="2"/>
          </rPr>
          <t>ANGELA MARIA ROLDAN ARANGO: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<sst xmlns="http://schemas.openxmlformats.org/spreadsheetml/2006/main" count="749" uniqueCount="76">
  <si>
    <t>CANTIDADES DE ENERGÍA SOLICITADAS (kWh)</t>
  </si>
  <si>
    <t>EMPRESAS PÚBLICAS DE MEDELLÍN E.S.P.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</si>
  <si>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</si>
  <si>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</si>
  <si>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</si>
  <si>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</si>
  <si>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</si>
  <si>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</si>
  <si>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</si>
  <si>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</si>
  <si>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</si>
  <si>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</si>
  <si>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</si>
  <si>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</si>
  <si>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</si>
  <si>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</si>
  <si>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</si>
  <si>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</si>
  <si>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</si>
  <si>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</si>
  <si>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</si>
  <si>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</si>
  <si>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</si>
  <si>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</si>
  <si>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</si>
  <si>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</si>
  <si>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</si>
  <si>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</si>
  <si>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</si>
  <si>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</si>
  <si>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Ene</t>
  </si>
  <si>
    <t xml:space="preserve"> Ordinario</t>
  </si>
  <si>
    <t xml:space="preserve"> Sábado</t>
  </si>
  <si>
    <t xml:space="preserve"> Domingo</t>
  </si>
  <si>
    <t xml:space="preserve"> Festivo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</si>
  <si>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</si>
  <si>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</si>
  <si>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</si>
  <si>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</si>
  <si>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</si>
  <si>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</si>
  <si>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</si>
  <si>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</si>
  <si>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</si>
  <si>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</si>
  <si>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</si>
  <si>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 kWh</t>
  </si>
  <si>
    <t>NOMBRE DEL OFERENTE</t>
  </si>
  <si>
    <t xml:space="preserve"> PRECIOS Y CANTIDADES DE ENERGIA OFERTADA</t>
  </si>
  <si>
    <t>MES</t>
  </si>
  <si>
    <t>Energia Solicitada kWh</t>
  </si>
  <si>
    <t>%</t>
  </si>
  <si>
    <t>Energia Ofertada kWh</t>
  </si>
  <si>
    <t>Precio $/KWh</t>
  </si>
  <si>
    <t>$/kWh</t>
  </si>
  <si>
    <t>Total año</t>
  </si>
  <si>
    <t xml:space="preserve">Notas: </t>
  </si>
  <si>
    <r>
      <t>2.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Tipo de Contrato: pague lo contratado.</t>
    </r>
  </si>
  <si>
    <t>AÑO 2027</t>
  </si>
  <si>
    <t>AÑO 2028</t>
  </si>
  <si>
    <t>AÑO 2029</t>
  </si>
  <si>
    <t>AÑO 2030</t>
  </si>
  <si>
    <t>OFERTA - CURVA</t>
  </si>
  <si>
    <t>4.       El % y el precio debe ser el mismo para todos los meses del año</t>
  </si>
  <si>
    <r>
      <t>1.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La Energía Ofertada se distribuye en forma horaria de acuerdo con la  curva de carga presentada en la hoja Cantidades por año</t>
    </r>
  </si>
  <si>
    <t>4.      El % y el precio debe ser el mismo para todos los meses del año</t>
  </si>
  <si>
    <t>OFERTA - CURVA O PLANA</t>
  </si>
  <si>
    <t>EN PESOS DE FEBRERO 2026</t>
  </si>
  <si>
    <t>AÑO 2032</t>
  </si>
  <si>
    <t>AÑO 2031</t>
  </si>
  <si>
    <r>
      <t>3.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Precio ofertado en $kWh, en pesos de febrero 2026.</t>
    </r>
  </si>
  <si>
    <t>5.      Tope horario ofertas planas de 90.000 KWh</t>
  </si>
  <si>
    <t>5.      Tope horario ofertas planas de 130.000 KWh</t>
  </si>
  <si>
    <t>5.      Tope horario ofertas planas de 140.000 KWh</t>
  </si>
  <si>
    <t xml:space="preserve">OFERTA - CURVA </t>
  </si>
  <si>
    <t>DISTRIBUCIÓN HORARIA PRODUCTOS 1 A 6 AÑOS 2027 A 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</si>
</sst>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_-;\-* #,##0_-;_-* &quot;-&quot;??_-;_-@_-"/>
    <numFmt numFmtId="168" formatCode="_-* #,##0.00_-;\-* #,##0.00_-;_-* &quot;-&quot;_-;_-@_-"/>
    <numFmt numFmtId="169" formatCode="_-* #,##0.00\ _€_-;\-* #,##0.00\ _€_-;_-* &quot;-&quot;\ _€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DIN-Regular"/>
      <family val="2"/>
    </font>
    <font>
      <b/>
      <sz val="11"/>
      <color theme="1"/>
      <name val="Trebuchet MS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Trebuchet MS"/>
      <family val="2"/>
    </font>
    <font>
      <sz val="7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CC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0" fontId="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 applyProtection="1">
      <protection locked="0"/>
    </xf>
    <xf numFmtId="41" fontId="1" fillId="0" borderId="0" xfId="9" applyFont="1" applyProtection="1">
      <protection locked="0"/>
    </xf>
    <xf numFmtId="0" fontId="3" fillId="3" borderId="2" xfId="1" applyFont="1" applyFill="1" applyBorder="1" applyAlignment="1" applyProtection="1">
      <alignment horizontal="center"/>
      <protection locked="0"/>
    </xf>
    <xf numFmtId="3" fontId="4" fillId="3" borderId="7" xfId="1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67" fontId="1" fillId="0" borderId="1" xfId="10" applyNumberFormat="1" applyFont="1" applyBorder="1" applyAlignment="1" applyProtection="1">
      <alignment horizontal="center" vertical="center" wrapText="1"/>
      <protection locked="0"/>
    </xf>
    <xf numFmtId="168" fontId="1" fillId="0" borderId="0" xfId="2" applyNumberFormat="1" applyFont="1" applyProtection="1">
      <protection locked="0"/>
    </xf>
    <xf numFmtId="3" fontId="2" fillId="0" borderId="1" xfId="0" applyNumberFormat="1" applyFont="1" applyBorder="1" applyProtection="1">
      <protection locked="0"/>
    </xf>
    <xf numFmtId="4" fontId="1" fillId="0" borderId="0" xfId="0" applyNumberFormat="1" applyFont="1" applyProtection="1">
      <protection locked="0"/>
    </xf>
    <xf numFmtId="3" fontId="4" fillId="3" borderId="4" xfId="1" applyNumberFormat="1" applyFont="1" applyFill="1" applyBorder="1" applyAlignment="1" applyProtection="1">
      <alignment horizontal="center"/>
      <protection locked="0"/>
    </xf>
    <xf numFmtId="3" fontId="4" fillId="3" borderId="5" xfId="1" applyNumberFormat="1" applyFont="1" applyFill="1" applyBorder="1" applyAlignment="1" applyProtection="1">
      <alignment horizontal="center"/>
      <protection locked="0"/>
    </xf>
    <xf numFmtId="3" fontId="4" fillId="3" borderId="6" xfId="1" applyNumberFormat="1" applyFont="1" applyFill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43" fontId="1" fillId="0" borderId="0" xfId="10" applyFont="1" applyProtection="1">
      <protection locked="0"/>
    </xf>
    <xf numFmtId="0" fontId="6" fillId="0" borderId="0" xfId="2" applyProtection="1">
      <protection locked="0"/>
    </xf>
    <xf numFmtId="0" fontId="7" fillId="0" borderId="0" xfId="2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7" fillId="0" borderId="0" xfId="2" applyFont="1" applyAlignment="1" applyProtection="1">
      <alignment horizontal="center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1" fillId="0" borderId="0" xfId="2" applyFont="1" applyProtection="1">
      <protection locked="0"/>
    </xf>
    <xf numFmtId="17" fontId="2" fillId="0" borderId="18" xfId="0" applyNumberFormat="1" applyFont="1" applyBorder="1" applyAlignment="1" applyProtection="1">
      <alignment horizontal="center" vertical="center"/>
      <protection locked="0"/>
    </xf>
    <xf numFmtId="169" fontId="1" fillId="0" borderId="26" xfId="5" applyNumberFormat="1" applyFont="1" applyFill="1" applyBorder="1" applyAlignment="1" applyProtection="1">
      <alignment horizontal="center" vertical="center"/>
      <protection locked="0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17" fontId="2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10" fontId="1" fillId="0" borderId="0" xfId="2" applyNumberFormat="1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167" fontId="1" fillId="0" borderId="0" xfId="2" applyNumberFormat="1" applyFont="1" applyProtection="1">
      <protection locked="0"/>
    </xf>
    <xf numFmtId="0" fontId="12" fillId="0" borderId="0" xfId="0" applyFont="1" applyAlignment="1" applyProtection="1">
      <alignment horizontal="left" vertical="center" indent="13"/>
      <protection locked="0"/>
    </xf>
    <xf numFmtId="164" fontId="6" fillId="0" borderId="0" xfId="2" applyNumberFormat="1" applyProtection="1">
      <protection locked="0"/>
    </xf>
    <xf numFmtId="17" fontId="2" fillId="0" borderId="16" xfId="0" applyNumberFormat="1" applyFont="1" applyBorder="1" applyAlignment="1" applyProtection="1">
      <alignment horizontal="center" vertical="center"/>
      <protection locked="0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 vertical="center" wrapText="1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23" xfId="0" applyNumberFormat="1" applyFont="1" applyBorder="1" applyAlignment="1" applyProtection="1">
      <alignment horizontal="center" vertical="center"/>
      <protection locked="0"/>
    </xf>
    <xf numFmtId="2" fontId="1" fillId="0" borderId="32" xfId="0" applyNumberFormat="1" applyFont="1" applyBorder="1" applyAlignment="1" applyProtection="1">
      <alignment horizontal="center" vertical="center"/>
      <protection locked="0"/>
    </xf>
    <xf numFmtId="169" fontId="1" fillId="0" borderId="34" xfId="5" applyNumberFormat="1" applyFont="1" applyFill="1" applyBorder="1" applyAlignment="1" applyProtection="1">
      <alignment horizontal="center" vertical="center"/>
      <protection locked="0"/>
    </xf>
    <xf numFmtId="169" fontId="1" fillId="0" borderId="18" xfId="5" applyNumberFormat="1" applyFont="1" applyFill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167" fontId="1" fillId="0" borderId="0" xfId="10" applyNumberFormat="1" applyFont="1" applyProtection="1">
      <protection locked="0"/>
    </xf>
    <xf numFmtId="169" fontId="2" fillId="0" borderId="19" xfId="5" applyNumberFormat="1" applyFont="1" applyFill="1" applyBorder="1" applyAlignment="1" applyProtection="1">
      <alignment horizontal="center" vertical="center"/>
      <protection locked="0"/>
    </xf>
    <xf numFmtId="169" fontId="2" fillId="0" borderId="20" xfId="5" applyNumberFormat="1" applyFont="1" applyFill="1" applyBorder="1" applyAlignment="1" applyProtection="1">
      <alignment horizontal="center" vertical="center"/>
      <protection locked="0"/>
    </xf>
    <xf numFmtId="0" fontId="2" fillId="0" borderId="27" xfId="0" applyFont="1" applyBorder="1" applyProtection="1">
      <protection locked="0"/>
    </xf>
    <xf numFmtId="0" fontId="2" fillId="0" borderId="28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1" fillId="0" borderId="28" xfId="0" applyFont="1" applyBorder="1" applyProtection="1">
      <protection locked="0"/>
    </xf>
    <xf numFmtId="169" fontId="1" fillId="0" borderId="38" xfId="5" applyNumberFormat="1" applyFont="1" applyFill="1" applyBorder="1" applyAlignment="1" applyProtection="1">
      <alignment horizontal="center" vertical="center"/>
      <protection locked="0"/>
    </xf>
    <xf numFmtId="169" fontId="2" fillId="0" borderId="39" xfId="5" applyNumberFormat="1" applyFont="1" applyFill="1" applyBorder="1" applyAlignment="1" applyProtection="1">
      <alignment horizontal="center" vertical="center"/>
      <protection locked="0"/>
    </xf>
    <xf numFmtId="17" fontId="2" fillId="0" borderId="35" xfId="0" applyNumberFormat="1" applyFont="1" applyBorder="1" applyAlignment="1" applyProtection="1">
      <alignment horizontal="center" vertical="center"/>
      <protection locked="0"/>
    </xf>
    <xf numFmtId="17" fontId="2" fillId="0" borderId="36" xfId="0" applyNumberFormat="1" applyFont="1" applyBorder="1" applyAlignment="1" applyProtection="1">
      <alignment horizontal="center" vertical="center"/>
      <protection locked="0"/>
    </xf>
    <xf numFmtId="17" fontId="2" fillId="0" borderId="37" xfId="0" applyNumberFormat="1" applyFont="1" applyBorder="1" applyAlignment="1" applyProtection="1">
      <alignment horizontal="center" vertical="center"/>
      <protection locked="0"/>
    </xf>
    <xf numFmtId="169" fontId="1" fillId="0" borderId="0" xfId="2" applyNumberFormat="1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3" fontId="1" fillId="0" borderId="24" xfId="0" applyNumberFormat="1" applyFont="1" applyBorder="1" applyAlignment="1" applyProtection="1">
      <alignment horizontal="center" vertical="center" wrapText="1"/>
      <protection locked="0"/>
    </xf>
    <xf numFmtId="3" fontId="1" fillId="0" borderId="25" xfId="0" applyNumberFormat="1" applyFont="1" applyBorder="1" applyAlignment="1" applyProtection="1">
      <alignment horizontal="center" vertical="center" wrapText="1"/>
      <protection locked="0"/>
    </xf>
    <xf numFmtId="3" fontId="1" fillId="0" borderId="26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/>
      <protection locked="0"/>
    </xf>
    <xf numFmtId="166" fontId="1" fillId="5" borderId="7" xfId="4" applyNumberFormat="1" applyFont="1" applyFill="1" applyBorder="1" applyAlignment="1" applyProtection="1">
      <alignment horizontal="center" vertical="center"/>
      <protection locked="0"/>
    </xf>
    <xf numFmtId="166" fontId="1" fillId="5" borderId="21" xfId="4" applyNumberFormat="1" applyFont="1" applyFill="1" applyBorder="1" applyAlignment="1" applyProtection="1">
      <alignment horizontal="center" vertical="center"/>
      <protection locked="0"/>
    </xf>
    <xf numFmtId="166" fontId="1" fillId="5" borderId="22" xfId="4" applyNumberFormat="1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9" fillId="4" borderId="9" xfId="0" applyFont="1" applyFill="1" applyBorder="1" applyAlignment="1" applyProtection="1">
      <alignment horizontal="center"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9" fontId="1" fillId="5" borderId="11" xfId="3" applyFont="1" applyFill="1" applyBorder="1" applyAlignment="1" applyProtection="1">
      <alignment horizontal="center" vertical="center"/>
      <protection locked="0"/>
    </xf>
    <xf numFmtId="9" fontId="1" fillId="5" borderId="40" xfId="3" applyFont="1" applyFill="1" applyBorder="1" applyAlignment="1" applyProtection="1">
      <alignment horizontal="center" vertical="center"/>
      <protection locked="0"/>
    </xf>
    <xf numFmtId="9" fontId="1" fillId="5" borderId="12" xfId="3" applyFont="1" applyFill="1" applyBorder="1" applyAlignment="1" applyProtection="1">
      <alignment horizontal="center" vertical="center"/>
      <protection locked="0"/>
    </xf>
    <xf numFmtId="9" fontId="1" fillId="5" borderId="5" xfId="3" applyFont="1" applyFill="1" applyBorder="1" applyAlignment="1" applyProtection="1">
      <alignment horizontal="center" vertical="center"/>
      <protection locked="0"/>
    </xf>
    <xf numFmtId="9" fontId="1" fillId="5" borderId="25" xfId="3" applyFont="1" applyFill="1" applyBorder="1" applyAlignment="1" applyProtection="1">
      <alignment horizontal="center" vertical="center"/>
      <protection locked="0"/>
    </xf>
    <xf numFmtId="9" fontId="1" fillId="5" borderId="30" xfId="3" applyFont="1" applyFill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 wrapText="1"/>
      <protection locked="0"/>
    </xf>
  </cellXfs>
  <cellStyles count="11">
    <cellStyle name="Millares" xfId="10" builtinId="3"/>
    <cellStyle name="Millares [0]" xfId="9" builtinId="6"/>
    <cellStyle name="Millares [0] 2" xfId="5" xr:uid="{6569F618-52BD-49C5-89D1-929E16557673}"/>
    <cellStyle name="Millares [0] 3" xfId="6" xr:uid="{00000000-0005-0000-0000-000034000000}"/>
    <cellStyle name="Millares 2" xfId="4" xr:uid="{1F92F91B-2AD6-48EE-8DE0-A5E6DFE3DBBC}"/>
    <cellStyle name="Normal" xfId="0" builtinId="0"/>
    <cellStyle name="Normal 2" xfId="1" xr:uid="{0C3ADCF0-D3C5-4B22-BBD6-E5AC07BE49AB}"/>
    <cellStyle name="Normal 3" xfId="2" xr:uid="{04A66F1E-99A6-4DDE-ACF0-1A9630326BF7}"/>
    <cellStyle name="Normal 3 2" xfId="7" xr:uid="{00000000-0005-0000-0000-000035000000}"/>
    <cellStyle name="Porcentaje 2" xfId="3" xr:uid="{68E02398-A5A2-4B9C-967C-E98F22BB8F7B}"/>
    <cellStyle name="Porcentaje 3" xfId="8" xr:uid="{00000000-0005-0000-0000-000036000000}"/>
  </cellStyles>
  <dxfs count="0"/>
  <tableStyles count="1" defaultTableStyle="TableStyleMedium2" defaultPivotStyle="PivotStyleLight16">
    <tableStyle name="Invisible" pivot="0" table="0" count="0" xr9:uid="{15C9B4E3-0761-4CC8-8B2A-296904A86673}"/>
  </tableStyles>
  <colors>
    <mruColors>
      <color rgb="FFCC33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XXXXXX-2026/Demanda/CalculoFaltanteEnergia_2027.xls" TargetMode="External"/><Relationship Id="rId1" Type="http://schemas.openxmlformats.org/officeDocument/2006/relationships/externalLinkPath" Target="CalculoFaltanteEnergia_2027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XXXXXX-2026/Demanda/CalculoFaltanteEnergia_2028.xls" TargetMode="External"/><Relationship Id="rId1" Type="http://schemas.openxmlformats.org/officeDocument/2006/relationships/externalLinkPath" Target="CalculoFaltanteEnergia_2028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XXXXXX-2026/Demanda/CalculoFaltanteEnergia_2029.xls" TargetMode="External"/><Relationship Id="rId1" Type="http://schemas.openxmlformats.org/officeDocument/2006/relationships/externalLinkPath" Target="CalculoFaltanteEnergia_2029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XXXXXX-2026/Demanda/CalculoFaltanteEnergia_2030.xls" TargetMode="External"/><Relationship Id="rId1" Type="http://schemas.openxmlformats.org/officeDocument/2006/relationships/externalLinkPath" Target="CalculoFaltanteEnergia_2030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XXXXXX-2026/CalculoFaltanteEnergia_2031.xls" TargetMode="External"/><Relationship Id="rId1" Type="http://schemas.openxmlformats.org/officeDocument/2006/relationships/externalLinkPath" Target="/sites/file-7501-ute/7501_TCE/CompraEnergia/ComprasBilateralesSICEP/CompraCRWXXXXXX-2026/CalculoFaltanteEnergia_2031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XXXXXX-2026/Demanda/CalculoFaltanteEnergia_2032.xls" TargetMode="External"/><Relationship Id="rId1" Type="http://schemas.openxmlformats.org/officeDocument/2006/relationships/externalLinkPath" Target="CalculoFaltanteEnergia_203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43.813641634000007</v>
          </cell>
          <cell r="G7">
            <v>39.665253964000001</v>
          </cell>
          <cell r="H7">
            <v>36.828059379999999</v>
          </cell>
          <cell r="I7">
            <v>36.269994165999996</v>
          </cell>
          <cell r="J7">
            <v>38.345209112000006</v>
          </cell>
          <cell r="K7">
            <v>47.715167303999998</v>
          </cell>
          <cell r="L7">
            <v>58.442347124000001</v>
          </cell>
          <cell r="M7">
            <v>55.336175552</v>
          </cell>
          <cell r="N7">
            <v>60.296755232000002</v>
          </cell>
          <cell r="O7">
            <v>62.479832842</v>
          </cell>
          <cell r="P7">
            <v>67.612600369999996</v>
          </cell>
          <cell r="Q7">
            <v>72.200043328000007</v>
          </cell>
          <cell r="R7">
            <v>74.992347500000008</v>
          </cell>
          <cell r="S7">
            <v>74.906603029999999</v>
          </cell>
          <cell r="T7">
            <v>77.213262321999991</v>
          </cell>
          <cell r="U7">
            <v>77.842734773999993</v>
          </cell>
          <cell r="V7">
            <v>75.770360343999997</v>
          </cell>
          <cell r="W7">
            <v>62.749887046000005</v>
          </cell>
          <cell r="X7">
            <v>67.502445415999986</v>
          </cell>
          <cell r="Y7">
            <v>66.261624029999993</v>
          </cell>
          <cell r="Z7">
            <v>60.509463713999999</v>
          </cell>
          <cell r="AA7">
            <v>51.940396381999996</v>
          </cell>
          <cell r="AB7">
            <v>40.223142848000002</v>
          </cell>
          <cell r="AC7">
            <v>35.254686026000002</v>
          </cell>
        </row>
        <row r="8">
          <cell r="F8">
            <v>46.194401204000002</v>
          </cell>
          <cell r="G8">
            <v>41.036062619999996</v>
          </cell>
          <cell r="H8">
            <v>37.664071969999995</v>
          </cell>
          <cell r="I8">
            <v>35.817653213999996</v>
          </cell>
          <cell r="J8">
            <v>37.198733894000007</v>
          </cell>
          <cell r="K8">
            <v>42.053352068000002</v>
          </cell>
          <cell r="L8">
            <v>47.939680277999997</v>
          </cell>
          <cell r="M8">
            <v>44.469307106000002</v>
          </cell>
          <cell r="N8">
            <v>51.910086857999993</v>
          </cell>
          <cell r="O8">
            <v>57.356872467999999</v>
          </cell>
          <cell r="P8">
            <v>61.788340320000003</v>
          </cell>
          <cell r="Q8">
            <v>64.129307018000006</v>
          </cell>
          <cell r="R8">
            <v>64.342534872000002</v>
          </cell>
          <cell r="S8">
            <v>65.431337356</v>
          </cell>
          <cell r="T8">
            <v>64.446409271999997</v>
          </cell>
          <cell r="U8">
            <v>65.511044928000004</v>
          </cell>
          <cell r="V8">
            <v>68.187792036000005</v>
          </cell>
          <cell r="W8">
            <v>58.842494395999999</v>
          </cell>
          <cell r="X8">
            <v>64.37446983800001</v>
          </cell>
          <cell r="Y8">
            <v>62.0962125</v>
          </cell>
          <cell r="Z8">
            <v>56.368106802</v>
          </cell>
          <cell r="AA8">
            <v>49.574772338000002</v>
          </cell>
          <cell r="AB8">
            <v>42.550888002000008</v>
          </cell>
          <cell r="AC8">
            <v>34.092389197999999</v>
          </cell>
        </row>
        <row r="9">
          <cell r="F9">
            <v>45.192353079999997</v>
          </cell>
          <cell r="G9">
            <v>39.849560492000002</v>
          </cell>
          <cell r="H9">
            <v>35.957399547999998</v>
          </cell>
          <cell r="I9">
            <v>33.879222257999992</v>
          </cell>
          <cell r="J9">
            <v>34.169307549999999</v>
          </cell>
          <cell r="K9">
            <v>36.410747184000002</v>
          </cell>
          <cell r="L9">
            <v>38.292832689999997</v>
          </cell>
          <cell r="M9">
            <v>33.298070637999999</v>
          </cell>
          <cell r="N9">
            <v>38.204645247999999</v>
          </cell>
          <cell r="O9">
            <v>42.291227650000003</v>
          </cell>
          <cell r="P9">
            <v>46.852336524000002</v>
          </cell>
          <cell r="Q9">
            <v>53.340129570000002</v>
          </cell>
          <cell r="R9">
            <v>59.506392876</v>
          </cell>
          <cell r="S9">
            <v>61.867336160000001</v>
          </cell>
          <cell r="T9">
            <v>62.081689320000002</v>
          </cell>
          <cell r="U9">
            <v>61.164183415999993</v>
          </cell>
          <cell r="V9">
            <v>60.627922207999994</v>
          </cell>
          <cell r="W9">
            <v>49.672074438000003</v>
          </cell>
          <cell r="X9">
            <v>57.346728683999999</v>
          </cell>
          <cell r="Y9">
            <v>56.594835121999999</v>
          </cell>
          <cell r="Z9">
            <v>51.768227770000003</v>
          </cell>
          <cell r="AA9">
            <v>45.645861015999998</v>
          </cell>
          <cell r="AB9">
            <v>37.069794985999998</v>
          </cell>
          <cell r="AC9">
            <v>28.114827846000001</v>
          </cell>
        </row>
        <row r="10">
          <cell r="F10">
            <v>45.973328267999996</v>
          </cell>
          <cell r="G10">
            <v>42.913387215999997</v>
          </cell>
          <cell r="H10">
            <v>41.013357728000003</v>
          </cell>
          <cell r="I10">
            <v>37.804167757999998</v>
          </cell>
          <cell r="J10">
            <v>37.810127712000003</v>
          </cell>
          <cell r="K10">
            <v>38.750848261999998</v>
          </cell>
          <cell r="L10">
            <v>39.671245978000002</v>
          </cell>
          <cell r="M10">
            <v>31.541756511999999</v>
          </cell>
          <cell r="N10">
            <v>33.799918642000002</v>
          </cell>
          <cell r="O10">
            <v>37.449340501999998</v>
          </cell>
          <cell r="P10">
            <v>41.926067455999998</v>
          </cell>
          <cell r="Q10">
            <v>47.227428906</v>
          </cell>
          <cell r="R10">
            <v>52.453606450000002</v>
          </cell>
          <cell r="S10">
            <v>54.347166229999992</v>
          </cell>
          <cell r="T10">
            <v>54.822112688000004</v>
          </cell>
          <cell r="U10">
            <v>57.533180025999997</v>
          </cell>
          <cell r="V10">
            <v>58.558343409999999</v>
          </cell>
          <cell r="W10">
            <v>46.114719279999996</v>
          </cell>
          <cell r="X10">
            <v>53.001139953999996</v>
          </cell>
          <cell r="Y10">
            <v>52.224528131999996</v>
          </cell>
          <cell r="Z10">
            <v>47.563815249999998</v>
          </cell>
          <cell r="AA10">
            <v>42.213623214000002</v>
          </cell>
          <cell r="AB10">
            <v>33.496037932</v>
          </cell>
          <cell r="AC10">
            <v>25.016408382000002</v>
          </cell>
        </row>
        <row r="11">
          <cell r="F11">
            <v>48.162846731999998</v>
          </cell>
          <cell r="G11">
            <v>43.331340611999991</v>
          </cell>
          <cell r="H11">
            <v>41.032856619999997</v>
          </cell>
          <cell r="I11">
            <v>40.886005789999999</v>
          </cell>
          <cell r="J11">
            <v>46.062137674000006</v>
          </cell>
          <cell r="K11">
            <v>64.182606767999999</v>
          </cell>
          <cell r="L11">
            <v>73.866922877999997</v>
          </cell>
          <cell r="M11">
            <v>65.816150329999985</v>
          </cell>
          <cell r="N11">
            <v>70.471377746000002</v>
          </cell>
          <cell r="O11">
            <v>72.666372057999993</v>
          </cell>
          <cell r="P11">
            <v>79.120912472000001</v>
          </cell>
          <cell r="Q11">
            <v>83.685788396000007</v>
          </cell>
          <cell r="R11">
            <v>83.358071075999987</v>
          </cell>
          <cell r="S11">
            <v>83.505322656000004</v>
          </cell>
          <cell r="T11">
            <v>85.883167971999995</v>
          </cell>
          <cell r="U11">
            <v>86.825299162000007</v>
          </cell>
          <cell r="V11">
            <v>84.704232004000005</v>
          </cell>
          <cell r="W11">
            <v>69.410393724000002</v>
          </cell>
          <cell r="X11">
            <v>73.25758410600001</v>
          </cell>
          <cell r="Y11">
            <v>74.599737533999999</v>
          </cell>
          <cell r="Z11">
            <v>68.908003906000005</v>
          </cell>
          <cell r="AA11">
            <v>59.277814693999993</v>
          </cell>
          <cell r="AB11">
            <v>45.173444092000004</v>
          </cell>
          <cell r="AC11">
            <v>38.562636826000002</v>
          </cell>
        </row>
        <row r="12">
          <cell r="F12">
            <v>52.728415152000004</v>
          </cell>
          <cell r="G12">
            <v>47.353751717999998</v>
          </cell>
          <cell r="H12">
            <v>43.588394485999999</v>
          </cell>
          <cell r="I12">
            <v>42.699075734000004</v>
          </cell>
          <cell r="J12">
            <v>45.335844021999996</v>
          </cell>
          <cell r="K12">
            <v>50.515338999999997</v>
          </cell>
          <cell r="L12">
            <v>60.057539542000001</v>
          </cell>
          <cell r="M12">
            <v>58.343066921999998</v>
          </cell>
          <cell r="N12">
            <v>67.724230084000013</v>
          </cell>
          <cell r="O12">
            <v>73.348326729999997</v>
          </cell>
          <cell r="P12">
            <v>78.218205463999993</v>
          </cell>
          <cell r="Q12">
            <v>79.921598147999987</v>
          </cell>
          <cell r="R12">
            <v>78.501644717999994</v>
          </cell>
          <cell r="S12">
            <v>77.388457398</v>
          </cell>
          <cell r="T12">
            <v>76.551255382000008</v>
          </cell>
          <cell r="U12">
            <v>77.101722375999984</v>
          </cell>
          <cell r="V12">
            <v>77.069290479999992</v>
          </cell>
          <cell r="W12">
            <v>64.249961622000001</v>
          </cell>
          <cell r="X12">
            <v>70.926674629999994</v>
          </cell>
          <cell r="Y12">
            <v>70.82355364</v>
          </cell>
          <cell r="Z12">
            <v>66.157089193999994</v>
          </cell>
          <cell r="AA12">
            <v>57.835230110000005</v>
          </cell>
          <cell r="AB12">
            <v>47.730854261999994</v>
          </cell>
          <cell r="AC12">
            <v>38.293085963999999</v>
          </cell>
        </row>
        <row r="13">
          <cell r="F13">
            <v>49.175458626000001</v>
          </cell>
          <cell r="G13">
            <v>43.335392996000003</v>
          </cell>
          <cell r="H13">
            <v>39.717104601999999</v>
          </cell>
          <cell r="I13">
            <v>37.973377231999997</v>
          </cell>
          <cell r="J13">
            <v>38.578843155999998</v>
          </cell>
          <cell r="K13">
            <v>40.573263696000005</v>
          </cell>
          <cell r="L13">
            <v>44.876927563999999</v>
          </cell>
          <cell r="M13">
            <v>41.089416872000001</v>
          </cell>
          <cell r="N13">
            <v>47.380274956000001</v>
          </cell>
          <cell r="O13">
            <v>52.70838727000001</v>
          </cell>
          <cell r="P13">
            <v>57.753361693999999</v>
          </cell>
          <cell r="Q13">
            <v>64.349863788000008</v>
          </cell>
          <cell r="R13">
            <v>68.021669939999995</v>
          </cell>
          <cell r="S13">
            <v>69.884282202000009</v>
          </cell>
          <cell r="T13">
            <v>69.917499567999997</v>
          </cell>
          <cell r="U13">
            <v>69.112838451999991</v>
          </cell>
          <cell r="V13">
            <v>68.308430610000002</v>
          </cell>
          <cell r="W13">
            <v>55.972002295999999</v>
          </cell>
          <cell r="X13">
            <v>61.967991735999995</v>
          </cell>
          <cell r="Y13">
            <v>63.778583442000006</v>
          </cell>
          <cell r="Z13">
            <v>59.693725868000001</v>
          </cell>
          <cell r="AA13">
            <v>52.338270599999994</v>
          </cell>
          <cell r="AB13">
            <v>41.894427442000001</v>
          </cell>
          <cell r="AC13">
            <v>31.295461973999998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45.602345977999995</v>
          </cell>
          <cell r="G15">
            <v>41.466932990000004</v>
          </cell>
          <cell r="H15">
            <v>39.227913886000003</v>
          </cell>
          <cell r="I15">
            <v>39.154496485999999</v>
          </cell>
          <cell r="J15">
            <v>43.612288803999995</v>
          </cell>
          <cell r="K15">
            <v>59.705132815999995</v>
          </cell>
          <cell r="L15">
            <v>68.233621806000002</v>
          </cell>
          <cell r="M15">
            <v>60.892728189999993</v>
          </cell>
          <cell r="N15">
            <v>64.890469125999999</v>
          </cell>
          <cell r="O15">
            <v>67.200552426000002</v>
          </cell>
          <cell r="P15">
            <v>73.147791429999998</v>
          </cell>
          <cell r="Q15">
            <v>77.484663046000009</v>
          </cell>
          <cell r="R15">
            <v>77.505239153999995</v>
          </cell>
          <cell r="S15">
            <v>78.203800905999998</v>
          </cell>
          <cell r="T15">
            <v>81.122960085999992</v>
          </cell>
          <cell r="U15">
            <v>81.482272536000011</v>
          </cell>
          <cell r="V15">
            <v>79.349920257999997</v>
          </cell>
          <cell r="W15">
            <v>63.817052235999995</v>
          </cell>
          <cell r="X15">
            <v>66.669177161999997</v>
          </cell>
          <cell r="Y15">
            <v>68.473805708</v>
          </cell>
          <cell r="Z15">
            <v>62.968523421999997</v>
          </cell>
          <cell r="AA15">
            <v>53.998478464000002</v>
          </cell>
          <cell r="AB15">
            <v>41.820077095999999</v>
          </cell>
          <cell r="AC15">
            <v>35.670821619999998</v>
          </cell>
        </row>
        <row r="16">
          <cell r="F16">
            <v>45.253642182</v>
          </cell>
          <cell r="G16">
            <v>40.768024990000001</v>
          </cell>
          <cell r="H16">
            <v>37.631079024000002</v>
          </cell>
          <cell r="I16">
            <v>36.806181635999998</v>
          </cell>
          <cell r="J16">
            <v>39.701956251999995</v>
          </cell>
          <cell r="K16">
            <v>45.895300639999995</v>
          </cell>
          <cell r="L16">
            <v>53.515619598000001</v>
          </cell>
          <cell r="M16">
            <v>54.207198682000005</v>
          </cell>
          <cell r="N16">
            <v>61.302554376000003</v>
          </cell>
          <cell r="O16">
            <v>66.251964352000016</v>
          </cell>
          <cell r="P16">
            <v>71.176800338000007</v>
          </cell>
          <cell r="Q16">
            <v>74.670199002000004</v>
          </cell>
          <cell r="R16">
            <v>74.025927654</v>
          </cell>
          <cell r="S16">
            <v>74.044089643999996</v>
          </cell>
          <cell r="T16">
            <v>74.161134292</v>
          </cell>
          <cell r="U16">
            <v>73.645048442000004</v>
          </cell>
          <cell r="V16">
            <v>73.119581835999995</v>
          </cell>
          <cell r="W16">
            <v>61.436565175999995</v>
          </cell>
          <cell r="X16">
            <v>64.471755908000006</v>
          </cell>
          <cell r="Y16">
            <v>64.316495739999993</v>
          </cell>
          <cell r="Z16">
            <v>60.102054852000002</v>
          </cell>
          <cell r="AA16">
            <v>53.856792499999997</v>
          </cell>
          <cell r="AB16">
            <v>44.844684821999998</v>
          </cell>
          <cell r="AC16">
            <v>36.579392401999996</v>
          </cell>
        </row>
        <row r="17">
          <cell r="F17">
            <v>45.724074592000008</v>
          </cell>
          <cell r="G17">
            <v>40.525568033999996</v>
          </cell>
          <cell r="H17">
            <v>36.643448281999994</v>
          </cell>
          <cell r="I17">
            <v>34.812527329999995</v>
          </cell>
          <cell r="J17">
            <v>34.871136215999996</v>
          </cell>
          <cell r="K17">
            <v>36.515980928000005</v>
          </cell>
          <cell r="L17">
            <v>39.098910857999996</v>
          </cell>
          <cell r="M17">
            <v>36.423933462000001</v>
          </cell>
          <cell r="N17">
            <v>42.083927689999996</v>
          </cell>
          <cell r="O17">
            <v>45.445268007999999</v>
          </cell>
          <cell r="P17">
            <v>49.610830220000004</v>
          </cell>
          <cell r="Q17">
            <v>54.475832628000006</v>
          </cell>
          <cell r="R17">
            <v>58.326674644000001</v>
          </cell>
          <cell r="S17">
            <v>60.828457508</v>
          </cell>
          <cell r="T17">
            <v>61.674075274000003</v>
          </cell>
          <cell r="U17">
            <v>62.419560042000008</v>
          </cell>
          <cell r="V17">
            <v>61.721148971999995</v>
          </cell>
          <cell r="W17">
            <v>48.959572997999999</v>
          </cell>
          <cell r="X17">
            <v>54.752907972000003</v>
          </cell>
          <cell r="Y17">
            <v>57.362386788000002</v>
          </cell>
          <cell r="Z17">
            <v>54.869333861999998</v>
          </cell>
          <cell r="AA17">
            <v>48.563250484000001</v>
          </cell>
          <cell r="AB17">
            <v>39.357679942000004</v>
          </cell>
          <cell r="AC17">
            <v>29.297069199999999</v>
          </cell>
        </row>
        <row r="18">
          <cell r="F18">
            <v>55.146742629999991</v>
          </cell>
          <cell r="G18">
            <v>50.360434697999999</v>
          </cell>
          <cell r="H18">
            <v>46.653285602000004</v>
          </cell>
          <cell r="I18">
            <v>44.435099086000001</v>
          </cell>
          <cell r="J18">
            <v>45.416321033999999</v>
          </cell>
          <cell r="K18">
            <v>46.842984621999996</v>
          </cell>
          <cell r="L18">
            <v>48.659542693999995</v>
          </cell>
          <cell r="M18">
            <v>46.812925165999992</v>
          </cell>
          <cell r="N18">
            <v>51.455222784000007</v>
          </cell>
          <cell r="O18">
            <v>56.715508961999994</v>
          </cell>
          <cell r="P18">
            <v>61.439617288000001</v>
          </cell>
          <cell r="Q18">
            <v>68.595348374000011</v>
          </cell>
          <cell r="R18">
            <v>71.429211924000001</v>
          </cell>
          <cell r="S18">
            <v>71.643263720000007</v>
          </cell>
          <cell r="T18">
            <v>71.131284756000014</v>
          </cell>
          <cell r="U18">
            <v>70.301818818000001</v>
          </cell>
          <cell r="V18">
            <v>71.103065544000003</v>
          </cell>
          <cell r="W18">
            <v>57.311539627999998</v>
          </cell>
          <cell r="X18">
            <v>65.431042403999996</v>
          </cell>
          <cell r="Y18">
            <v>73.55715915799999</v>
          </cell>
          <cell r="Z18">
            <v>69.596418667999998</v>
          </cell>
          <cell r="AA18">
            <v>62.349874425999992</v>
          </cell>
          <cell r="AB18">
            <v>52.577611324000003</v>
          </cell>
          <cell r="AC18">
            <v>41.758169236000001</v>
          </cell>
        </row>
        <row r="19">
          <cell r="F19">
            <v>43.311264640000005</v>
          </cell>
          <cell r="G19">
            <v>38.703287252000003</v>
          </cell>
          <cell r="H19">
            <v>36.360717553999997</v>
          </cell>
          <cell r="I19">
            <v>36.297043187999996</v>
          </cell>
          <cell r="J19">
            <v>40.587588103999998</v>
          </cell>
          <cell r="K19">
            <v>55.183916199999999</v>
          </cell>
          <cell r="L19">
            <v>64.184648989999999</v>
          </cell>
          <cell r="M19">
            <v>57.676654937999999</v>
          </cell>
          <cell r="N19">
            <v>61.946296734000001</v>
          </cell>
          <cell r="O19">
            <v>64.674782270000009</v>
          </cell>
          <cell r="P19">
            <v>71.185559129999987</v>
          </cell>
          <cell r="Q19">
            <v>76.025150781999997</v>
          </cell>
          <cell r="R19">
            <v>76.504745939999992</v>
          </cell>
          <cell r="S19">
            <v>77.140197581999999</v>
          </cell>
          <cell r="T19">
            <v>80.40856389999999</v>
          </cell>
          <cell r="U19">
            <v>81.688918471999983</v>
          </cell>
          <cell r="V19">
            <v>79.907360302000001</v>
          </cell>
          <cell r="W19">
            <v>65.451891021999998</v>
          </cell>
          <cell r="X19">
            <v>68.757626475999984</v>
          </cell>
          <cell r="Y19">
            <v>69.393680846000009</v>
          </cell>
          <cell r="Z19">
            <v>64.039888472000001</v>
          </cell>
          <cell r="AA19">
            <v>55.380286906000002</v>
          </cell>
          <cell r="AB19">
            <v>43.567869674000001</v>
          </cell>
          <cell r="AC19">
            <v>35.318174444000007</v>
          </cell>
        </row>
        <row r="20">
          <cell r="F20">
            <v>43.895660731999996</v>
          </cell>
          <cell r="G20">
            <v>38.220973405999999</v>
          </cell>
          <cell r="H20">
            <v>34.897797312000002</v>
          </cell>
          <cell r="I20">
            <v>34.246014305999999</v>
          </cell>
          <cell r="J20">
            <v>36.382556825999998</v>
          </cell>
          <cell r="K20">
            <v>41.827771496000004</v>
          </cell>
          <cell r="L20">
            <v>49.866973589999994</v>
          </cell>
          <cell r="M20">
            <v>49.003197039999996</v>
          </cell>
          <cell r="N20">
            <v>56.102480084</v>
          </cell>
          <cell r="O20">
            <v>60.981367678000005</v>
          </cell>
          <cell r="P20">
            <v>64.545471465999995</v>
          </cell>
          <cell r="Q20">
            <v>66.857369362</v>
          </cell>
          <cell r="R20">
            <v>66.383788660000008</v>
          </cell>
          <cell r="S20">
            <v>67.513371464000002</v>
          </cell>
          <cell r="T20">
            <v>69.011445495999993</v>
          </cell>
          <cell r="U20">
            <v>70.743878127999992</v>
          </cell>
          <cell r="V20">
            <v>72.485624189999996</v>
          </cell>
          <cell r="W20">
            <v>60.725451934000006</v>
          </cell>
          <cell r="X20">
            <v>64.440298635999994</v>
          </cell>
          <cell r="Y20">
            <v>63.995822002000004</v>
          </cell>
          <cell r="Z20">
            <v>58.557920218</v>
          </cell>
          <cell r="AA20">
            <v>51.721939542000001</v>
          </cell>
          <cell r="AB20">
            <v>43.696850259999998</v>
          </cell>
          <cell r="AC20">
            <v>35.372054479999996</v>
          </cell>
        </row>
        <row r="21">
          <cell r="F21">
            <v>46.190900252000006</v>
          </cell>
          <cell r="G21">
            <v>40.514872817999994</v>
          </cell>
          <cell r="H21">
            <v>36.603729147999999</v>
          </cell>
          <cell r="I21">
            <v>34.919992449999995</v>
          </cell>
          <cell r="J21">
            <v>35.186362959999997</v>
          </cell>
          <cell r="K21">
            <v>36.157014726</v>
          </cell>
          <cell r="L21">
            <v>40.40525006</v>
          </cell>
          <cell r="M21">
            <v>38.010445004000005</v>
          </cell>
          <cell r="N21">
            <v>43.765003407999998</v>
          </cell>
          <cell r="O21">
            <v>47.921691411999994</v>
          </cell>
          <cell r="P21">
            <v>50.842501682000005</v>
          </cell>
          <cell r="Q21">
            <v>54.097614395999997</v>
          </cell>
          <cell r="R21">
            <v>56.127175902000005</v>
          </cell>
          <cell r="S21">
            <v>58.672573189999994</v>
          </cell>
          <cell r="T21">
            <v>60.861838379999995</v>
          </cell>
          <cell r="U21">
            <v>62.071324322000002</v>
          </cell>
          <cell r="V21">
            <v>62.243749414</v>
          </cell>
          <cell r="W21">
            <v>51.172081688000006</v>
          </cell>
          <cell r="X21">
            <v>54.973730839999995</v>
          </cell>
          <cell r="Y21">
            <v>55.414623165999998</v>
          </cell>
          <cell r="Z21">
            <v>52.55092458</v>
          </cell>
          <cell r="AA21">
            <v>46.251092902000003</v>
          </cell>
          <cell r="AB21">
            <v>37.010810998000004</v>
          </cell>
          <cell r="AC21">
            <v>26.801961228</v>
          </cell>
        </row>
        <row r="22">
          <cell r="F22">
            <v>109.560773196</v>
          </cell>
          <cell r="G22">
            <v>101.67019164399998</v>
          </cell>
          <cell r="H22">
            <v>96.208357070000005</v>
          </cell>
          <cell r="I22">
            <v>93.669423078000008</v>
          </cell>
          <cell r="J22">
            <v>94.584784168000013</v>
          </cell>
          <cell r="K22">
            <v>96.366153184000012</v>
          </cell>
          <cell r="L22">
            <v>99.747088573999989</v>
          </cell>
          <cell r="M22">
            <v>96.639560864000003</v>
          </cell>
          <cell r="N22">
            <v>103.6929404</v>
          </cell>
          <cell r="O22">
            <v>106.34359708</v>
          </cell>
          <cell r="P22">
            <v>106.69382693199999</v>
          </cell>
          <cell r="Q22">
            <v>114.27199019599999</v>
          </cell>
          <cell r="R22">
            <v>121.812935006</v>
          </cell>
          <cell r="S22">
            <v>122.71607802999999</v>
          </cell>
          <cell r="T22">
            <v>123.13910011199999</v>
          </cell>
          <cell r="U22">
            <v>123.62290795400001</v>
          </cell>
          <cell r="V22">
            <v>125.793639258</v>
          </cell>
          <cell r="W22">
            <v>115.713423826</v>
          </cell>
          <cell r="X22">
            <v>124.350500036</v>
          </cell>
          <cell r="Y22">
            <v>126.10429424599999</v>
          </cell>
          <cell r="Z22">
            <v>119.454300042</v>
          </cell>
          <cell r="AA22">
            <v>114.45334079200001</v>
          </cell>
          <cell r="AB22">
            <v>109.189717168</v>
          </cell>
          <cell r="AC22">
            <v>97.455208941999999</v>
          </cell>
        </row>
        <row r="23">
          <cell r="F23">
            <v>35.141334689999994</v>
          </cell>
          <cell r="G23">
            <v>30.280099332000002</v>
          </cell>
          <cell r="H23">
            <v>27.902654766000001</v>
          </cell>
          <cell r="I23">
            <v>27.853923566000002</v>
          </cell>
          <cell r="J23">
            <v>32.039680371999999</v>
          </cell>
          <cell r="K23">
            <v>48.139891771999999</v>
          </cell>
          <cell r="L23">
            <v>57.437856027999999</v>
          </cell>
          <cell r="M23">
            <v>51.729976984000004</v>
          </cell>
          <cell r="N23">
            <v>54.766443703999997</v>
          </cell>
          <cell r="O23">
            <v>56.733186845999995</v>
          </cell>
          <cell r="P23">
            <v>63.370834744</v>
          </cell>
          <cell r="Q23">
            <v>68.438905192000007</v>
          </cell>
          <cell r="R23">
            <v>67.700031195999998</v>
          </cell>
          <cell r="S23">
            <v>67.589731971999996</v>
          </cell>
          <cell r="T23">
            <v>70.538960226</v>
          </cell>
          <cell r="U23">
            <v>72.648854474000004</v>
          </cell>
          <cell r="V23">
            <v>70.39758203800001</v>
          </cell>
          <cell r="W23">
            <v>54.114035528000002</v>
          </cell>
          <cell r="X23">
            <v>57.823569888000009</v>
          </cell>
          <cell r="Y23">
            <v>59.830529093999999</v>
          </cell>
          <cell r="Z23">
            <v>54.493061671999996</v>
          </cell>
          <cell r="AA23">
            <v>46.498403742000001</v>
          </cell>
          <cell r="AB23">
            <v>34.719582183999997</v>
          </cell>
          <cell r="AC23">
            <v>26.797937698000002</v>
          </cell>
        </row>
        <row r="24">
          <cell r="F24">
            <v>35.875082292000002</v>
          </cell>
          <cell r="G24">
            <v>30.677377233999998</v>
          </cell>
          <cell r="H24">
            <v>27.558144418000001</v>
          </cell>
          <cell r="I24">
            <v>25.987252507999997</v>
          </cell>
          <cell r="J24">
            <v>26.518698303999997</v>
          </cell>
          <cell r="K24">
            <v>29.782980178000003</v>
          </cell>
          <cell r="L24">
            <v>37.368494800000001</v>
          </cell>
          <cell r="M24">
            <v>37.782296426000002</v>
          </cell>
          <cell r="N24">
            <v>46.782285424000001</v>
          </cell>
          <cell r="O24">
            <v>51.792166971999997</v>
          </cell>
          <cell r="P24">
            <v>56.642995653999996</v>
          </cell>
          <cell r="Q24">
            <v>59.381477497999995</v>
          </cell>
          <cell r="R24">
            <v>57.771546125999997</v>
          </cell>
          <cell r="S24">
            <v>56.490970339999997</v>
          </cell>
          <cell r="T24">
            <v>56.575057307999998</v>
          </cell>
          <cell r="U24">
            <v>56.709000782000004</v>
          </cell>
          <cell r="V24">
            <v>56.706884821999999</v>
          </cell>
          <cell r="W24">
            <v>44.875100143999994</v>
          </cell>
          <cell r="X24">
            <v>48.751449096000002</v>
          </cell>
          <cell r="Y24">
            <v>51.064097196000006</v>
          </cell>
          <cell r="Z24">
            <v>47.393756185999997</v>
          </cell>
          <cell r="AA24">
            <v>42.667894178000005</v>
          </cell>
          <cell r="AB24">
            <v>35.761888050000003</v>
          </cell>
          <cell r="AC24">
            <v>27.114648819999999</v>
          </cell>
        </row>
        <row r="25">
          <cell r="F25">
            <v>36.190600782000004</v>
          </cell>
          <cell r="G25">
            <v>31.603936882000003</v>
          </cell>
          <cell r="H25">
            <v>26.553695000000001</v>
          </cell>
          <cell r="I25">
            <v>23.001039837999997</v>
          </cell>
          <cell r="J25">
            <v>20.853917517999999</v>
          </cell>
          <cell r="K25">
            <v>19.530243473999999</v>
          </cell>
          <cell r="L25">
            <v>20.795635643999997</v>
          </cell>
          <cell r="M25">
            <v>18.495821161999999</v>
          </cell>
          <cell r="N25">
            <v>25.668951210000003</v>
          </cell>
          <cell r="O25">
            <v>30.66487704</v>
          </cell>
          <cell r="P25">
            <v>35.658625996000005</v>
          </cell>
          <cell r="Q25">
            <v>41.596452184</v>
          </cell>
          <cell r="R25">
            <v>44.809354702000007</v>
          </cell>
          <cell r="S25">
            <v>45.461003056000003</v>
          </cell>
          <cell r="T25">
            <v>42.668548202000004</v>
          </cell>
          <cell r="U25">
            <v>44.73472864</v>
          </cell>
          <cell r="V25">
            <v>44.521853446000001</v>
          </cell>
          <cell r="W25">
            <v>32.755342928000005</v>
          </cell>
          <cell r="X25">
            <v>39.224957953999997</v>
          </cell>
          <cell r="Y25">
            <v>44.328448289999997</v>
          </cell>
          <cell r="Z25">
            <v>41.385827601999999</v>
          </cell>
          <cell r="AA25">
            <v>36.204325667999996</v>
          </cell>
          <cell r="AB25">
            <v>27.447296968</v>
          </cell>
          <cell r="AC25">
            <v>16.825607372000004</v>
          </cell>
        </row>
        <row r="26">
          <cell r="F26">
            <v>32.618042771999995</v>
          </cell>
          <cell r="G26">
            <v>27.665577478000003</v>
          </cell>
          <cell r="H26">
            <v>24.793389403999999</v>
          </cell>
          <cell r="I26">
            <v>23.586465055999998</v>
          </cell>
          <cell r="J26">
            <v>27.113975560000004</v>
          </cell>
          <cell r="K26">
            <v>33.972872723999998</v>
          </cell>
          <cell r="L26">
            <v>37.259679953999999</v>
          </cell>
          <cell r="M26">
            <v>34.230955723999998</v>
          </cell>
          <cell r="N26">
            <v>40.459594965999997</v>
          </cell>
          <cell r="O26">
            <v>44.293733721999999</v>
          </cell>
          <cell r="P26">
            <v>51.504521445999998</v>
          </cell>
          <cell r="Q26">
            <v>56.981222242000001</v>
          </cell>
          <cell r="R26">
            <v>61.873433972000001</v>
          </cell>
          <cell r="S26">
            <v>61.179161847999993</v>
          </cell>
          <cell r="T26">
            <v>59.513151124000004</v>
          </cell>
          <cell r="U26">
            <v>55.665608081999999</v>
          </cell>
          <cell r="V26">
            <v>55.963676313999997</v>
          </cell>
          <cell r="W26">
            <v>47.108521572000001</v>
          </cell>
          <cell r="X26">
            <v>51.232864242000005</v>
          </cell>
          <cell r="Y26">
            <v>52.074612365999997</v>
          </cell>
          <cell r="Z26">
            <v>46.064596675999994</v>
          </cell>
          <cell r="AA26">
            <v>39.438015889999996</v>
          </cell>
          <cell r="AB26">
            <v>30.184909985999997</v>
          </cell>
          <cell r="AC26">
            <v>15.376360719999999</v>
          </cell>
        </row>
        <row r="27">
          <cell r="F27">
            <v>28.325183123999999</v>
          </cell>
          <cell r="G27">
            <v>23.892429666000002</v>
          </cell>
          <cell r="H27">
            <v>21.602528135999997</v>
          </cell>
          <cell r="I27">
            <v>21.537100087999999</v>
          </cell>
          <cell r="J27">
            <v>24.055076457999995</v>
          </cell>
          <cell r="K27">
            <v>33.867597302</v>
          </cell>
          <cell r="L27">
            <v>42.845468105999998</v>
          </cell>
          <cell r="M27">
            <v>39.415839988000002</v>
          </cell>
          <cell r="N27">
            <v>43.527608725999997</v>
          </cell>
          <cell r="O27">
            <v>46.043129300000004</v>
          </cell>
          <cell r="P27">
            <v>50.726332272000001</v>
          </cell>
          <cell r="Q27">
            <v>55.006339065999995</v>
          </cell>
          <cell r="R27">
            <v>55.573534967999997</v>
          </cell>
          <cell r="S27">
            <v>56.294945882</v>
          </cell>
          <cell r="T27">
            <v>58.867228685999997</v>
          </cell>
          <cell r="U27">
            <v>60.210808784000001</v>
          </cell>
          <cell r="V27">
            <v>58.451032177999998</v>
          </cell>
          <cell r="W27">
            <v>44.148235824000004</v>
          </cell>
          <cell r="X27">
            <v>45.999139774</v>
          </cell>
          <cell r="Y27">
            <v>45.908499741999997</v>
          </cell>
          <cell r="Z27">
            <v>40.470976266000001</v>
          </cell>
          <cell r="AA27">
            <v>33.554460869999993</v>
          </cell>
          <cell r="AB27">
            <v>23.20680733</v>
          </cell>
          <cell r="AC27">
            <v>17.888460492</v>
          </cell>
        </row>
        <row r="28">
          <cell r="F28">
            <v>27.883806692</v>
          </cell>
          <cell r="G28">
            <v>23.016111244000001</v>
          </cell>
          <cell r="H28">
            <v>19.614064343999999</v>
          </cell>
          <cell r="I28">
            <v>18.496811816000001</v>
          </cell>
          <cell r="J28">
            <v>19.877309003999997</v>
          </cell>
          <cell r="K28">
            <v>23.552241005999996</v>
          </cell>
          <cell r="L28">
            <v>30.830890132</v>
          </cell>
          <cell r="M28">
            <v>30.6041554</v>
          </cell>
          <cell r="N28">
            <v>36.494975216</v>
          </cell>
          <cell r="O28">
            <v>40.617775800000004</v>
          </cell>
          <cell r="P28">
            <v>45.098029353999998</v>
          </cell>
          <cell r="Q28">
            <v>47.988353770000003</v>
          </cell>
          <cell r="R28">
            <v>47.597923884000004</v>
          </cell>
          <cell r="S28">
            <v>47.448072238000002</v>
          </cell>
          <cell r="T28">
            <v>48.448857197999999</v>
          </cell>
          <cell r="U28">
            <v>50.110988661999997</v>
          </cell>
          <cell r="V28">
            <v>49.721030057999997</v>
          </cell>
          <cell r="W28">
            <v>38.745843696000001</v>
          </cell>
          <cell r="X28">
            <v>40.597568381999999</v>
          </cell>
          <cell r="Y28">
            <v>42.084075165999998</v>
          </cell>
          <cell r="Z28">
            <v>38.007893027999998</v>
          </cell>
          <cell r="AA28">
            <v>31.929560683999998</v>
          </cell>
          <cell r="AB28">
            <v>25.307263114000001</v>
          </cell>
          <cell r="AC28">
            <v>18.128647600000001</v>
          </cell>
        </row>
        <row r="29">
          <cell r="F29">
            <v>30.211074151999998</v>
          </cell>
          <cell r="G29">
            <v>25.896936281999999</v>
          </cell>
          <cell r="H29">
            <v>22.247283589999999</v>
          </cell>
          <cell r="I29">
            <v>20.860460964000001</v>
          </cell>
          <cell r="J29">
            <v>20.802884409999997</v>
          </cell>
          <cell r="K29">
            <v>21.55053964</v>
          </cell>
          <cell r="L29">
            <v>22.613171546</v>
          </cell>
          <cell r="M29">
            <v>18.294529246000003</v>
          </cell>
          <cell r="N29">
            <v>22.351026544</v>
          </cell>
          <cell r="O29">
            <v>26.154660210000003</v>
          </cell>
          <cell r="P29">
            <v>28.478471601999999</v>
          </cell>
          <cell r="Q29">
            <v>33.450416552</v>
          </cell>
          <cell r="R29">
            <v>36.607175598000005</v>
          </cell>
          <cell r="S29">
            <v>39.097910585999998</v>
          </cell>
          <cell r="T29">
            <v>40.835344578000004</v>
          </cell>
          <cell r="U29">
            <v>41.885970014000002</v>
          </cell>
          <cell r="V29">
            <v>41.249357799999999</v>
          </cell>
          <cell r="W29">
            <v>28.362388754000001</v>
          </cell>
          <cell r="X29">
            <v>31.293031826000004</v>
          </cell>
          <cell r="Y29">
            <v>35.871895528000003</v>
          </cell>
          <cell r="Z29">
            <v>33.680463082000003</v>
          </cell>
          <cell r="AA29">
            <v>29.899390037999996</v>
          </cell>
          <cell r="AB29">
            <v>23.220301383999999</v>
          </cell>
          <cell r="AC29">
            <v>15.511083251999999</v>
          </cell>
        </row>
        <row r="30">
          <cell r="F30">
            <v>27.732945156</v>
          </cell>
          <cell r="G30">
            <v>23.085912276000002</v>
          </cell>
          <cell r="H30">
            <v>20.089687267999999</v>
          </cell>
          <cell r="I30">
            <v>18.779847113999999</v>
          </cell>
          <cell r="J30">
            <v>18.824436161999998</v>
          </cell>
          <cell r="K30">
            <v>20.393882166000001</v>
          </cell>
          <cell r="L30">
            <v>22.184647968</v>
          </cell>
          <cell r="M30">
            <v>17.420144042</v>
          </cell>
          <cell r="N30">
            <v>22.163497985999999</v>
          </cell>
          <cell r="O30">
            <v>26.065988661999999</v>
          </cell>
          <cell r="P30">
            <v>31.584736148000001</v>
          </cell>
          <cell r="Q30">
            <v>36.926986921999998</v>
          </cell>
          <cell r="R30">
            <v>40.02944274</v>
          </cell>
          <cell r="S30">
            <v>40.558516095999998</v>
          </cell>
          <cell r="T30">
            <v>39.930877475999999</v>
          </cell>
          <cell r="U30">
            <v>41.093754589999996</v>
          </cell>
          <cell r="V30">
            <v>40.611036788</v>
          </cell>
          <cell r="W30">
            <v>29.612488303999999</v>
          </cell>
          <cell r="X30">
            <v>32.848839505999997</v>
          </cell>
          <cell r="Y30">
            <v>40.488343168</v>
          </cell>
          <cell r="Z30">
            <v>38.158530144000004</v>
          </cell>
          <cell r="AA30">
            <v>33.963322050000002</v>
          </cell>
          <cell r="AB30">
            <v>25.952682210000003</v>
          </cell>
          <cell r="AC30">
            <v>15.902628826000001</v>
          </cell>
        </row>
        <row r="31">
          <cell r="F31">
            <v>37.663950142000004</v>
          </cell>
          <cell r="G31">
            <v>32.840856565999999</v>
          </cell>
          <cell r="H31">
            <v>30.017351601999998</v>
          </cell>
          <cell r="I31">
            <v>29.726083296000002</v>
          </cell>
          <cell r="J31">
            <v>32.122988282000001</v>
          </cell>
          <cell r="K31">
            <v>42.911075689999997</v>
          </cell>
          <cell r="L31">
            <v>51.975530935999998</v>
          </cell>
          <cell r="M31">
            <v>48.760518869999999</v>
          </cell>
          <cell r="N31">
            <v>53.288599531999999</v>
          </cell>
          <cell r="O31">
            <v>55.548605111999997</v>
          </cell>
          <cell r="P31">
            <v>60.724406778000002</v>
          </cell>
          <cell r="Q31">
            <v>65.496515336000002</v>
          </cell>
          <cell r="R31">
            <v>66.636671528000008</v>
          </cell>
          <cell r="S31">
            <v>67.753516894000001</v>
          </cell>
          <cell r="T31">
            <v>71.108919700000001</v>
          </cell>
          <cell r="U31">
            <v>72.452012485999987</v>
          </cell>
          <cell r="V31">
            <v>70.245633667999996</v>
          </cell>
          <cell r="W31">
            <v>52.244738755999997</v>
          </cell>
          <cell r="X31">
            <v>54.111897125999995</v>
          </cell>
          <cell r="Y31">
            <v>57.453719315999997</v>
          </cell>
          <cell r="Z31">
            <v>52.421402179999994</v>
          </cell>
          <cell r="AA31">
            <v>45.139370724000003</v>
          </cell>
          <cell r="AB31">
            <v>32.866889285999996</v>
          </cell>
          <cell r="AC31">
            <v>26.046287792000001</v>
          </cell>
        </row>
        <row r="32">
          <cell r="F32">
            <v>35.916112679999998</v>
          </cell>
          <cell r="G32">
            <v>31.147710258</v>
          </cell>
          <cell r="H32">
            <v>28.207946115999999</v>
          </cell>
          <cell r="I32">
            <v>26.690280218000002</v>
          </cell>
          <cell r="J32">
            <v>28.346406844000001</v>
          </cell>
          <cell r="K32">
            <v>32.387088944000006</v>
          </cell>
          <cell r="L32">
            <v>39.455748276000001</v>
          </cell>
          <cell r="M32">
            <v>39.243341157999993</v>
          </cell>
          <cell r="N32">
            <v>45.671505809999999</v>
          </cell>
          <cell r="O32">
            <v>50.127457884000002</v>
          </cell>
          <cell r="P32">
            <v>55.516468168000003</v>
          </cell>
          <cell r="Q32">
            <v>59.657401888000003</v>
          </cell>
          <cell r="R32">
            <v>59.391749521999998</v>
          </cell>
          <cell r="S32">
            <v>57.498635375999996</v>
          </cell>
          <cell r="T32">
            <v>56.750480009999997</v>
          </cell>
          <cell r="U32">
            <v>57.714687715999993</v>
          </cell>
          <cell r="V32">
            <v>59.064112352000002</v>
          </cell>
          <cell r="W32">
            <v>45.733182837999998</v>
          </cell>
          <cell r="X32">
            <v>49.570761632</v>
          </cell>
          <cell r="Y32">
            <v>48.891435879999996</v>
          </cell>
          <cell r="Z32">
            <v>43.443239629999994</v>
          </cell>
          <cell r="AA32">
            <v>35.630644027999999</v>
          </cell>
          <cell r="AB32">
            <v>27.789479760000003</v>
          </cell>
          <cell r="AC32">
            <v>20.336097221999999</v>
          </cell>
        </row>
        <row r="33">
          <cell r="F33">
            <v>30.132491886</v>
          </cell>
          <cell r="G33">
            <v>25.550274707999996</v>
          </cell>
          <cell r="H33">
            <v>21.996705835999997</v>
          </cell>
          <cell r="I33">
            <v>20.094412911999999</v>
          </cell>
          <cell r="J33">
            <v>20.912186568000003</v>
          </cell>
          <cell r="K33">
            <v>21.745406731999999</v>
          </cell>
          <cell r="L33">
            <v>25.242463442000002</v>
          </cell>
          <cell r="M33">
            <v>22.212206744000003</v>
          </cell>
          <cell r="N33">
            <v>27.125401744000001</v>
          </cell>
          <cell r="O33">
            <v>31.560931598</v>
          </cell>
          <cell r="P33">
            <v>34.639204557999996</v>
          </cell>
          <cell r="Q33">
            <v>40.029824253999998</v>
          </cell>
          <cell r="R33">
            <v>43.622365262000002</v>
          </cell>
          <cell r="S33">
            <v>45.161626775999999</v>
          </cell>
          <cell r="T33">
            <v>45.250509920000006</v>
          </cell>
          <cell r="U33">
            <v>46.025396913999998</v>
          </cell>
          <cell r="V33">
            <v>46.468408406000002</v>
          </cell>
          <cell r="W33">
            <v>33.512132051999998</v>
          </cell>
          <cell r="X33">
            <v>38.372825596000006</v>
          </cell>
          <cell r="Y33">
            <v>42.577603600000003</v>
          </cell>
          <cell r="Z33">
            <v>38.517877859999999</v>
          </cell>
          <cell r="AA33">
            <v>31.089874018</v>
          </cell>
          <cell r="AB33">
            <v>20.875772819999998</v>
          </cell>
          <cell r="AC33">
            <v>12.81242634</v>
          </cell>
        </row>
        <row r="34">
          <cell r="F34">
            <v>42.831438649999996</v>
          </cell>
          <cell r="G34">
            <v>36.728580405999999</v>
          </cell>
          <cell r="H34">
            <v>32.397790571999998</v>
          </cell>
          <cell r="I34">
            <v>29.753125905999998</v>
          </cell>
          <cell r="J34">
            <v>27.876461746</v>
          </cell>
          <cell r="K34">
            <v>25.866549814000003</v>
          </cell>
          <cell r="L34">
            <v>28.362452873999999</v>
          </cell>
          <cell r="M34">
            <v>25.236247007999999</v>
          </cell>
          <cell r="N34">
            <v>29.054804603999997</v>
          </cell>
          <cell r="O34">
            <v>31.905804223999997</v>
          </cell>
          <cell r="P34">
            <v>33.364508575999999</v>
          </cell>
          <cell r="Q34">
            <v>38.153304364</v>
          </cell>
          <cell r="R34">
            <v>39.058938449999999</v>
          </cell>
          <cell r="S34">
            <v>42.915791715999994</v>
          </cell>
          <cell r="T34">
            <v>45.902873211999996</v>
          </cell>
          <cell r="U34">
            <v>47.808586937999998</v>
          </cell>
          <cell r="V34">
            <v>48.164020128000004</v>
          </cell>
          <cell r="W34">
            <v>35.790812582000001</v>
          </cell>
          <cell r="X34">
            <v>39.151732914</v>
          </cell>
          <cell r="Y34">
            <v>42.269228077999998</v>
          </cell>
          <cell r="Z34">
            <v>42.880480832000003</v>
          </cell>
          <cell r="AA34">
            <v>42.050130038000006</v>
          </cell>
          <cell r="AB34">
            <v>33.365249161999998</v>
          </cell>
          <cell r="AC34">
            <v>24.120472446000001</v>
          </cell>
        </row>
        <row r="35">
          <cell r="F35">
            <v>35.088724229999997</v>
          </cell>
          <cell r="G35">
            <v>30.172252698000001</v>
          </cell>
          <cell r="H35">
            <v>27.238442098</v>
          </cell>
          <cell r="I35">
            <v>26.927831994000002</v>
          </cell>
          <cell r="J35">
            <v>30.454287723999997</v>
          </cell>
          <cell r="K35">
            <v>43.620265332000002</v>
          </cell>
          <cell r="L35">
            <v>53.613085203999994</v>
          </cell>
          <cell r="M35">
            <v>49.126894138000004</v>
          </cell>
          <cell r="N35">
            <v>52.928171393999996</v>
          </cell>
          <cell r="O35">
            <v>54.897171560000004</v>
          </cell>
          <cell r="P35">
            <v>60.631314156000002</v>
          </cell>
          <cell r="Q35">
            <v>65.332320046000007</v>
          </cell>
          <cell r="R35">
            <v>65.617038493999999</v>
          </cell>
          <cell r="S35">
            <v>66.128607089999988</v>
          </cell>
          <cell r="T35">
            <v>69.510626107999997</v>
          </cell>
          <cell r="U35">
            <v>70.240189879999988</v>
          </cell>
          <cell r="V35">
            <v>68.118087184000004</v>
          </cell>
          <cell r="W35">
            <v>51.521000286000003</v>
          </cell>
          <cell r="X35">
            <v>55.528769589999996</v>
          </cell>
          <cell r="Y35">
            <v>58.412480027999997</v>
          </cell>
          <cell r="Z35">
            <v>52.954072668000002</v>
          </cell>
          <cell r="AA35">
            <v>43.768212614000007</v>
          </cell>
          <cell r="AB35">
            <v>31.473923964000001</v>
          </cell>
          <cell r="AC35">
            <v>24.852055998000001</v>
          </cell>
        </row>
        <row r="36">
          <cell r="F36">
            <v>35.089230778000008</v>
          </cell>
          <cell r="G36">
            <v>30.069086823999999</v>
          </cell>
          <cell r="H36">
            <v>27.106335662000003</v>
          </cell>
          <cell r="I36">
            <v>25.327470532</v>
          </cell>
          <cell r="J36">
            <v>27.339716431999999</v>
          </cell>
          <cell r="K36">
            <v>30.700518142</v>
          </cell>
          <cell r="L36">
            <v>38.204549067999999</v>
          </cell>
          <cell r="M36">
            <v>38.629058733999997</v>
          </cell>
          <cell r="N36">
            <v>45.495518852000004</v>
          </cell>
          <cell r="O36">
            <v>48.413402043999994</v>
          </cell>
          <cell r="P36">
            <v>51.504130314000001</v>
          </cell>
          <cell r="Q36">
            <v>53.440400426000004</v>
          </cell>
          <cell r="R36">
            <v>54.00020649799999</v>
          </cell>
          <cell r="S36">
            <v>54.936653450000001</v>
          </cell>
          <cell r="T36">
            <v>55.61845744</v>
          </cell>
          <cell r="U36">
            <v>56.071590274000002</v>
          </cell>
          <cell r="V36">
            <v>56.613099704</v>
          </cell>
          <cell r="W36">
            <v>44.117846149999998</v>
          </cell>
          <cell r="X36">
            <v>46.916767506000006</v>
          </cell>
          <cell r="Y36">
            <v>47.559499973999998</v>
          </cell>
          <cell r="Z36">
            <v>41.746800759999999</v>
          </cell>
          <cell r="AA36">
            <v>33.875577036000003</v>
          </cell>
          <cell r="AB36">
            <v>25.962274562000001</v>
          </cell>
          <cell r="AC36">
            <v>18.339121500000001</v>
          </cell>
        </row>
        <row r="37">
          <cell r="F37">
            <v>30.382338671999999</v>
          </cell>
          <cell r="G37">
            <v>26.150149367999997</v>
          </cell>
          <cell r="H37">
            <v>22.557868045999999</v>
          </cell>
          <cell r="I37">
            <v>21.173485185999997</v>
          </cell>
          <cell r="J37">
            <v>21.601120701999999</v>
          </cell>
          <cell r="K37">
            <v>23.962089634000002</v>
          </cell>
          <cell r="L37">
            <v>25.643088407999997</v>
          </cell>
          <cell r="M37">
            <v>22.962330594000004</v>
          </cell>
          <cell r="N37">
            <v>26.855257771999998</v>
          </cell>
          <cell r="O37">
            <v>30.847567743999999</v>
          </cell>
          <cell r="P37">
            <v>34.769634255999996</v>
          </cell>
          <cell r="Q37">
            <v>39.790368113999996</v>
          </cell>
          <cell r="R37">
            <v>43.749210652000002</v>
          </cell>
          <cell r="S37">
            <v>45.321869067999998</v>
          </cell>
          <cell r="T37">
            <v>44.710940120000004</v>
          </cell>
          <cell r="U37">
            <v>45.366759479999992</v>
          </cell>
          <cell r="V37">
            <v>45.478725824000001</v>
          </cell>
          <cell r="W37">
            <v>33.832408246</v>
          </cell>
          <cell r="X37">
            <v>41.158034889999996</v>
          </cell>
          <cell r="Y37">
            <v>42.630291004</v>
          </cell>
          <cell r="Z37">
            <v>37.914111116000001</v>
          </cell>
          <cell r="AA37">
            <v>31.109196579999999</v>
          </cell>
          <cell r="AB37">
            <v>21.116524183999999</v>
          </cell>
          <cell r="AC37">
            <v>13.322731772000001</v>
          </cell>
        </row>
        <row r="38">
          <cell r="F38">
            <v>27.244321901999999</v>
          </cell>
          <cell r="G38">
            <v>22.522034584</v>
          </cell>
          <cell r="H38">
            <v>18.433676058</v>
          </cell>
          <cell r="I38">
            <v>18.016710109999998</v>
          </cell>
          <cell r="J38">
            <v>17.837449826</v>
          </cell>
          <cell r="K38">
            <v>21.322147405999996</v>
          </cell>
          <cell r="L38">
            <v>24.853460226000003</v>
          </cell>
          <cell r="M38">
            <v>20.60363151</v>
          </cell>
          <cell r="N38">
            <v>26.165063679999999</v>
          </cell>
          <cell r="O38">
            <v>30.809685647999999</v>
          </cell>
          <cell r="P38">
            <v>35.968351243999997</v>
          </cell>
          <cell r="Q38">
            <v>42.459234874000003</v>
          </cell>
          <cell r="R38">
            <v>46.012265138000004</v>
          </cell>
          <cell r="S38">
            <v>50.061186657999997</v>
          </cell>
          <cell r="T38">
            <v>48.885408600000005</v>
          </cell>
          <cell r="U38">
            <v>46.220199886000003</v>
          </cell>
          <cell r="V38">
            <v>47.123618625999995</v>
          </cell>
          <cell r="W38">
            <v>33.058293898000002</v>
          </cell>
          <cell r="X38">
            <v>39.988758600000004</v>
          </cell>
          <cell r="Y38">
            <v>48.13211081</v>
          </cell>
          <cell r="Z38">
            <v>43.408483384000007</v>
          </cell>
          <cell r="AA38">
            <v>34.629817389999999</v>
          </cell>
          <cell r="AB38">
            <v>23.799795502000002</v>
          </cell>
          <cell r="AC38">
            <v>13.341339396</v>
          </cell>
        </row>
        <row r="39">
          <cell r="F39">
            <v>45.528864457999994</v>
          </cell>
          <cell r="G39">
            <v>41.140809051999994</v>
          </cell>
          <cell r="H39">
            <v>38.589913473999999</v>
          </cell>
          <cell r="I39">
            <v>38.177224329999994</v>
          </cell>
          <cell r="J39">
            <v>41.541562257999999</v>
          </cell>
          <cell r="K39">
            <v>55.118824782000004</v>
          </cell>
          <cell r="L39">
            <v>64.013204934000001</v>
          </cell>
          <cell r="M39">
            <v>57.927040331999997</v>
          </cell>
          <cell r="N39">
            <v>61.921126428000001</v>
          </cell>
          <cell r="O39">
            <v>63.959571759999996</v>
          </cell>
          <cell r="P39">
            <v>70.114639714000006</v>
          </cell>
          <cell r="Q39">
            <v>74.951592827999988</v>
          </cell>
          <cell r="R39">
            <v>74.975262725999997</v>
          </cell>
          <cell r="S39">
            <v>75.808152671999991</v>
          </cell>
          <cell r="T39">
            <v>78.424777661999997</v>
          </cell>
          <cell r="U39">
            <v>79.782723845999996</v>
          </cell>
          <cell r="V39">
            <v>78.050887529999997</v>
          </cell>
          <cell r="W39">
            <v>62.199647677999998</v>
          </cell>
          <cell r="X39">
            <v>67.806486426000006</v>
          </cell>
          <cell r="Y39">
            <v>67.483430630000001</v>
          </cell>
          <cell r="Z39">
            <v>61.829707337999999</v>
          </cell>
          <cell r="AA39">
            <v>53.315469017999995</v>
          </cell>
          <cell r="AB39">
            <v>40.411915334</v>
          </cell>
          <cell r="AC39">
            <v>33.668347607999998</v>
          </cell>
        </row>
        <row r="40">
          <cell r="F40">
            <v>41.601758114000006</v>
          </cell>
          <cell r="G40">
            <v>37.419335547999999</v>
          </cell>
          <cell r="H40">
            <v>34.569531765999997</v>
          </cell>
          <cell r="I40">
            <v>33.397392518000004</v>
          </cell>
          <cell r="J40">
            <v>35.662845092000005</v>
          </cell>
          <cell r="K40">
            <v>41.505622998</v>
          </cell>
          <cell r="L40">
            <v>47.772394403999996</v>
          </cell>
          <cell r="M40">
            <v>47.055737988000004</v>
          </cell>
          <cell r="N40">
            <v>52.714683853999993</v>
          </cell>
          <cell r="O40">
            <v>56.379850379999993</v>
          </cell>
          <cell r="P40">
            <v>61.88857591</v>
          </cell>
          <cell r="Q40">
            <v>65.848098120000003</v>
          </cell>
          <cell r="R40">
            <v>65.951744894000001</v>
          </cell>
          <cell r="S40">
            <v>67.014277413999991</v>
          </cell>
          <cell r="T40">
            <v>67.021753806000007</v>
          </cell>
          <cell r="U40">
            <v>67.704971642000004</v>
          </cell>
          <cell r="V40">
            <v>68.480403655999993</v>
          </cell>
          <cell r="W40">
            <v>55.655114843999996</v>
          </cell>
          <cell r="X40">
            <v>60.736211269999998</v>
          </cell>
          <cell r="Y40">
            <v>59.168220789999999</v>
          </cell>
          <cell r="Z40">
            <v>53.634379456000005</v>
          </cell>
          <cell r="AA40">
            <v>45.915235547999998</v>
          </cell>
          <cell r="AB40">
            <v>38.750181413999996</v>
          </cell>
          <cell r="AC40">
            <v>31.817276946000003</v>
          </cell>
        </row>
        <row r="41">
          <cell r="F41">
            <v>44.723542906000006</v>
          </cell>
          <cell r="G41">
            <v>38.784716445999997</v>
          </cell>
          <cell r="H41">
            <v>35.176828315999998</v>
          </cell>
          <cell r="I41">
            <v>32.810970234000003</v>
          </cell>
          <cell r="J41">
            <v>32.841808748000005</v>
          </cell>
          <cell r="K41">
            <v>33.743130764</v>
          </cell>
          <cell r="L41">
            <v>35.968812907999997</v>
          </cell>
          <cell r="M41">
            <v>32.295471081999999</v>
          </cell>
          <cell r="N41">
            <v>36.260119685999996</v>
          </cell>
          <cell r="O41">
            <v>39.127659059999999</v>
          </cell>
          <cell r="P41">
            <v>44.073160921999992</v>
          </cell>
          <cell r="Q41">
            <v>49.793479246000004</v>
          </cell>
          <cell r="R41">
            <v>52.339572236000002</v>
          </cell>
          <cell r="S41">
            <v>55.241168948000002</v>
          </cell>
          <cell r="T41">
            <v>56.460878823999998</v>
          </cell>
          <cell r="U41">
            <v>57.71090143</v>
          </cell>
          <cell r="V41">
            <v>58.524940096000002</v>
          </cell>
          <cell r="W41">
            <v>47.686393453999997</v>
          </cell>
          <cell r="X41">
            <v>55.268083317999995</v>
          </cell>
          <cell r="Y41">
            <v>54.469433452000004</v>
          </cell>
          <cell r="Z41">
            <v>49.700918820000005</v>
          </cell>
          <cell r="AA41">
            <v>42.194826435999992</v>
          </cell>
          <cell r="AB41">
            <v>32.510872603999999</v>
          </cell>
          <cell r="AC41">
            <v>24.134662202000001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42.722219847999995</v>
          </cell>
          <cell r="G43">
            <v>38.073484581999999</v>
          </cell>
          <cell r="H43">
            <v>36.098181420000003</v>
          </cell>
          <cell r="I43">
            <v>35.669529602000004</v>
          </cell>
          <cell r="J43">
            <v>38.753772134000002</v>
          </cell>
          <cell r="K43">
            <v>50.859483864000005</v>
          </cell>
          <cell r="L43">
            <v>59.619933365999998</v>
          </cell>
          <cell r="M43">
            <v>54.935149835999994</v>
          </cell>
          <cell r="N43">
            <v>58.588483015999998</v>
          </cell>
          <cell r="O43">
            <v>60.529270382</v>
          </cell>
          <cell r="P43">
            <v>66.223924675999996</v>
          </cell>
          <cell r="Q43">
            <v>71.209684280000005</v>
          </cell>
          <cell r="R43">
            <v>72.136740857999996</v>
          </cell>
          <cell r="S43">
            <v>72.506492043999998</v>
          </cell>
          <cell r="T43">
            <v>74.456528720000009</v>
          </cell>
          <cell r="U43">
            <v>75.698943487999998</v>
          </cell>
          <cell r="V43">
            <v>73.501855657999997</v>
          </cell>
          <cell r="W43">
            <v>58.730149743999995</v>
          </cell>
          <cell r="X43">
            <v>64.363768210000003</v>
          </cell>
          <cell r="Y43">
            <v>63.132308343999995</v>
          </cell>
          <cell r="Z43">
            <v>58.256854375999993</v>
          </cell>
          <cell r="AA43">
            <v>50.288508088</v>
          </cell>
          <cell r="AB43">
            <v>38.026109519999999</v>
          </cell>
          <cell r="AC43">
            <v>31.602766691999999</v>
          </cell>
        </row>
        <row r="44">
          <cell r="F44">
            <v>42.184355639999993</v>
          </cell>
          <cell r="G44">
            <v>36.795621071999996</v>
          </cell>
          <cell r="H44">
            <v>33.523407553999995</v>
          </cell>
          <cell r="I44">
            <v>32.106765922000001</v>
          </cell>
          <cell r="J44">
            <v>34.240108853999999</v>
          </cell>
          <cell r="K44">
            <v>39.263195915999994</v>
          </cell>
          <cell r="L44">
            <v>44.327053679999999</v>
          </cell>
          <cell r="M44">
            <v>42.867127842000002</v>
          </cell>
          <cell r="N44">
            <v>49.258038773999999</v>
          </cell>
          <cell r="O44">
            <v>54.268798765999989</v>
          </cell>
          <cell r="P44">
            <v>58.839346103999993</v>
          </cell>
          <cell r="Q44">
            <v>61.324925843999999</v>
          </cell>
          <cell r="R44">
            <v>61.654114717999995</v>
          </cell>
          <cell r="S44">
            <v>62.535485796000003</v>
          </cell>
          <cell r="T44">
            <v>65.149116382000003</v>
          </cell>
          <cell r="U44">
            <v>69.063818712</v>
          </cell>
          <cell r="V44">
            <v>69.252443721999995</v>
          </cell>
          <cell r="W44">
            <v>56.778843492</v>
          </cell>
          <cell r="X44">
            <v>59.976261029999996</v>
          </cell>
          <cell r="Y44">
            <v>57.394821889999996</v>
          </cell>
          <cell r="Z44">
            <v>52.469825604</v>
          </cell>
          <cell r="AA44">
            <v>45.156933192000004</v>
          </cell>
          <cell r="AB44">
            <v>36.762948726000005</v>
          </cell>
          <cell r="AC44">
            <v>28.902051528000001</v>
          </cell>
        </row>
        <row r="45">
          <cell r="F45">
            <v>40.757320155999992</v>
          </cell>
          <cell r="G45">
            <v>37.160165714000001</v>
          </cell>
          <cell r="H45">
            <v>33.953139794000002</v>
          </cell>
          <cell r="I45">
            <v>31.960790329999998</v>
          </cell>
          <cell r="J45">
            <v>31.881015432000002</v>
          </cell>
          <cell r="K45">
            <v>33.894251985999993</v>
          </cell>
          <cell r="L45">
            <v>34.893167847999997</v>
          </cell>
          <cell r="M45">
            <v>31.379795803999997</v>
          </cell>
          <cell r="N45">
            <v>34.896268049999996</v>
          </cell>
          <cell r="O45">
            <v>39.229321319999997</v>
          </cell>
          <cell r="P45">
            <v>44.137550226000002</v>
          </cell>
          <cell r="Q45">
            <v>49.085713067999997</v>
          </cell>
          <cell r="R45">
            <v>52.718373960000001</v>
          </cell>
          <cell r="S45">
            <v>55.091820644000002</v>
          </cell>
          <cell r="T45">
            <v>55.915426013999998</v>
          </cell>
          <cell r="U45">
            <v>56.524431361999994</v>
          </cell>
          <cell r="V45">
            <v>57.519961688000002</v>
          </cell>
          <cell r="W45">
            <v>45.261410320000003</v>
          </cell>
          <cell r="X45">
            <v>54.817278039999998</v>
          </cell>
          <cell r="Y45">
            <v>53.846177434000005</v>
          </cell>
          <cell r="Z45">
            <v>49.692034993999997</v>
          </cell>
          <cell r="AA45">
            <v>42.921774112000001</v>
          </cell>
          <cell r="AB45">
            <v>33.161443742000003</v>
          </cell>
          <cell r="AC45">
            <v>24.060411242000001</v>
          </cell>
        </row>
        <row r="46">
          <cell r="F46">
            <v>35.595531915999999</v>
          </cell>
          <cell r="G46">
            <v>31.502434921999996</v>
          </cell>
          <cell r="H46">
            <v>27.825031094000003</v>
          </cell>
          <cell r="I46">
            <v>27.199409048</v>
          </cell>
          <cell r="J46">
            <v>27.649717396</v>
          </cell>
          <cell r="K46">
            <v>31.263523801999998</v>
          </cell>
          <cell r="L46">
            <v>32.181869678000005</v>
          </cell>
          <cell r="M46">
            <v>27.663503196000001</v>
          </cell>
          <cell r="N46">
            <v>33.619475344000001</v>
          </cell>
          <cell r="O46">
            <v>39.644485496000001</v>
          </cell>
          <cell r="P46">
            <v>42.797689088000006</v>
          </cell>
          <cell r="Q46">
            <v>46.504581703999996</v>
          </cell>
          <cell r="R46">
            <v>52.541143073999997</v>
          </cell>
          <cell r="S46">
            <v>52.119925970000004</v>
          </cell>
          <cell r="T46">
            <v>51.460448563999996</v>
          </cell>
          <cell r="U46">
            <v>51.994786171999998</v>
          </cell>
          <cell r="V46">
            <v>54.043971603999999</v>
          </cell>
          <cell r="W46">
            <v>46.104838388000005</v>
          </cell>
          <cell r="X46">
            <v>53.171497175999995</v>
          </cell>
          <cell r="Y46">
            <v>50.974502319999999</v>
          </cell>
          <cell r="Z46">
            <v>44.529656850000002</v>
          </cell>
          <cell r="AA46">
            <v>36.404030614</v>
          </cell>
          <cell r="AB46">
            <v>26.107169731999999</v>
          </cell>
          <cell r="AC46">
            <v>18.273671009999997</v>
          </cell>
        </row>
        <row r="47">
          <cell r="F47">
            <v>44.906416352000001</v>
          </cell>
          <cell r="G47">
            <v>40.346480874000001</v>
          </cell>
          <cell r="H47">
            <v>37.646612094000005</v>
          </cell>
          <cell r="I47">
            <v>37.162948522000001</v>
          </cell>
          <cell r="J47">
            <v>40.272819817999995</v>
          </cell>
          <cell r="K47">
            <v>52.301632431999998</v>
          </cell>
          <cell r="L47">
            <v>62.212898075999995</v>
          </cell>
          <cell r="M47">
            <v>57.075154836000003</v>
          </cell>
          <cell r="N47">
            <v>60.922274685999994</v>
          </cell>
          <cell r="O47">
            <v>63.260282246000003</v>
          </cell>
          <cell r="P47">
            <v>69.654001633999997</v>
          </cell>
          <cell r="Q47">
            <v>73.687627328000005</v>
          </cell>
          <cell r="R47">
            <v>73.570194753999999</v>
          </cell>
          <cell r="S47">
            <v>74.874276931999987</v>
          </cell>
          <cell r="T47">
            <v>78.358932834000001</v>
          </cell>
          <cell r="U47">
            <v>79.755165070000004</v>
          </cell>
          <cell r="V47">
            <v>77.198017792000002</v>
          </cell>
          <cell r="W47">
            <v>62.148162524</v>
          </cell>
          <cell r="X47">
            <v>66.380492891999992</v>
          </cell>
          <cell r="Y47">
            <v>64.214131365999989</v>
          </cell>
          <cell r="Z47">
            <v>58.906050139999998</v>
          </cell>
          <cell r="AA47">
            <v>51.816571044</v>
          </cell>
          <cell r="AB47">
            <v>40.021052638</v>
          </cell>
          <cell r="AC47">
            <v>33.643299130000003</v>
          </cell>
        </row>
        <row r="48">
          <cell r="F48">
            <v>43.761585812</v>
          </cell>
          <cell r="G48">
            <v>38.228568419999995</v>
          </cell>
          <cell r="H48">
            <v>35.346890586000001</v>
          </cell>
          <cell r="I48">
            <v>34.452362084000001</v>
          </cell>
          <cell r="J48">
            <v>36.151243925999999</v>
          </cell>
          <cell r="K48">
            <v>40.847014418000001</v>
          </cell>
          <cell r="L48">
            <v>47.063082934000008</v>
          </cell>
          <cell r="M48">
            <v>45.855459678000003</v>
          </cell>
          <cell r="N48">
            <v>51.948372909999996</v>
          </cell>
          <cell r="O48">
            <v>57.326649506000003</v>
          </cell>
          <cell r="P48">
            <v>62.314114702000005</v>
          </cell>
          <cell r="Q48">
            <v>65.257831842000002</v>
          </cell>
          <cell r="R48">
            <v>65.030949634000009</v>
          </cell>
          <cell r="S48">
            <v>65.259870857999999</v>
          </cell>
          <cell r="T48">
            <v>66.179245859999995</v>
          </cell>
          <cell r="U48">
            <v>67.851293481999988</v>
          </cell>
          <cell r="V48">
            <v>69.109180405999993</v>
          </cell>
          <cell r="W48">
            <v>57.588637413999997</v>
          </cell>
          <cell r="X48">
            <v>63.988169279999994</v>
          </cell>
          <cell r="Y48">
            <v>60.894799265999993</v>
          </cell>
          <cell r="Z48">
            <v>56.26627783</v>
          </cell>
          <cell r="AA48">
            <v>49.089579504</v>
          </cell>
          <cell r="AB48">
            <v>41.435898910000006</v>
          </cell>
          <cell r="AC48">
            <v>33.534679850000003</v>
          </cell>
        </row>
        <row r="49">
          <cell r="F49">
            <v>46.313805467999998</v>
          </cell>
          <cell r="G49">
            <v>41.947865049999997</v>
          </cell>
          <cell r="H49">
            <v>37.995851291999998</v>
          </cell>
          <cell r="I49">
            <v>36.416675077999997</v>
          </cell>
          <cell r="J49">
            <v>36.332392544000001</v>
          </cell>
          <cell r="K49">
            <v>38.102235990000004</v>
          </cell>
          <cell r="L49">
            <v>39.037317186000003</v>
          </cell>
          <cell r="M49">
            <v>34.184321248000003</v>
          </cell>
          <cell r="N49">
            <v>38.711638882000003</v>
          </cell>
          <cell r="O49">
            <v>42.386769656000006</v>
          </cell>
          <cell r="P49">
            <v>46.207635572000001</v>
          </cell>
          <cell r="Q49">
            <v>51.526514606000006</v>
          </cell>
          <cell r="R49">
            <v>54.711531336</v>
          </cell>
          <cell r="S49">
            <v>57.36089599799999</v>
          </cell>
          <cell r="T49">
            <v>58.340332203999999</v>
          </cell>
          <cell r="U49">
            <v>59.204884606</v>
          </cell>
          <cell r="V49">
            <v>60.527439756</v>
          </cell>
          <cell r="W49">
            <v>52.861364765999994</v>
          </cell>
          <cell r="X49">
            <v>57.118503161999996</v>
          </cell>
          <cell r="Y49">
            <v>54.983852182</v>
          </cell>
          <cell r="Z49">
            <v>49.646663681999996</v>
          </cell>
          <cell r="AA49">
            <v>43.025055402000007</v>
          </cell>
          <cell r="AB49">
            <v>34.854497076000001</v>
          </cell>
          <cell r="AC49">
            <v>27.426207900000001</v>
          </cell>
        </row>
        <row r="50">
          <cell r="F50">
            <v>43.776618745999997</v>
          </cell>
          <cell r="G50">
            <v>38.032515107999998</v>
          </cell>
          <cell r="H50">
            <v>35.198885595999997</v>
          </cell>
          <cell r="I50">
            <v>33.449986947999996</v>
          </cell>
          <cell r="J50">
            <v>34.518319122000001</v>
          </cell>
          <cell r="K50">
            <v>36.582806792</v>
          </cell>
          <cell r="L50">
            <v>37.186307437999993</v>
          </cell>
          <cell r="M50">
            <v>33.282005372</v>
          </cell>
          <cell r="N50">
            <v>38.277693957999993</v>
          </cell>
          <cell r="O50">
            <v>43.055191802000003</v>
          </cell>
          <cell r="P50">
            <v>46.844154811999992</v>
          </cell>
          <cell r="Q50">
            <v>53.248521325999995</v>
          </cell>
          <cell r="R50">
            <v>58.770891591999998</v>
          </cell>
          <cell r="S50">
            <v>61.934873756000002</v>
          </cell>
          <cell r="T50">
            <v>61.913512177999998</v>
          </cell>
          <cell r="U50">
            <v>62.810182288000007</v>
          </cell>
          <cell r="V50">
            <v>62.085427515999996</v>
          </cell>
          <cell r="W50">
            <v>50.691489464</v>
          </cell>
          <cell r="X50">
            <v>58.868975956</v>
          </cell>
          <cell r="Y50">
            <v>57.153002927999999</v>
          </cell>
          <cell r="Z50">
            <v>53.014874458000001</v>
          </cell>
          <cell r="AA50">
            <v>44.625516250000004</v>
          </cell>
          <cell r="AB50">
            <v>36.266047579999999</v>
          </cell>
          <cell r="AC50">
            <v>27.861278129999999</v>
          </cell>
        </row>
        <row r="51">
          <cell r="F51">
            <v>51.439160724000004</v>
          </cell>
          <cell r="G51">
            <v>45.800268388000006</v>
          </cell>
          <cell r="H51">
            <v>42.405729940000001</v>
          </cell>
          <cell r="I51">
            <v>41.524163295999998</v>
          </cell>
          <cell r="J51">
            <v>43.080467906000003</v>
          </cell>
          <cell r="K51">
            <v>51.11545731599999</v>
          </cell>
          <cell r="L51">
            <v>59.720688328000001</v>
          </cell>
          <cell r="M51">
            <v>58.953409172000001</v>
          </cell>
          <cell r="N51">
            <v>64.421800015999992</v>
          </cell>
          <cell r="O51">
            <v>68.238472483999999</v>
          </cell>
          <cell r="P51">
            <v>72.916561885999997</v>
          </cell>
          <cell r="Q51">
            <v>77.043998345999995</v>
          </cell>
          <cell r="R51">
            <v>79.580986296000006</v>
          </cell>
          <cell r="S51">
            <v>80.551561117999995</v>
          </cell>
          <cell r="T51">
            <v>82.694239921999994</v>
          </cell>
          <cell r="U51">
            <v>84.490167384000003</v>
          </cell>
          <cell r="V51">
            <v>83.355628104000004</v>
          </cell>
          <cell r="W51">
            <v>69.476555945999991</v>
          </cell>
          <cell r="X51">
            <v>74.907625743999986</v>
          </cell>
          <cell r="Y51">
            <v>73.032183070000002</v>
          </cell>
          <cell r="Z51">
            <v>67.313586368000003</v>
          </cell>
          <cell r="AA51">
            <v>59.376187597999994</v>
          </cell>
          <cell r="AB51">
            <v>47.996493803999996</v>
          </cell>
          <cell r="AC51">
            <v>42.305285959999999</v>
          </cell>
        </row>
        <row r="52">
          <cell r="F52">
            <v>48.950031942000003</v>
          </cell>
          <cell r="G52">
            <v>42.636379197999993</v>
          </cell>
          <cell r="H52">
            <v>39.229891987999999</v>
          </cell>
          <cell r="I52">
            <v>38.343182919999997</v>
          </cell>
          <cell r="J52">
            <v>37.802936654</v>
          </cell>
          <cell r="K52">
            <v>45.865417514000001</v>
          </cell>
          <cell r="L52">
            <v>48.377469196</v>
          </cell>
          <cell r="M52">
            <v>48.435731834000009</v>
          </cell>
          <cell r="N52">
            <v>56.34892851</v>
          </cell>
          <cell r="O52">
            <v>61.569787299999994</v>
          </cell>
          <cell r="P52">
            <v>66.707822285999995</v>
          </cell>
          <cell r="Q52">
            <v>69.300867146000002</v>
          </cell>
          <cell r="R52">
            <v>71.783446070000011</v>
          </cell>
          <cell r="S52">
            <v>72.943652585999999</v>
          </cell>
          <cell r="T52">
            <v>74.554725293999994</v>
          </cell>
          <cell r="U52">
            <v>75.779955901999998</v>
          </cell>
          <cell r="V52">
            <v>77.045569286000003</v>
          </cell>
          <cell r="W52">
            <v>63.079242632000003</v>
          </cell>
          <cell r="X52">
            <v>70.951969970000007</v>
          </cell>
          <cell r="Y52">
            <v>69.845159383999999</v>
          </cell>
          <cell r="Z52">
            <v>64.584706494000002</v>
          </cell>
          <cell r="AA52">
            <v>57.012176171999997</v>
          </cell>
          <cell r="AB52">
            <v>48.848058700000003</v>
          </cell>
          <cell r="AC52">
            <v>39.787735988000001</v>
          </cell>
        </row>
        <row r="53">
          <cell r="F53">
            <v>51.957779314</v>
          </cell>
          <cell r="G53">
            <v>45.842517056000005</v>
          </cell>
          <cell r="H53">
            <v>41.657680371999994</v>
          </cell>
          <cell r="I53">
            <v>39.550928003999999</v>
          </cell>
          <cell r="J53">
            <v>39.514434106000003</v>
          </cell>
          <cell r="K53">
            <v>41.990357373999998</v>
          </cell>
          <cell r="L53">
            <v>43.739605475999994</v>
          </cell>
          <cell r="M53">
            <v>40.700663723999995</v>
          </cell>
          <cell r="N53">
            <v>47.019580720000008</v>
          </cell>
          <cell r="O53">
            <v>51.835758953999999</v>
          </cell>
          <cell r="P53">
            <v>56.845614853999997</v>
          </cell>
          <cell r="Q53">
            <v>60.615476515999994</v>
          </cell>
          <cell r="R53">
            <v>63.158546248</v>
          </cell>
          <cell r="S53">
            <v>65.650220594000004</v>
          </cell>
          <cell r="T53">
            <v>68.110668500000003</v>
          </cell>
          <cell r="U53">
            <v>70.184347771999995</v>
          </cell>
          <cell r="V53">
            <v>70.961184013999997</v>
          </cell>
          <cell r="W53">
            <v>55.281978121999998</v>
          </cell>
          <cell r="X53">
            <v>62.043143581999999</v>
          </cell>
          <cell r="Y53">
            <v>60.748535134000008</v>
          </cell>
          <cell r="Z53">
            <v>54.210052021999999</v>
          </cell>
          <cell r="AA53">
            <v>47.477516141999999</v>
          </cell>
          <cell r="AB53">
            <v>41.253612161999996</v>
          </cell>
          <cell r="AC53">
            <v>35.092343803999995</v>
          </cell>
        </row>
        <row r="54">
          <cell r="F54">
            <v>44.495224410000006</v>
          </cell>
          <cell r="G54">
            <v>41.012274099999999</v>
          </cell>
          <cell r="H54">
            <v>37.095362836</v>
          </cell>
          <cell r="I54">
            <v>34.668763878</v>
          </cell>
          <cell r="J54">
            <v>34.090555366000004</v>
          </cell>
          <cell r="K54">
            <v>34.908684887999996</v>
          </cell>
          <cell r="L54">
            <v>33.271249242000003</v>
          </cell>
          <cell r="M54">
            <v>25.775496207999996</v>
          </cell>
          <cell r="N54">
            <v>27.656414730000002</v>
          </cell>
          <cell r="O54">
            <v>33.372555635999994</v>
          </cell>
          <cell r="P54">
            <v>38.225506689999996</v>
          </cell>
          <cell r="Q54">
            <v>44.021537909999999</v>
          </cell>
          <cell r="R54">
            <v>51.563460549999995</v>
          </cell>
          <cell r="S54">
            <v>54.779280528000001</v>
          </cell>
          <cell r="T54">
            <v>56.188554771999996</v>
          </cell>
          <cell r="U54">
            <v>59.107354879999995</v>
          </cell>
          <cell r="V54">
            <v>59.921688497999995</v>
          </cell>
          <cell r="W54">
            <v>47.872129858000001</v>
          </cell>
          <cell r="X54">
            <v>54.709761624000002</v>
          </cell>
          <cell r="Y54">
            <v>55.590481883999999</v>
          </cell>
          <cell r="Z54">
            <v>50.109603670000006</v>
          </cell>
          <cell r="AA54">
            <v>42.541346945999997</v>
          </cell>
          <cell r="AB54">
            <v>34.069572096000002</v>
          </cell>
          <cell r="AC54">
            <v>25.954759698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74.040340626000003</v>
          </cell>
          <cell r="G7">
            <v>62.593147755000004</v>
          </cell>
          <cell r="H7">
            <v>55.846897188000007</v>
          </cell>
          <cell r="I7">
            <v>55.002528519000009</v>
          </cell>
          <cell r="J7">
            <v>67.163651877000007</v>
          </cell>
          <cell r="K7">
            <v>93.269858895000013</v>
          </cell>
          <cell r="L7">
            <v>122.33551542300002</v>
          </cell>
          <cell r="M7">
            <v>128.313990222</v>
          </cell>
          <cell r="N7">
            <v>146.49052353900001</v>
          </cell>
          <cell r="O7">
            <v>158.06140956600001</v>
          </cell>
          <cell r="P7">
            <v>174.19522642200002</v>
          </cell>
          <cell r="Q7">
            <v>188.264680911</v>
          </cell>
          <cell r="R7">
            <v>193.92021084000001</v>
          </cell>
          <cell r="S7">
            <v>190.64966583</v>
          </cell>
          <cell r="T7">
            <v>192.96217144200003</v>
          </cell>
          <cell r="U7">
            <v>192.71666359200003</v>
          </cell>
          <cell r="V7">
            <v>185.99507477400002</v>
          </cell>
          <cell r="W7">
            <v>161.52187342500002</v>
          </cell>
          <cell r="X7">
            <v>177.34874007900004</v>
          </cell>
          <cell r="Y7">
            <v>180.38632806000004</v>
          </cell>
          <cell r="Z7">
            <v>163.42103813700004</v>
          </cell>
          <cell r="AA7">
            <v>135.87402698700001</v>
          </cell>
          <cell r="AB7">
            <v>102.02051956500001</v>
          </cell>
          <cell r="AC7">
            <v>74.090195166000001</v>
          </cell>
        </row>
        <row r="8">
          <cell r="F8">
            <v>82.065019326000012</v>
          </cell>
          <cell r="G8">
            <v>68.304639207000008</v>
          </cell>
          <cell r="H8">
            <v>60.288155991000004</v>
          </cell>
          <cell r="I8">
            <v>57.095059890000002</v>
          </cell>
          <cell r="J8">
            <v>62.884606590000004</v>
          </cell>
          <cell r="K8">
            <v>76.217862495000006</v>
          </cell>
          <cell r="L8">
            <v>96.001035642000005</v>
          </cell>
          <cell r="M8">
            <v>103.61116076400002</v>
          </cell>
          <cell r="N8">
            <v>126.79301856300002</v>
          </cell>
          <cell r="O8">
            <v>143.696739318</v>
          </cell>
          <cell r="P8">
            <v>158.301297882</v>
          </cell>
          <cell r="Q8">
            <v>168.16278348900002</v>
          </cell>
          <cell r="R8">
            <v>170.56843941600002</v>
          </cell>
          <cell r="S8">
            <v>167.16748000199999</v>
          </cell>
          <cell r="T8">
            <v>160.69898817900003</v>
          </cell>
          <cell r="U8">
            <v>158.96493393600002</v>
          </cell>
          <cell r="V8">
            <v>158.92546245600002</v>
          </cell>
          <cell r="W8">
            <v>143.54197227900002</v>
          </cell>
          <cell r="X8">
            <v>161.64364056300002</v>
          </cell>
          <cell r="Y8">
            <v>162.68939700300001</v>
          </cell>
          <cell r="Z8">
            <v>146.96614694700003</v>
          </cell>
          <cell r="AA8">
            <v>124.79157674700001</v>
          </cell>
          <cell r="AB8">
            <v>101.05414994100001</v>
          </cell>
          <cell r="AC8">
            <v>76.753160757000018</v>
          </cell>
        </row>
        <row r="9">
          <cell r="F9">
            <v>80.79847623000002</v>
          </cell>
          <cell r="G9">
            <v>66.381664791000006</v>
          </cell>
          <cell r="H9">
            <v>57.035044218000003</v>
          </cell>
          <cell r="I9">
            <v>52.381321059000001</v>
          </cell>
          <cell r="J9">
            <v>53.407841097000002</v>
          </cell>
          <cell r="K9">
            <v>59.164633602000009</v>
          </cell>
          <cell r="L9">
            <v>67.157418078000006</v>
          </cell>
          <cell r="M9">
            <v>67.579972953000009</v>
          </cell>
          <cell r="N9">
            <v>84.848840565000003</v>
          </cell>
          <cell r="O9">
            <v>99.926391105000022</v>
          </cell>
          <cell r="P9">
            <v>113.55902391900001</v>
          </cell>
          <cell r="Q9">
            <v>129.60906295500001</v>
          </cell>
          <cell r="R9">
            <v>142.76650036500001</v>
          </cell>
          <cell r="S9">
            <v>145.51547098200004</v>
          </cell>
          <cell r="T9">
            <v>141.952940058</v>
          </cell>
          <cell r="U9">
            <v>137.62137709500004</v>
          </cell>
          <cell r="V9">
            <v>134.09102176800002</v>
          </cell>
          <cell r="W9">
            <v>117.69925720499999</v>
          </cell>
          <cell r="X9">
            <v>139.66897200900002</v>
          </cell>
          <cell r="Y9">
            <v>145.31387317200003</v>
          </cell>
          <cell r="Z9">
            <v>132.75210636600002</v>
          </cell>
          <cell r="AA9">
            <v>114.01886269800002</v>
          </cell>
          <cell r="AB9">
            <v>88.609652268000005</v>
          </cell>
          <cell r="AC9">
            <v>63.18816446400001</v>
          </cell>
        </row>
        <row r="10">
          <cell r="F10">
            <v>85.507994466000014</v>
          </cell>
          <cell r="G10">
            <v>75.10349067300001</v>
          </cell>
          <cell r="H10">
            <v>67.07488067700001</v>
          </cell>
          <cell r="I10">
            <v>59.592938789999998</v>
          </cell>
          <cell r="J10">
            <v>59.302125924000009</v>
          </cell>
          <cell r="K10">
            <v>61.732990494000006</v>
          </cell>
          <cell r="L10">
            <v>65.045519526000007</v>
          </cell>
          <cell r="M10">
            <v>58.823086410000009</v>
          </cell>
          <cell r="N10">
            <v>70.350082212000004</v>
          </cell>
          <cell r="O10">
            <v>83.406807903000015</v>
          </cell>
          <cell r="P10">
            <v>97.522205451000005</v>
          </cell>
          <cell r="Q10">
            <v>112.82537750700001</v>
          </cell>
          <cell r="R10">
            <v>124.90663848900002</v>
          </cell>
          <cell r="S10">
            <v>127.16930145000002</v>
          </cell>
          <cell r="T10">
            <v>124.41379584600001</v>
          </cell>
          <cell r="U10">
            <v>125.47242807300002</v>
          </cell>
          <cell r="V10">
            <v>124.80490827900003</v>
          </cell>
          <cell r="W10">
            <v>107.23744050600001</v>
          </cell>
          <cell r="X10">
            <v>129.71990410199999</v>
          </cell>
          <cell r="Y10">
            <v>133.81952456400003</v>
          </cell>
          <cell r="Z10">
            <v>120.988824615</v>
          </cell>
          <cell r="AA10">
            <v>103.06196426100001</v>
          </cell>
          <cell r="AB10">
            <v>79.544507733000003</v>
          </cell>
          <cell r="AC10">
            <v>56.203166925000005</v>
          </cell>
        </row>
        <row r="11">
          <cell r="F11">
            <v>72.519999084000005</v>
          </cell>
          <cell r="G11">
            <v>60.708685773000006</v>
          </cell>
          <cell r="H11">
            <v>55.035116267999996</v>
          </cell>
          <cell r="I11">
            <v>54.989185098</v>
          </cell>
          <cell r="J11">
            <v>71.75403440700002</v>
          </cell>
          <cell r="K11">
            <v>109.88686452600002</v>
          </cell>
          <cell r="L11">
            <v>139.37093063100002</v>
          </cell>
          <cell r="M11">
            <v>139.25909873399999</v>
          </cell>
          <cell r="N11">
            <v>155.04416366400002</v>
          </cell>
          <cell r="O11">
            <v>164.85424123500002</v>
          </cell>
          <cell r="P11">
            <v>181.34757748800001</v>
          </cell>
          <cell r="Q11">
            <v>194.83745115300002</v>
          </cell>
          <cell r="R11">
            <v>195.570943008</v>
          </cell>
          <cell r="S11">
            <v>192.10419779400004</v>
          </cell>
          <cell r="T11">
            <v>195.14667611700003</v>
          </cell>
          <cell r="U11">
            <v>195.78352625400004</v>
          </cell>
          <cell r="V11">
            <v>189.36089030400004</v>
          </cell>
          <cell r="W11">
            <v>161.59131311100001</v>
          </cell>
          <cell r="X11">
            <v>173.14471041900001</v>
          </cell>
          <cell r="Y11">
            <v>181.30677840300001</v>
          </cell>
          <cell r="Z11">
            <v>165.08312430000004</v>
          </cell>
          <cell r="AA11">
            <v>137.13416983800002</v>
          </cell>
          <cell r="AB11">
            <v>101.06220275700002</v>
          </cell>
          <cell r="AC11">
            <v>71.468333811000008</v>
          </cell>
        </row>
        <row r="12">
          <cell r="F12">
            <v>85.607247801</v>
          </cell>
          <cell r="G12">
            <v>71.824310286000014</v>
          </cell>
          <cell r="H12">
            <v>63.185711367000003</v>
          </cell>
          <cell r="I12">
            <v>61.129996266000006</v>
          </cell>
          <cell r="J12">
            <v>67.709479830000006</v>
          </cell>
          <cell r="K12">
            <v>79.55874282900001</v>
          </cell>
          <cell r="L12">
            <v>103.51421389500001</v>
          </cell>
          <cell r="M12">
            <v>114.315980697</v>
          </cell>
          <cell r="N12">
            <v>140.31795288900003</v>
          </cell>
          <cell r="O12">
            <v>156.47744602200001</v>
          </cell>
          <cell r="P12">
            <v>170.92971045900003</v>
          </cell>
          <cell r="Q12">
            <v>179.01273640799999</v>
          </cell>
          <cell r="R12">
            <v>179.00182626900002</v>
          </cell>
          <cell r="S12">
            <v>171.361459494</v>
          </cell>
          <cell r="T12">
            <v>163.19968873500002</v>
          </cell>
          <cell r="U12">
            <v>160.48011168900004</v>
          </cell>
          <cell r="V12">
            <v>157.71706449600001</v>
          </cell>
          <cell r="W12">
            <v>138.39095602800001</v>
          </cell>
          <cell r="X12">
            <v>155.169770949</v>
          </cell>
          <cell r="Y12">
            <v>160.96104948000001</v>
          </cell>
          <cell r="Z12">
            <v>147.09746491500002</v>
          </cell>
          <cell r="AA12">
            <v>125.07827205600002</v>
          </cell>
          <cell r="AB12">
            <v>99.383721663000017</v>
          </cell>
          <cell r="AC12">
            <v>74.602389138000007</v>
          </cell>
        </row>
        <row r="13">
          <cell r="F13">
            <v>80.738099925</v>
          </cell>
          <cell r="G13">
            <v>66.168399909000001</v>
          </cell>
          <cell r="H13">
            <v>56.805832224000014</v>
          </cell>
          <cell r="I13">
            <v>51.73813804800001</v>
          </cell>
          <cell r="J13">
            <v>52.662270018000001</v>
          </cell>
          <cell r="K13">
            <v>57.22135277400001</v>
          </cell>
          <cell r="L13">
            <v>66.821106009000005</v>
          </cell>
          <cell r="M13">
            <v>68.062963578000009</v>
          </cell>
          <cell r="N13">
            <v>86.382814827000004</v>
          </cell>
          <cell r="O13">
            <v>102.585952479</v>
          </cell>
          <cell r="P13">
            <v>116.31350706900001</v>
          </cell>
          <cell r="Q13">
            <v>132.09447822000001</v>
          </cell>
          <cell r="R13">
            <v>142.16755236000003</v>
          </cell>
          <cell r="S13">
            <v>144.40824444900002</v>
          </cell>
          <cell r="T13">
            <v>140.80938074100004</v>
          </cell>
          <cell r="U13">
            <v>137.02596012300003</v>
          </cell>
          <cell r="V13">
            <v>133.16805492000003</v>
          </cell>
          <cell r="W13">
            <v>114.12839605500001</v>
          </cell>
          <cell r="X13">
            <v>132.49306090800002</v>
          </cell>
          <cell r="Y13">
            <v>144.07000239900003</v>
          </cell>
          <cell r="Z13">
            <v>133.72036237800003</v>
          </cell>
          <cell r="AA13">
            <v>113.954103315</v>
          </cell>
          <cell r="AB13">
            <v>85.577085408000016</v>
          </cell>
          <cell r="AC13">
            <v>57.067267371000007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75.406386725999994</v>
          </cell>
          <cell r="G15">
            <v>64.055875202999999</v>
          </cell>
          <cell r="H15">
            <v>58.17910683600001</v>
          </cell>
          <cell r="I15">
            <v>58.331825003999995</v>
          </cell>
          <cell r="J15">
            <v>74.776408431000007</v>
          </cell>
          <cell r="K15">
            <v>111.52637347800001</v>
          </cell>
          <cell r="L15">
            <v>139.70870504700002</v>
          </cell>
          <cell r="M15">
            <v>142.130466606</v>
          </cell>
          <cell r="N15">
            <v>158.23768380600001</v>
          </cell>
          <cell r="O15">
            <v>168.45741272400002</v>
          </cell>
          <cell r="P15">
            <v>185.05087417200002</v>
          </cell>
          <cell r="Q15">
            <v>198.62564718600001</v>
          </cell>
          <cell r="R15">
            <v>200.425566489</v>
          </cell>
          <cell r="S15">
            <v>197.16574932000003</v>
          </cell>
          <cell r="T15">
            <v>200.07803516700002</v>
          </cell>
          <cell r="U15">
            <v>199.53174750600002</v>
          </cell>
          <cell r="V15">
            <v>193.29105684900003</v>
          </cell>
          <cell r="W15">
            <v>166.165562268</v>
          </cell>
          <cell r="X15">
            <v>177.267264762</v>
          </cell>
          <cell r="Y15">
            <v>184.855621125</v>
          </cell>
          <cell r="Z15">
            <v>168.110289591</v>
          </cell>
          <cell r="AA15">
            <v>139.490133708</v>
          </cell>
          <cell r="AB15">
            <v>103.88878080300002</v>
          </cell>
          <cell r="AC15">
            <v>73.919500830000004</v>
          </cell>
        </row>
        <row r="16">
          <cell r="F16">
            <v>81.26118025800001</v>
          </cell>
          <cell r="G16">
            <v>68.415040461000018</v>
          </cell>
          <cell r="H16">
            <v>60.57500189400001</v>
          </cell>
          <cell r="I16">
            <v>58.97303444100001</v>
          </cell>
          <cell r="J16">
            <v>67.441703883000002</v>
          </cell>
          <cell r="K16">
            <v>83.945391492000013</v>
          </cell>
          <cell r="L16">
            <v>107.80594474500002</v>
          </cell>
          <cell r="M16">
            <v>121.987231131</v>
          </cell>
          <cell r="N16">
            <v>145.31101188599999</v>
          </cell>
          <cell r="O16">
            <v>160.74691273800002</v>
          </cell>
          <cell r="P16">
            <v>175.19576503200003</v>
          </cell>
          <cell r="Q16">
            <v>186.37849106100001</v>
          </cell>
          <cell r="R16">
            <v>186.71217169800002</v>
          </cell>
          <cell r="S16">
            <v>181.04937362700002</v>
          </cell>
          <cell r="T16">
            <v>175.40112769200005</v>
          </cell>
          <cell r="U16">
            <v>171.51328995</v>
          </cell>
          <cell r="V16">
            <v>167.85452946000001</v>
          </cell>
          <cell r="W16">
            <v>148.89735251400003</v>
          </cell>
          <cell r="X16">
            <v>162.18049628400001</v>
          </cell>
          <cell r="Y16">
            <v>168.27560217300001</v>
          </cell>
          <cell r="Z16">
            <v>153.37235626200001</v>
          </cell>
          <cell r="AA16">
            <v>132.12024168299999</v>
          </cell>
          <cell r="AB16">
            <v>105.66673319700001</v>
          </cell>
          <cell r="AC16">
            <v>80.734259778000009</v>
          </cell>
        </row>
        <row r="17">
          <cell r="F17">
            <v>82.287898446</v>
          </cell>
          <cell r="G17">
            <v>67.993377261000006</v>
          </cell>
          <cell r="H17">
            <v>58.435552566000005</v>
          </cell>
          <cell r="I17">
            <v>53.874298086000003</v>
          </cell>
          <cell r="J17">
            <v>54.975362154000003</v>
          </cell>
          <cell r="K17">
            <v>60.677108589000007</v>
          </cell>
          <cell r="L17">
            <v>69.856510377000006</v>
          </cell>
          <cell r="M17">
            <v>75.930113028000008</v>
          </cell>
          <cell r="N17">
            <v>95.521457160000026</v>
          </cell>
          <cell r="O17">
            <v>110.17007239500002</v>
          </cell>
          <cell r="P17">
            <v>123.58961866200001</v>
          </cell>
          <cell r="Q17">
            <v>138.00025971000002</v>
          </cell>
          <cell r="R17">
            <v>147.429211608</v>
          </cell>
          <cell r="S17">
            <v>149.02149745200001</v>
          </cell>
          <cell r="T17">
            <v>145.63727775000001</v>
          </cell>
          <cell r="U17">
            <v>143.34641011799999</v>
          </cell>
          <cell r="V17">
            <v>139.83596094000001</v>
          </cell>
          <cell r="W17">
            <v>120.82210516800001</v>
          </cell>
          <cell r="X17">
            <v>138.62438465400001</v>
          </cell>
          <cell r="Y17">
            <v>150.00602157900002</v>
          </cell>
          <cell r="Z17">
            <v>139.81437447900001</v>
          </cell>
          <cell r="AA17">
            <v>119.99048547000002</v>
          </cell>
          <cell r="AB17">
            <v>93.133876476000012</v>
          </cell>
          <cell r="AC17">
            <v>64.858929597000014</v>
          </cell>
        </row>
        <row r="18">
          <cell r="F18">
            <v>91.445313510000005</v>
          </cell>
          <cell r="G18">
            <v>77.279898939000006</v>
          </cell>
          <cell r="H18">
            <v>68.316413280000006</v>
          </cell>
          <cell r="I18">
            <v>64.371972009000004</v>
          </cell>
          <cell r="J18">
            <v>67.276446783000011</v>
          </cell>
          <cell r="K18">
            <v>72.963732231000009</v>
          </cell>
          <cell r="L18">
            <v>81.256531659000004</v>
          </cell>
          <cell r="M18">
            <v>87.565548399000008</v>
          </cell>
          <cell r="N18">
            <v>106.25925717900002</v>
          </cell>
          <cell r="O18">
            <v>123.18033983700001</v>
          </cell>
          <cell r="P18">
            <v>139.30052793600001</v>
          </cell>
          <cell r="Q18">
            <v>158.18087023800004</v>
          </cell>
          <cell r="R18">
            <v>167.402632533</v>
          </cell>
          <cell r="S18">
            <v>164.89983555000001</v>
          </cell>
          <cell r="T18">
            <v>159.09795599400002</v>
          </cell>
          <cell r="U18">
            <v>155.62963746900002</v>
          </cell>
          <cell r="V18">
            <v>154.12958648700001</v>
          </cell>
          <cell r="W18">
            <v>135.85890021599999</v>
          </cell>
          <cell r="X18">
            <v>156.45193619100002</v>
          </cell>
          <cell r="Y18">
            <v>173.14396537500002</v>
          </cell>
          <cell r="Z18">
            <v>158.96332495800002</v>
          </cell>
          <cell r="AA18">
            <v>135.70997067600004</v>
          </cell>
          <cell r="AB18">
            <v>105.978958152</v>
          </cell>
          <cell r="AC18">
            <v>76.160902296000017</v>
          </cell>
        </row>
        <row r="19">
          <cell r="F19">
            <v>76.681834683000005</v>
          </cell>
          <cell r="G19">
            <v>64.783212519000003</v>
          </cell>
          <cell r="H19">
            <v>58.864198572000006</v>
          </cell>
          <cell r="I19">
            <v>59.070845244000012</v>
          </cell>
          <cell r="J19">
            <v>74.597974356000009</v>
          </cell>
          <cell r="K19">
            <v>107.22916179900001</v>
          </cell>
          <cell r="L19">
            <v>135.644165061</v>
          </cell>
          <cell r="M19">
            <v>140.840506143</v>
          </cell>
          <cell r="N19">
            <v>157.49115764400003</v>
          </cell>
          <cell r="O19">
            <v>168.67435923299999</v>
          </cell>
          <cell r="P19">
            <v>185.48806836900002</v>
          </cell>
          <cell r="Q19">
            <v>199.98379899</v>
          </cell>
          <cell r="R19">
            <v>202.98590226900001</v>
          </cell>
          <cell r="S19">
            <v>199.57579625100001</v>
          </cell>
          <cell r="T19">
            <v>202.34730048600002</v>
          </cell>
          <cell r="U19">
            <v>202.42175336700004</v>
          </cell>
          <cell r="V19">
            <v>195.49538048700001</v>
          </cell>
          <cell r="W19">
            <v>169.38313385700005</v>
          </cell>
          <cell r="X19">
            <v>182.75517564300003</v>
          </cell>
          <cell r="Y19">
            <v>187.61342923200002</v>
          </cell>
          <cell r="Z19">
            <v>170.82036732600002</v>
          </cell>
          <cell r="AA19">
            <v>143.08779662700002</v>
          </cell>
          <cell r="AB19">
            <v>108.75515457900002</v>
          </cell>
          <cell r="AC19">
            <v>77.143928408999997</v>
          </cell>
        </row>
        <row r="20">
          <cell r="F20">
            <v>80.677985178</v>
          </cell>
          <cell r="G20">
            <v>66.646932159000002</v>
          </cell>
          <cell r="H20">
            <v>58.728858159000005</v>
          </cell>
          <cell r="I20">
            <v>56.95326771300001</v>
          </cell>
          <cell r="J20">
            <v>63.83116517700001</v>
          </cell>
          <cell r="K20">
            <v>76.791387855000011</v>
          </cell>
          <cell r="L20">
            <v>97.748845458000005</v>
          </cell>
          <cell r="M20">
            <v>110.06609516400003</v>
          </cell>
          <cell r="N20">
            <v>133.17111831900004</v>
          </cell>
          <cell r="O20">
            <v>148.89671050800001</v>
          </cell>
          <cell r="P20">
            <v>162.32814577500002</v>
          </cell>
          <cell r="Q20">
            <v>172.79231649600001</v>
          </cell>
          <cell r="R20">
            <v>175.43269695000001</v>
          </cell>
          <cell r="S20">
            <v>172.10531855700003</v>
          </cell>
          <cell r="T20">
            <v>167.78932622100004</v>
          </cell>
          <cell r="U20">
            <v>167.02590579000002</v>
          </cell>
          <cell r="V20">
            <v>165.77301522900001</v>
          </cell>
          <cell r="W20">
            <v>147.40917071700002</v>
          </cell>
          <cell r="X20">
            <v>162.73602962400003</v>
          </cell>
          <cell r="Y20">
            <v>167.21988671400001</v>
          </cell>
          <cell r="Z20">
            <v>151.38623144100001</v>
          </cell>
          <cell r="AA20">
            <v>129.942898149</v>
          </cell>
          <cell r="AB20">
            <v>105.82301013900002</v>
          </cell>
          <cell r="AC20">
            <v>80.638727700000004</v>
          </cell>
        </row>
        <row r="21">
          <cell r="F21">
            <v>85.097415777000023</v>
          </cell>
          <cell r="G21">
            <v>70.31068602900001</v>
          </cell>
          <cell r="H21">
            <v>60.793014450000008</v>
          </cell>
          <cell r="I21">
            <v>56.560895046000013</v>
          </cell>
          <cell r="J21">
            <v>57.837714201000004</v>
          </cell>
          <cell r="K21">
            <v>61.234100313000013</v>
          </cell>
          <cell r="L21">
            <v>72.062320139999997</v>
          </cell>
          <cell r="M21">
            <v>78.513798804000004</v>
          </cell>
          <cell r="N21">
            <v>98.325985074000016</v>
          </cell>
          <cell r="O21">
            <v>114.65206687500002</v>
          </cell>
          <cell r="P21">
            <v>126.69284581200002</v>
          </cell>
          <cell r="Q21">
            <v>138.541966143</v>
          </cell>
          <cell r="R21">
            <v>147.47752454100001</v>
          </cell>
          <cell r="S21">
            <v>149.88624386700002</v>
          </cell>
          <cell r="T21">
            <v>148.645309677</v>
          </cell>
          <cell r="U21">
            <v>146.49160543800002</v>
          </cell>
          <cell r="V21">
            <v>143.42852347800002</v>
          </cell>
          <cell r="W21">
            <v>126.43564711200001</v>
          </cell>
          <cell r="X21">
            <v>144.42133820100003</v>
          </cell>
          <cell r="Y21">
            <v>153.06203751000001</v>
          </cell>
          <cell r="Z21">
            <v>141.49752795000001</v>
          </cell>
          <cell r="AA21">
            <v>120.63946635000002</v>
          </cell>
          <cell r="AB21">
            <v>92.425300002000014</v>
          </cell>
          <cell r="AC21">
            <v>63.757421673000003</v>
          </cell>
        </row>
        <row r="22">
          <cell r="F22">
            <v>93.447520185000016</v>
          </cell>
          <cell r="G22">
            <v>77.940194184000006</v>
          </cell>
          <cell r="H22">
            <v>68.100552633000021</v>
          </cell>
          <cell r="I22">
            <v>63.576356166000011</v>
          </cell>
          <cell r="J22">
            <v>65.461495821000014</v>
          </cell>
          <cell r="K22">
            <v>69.306727350000003</v>
          </cell>
          <cell r="L22">
            <v>77.683803936000018</v>
          </cell>
          <cell r="M22">
            <v>80.974445319000012</v>
          </cell>
          <cell r="N22">
            <v>98.147677815000009</v>
          </cell>
          <cell r="O22">
            <v>107.744819433</v>
          </cell>
          <cell r="P22">
            <v>113.19785591400003</v>
          </cell>
          <cell r="Q22">
            <v>127.90674441600001</v>
          </cell>
          <cell r="R22">
            <v>141.32631842399999</v>
          </cell>
          <cell r="S22">
            <v>140.24883816900004</v>
          </cell>
          <cell r="T22">
            <v>136.07870404800002</v>
          </cell>
          <cell r="U22">
            <v>133.76239791900002</v>
          </cell>
          <cell r="V22">
            <v>135.03674019899998</v>
          </cell>
          <cell r="W22">
            <v>119.62797797100001</v>
          </cell>
          <cell r="X22">
            <v>139.587314394</v>
          </cell>
          <cell r="Y22">
            <v>146.01656459100002</v>
          </cell>
          <cell r="Z22">
            <v>132.03362635500002</v>
          </cell>
          <cell r="AA22">
            <v>118.60302728100001</v>
          </cell>
          <cell r="AB22">
            <v>102.90973354200001</v>
          </cell>
          <cell r="AC22">
            <v>79.103065200000017</v>
          </cell>
        </row>
        <row r="23">
          <cell r="F23">
            <v>75.56071783500002</v>
          </cell>
          <cell r="G23">
            <v>63.544945428000005</v>
          </cell>
          <cell r="H23">
            <v>57.552302904000001</v>
          </cell>
          <cell r="I23">
            <v>58.028940840000004</v>
          </cell>
          <cell r="J23">
            <v>74.392441287000011</v>
          </cell>
          <cell r="K23">
            <v>108.919432818</v>
          </cell>
          <cell r="L23">
            <v>138.97554212100002</v>
          </cell>
          <cell r="M23">
            <v>143.820190731</v>
          </cell>
          <cell r="N23">
            <v>159.03645816</v>
          </cell>
          <cell r="O23">
            <v>170.06630750100004</v>
          </cell>
          <cell r="P23">
            <v>187.30209198900005</v>
          </cell>
          <cell r="Q23">
            <v>201.19455493500001</v>
          </cell>
          <cell r="R23">
            <v>201.347661477</v>
          </cell>
          <cell r="S23">
            <v>196.94117007300002</v>
          </cell>
          <cell r="T23">
            <v>199.38136354500003</v>
          </cell>
          <cell r="U23">
            <v>200.37366307800002</v>
          </cell>
          <cell r="V23">
            <v>193.82390994000002</v>
          </cell>
          <cell r="W23">
            <v>167.01091376100001</v>
          </cell>
          <cell r="X23">
            <v>180.44037941700003</v>
          </cell>
          <cell r="Y23">
            <v>187.30500479400001</v>
          </cell>
          <cell r="Z23">
            <v>170.28102680400002</v>
          </cell>
          <cell r="AA23">
            <v>142.422076035</v>
          </cell>
          <cell r="AB23">
            <v>107.38056821400002</v>
          </cell>
          <cell r="AC23">
            <v>76.031066490000001</v>
          </cell>
        </row>
        <row r="24">
          <cell r="F24">
            <v>83.446715313000013</v>
          </cell>
          <cell r="G24">
            <v>69.415602849000024</v>
          </cell>
          <cell r="H24">
            <v>61.95811663500001</v>
          </cell>
          <cell r="I24">
            <v>59.579956002000003</v>
          </cell>
          <cell r="J24">
            <v>66.301992639000005</v>
          </cell>
          <cell r="K24">
            <v>77.858045157000021</v>
          </cell>
          <cell r="L24">
            <v>100.61078535300001</v>
          </cell>
          <cell r="M24">
            <v>114.60025461300002</v>
          </cell>
          <cell r="N24">
            <v>139.27150688700002</v>
          </cell>
          <cell r="O24">
            <v>155.89488898500002</v>
          </cell>
          <cell r="P24">
            <v>170.46105796800001</v>
          </cell>
          <cell r="Q24">
            <v>179.72549781000004</v>
          </cell>
          <cell r="R24">
            <v>178.95076697700003</v>
          </cell>
          <cell r="S24">
            <v>172.55991825000001</v>
          </cell>
          <cell r="T24">
            <v>165.60958507200002</v>
          </cell>
          <cell r="U24">
            <v>163.11862557000003</v>
          </cell>
          <cell r="V24">
            <v>160.65162636600002</v>
          </cell>
          <cell r="W24">
            <v>143.41214043600002</v>
          </cell>
          <cell r="X24">
            <v>157.45402829700001</v>
          </cell>
          <cell r="Y24">
            <v>163.38057590700001</v>
          </cell>
          <cell r="Z24">
            <v>149.76013724400002</v>
          </cell>
          <cell r="AA24">
            <v>128.14060897200002</v>
          </cell>
          <cell r="AB24">
            <v>103.98661934700002</v>
          </cell>
          <cell r="AC24">
            <v>78.772606482000015</v>
          </cell>
        </row>
        <row r="25">
          <cell r="F25">
            <v>80.525833719000019</v>
          </cell>
          <cell r="G25">
            <v>66.62466009900001</v>
          </cell>
          <cell r="H25">
            <v>56.82033284100001</v>
          </cell>
          <cell r="I25">
            <v>51.958096437000002</v>
          </cell>
          <cell r="J25">
            <v>51.232162023000008</v>
          </cell>
          <cell r="K25">
            <v>53.057032374000009</v>
          </cell>
          <cell r="L25">
            <v>62.306448483000004</v>
          </cell>
          <cell r="M25">
            <v>68.159458665000002</v>
          </cell>
          <cell r="N25">
            <v>88.239290103000002</v>
          </cell>
          <cell r="O25">
            <v>105.85740897900001</v>
          </cell>
          <cell r="P25">
            <v>119.83159294800002</v>
          </cell>
          <cell r="Q25">
            <v>134.520052185</v>
          </cell>
          <cell r="R25">
            <v>141.91900488900004</v>
          </cell>
          <cell r="S25">
            <v>142.37621619900003</v>
          </cell>
          <cell r="T25">
            <v>136.272673083</v>
          </cell>
          <cell r="U25">
            <v>135.233023626</v>
          </cell>
          <cell r="V25">
            <v>132.46954446600003</v>
          </cell>
          <cell r="W25">
            <v>116.00772198900003</v>
          </cell>
          <cell r="X25">
            <v>134.25472933500001</v>
          </cell>
          <cell r="Y25">
            <v>145.14000447300003</v>
          </cell>
          <cell r="Z25">
            <v>135.25048856700002</v>
          </cell>
          <cell r="AA25">
            <v>116.20954965300001</v>
          </cell>
          <cell r="AB25">
            <v>88.674958544999996</v>
          </cell>
          <cell r="AC25">
            <v>59.434450494000011</v>
          </cell>
        </row>
        <row r="26">
          <cell r="F26">
            <v>74.259799677000018</v>
          </cell>
          <cell r="G26">
            <v>60.772581222000007</v>
          </cell>
          <cell r="H26">
            <v>53.048967669000007</v>
          </cell>
          <cell r="I26">
            <v>50.57340442200001</v>
          </cell>
          <cell r="J26">
            <v>57.573065061000008</v>
          </cell>
          <cell r="K26">
            <v>68.620062303000012</v>
          </cell>
          <cell r="L26">
            <v>80.716350981000005</v>
          </cell>
          <cell r="M26">
            <v>87.879366480000016</v>
          </cell>
          <cell r="N26">
            <v>107.35549431300002</v>
          </cell>
          <cell r="O26">
            <v>122.560918974</v>
          </cell>
          <cell r="P26">
            <v>140.97747138599999</v>
          </cell>
          <cell r="Q26">
            <v>155.87344519200002</v>
          </cell>
          <cell r="R26">
            <v>168.49438751400004</v>
          </cell>
          <cell r="S26">
            <v>164.213118984</v>
          </cell>
          <cell r="T26">
            <v>156.71308203900003</v>
          </cell>
          <cell r="U26">
            <v>148.321215537</v>
          </cell>
          <cell r="V26">
            <v>146.735694534</v>
          </cell>
          <cell r="W26">
            <v>135.21824956200001</v>
          </cell>
          <cell r="X26">
            <v>151.56471307200002</v>
          </cell>
          <cell r="Y26">
            <v>156.79179910800002</v>
          </cell>
          <cell r="Z26">
            <v>141.36257987400001</v>
          </cell>
          <cell r="AA26">
            <v>118.75721572200001</v>
          </cell>
          <cell r="AB26">
            <v>89.890917909000009</v>
          </cell>
          <cell r="AC26">
            <v>60.559787937000003</v>
          </cell>
        </row>
        <row r="27">
          <cell r="F27">
            <v>68.905992753000007</v>
          </cell>
          <cell r="G27">
            <v>56.855211204</v>
          </cell>
          <cell r="H27">
            <v>50.683021002000004</v>
          </cell>
          <cell r="I27">
            <v>50.619252369000009</v>
          </cell>
          <cell r="J27">
            <v>63.597879219000006</v>
          </cell>
          <cell r="K27">
            <v>89.115842295000007</v>
          </cell>
          <cell r="L27">
            <v>118.187930772</v>
          </cell>
          <cell r="M27">
            <v>128.123064771</v>
          </cell>
          <cell r="N27">
            <v>145.70838982200002</v>
          </cell>
          <cell r="O27">
            <v>157.43894115600003</v>
          </cell>
          <cell r="P27">
            <v>173.14398519</v>
          </cell>
          <cell r="Q27">
            <v>187.61148736200002</v>
          </cell>
          <cell r="R27">
            <v>191.05299222900001</v>
          </cell>
          <cell r="S27">
            <v>187.759731303</v>
          </cell>
          <cell r="T27">
            <v>190.258299765</v>
          </cell>
          <cell r="U27">
            <v>190.83866922600004</v>
          </cell>
          <cell r="V27">
            <v>184.55056127400002</v>
          </cell>
          <cell r="W27">
            <v>156.87392039400001</v>
          </cell>
          <cell r="X27">
            <v>164.75724681</v>
          </cell>
          <cell r="Y27">
            <v>172.16728402500004</v>
          </cell>
          <cell r="Z27">
            <v>155.38193808</v>
          </cell>
          <cell r="AA27">
            <v>129.53688087300003</v>
          </cell>
          <cell r="AB27">
            <v>95.531004027000023</v>
          </cell>
          <cell r="AC27">
            <v>67.079870094000015</v>
          </cell>
        </row>
        <row r="28">
          <cell r="F28">
            <v>75.005719500000012</v>
          </cell>
          <cell r="G28">
            <v>61.299176736000007</v>
          </cell>
          <cell r="H28">
            <v>52.786284177000006</v>
          </cell>
          <cell r="I28">
            <v>50.56113893700001</v>
          </cell>
          <cell r="J28">
            <v>57.05652764100001</v>
          </cell>
          <cell r="K28">
            <v>68.806422378000008</v>
          </cell>
          <cell r="L28">
            <v>91.862732337000011</v>
          </cell>
          <cell r="M28">
            <v>105.93290412900002</v>
          </cell>
          <cell r="N28">
            <v>128.29452396600001</v>
          </cell>
          <cell r="O28">
            <v>143.47710985800001</v>
          </cell>
          <cell r="P28">
            <v>158.41339133700001</v>
          </cell>
          <cell r="Q28">
            <v>168.46220795400001</v>
          </cell>
          <cell r="R28">
            <v>169.60549778699999</v>
          </cell>
          <cell r="S28">
            <v>163.50920696100002</v>
          </cell>
          <cell r="T28">
            <v>159.00280436400004</v>
          </cell>
          <cell r="U28">
            <v>157.91859493500004</v>
          </cell>
          <cell r="V28">
            <v>154.08437262000004</v>
          </cell>
          <cell r="W28">
            <v>135.12240044400002</v>
          </cell>
          <cell r="X28">
            <v>145.29669356700003</v>
          </cell>
          <cell r="Y28">
            <v>154.263924261</v>
          </cell>
          <cell r="Z28">
            <v>139.836630687</v>
          </cell>
          <cell r="AA28">
            <v>119.59542588900003</v>
          </cell>
          <cell r="AB28">
            <v>96.119319303000012</v>
          </cell>
          <cell r="AC28">
            <v>72.074450883000011</v>
          </cell>
        </row>
        <row r="29">
          <cell r="F29">
            <v>78.440495193000004</v>
          </cell>
          <cell r="G29">
            <v>64.806657627000007</v>
          </cell>
          <cell r="H29">
            <v>55.305682167000008</v>
          </cell>
          <cell r="I29">
            <v>51.321908121000007</v>
          </cell>
          <cell r="J29">
            <v>52.224818226000004</v>
          </cell>
          <cell r="K29">
            <v>54.902668845000001</v>
          </cell>
          <cell r="L29">
            <v>63.367351509000009</v>
          </cell>
          <cell r="M29">
            <v>67.690128501000004</v>
          </cell>
          <cell r="N29">
            <v>84.840692637000004</v>
          </cell>
          <cell r="O29">
            <v>99.818197242000011</v>
          </cell>
          <cell r="P29">
            <v>110.79316299599999</v>
          </cell>
          <cell r="Q29">
            <v>124.91827782000001</v>
          </cell>
          <cell r="R29">
            <v>133.65783812699999</v>
          </cell>
          <cell r="S29">
            <v>135.154140111</v>
          </cell>
          <cell r="T29">
            <v>132.415988484</v>
          </cell>
          <cell r="U29">
            <v>130.93747244400001</v>
          </cell>
          <cell r="V29">
            <v>127.42440768600001</v>
          </cell>
          <cell r="W29">
            <v>108.44411456099999</v>
          </cell>
          <cell r="X29">
            <v>121.281634833</v>
          </cell>
          <cell r="Y29">
            <v>133.57330733700002</v>
          </cell>
          <cell r="Z29">
            <v>124.43424096300002</v>
          </cell>
          <cell r="AA29">
            <v>109.09183124400002</v>
          </cell>
          <cell r="AB29">
            <v>86.027064242999998</v>
          </cell>
          <cell r="AC29">
            <v>61.313225571000011</v>
          </cell>
        </row>
        <row r="30">
          <cell r="F30">
            <v>70.180790778000016</v>
          </cell>
          <cell r="G30">
            <v>57.070231695000004</v>
          </cell>
          <cell r="H30">
            <v>48.875369886000009</v>
          </cell>
          <cell r="I30">
            <v>45.614641227</v>
          </cell>
          <cell r="J30">
            <v>47.852658291000004</v>
          </cell>
          <cell r="K30">
            <v>52.80123261300001</v>
          </cell>
          <cell r="L30">
            <v>61.306797585000005</v>
          </cell>
          <cell r="M30">
            <v>65.070835170000009</v>
          </cell>
          <cell r="N30">
            <v>82.913763147000012</v>
          </cell>
          <cell r="O30">
            <v>98.661361875000011</v>
          </cell>
          <cell r="P30">
            <v>115.569366633</v>
          </cell>
          <cell r="Q30">
            <v>132.72731780100003</v>
          </cell>
          <cell r="R30">
            <v>142.20029862900003</v>
          </cell>
          <cell r="S30">
            <v>140.33479563900002</v>
          </cell>
          <cell r="T30">
            <v>134.06991482999999</v>
          </cell>
          <cell r="U30">
            <v>131.71063392900004</v>
          </cell>
          <cell r="V30">
            <v>129.048246936</v>
          </cell>
          <cell r="W30">
            <v>112.22895789600001</v>
          </cell>
          <cell r="X30">
            <v>127.57158954300002</v>
          </cell>
          <cell r="Y30">
            <v>145.61474016900002</v>
          </cell>
          <cell r="Z30">
            <v>134.53053432000004</v>
          </cell>
          <cell r="AA30">
            <v>115.33685742300003</v>
          </cell>
          <cell r="AB30">
            <v>87.355453917000006</v>
          </cell>
          <cell r="AC30">
            <v>58.632592926000008</v>
          </cell>
        </row>
        <row r="31">
          <cell r="F31">
            <v>66.015899706000013</v>
          </cell>
          <cell r="G31">
            <v>53.255883825000005</v>
          </cell>
          <cell r="H31">
            <v>46.226021163000006</v>
          </cell>
          <cell r="I31">
            <v>45.729247224000005</v>
          </cell>
          <cell r="J31">
            <v>59.336679321000013</v>
          </cell>
          <cell r="K31">
            <v>88.734716622000008</v>
          </cell>
          <cell r="L31">
            <v>117.86575868700001</v>
          </cell>
          <cell r="M31">
            <v>125.59255056600001</v>
          </cell>
          <cell r="N31">
            <v>143.26711445100003</v>
          </cell>
          <cell r="O31">
            <v>154.82198599500003</v>
          </cell>
          <cell r="P31">
            <v>171.42363500100001</v>
          </cell>
          <cell r="Q31">
            <v>186.17492364000003</v>
          </cell>
          <cell r="R31">
            <v>189.19411933800001</v>
          </cell>
          <cell r="S31">
            <v>186.84431397000003</v>
          </cell>
          <cell r="T31">
            <v>190.993008261</v>
          </cell>
          <cell r="U31">
            <v>191.91579677400003</v>
          </cell>
          <cell r="V31">
            <v>184.92265923300002</v>
          </cell>
          <cell r="W31">
            <v>154.64161401300001</v>
          </cell>
          <cell r="X31">
            <v>161.71266413400002</v>
          </cell>
          <cell r="Y31">
            <v>175.71683612400003</v>
          </cell>
          <cell r="Z31">
            <v>159.89072244000002</v>
          </cell>
          <cell r="AA31">
            <v>133.35382054500002</v>
          </cell>
          <cell r="AB31">
            <v>96.769742715000007</v>
          </cell>
          <cell r="AC31">
            <v>65.447958213000007</v>
          </cell>
        </row>
        <row r="32">
          <cell r="F32">
            <v>70.414108439999993</v>
          </cell>
          <cell r="G32">
            <v>56.527728699000008</v>
          </cell>
          <cell r="H32">
            <v>48.235737723000007</v>
          </cell>
          <cell r="I32">
            <v>45.154937190000005</v>
          </cell>
          <cell r="J32">
            <v>51.772857891000008</v>
          </cell>
          <cell r="K32">
            <v>64.447760421000012</v>
          </cell>
          <cell r="L32">
            <v>87.187569348000011</v>
          </cell>
          <cell r="M32">
            <v>101.46683694600002</v>
          </cell>
          <cell r="N32">
            <v>124.51789592999999</v>
          </cell>
          <cell r="O32">
            <v>140.34172692600004</v>
          </cell>
          <cell r="P32">
            <v>155.90717032200001</v>
          </cell>
          <cell r="Q32">
            <v>168.02027400900002</v>
          </cell>
          <cell r="R32">
            <v>168.28221642000005</v>
          </cell>
          <cell r="S32">
            <v>160.06173777900003</v>
          </cell>
          <cell r="T32">
            <v>152.97496643700003</v>
          </cell>
          <cell r="U32">
            <v>151.18449492600001</v>
          </cell>
          <cell r="V32">
            <v>150.10613884800003</v>
          </cell>
          <cell r="W32">
            <v>130.92049495200001</v>
          </cell>
          <cell r="X32">
            <v>142.06652360100003</v>
          </cell>
          <cell r="Y32">
            <v>150.53512567200002</v>
          </cell>
          <cell r="Z32">
            <v>134.68229740499999</v>
          </cell>
          <cell r="AA32">
            <v>111.69998458200001</v>
          </cell>
          <cell r="AB32">
            <v>86.388061839000002</v>
          </cell>
          <cell r="AC32">
            <v>61.170434718000003</v>
          </cell>
        </row>
        <row r="33">
          <cell r="F33">
            <v>61.566833793000001</v>
          </cell>
          <cell r="G33">
            <v>47.091044988</v>
          </cell>
          <cell r="H33">
            <v>37.709082381000002</v>
          </cell>
          <cell r="I33">
            <v>32.991063509999996</v>
          </cell>
          <cell r="J33">
            <v>34.758414879</v>
          </cell>
          <cell r="K33">
            <v>38.515247730000006</v>
          </cell>
          <cell r="L33">
            <v>49.464402465000006</v>
          </cell>
          <cell r="M33">
            <v>54.602269482000011</v>
          </cell>
          <cell r="N33">
            <v>72.782115867000002</v>
          </cell>
          <cell r="O33">
            <v>89.257555212</v>
          </cell>
          <cell r="P33">
            <v>101.633857581</v>
          </cell>
          <cell r="Q33">
            <v>116.65800669600002</v>
          </cell>
          <cell r="R33">
            <v>125.97820198500003</v>
          </cell>
          <cell r="S33">
            <v>126.64332416400002</v>
          </cell>
          <cell r="T33">
            <v>122.56007881800001</v>
          </cell>
          <cell r="U33">
            <v>120.56936088</v>
          </cell>
          <cell r="V33">
            <v>118.12573545000001</v>
          </cell>
          <cell r="W33">
            <v>100.11987269100001</v>
          </cell>
          <cell r="X33">
            <v>114.848124411</v>
          </cell>
          <cell r="Y33">
            <v>132.15231820500003</v>
          </cell>
          <cell r="Z33">
            <v>120.90637440000002</v>
          </cell>
          <cell r="AA33">
            <v>99.582795042000015</v>
          </cell>
          <cell r="AB33">
            <v>70.157765748000003</v>
          </cell>
          <cell r="AC33">
            <v>43.499275050000001</v>
          </cell>
        </row>
        <row r="34">
          <cell r="F34">
            <v>78.909694578000014</v>
          </cell>
          <cell r="G34">
            <v>62.812000467000004</v>
          </cell>
          <cell r="H34">
            <v>52.704828675000002</v>
          </cell>
          <cell r="I34">
            <v>47.458724202000006</v>
          </cell>
          <cell r="J34">
            <v>46.712832120000002</v>
          </cell>
          <cell r="K34">
            <v>46.806989037000008</v>
          </cell>
          <cell r="L34">
            <v>56.848795107000015</v>
          </cell>
          <cell r="M34">
            <v>61.959059828999997</v>
          </cell>
          <cell r="N34">
            <v>79.706546877000022</v>
          </cell>
          <cell r="O34">
            <v>93.80298147000002</v>
          </cell>
          <cell r="P34">
            <v>105.580236759</v>
          </cell>
          <cell r="Q34">
            <v>120.960096828</v>
          </cell>
          <cell r="R34">
            <v>127.13953535700001</v>
          </cell>
          <cell r="S34">
            <v>129.62761772100001</v>
          </cell>
          <cell r="T34">
            <v>128.15069084400002</v>
          </cell>
          <cell r="U34">
            <v>127.48258848900004</v>
          </cell>
          <cell r="V34">
            <v>125.20899953700001</v>
          </cell>
          <cell r="W34">
            <v>107.59516862700001</v>
          </cell>
          <cell r="X34">
            <v>121.24390311000002</v>
          </cell>
          <cell r="Y34">
            <v>137.688086274</v>
          </cell>
          <cell r="Z34">
            <v>131.868099771</v>
          </cell>
          <cell r="AA34">
            <v>118.08809487600001</v>
          </cell>
          <cell r="AB34">
            <v>90.358971987000018</v>
          </cell>
          <cell r="AC34">
            <v>62.30697952500001</v>
          </cell>
        </row>
        <row r="35">
          <cell r="F35">
            <v>63.613093176</v>
          </cell>
          <cell r="G35">
            <v>50.783352273000013</v>
          </cell>
          <cell r="H35">
            <v>43.824724536000005</v>
          </cell>
          <cell r="I35">
            <v>43.349858061000006</v>
          </cell>
          <cell r="J35">
            <v>58.610812278000004</v>
          </cell>
          <cell r="K35">
            <v>91.39060033200002</v>
          </cell>
          <cell r="L35">
            <v>121.75859773500002</v>
          </cell>
          <cell r="M35">
            <v>126.87817154400001</v>
          </cell>
          <cell r="N35">
            <v>143.19298653600001</v>
          </cell>
          <cell r="O35">
            <v>153.79925854800001</v>
          </cell>
          <cell r="P35">
            <v>170.40523118700003</v>
          </cell>
          <cell r="Q35">
            <v>184.98730765200003</v>
          </cell>
          <cell r="R35">
            <v>187.37163867600003</v>
          </cell>
          <cell r="S35">
            <v>183.930407256</v>
          </cell>
          <cell r="T35">
            <v>187.90155122100001</v>
          </cell>
          <cell r="U35">
            <v>188.273359881</v>
          </cell>
          <cell r="V35">
            <v>181.81467252000002</v>
          </cell>
          <cell r="W35">
            <v>154.15145432099999</v>
          </cell>
          <cell r="X35">
            <v>166.65866250600001</v>
          </cell>
          <cell r="Y35">
            <v>176.76024250500001</v>
          </cell>
          <cell r="Z35">
            <v>160.22905167600004</v>
          </cell>
          <cell r="AA35">
            <v>131.398080045</v>
          </cell>
          <cell r="AB35">
            <v>94.987367613000004</v>
          </cell>
          <cell r="AC35">
            <v>63.956752647000009</v>
          </cell>
        </row>
        <row r="36">
          <cell r="F36">
            <v>68.546215761000013</v>
          </cell>
          <cell r="G36">
            <v>55.084384284000002</v>
          </cell>
          <cell r="H36">
            <v>46.972717734000007</v>
          </cell>
          <cell r="I36">
            <v>44.206464474000001</v>
          </cell>
          <cell r="J36">
            <v>51.446695065000007</v>
          </cell>
          <cell r="K36">
            <v>63.622869897000001</v>
          </cell>
          <cell r="L36">
            <v>86.890447386000019</v>
          </cell>
          <cell r="M36">
            <v>101.46500207700001</v>
          </cell>
          <cell r="N36">
            <v>124.52621426700001</v>
          </cell>
          <cell r="O36">
            <v>137.66501368800002</v>
          </cell>
          <cell r="P36">
            <v>150.27969843300002</v>
          </cell>
          <cell r="Q36">
            <v>159.30057229500002</v>
          </cell>
          <cell r="R36">
            <v>160.81543300799999</v>
          </cell>
          <cell r="S36">
            <v>155.64774441600002</v>
          </cell>
          <cell r="T36">
            <v>150.40982750100002</v>
          </cell>
          <cell r="U36">
            <v>148.21482483900004</v>
          </cell>
          <cell r="V36">
            <v>145.70843737800001</v>
          </cell>
          <cell r="W36">
            <v>127.76610547200001</v>
          </cell>
          <cell r="X36">
            <v>141.26975452500002</v>
          </cell>
          <cell r="Y36">
            <v>148.06295475300001</v>
          </cell>
          <cell r="Z36">
            <v>131.52841122600003</v>
          </cell>
          <cell r="AA36">
            <v>108.71284955400002</v>
          </cell>
          <cell r="AB36">
            <v>83.073285786000014</v>
          </cell>
          <cell r="AC36">
            <v>58.89495937800001</v>
          </cell>
        </row>
        <row r="37">
          <cell r="F37">
            <v>64.046094519000007</v>
          </cell>
          <cell r="G37">
            <v>50.204401566000008</v>
          </cell>
          <cell r="H37">
            <v>40.452659355000002</v>
          </cell>
          <cell r="I37">
            <v>36.174458187000006</v>
          </cell>
          <cell r="J37">
            <v>38.112563337000005</v>
          </cell>
          <cell r="K37">
            <v>43.693854387000009</v>
          </cell>
          <cell r="L37">
            <v>51.635008898999999</v>
          </cell>
          <cell r="M37">
            <v>57.04052504700001</v>
          </cell>
          <cell r="N37">
            <v>74.279040042000005</v>
          </cell>
          <cell r="O37">
            <v>90.089797101000002</v>
          </cell>
          <cell r="P37">
            <v>103.51948864800001</v>
          </cell>
          <cell r="Q37">
            <v>118.08777783600001</v>
          </cell>
          <cell r="R37">
            <v>127.304229711</v>
          </cell>
          <cell r="S37">
            <v>128.84349061500001</v>
          </cell>
          <cell r="T37">
            <v>123.54004153200002</v>
          </cell>
          <cell r="U37">
            <v>121.07736199800003</v>
          </cell>
          <cell r="V37">
            <v>117.99435803700001</v>
          </cell>
          <cell r="W37">
            <v>102.51599364</v>
          </cell>
          <cell r="X37">
            <v>122.063368287</v>
          </cell>
          <cell r="Y37">
            <v>133.58234694000001</v>
          </cell>
          <cell r="Z37">
            <v>122.01710026200001</v>
          </cell>
          <cell r="AA37">
            <v>101.89779734400001</v>
          </cell>
          <cell r="AB37">
            <v>73.856100756000004</v>
          </cell>
          <cell r="AC37">
            <v>47.913601305</v>
          </cell>
        </row>
        <row r="38">
          <cell r="F38">
            <v>58.669333899000009</v>
          </cell>
          <cell r="G38">
            <v>44.672168493000008</v>
          </cell>
          <cell r="H38">
            <v>35.101333269000001</v>
          </cell>
          <cell r="I38">
            <v>33.104119974</v>
          </cell>
          <cell r="J38">
            <v>35.605145496000006</v>
          </cell>
          <cell r="K38">
            <v>44.037993381</v>
          </cell>
          <cell r="L38">
            <v>56.311535160000012</v>
          </cell>
          <cell r="M38">
            <v>60.54346434</v>
          </cell>
          <cell r="N38">
            <v>80.879892102000014</v>
          </cell>
          <cell r="O38">
            <v>96.834414912000014</v>
          </cell>
          <cell r="P38">
            <v>112.94912218200002</v>
          </cell>
          <cell r="Q38">
            <v>129.52625210700003</v>
          </cell>
          <cell r="R38">
            <v>139.74540242699999</v>
          </cell>
          <cell r="S38">
            <v>139.52249160299999</v>
          </cell>
          <cell r="T38">
            <v>133.809652731</v>
          </cell>
          <cell r="U38">
            <v>127.94962011300001</v>
          </cell>
          <cell r="V38">
            <v>126.99469563300001</v>
          </cell>
          <cell r="W38">
            <v>109.65655478100001</v>
          </cell>
          <cell r="X38">
            <v>127.486060077</v>
          </cell>
          <cell r="Y38">
            <v>144.092147643</v>
          </cell>
          <cell r="Z38">
            <v>130.22554723500002</v>
          </cell>
          <cell r="AA38">
            <v>105.64877684400001</v>
          </cell>
          <cell r="AB38">
            <v>75.849125160000014</v>
          </cell>
          <cell r="AC38">
            <v>47.547562773000003</v>
          </cell>
        </row>
        <row r="39">
          <cell r="F39">
            <v>60.745941936000008</v>
          </cell>
          <cell r="G39">
            <v>48.729487893000005</v>
          </cell>
          <cell r="H39">
            <v>42.472707456000002</v>
          </cell>
          <cell r="I39">
            <v>42.087309669000007</v>
          </cell>
          <cell r="J39">
            <v>57.271496613000011</v>
          </cell>
          <cell r="K39">
            <v>90.815557142999992</v>
          </cell>
          <cell r="L39">
            <v>119.96635872600002</v>
          </cell>
          <cell r="M39">
            <v>123.25475705100003</v>
          </cell>
          <cell r="N39">
            <v>139.38062412900004</v>
          </cell>
          <cell r="O39">
            <v>150.05901481500001</v>
          </cell>
          <cell r="P39">
            <v>167.233860252</v>
          </cell>
          <cell r="Q39">
            <v>182.04980523600003</v>
          </cell>
          <cell r="R39">
            <v>183.11765540100004</v>
          </cell>
          <cell r="S39">
            <v>180.00884834700003</v>
          </cell>
          <cell r="T39">
            <v>183.36290961900002</v>
          </cell>
          <cell r="U39">
            <v>184.43721947400002</v>
          </cell>
          <cell r="V39">
            <v>178.59471520500003</v>
          </cell>
          <cell r="W39">
            <v>153.63685084500003</v>
          </cell>
          <cell r="X39">
            <v>172.118198307</v>
          </cell>
          <cell r="Y39">
            <v>172.53119442600004</v>
          </cell>
          <cell r="Z39">
            <v>155.07811072200002</v>
          </cell>
          <cell r="AA39">
            <v>126.864213858</v>
          </cell>
          <cell r="AB39">
            <v>89.835915432000007</v>
          </cell>
          <cell r="AC39">
            <v>59.379190422000008</v>
          </cell>
        </row>
        <row r="40">
          <cell r="F40">
            <v>64.727940558000014</v>
          </cell>
          <cell r="G40">
            <v>51.652961289000004</v>
          </cell>
          <cell r="H40">
            <v>43.292834454000001</v>
          </cell>
          <cell r="I40">
            <v>41.113342973999998</v>
          </cell>
          <cell r="J40">
            <v>48.89048080500001</v>
          </cell>
          <cell r="K40">
            <v>63.70981019100001</v>
          </cell>
          <cell r="L40">
            <v>85.284172152000011</v>
          </cell>
          <cell r="M40">
            <v>99.020825790000004</v>
          </cell>
          <cell r="N40">
            <v>121.84767804900001</v>
          </cell>
          <cell r="O40">
            <v>135.75942099000002</v>
          </cell>
          <cell r="P40">
            <v>151.80090390900003</v>
          </cell>
          <cell r="Q40">
            <v>163.16195701199999</v>
          </cell>
          <cell r="R40">
            <v>163.93903394100002</v>
          </cell>
          <cell r="S40">
            <v>158.48114278500003</v>
          </cell>
          <cell r="T40">
            <v>152.51544469800004</v>
          </cell>
          <cell r="U40">
            <v>150.55493274600002</v>
          </cell>
          <cell r="V40">
            <v>148.12156752300004</v>
          </cell>
          <cell r="W40">
            <v>131.88092800199999</v>
          </cell>
          <cell r="X40">
            <v>150.81243659700002</v>
          </cell>
          <cell r="Y40">
            <v>148.78461308999999</v>
          </cell>
          <cell r="Z40">
            <v>131.99738472000004</v>
          </cell>
          <cell r="AA40">
            <v>109.29124940400001</v>
          </cell>
          <cell r="AB40">
            <v>84.829227678000009</v>
          </cell>
          <cell r="AC40">
            <v>61.042378299000013</v>
          </cell>
        </row>
        <row r="41">
          <cell r="F41">
            <v>65.865107555999998</v>
          </cell>
          <cell r="G41">
            <v>50.124127038000005</v>
          </cell>
          <cell r="H41">
            <v>40.788226380000005</v>
          </cell>
          <cell r="I41">
            <v>35.832007431000008</v>
          </cell>
          <cell r="J41">
            <v>36.503803302000001</v>
          </cell>
          <cell r="K41">
            <v>40.128315546000003</v>
          </cell>
          <cell r="L41">
            <v>48.715466799000005</v>
          </cell>
          <cell r="M41">
            <v>52.992467178000005</v>
          </cell>
          <cell r="N41">
            <v>69.221621925000008</v>
          </cell>
          <cell r="O41">
            <v>84.187277160000008</v>
          </cell>
          <cell r="P41">
            <v>99.45077958600001</v>
          </cell>
          <cell r="Q41">
            <v>114.58093102500001</v>
          </cell>
          <cell r="R41">
            <v>122.23283409300001</v>
          </cell>
          <cell r="S41">
            <v>124.40345241600002</v>
          </cell>
          <cell r="T41">
            <v>122.01018086400002</v>
          </cell>
          <cell r="U41">
            <v>121.39849181400002</v>
          </cell>
          <cell r="V41">
            <v>119.65532663400001</v>
          </cell>
          <cell r="W41">
            <v>106.45017866700002</v>
          </cell>
          <cell r="X41">
            <v>129.563016858</v>
          </cell>
          <cell r="Y41">
            <v>132.24517129500003</v>
          </cell>
          <cell r="Z41">
            <v>119.079078693</v>
          </cell>
          <cell r="AA41">
            <v>98.366958531000009</v>
          </cell>
          <cell r="AB41">
            <v>70.677445827000014</v>
          </cell>
          <cell r="AC41">
            <v>43.464281760000006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55.218397092000004</v>
          </cell>
          <cell r="G43">
            <v>43.167365874000005</v>
          </cell>
          <cell r="H43">
            <v>37.655819661000002</v>
          </cell>
          <cell r="I43">
            <v>37.275387512999998</v>
          </cell>
          <cell r="J43">
            <v>52.395928677000008</v>
          </cell>
          <cell r="K43">
            <v>83.381103885000016</v>
          </cell>
          <cell r="L43">
            <v>112.10656856700002</v>
          </cell>
          <cell r="M43">
            <v>117.84999387300002</v>
          </cell>
          <cell r="N43">
            <v>133.72798322700001</v>
          </cell>
          <cell r="O43">
            <v>144.59034826200002</v>
          </cell>
          <cell r="P43">
            <v>161.31090708299999</v>
          </cell>
          <cell r="Q43">
            <v>176.261534622</v>
          </cell>
          <cell r="R43">
            <v>178.95697699800002</v>
          </cell>
          <cell r="S43">
            <v>175.52071518</v>
          </cell>
          <cell r="T43">
            <v>177.88743463200001</v>
          </cell>
          <cell r="U43">
            <v>178.76906342700002</v>
          </cell>
          <cell r="V43">
            <v>172.62029851800003</v>
          </cell>
          <cell r="W43">
            <v>152.24375330700005</v>
          </cell>
          <cell r="X43">
            <v>170.05212788700001</v>
          </cell>
          <cell r="Y43">
            <v>164.37731003700003</v>
          </cell>
          <cell r="Z43">
            <v>147.31467298200002</v>
          </cell>
          <cell r="AA43">
            <v>119.46471426000002</v>
          </cell>
          <cell r="AB43">
            <v>83.959618662000011</v>
          </cell>
          <cell r="AC43">
            <v>54.692273175000004</v>
          </cell>
        </row>
        <row r="44">
          <cell r="F44">
            <v>61.273016973000004</v>
          </cell>
          <cell r="G44">
            <v>47.313028470000006</v>
          </cell>
          <cell r="H44">
            <v>39.348107847000009</v>
          </cell>
          <cell r="I44">
            <v>36.77771001</v>
          </cell>
          <cell r="J44">
            <v>44.647320483000001</v>
          </cell>
          <cell r="K44">
            <v>58.094687010000008</v>
          </cell>
          <cell r="L44">
            <v>79.204014699000012</v>
          </cell>
          <cell r="M44">
            <v>91.659442326000004</v>
          </cell>
          <cell r="N44">
            <v>114.70509974100001</v>
          </cell>
          <cell r="O44">
            <v>129.90935928000002</v>
          </cell>
          <cell r="P44">
            <v>144.03246486300003</v>
          </cell>
          <cell r="Q44">
            <v>154.358544849</v>
          </cell>
          <cell r="R44">
            <v>155.72338223400001</v>
          </cell>
          <cell r="S44">
            <v>150.60443061600003</v>
          </cell>
          <cell r="T44">
            <v>148.40317433999999</v>
          </cell>
          <cell r="U44">
            <v>150.155632755</v>
          </cell>
          <cell r="V44">
            <v>147.28176026700004</v>
          </cell>
          <cell r="W44">
            <v>133.605007374</v>
          </cell>
          <cell r="X44">
            <v>150.18212144700001</v>
          </cell>
          <cell r="Y44">
            <v>143.03905569</v>
          </cell>
          <cell r="Z44">
            <v>127.08596748600002</v>
          </cell>
          <cell r="AA44">
            <v>104.71761847500001</v>
          </cell>
          <cell r="AB44">
            <v>78.806807172000021</v>
          </cell>
          <cell r="AC44">
            <v>54.434911992000004</v>
          </cell>
        </row>
        <row r="45">
          <cell r="F45">
            <v>59.033953677000014</v>
          </cell>
          <cell r="G45">
            <v>46.502900121000003</v>
          </cell>
          <cell r="H45">
            <v>37.856050236000002</v>
          </cell>
          <cell r="I45">
            <v>33.310029528000001</v>
          </cell>
          <cell r="J45">
            <v>34.766059506000005</v>
          </cell>
          <cell r="K45">
            <v>39.19788636900001</v>
          </cell>
          <cell r="L45">
            <v>47.510572131000004</v>
          </cell>
          <cell r="M45">
            <v>52.416988059000005</v>
          </cell>
          <cell r="N45">
            <v>69.243125163000002</v>
          </cell>
          <cell r="O45">
            <v>84.98373315900001</v>
          </cell>
          <cell r="P45">
            <v>100.11298103400001</v>
          </cell>
          <cell r="Q45">
            <v>114.32156852700001</v>
          </cell>
          <cell r="R45">
            <v>123.12783801300002</v>
          </cell>
          <cell r="S45">
            <v>124.45752358800002</v>
          </cell>
          <cell r="T45">
            <v>120.772191183</v>
          </cell>
          <cell r="U45">
            <v>118.36674529500002</v>
          </cell>
          <cell r="V45">
            <v>116.44161104400001</v>
          </cell>
          <cell r="W45">
            <v>104.09054505900001</v>
          </cell>
          <cell r="X45">
            <v>128.85016827000001</v>
          </cell>
          <cell r="Y45">
            <v>126.26786954400002</v>
          </cell>
          <cell r="Z45">
            <v>113.91027649800002</v>
          </cell>
          <cell r="AA45">
            <v>94.252155816000013</v>
          </cell>
          <cell r="AB45">
            <v>67.69351686600001</v>
          </cell>
          <cell r="AC45">
            <v>41.682608109</v>
          </cell>
        </row>
        <row r="46">
          <cell r="F46">
            <v>47.468152179000008</v>
          </cell>
          <cell r="G46">
            <v>34.984202841000005</v>
          </cell>
          <cell r="H46">
            <v>26.571217512000008</v>
          </cell>
          <cell r="I46">
            <v>23.262548442</v>
          </cell>
          <cell r="J46">
            <v>26.805133587000004</v>
          </cell>
          <cell r="K46">
            <v>33.480153192000003</v>
          </cell>
          <cell r="L46">
            <v>41.874476754</v>
          </cell>
          <cell r="M46">
            <v>46.058180187000005</v>
          </cell>
          <cell r="N46">
            <v>65.484473295000001</v>
          </cell>
          <cell r="O46">
            <v>83.766073668000004</v>
          </cell>
          <cell r="P46">
            <v>97.302472953000006</v>
          </cell>
          <cell r="Q46">
            <v>112.26343995900001</v>
          </cell>
          <cell r="R46">
            <v>125.63775254400002</v>
          </cell>
          <cell r="S46">
            <v>122.81865267900002</v>
          </cell>
          <cell r="T46">
            <v>116.26070009400001</v>
          </cell>
          <cell r="U46">
            <v>113.79556350000001</v>
          </cell>
          <cell r="V46">
            <v>113.72889791400003</v>
          </cell>
          <cell r="W46">
            <v>105.75138684000001</v>
          </cell>
          <cell r="X46">
            <v>131.43502709400002</v>
          </cell>
          <cell r="Y46">
            <v>129.76235179500003</v>
          </cell>
          <cell r="Z46">
            <v>113.24862987000002</v>
          </cell>
          <cell r="AA46">
            <v>88.834695186000005</v>
          </cell>
          <cell r="AB46">
            <v>59.575275699000009</v>
          </cell>
          <cell r="AC46">
            <v>33.920783309999997</v>
          </cell>
        </row>
        <row r="47">
          <cell r="F47">
            <v>59.785120511999999</v>
          </cell>
          <cell r="G47">
            <v>47.797441812000002</v>
          </cell>
          <cell r="H47">
            <v>41.260972650000006</v>
          </cell>
          <cell r="I47">
            <v>40.849474545000007</v>
          </cell>
          <cell r="J47">
            <v>55.985304963000011</v>
          </cell>
          <cell r="K47">
            <v>86.549110233000007</v>
          </cell>
          <cell r="L47">
            <v>117.49081529400002</v>
          </cell>
          <cell r="M47">
            <v>123.415742037</v>
          </cell>
          <cell r="N47">
            <v>139.38652899900001</v>
          </cell>
          <cell r="O47">
            <v>149.97303753</v>
          </cell>
          <cell r="P47">
            <v>167.32485469500003</v>
          </cell>
          <cell r="Q47">
            <v>180.65831667600003</v>
          </cell>
          <cell r="R47">
            <v>182.50207072200004</v>
          </cell>
          <cell r="S47">
            <v>180.26961771000003</v>
          </cell>
          <cell r="T47">
            <v>183.65107123800004</v>
          </cell>
          <cell r="U47">
            <v>184.892080725</v>
          </cell>
          <cell r="V47">
            <v>178.68493290000001</v>
          </cell>
          <cell r="W47">
            <v>160.26630387600002</v>
          </cell>
          <cell r="X47">
            <v>175.74879771900004</v>
          </cell>
          <cell r="Y47">
            <v>168.93942052500003</v>
          </cell>
          <cell r="Z47">
            <v>151.50066702900003</v>
          </cell>
          <cell r="AA47">
            <v>124.47798455700001</v>
          </cell>
          <cell r="AB47">
            <v>89.096043147000003</v>
          </cell>
          <cell r="AC47">
            <v>59.478102939000003</v>
          </cell>
        </row>
        <row r="48">
          <cell r="F48">
            <v>65.319953313000013</v>
          </cell>
          <cell r="G48">
            <v>50.920448295</v>
          </cell>
          <cell r="H48">
            <v>42.893605797000006</v>
          </cell>
          <cell r="I48">
            <v>41.218956924000004</v>
          </cell>
          <cell r="J48">
            <v>48.786483758999999</v>
          </cell>
          <cell r="K48">
            <v>62.204440863000009</v>
          </cell>
          <cell r="L48">
            <v>85.205379786000009</v>
          </cell>
          <cell r="M48">
            <v>98.700555945000019</v>
          </cell>
          <cell r="N48">
            <v>121.21049898299999</v>
          </cell>
          <cell r="O48">
            <v>136.75808906400002</v>
          </cell>
          <cell r="P48">
            <v>151.801125837</v>
          </cell>
          <cell r="Q48">
            <v>161.81793726600003</v>
          </cell>
          <cell r="R48">
            <v>162.32841129600001</v>
          </cell>
          <cell r="S48">
            <v>156.88809208200001</v>
          </cell>
          <cell r="T48">
            <v>152.14150394400002</v>
          </cell>
          <cell r="U48">
            <v>151.05566572200001</v>
          </cell>
          <cell r="V48">
            <v>149.9452569</v>
          </cell>
          <cell r="W48">
            <v>139.51758144600001</v>
          </cell>
          <cell r="X48">
            <v>157.79659398000001</v>
          </cell>
          <cell r="Y48">
            <v>150.755202951</v>
          </cell>
          <cell r="Z48">
            <v>134.99262804599999</v>
          </cell>
          <cell r="AA48">
            <v>113.29647120600002</v>
          </cell>
          <cell r="AB48">
            <v>87.782625687000007</v>
          </cell>
          <cell r="AC48">
            <v>63.170798598000005</v>
          </cell>
        </row>
        <row r="49">
          <cell r="F49">
            <v>68.141276421000015</v>
          </cell>
          <cell r="G49">
            <v>54.503051814000003</v>
          </cell>
          <cell r="H49">
            <v>44.628920274000002</v>
          </cell>
          <cell r="I49">
            <v>40.226106533999996</v>
          </cell>
          <cell r="J49">
            <v>41.561994204000001</v>
          </cell>
          <cell r="K49">
            <v>46.575831210000004</v>
          </cell>
          <cell r="L49">
            <v>54.801227934000003</v>
          </cell>
          <cell r="M49">
            <v>58.730280876000002</v>
          </cell>
          <cell r="N49">
            <v>76.413987402000018</v>
          </cell>
          <cell r="O49">
            <v>91.902425745000002</v>
          </cell>
          <cell r="P49">
            <v>105.81849231900001</v>
          </cell>
          <cell r="Q49">
            <v>120.05094103500001</v>
          </cell>
          <cell r="R49">
            <v>128.391363834</v>
          </cell>
          <cell r="S49">
            <v>130.68606368700003</v>
          </cell>
          <cell r="T49">
            <v>127.767532152</v>
          </cell>
          <cell r="U49">
            <v>126.44403282000002</v>
          </cell>
          <cell r="V49">
            <v>125.52499330500001</v>
          </cell>
          <cell r="W49">
            <v>117.88553802000003</v>
          </cell>
          <cell r="X49">
            <v>136.877890554</v>
          </cell>
          <cell r="Y49">
            <v>133.38966588000002</v>
          </cell>
          <cell r="Z49">
            <v>119.44757032200002</v>
          </cell>
          <cell r="AA49">
            <v>100.24306254600002</v>
          </cell>
          <cell r="AB49">
            <v>74.71703872800002</v>
          </cell>
          <cell r="AC49">
            <v>50.037785157000009</v>
          </cell>
        </row>
        <row r="50">
          <cell r="F50">
            <v>58.953687075000012</v>
          </cell>
          <cell r="G50">
            <v>45.306569496000002</v>
          </cell>
          <cell r="H50">
            <v>37.80493546200001</v>
          </cell>
          <cell r="I50">
            <v>34.008155571000003</v>
          </cell>
          <cell r="J50">
            <v>37.705729683000008</v>
          </cell>
          <cell r="K50">
            <v>44.137401273000009</v>
          </cell>
          <cell r="L50">
            <v>50.733802884000006</v>
          </cell>
          <cell r="M50">
            <v>55.275816999000007</v>
          </cell>
          <cell r="N50">
            <v>74.222880369000009</v>
          </cell>
          <cell r="O50">
            <v>90.398724840000014</v>
          </cell>
          <cell r="P50">
            <v>105.650298636</v>
          </cell>
          <cell r="Q50">
            <v>123.26303972100001</v>
          </cell>
          <cell r="R50">
            <v>135.525707028</v>
          </cell>
          <cell r="S50">
            <v>136.55268281100001</v>
          </cell>
          <cell r="T50">
            <v>131.70605666400004</v>
          </cell>
          <cell r="U50">
            <v>129.40372407300001</v>
          </cell>
          <cell r="V50">
            <v>126.57988049700002</v>
          </cell>
          <cell r="W50">
            <v>117.50426967900002</v>
          </cell>
          <cell r="X50">
            <v>140.56505386500001</v>
          </cell>
          <cell r="Y50">
            <v>137.74387342500003</v>
          </cell>
          <cell r="Z50">
            <v>123.00622146900001</v>
          </cell>
          <cell r="AA50">
            <v>99.758550129000014</v>
          </cell>
          <cell r="AB50">
            <v>71.722219443000014</v>
          </cell>
          <cell r="AC50">
            <v>44.817586815000006</v>
          </cell>
        </row>
        <row r="51">
          <cell r="F51">
            <v>73.429741401000001</v>
          </cell>
          <cell r="G51">
            <v>58.960816512000008</v>
          </cell>
          <cell r="H51">
            <v>50.95949177100001</v>
          </cell>
          <cell r="I51">
            <v>49.556835477</v>
          </cell>
          <cell r="J51">
            <v>61.23537639900001</v>
          </cell>
          <cell r="K51">
            <v>83.663915454000005</v>
          </cell>
          <cell r="L51">
            <v>110.55353623800002</v>
          </cell>
          <cell r="M51">
            <v>123.39520577100001</v>
          </cell>
          <cell r="N51">
            <v>143.64532335600001</v>
          </cell>
          <cell r="O51">
            <v>157.212721227</v>
          </cell>
          <cell r="P51">
            <v>172.13128809599999</v>
          </cell>
          <cell r="Q51">
            <v>185.35565661300004</v>
          </cell>
          <cell r="R51">
            <v>191.21280813000001</v>
          </cell>
          <cell r="S51">
            <v>188.77903075500001</v>
          </cell>
          <cell r="T51">
            <v>190.47374826000004</v>
          </cell>
          <cell r="U51">
            <v>191.66115420900002</v>
          </cell>
          <cell r="V51">
            <v>186.61351677600004</v>
          </cell>
          <cell r="W51">
            <v>166.28284725300003</v>
          </cell>
          <cell r="X51">
            <v>185.33193013200002</v>
          </cell>
          <cell r="Y51">
            <v>180.48565669200002</v>
          </cell>
          <cell r="Z51">
            <v>163.04295208500002</v>
          </cell>
          <cell r="AA51">
            <v>137.42951637600001</v>
          </cell>
          <cell r="AB51">
            <v>104.76616126200001</v>
          </cell>
          <cell r="AC51">
            <v>76.664120072999992</v>
          </cell>
        </row>
        <row r="52">
          <cell r="F52">
            <v>77.810790345000001</v>
          </cell>
          <cell r="G52">
            <v>61.748398638000012</v>
          </cell>
          <cell r="H52">
            <v>52.553323185000011</v>
          </cell>
          <cell r="I52">
            <v>49.781620800000006</v>
          </cell>
          <cell r="J52">
            <v>54.149900958000003</v>
          </cell>
          <cell r="K52">
            <v>72.133543176000003</v>
          </cell>
          <cell r="L52">
            <v>88.771580448000009</v>
          </cell>
          <cell r="M52">
            <v>102.19657980300002</v>
          </cell>
          <cell r="N52">
            <v>126.85671982500001</v>
          </cell>
          <cell r="O52">
            <v>142.648902303</v>
          </cell>
          <cell r="P52">
            <v>157.39501922700001</v>
          </cell>
          <cell r="Q52">
            <v>166.61603647800001</v>
          </cell>
          <cell r="R52">
            <v>170.45153487900001</v>
          </cell>
          <cell r="S52">
            <v>165.78155153099999</v>
          </cell>
          <cell r="T52">
            <v>161.06116674899999</v>
          </cell>
          <cell r="U52">
            <v>159.560822505</v>
          </cell>
          <cell r="V52">
            <v>158.38221441600004</v>
          </cell>
          <cell r="W52">
            <v>143.81546287200001</v>
          </cell>
          <cell r="X52">
            <v>167.10615257699999</v>
          </cell>
          <cell r="Y52">
            <v>163.48918588500001</v>
          </cell>
          <cell r="Z52">
            <v>147.13817285100001</v>
          </cell>
          <cell r="AA52">
            <v>125.26043531400003</v>
          </cell>
          <cell r="AB52">
            <v>100.63877998500001</v>
          </cell>
          <cell r="AC52">
            <v>75.283034388000019</v>
          </cell>
        </row>
        <row r="53">
          <cell r="F53">
            <v>79.004866023000005</v>
          </cell>
          <cell r="G53">
            <v>62.963739774000011</v>
          </cell>
          <cell r="H53">
            <v>52.170873870000001</v>
          </cell>
          <cell r="I53">
            <v>46.90460169</v>
          </cell>
          <cell r="J53">
            <v>46.676566707000006</v>
          </cell>
          <cell r="K53">
            <v>51.396150962999997</v>
          </cell>
          <cell r="L53">
            <v>57.242031708000006</v>
          </cell>
          <cell r="M53">
            <v>61.102378119000008</v>
          </cell>
          <cell r="N53">
            <v>80.200356492000012</v>
          </cell>
          <cell r="O53">
            <v>97.331137332000011</v>
          </cell>
          <cell r="P53">
            <v>111.61145512500001</v>
          </cell>
          <cell r="Q53">
            <v>124.39553434200003</v>
          </cell>
          <cell r="R53">
            <v>133.58609990100001</v>
          </cell>
          <cell r="S53">
            <v>137.28007560900002</v>
          </cell>
          <cell r="T53">
            <v>136.78170854400003</v>
          </cell>
          <cell r="U53">
            <v>136.29296364300001</v>
          </cell>
          <cell r="V53">
            <v>133.92671975100004</v>
          </cell>
          <cell r="W53">
            <v>115.47630350400003</v>
          </cell>
          <cell r="X53">
            <v>139.49680343700001</v>
          </cell>
          <cell r="Y53">
            <v>139.64781751500001</v>
          </cell>
          <cell r="Z53">
            <v>126.034076322</v>
          </cell>
          <cell r="AA53">
            <v>107.72888024700001</v>
          </cell>
          <cell r="AB53">
            <v>85.508909919000018</v>
          </cell>
          <cell r="AC53">
            <v>62.087579919000014</v>
          </cell>
        </row>
        <row r="54">
          <cell r="F54">
            <v>74.59610382000001</v>
          </cell>
          <cell r="G54">
            <v>62.531638032000011</v>
          </cell>
          <cell r="H54">
            <v>51.886286877000003</v>
          </cell>
          <cell r="I54">
            <v>45.201561885000004</v>
          </cell>
          <cell r="J54">
            <v>44.142228207000009</v>
          </cell>
          <cell r="K54">
            <v>46.523721723000008</v>
          </cell>
          <cell r="L54">
            <v>47.285675844000004</v>
          </cell>
          <cell r="M54">
            <v>44.002663236000011</v>
          </cell>
          <cell r="N54">
            <v>56.351462385000012</v>
          </cell>
          <cell r="O54">
            <v>72.57794607000001</v>
          </cell>
          <cell r="P54">
            <v>87.61745181000002</v>
          </cell>
          <cell r="Q54">
            <v>103.45612027800001</v>
          </cell>
          <cell r="R54">
            <v>118.15676177700001</v>
          </cell>
          <cell r="S54">
            <v>122.05113054300001</v>
          </cell>
          <cell r="T54">
            <v>120.54908220900002</v>
          </cell>
          <cell r="U54">
            <v>122.18712088800002</v>
          </cell>
          <cell r="V54">
            <v>121.13605006500001</v>
          </cell>
          <cell r="W54">
            <v>106.70658476700002</v>
          </cell>
          <cell r="X54">
            <v>129.95861937000004</v>
          </cell>
          <cell r="Y54">
            <v>131.068742856</v>
          </cell>
          <cell r="Z54">
            <v>117.18972240600002</v>
          </cell>
          <cell r="AA54">
            <v>97.325141313000017</v>
          </cell>
          <cell r="AB54">
            <v>74.029925861999999</v>
          </cell>
          <cell r="AC54">
            <v>50.233228428000004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108.13105515100001</v>
          </cell>
          <cell r="G7">
            <v>95.731358782000001</v>
          </cell>
          <cell r="H7">
            <v>88.578898387999999</v>
          </cell>
          <cell r="I7">
            <v>87.783827020000004</v>
          </cell>
          <cell r="J7">
            <v>100.104413803</v>
          </cell>
          <cell r="K7">
            <v>128.19154032</v>
          </cell>
          <cell r="L7">
            <v>159.39976183200002</v>
          </cell>
          <cell r="M7">
            <v>164.50014208799999</v>
          </cell>
          <cell r="N7">
            <v>184.34441932999999</v>
          </cell>
          <cell r="O7">
            <v>196.78774047499999</v>
          </cell>
          <cell r="P7">
            <v>214.35000810299999</v>
          </cell>
          <cell r="Q7">
            <v>229.58695499800001</v>
          </cell>
          <cell r="R7">
            <v>235.51231740699998</v>
          </cell>
          <cell r="S7">
            <v>231.67139093399999</v>
          </cell>
          <cell r="T7">
            <v>233.69666284599998</v>
          </cell>
          <cell r="U7">
            <v>233.21587957099999</v>
          </cell>
          <cell r="V7">
            <v>225.97292724300002</v>
          </cell>
          <cell r="W7">
            <v>215.52492943500002</v>
          </cell>
          <cell r="X7">
            <v>232.19298740899998</v>
          </cell>
          <cell r="Y7">
            <v>235.72305334199999</v>
          </cell>
          <cell r="Z7">
            <v>217.36579748399998</v>
          </cell>
          <cell r="AA7">
            <v>188.41472354500002</v>
          </cell>
          <cell r="AB7">
            <v>152.04381740400001</v>
          </cell>
          <cell r="AC7">
            <v>122.963055743</v>
          </cell>
        </row>
        <row r="8">
          <cell r="F8">
            <v>115.73269504300001</v>
          </cell>
          <cell r="G8">
            <v>100.98702570600001</v>
          </cell>
          <cell r="H8">
            <v>92.478202853000013</v>
          </cell>
          <cell r="I8">
            <v>89.182159053000007</v>
          </cell>
          <cell r="J8">
            <v>95.712656511000006</v>
          </cell>
          <cell r="K8">
            <v>110.017331664</v>
          </cell>
          <cell r="L8">
            <v>131.646305899</v>
          </cell>
          <cell r="M8">
            <v>138.81672032200001</v>
          </cell>
          <cell r="N8">
            <v>164.11168356200002</v>
          </cell>
          <cell r="O8">
            <v>182.41748077700001</v>
          </cell>
          <cell r="P8">
            <v>198.361584384</v>
          </cell>
          <cell r="Q8">
            <v>209.209271906</v>
          </cell>
          <cell r="R8">
            <v>212.05608708100002</v>
          </cell>
          <cell r="S8">
            <v>207.67974432999998</v>
          </cell>
          <cell r="T8">
            <v>200.35116364100003</v>
          </cell>
          <cell r="U8">
            <v>198.015530017</v>
          </cell>
          <cell r="V8">
            <v>197.09744086200001</v>
          </cell>
          <cell r="W8">
            <v>196.74951589</v>
          </cell>
          <cell r="X8">
            <v>216.11923764900001</v>
          </cell>
          <cell r="Y8">
            <v>217.58982038300002</v>
          </cell>
          <cell r="Z8">
            <v>200.610176301</v>
          </cell>
          <cell r="AA8">
            <v>176.60124077199998</v>
          </cell>
          <cell r="AB8">
            <v>150.78802169299999</v>
          </cell>
          <cell r="AC8">
            <v>124.59120766100001</v>
          </cell>
        </row>
        <row r="9">
          <cell r="F9">
            <v>114.272712404</v>
          </cell>
          <cell r="G9">
            <v>98.772267176000014</v>
          </cell>
          <cell r="H9">
            <v>88.77778715800001</v>
          </cell>
          <cell r="I9">
            <v>83.84289686999999</v>
          </cell>
          <cell r="J9">
            <v>85.01654467900002</v>
          </cell>
          <cell r="K9">
            <v>91.133230300000008</v>
          </cell>
          <cell r="L9">
            <v>100.051129903</v>
          </cell>
          <cell r="M9">
            <v>99.211659063999988</v>
          </cell>
          <cell r="N9">
            <v>118.368906548</v>
          </cell>
          <cell r="O9">
            <v>135.15765066599999</v>
          </cell>
          <cell r="P9">
            <v>150.10378461599998</v>
          </cell>
          <cell r="Q9">
            <v>167.313974151</v>
          </cell>
          <cell r="R9">
            <v>181.067674883</v>
          </cell>
          <cell r="S9">
            <v>183.60006214200001</v>
          </cell>
          <cell r="T9">
            <v>179.25180114</v>
          </cell>
          <cell r="U9">
            <v>174.46115906100002</v>
          </cell>
          <cell r="V9">
            <v>170.44997352200002</v>
          </cell>
          <cell r="W9">
            <v>168.78744404100001</v>
          </cell>
          <cell r="X9">
            <v>192.11502964900001</v>
          </cell>
          <cell r="Y9">
            <v>198.61518551600003</v>
          </cell>
          <cell r="Z9">
            <v>185.173127577</v>
          </cell>
          <cell r="AA9">
            <v>164.92560458200001</v>
          </cell>
          <cell r="AB9">
            <v>137.54144008700001</v>
          </cell>
          <cell r="AC9">
            <v>110.236407852</v>
          </cell>
        </row>
        <row r="10">
          <cell r="F10">
            <v>119.461789569</v>
          </cell>
          <cell r="G10">
            <v>108.27460424499999</v>
          </cell>
          <cell r="H10">
            <v>99.526774758000016</v>
          </cell>
          <cell r="I10">
            <v>91.606572724000003</v>
          </cell>
          <cell r="J10">
            <v>91.346188287000004</v>
          </cell>
          <cell r="K10">
            <v>93.886046629000006</v>
          </cell>
          <cell r="L10">
            <v>97.632010610999998</v>
          </cell>
          <cell r="M10">
            <v>89.610021212000007</v>
          </cell>
          <cell r="N10">
            <v>102.52138284399999</v>
          </cell>
          <cell r="O10">
            <v>116.98490070400001</v>
          </cell>
          <cell r="P10">
            <v>132.431268442</v>
          </cell>
          <cell r="Q10">
            <v>148.973364788</v>
          </cell>
          <cell r="R10">
            <v>161.87012436399999</v>
          </cell>
          <cell r="S10">
            <v>163.80919350700003</v>
          </cell>
          <cell r="T10">
            <v>160.40270465300003</v>
          </cell>
          <cell r="U10">
            <v>160.94246678100004</v>
          </cell>
          <cell r="V10">
            <v>159.89231291300001</v>
          </cell>
          <cell r="W10">
            <v>157.51079089199999</v>
          </cell>
          <cell r="X10">
            <v>181.728085365</v>
          </cell>
          <cell r="Y10">
            <v>186.36463494</v>
          </cell>
          <cell r="Z10">
            <v>172.44404601000002</v>
          </cell>
          <cell r="AA10">
            <v>152.95356630600003</v>
          </cell>
          <cell r="AB10">
            <v>127.841858113</v>
          </cell>
          <cell r="AC10">
            <v>102.96750135200001</v>
          </cell>
        </row>
        <row r="11">
          <cell r="F11">
            <v>116.50088638400001</v>
          </cell>
          <cell r="G11">
            <v>103.36040398200001</v>
          </cell>
          <cell r="H11">
            <v>96.98142175000001</v>
          </cell>
          <cell r="I11">
            <v>96.964907519999997</v>
          </cell>
          <cell r="J11">
            <v>114.441694168</v>
          </cell>
          <cell r="K11">
            <v>156.28298245500002</v>
          </cell>
          <cell r="L11">
            <v>188.80040072700001</v>
          </cell>
          <cell r="M11">
            <v>187.92258437500001</v>
          </cell>
          <cell r="N11">
            <v>205.87440643900001</v>
          </cell>
          <cell r="O11">
            <v>216.99698975800001</v>
          </cell>
          <cell r="P11">
            <v>235.44511167099998</v>
          </cell>
          <cell r="Q11">
            <v>250.573782658</v>
          </cell>
          <cell r="R11">
            <v>251.42439398900004</v>
          </cell>
          <cell r="S11">
            <v>247.20334168500003</v>
          </cell>
          <cell r="T11">
            <v>250.02052572100001</v>
          </cell>
          <cell r="U11">
            <v>250.59617701200003</v>
          </cell>
          <cell r="V11">
            <v>243.60437324500003</v>
          </cell>
          <cell r="W11">
            <v>229.64734341800002</v>
          </cell>
          <cell r="X11">
            <v>242.77659085299999</v>
          </cell>
          <cell r="Y11">
            <v>252.15711563600001</v>
          </cell>
          <cell r="Z11">
            <v>234.00841900899999</v>
          </cell>
          <cell r="AA11">
            <v>203.70114888700002</v>
          </cell>
          <cell r="AB11">
            <v>163.488386639</v>
          </cell>
          <cell r="AC11">
            <v>130.96830795100001</v>
          </cell>
        </row>
        <row r="12">
          <cell r="F12">
            <v>129.230172017</v>
          </cell>
          <cell r="G12">
            <v>114.23034603500001</v>
          </cell>
          <cell r="H12">
            <v>104.91811533999999</v>
          </cell>
          <cell r="I12">
            <v>103.04689814199999</v>
          </cell>
          <cell r="J12">
            <v>111.67836088200001</v>
          </cell>
          <cell r="K12">
            <v>127.74778368700002</v>
          </cell>
          <cell r="L12">
            <v>155.217312013</v>
          </cell>
          <cell r="M12">
            <v>165.40274868000003</v>
          </cell>
          <cell r="N12">
            <v>193.62901419800002</v>
          </cell>
          <cell r="O12">
            <v>211.34096801600003</v>
          </cell>
          <cell r="P12">
            <v>227.73639003500003</v>
          </cell>
          <cell r="Q12">
            <v>237.445978801</v>
          </cell>
          <cell r="R12">
            <v>237.53772914199999</v>
          </cell>
          <cell r="S12">
            <v>229.03172164400002</v>
          </cell>
          <cell r="T12">
            <v>220.83067188800001</v>
          </cell>
          <cell r="U12">
            <v>217.894831031</v>
          </cell>
          <cell r="V12">
            <v>214.25724499</v>
          </cell>
          <cell r="W12">
            <v>208.34728200600003</v>
          </cell>
          <cell r="X12">
            <v>226.31870952200001</v>
          </cell>
          <cell r="Y12">
            <v>233.12638529300003</v>
          </cell>
          <cell r="Z12">
            <v>217.31015548799999</v>
          </cell>
          <cell r="AA12">
            <v>192.22979409999999</v>
          </cell>
          <cell r="AB12">
            <v>162.715301493</v>
          </cell>
          <cell r="AC12">
            <v>134.015266524</v>
          </cell>
        </row>
        <row r="13">
          <cell r="F13">
            <v>124.66764171499999</v>
          </cell>
          <cell r="G13">
            <v>108.65795734199999</v>
          </cell>
          <cell r="H13">
            <v>98.484443419999991</v>
          </cell>
          <cell r="I13">
            <v>93.350320472999996</v>
          </cell>
          <cell r="J13">
            <v>95.435909003999996</v>
          </cell>
          <cell r="K13">
            <v>101.80080690300001</v>
          </cell>
          <cell r="L13">
            <v>114.35874133900001</v>
          </cell>
          <cell r="M13">
            <v>116.015832839</v>
          </cell>
          <cell r="N13">
            <v>137.63593020299999</v>
          </cell>
          <cell r="O13">
            <v>155.99823480500001</v>
          </cell>
          <cell r="P13">
            <v>171.62836775500003</v>
          </cell>
          <cell r="Q13">
            <v>188.782352223</v>
          </cell>
          <cell r="R13">
            <v>199.16829507200003</v>
          </cell>
          <cell r="S13">
            <v>200.24432375299997</v>
          </cell>
          <cell r="T13">
            <v>195.20949403100002</v>
          </cell>
          <cell r="U13">
            <v>190.73559261600002</v>
          </cell>
          <cell r="V13">
            <v>186.07975880400002</v>
          </cell>
          <cell r="W13">
            <v>181.68884045000001</v>
          </cell>
          <cell r="X13">
            <v>201.57584306600003</v>
          </cell>
          <cell r="Y13">
            <v>213.909119731</v>
          </cell>
          <cell r="Z13">
            <v>201.602428331</v>
          </cell>
          <cell r="AA13">
            <v>178.92870041899999</v>
          </cell>
          <cell r="AB13">
            <v>147.37573963200001</v>
          </cell>
          <cell r="AC13">
            <v>115.83798176200001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112.66784668400001</v>
          </cell>
          <cell r="G15">
            <v>100.434207133</v>
          </cell>
          <cell r="H15">
            <v>94.133057184999998</v>
          </cell>
          <cell r="I15">
            <v>94.374350113999995</v>
          </cell>
          <cell r="J15">
            <v>111.58941833799999</v>
          </cell>
          <cell r="K15">
            <v>151.88066285800002</v>
          </cell>
          <cell r="L15">
            <v>182.66071989099999</v>
          </cell>
          <cell r="M15">
            <v>184.10409004600001</v>
          </cell>
          <cell r="N15">
            <v>201.73673021200003</v>
          </cell>
          <cell r="O15">
            <v>212.78610296400001</v>
          </cell>
          <cell r="P15">
            <v>231.109272242</v>
          </cell>
          <cell r="Q15">
            <v>246.07523460499999</v>
          </cell>
          <cell r="R15">
            <v>247.74971706299999</v>
          </cell>
          <cell r="S15">
            <v>243.68068637100001</v>
          </cell>
          <cell r="T15">
            <v>246.36068137000004</v>
          </cell>
          <cell r="U15">
            <v>245.606880461</v>
          </cell>
          <cell r="V15">
            <v>238.821731309</v>
          </cell>
          <cell r="W15">
            <v>225.855906729</v>
          </cell>
          <cell r="X15">
            <v>237.964419811</v>
          </cell>
          <cell r="Y15">
            <v>246.480048643</v>
          </cell>
          <cell r="Z15">
            <v>228.08239905400001</v>
          </cell>
          <cell r="AA15">
            <v>197.65213004</v>
          </cell>
          <cell r="AB15">
            <v>158.70959550399999</v>
          </cell>
          <cell r="AC15">
            <v>126.50876673600001</v>
          </cell>
        </row>
        <row r="16">
          <cell r="F16">
            <v>118.70412652200001</v>
          </cell>
          <cell r="G16">
            <v>104.793223169</v>
          </cell>
          <cell r="H16">
            <v>96.394229393000003</v>
          </cell>
          <cell r="I16">
            <v>94.77690053100001</v>
          </cell>
          <cell r="J16">
            <v>104.26373236299999</v>
          </cell>
          <cell r="K16">
            <v>122.217296546</v>
          </cell>
          <cell r="L16">
            <v>148.53069272799999</v>
          </cell>
          <cell r="M16">
            <v>162.72056563999999</v>
          </cell>
          <cell r="N16">
            <v>188.80592184600002</v>
          </cell>
          <cell r="O16">
            <v>205.70910164200001</v>
          </cell>
          <cell r="P16">
            <v>221.774673646</v>
          </cell>
          <cell r="Q16">
            <v>233.94123216800003</v>
          </cell>
          <cell r="R16">
            <v>234.31782085500001</v>
          </cell>
          <cell r="S16">
            <v>227.58930757599998</v>
          </cell>
          <cell r="T16">
            <v>220.672282661</v>
          </cell>
          <cell r="U16">
            <v>215.81322934500002</v>
          </cell>
          <cell r="V16">
            <v>211.63571490000001</v>
          </cell>
          <cell r="W16">
            <v>206.93295724500004</v>
          </cell>
          <cell r="X16">
            <v>221.58584457400002</v>
          </cell>
          <cell r="Y16">
            <v>228.70770262599999</v>
          </cell>
          <cell r="Z16">
            <v>212.36737086900001</v>
          </cell>
          <cell r="AA16">
            <v>188.90499966800002</v>
          </cell>
          <cell r="AB16">
            <v>159.86889445</v>
          </cell>
          <cell r="AC16">
            <v>132.45294100700002</v>
          </cell>
        </row>
        <row r="17">
          <cell r="F17">
            <v>119.435623773</v>
          </cell>
          <cell r="G17">
            <v>103.92765455600001</v>
          </cell>
          <cell r="H17">
            <v>93.760122791000001</v>
          </cell>
          <cell r="I17">
            <v>88.819201218999993</v>
          </cell>
          <cell r="J17">
            <v>90.202919859000005</v>
          </cell>
          <cell r="K17">
            <v>96.596825362000004</v>
          </cell>
          <cell r="L17">
            <v>106.78071263899999</v>
          </cell>
          <cell r="M17">
            <v>112.11530775700001</v>
          </cell>
          <cell r="N17">
            <v>133.86572771499999</v>
          </cell>
          <cell r="O17">
            <v>150.28259178000002</v>
          </cell>
          <cell r="P17">
            <v>165.012835239</v>
          </cell>
          <cell r="Q17">
            <v>180.76673421800001</v>
          </cell>
          <cell r="R17">
            <v>190.780823467</v>
          </cell>
          <cell r="S17">
            <v>191.71083914600001</v>
          </cell>
          <cell r="T17">
            <v>187.17685541000003</v>
          </cell>
          <cell r="U17">
            <v>184.19815691399998</v>
          </cell>
          <cell r="V17">
            <v>180.37808674199999</v>
          </cell>
          <cell r="W17">
            <v>176.24989202600003</v>
          </cell>
          <cell r="X17">
            <v>195.92740577700002</v>
          </cell>
          <cell r="Y17">
            <v>208.81574574100003</v>
          </cell>
          <cell r="Z17">
            <v>197.23033317600002</v>
          </cell>
          <cell r="AA17">
            <v>175.38220339400002</v>
          </cell>
          <cell r="AB17">
            <v>146.01369355700001</v>
          </cell>
          <cell r="AC17">
            <v>115.23864747800002</v>
          </cell>
        </row>
        <row r="18">
          <cell r="F18">
            <v>128.481038173</v>
          </cell>
          <cell r="G18">
            <v>113.11242336000001</v>
          </cell>
          <cell r="H18">
            <v>103.53397345200001</v>
          </cell>
          <cell r="I18">
            <v>99.47183565600001</v>
          </cell>
          <cell r="J18">
            <v>102.59824014599999</v>
          </cell>
          <cell r="K18">
            <v>109.219422267</v>
          </cell>
          <cell r="L18">
            <v>118.38552281100002</v>
          </cell>
          <cell r="M18">
            <v>123.28419138400001</v>
          </cell>
          <cell r="N18">
            <v>144.461246346</v>
          </cell>
          <cell r="O18">
            <v>163.99208954899999</v>
          </cell>
          <cell r="P18">
            <v>182.29615598200002</v>
          </cell>
          <cell r="Q18">
            <v>202.87587952999996</v>
          </cell>
          <cell r="R18">
            <v>213.09640799100001</v>
          </cell>
          <cell r="S18">
            <v>209.790281819</v>
          </cell>
          <cell r="T18">
            <v>203.00321293500002</v>
          </cell>
          <cell r="U18">
            <v>198.90078344100002</v>
          </cell>
          <cell r="V18">
            <v>196.87312698</v>
          </cell>
          <cell r="W18">
            <v>193.68230187700001</v>
          </cell>
          <cell r="X18">
            <v>216.01702703599997</v>
          </cell>
          <cell r="Y18">
            <v>234.08030314700002</v>
          </cell>
          <cell r="Z18">
            <v>218.46790504400002</v>
          </cell>
          <cell r="AA18">
            <v>192.85330264699999</v>
          </cell>
          <cell r="AB18">
            <v>159.69565753200001</v>
          </cell>
          <cell r="AC18">
            <v>127.08317095700001</v>
          </cell>
        </row>
        <row r="19">
          <cell r="F19">
            <v>110.86389946499999</v>
          </cell>
          <cell r="G19">
            <v>98.176141262999991</v>
          </cell>
          <cell r="H19">
            <v>91.853927169000002</v>
          </cell>
          <cell r="I19">
            <v>92.084431053000003</v>
          </cell>
          <cell r="J19">
            <v>107.805637903</v>
          </cell>
          <cell r="K19">
            <v>142.59885311299999</v>
          </cell>
          <cell r="L19">
            <v>172.99815322199998</v>
          </cell>
          <cell r="M19">
            <v>177.656783494</v>
          </cell>
          <cell r="N19">
            <v>196.02123834700001</v>
          </cell>
          <cell r="O19">
            <v>207.96541783500004</v>
          </cell>
          <cell r="P19">
            <v>226.16299960600003</v>
          </cell>
          <cell r="Q19">
            <v>241.863085625</v>
          </cell>
          <cell r="R19">
            <v>245.00520319700001</v>
          </cell>
          <cell r="S19">
            <v>240.77374352700002</v>
          </cell>
          <cell r="T19">
            <v>243.04939308399997</v>
          </cell>
          <cell r="U19">
            <v>242.87208996200002</v>
          </cell>
          <cell r="V19">
            <v>235.50735180099997</v>
          </cell>
          <cell r="W19">
            <v>223.66698900099999</v>
          </cell>
          <cell r="X19">
            <v>237.94349926699999</v>
          </cell>
          <cell r="Y19">
            <v>243.35092327300001</v>
          </cell>
          <cell r="Z19">
            <v>225.11292887599998</v>
          </cell>
          <cell r="AA19">
            <v>196.06141289600001</v>
          </cell>
          <cell r="AB19">
            <v>159.11373310100001</v>
          </cell>
          <cell r="AC19">
            <v>126.22036101399999</v>
          </cell>
        </row>
        <row r="20">
          <cell r="F20">
            <v>114.424242746</v>
          </cell>
          <cell r="G20">
            <v>99.520384468999993</v>
          </cell>
          <cell r="H20">
            <v>91.109947881000011</v>
          </cell>
          <cell r="I20">
            <v>89.347403386000011</v>
          </cell>
          <cell r="J20">
            <v>97.188556297999995</v>
          </cell>
          <cell r="K20">
            <v>111.294221753</v>
          </cell>
          <cell r="L20">
            <v>134.09874463400001</v>
          </cell>
          <cell r="M20">
            <v>146.04171484199998</v>
          </cell>
          <cell r="N20">
            <v>171.218992464</v>
          </cell>
          <cell r="O20">
            <v>188.36521108700001</v>
          </cell>
          <cell r="P20">
            <v>203.42787806000001</v>
          </cell>
          <cell r="Q20">
            <v>214.71522577900001</v>
          </cell>
          <cell r="R20">
            <v>217.553266116</v>
          </cell>
          <cell r="S20">
            <v>213.28072493700003</v>
          </cell>
          <cell r="T20">
            <v>208.072389988</v>
          </cell>
          <cell r="U20">
            <v>206.82558451800003</v>
          </cell>
          <cell r="V20">
            <v>204.75039579500003</v>
          </cell>
          <cell r="W20">
            <v>200.972469031</v>
          </cell>
          <cell r="X20">
            <v>217.29711037999999</v>
          </cell>
          <cell r="Y20">
            <v>222.308173971</v>
          </cell>
          <cell r="Z20">
            <v>205.520094957</v>
          </cell>
          <cell r="AA20">
            <v>182.07714781600001</v>
          </cell>
          <cell r="AB20">
            <v>155.76438272700003</v>
          </cell>
          <cell r="AC20">
            <v>128.76762997500001</v>
          </cell>
        </row>
        <row r="21">
          <cell r="F21">
            <v>119.03223441799999</v>
          </cell>
          <cell r="G21">
            <v>103.270834124</v>
          </cell>
          <cell r="H21">
            <v>93.305066948000004</v>
          </cell>
          <cell r="I21">
            <v>88.900000018</v>
          </cell>
          <cell r="J21">
            <v>90.653569388000008</v>
          </cell>
          <cell r="K21">
            <v>94.810061256000012</v>
          </cell>
          <cell r="L21">
            <v>106.76645447199999</v>
          </cell>
          <cell r="M21">
            <v>112.52956551600001</v>
          </cell>
          <cell r="N21">
            <v>134.30367602499999</v>
          </cell>
          <cell r="O21">
            <v>152.54643196200001</v>
          </cell>
          <cell r="P21">
            <v>165.82869866499999</v>
          </cell>
          <cell r="Q21">
            <v>178.666997111</v>
          </cell>
          <cell r="R21">
            <v>187.97427353700002</v>
          </cell>
          <cell r="S21">
            <v>189.86212211399999</v>
          </cell>
          <cell r="T21">
            <v>187.862845943</v>
          </cell>
          <cell r="U21">
            <v>184.73070493100002</v>
          </cell>
          <cell r="V21">
            <v>181.020471394</v>
          </cell>
          <cell r="W21">
            <v>178.57580606200003</v>
          </cell>
          <cell r="X21">
            <v>198.09115536499999</v>
          </cell>
          <cell r="Y21">
            <v>207.88649719900005</v>
          </cell>
          <cell r="Z21">
            <v>195.27264867900001</v>
          </cell>
          <cell r="AA21">
            <v>172.73110640800002</v>
          </cell>
          <cell r="AB21">
            <v>142.26210642299998</v>
          </cell>
          <cell r="AC21">
            <v>111.542902627</v>
          </cell>
        </row>
        <row r="22">
          <cell r="F22">
            <v>211.20085025400002</v>
          </cell>
          <cell r="G22">
            <v>192.83266552800001</v>
          </cell>
          <cell r="H22">
            <v>181.468796838</v>
          </cell>
          <cell r="I22">
            <v>176.31459228500003</v>
          </cell>
          <cell r="J22">
            <v>178.88775117500001</v>
          </cell>
          <cell r="K22">
            <v>184.15294117900001</v>
          </cell>
          <cell r="L22">
            <v>194.80519771600001</v>
          </cell>
          <cell r="M22">
            <v>196.11495754699999</v>
          </cell>
          <cell r="N22">
            <v>218.085001648</v>
          </cell>
          <cell r="O22">
            <v>230.90413678500002</v>
          </cell>
          <cell r="P22">
            <v>238.50819145800003</v>
          </cell>
          <cell r="Q22">
            <v>256.03881751900002</v>
          </cell>
          <cell r="R22">
            <v>271.641741669</v>
          </cell>
          <cell r="S22">
            <v>270.322621255</v>
          </cell>
          <cell r="T22">
            <v>264.36826257900003</v>
          </cell>
          <cell r="U22">
            <v>260.60073184399999</v>
          </cell>
          <cell r="V22">
            <v>260.66913174400003</v>
          </cell>
          <cell r="W22">
            <v>264.64632517799998</v>
          </cell>
          <cell r="X22">
            <v>288.20600940800006</v>
          </cell>
          <cell r="Y22">
            <v>296.44990546600002</v>
          </cell>
          <cell r="Z22">
            <v>279.52617168900002</v>
          </cell>
          <cell r="AA22">
            <v>262.67871702700006</v>
          </cell>
          <cell r="AB22">
            <v>242.73027542899999</v>
          </cell>
          <cell r="AC22">
            <v>214.31712702400003</v>
          </cell>
        </row>
        <row r="23">
          <cell r="F23">
            <v>111.66592797200001</v>
          </cell>
          <cell r="G23">
            <v>98.680120040000006</v>
          </cell>
          <cell r="H23">
            <v>92.135564701999996</v>
          </cell>
          <cell r="I23">
            <v>92.563332386000013</v>
          </cell>
          <cell r="J23">
            <v>108.66942282800001</v>
          </cell>
          <cell r="K23">
            <v>143.96143958500002</v>
          </cell>
          <cell r="L23">
            <v>176.44344106899999</v>
          </cell>
          <cell r="M23">
            <v>181.89677614599998</v>
          </cell>
          <cell r="N23">
            <v>199.36900532000001</v>
          </cell>
          <cell r="O23">
            <v>211.53379904900001</v>
          </cell>
          <cell r="P23">
            <v>230.04133817900001</v>
          </cell>
          <cell r="Q23">
            <v>245.33959557000003</v>
          </cell>
          <cell r="R23">
            <v>246.417116956</v>
          </cell>
          <cell r="S23">
            <v>241.223539002</v>
          </cell>
          <cell r="T23">
            <v>242.91896845699998</v>
          </cell>
          <cell r="U23">
            <v>243.372985075</v>
          </cell>
          <cell r="V23">
            <v>236.14888239900003</v>
          </cell>
          <cell r="W23">
            <v>223.51579498999999</v>
          </cell>
          <cell r="X23">
            <v>238.07025448500002</v>
          </cell>
          <cell r="Y23">
            <v>245.82642524500002</v>
          </cell>
          <cell r="Z23">
            <v>227.19957552700001</v>
          </cell>
          <cell r="AA23">
            <v>197.73811740600001</v>
          </cell>
          <cell r="AB23">
            <v>159.73964887100001</v>
          </cell>
          <cell r="AC23">
            <v>126.93517398</v>
          </cell>
        </row>
        <row r="24">
          <cell r="F24">
            <v>118.92252626899999</v>
          </cell>
          <cell r="G24">
            <v>103.92450664900001</v>
          </cell>
          <cell r="H24">
            <v>96.032563976999995</v>
          </cell>
          <cell r="I24">
            <v>93.648151021000004</v>
          </cell>
          <cell r="J24">
            <v>101.47400276200001</v>
          </cell>
          <cell r="K24">
            <v>114.22984342800001</v>
          </cell>
          <cell r="L24">
            <v>140.02638200100003</v>
          </cell>
          <cell r="M24">
            <v>155.040904514</v>
          </cell>
          <cell r="N24">
            <v>182.13161454300001</v>
          </cell>
          <cell r="O24">
            <v>200.02487344400001</v>
          </cell>
          <cell r="P24">
            <v>215.99886516200004</v>
          </cell>
          <cell r="Q24">
            <v>226.888306855</v>
          </cell>
          <cell r="R24">
            <v>226.82736292200002</v>
          </cell>
          <cell r="S24">
            <v>219.31232259399999</v>
          </cell>
          <cell r="T24">
            <v>211.62293054300002</v>
          </cell>
          <cell r="U24">
            <v>208.53729012599999</v>
          </cell>
          <cell r="V24">
            <v>205.114192567</v>
          </cell>
          <cell r="W24">
            <v>201.76392389599999</v>
          </cell>
          <cell r="X24">
            <v>216.62307660299999</v>
          </cell>
          <cell r="Y24">
            <v>223.29847981600003</v>
          </cell>
          <cell r="Z24">
            <v>208.11877721299999</v>
          </cell>
          <cell r="AA24">
            <v>184.27564153000003</v>
          </cell>
          <cell r="AB24">
            <v>157.36976239099999</v>
          </cell>
          <cell r="AC24">
            <v>129.48986867600001</v>
          </cell>
        </row>
        <row r="25">
          <cell r="F25">
            <v>116.48608026200002</v>
          </cell>
          <cell r="G25">
            <v>101.425945219</v>
          </cell>
          <cell r="H25">
            <v>91.17613706600001</v>
          </cell>
          <cell r="I25">
            <v>86.298366363000014</v>
          </cell>
          <cell r="J25">
            <v>86.408716942000012</v>
          </cell>
          <cell r="K25">
            <v>89.155891224000001</v>
          </cell>
          <cell r="L25">
            <v>100.561404494</v>
          </cell>
          <cell r="M25">
            <v>106.304229866</v>
          </cell>
          <cell r="N25">
            <v>128.941501765</v>
          </cell>
          <cell r="O25">
            <v>148.232416258</v>
          </cell>
          <cell r="P25">
            <v>163.473349998</v>
          </cell>
          <cell r="Q25">
            <v>179.243026302</v>
          </cell>
          <cell r="R25">
            <v>186.934991852</v>
          </cell>
          <cell r="S25">
            <v>186.19114860800002</v>
          </cell>
          <cell r="T25">
            <v>178.96124138799999</v>
          </cell>
          <cell r="U25">
            <v>177.439868894</v>
          </cell>
          <cell r="V25">
            <v>173.98540563500001</v>
          </cell>
          <cell r="W25">
            <v>172.356301409</v>
          </cell>
          <cell r="X25">
            <v>192.10599406000003</v>
          </cell>
          <cell r="Y25">
            <v>203.57923834700003</v>
          </cell>
          <cell r="Z25">
            <v>192.138130676</v>
          </cell>
          <cell r="AA25">
            <v>171.012186689</v>
          </cell>
          <cell r="AB25">
            <v>141.24501124700001</v>
          </cell>
          <cell r="AC25">
            <v>110.010068426</v>
          </cell>
        </row>
        <row r="26">
          <cell r="F26">
            <v>109.070578794</v>
          </cell>
          <cell r="G26">
            <v>94.748433324000004</v>
          </cell>
          <cell r="H26">
            <v>86.312753016000002</v>
          </cell>
          <cell r="I26">
            <v>83.659792982999988</v>
          </cell>
          <cell r="J26">
            <v>90.902442991000001</v>
          </cell>
          <cell r="K26">
            <v>102.16564667900001</v>
          </cell>
          <cell r="L26">
            <v>115.41588257800001</v>
          </cell>
          <cell r="M26">
            <v>121.98545489599999</v>
          </cell>
          <cell r="N26">
            <v>143.51164411000002</v>
          </cell>
          <cell r="O26">
            <v>160.66358036000003</v>
          </cell>
          <cell r="P26">
            <v>180.42090281200001</v>
          </cell>
          <cell r="Q26">
            <v>196.212826089</v>
          </cell>
          <cell r="R26">
            <v>209.48888389500004</v>
          </cell>
          <cell r="S26">
            <v>204.65347578199999</v>
          </cell>
          <cell r="T26">
            <v>195.941138663</v>
          </cell>
          <cell r="U26">
            <v>186.877275185</v>
          </cell>
          <cell r="V26">
            <v>184.73481270400001</v>
          </cell>
          <cell r="W26">
            <v>187.91008344300002</v>
          </cell>
          <cell r="X26">
            <v>206.07459518500002</v>
          </cell>
          <cell r="Y26">
            <v>212.42833369700003</v>
          </cell>
          <cell r="Z26">
            <v>196.085526695</v>
          </cell>
          <cell r="AA26">
            <v>171.67653111000001</v>
          </cell>
          <cell r="AB26">
            <v>140.80498070800002</v>
          </cell>
          <cell r="AC26">
            <v>109.535573407</v>
          </cell>
        </row>
        <row r="27">
          <cell r="F27">
            <v>107.62252645800001</v>
          </cell>
          <cell r="G27">
            <v>94.557665625000013</v>
          </cell>
          <cell r="H27">
            <v>87.936528852000009</v>
          </cell>
          <cell r="I27">
            <v>87.928207494000006</v>
          </cell>
          <cell r="J27">
            <v>101.432679397</v>
          </cell>
          <cell r="K27">
            <v>129.441334979</v>
          </cell>
          <cell r="L27">
            <v>161.25395463500001</v>
          </cell>
          <cell r="M27">
            <v>171.147165011</v>
          </cell>
          <cell r="N27">
            <v>190.48826084500001</v>
          </cell>
          <cell r="O27">
            <v>203.117860237</v>
          </cell>
          <cell r="P27">
            <v>220.44604526800001</v>
          </cell>
          <cell r="Q27">
            <v>236.37303000499998</v>
          </cell>
          <cell r="R27">
            <v>240.05934247200003</v>
          </cell>
          <cell r="S27">
            <v>236.03828996400003</v>
          </cell>
          <cell r="T27">
            <v>238.17357612400005</v>
          </cell>
          <cell r="U27">
            <v>238.45699356600002</v>
          </cell>
          <cell r="V27">
            <v>231.52031407200005</v>
          </cell>
          <cell r="W27">
            <v>217.720101408</v>
          </cell>
          <cell r="X27">
            <v>226.14641357500003</v>
          </cell>
          <cell r="Y27">
            <v>234.52495540300001</v>
          </cell>
          <cell r="Z27">
            <v>216.19410341800003</v>
          </cell>
          <cell r="AA27">
            <v>188.47726977400001</v>
          </cell>
          <cell r="AB27">
            <v>151.16310633799998</v>
          </cell>
          <cell r="AC27">
            <v>121.045387077</v>
          </cell>
        </row>
        <row r="28">
          <cell r="F28">
            <v>113.33653317600002</v>
          </cell>
          <cell r="G28">
            <v>98.621330137000001</v>
          </cell>
          <cell r="H28">
            <v>89.492849538000016</v>
          </cell>
          <cell r="I28">
            <v>87.109313310000005</v>
          </cell>
          <cell r="J28">
            <v>94.631907858999995</v>
          </cell>
          <cell r="K28">
            <v>107.63469105900002</v>
          </cell>
          <cell r="L28">
            <v>132.844373606</v>
          </cell>
          <cell r="M28">
            <v>147.0291751</v>
          </cell>
          <cell r="N28">
            <v>172.054858137</v>
          </cell>
          <cell r="O28">
            <v>188.830164131</v>
          </cell>
          <cell r="P28">
            <v>205.08874856</v>
          </cell>
          <cell r="Q28">
            <v>216.41882165299998</v>
          </cell>
          <cell r="R28">
            <v>217.91833641099998</v>
          </cell>
          <cell r="S28">
            <v>210.81250131900001</v>
          </cell>
          <cell r="T28">
            <v>204.88526830499998</v>
          </cell>
          <cell r="U28">
            <v>203.096202788</v>
          </cell>
          <cell r="V28">
            <v>198.571526729</v>
          </cell>
          <cell r="W28">
            <v>193.90205072699999</v>
          </cell>
          <cell r="X28">
            <v>205.03499984300004</v>
          </cell>
          <cell r="Y28">
            <v>214.84059032499999</v>
          </cell>
          <cell r="Z28">
            <v>199.24268090800001</v>
          </cell>
          <cell r="AA28">
            <v>176.62694553</v>
          </cell>
          <cell r="AB28">
            <v>150.659581041</v>
          </cell>
          <cell r="AC28">
            <v>124.20638453300002</v>
          </cell>
        </row>
        <row r="29">
          <cell r="F29">
            <v>115.83726753100001</v>
          </cell>
          <cell r="G29">
            <v>101.06384899700001</v>
          </cell>
          <cell r="H29">
            <v>90.946460783000006</v>
          </cell>
          <cell r="I29">
            <v>86.64661255</v>
          </cell>
          <cell r="J29">
            <v>87.789986790000015</v>
          </cell>
          <cell r="K29">
            <v>91.037935257000001</v>
          </cell>
          <cell r="L29">
            <v>100.85871731900001</v>
          </cell>
          <cell r="M29">
            <v>104.457988079</v>
          </cell>
          <cell r="N29">
            <v>123.99547476399999</v>
          </cell>
          <cell r="O29">
            <v>140.945072017</v>
          </cell>
          <cell r="P29">
            <v>153.19584933300001</v>
          </cell>
          <cell r="Q29">
            <v>168.11364456200002</v>
          </cell>
          <cell r="R29">
            <v>177.60491671899999</v>
          </cell>
          <cell r="S29">
            <v>178.870526493</v>
          </cell>
          <cell r="T29">
            <v>174.711536706</v>
          </cell>
          <cell r="U29">
            <v>172.46056023999998</v>
          </cell>
          <cell r="V29">
            <v>168.85764652400002</v>
          </cell>
          <cell r="W29">
            <v>164.98525987599999</v>
          </cell>
          <cell r="X29">
            <v>178.992758248</v>
          </cell>
          <cell r="Y29">
            <v>192.355865319</v>
          </cell>
          <cell r="Z29">
            <v>181.938511422</v>
          </cell>
          <cell r="AA29">
            <v>164.90373550900003</v>
          </cell>
          <cell r="AB29">
            <v>139.537878229</v>
          </cell>
          <cell r="AC29">
            <v>112.70412508400001</v>
          </cell>
        </row>
        <row r="30">
          <cell r="F30">
            <v>107.299599571</v>
          </cell>
          <cell r="G30">
            <v>93.091009271999994</v>
          </cell>
          <cell r="H30">
            <v>84.314062590000006</v>
          </cell>
          <cell r="I30">
            <v>80.834809090999997</v>
          </cell>
          <cell r="J30">
            <v>83.425978694999998</v>
          </cell>
          <cell r="K30">
            <v>88.736206820999996</v>
          </cell>
          <cell r="L30">
            <v>98.293947809000002</v>
          </cell>
          <cell r="M30">
            <v>101.27148615200001</v>
          </cell>
          <cell r="N30">
            <v>121.02153402900001</v>
          </cell>
          <cell r="O30">
            <v>139.00013786600002</v>
          </cell>
          <cell r="P30">
            <v>157.42433115100002</v>
          </cell>
          <cell r="Q30">
            <v>176.373064752</v>
          </cell>
          <cell r="R30">
            <v>187.11378390000002</v>
          </cell>
          <cell r="S30">
            <v>185.18584391200002</v>
          </cell>
          <cell r="T30">
            <v>177.97697438500001</v>
          </cell>
          <cell r="U30">
            <v>174.74328408500003</v>
          </cell>
          <cell r="V30">
            <v>171.68623558200002</v>
          </cell>
          <cell r="W30">
            <v>169.31475814300001</v>
          </cell>
          <cell r="X30">
            <v>185.93455072900002</v>
          </cell>
          <cell r="Y30">
            <v>205.61857569700001</v>
          </cell>
          <cell r="Z30">
            <v>193.07532645500001</v>
          </cell>
          <cell r="AA30">
            <v>171.879036383</v>
          </cell>
          <cell r="AB30">
            <v>141.05629176600002</v>
          </cell>
          <cell r="AC30">
            <v>109.996320424</v>
          </cell>
        </row>
        <row r="31">
          <cell r="F31">
            <v>118.731766128</v>
          </cell>
          <cell r="G31">
            <v>104.986915814</v>
          </cell>
          <cell r="H31">
            <v>97.466924996000003</v>
          </cell>
          <cell r="I31">
            <v>96.990608499000004</v>
          </cell>
          <cell r="J31">
            <v>110.87060341100002</v>
          </cell>
          <cell r="K31">
            <v>142.96843931299998</v>
          </cell>
          <cell r="L31">
            <v>174.58955058600003</v>
          </cell>
          <cell r="M31">
            <v>181.60877099799998</v>
          </cell>
          <cell r="N31">
            <v>200.92798264300004</v>
          </cell>
          <cell r="O31">
            <v>213.35165676700001</v>
          </cell>
          <cell r="P31">
            <v>231.49067915400002</v>
          </cell>
          <cell r="Q31">
            <v>247.31084667700003</v>
          </cell>
          <cell r="R31">
            <v>250.40563983199999</v>
          </cell>
          <cell r="S31">
            <v>247.31681749700005</v>
          </cell>
          <cell r="T31">
            <v>251.39727210600003</v>
          </cell>
          <cell r="U31">
            <v>252.33551466800003</v>
          </cell>
          <cell r="V31">
            <v>244.70280383799999</v>
          </cell>
          <cell r="W31">
            <v>228.165132701</v>
          </cell>
          <cell r="X31">
            <v>235.592435986</v>
          </cell>
          <cell r="Y31">
            <v>251.02176043399999</v>
          </cell>
          <cell r="Z31">
            <v>233.83888929</v>
          </cell>
          <cell r="AA31">
            <v>205.635789042</v>
          </cell>
          <cell r="AB31">
            <v>165.98818758100001</v>
          </cell>
          <cell r="AC31">
            <v>133.56322254399998</v>
          </cell>
        </row>
        <row r="32">
          <cell r="F32">
            <v>122.873754194</v>
          </cell>
          <cell r="G32">
            <v>107.923202593</v>
          </cell>
          <cell r="H32">
            <v>99.034926571</v>
          </cell>
          <cell r="I32">
            <v>95.812418332000007</v>
          </cell>
          <cell r="J32">
            <v>103.148768645</v>
          </cell>
          <cell r="K32">
            <v>117.077712944</v>
          </cell>
          <cell r="L32">
            <v>141.89425478400003</v>
          </cell>
          <cell r="M32">
            <v>156.22024349699998</v>
          </cell>
          <cell r="N32">
            <v>181.771585434</v>
          </cell>
          <cell r="O32">
            <v>199.208480958</v>
          </cell>
          <cell r="P32">
            <v>215.83518155600004</v>
          </cell>
          <cell r="Q32">
            <v>228.725437473</v>
          </cell>
          <cell r="R32">
            <v>229.19399190400003</v>
          </cell>
          <cell r="S32">
            <v>220.12028413100003</v>
          </cell>
          <cell r="T32">
            <v>211.85372918900003</v>
          </cell>
          <cell r="U32">
            <v>209.54861476900001</v>
          </cell>
          <cell r="V32">
            <v>207.91110226800001</v>
          </cell>
          <cell r="W32">
            <v>203.15713160499999</v>
          </cell>
          <cell r="X32">
            <v>214.88351976500002</v>
          </cell>
          <cell r="Y32">
            <v>224.97117858600001</v>
          </cell>
          <cell r="Z32">
            <v>207.91258741499999</v>
          </cell>
          <cell r="AA32">
            <v>183.115851314</v>
          </cell>
          <cell r="AB32">
            <v>155.61484013899999</v>
          </cell>
          <cell r="AC32">
            <v>128.435516339</v>
          </cell>
        </row>
        <row r="33">
          <cell r="F33">
            <v>114.46154147599999</v>
          </cell>
          <cell r="G33">
            <v>98.926722464000008</v>
          </cell>
          <cell r="H33">
            <v>88.785462306999989</v>
          </cell>
          <cell r="I33">
            <v>83.629107503</v>
          </cell>
          <cell r="J33">
            <v>85.515758136999992</v>
          </cell>
          <cell r="K33">
            <v>89.537838532999999</v>
          </cell>
          <cell r="L33">
            <v>101.29765950600002</v>
          </cell>
          <cell r="M33">
            <v>105.37066192700001</v>
          </cell>
          <cell r="N33">
            <v>125.62153311599999</v>
          </cell>
          <cell r="O33">
            <v>143.64736311599998</v>
          </cell>
          <cell r="P33">
            <v>157.40191790200001</v>
          </cell>
          <cell r="Q33">
            <v>173.61653366600001</v>
          </cell>
          <cell r="R33">
            <v>183.70597995400001</v>
          </cell>
          <cell r="S33">
            <v>184.20984536100002</v>
          </cell>
          <cell r="T33">
            <v>179.23901678300001</v>
          </cell>
          <cell r="U33">
            <v>176.68060355100002</v>
          </cell>
          <cell r="V33">
            <v>173.69032997800002</v>
          </cell>
          <cell r="W33">
            <v>170.33529598799998</v>
          </cell>
          <cell r="X33">
            <v>186.267423944</v>
          </cell>
          <cell r="Y33">
            <v>205.386254114</v>
          </cell>
          <cell r="Z33">
            <v>193.262768634</v>
          </cell>
          <cell r="AA33">
            <v>170.45727832900002</v>
          </cell>
          <cell r="AB33">
            <v>138.91723038500001</v>
          </cell>
          <cell r="AC33">
            <v>110.002669144</v>
          </cell>
        </row>
        <row r="34">
          <cell r="F34">
            <v>131.39329051199999</v>
          </cell>
          <cell r="G34">
            <v>114.44594554299999</v>
          </cell>
          <cell r="H34">
            <v>103.56926553300001</v>
          </cell>
          <cell r="I34">
            <v>98.094359924000003</v>
          </cell>
          <cell r="J34">
            <v>97.83392258100001</v>
          </cell>
          <cell r="K34">
            <v>98.684601934</v>
          </cell>
          <cell r="L34">
            <v>109.58699048100002</v>
          </cell>
          <cell r="M34">
            <v>113.951981116</v>
          </cell>
          <cell r="N34">
            <v>133.69590323400001</v>
          </cell>
          <cell r="O34">
            <v>149.9605454</v>
          </cell>
          <cell r="P34">
            <v>163.20424362900002</v>
          </cell>
          <cell r="Q34">
            <v>180.03367246100001</v>
          </cell>
          <cell r="R34">
            <v>187.28313222699998</v>
          </cell>
          <cell r="S34">
            <v>189.04300119000001</v>
          </cell>
          <cell r="T34">
            <v>186.44213089299998</v>
          </cell>
          <cell r="U34">
            <v>184.84407870999999</v>
          </cell>
          <cell r="V34">
            <v>181.97938886499998</v>
          </cell>
          <cell r="W34">
            <v>179.155772971</v>
          </cell>
          <cell r="X34">
            <v>194.05177848600002</v>
          </cell>
          <cell r="Y34">
            <v>211.92324767299999</v>
          </cell>
          <cell r="Z34">
            <v>204.72517097000002</v>
          </cell>
          <cell r="AA34">
            <v>188.65851817200002</v>
          </cell>
          <cell r="AB34">
            <v>158.43206952300002</v>
          </cell>
          <cell r="AC34">
            <v>127.78464027400001</v>
          </cell>
        </row>
        <row r="35">
          <cell r="F35">
            <v>116.07325474400001</v>
          </cell>
          <cell r="G35">
            <v>102.32101648500002</v>
          </cell>
          <cell r="H35">
            <v>94.908984139000012</v>
          </cell>
          <cell r="I35">
            <v>94.51862477600001</v>
          </cell>
          <cell r="J35">
            <v>109.96636051200001</v>
          </cell>
          <cell r="K35">
            <v>145.208940391</v>
          </cell>
          <cell r="L35">
            <v>178.01856228000003</v>
          </cell>
          <cell r="M35">
            <v>182.493434898</v>
          </cell>
          <cell r="N35">
            <v>200.49128140299999</v>
          </cell>
          <cell r="O35">
            <v>211.94067264199998</v>
          </cell>
          <cell r="P35">
            <v>229.90730460699999</v>
          </cell>
          <cell r="Q35">
            <v>245.73464089300003</v>
          </cell>
          <cell r="R35">
            <v>248.260917509</v>
          </cell>
          <cell r="S35">
            <v>244.09607782999998</v>
          </cell>
          <cell r="T35">
            <v>247.85913045000001</v>
          </cell>
          <cell r="U35">
            <v>248.10747877200004</v>
          </cell>
          <cell r="V35">
            <v>241.14579363500002</v>
          </cell>
          <cell r="W35">
            <v>227.45838412100002</v>
          </cell>
          <cell r="X35">
            <v>240.719076513</v>
          </cell>
          <cell r="Y35">
            <v>251.64414661800004</v>
          </cell>
          <cell r="Z35">
            <v>233.70089154700003</v>
          </cell>
          <cell r="AA35">
            <v>203.27595092300001</v>
          </cell>
          <cell r="AB35">
            <v>163.86743545499999</v>
          </cell>
          <cell r="AC35">
            <v>131.48217259199998</v>
          </cell>
        </row>
        <row r="36">
          <cell r="F36">
            <v>120.52849545700001</v>
          </cell>
          <cell r="G36">
            <v>106.056505079</v>
          </cell>
          <cell r="H36">
            <v>97.368920410000001</v>
          </cell>
          <cell r="I36">
            <v>94.490762208999996</v>
          </cell>
          <cell r="J36">
            <v>102.46140633500001</v>
          </cell>
          <cell r="K36">
            <v>115.720538</v>
          </cell>
          <cell r="L36">
            <v>140.70190470400001</v>
          </cell>
          <cell r="M36">
            <v>155.389007099</v>
          </cell>
          <cell r="N36">
            <v>180.77680903200002</v>
          </cell>
          <cell r="O36">
            <v>195.37581915800004</v>
          </cell>
          <cell r="P36">
            <v>209.39270834500002</v>
          </cell>
          <cell r="Q36">
            <v>219.37460051400001</v>
          </cell>
          <cell r="R36">
            <v>221.07489732100001</v>
          </cell>
          <cell r="S36">
            <v>214.92404576099997</v>
          </cell>
          <cell r="T36">
            <v>208.46905650200003</v>
          </cell>
          <cell r="U36">
            <v>205.63642391400001</v>
          </cell>
          <cell r="V36">
            <v>202.58060736499999</v>
          </cell>
          <cell r="W36">
            <v>199.27873634700003</v>
          </cell>
          <cell r="X36">
            <v>214.35987129300003</v>
          </cell>
          <cell r="Y36">
            <v>221.743198355</v>
          </cell>
          <cell r="Z36">
            <v>203.91885329799999</v>
          </cell>
          <cell r="AA36">
            <v>179.14625366999999</v>
          </cell>
          <cell r="AB36">
            <v>151.22117067300002</v>
          </cell>
          <cell r="AC36">
            <v>124.90998898500001</v>
          </cell>
        </row>
        <row r="37">
          <cell r="F37">
            <v>115.734901979</v>
          </cell>
          <cell r="G37">
            <v>100.85438658500001</v>
          </cell>
          <cell r="H37">
            <v>90.415409249999996</v>
          </cell>
          <cell r="I37">
            <v>85.888477128000005</v>
          </cell>
          <cell r="J37">
            <v>87.941173243000009</v>
          </cell>
          <cell r="K37">
            <v>93.807039075999995</v>
          </cell>
          <cell r="L37">
            <v>102.711054633</v>
          </cell>
          <cell r="M37">
            <v>107.141289703</v>
          </cell>
          <cell r="N37">
            <v>126.529702396</v>
          </cell>
          <cell r="O37">
            <v>144.20557810099999</v>
          </cell>
          <cell r="P37">
            <v>158.93342945300003</v>
          </cell>
          <cell r="Q37">
            <v>174.54878651300001</v>
          </cell>
          <cell r="R37">
            <v>184.48559143300002</v>
          </cell>
          <cell r="S37">
            <v>185.79565358400001</v>
          </cell>
          <cell r="T37">
            <v>179.49184699899999</v>
          </cell>
          <cell r="U37">
            <v>176.48952597400003</v>
          </cell>
          <cell r="V37">
            <v>172.67968555499999</v>
          </cell>
          <cell r="W37">
            <v>172.43828681399998</v>
          </cell>
          <cell r="X37">
            <v>193.36472227500002</v>
          </cell>
          <cell r="Y37">
            <v>205.97109971200001</v>
          </cell>
          <cell r="Z37">
            <v>193.38510242199999</v>
          </cell>
          <cell r="AA37">
            <v>171.48596369800001</v>
          </cell>
          <cell r="AB37">
            <v>141.331504999</v>
          </cell>
          <cell r="AC37">
            <v>113.12745622200001</v>
          </cell>
        </row>
        <row r="38">
          <cell r="F38">
            <v>110.44253340700001</v>
          </cell>
          <cell r="G38">
            <v>95.176015836999994</v>
          </cell>
          <cell r="H38">
            <v>85.028301147999997</v>
          </cell>
          <cell r="I38">
            <v>82.702549608999988</v>
          </cell>
          <cell r="J38">
            <v>85.625107280999998</v>
          </cell>
          <cell r="K38">
            <v>94.525767086000002</v>
          </cell>
          <cell r="L38">
            <v>107.65929234900001</v>
          </cell>
          <cell r="M38">
            <v>111.15139822700002</v>
          </cell>
          <cell r="N38">
            <v>133.85082711799998</v>
          </cell>
          <cell r="O38">
            <v>151.68562111</v>
          </cell>
          <cell r="P38">
            <v>169.24943434900001</v>
          </cell>
          <cell r="Q38">
            <v>187.28298484600001</v>
          </cell>
          <cell r="R38">
            <v>197.971107872</v>
          </cell>
          <cell r="S38">
            <v>197.017964713</v>
          </cell>
          <cell r="T38">
            <v>190.581084422</v>
          </cell>
          <cell r="U38">
            <v>184.34468386000003</v>
          </cell>
          <cell r="V38">
            <v>182.85722033300001</v>
          </cell>
          <cell r="W38">
            <v>180.48353595800003</v>
          </cell>
          <cell r="X38">
            <v>199.201754338</v>
          </cell>
          <cell r="Y38">
            <v>217.03457191299998</v>
          </cell>
          <cell r="Z38">
            <v>202.173661971</v>
          </cell>
          <cell r="AA38">
            <v>175.81709827200001</v>
          </cell>
          <cell r="AB38">
            <v>143.833210557</v>
          </cell>
          <cell r="AC38">
            <v>113.321919783</v>
          </cell>
        </row>
        <row r="39">
          <cell r="F39">
            <v>115.541213113</v>
          </cell>
          <cell r="G39">
            <v>102.548988439</v>
          </cell>
          <cell r="H39">
            <v>95.858008188000014</v>
          </cell>
          <cell r="I39">
            <v>95.546924687000001</v>
          </cell>
          <cell r="J39">
            <v>111.10269447500001</v>
          </cell>
          <cell r="K39">
            <v>147.29968347800002</v>
          </cell>
          <cell r="L39">
            <v>179.235026159</v>
          </cell>
          <cell r="M39">
            <v>182.03202655600003</v>
          </cell>
          <cell r="N39">
            <v>199.83709871299999</v>
          </cell>
          <cell r="O39">
            <v>211.323467467</v>
          </cell>
          <cell r="P39">
            <v>230.00195344100001</v>
          </cell>
          <cell r="Q39">
            <v>246.15534184700005</v>
          </cell>
          <cell r="R39">
            <v>247.40066217000003</v>
          </cell>
          <cell r="S39">
            <v>243.507354978</v>
          </cell>
          <cell r="T39">
            <v>246.63994569100004</v>
          </cell>
          <cell r="U39">
            <v>247.48587862000002</v>
          </cell>
          <cell r="V39">
            <v>241.09465620699999</v>
          </cell>
          <cell r="W39">
            <v>230.27170979799999</v>
          </cell>
          <cell r="X39">
            <v>250.02910782999999</v>
          </cell>
          <cell r="Y39">
            <v>250.521942336</v>
          </cell>
          <cell r="Z39">
            <v>231.39853201800003</v>
          </cell>
          <cell r="AA39">
            <v>201.37251774999999</v>
          </cell>
          <cell r="AB39">
            <v>161.24873205700001</v>
          </cell>
          <cell r="AC39">
            <v>129.35441420000001</v>
          </cell>
        </row>
        <row r="40">
          <cell r="F40">
            <v>119.334180297</v>
          </cell>
          <cell r="G40">
            <v>105.16666772800001</v>
          </cell>
          <cell r="H40">
            <v>96.201326558999995</v>
          </cell>
          <cell r="I40">
            <v>93.929705416000019</v>
          </cell>
          <cell r="J40">
            <v>102.58925368400001</v>
          </cell>
          <cell r="K40">
            <v>118.58846266899999</v>
          </cell>
          <cell r="L40">
            <v>142.42526474800002</v>
          </cell>
          <cell r="M40">
            <v>156.42325515600001</v>
          </cell>
          <cell r="N40">
            <v>181.79182575800002</v>
          </cell>
          <cell r="O40">
            <v>197.311003489</v>
          </cell>
          <cell r="P40">
            <v>214.85837052000002</v>
          </cell>
          <cell r="Q40">
            <v>227.32376858300003</v>
          </cell>
          <cell r="R40">
            <v>228.33651035099999</v>
          </cell>
          <cell r="S40">
            <v>221.87558806200002</v>
          </cell>
          <cell r="T40">
            <v>214.63385635099999</v>
          </cell>
          <cell r="U40">
            <v>211.952353531</v>
          </cell>
          <cell r="V40">
            <v>208.89070598500001</v>
          </cell>
          <cell r="W40">
            <v>207.41208153900001</v>
          </cell>
          <cell r="X40">
            <v>228.14454470899997</v>
          </cell>
          <cell r="Y40">
            <v>226.253495319</v>
          </cell>
          <cell r="Z40">
            <v>208.02119587500002</v>
          </cell>
          <cell r="AA40">
            <v>183.03219181200001</v>
          </cell>
          <cell r="AB40">
            <v>156.059806052</v>
          </cell>
          <cell r="AC40">
            <v>130.12263577300001</v>
          </cell>
        </row>
        <row r="41">
          <cell r="F41">
            <v>120.29419367800001</v>
          </cell>
          <cell r="G41">
            <v>103.377333902</v>
          </cell>
          <cell r="H41">
            <v>93.311374099000005</v>
          </cell>
          <cell r="I41">
            <v>87.996312631999999</v>
          </cell>
          <cell r="J41">
            <v>88.811174622999999</v>
          </cell>
          <cell r="K41">
            <v>92.870104048000002</v>
          </cell>
          <cell r="L41">
            <v>102.449358883</v>
          </cell>
          <cell r="M41">
            <v>105.877146181</v>
          </cell>
          <cell r="N41">
            <v>124.31713568600001</v>
          </cell>
          <cell r="O41">
            <v>141.259651093</v>
          </cell>
          <cell r="P41">
            <v>157.90609318700001</v>
          </cell>
          <cell r="Q41">
            <v>174.24870745999999</v>
          </cell>
          <cell r="R41">
            <v>182.81618417200002</v>
          </cell>
          <cell r="S41">
            <v>184.65820859499999</v>
          </cell>
          <cell r="T41">
            <v>181.194388532</v>
          </cell>
          <cell r="U41">
            <v>179.90525448300002</v>
          </cell>
          <cell r="V41">
            <v>177.679876963</v>
          </cell>
          <cell r="W41">
            <v>179.55087875800001</v>
          </cell>
          <cell r="X41">
            <v>204.53702589700001</v>
          </cell>
          <cell r="Y41">
            <v>207.96033885899999</v>
          </cell>
          <cell r="Z41">
            <v>193.66940037099999</v>
          </cell>
          <cell r="AA41">
            <v>171.156669196</v>
          </cell>
          <cell r="AB41">
            <v>141.15536958800001</v>
          </cell>
          <cell r="AC41">
            <v>111.55377103100001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106.30844723</v>
          </cell>
          <cell r="G43">
            <v>93.370836663999995</v>
          </cell>
          <cell r="H43">
            <v>87.412850148000004</v>
          </cell>
          <cell r="I43">
            <v>87.086552393000005</v>
          </cell>
          <cell r="J43">
            <v>102.45060595300001</v>
          </cell>
          <cell r="K43">
            <v>135.46723390400001</v>
          </cell>
          <cell r="L43">
            <v>166.63279428500002</v>
          </cell>
          <cell r="M43">
            <v>171.887350183</v>
          </cell>
          <cell r="N43">
            <v>189.396061823</v>
          </cell>
          <cell r="O43">
            <v>201.00342659900002</v>
          </cell>
          <cell r="P43">
            <v>219.01993758500001</v>
          </cell>
          <cell r="Q43">
            <v>235.16806940200001</v>
          </cell>
          <cell r="R43">
            <v>238.105595693</v>
          </cell>
          <cell r="S43">
            <v>234.011068088</v>
          </cell>
          <cell r="T43">
            <v>236.226363236</v>
          </cell>
          <cell r="U43">
            <v>236.86542992599999</v>
          </cell>
          <cell r="V43">
            <v>230.27494840099999</v>
          </cell>
          <cell r="W43">
            <v>224.50226515000003</v>
          </cell>
          <cell r="X43">
            <v>243.25249543900003</v>
          </cell>
          <cell r="Y43">
            <v>237.03672443799999</v>
          </cell>
          <cell r="Z43">
            <v>218.48654685099999</v>
          </cell>
          <cell r="AA43">
            <v>189.23009948000001</v>
          </cell>
          <cell r="AB43">
            <v>151.12018067700001</v>
          </cell>
          <cell r="AC43">
            <v>120.77454992600001</v>
          </cell>
        </row>
        <row r="44">
          <cell r="F44">
            <v>111.84655661400001</v>
          </cell>
          <cell r="G44">
            <v>97.086595098999993</v>
          </cell>
          <cell r="H44">
            <v>88.639094079000003</v>
          </cell>
          <cell r="I44">
            <v>85.960750503</v>
          </cell>
          <cell r="J44">
            <v>94.580562585999999</v>
          </cell>
          <cell r="K44">
            <v>109.083899769</v>
          </cell>
          <cell r="L44">
            <v>132.24655470100001</v>
          </cell>
          <cell r="M44">
            <v>144.59936123799997</v>
          </cell>
          <cell r="N44">
            <v>169.690602367</v>
          </cell>
          <cell r="O44">
            <v>186.14953426000002</v>
          </cell>
          <cell r="P44">
            <v>201.49346086600002</v>
          </cell>
          <cell r="Q44">
            <v>212.78899767799999</v>
          </cell>
          <cell r="R44">
            <v>214.42508549600001</v>
          </cell>
          <cell r="S44">
            <v>208.20603432300001</v>
          </cell>
          <cell r="T44">
            <v>204.82752896400004</v>
          </cell>
          <cell r="U44">
            <v>205.941604617</v>
          </cell>
          <cell r="V44">
            <v>202.33916327599997</v>
          </cell>
          <cell r="W44">
            <v>203.82601838400001</v>
          </cell>
          <cell r="X44">
            <v>222.33532986500001</v>
          </cell>
          <cell r="Y44">
            <v>214.88482729900002</v>
          </cell>
          <cell r="Z44">
            <v>197.64205900500002</v>
          </cell>
          <cell r="AA44">
            <v>173.46820035799999</v>
          </cell>
          <cell r="AB44">
            <v>145.55420872600001</v>
          </cell>
          <cell r="AC44">
            <v>119.28558613600001</v>
          </cell>
        </row>
        <row r="45">
          <cell r="F45">
            <v>109.33106526399999</v>
          </cell>
          <cell r="G45">
            <v>95.717055267000006</v>
          </cell>
          <cell r="H45">
            <v>86.433715027000005</v>
          </cell>
          <cell r="I45">
            <v>81.601364125000003</v>
          </cell>
          <cell r="J45">
            <v>83.256532113999995</v>
          </cell>
          <cell r="K45">
            <v>87.862354640000007</v>
          </cell>
          <cell r="L45">
            <v>97.250078418000001</v>
          </cell>
          <cell r="M45">
            <v>101.36540563899999</v>
          </cell>
          <cell r="N45">
            <v>120.27017057500001</v>
          </cell>
          <cell r="O45">
            <v>137.88320528900002</v>
          </cell>
          <cell r="P45">
            <v>154.170211577</v>
          </cell>
          <cell r="Q45">
            <v>169.462350767</v>
          </cell>
          <cell r="R45">
            <v>178.839727643</v>
          </cell>
          <cell r="S45">
            <v>179.73663172400001</v>
          </cell>
          <cell r="T45">
            <v>175.03774754400001</v>
          </cell>
          <cell r="U45">
            <v>172.02890396500001</v>
          </cell>
          <cell r="V45">
            <v>169.65322049900001</v>
          </cell>
          <cell r="W45">
            <v>172.84397002200001</v>
          </cell>
          <cell r="X45">
            <v>199.11392282000003</v>
          </cell>
          <cell r="Y45">
            <v>196.43211390100001</v>
          </cell>
          <cell r="Z45">
            <v>183.03485978600003</v>
          </cell>
          <cell r="AA45">
            <v>161.84519430100002</v>
          </cell>
          <cell r="AB45">
            <v>133.54726760600002</v>
          </cell>
          <cell r="AC45">
            <v>105.666221296</v>
          </cell>
        </row>
        <row r="46">
          <cell r="F46">
            <v>97.444405935000006</v>
          </cell>
          <cell r="G46">
            <v>83.954607889000002</v>
          </cell>
          <cell r="H46">
            <v>75.010686092</v>
          </cell>
          <cell r="I46">
            <v>71.492123434999996</v>
          </cell>
          <cell r="J46">
            <v>75.330676695999998</v>
          </cell>
          <cell r="K46">
            <v>82.216596662000001</v>
          </cell>
          <cell r="L46">
            <v>91.668272457</v>
          </cell>
          <cell r="M46">
            <v>94.943259668999985</v>
          </cell>
          <cell r="N46">
            <v>116.20637001899999</v>
          </cell>
          <cell r="O46">
            <v>136.12499908600003</v>
          </cell>
          <cell r="P46">
            <v>151.55809497600001</v>
          </cell>
          <cell r="Q46">
            <v>168.303051821</v>
          </cell>
          <cell r="R46">
            <v>182.37672804100001</v>
          </cell>
          <cell r="S46">
            <v>179.11693618799998</v>
          </cell>
          <cell r="T46">
            <v>171.41648678300001</v>
          </cell>
          <cell r="U46">
            <v>168.35460871800001</v>
          </cell>
          <cell r="V46">
            <v>167.50349855900001</v>
          </cell>
          <cell r="W46">
            <v>174.59730509400001</v>
          </cell>
          <cell r="X46">
            <v>202.49610892500002</v>
          </cell>
          <cell r="Y46">
            <v>201.06449146000003</v>
          </cell>
          <cell r="Z46">
            <v>183.147224572</v>
          </cell>
          <cell r="AA46">
            <v>157.097795319</v>
          </cell>
          <cell r="AB46">
            <v>125.71499156499999</v>
          </cell>
          <cell r="AC46">
            <v>97.769248774999994</v>
          </cell>
        </row>
        <row r="47">
          <cell r="F47">
            <v>110.22430749399999</v>
          </cell>
          <cell r="G47">
            <v>97.334724238999996</v>
          </cell>
          <cell r="H47">
            <v>90.352258381000013</v>
          </cell>
          <cell r="I47">
            <v>90.030790187999997</v>
          </cell>
          <cell r="J47">
            <v>105.459011168</v>
          </cell>
          <cell r="K47">
            <v>138.40822553800001</v>
          </cell>
          <cell r="L47">
            <v>172.01521264800002</v>
          </cell>
          <cell r="M47">
            <v>177.59215503600001</v>
          </cell>
          <cell r="N47">
            <v>195.14351269100001</v>
          </cell>
          <cell r="O47">
            <v>206.43737918500003</v>
          </cell>
          <cell r="P47">
            <v>225.11595963400001</v>
          </cell>
          <cell r="Q47">
            <v>239.73260257400003</v>
          </cell>
          <cell r="R47">
            <v>241.81590858900003</v>
          </cell>
          <cell r="S47">
            <v>238.81774068500002</v>
          </cell>
          <cell r="T47">
            <v>241.92853034700002</v>
          </cell>
          <cell r="U47">
            <v>242.98452277000004</v>
          </cell>
          <cell r="V47">
            <v>236.38212605800001</v>
          </cell>
          <cell r="W47">
            <v>232.94107069100002</v>
          </cell>
          <cell r="X47">
            <v>249.30415202799998</v>
          </cell>
          <cell r="Y47">
            <v>241.893483901</v>
          </cell>
          <cell r="Z47">
            <v>222.93684085300001</v>
          </cell>
          <cell r="AA47">
            <v>194.21590801399998</v>
          </cell>
          <cell r="AB47">
            <v>155.99851067200001</v>
          </cell>
          <cell r="AC47">
            <v>125.057574051</v>
          </cell>
        </row>
        <row r="48">
          <cell r="F48">
            <v>115.586852096</v>
          </cell>
          <cell r="G48">
            <v>100.208944722</v>
          </cell>
          <cell r="H48">
            <v>91.623317473</v>
          </cell>
          <cell r="I48">
            <v>89.846847363000009</v>
          </cell>
          <cell r="J48">
            <v>98.351056056999994</v>
          </cell>
          <cell r="K48">
            <v>112.90613530800002</v>
          </cell>
          <cell r="L48">
            <v>138.22761957</v>
          </cell>
          <cell r="M48">
            <v>151.77790051100001</v>
          </cell>
          <cell r="N48">
            <v>176.77134489900001</v>
          </cell>
          <cell r="O48">
            <v>193.65449599499999</v>
          </cell>
          <cell r="P48">
            <v>210.08952193399998</v>
          </cell>
          <cell r="Q48">
            <v>221.14917734500003</v>
          </cell>
          <cell r="R48">
            <v>221.69880266300001</v>
          </cell>
          <cell r="S48">
            <v>215.22407946600003</v>
          </cell>
          <cell r="T48">
            <v>209.30404544700005</v>
          </cell>
          <cell r="U48">
            <v>207.61765158100002</v>
          </cell>
          <cell r="V48">
            <v>205.888657048</v>
          </cell>
          <cell r="W48">
            <v>210.959549767</v>
          </cell>
          <cell r="X48">
            <v>230.398177812</v>
          </cell>
          <cell r="Y48">
            <v>222.73410884</v>
          </cell>
          <cell r="Z48">
            <v>205.59188839900003</v>
          </cell>
          <cell r="AA48">
            <v>182.01204320400001</v>
          </cell>
          <cell r="AB48">
            <v>154.13469275599999</v>
          </cell>
          <cell r="AC48">
            <v>127.43085407300001</v>
          </cell>
        </row>
        <row r="49">
          <cell r="F49">
            <v>117.851485868</v>
          </cell>
          <cell r="G49">
            <v>103.079374868</v>
          </cell>
          <cell r="H49">
            <v>92.598254125000011</v>
          </cell>
          <cell r="I49">
            <v>87.928354875000011</v>
          </cell>
          <cell r="J49">
            <v>89.536289143000005</v>
          </cell>
          <cell r="K49">
            <v>94.915918604000012</v>
          </cell>
          <cell r="L49">
            <v>104.24851433000001</v>
          </cell>
          <cell r="M49">
            <v>107.668101198</v>
          </cell>
          <cell r="N49">
            <v>127.54309793100001</v>
          </cell>
          <cell r="O49">
            <v>144.78976615300002</v>
          </cell>
          <cell r="P49">
            <v>160.12604784199999</v>
          </cell>
          <cell r="Q49">
            <v>175.483465478</v>
          </cell>
          <cell r="R49">
            <v>184.50882094599999</v>
          </cell>
          <cell r="S49">
            <v>186.57792925800001</v>
          </cell>
          <cell r="T49">
            <v>182.54190435200002</v>
          </cell>
          <cell r="U49">
            <v>180.47060422000001</v>
          </cell>
          <cell r="V49">
            <v>178.80190741100003</v>
          </cell>
          <cell r="W49">
            <v>186.652451138</v>
          </cell>
          <cell r="X49">
            <v>207.40736156800003</v>
          </cell>
          <cell r="Y49">
            <v>203.80305340099997</v>
          </cell>
          <cell r="Z49">
            <v>188.74461512900001</v>
          </cell>
          <cell r="AA49">
            <v>167.95576927900001</v>
          </cell>
          <cell r="AB49">
            <v>140.33825153400002</v>
          </cell>
          <cell r="AC49">
            <v>113.61231325900002</v>
          </cell>
        </row>
        <row r="50">
          <cell r="F50">
            <v>107.89664378100001</v>
          </cell>
          <cell r="G50">
            <v>93.39770535400001</v>
          </cell>
          <cell r="H50">
            <v>85.312859848000002</v>
          </cell>
          <cell r="I50">
            <v>81.347249048999998</v>
          </cell>
          <cell r="J50">
            <v>85.488027834999997</v>
          </cell>
          <cell r="K50">
            <v>92.349002622</v>
          </cell>
          <cell r="L50">
            <v>100.09407823799998</v>
          </cell>
          <cell r="M50">
            <v>103.817224618</v>
          </cell>
          <cell r="N50">
            <v>124.756331066</v>
          </cell>
          <cell r="O50">
            <v>142.82335594499997</v>
          </cell>
          <cell r="P50">
            <v>159.84477309299999</v>
          </cell>
          <cell r="Q50">
            <v>178.97772160700001</v>
          </cell>
          <cell r="R50">
            <v>191.84173992700002</v>
          </cell>
          <cell r="S50">
            <v>192.28636573000003</v>
          </cell>
          <cell r="T50">
            <v>186.44187770000002</v>
          </cell>
          <cell r="U50">
            <v>183.58239909600002</v>
          </cell>
          <cell r="V50">
            <v>180.37983641899999</v>
          </cell>
          <cell r="W50">
            <v>187.01132387300001</v>
          </cell>
          <cell r="X50">
            <v>211.672023532</v>
          </cell>
          <cell r="Y50">
            <v>208.66330466000002</v>
          </cell>
          <cell r="Z50">
            <v>192.442207911</v>
          </cell>
          <cell r="AA50">
            <v>167.23877205100001</v>
          </cell>
          <cell r="AB50">
            <v>136.948737948</v>
          </cell>
          <cell r="AC50">
            <v>107.80546784800001</v>
          </cell>
        </row>
        <row r="51">
          <cell r="F51">
            <v>121.79630460900002</v>
          </cell>
          <cell r="G51">
            <v>106.26995433600001</v>
          </cell>
          <cell r="H51">
            <v>97.722816202000004</v>
          </cell>
          <cell r="I51">
            <v>96.253095080000008</v>
          </cell>
          <cell r="J51">
            <v>107.82892410100001</v>
          </cell>
          <cell r="K51">
            <v>131.59498707900002</v>
          </cell>
          <cell r="L51">
            <v>160.413096903</v>
          </cell>
          <cell r="M51">
            <v>172.921084296</v>
          </cell>
          <cell r="N51">
            <v>195.13881161499998</v>
          </cell>
          <cell r="O51">
            <v>209.585316417</v>
          </cell>
          <cell r="P51">
            <v>225.77652127599998</v>
          </cell>
          <cell r="Q51">
            <v>240.20539326400001</v>
          </cell>
          <cell r="R51">
            <v>246.545251509</v>
          </cell>
          <cell r="S51">
            <v>243.54198195499998</v>
          </cell>
          <cell r="T51">
            <v>244.82435159400001</v>
          </cell>
          <cell r="U51">
            <v>245.674857113</v>
          </cell>
          <cell r="V51">
            <v>240.08543646699999</v>
          </cell>
          <cell r="W51">
            <v>234.32544309800002</v>
          </cell>
          <cell r="X51">
            <v>254.94495195800002</v>
          </cell>
          <cell r="Y51">
            <v>249.90640747900002</v>
          </cell>
          <cell r="Z51">
            <v>231.22047309600001</v>
          </cell>
          <cell r="AA51">
            <v>204.52686416600002</v>
          </cell>
          <cell r="AB51">
            <v>169.42107274999998</v>
          </cell>
          <cell r="AC51">
            <v>140.03429900600003</v>
          </cell>
        </row>
        <row r="52">
          <cell r="F52">
            <v>125.788024519</v>
          </cell>
          <cell r="G52">
            <v>108.67047339</v>
          </cell>
          <cell r="H52">
            <v>98.996747334000005</v>
          </cell>
          <cell r="I52">
            <v>96.072885907</v>
          </cell>
          <cell r="J52">
            <v>101.63663958500001</v>
          </cell>
          <cell r="K52">
            <v>121.12413010000002</v>
          </cell>
          <cell r="L52">
            <v>140.12798419500001</v>
          </cell>
          <cell r="M52">
            <v>153.308743179</v>
          </cell>
          <cell r="N52">
            <v>179.90641463600002</v>
          </cell>
          <cell r="O52">
            <v>196.81329029400001</v>
          </cell>
          <cell r="P52">
            <v>212.723602083</v>
          </cell>
          <cell r="Q52">
            <v>223.081202432</v>
          </cell>
          <cell r="R52">
            <v>227.18293659</v>
          </cell>
          <cell r="S52">
            <v>221.59920711800001</v>
          </cell>
          <cell r="T52">
            <v>216.11142267700004</v>
          </cell>
          <cell r="U52">
            <v>214.22914434600003</v>
          </cell>
          <cell r="V52">
            <v>212.53540032499998</v>
          </cell>
          <cell r="W52">
            <v>213.06658034400002</v>
          </cell>
          <cell r="X52">
            <v>237.85146550100001</v>
          </cell>
          <cell r="Y52">
            <v>233.70330632799997</v>
          </cell>
          <cell r="Z52">
            <v>215.98723340000001</v>
          </cell>
          <cell r="AA52">
            <v>192.22352096000003</v>
          </cell>
          <cell r="AB52">
            <v>165.424840714</v>
          </cell>
          <cell r="AC52">
            <v>137.96578777600001</v>
          </cell>
        </row>
        <row r="53">
          <cell r="F53">
            <v>126.85681263600002</v>
          </cell>
          <cell r="G53">
            <v>109.81119477200001</v>
          </cell>
          <cell r="H53">
            <v>98.496604242000004</v>
          </cell>
          <cell r="I53">
            <v>93.067946035000006</v>
          </cell>
          <cell r="J53">
            <v>93.870620751000004</v>
          </cell>
          <cell r="K53">
            <v>99.84133116000001</v>
          </cell>
          <cell r="L53">
            <v>107.85706253500003</v>
          </cell>
          <cell r="M53">
            <v>111.31505538</v>
          </cell>
          <cell r="N53">
            <v>132.563280249</v>
          </cell>
          <cell r="O53">
            <v>151.04352744099998</v>
          </cell>
          <cell r="P53">
            <v>166.532756597</v>
          </cell>
          <cell r="Q53">
            <v>180.39045540900003</v>
          </cell>
          <cell r="R53">
            <v>189.80065667900001</v>
          </cell>
          <cell r="S53">
            <v>192.326483594</v>
          </cell>
          <cell r="T53">
            <v>190.540452614</v>
          </cell>
          <cell r="U53">
            <v>189.413928935</v>
          </cell>
          <cell r="V53">
            <v>186.44119748</v>
          </cell>
          <cell r="W53">
            <v>183.91555573600002</v>
          </cell>
          <cell r="X53">
            <v>209.58788613700003</v>
          </cell>
          <cell r="Y53">
            <v>209.40241659599999</v>
          </cell>
          <cell r="Z53">
            <v>194.654343815</v>
          </cell>
          <cell r="AA53">
            <v>174.57889002700003</v>
          </cell>
          <cell r="AB53">
            <v>150.17023455200001</v>
          </cell>
          <cell r="AC53">
            <v>124.50216308400002</v>
          </cell>
        </row>
        <row r="54">
          <cell r="F54">
            <v>123.82786477700002</v>
          </cell>
          <cell r="G54">
            <v>110.55435779599999</v>
          </cell>
          <cell r="H54">
            <v>99.11272862300001</v>
          </cell>
          <cell r="I54">
            <v>91.939438381000016</v>
          </cell>
          <cell r="J54">
            <v>90.950802854000003</v>
          </cell>
          <cell r="K54">
            <v>93.479891046000006</v>
          </cell>
          <cell r="L54">
            <v>94.740448297</v>
          </cell>
          <cell r="M54">
            <v>90.084629601000003</v>
          </cell>
          <cell r="N54">
            <v>104.17714035700001</v>
          </cell>
          <cell r="O54">
            <v>121.821079733</v>
          </cell>
          <cell r="P54">
            <v>138.370960819</v>
          </cell>
          <cell r="Q54">
            <v>155.56175652600001</v>
          </cell>
          <cell r="R54">
            <v>170.78093078400002</v>
          </cell>
          <cell r="S54">
            <v>174.46502875700003</v>
          </cell>
          <cell r="T54">
            <v>172.17850701699999</v>
          </cell>
          <cell r="U54">
            <v>173.33965389399998</v>
          </cell>
          <cell r="V54">
            <v>171.79117841200002</v>
          </cell>
          <cell r="W54">
            <v>172.66270650800001</v>
          </cell>
          <cell r="X54">
            <v>198.010035351</v>
          </cell>
          <cell r="Y54">
            <v>198.88337736700001</v>
          </cell>
          <cell r="Z54">
            <v>184.01181820299999</v>
          </cell>
          <cell r="AA54">
            <v>162.81571330200001</v>
          </cell>
          <cell r="AB54">
            <v>137.89753525700002</v>
          </cell>
          <cell r="AC54">
            <v>112.327834938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112.73997167999998</v>
          </cell>
          <cell r="G7">
            <v>103.77961264</v>
          </cell>
          <cell r="H7">
            <v>98.635075839999999</v>
          </cell>
          <cell r="I7">
            <v>98.062912560000001</v>
          </cell>
          <cell r="J7">
            <v>111.09792400000001</v>
          </cell>
          <cell r="K7">
            <v>132.06165664</v>
          </cell>
          <cell r="L7">
            <v>155.22657527999999</v>
          </cell>
          <cell r="M7">
            <v>157.82209864000001</v>
          </cell>
          <cell r="N7">
            <v>172.83318400000002</v>
          </cell>
          <cell r="O7">
            <v>182.45453247999998</v>
          </cell>
          <cell r="P7">
            <v>195.68820679999999</v>
          </cell>
          <cell r="Q7">
            <v>207.1756288</v>
          </cell>
          <cell r="R7">
            <v>211.52778824000001</v>
          </cell>
          <cell r="S7">
            <v>208.59692672</v>
          </cell>
          <cell r="T7">
            <v>210.01887439999999</v>
          </cell>
          <cell r="U7">
            <v>209.63517376000001</v>
          </cell>
          <cell r="V7">
            <v>204.17936223999999</v>
          </cell>
          <cell r="W7">
            <v>199.23687351999999</v>
          </cell>
          <cell r="X7">
            <v>217.66889072000001</v>
          </cell>
          <cell r="Y7">
            <v>220.67309576</v>
          </cell>
          <cell r="Z7">
            <v>206.62633855999999</v>
          </cell>
          <cell r="AA7">
            <v>178.92729544000002</v>
          </cell>
          <cell r="AB7">
            <v>151.86633152000002</v>
          </cell>
          <cell r="AC7">
            <v>125.13354848</v>
          </cell>
        </row>
        <row r="8">
          <cell r="F8">
            <v>122.70284840000001</v>
          </cell>
          <cell r="G8">
            <v>111.68942632</v>
          </cell>
          <cell r="H8">
            <v>105.35794167999998</v>
          </cell>
          <cell r="I8">
            <v>102.94876056</v>
          </cell>
          <cell r="J8">
            <v>107.88070432000001</v>
          </cell>
          <cell r="K8">
            <v>118.5612484</v>
          </cell>
          <cell r="L8">
            <v>134.83209439999999</v>
          </cell>
          <cell r="M8">
            <v>139.12094192000001</v>
          </cell>
          <cell r="N8">
            <v>158.06097224000001</v>
          </cell>
          <cell r="O8">
            <v>171.74867999999998</v>
          </cell>
          <cell r="P8">
            <v>183.80637055999998</v>
          </cell>
          <cell r="Q8">
            <v>192.08160480000001</v>
          </cell>
          <cell r="R8">
            <v>194.22909383999999</v>
          </cell>
          <cell r="S8">
            <v>190.67450983999998</v>
          </cell>
          <cell r="T8">
            <v>185.16238992000001</v>
          </cell>
          <cell r="U8">
            <v>183.30008103999998</v>
          </cell>
          <cell r="V8">
            <v>182.21297055999997</v>
          </cell>
          <cell r="W8">
            <v>184.77293320000001</v>
          </cell>
          <cell r="X8">
            <v>198.94988047999999</v>
          </cell>
          <cell r="Y8">
            <v>200.30466232000001</v>
          </cell>
          <cell r="Z8">
            <v>187.63446135999999</v>
          </cell>
          <cell r="AA8">
            <v>169.82399912</v>
          </cell>
          <cell r="AB8">
            <v>150.59775944</v>
          </cell>
          <cell r="AC8">
            <v>131.0744728</v>
          </cell>
        </row>
        <row r="9">
          <cell r="F9">
            <v>121.64670568</v>
          </cell>
          <cell r="G9">
            <v>110.07701216</v>
          </cell>
          <cell r="H9">
            <v>102.62137328</v>
          </cell>
          <cell r="I9">
            <v>98.956838480000002</v>
          </cell>
          <cell r="J9">
            <v>99.825632080000005</v>
          </cell>
          <cell r="K9">
            <v>104.37119928</v>
          </cell>
          <cell r="L9">
            <v>111.14433472</v>
          </cell>
          <cell r="M9">
            <v>109.37869375999999</v>
          </cell>
          <cell r="N9">
            <v>123.83640928</v>
          </cell>
          <cell r="O9">
            <v>136.52624440000002</v>
          </cell>
          <cell r="P9">
            <v>147.65743424000001</v>
          </cell>
          <cell r="Q9">
            <v>160.3505504</v>
          </cell>
          <cell r="R9">
            <v>170.28542792000002</v>
          </cell>
          <cell r="S9">
            <v>171.94911856000002</v>
          </cell>
          <cell r="T9">
            <v>168.57838688000001</v>
          </cell>
          <cell r="U9">
            <v>165.04967176</v>
          </cell>
          <cell r="V9">
            <v>162.01065247999998</v>
          </cell>
          <cell r="W9">
            <v>163.78105008</v>
          </cell>
          <cell r="X9">
            <v>180.79166768000002</v>
          </cell>
          <cell r="Y9">
            <v>186.07885903999997</v>
          </cell>
          <cell r="Z9">
            <v>176.26256520000001</v>
          </cell>
          <cell r="AA9">
            <v>161.20794096</v>
          </cell>
          <cell r="AB9">
            <v>140.90555735999999</v>
          </cell>
          <cell r="AC9">
            <v>120.52975583999999</v>
          </cell>
        </row>
        <row r="10">
          <cell r="F10">
            <v>124.72804367999998</v>
          </cell>
          <cell r="G10">
            <v>116.32917896000001</v>
          </cell>
          <cell r="H10">
            <v>109.68827216</v>
          </cell>
          <cell r="I10">
            <v>103.93203344</v>
          </cell>
          <cell r="J10">
            <v>103.7043496</v>
          </cell>
          <cell r="K10">
            <v>105.63737567999999</v>
          </cell>
          <cell r="L10">
            <v>108.45303872</v>
          </cell>
          <cell r="M10">
            <v>101.4209764</v>
          </cell>
          <cell r="N10">
            <v>111.2834776</v>
          </cell>
          <cell r="O10">
            <v>122.26194656</v>
          </cell>
          <cell r="P10">
            <v>133.85801984</v>
          </cell>
          <cell r="Q10">
            <v>146.18050744000001</v>
          </cell>
          <cell r="R10">
            <v>155.69956088000001</v>
          </cell>
          <cell r="S10">
            <v>156.95042328</v>
          </cell>
          <cell r="T10">
            <v>154.20064144</v>
          </cell>
          <cell r="U10">
            <v>154.36532583999997</v>
          </cell>
          <cell r="V10">
            <v>153.40162511999998</v>
          </cell>
          <cell r="W10">
            <v>154.94869624</v>
          </cell>
          <cell r="X10">
            <v>172.94818903999999</v>
          </cell>
          <cell r="Y10">
            <v>176.64670975999999</v>
          </cell>
          <cell r="Z10">
            <v>166.38910984</v>
          </cell>
          <cell r="AA10">
            <v>151.88134296000001</v>
          </cell>
          <cell r="AB10">
            <v>133.15649727999997</v>
          </cell>
          <cell r="AC10">
            <v>114.69781759999999</v>
          </cell>
        </row>
        <row r="11">
          <cell r="F11">
            <v>119.02124376</v>
          </cell>
          <cell r="G11">
            <v>109.56312639999999</v>
          </cell>
          <cell r="H11">
            <v>104.94634352</v>
          </cell>
          <cell r="I11">
            <v>104.93159496</v>
          </cell>
          <cell r="J11">
            <v>122.02789408</v>
          </cell>
          <cell r="K11">
            <v>153.10930504000001</v>
          </cell>
          <cell r="L11">
            <v>177.43047655999999</v>
          </cell>
          <cell r="M11">
            <v>175.64415240000002</v>
          </cell>
          <cell r="N11">
            <v>189.24309599999998</v>
          </cell>
          <cell r="O11">
            <v>197.92624807999999</v>
          </cell>
          <cell r="P11">
            <v>211.82672992000002</v>
          </cell>
          <cell r="Q11">
            <v>223.14521679999999</v>
          </cell>
          <cell r="R11">
            <v>223.79921511999999</v>
          </cell>
          <cell r="S11">
            <v>220.60175855999998</v>
          </cell>
          <cell r="T11">
            <v>222.67292559999999</v>
          </cell>
          <cell r="U11">
            <v>223.03751783999999</v>
          </cell>
          <cell r="V11">
            <v>217.720316</v>
          </cell>
          <cell r="W11">
            <v>210.37404759999998</v>
          </cell>
          <cell r="X11">
            <v>226.51568559999998</v>
          </cell>
          <cell r="Y11">
            <v>234.00761679999999</v>
          </cell>
          <cell r="Z11">
            <v>220.01057367999999</v>
          </cell>
          <cell r="AA11">
            <v>190.67930120000003</v>
          </cell>
          <cell r="AB11">
            <v>160.64949704</v>
          </cell>
          <cell r="AC11">
            <v>131.20838535999999</v>
          </cell>
        </row>
        <row r="12">
          <cell r="F12">
            <v>132.75000792</v>
          </cell>
          <cell r="G12">
            <v>121.52427304</v>
          </cell>
          <cell r="H12">
            <v>114.60262032</v>
          </cell>
          <cell r="I12">
            <v>113.16230327999999</v>
          </cell>
          <cell r="J12">
            <v>119.58497256</v>
          </cell>
          <cell r="K12">
            <v>131.64181744000001</v>
          </cell>
          <cell r="L12">
            <v>152.19239696000002</v>
          </cell>
          <cell r="M12">
            <v>158.71954615999999</v>
          </cell>
          <cell r="N12">
            <v>179.8722424</v>
          </cell>
          <cell r="O12">
            <v>193.21625936000001</v>
          </cell>
          <cell r="P12">
            <v>205.60959311999997</v>
          </cell>
          <cell r="Q12">
            <v>213.05130679999999</v>
          </cell>
          <cell r="R12">
            <v>213.19107959999999</v>
          </cell>
          <cell r="S12">
            <v>206.71299968</v>
          </cell>
          <cell r="T12">
            <v>200.46283424000001</v>
          </cell>
          <cell r="U12">
            <v>198.12649568</v>
          </cell>
          <cell r="V12">
            <v>195.25351735999999</v>
          </cell>
          <cell r="W12">
            <v>194.12522152</v>
          </cell>
          <cell r="X12">
            <v>207.16676279999999</v>
          </cell>
          <cell r="Y12">
            <v>212.50102207999998</v>
          </cell>
          <cell r="Z12">
            <v>200.55509768000002</v>
          </cell>
          <cell r="AA12">
            <v>181.83734232</v>
          </cell>
          <cell r="AB12">
            <v>159.91099024000002</v>
          </cell>
          <cell r="AC12">
            <v>138.57578584000001</v>
          </cell>
        </row>
        <row r="13">
          <cell r="F13">
            <v>129.64559600000001</v>
          </cell>
          <cell r="G13">
            <v>117.69403951999999</v>
          </cell>
          <cell r="H13">
            <v>110.10464679999998</v>
          </cell>
          <cell r="I13">
            <v>106.27891944000001</v>
          </cell>
          <cell r="J13">
            <v>107.81680960000001</v>
          </cell>
          <cell r="K13">
            <v>112.59486192</v>
          </cell>
          <cell r="L13">
            <v>121.98180823999999</v>
          </cell>
          <cell r="M13">
            <v>121.95990736</v>
          </cell>
          <cell r="N13">
            <v>138.25206400000002</v>
          </cell>
          <cell r="O13">
            <v>152.06584007999999</v>
          </cell>
          <cell r="P13">
            <v>163.79249031999998</v>
          </cell>
          <cell r="Q13">
            <v>176.5259288</v>
          </cell>
          <cell r="R13">
            <v>184.27551464000001</v>
          </cell>
          <cell r="S13">
            <v>184.83951872</v>
          </cell>
          <cell r="T13">
            <v>180.83606463999999</v>
          </cell>
          <cell r="U13">
            <v>177.4952988</v>
          </cell>
          <cell r="V13">
            <v>174.02591271999998</v>
          </cell>
          <cell r="W13">
            <v>173.99366527999999</v>
          </cell>
          <cell r="X13">
            <v>188.62966552</v>
          </cell>
          <cell r="Y13">
            <v>198.31011735999996</v>
          </cell>
          <cell r="Z13">
            <v>189.20873559999998</v>
          </cell>
          <cell r="AA13">
            <v>172.41552720000001</v>
          </cell>
          <cell r="AB13">
            <v>148.900564</v>
          </cell>
          <cell r="AC13">
            <v>125.39105679999999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115.90844696000001</v>
          </cell>
          <cell r="G15">
            <v>107.03850127999999</v>
          </cell>
          <cell r="H15">
            <v>102.48669439999999</v>
          </cell>
          <cell r="I15">
            <v>102.67738903999999</v>
          </cell>
          <cell r="J15">
            <v>119.55770744000002</v>
          </cell>
          <cell r="K15">
            <v>149.46202112</v>
          </cell>
          <cell r="L15">
            <v>172.56003680000001</v>
          </cell>
          <cell r="M15">
            <v>172.50400616000002</v>
          </cell>
          <cell r="N15">
            <v>185.75509752000002</v>
          </cell>
          <cell r="O15">
            <v>194.28745071999998</v>
          </cell>
          <cell r="P15">
            <v>208.01461527999999</v>
          </cell>
          <cell r="Q15">
            <v>219.17533696000001</v>
          </cell>
          <cell r="R15">
            <v>220.37385151999999</v>
          </cell>
          <cell r="S15">
            <v>217.20778680000001</v>
          </cell>
          <cell r="T15">
            <v>219.09689455999998</v>
          </cell>
          <cell r="U15">
            <v>218.59019088000002</v>
          </cell>
          <cell r="V15">
            <v>213.47943663999999</v>
          </cell>
          <cell r="W15">
            <v>206.90557167999998</v>
          </cell>
          <cell r="X15">
            <v>222.38165952</v>
          </cell>
          <cell r="Y15">
            <v>229.08884928000001</v>
          </cell>
          <cell r="Z15">
            <v>214.89968551999999</v>
          </cell>
          <cell r="AA15">
            <v>185.73068191999999</v>
          </cell>
          <cell r="AB15">
            <v>156.71006416</v>
          </cell>
          <cell r="AC15">
            <v>127.69152712</v>
          </cell>
        </row>
        <row r="16">
          <cell r="F16">
            <v>124.98139055999998</v>
          </cell>
          <cell r="G16">
            <v>114.49572488</v>
          </cell>
          <cell r="H16">
            <v>108.24770463999999</v>
          </cell>
          <cell r="I16">
            <v>106.98485639999998</v>
          </cell>
          <cell r="J16">
            <v>113.9637748</v>
          </cell>
          <cell r="K16">
            <v>127.24451952</v>
          </cell>
          <cell r="L16">
            <v>147.01150088</v>
          </cell>
          <cell r="M16">
            <v>156.14653872000002</v>
          </cell>
          <cell r="N16">
            <v>175.73219488000004</v>
          </cell>
          <cell r="O16">
            <v>188.36975903999999</v>
          </cell>
          <cell r="P16">
            <v>200.37343520000002</v>
          </cell>
          <cell r="Q16">
            <v>209.44096496</v>
          </cell>
          <cell r="R16">
            <v>209.96018520000001</v>
          </cell>
          <cell r="S16">
            <v>204.71875975999998</v>
          </cell>
          <cell r="T16">
            <v>199.35146935999998</v>
          </cell>
          <cell r="U16">
            <v>195.74795743999999</v>
          </cell>
          <cell r="V16">
            <v>192.47378952</v>
          </cell>
          <cell r="W16">
            <v>192.32720416000004</v>
          </cell>
          <cell r="X16">
            <v>203.166684</v>
          </cell>
          <cell r="Y16">
            <v>208.49995623999999</v>
          </cell>
          <cell r="Z16">
            <v>196.18248072</v>
          </cell>
          <cell r="AA16">
            <v>178.47293711999998</v>
          </cell>
          <cell r="AB16">
            <v>157.00766416000002</v>
          </cell>
          <cell r="AC16">
            <v>136.60177031999999</v>
          </cell>
        </row>
        <row r="17">
          <cell r="F17">
            <v>125.29776664000001</v>
          </cell>
          <cell r="G17">
            <v>113.65164695999999</v>
          </cell>
          <cell r="H17">
            <v>106.17442464</v>
          </cell>
          <cell r="I17">
            <v>102.46433472</v>
          </cell>
          <cell r="J17">
            <v>103.5440052</v>
          </cell>
          <cell r="K17">
            <v>108.32883039999999</v>
          </cell>
          <cell r="L17">
            <v>116.10535648</v>
          </cell>
          <cell r="M17">
            <v>118.71318312</v>
          </cell>
          <cell r="N17">
            <v>135.05041872000001</v>
          </cell>
          <cell r="O17">
            <v>147.54460664000001</v>
          </cell>
          <cell r="P17">
            <v>158.56747256</v>
          </cell>
          <cell r="Q17">
            <v>170.21324503999998</v>
          </cell>
          <cell r="R17">
            <v>177.63474672000001</v>
          </cell>
          <cell r="S17">
            <v>178.19292279999999</v>
          </cell>
          <cell r="T17">
            <v>174.60778520000002</v>
          </cell>
          <cell r="U17">
            <v>172.11635735999999</v>
          </cell>
          <cell r="V17">
            <v>169.18919352</v>
          </cell>
          <cell r="W17">
            <v>169.48473759999999</v>
          </cell>
          <cell r="X17">
            <v>183.93069296000002</v>
          </cell>
          <cell r="Y17">
            <v>193.62870071999998</v>
          </cell>
          <cell r="Z17">
            <v>184.89945784</v>
          </cell>
          <cell r="AA17">
            <v>168.59598992000002</v>
          </cell>
          <cell r="AB17">
            <v>146.71499703999999</v>
          </cell>
          <cell r="AC17">
            <v>123.92497999999999</v>
          </cell>
        </row>
        <row r="18">
          <cell r="F18">
            <v>130.77299407999999</v>
          </cell>
          <cell r="G18">
            <v>119.33925167999999</v>
          </cell>
          <cell r="H18">
            <v>112.27223128</v>
          </cell>
          <cell r="I18">
            <v>109.24149767999998</v>
          </cell>
          <cell r="J18">
            <v>111.62264736</v>
          </cell>
          <cell r="K18">
            <v>116.65522951999999</v>
          </cell>
          <cell r="L18">
            <v>123.69325624</v>
          </cell>
          <cell r="M18">
            <v>126.03298991999999</v>
          </cell>
          <cell r="N18">
            <v>141.98160704</v>
          </cell>
          <cell r="O18">
            <v>156.46334631999997</v>
          </cell>
          <cell r="P18">
            <v>170.00501431999999</v>
          </cell>
          <cell r="Q18">
            <v>185.24595352</v>
          </cell>
          <cell r="R18">
            <v>193.00650592</v>
          </cell>
          <cell r="S18">
            <v>190.52635960000001</v>
          </cell>
          <cell r="T18">
            <v>185.34502703999999</v>
          </cell>
          <cell r="U18">
            <v>182.18727527999999</v>
          </cell>
          <cell r="V18">
            <v>180.42134416000002</v>
          </cell>
          <cell r="W18">
            <v>181.25798704000002</v>
          </cell>
          <cell r="X18">
            <v>197.64670744</v>
          </cell>
          <cell r="Y18">
            <v>210.86706168000001</v>
          </cell>
          <cell r="Z18">
            <v>199.22424535999997</v>
          </cell>
          <cell r="AA18">
            <v>180.30111376000002</v>
          </cell>
          <cell r="AB18">
            <v>155.89700855999999</v>
          </cell>
          <cell r="AC18">
            <v>131.93589831999998</v>
          </cell>
        </row>
        <row r="19">
          <cell r="F19">
            <v>115.86071439999999</v>
          </cell>
          <cell r="G19">
            <v>106.6839456</v>
          </cell>
          <cell r="H19">
            <v>102.10165207999999</v>
          </cell>
          <cell r="I19">
            <v>102.27973095999999</v>
          </cell>
          <cell r="J19">
            <v>118.21331432000001</v>
          </cell>
          <cell r="K19">
            <v>144.48718575999999</v>
          </cell>
          <cell r="L19">
            <v>167.46573984</v>
          </cell>
          <cell r="M19">
            <v>169.8271264</v>
          </cell>
          <cell r="N19">
            <v>183.73122904000002</v>
          </cell>
          <cell r="O19">
            <v>192.99548727999999</v>
          </cell>
          <cell r="P19">
            <v>206.70743704</v>
          </cell>
          <cell r="Q19">
            <v>218.47574383999998</v>
          </cell>
          <cell r="R19">
            <v>220.70549944000001</v>
          </cell>
          <cell r="S19">
            <v>217.39022304</v>
          </cell>
          <cell r="T19">
            <v>219.03078768</v>
          </cell>
          <cell r="U19">
            <v>218.84074527999999</v>
          </cell>
          <cell r="V19">
            <v>213.24889335999998</v>
          </cell>
          <cell r="W19">
            <v>207.37104535999998</v>
          </cell>
          <cell r="X19">
            <v>224.61250383999999</v>
          </cell>
          <cell r="Y19">
            <v>228.93359631999999</v>
          </cell>
          <cell r="Z19">
            <v>214.7540128</v>
          </cell>
          <cell r="AA19">
            <v>186.33372367999999</v>
          </cell>
          <cell r="AB19">
            <v>158.43414776</v>
          </cell>
          <cell r="AC19">
            <v>128.69081088000002</v>
          </cell>
        </row>
        <row r="20">
          <cell r="F20">
            <v>123.18978648</v>
          </cell>
          <cell r="G20">
            <v>112.00673736</v>
          </cell>
          <cell r="H20">
            <v>105.71182776000001</v>
          </cell>
          <cell r="I20">
            <v>104.3550396</v>
          </cell>
          <cell r="J20">
            <v>110.34436608</v>
          </cell>
          <cell r="K20">
            <v>121.02102896000001</v>
          </cell>
          <cell r="L20">
            <v>138.53404992000003</v>
          </cell>
          <cell r="M20">
            <v>146.55348455999999</v>
          </cell>
          <cell r="N20">
            <v>165.60545959999996</v>
          </cell>
          <cell r="O20">
            <v>178.64724888000001</v>
          </cell>
          <cell r="P20">
            <v>190.1455804</v>
          </cell>
          <cell r="Q20">
            <v>198.72438896</v>
          </cell>
          <cell r="R20">
            <v>200.84775008</v>
          </cell>
          <cell r="S20">
            <v>197.25185920000001</v>
          </cell>
          <cell r="T20">
            <v>192.83740959999997</v>
          </cell>
          <cell r="U20">
            <v>191.61181096000001</v>
          </cell>
          <cell r="V20">
            <v>189.77041840000001</v>
          </cell>
          <cell r="W20">
            <v>190.11058264000002</v>
          </cell>
          <cell r="X20">
            <v>202.38516407999998</v>
          </cell>
          <cell r="Y20">
            <v>206.12349375999997</v>
          </cell>
          <cell r="Z20">
            <v>193.39809048000001</v>
          </cell>
          <cell r="AA20">
            <v>175.67668752</v>
          </cell>
          <cell r="AB20">
            <v>155.81204375999999</v>
          </cell>
          <cell r="AC20">
            <v>135.54309552000001</v>
          </cell>
        </row>
        <row r="21">
          <cell r="F21">
            <v>126.36465272</v>
          </cell>
          <cell r="G21">
            <v>114.56094144000001</v>
          </cell>
          <cell r="H21">
            <v>107.0677752</v>
          </cell>
          <cell r="I21">
            <v>103.71123904</v>
          </cell>
          <cell r="J21">
            <v>105.02426512</v>
          </cell>
          <cell r="K21">
            <v>108.28965136000001</v>
          </cell>
          <cell r="L21">
            <v>117.30710496</v>
          </cell>
          <cell r="M21">
            <v>120.4493964</v>
          </cell>
          <cell r="N21">
            <v>136.94762368000002</v>
          </cell>
          <cell r="O21">
            <v>150.72451472</v>
          </cell>
          <cell r="P21">
            <v>160.78637816000003</v>
          </cell>
          <cell r="Q21">
            <v>170.53994288000001</v>
          </cell>
          <cell r="R21">
            <v>177.49420016000002</v>
          </cell>
          <cell r="S21">
            <v>178.70581903999999</v>
          </cell>
          <cell r="T21">
            <v>176.73816472000001</v>
          </cell>
          <cell r="U21">
            <v>174.24475040000002</v>
          </cell>
          <cell r="V21">
            <v>171.35800559999998</v>
          </cell>
          <cell r="W21">
            <v>172.72411855999999</v>
          </cell>
          <cell r="X21">
            <v>187.40509607999999</v>
          </cell>
          <cell r="Y21">
            <v>194.87139647999999</v>
          </cell>
          <cell r="Z21">
            <v>185.33608168000001</v>
          </cell>
          <cell r="AA21">
            <v>168.44941696000001</v>
          </cell>
          <cell r="AB21">
            <v>145.67466927999999</v>
          </cell>
          <cell r="AC21">
            <v>122.67690512</v>
          </cell>
        </row>
        <row r="22">
          <cell r="F22">
            <v>131.68458255999997</v>
          </cell>
          <cell r="G22">
            <v>119.39468959999999</v>
          </cell>
          <cell r="H22">
            <v>111.81786303999999</v>
          </cell>
          <cell r="I22">
            <v>108.3951952</v>
          </cell>
          <cell r="J22">
            <v>110.17418351999999</v>
          </cell>
          <cell r="K22">
            <v>113.75023688</v>
          </cell>
          <cell r="L22">
            <v>120.79920288</v>
          </cell>
          <cell r="M22">
            <v>121.91715712</v>
          </cell>
          <cell r="N22">
            <v>136.54550159999999</v>
          </cell>
          <cell r="O22">
            <v>145.00889344000001</v>
          </cell>
          <cell r="P22">
            <v>149.86816576000001</v>
          </cell>
          <cell r="Q22">
            <v>161.55498968000001</v>
          </cell>
          <cell r="R22">
            <v>172.07723288000003</v>
          </cell>
          <cell r="S22">
            <v>171.15439760000001</v>
          </cell>
          <cell r="T22">
            <v>167.14617696000002</v>
          </cell>
          <cell r="U22">
            <v>164.59657327999997</v>
          </cell>
          <cell r="V22">
            <v>164.65508392000001</v>
          </cell>
          <cell r="W22">
            <v>167.23930095999998</v>
          </cell>
          <cell r="X22">
            <v>182.92737176</v>
          </cell>
          <cell r="Y22">
            <v>188.30205504</v>
          </cell>
          <cell r="Z22">
            <v>176.86840688000004</v>
          </cell>
          <cell r="AA22">
            <v>165.67340912</v>
          </cell>
          <cell r="AB22">
            <v>152.66938775999998</v>
          </cell>
          <cell r="AC22">
            <v>133.89458744000001</v>
          </cell>
        </row>
        <row r="23">
          <cell r="F23">
            <v>106.73016288000001</v>
          </cell>
          <cell r="G23">
            <v>97.451463599999997</v>
          </cell>
          <cell r="H23">
            <v>92.774674640000001</v>
          </cell>
          <cell r="I23">
            <v>93.061759440000003</v>
          </cell>
          <cell r="J23">
            <v>108.87622592</v>
          </cell>
          <cell r="K23">
            <v>135.08087807999999</v>
          </cell>
          <cell r="L23">
            <v>159.26597695999999</v>
          </cell>
          <cell r="M23">
            <v>162.08120352</v>
          </cell>
          <cell r="N23">
            <v>175.26598464</v>
          </cell>
          <cell r="O23">
            <v>184.63300168000001</v>
          </cell>
          <cell r="P23">
            <v>198.47677583999999</v>
          </cell>
          <cell r="Q23">
            <v>209.84019536</v>
          </cell>
          <cell r="R23">
            <v>210.68828592</v>
          </cell>
          <cell r="S23">
            <v>206.78393264000002</v>
          </cell>
          <cell r="T23">
            <v>207.91754807999999</v>
          </cell>
          <cell r="U23">
            <v>208.08650552</v>
          </cell>
          <cell r="V23">
            <v>202.65087376</v>
          </cell>
          <cell r="W23">
            <v>196.36978271999999</v>
          </cell>
          <cell r="X23">
            <v>213.30758255999999</v>
          </cell>
          <cell r="Y23">
            <v>219.28360135999998</v>
          </cell>
          <cell r="Z23">
            <v>204.99220952000002</v>
          </cell>
          <cell r="AA23">
            <v>176.85374264000001</v>
          </cell>
          <cell r="AB23">
            <v>148.55063848</v>
          </cell>
          <cell r="AC23">
            <v>119.2484192</v>
          </cell>
        </row>
        <row r="24">
          <cell r="F24">
            <v>116.59294183999999</v>
          </cell>
          <cell r="G24">
            <v>105.50005064</v>
          </cell>
          <cell r="H24">
            <v>99.593739679999999</v>
          </cell>
          <cell r="I24">
            <v>97.850339359999992</v>
          </cell>
          <cell r="J24">
            <v>103.90031175999999</v>
          </cell>
          <cell r="K24">
            <v>113.84225727999998</v>
          </cell>
          <cell r="L24">
            <v>133.30230639999999</v>
          </cell>
          <cell r="M24">
            <v>142.94850448</v>
          </cell>
          <cell r="N24">
            <v>163.06590240000003</v>
          </cell>
          <cell r="O24">
            <v>176.35159720000001</v>
          </cell>
          <cell r="P24">
            <v>188.33344440000002</v>
          </cell>
          <cell r="Q24">
            <v>196.56292264000001</v>
          </cell>
          <cell r="R24">
            <v>196.63847335999998</v>
          </cell>
          <cell r="S24">
            <v>190.80237616000002</v>
          </cell>
          <cell r="T24">
            <v>185.01258304000001</v>
          </cell>
          <cell r="U24">
            <v>182.62180848</v>
          </cell>
          <cell r="V24">
            <v>179.88938664</v>
          </cell>
          <cell r="W24">
            <v>180.41480688000001</v>
          </cell>
          <cell r="X24">
            <v>191.46686735999998</v>
          </cell>
          <cell r="Y24">
            <v>196.288714</v>
          </cell>
          <cell r="Z24">
            <v>184.78450984</v>
          </cell>
          <cell r="AA24">
            <v>166.95275183999999</v>
          </cell>
          <cell r="AB24">
            <v>146.73530824000002</v>
          </cell>
          <cell r="AC24">
            <v>125.97908712</v>
          </cell>
        </row>
        <row r="25">
          <cell r="F25">
            <v>114.80204456</v>
          </cell>
          <cell r="G25">
            <v>103.56276639999999</v>
          </cell>
          <cell r="H25">
            <v>95.9821752</v>
          </cell>
          <cell r="I25">
            <v>92.40036576</v>
          </cell>
          <cell r="J25">
            <v>92.743858159999988</v>
          </cell>
          <cell r="K25">
            <v>95.043467919999998</v>
          </cell>
          <cell r="L25">
            <v>103.94393248</v>
          </cell>
          <cell r="M25">
            <v>107.15588712</v>
          </cell>
          <cell r="N25">
            <v>124.17419767999999</v>
          </cell>
          <cell r="O25">
            <v>138.59180664000002</v>
          </cell>
          <cell r="P25">
            <v>149.96882647999999</v>
          </cell>
          <cell r="Q25">
            <v>161.61891168000002</v>
          </cell>
          <cell r="R25">
            <v>167.26562368000003</v>
          </cell>
          <cell r="S25">
            <v>166.40876135999997</v>
          </cell>
          <cell r="T25">
            <v>160.83717848000001</v>
          </cell>
          <cell r="U25">
            <v>159.24326264000001</v>
          </cell>
          <cell r="V25">
            <v>156.57830672</v>
          </cell>
          <cell r="W25">
            <v>158.42047552</v>
          </cell>
          <cell r="X25">
            <v>172.89077455999998</v>
          </cell>
          <cell r="Y25">
            <v>181.27052592000001</v>
          </cell>
          <cell r="Z25">
            <v>172.64859264</v>
          </cell>
          <cell r="AA25">
            <v>156.92936064</v>
          </cell>
          <cell r="AB25">
            <v>134.93057768000003</v>
          </cell>
          <cell r="AC25">
            <v>111.93514967999998</v>
          </cell>
        </row>
        <row r="26">
          <cell r="F26">
            <v>109.06679903999999</v>
          </cell>
          <cell r="G26">
            <v>98.386721199999997</v>
          </cell>
          <cell r="H26">
            <v>92.120450640000001</v>
          </cell>
          <cell r="I26">
            <v>90.106251679999986</v>
          </cell>
          <cell r="J26">
            <v>95.235077679999989</v>
          </cell>
          <cell r="K26">
            <v>103.13931384</v>
          </cell>
          <cell r="L26">
            <v>113.06484672000001</v>
          </cell>
          <cell r="M26">
            <v>116.67182320000001</v>
          </cell>
          <cell r="N26">
            <v>132.86101768000003</v>
          </cell>
          <cell r="O26">
            <v>146.04505976000002</v>
          </cell>
          <cell r="P26">
            <v>160.71988935999997</v>
          </cell>
          <cell r="Q26">
            <v>172.73303911999997</v>
          </cell>
          <cell r="R26">
            <v>182.45644207999999</v>
          </cell>
          <cell r="S26">
            <v>178.92256608</v>
          </cell>
          <cell r="T26">
            <v>172.50939271999999</v>
          </cell>
          <cell r="U26">
            <v>166.04198176</v>
          </cell>
          <cell r="V26">
            <v>164.12475079999999</v>
          </cell>
          <cell r="W26">
            <v>169.21784744000001</v>
          </cell>
          <cell r="X26">
            <v>182.88923679999999</v>
          </cell>
          <cell r="Y26">
            <v>188.08238159999999</v>
          </cell>
          <cell r="Z26">
            <v>176.04251479999999</v>
          </cell>
          <cell r="AA26">
            <v>157.82044200000001</v>
          </cell>
          <cell r="AB26">
            <v>134.83359232000001</v>
          </cell>
          <cell r="AC26">
            <v>111.62133544000001</v>
          </cell>
        </row>
        <row r="27">
          <cell r="F27">
            <v>105.92709920000001</v>
          </cell>
          <cell r="G27">
            <v>96.45706792</v>
          </cell>
          <cell r="H27">
            <v>91.610391519999993</v>
          </cell>
          <cell r="I27">
            <v>91.576318799999996</v>
          </cell>
          <cell r="J27">
            <v>105.50459648</v>
          </cell>
          <cell r="K27">
            <v>126.43145896</v>
          </cell>
          <cell r="L27">
            <v>150.40235032000001</v>
          </cell>
          <cell r="M27">
            <v>156.78155511999998</v>
          </cell>
          <cell r="N27">
            <v>171.61807327999998</v>
          </cell>
          <cell r="O27">
            <v>181.46424120000003</v>
          </cell>
          <cell r="P27">
            <v>194.65325816000001</v>
          </cell>
          <cell r="Q27">
            <v>206.72432583999998</v>
          </cell>
          <cell r="R27">
            <v>209.56867007999998</v>
          </cell>
          <cell r="S27">
            <v>206.33654064000001</v>
          </cell>
          <cell r="T27">
            <v>207.70347695999999</v>
          </cell>
          <cell r="U27">
            <v>207.75736240000001</v>
          </cell>
          <cell r="V27">
            <v>202.37302448</v>
          </cell>
          <cell r="W27">
            <v>195.27558935999997</v>
          </cell>
          <cell r="X27">
            <v>207.75566608</v>
          </cell>
          <cell r="Y27">
            <v>214.49214464000002</v>
          </cell>
          <cell r="Z27">
            <v>200.28212159999998</v>
          </cell>
          <cell r="AA27">
            <v>173.24514176</v>
          </cell>
          <cell r="AB27">
            <v>145.22052920000002</v>
          </cell>
          <cell r="AC27">
            <v>117.57314944000001</v>
          </cell>
        </row>
        <row r="28">
          <cell r="F28">
            <v>114.65253032000001</v>
          </cell>
          <cell r="G28">
            <v>103.5648868</v>
          </cell>
          <cell r="H28">
            <v>96.763067679999992</v>
          </cell>
          <cell r="I28">
            <v>94.972507679999993</v>
          </cell>
          <cell r="J28">
            <v>100.77894408</v>
          </cell>
          <cell r="K28">
            <v>110.66076696</v>
          </cell>
          <cell r="L28">
            <v>129.84582128</v>
          </cell>
          <cell r="M28">
            <v>139.16764280000001</v>
          </cell>
          <cell r="N28">
            <v>158.23336696000001</v>
          </cell>
          <cell r="O28">
            <v>170.99716064</v>
          </cell>
          <cell r="P28">
            <v>183.288802</v>
          </cell>
          <cell r="Q28">
            <v>191.89768552000001</v>
          </cell>
          <cell r="R28">
            <v>193.00925623999998</v>
          </cell>
          <cell r="S28">
            <v>187.36588727999998</v>
          </cell>
          <cell r="T28">
            <v>182.59117551999998</v>
          </cell>
          <cell r="U28">
            <v>181.07899055999999</v>
          </cell>
          <cell r="V28">
            <v>177.65277383999998</v>
          </cell>
          <cell r="W28">
            <v>177.50852712</v>
          </cell>
          <cell r="X28">
            <v>185.98991136000001</v>
          </cell>
          <cell r="Y28">
            <v>193.23807096000002</v>
          </cell>
          <cell r="Z28">
            <v>181.31436984000001</v>
          </cell>
          <cell r="AA28">
            <v>164.09175440000001</v>
          </cell>
          <cell r="AB28">
            <v>144.41069511999999</v>
          </cell>
          <cell r="AC28">
            <v>124.46280768</v>
          </cell>
        </row>
        <row r="29">
          <cell r="F29">
            <v>116.07480288000001</v>
          </cell>
          <cell r="G29">
            <v>104.94003192</v>
          </cell>
          <cell r="H29">
            <v>97.352062720000006</v>
          </cell>
          <cell r="I29">
            <v>94.056274160000001</v>
          </cell>
          <cell r="J29">
            <v>94.953791119999991</v>
          </cell>
          <cell r="K29">
            <v>97.514038960000008</v>
          </cell>
          <cell r="L29">
            <v>105.07910783999999</v>
          </cell>
          <cell r="M29">
            <v>106.69271735999999</v>
          </cell>
          <cell r="N29">
            <v>121.63858615999999</v>
          </cell>
          <cell r="O29">
            <v>134.64725256</v>
          </cell>
          <cell r="P29">
            <v>144.08804960000001</v>
          </cell>
          <cell r="Q29">
            <v>155.49132023999999</v>
          </cell>
          <cell r="R29">
            <v>162.70237159999999</v>
          </cell>
          <cell r="S29">
            <v>163.20826679999999</v>
          </cell>
          <cell r="T29">
            <v>159.75144936000001</v>
          </cell>
          <cell r="U29">
            <v>157.76059959999998</v>
          </cell>
          <cell r="V29">
            <v>154.95038511999999</v>
          </cell>
          <cell r="W29">
            <v>155.47442895999998</v>
          </cell>
          <cell r="X29">
            <v>166.04683016000001</v>
          </cell>
          <cell r="Y29">
            <v>176.13168568</v>
          </cell>
          <cell r="Z29">
            <v>168.06758872</v>
          </cell>
          <cell r="AA29">
            <v>155.01603072</v>
          </cell>
          <cell r="AB29">
            <v>135.84488424000003</v>
          </cell>
          <cell r="AC29">
            <v>115.62064296</v>
          </cell>
        </row>
        <row r="30">
          <cell r="F30">
            <v>109.78054552</v>
          </cell>
          <cell r="G30">
            <v>99.134463519999997</v>
          </cell>
          <cell r="H30">
            <v>92.508449120000009</v>
          </cell>
          <cell r="I30">
            <v>89.879301920000003</v>
          </cell>
          <cell r="J30">
            <v>91.929321999999999</v>
          </cell>
          <cell r="K30">
            <v>95.864223919999986</v>
          </cell>
          <cell r="L30">
            <v>103.35698591999999</v>
          </cell>
          <cell r="M30">
            <v>104.58055096000001</v>
          </cell>
          <cell r="N30">
            <v>119.78878888</v>
          </cell>
          <cell r="O30">
            <v>133.41107920000002</v>
          </cell>
          <cell r="P30">
            <v>147.36032032</v>
          </cell>
          <cell r="Q30">
            <v>161.68916511999998</v>
          </cell>
          <cell r="R30">
            <v>169.96395544000001</v>
          </cell>
          <cell r="S30">
            <v>168.36163239999999</v>
          </cell>
          <cell r="T30">
            <v>162.73785296</v>
          </cell>
          <cell r="U30">
            <v>160.05217911999998</v>
          </cell>
          <cell r="V30">
            <v>157.58649864</v>
          </cell>
          <cell r="W30">
            <v>159.14883168</v>
          </cell>
          <cell r="X30">
            <v>171.73042968000001</v>
          </cell>
          <cell r="Y30">
            <v>186.33963104</v>
          </cell>
          <cell r="Z30">
            <v>176.68466616000003</v>
          </cell>
          <cell r="AA30">
            <v>160.36628103999999</v>
          </cell>
          <cell r="AB30">
            <v>137.20319511999998</v>
          </cell>
          <cell r="AC30">
            <v>113.94594608000001</v>
          </cell>
        </row>
        <row r="31">
          <cell r="F31">
            <v>114.93467496000001</v>
          </cell>
          <cell r="G31">
            <v>105.15075999999999</v>
          </cell>
          <cell r="H31">
            <v>99.816111359999994</v>
          </cell>
          <cell r="I31">
            <v>99.499827039999985</v>
          </cell>
          <cell r="J31">
            <v>113.91389208000001</v>
          </cell>
          <cell r="K31">
            <v>138.01337888</v>
          </cell>
          <cell r="L31">
            <v>161.57819504</v>
          </cell>
          <cell r="M31">
            <v>165.42498256000002</v>
          </cell>
          <cell r="N31">
            <v>179.86891672000002</v>
          </cell>
          <cell r="O31">
            <v>189.43233488000001</v>
          </cell>
          <cell r="P31">
            <v>203.08805064000001</v>
          </cell>
          <cell r="Q31">
            <v>214.84740711999999</v>
          </cell>
          <cell r="R31">
            <v>216.99049911999998</v>
          </cell>
          <cell r="S31">
            <v>214.44638368</v>
          </cell>
          <cell r="T31">
            <v>217.21433400000001</v>
          </cell>
          <cell r="U31">
            <v>217.77958056</v>
          </cell>
          <cell r="V31">
            <v>212.03131999999999</v>
          </cell>
          <cell r="W31">
            <v>203.09745480000001</v>
          </cell>
          <cell r="X31">
            <v>214.81722551999999</v>
          </cell>
          <cell r="Y31">
            <v>226.66745416000003</v>
          </cell>
          <cell r="Z31">
            <v>213.47130472000001</v>
          </cell>
          <cell r="AA31">
            <v>185.96457071999998</v>
          </cell>
          <cell r="AB31">
            <v>156.54789448</v>
          </cell>
          <cell r="AC31">
            <v>127.32631984</v>
          </cell>
        </row>
        <row r="32">
          <cell r="F32">
            <v>122.87758672000001</v>
          </cell>
          <cell r="G32">
            <v>111.82550888</v>
          </cell>
          <cell r="H32">
            <v>105.21818128</v>
          </cell>
          <cell r="I32">
            <v>102.87712576</v>
          </cell>
          <cell r="J32">
            <v>108.42847679999998</v>
          </cell>
          <cell r="K32">
            <v>118.81172096</v>
          </cell>
          <cell r="L32">
            <v>137.42926944000001</v>
          </cell>
          <cell r="M32">
            <v>146.78638631999999</v>
          </cell>
          <cell r="N32">
            <v>166.02603288</v>
          </cell>
          <cell r="O32">
            <v>179.05734912</v>
          </cell>
          <cell r="P32">
            <v>191.50442200000001</v>
          </cell>
          <cell r="Q32">
            <v>201.02999783999999</v>
          </cell>
          <cell r="R32">
            <v>201.37688535999999</v>
          </cell>
          <cell r="S32">
            <v>194.47407816</v>
          </cell>
          <cell r="T32">
            <v>188.18161135999998</v>
          </cell>
          <cell r="U32">
            <v>186.25740664</v>
          </cell>
          <cell r="V32">
            <v>184.68234128</v>
          </cell>
          <cell r="W32">
            <v>184.4317844</v>
          </cell>
          <cell r="X32">
            <v>193.03756296</v>
          </cell>
          <cell r="Y32">
            <v>200.78900879999998</v>
          </cell>
          <cell r="Z32">
            <v>188.18675488000002</v>
          </cell>
          <cell r="AA32">
            <v>169.81485536</v>
          </cell>
          <cell r="AB32">
            <v>149.41021144000001</v>
          </cell>
          <cell r="AC32">
            <v>129.195538</v>
          </cell>
        </row>
        <row r="33">
          <cell r="F33">
            <v>117.24406584</v>
          </cell>
          <cell r="G33">
            <v>105.69131320000001</v>
          </cell>
          <cell r="H33">
            <v>98.133101519999997</v>
          </cell>
          <cell r="I33">
            <v>94.317125520000005</v>
          </cell>
          <cell r="J33">
            <v>95.686990719999997</v>
          </cell>
          <cell r="K33">
            <v>98.709136080000007</v>
          </cell>
          <cell r="L33">
            <v>107.48025624</v>
          </cell>
          <cell r="M33">
            <v>109.25389023999999</v>
          </cell>
          <cell r="N33">
            <v>124.44945784000001</v>
          </cell>
          <cell r="O33">
            <v>137.99946359999998</v>
          </cell>
          <cell r="P33">
            <v>148.42504135999997</v>
          </cell>
          <cell r="Q33">
            <v>160.40134576</v>
          </cell>
          <cell r="R33">
            <v>167.77804376</v>
          </cell>
          <cell r="S33">
            <v>167.98799063999999</v>
          </cell>
          <cell r="T33">
            <v>164.00300759999999</v>
          </cell>
          <cell r="U33">
            <v>161.95453007999998</v>
          </cell>
          <cell r="V33">
            <v>159.49572664000002</v>
          </cell>
          <cell r="W33">
            <v>160.22656031999998</v>
          </cell>
          <cell r="X33">
            <v>171.89020368000001</v>
          </cell>
          <cell r="Y33">
            <v>186.23688711999998</v>
          </cell>
          <cell r="Z33">
            <v>177.35295424</v>
          </cell>
          <cell r="AA33">
            <v>160.54828824000001</v>
          </cell>
          <cell r="AB33">
            <v>137.35326984</v>
          </cell>
          <cell r="AC33">
            <v>115.84766216</v>
          </cell>
        </row>
        <row r="34">
          <cell r="F34">
            <v>128.06077679999999</v>
          </cell>
          <cell r="G34">
            <v>115.67897752</v>
          </cell>
          <cell r="H34">
            <v>107.75523616</v>
          </cell>
          <cell r="I34">
            <v>103.78796279999999</v>
          </cell>
          <cell r="J34">
            <v>103.98151439999999</v>
          </cell>
          <cell r="K34">
            <v>105.08575175999999</v>
          </cell>
          <cell r="L34">
            <v>113.42197912</v>
          </cell>
          <cell r="M34">
            <v>115.54821455999999</v>
          </cell>
          <cell r="N34">
            <v>130.5447944</v>
          </cell>
          <cell r="O34">
            <v>143.01543720000001</v>
          </cell>
          <cell r="P34">
            <v>153.42064671999998</v>
          </cell>
          <cell r="Q34">
            <v>165.94246927999998</v>
          </cell>
          <cell r="R34">
            <v>171.54387664000001</v>
          </cell>
          <cell r="S34">
            <v>172.35220783999998</v>
          </cell>
          <cell r="T34">
            <v>169.73710735999998</v>
          </cell>
          <cell r="U34">
            <v>168.21985576</v>
          </cell>
          <cell r="V34">
            <v>165.89917096000002</v>
          </cell>
          <cell r="W34">
            <v>166.96877264</v>
          </cell>
          <cell r="X34">
            <v>178.01803320000002</v>
          </cell>
          <cell r="Y34">
            <v>191.56011287999999</v>
          </cell>
          <cell r="Z34">
            <v>185.66928207999999</v>
          </cell>
          <cell r="AA34">
            <v>173.03951504</v>
          </cell>
          <cell r="AB34">
            <v>150.56726040000001</v>
          </cell>
          <cell r="AC34">
            <v>127.86630015999999</v>
          </cell>
        </row>
        <row r="35">
          <cell r="F35">
            <v>114.56761512</v>
          </cell>
          <cell r="G35">
            <v>104.71471399999999</v>
          </cell>
          <cell r="H35">
            <v>99.473573759999994</v>
          </cell>
          <cell r="I35">
            <v>99.215410719999994</v>
          </cell>
          <cell r="J35">
            <v>114.81199927999999</v>
          </cell>
          <cell r="K35">
            <v>141.23239159999997</v>
          </cell>
          <cell r="L35">
            <v>165.71816816</v>
          </cell>
          <cell r="M35">
            <v>167.92638743999998</v>
          </cell>
          <cell r="N35">
            <v>181.48139287999999</v>
          </cell>
          <cell r="O35">
            <v>190.37802583999999</v>
          </cell>
          <cell r="P35">
            <v>203.98286688000002</v>
          </cell>
          <cell r="Q35">
            <v>215.84286920000002</v>
          </cell>
          <cell r="R35">
            <v>217.68868359999999</v>
          </cell>
          <cell r="S35">
            <v>214.42297248</v>
          </cell>
          <cell r="T35">
            <v>217.06753535999999</v>
          </cell>
          <cell r="U35">
            <v>217.17211696000001</v>
          </cell>
          <cell r="V35">
            <v>211.85740503999997</v>
          </cell>
          <cell r="W35">
            <v>204.52846192000001</v>
          </cell>
          <cell r="X35">
            <v>220.67081664</v>
          </cell>
          <cell r="Y35">
            <v>229.21331552000001</v>
          </cell>
          <cell r="Z35">
            <v>215.36889407999999</v>
          </cell>
          <cell r="AA35">
            <v>186.1617952</v>
          </cell>
          <cell r="AB35">
            <v>156.67961472000002</v>
          </cell>
          <cell r="AC35">
            <v>127.28829152</v>
          </cell>
        </row>
        <row r="36">
          <cell r="F36">
            <v>122.78381296000001</v>
          </cell>
          <cell r="G36">
            <v>111.8995592</v>
          </cell>
          <cell r="H36">
            <v>105.51545144000001</v>
          </cell>
          <cell r="I36">
            <v>103.32330503999999</v>
          </cell>
          <cell r="J36">
            <v>109.39370024</v>
          </cell>
          <cell r="K36">
            <v>119.52629328</v>
          </cell>
          <cell r="L36">
            <v>138.5048132</v>
          </cell>
          <cell r="M36">
            <v>148.22727872000002</v>
          </cell>
          <cell r="N36">
            <v>167.37653671999999</v>
          </cell>
          <cell r="O36">
            <v>178.57561159999997</v>
          </cell>
          <cell r="P36">
            <v>189.36352231999999</v>
          </cell>
          <cell r="Q36">
            <v>196.91254311999998</v>
          </cell>
          <cell r="R36">
            <v>198.17555007999999</v>
          </cell>
          <cell r="S36">
            <v>193.14874879999999</v>
          </cell>
          <cell r="T36">
            <v>188.032174</v>
          </cell>
          <cell r="U36">
            <v>185.7871912</v>
          </cell>
          <cell r="V36">
            <v>183.24743559999999</v>
          </cell>
          <cell r="W36">
            <v>183.74979431999998</v>
          </cell>
          <cell r="X36">
            <v>194.98660984</v>
          </cell>
          <cell r="Y36">
            <v>200.66075807999999</v>
          </cell>
          <cell r="Z36">
            <v>187.32383392</v>
          </cell>
          <cell r="AA36">
            <v>168.92936392000001</v>
          </cell>
          <cell r="AB36">
            <v>148.06706575999999</v>
          </cell>
          <cell r="AC36">
            <v>128.29538728</v>
          </cell>
        </row>
        <row r="37">
          <cell r="F37">
            <v>119.61135479999999</v>
          </cell>
          <cell r="G37">
            <v>108.39397008</v>
          </cell>
          <cell r="H37">
            <v>100.59566215999999</v>
          </cell>
          <cell r="I37">
            <v>97.17199488</v>
          </cell>
          <cell r="J37">
            <v>98.634884880000001</v>
          </cell>
          <cell r="K37">
            <v>103.0763888</v>
          </cell>
          <cell r="L37">
            <v>109.83793272</v>
          </cell>
          <cell r="M37">
            <v>111.92946303999999</v>
          </cell>
          <cell r="N37">
            <v>126.74078688</v>
          </cell>
          <cell r="O37">
            <v>140.08924304000001</v>
          </cell>
          <cell r="P37">
            <v>151.20705824000001</v>
          </cell>
          <cell r="Q37">
            <v>162.8574088</v>
          </cell>
          <cell r="R37">
            <v>170.29207183999998</v>
          </cell>
          <cell r="S37">
            <v>171.02551199999999</v>
          </cell>
          <cell r="T37">
            <v>166.13634575999998</v>
          </cell>
          <cell r="U37">
            <v>163.67610640000001</v>
          </cell>
          <cell r="V37">
            <v>160.70619728</v>
          </cell>
          <cell r="W37">
            <v>163.32579896000001</v>
          </cell>
          <cell r="X37">
            <v>178.76209272000003</v>
          </cell>
          <cell r="Y37">
            <v>188.27461383999997</v>
          </cell>
          <cell r="Z37">
            <v>178.80734528000002</v>
          </cell>
          <cell r="AA37">
            <v>162.61647680000002</v>
          </cell>
          <cell r="AB37">
            <v>140.34319256000001</v>
          </cell>
          <cell r="AC37">
            <v>119.19033016</v>
          </cell>
        </row>
        <row r="38">
          <cell r="F38">
            <v>115.39640879999999</v>
          </cell>
          <cell r="G38">
            <v>104.05637072</v>
          </cell>
          <cell r="H38">
            <v>96.530780960000001</v>
          </cell>
          <cell r="I38">
            <v>94.786215040000002</v>
          </cell>
          <cell r="J38">
            <v>96.93881288</v>
          </cell>
          <cell r="K38">
            <v>103.40543271999999</v>
          </cell>
          <cell r="L38">
            <v>113.01994384000001</v>
          </cell>
          <cell r="M38">
            <v>114.56732991999999</v>
          </cell>
          <cell r="N38">
            <v>131.60573592</v>
          </cell>
          <cell r="O38">
            <v>145.18287784</v>
          </cell>
          <cell r="P38">
            <v>158.54445320000002</v>
          </cell>
          <cell r="Q38">
            <v>172.15010519999998</v>
          </cell>
          <cell r="R38">
            <v>180.07322904</v>
          </cell>
          <cell r="S38">
            <v>179.16358984000001</v>
          </cell>
          <cell r="T38">
            <v>174.00092423999999</v>
          </cell>
          <cell r="U38">
            <v>169.39448296</v>
          </cell>
          <cell r="V38">
            <v>168.01779775999998</v>
          </cell>
          <cell r="W38">
            <v>169.24358984</v>
          </cell>
          <cell r="X38">
            <v>183.18399968</v>
          </cell>
          <cell r="Y38">
            <v>196.31787383999998</v>
          </cell>
          <cell r="Z38">
            <v>185.18826376000001</v>
          </cell>
          <cell r="AA38">
            <v>165.61636168000001</v>
          </cell>
          <cell r="AB38">
            <v>141.71091256</v>
          </cell>
          <cell r="AC38">
            <v>118.95006776</v>
          </cell>
        </row>
        <row r="39">
          <cell r="F39">
            <v>106.04492152</v>
          </cell>
          <cell r="G39">
            <v>96.71625272</v>
          </cell>
          <cell r="H39">
            <v>91.90441288000001</v>
          </cell>
          <cell r="I39">
            <v>91.731323759999995</v>
          </cell>
          <cell r="J39">
            <v>107.30943384</v>
          </cell>
          <cell r="K39">
            <v>134.21483479999998</v>
          </cell>
          <cell r="L39">
            <v>158.14697616000001</v>
          </cell>
          <cell r="M39">
            <v>159.31224631999999</v>
          </cell>
          <cell r="N39">
            <v>172.72570576000001</v>
          </cell>
          <cell r="O39">
            <v>181.68187359999999</v>
          </cell>
          <cell r="P39">
            <v>195.75918440000001</v>
          </cell>
          <cell r="Q39">
            <v>207.78582784</v>
          </cell>
          <cell r="R39">
            <v>208.73261496000001</v>
          </cell>
          <cell r="S39">
            <v>205.66771191999999</v>
          </cell>
          <cell r="T39">
            <v>207.88394159999999</v>
          </cell>
          <cell r="U39">
            <v>208.43394855999998</v>
          </cell>
          <cell r="V39">
            <v>203.50041264000004</v>
          </cell>
          <cell r="W39">
            <v>198.23200728</v>
          </cell>
          <cell r="X39">
            <v>219.16946183999997</v>
          </cell>
          <cell r="Y39">
            <v>219.62333159999997</v>
          </cell>
          <cell r="Z39">
            <v>204.91949095999999</v>
          </cell>
          <cell r="AA39">
            <v>176.28331783999997</v>
          </cell>
          <cell r="AB39">
            <v>146.48453311999998</v>
          </cell>
          <cell r="AC39">
            <v>117.64887872000001</v>
          </cell>
        </row>
        <row r="40">
          <cell r="F40">
            <v>113.69513624000001</v>
          </cell>
          <cell r="G40">
            <v>103.10430615999999</v>
          </cell>
          <cell r="H40">
            <v>96.455135999999996</v>
          </cell>
          <cell r="I40">
            <v>94.745156159999993</v>
          </cell>
          <cell r="J40">
            <v>101.24300416</v>
          </cell>
          <cell r="K40">
            <v>113.06118376000001</v>
          </cell>
          <cell r="L40">
            <v>131.22009344</v>
          </cell>
          <cell r="M40">
            <v>140.53157088</v>
          </cell>
          <cell r="N40">
            <v>159.67827944000001</v>
          </cell>
          <cell r="O40">
            <v>171.54424616</v>
          </cell>
          <cell r="P40">
            <v>184.67257999999998</v>
          </cell>
          <cell r="Q40">
            <v>193.85595056</v>
          </cell>
          <cell r="R40">
            <v>194.44774056</v>
          </cell>
          <cell r="S40">
            <v>189.22617248</v>
          </cell>
          <cell r="T40">
            <v>183.63058816</v>
          </cell>
          <cell r="U40">
            <v>181.4613148</v>
          </cell>
          <cell r="V40">
            <v>178.95226903999998</v>
          </cell>
          <cell r="W40">
            <v>180.77932224</v>
          </cell>
          <cell r="X40">
            <v>196.1815904</v>
          </cell>
          <cell r="Y40">
            <v>194.80774231999999</v>
          </cell>
          <cell r="Z40">
            <v>181.16289144000001</v>
          </cell>
          <cell r="AA40">
            <v>162.48160944</v>
          </cell>
          <cell r="AB40">
            <v>142.42052984</v>
          </cell>
          <cell r="AC40">
            <v>122.89185664</v>
          </cell>
        </row>
        <row r="41">
          <cell r="F41">
            <v>113.87312832000001</v>
          </cell>
          <cell r="G41">
            <v>101.49868223999999</v>
          </cell>
          <cell r="H41">
            <v>93.941916399999997</v>
          </cell>
          <cell r="I41">
            <v>90.008886880000006</v>
          </cell>
          <cell r="J41">
            <v>90.65947023999999</v>
          </cell>
          <cell r="K41">
            <v>93.840566240000001</v>
          </cell>
          <cell r="L41">
            <v>101.07667551999999</v>
          </cell>
          <cell r="M41">
            <v>102.54198104</v>
          </cell>
          <cell r="N41">
            <v>116.70236688</v>
          </cell>
          <cell r="O41">
            <v>129.56819024000001</v>
          </cell>
          <cell r="P41">
            <v>141.96743383999998</v>
          </cell>
          <cell r="Q41">
            <v>154.14465296</v>
          </cell>
          <cell r="R41">
            <v>160.69344759999998</v>
          </cell>
          <cell r="S41">
            <v>161.84334423999999</v>
          </cell>
          <cell r="T41">
            <v>158.85799959999997</v>
          </cell>
          <cell r="U41">
            <v>157.47150600000001</v>
          </cell>
          <cell r="V41">
            <v>155.62461031999999</v>
          </cell>
          <cell r="W41">
            <v>159.71030616000002</v>
          </cell>
          <cell r="X41">
            <v>178.24660983999999</v>
          </cell>
          <cell r="Y41">
            <v>181.05677968000001</v>
          </cell>
          <cell r="Z41">
            <v>170.46226928000002</v>
          </cell>
          <cell r="AA41">
            <v>153.69139079999999</v>
          </cell>
          <cell r="AB41">
            <v>131.30962144000003</v>
          </cell>
          <cell r="AC41">
            <v>109.24580544000001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99.704042639999997</v>
          </cell>
          <cell r="G43">
            <v>90.505422559999985</v>
          </cell>
          <cell r="H43">
            <v>86.209068080000009</v>
          </cell>
          <cell r="I43">
            <v>86.062656320000002</v>
          </cell>
          <cell r="J43">
            <v>101.42969608000001</v>
          </cell>
          <cell r="K43">
            <v>126.10867952</v>
          </cell>
          <cell r="L43">
            <v>149.66526455999997</v>
          </cell>
          <cell r="M43">
            <v>152.61583464</v>
          </cell>
          <cell r="N43">
            <v>165.86157168</v>
          </cell>
          <cell r="O43">
            <v>174.86501824000001</v>
          </cell>
          <cell r="P43">
            <v>188.46389488</v>
          </cell>
          <cell r="Q43">
            <v>200.49719464</v>
          </cell>
          <cell r="R43">
            <v>202.67104111999998</v>
          </cell>
          <cell r="S43">
            <v>199.34831231999999</v>
          </cell>
          <cell r="T43">
            <v>200.77687911999999</v>
          </cell>
          <cell r="U43">
            <v>201.0786852</v>
          </cell>
          <cell r="V43">
            <v>196.10340840000001</v>
          </cell>
          <cell r="W43">
            <v>194.80587240000003</v>
          </cell>
          <cell r="X43">
            <v>214.93693759999996</v>
          </cell>
          <cell r="Y43">
            <v>210.13787471999999</v>
          </cell>
          <cell r="Z43">
            <v>195.61369768</v>
          </cell>
          <cell r="AA43">
            <v>167.69755536</v>
          </cell>
          <cell r="AB43">
            <v>139.19240808000001</v>
          </cell>
          <cell r="AC43">
            <v>111.55500784</v>
          </cell>
        </row>
        <row r="44">
          <cell r="F44">
            <v>108.18893856</v>
          </cell>
          <cell r="G44">
            <v>97.204073679999993</v>
          </cell>
          <cell r="H44">
            <v>90.936369679999984</v>
          </cell>
          <cell r="I44">
            <v>89.023746560000006</v>
          </cell>
          <cell r="J44">
            <v>95.579567040000001</v>
          </cell>
          <cell r="K44">
            <v>106.50315856</v>
          </cell>
          <cell r="L44">
            <v>124.27375479999999</v>
          </cell>
          <cell r="M44">
            <v>132.52307303999999</v>
          </cell>
          <cell r="N44">
            <v>151.52314415999999</v>
          </cell>
          <cell r="O44">
            <v>164.01477024000002</v>
          </cell>
          <cell r="P44">
            <v>175.63540792000001</v>
          </cell>
          <cell r="Q44">
            <v>184.12093375999999</v>
          </cell>
          <cell r="R44">
            <v>185.28919976</v>
          </cell>
          <cell r="S44">
            <v>180.30927296000002</v>
          </cell>
          <cell r="T44">
            <v>177.16719232</v>
          </cell>
          <cell r="U44">
            <v>177.40623455999997</v>
          </cell>
          <cell r="V44">
            <v>174.54280671999999</v>
          </cell>
          <cell r="W44">
            <v>178.72932448</v>
          </cell>
          <cell r="X44">
            <v>192.56738224</v>
          </cell>
          <cell r="Y44">
            <v>186.95382288000002</v>
          </cell>
          <cell r="Z44">
            <v>173.90758696</v>
          </cell>
          <cell r="AA44">
            <v>155.72728727999998</v>
          </cell>
          <cell r="AB44">
            <v>134.86580752</v>
          </cell>
          <cell r="AC44">
            <v>115.19666712</v>
          </cell>
        </row>
        <row r="45">
          <cell r="F45">
            <v>106.47684079999999</v>
          </cell>
          <cell r="G45">
            <v>96.237178720000003</v>
          </cell>
          <cell r="H45">
            <v>89.251137759999992</v>
          </cell>
          <cell r="I45">
            <v>85.677011360000009</v>
          </cell>
          <cell r="J45">
            <v>86.93332728</v>
          </cell>
          <cell r="K45">
            <v>90.456812080000006</v>
          </cell>
          <cell r="L45">
            <v>97.900824720000003</v>
          </cell>
          <cell r="M45">
            <v>99.848433200000002</v>
          </cell>
          <cell r="N45">
            <v>114.25578983999999</v>
          </cell>
          <cell r="O45">
            <v>127.52816455999999</v>
          </cell>
          <cell r="P45">
            <v>139.65675088</v>
          </cell>
          <cell r="Q45">
            <v>151.05536903999999</v>
          </cell>
          <cell r="R45">
            <v>157.99052040000001</v>
          </cell>
          <cell r="S45">
            <v>158.47682359999996</v>
          </cell>
          <cell r="T45">
            <v>154.76160007999999</v>
          </cell>
          <cell r="U45">
            <v>152.35316296000002</v>
          </cell>
          <cell r="V45">
            <v>150.39489048000002</v>
          </cell>
          <cell r="W45">
            <v>155.78941872000001</v>
          </cell>
          <cell r="X45">
            <v>175.15969928000001</v>
          </cell>
          <cell r="Y45">
            <v>173.38005871999999</v>
          </cell>
          <cell r="Z45">
            <v>163.27820775999999</v>
          </cell>
          <cell r="AA45">
            <v>147.39847759999998</v>
          </cell>
          <cell r="AB45">
            <v>126.26575527999999</v>
          </cell>
          <cell r="AC45">
            <v>105.46721296</v>
          </cell>
        </row>
        <row r="46">
          <cell r="F46">
            <v>98.165750719999991</v>
          </cell>
          <cell r="G46">
            <v>88.136375279999996</v>
          </cell>
          <cell r="H46">
            <v>81.502692720000013</v>
          </cell>
          <cell r="I46">
            <v>78.803862479999992</v>
          </cell>
          <cell r="J46">
            <v>81.707267919999993</v>
          </cell>
          <cell r="K46">
            <v>86.769329840000012</v>
          </cell>
          <cell r="L46">
            <v>94.039305999999996</v>
          </cell>
          <cell r="M46">
            <v>95.510003040000001</v>
          </cell>
          <cell r="N46">
            <v>111.57573567999999</v>
          </cell>
          <cell r="O46">
            <v>126.32494791999999</v>
          </cell>
          <cell r="P46">
            <v>138.09155096000001</v>
          </cell>
          <cell r="Q46">
            <v>150.76089135999999</v>
          </cell>
          <cell r="R46">
            <v>161.08790895999999</v>
          </cell>
          <cell r="S46">
            <v>158.66575992</v>
          </cell>
          <cell r="T46">
            <v>152.82487136</v>
          </cell>
          <cell r="U46">
            <v>150.39171359999997</v>
          </cell>
          <cell r="V46">
            <v>149.42950832</v>
          </cell>
          <cell r="W46">
            <v>157.86534983999999</v>
          </cell>
          <cell r="X46">
            <v>178.07339175999999</v>
          </cell>
          <cell r="Y46">
            <v>176.92471775999999</v>
          </cell>
          <cell r="Z46">
            <v>163.83640119999998</v>
          </cell>
          <cell r="AA46">
            <v>144.15631904</v>
          </cell>
          <cell r="AB46">
            <v>120.67054048</v>
          </cell>
          <cell r="AC46">
            <v>99.74975151999999</v>
          </cell>
        </row>
        <row r="47">
          <cell r="F47">
            <v>102.94643927999999</v>
          </cell>
          <cell r="G47">
            <v>93.655659919999991</v>
          </cell>
          <cell r="H47">
            <v>88.675946400000001</v>
          </cell>
          <cell r="I47">
            <v>88.462113360000004</v>
          </cell>
          <cell r="J47">
            <v>103.89843936</v>
          </cell>
          <cell r="K47">
            <v>128.48522632000001</v>
          </cell>
          <cell r="L47">
            <v>153.82758248000002</v>
          </cell>
          <cell r="M47">
            <v>157.13844696000001</v>
          </cell>
          <cell r="N47">
            <v>170.54363807999997</v>
          </cell>
          <cell r="O47">
            <v>179.34675768</v>
          </cell>
          <cell r="P47">
            <v>193.33824064000001</v>
          </cell>
          <cell r="Q47">
            <v>204.40935000000002</v>
          </cell>
          <cell r="R47">
            <v>206.02937776000002</v>
          </cell>
          <cell r="S47">
            <v>203.53305191999999</v>
          </cell>
          <cell r="T47">
            <v>205.69679488</v>
          </cell>
          <cell r="U47">
            <v>206.2551024</v>
          </cell>
          <cell r="V47">
            <v>201.224782</v>
          </cell>
          <cell r="W47">
            <v>201.57924840000001</v>
          </cell>
          <cell r="X47">
            <v>220.19520472000002</v>
          </cell>
          <cell r="Y47">
            <v>214.52082583999999</v>
          </cell>
          <cell r="Z47">
            <v>199.79701127999999</v>
          </cell>
          <cell r="AA47">
            <v>172.125516</v>
          </cell>
          <cell r="AB47">
            <v>143.46259855999998</v>
          </cell>
          <cell r="AC47">
            <v>115.24171136</v>
          </cell>
        </row>
        <row r="48">
          <cell r="F48">
            <v>111.32772824</v>
          </cell>
          <cell r="G48">
            <v>99.861292000000006</v>
          </cell>
          <cell r="H48">
            <v>93.580860639999997</v>
          </cell>
          <cell r="I48">
            <v>92.219122399999989</v>
          </cell>
          <cell r="J48">
            <v>98.708151520000001</v>
          </cell>
          <cell r="K48">
            <v>109.71442128</v>
          </cell>
          <cell r="L48">
            <v>128.90635263999999</v>
          </cell>
          <cell r="M48">
            <v>138.10302592000002</v>
          </cell>
          <cell r="N48">
            <v>157.00437568000001</v>
          </cell>
          <cell r="O48">
            <v>169.59950207999998</v>
          </cell>
          <cell r="P48">
            <v>181.91365688000002</v>
          </cell>
          <cell r="Q48">
            <v>190.24580959999997</v>
          </cell>
          <cell r="R48">
            <v>190.68426120000001</v>
          </cell>
          <cell r="S48">
            <v>185.53781727999998</v>
          </cell>
          <cell r="T48">
            <v>180.82694816</v>
          </cell>
          <cell r="U48">
            <v>179.35315607999999</v>
          </cell>
          <cell r="V48">
            <v>177.76729280000001</v>
          </cell>
          <cell r="W48">
            <v>184.57557728</v>
          </cell>
          <cell r="X48">
            <v>199.02015376</v>
          </cell>
          <cell r="Y48">
            <v>193.303166</v>
          </cell>
          <cell r="Z48">
            <v>180.34876696000001</v>
          </cell>
          <cell r="AA48">
            <v>162.56147288000003</v>
          </cell>
          <cell r="AB48">
            <v>141.65928640000001</v>
          </cell>
          <cell r="AC48">
            <v>121.61443344000001</v>
          </cell>
        </row>
        <row r="49">
          <cell r="F49">
            <v>112.76053832000001</v>
          </cell>
          <cell r="G49">
            <v>101.70272423999999</v>
          </cell>
          <cell r="H49">
            <v>93.897251600000004</v>
          </cell>
          <cell r="I49">
            <v>90.426082399999999</v>
          </cell>
          <cell r="J49">
            <v>91.701618320000009</v>
          </cell>
          <cell r="K49">
            <v>95.773592320000006</v>
          </cell>
          <cell r="L49">
            <v>103.12302272000001</v>
          </cell>
          <cell r="M49">
            <v>104.68837392</v>
          </cell>
          <cell r="N49">
            <v>119.81004992</v>
          </cell>
          <cell r="O49">
            <v>132.99863783999999</v>
          </cell>
          <cell r="P49">
            <v>144.49390407999996</v>
          </cell>
          <cell r="Q49">
            <v>155.99613911999998</v>
          </cell>
          <cell r="R49">
            <v>162.68087248</v>
          </cell>
          <cell r="S49">
            <v>163.94835335999997</v>
          </cell>
          <cell r="T49">
            <v>160.62373976000001</v>
          </cell>
          <cell r="U49">
            <v>158.75802088000003</v>
          </cell>
          <cell r="V49">
            <v>157.11698256</v>
          </cell>
          <cell r="W49">
            <v>166.04715752000001</v>
          </cell>
          <cell r="X49">
            <v>181.54542151999999</v>
          </cell>
          <cell r="Y49">
            <v>178.97981687999999</v>
          </cell>
          <cell r="Z49">
            <v>167.72729303999998</v>
          </cell>
          <cell r="AA49">
            <v>152.07867407999998</v>
          </cell>
          <cell r="AB49">
            <v>131.41553479999999</v>
          </cell>
          <cell r="AC49">
            <v>111.43904551999999</v>
          </cell>
        </row>
        <row r="50">
          <cell r="F50">
            <v>105.47499272</v>
          </cell>
          <cell r="G50">
            <v>94.671986239999995</v>
          </cell>
          <cell r="H50">
            <v>88.602783919999993</v>
          </cell>
          <cell r="I50">
            <v>85.667899840000004</v>
          </cell>
          <cell r="J50">
            <v>88.774943039999997</v>
          </cell>
          <cell r="K50">
            <v>93.859009999999998</v>
          </cell>
          <cell r="L50">
            <v>100.0965324</v>
          </cell>
          <cell r="M50">
            <v>102.02079415999999</v>
          </cell>
          <cell r="N50">
            <v>118.08670784</v>
          </cell>
          <cell r="O50">
            <v>132.00882768000002</v>
          </cell>
          <cell r="P50">
            <v>144.98958911999998</v>
          </cell>
          <cell r="Q50">
            <v>159.33292703999999</v>
          </cell>
          <cell r="R50">
            <v>168.91516840000003</v>
          </cell>
          <cell r="S50">
            <v>168.77836911999998</v>
          </cell>
          <cell r="T50">
            <v>164.04868175999999</v>
          </cell>
          <cell r="U50">
            <v>161.56511799999998</v>
          </cell>
          <cell r="V50">
            <v>159.062364</v>
          </cell>
          <cell r="W50">
            <v>166.97388392000002</v>
          </cell>
          <cell r="X50">
            <v>185.45796127999998</v>
          </cell>
          <cell r="Y50">
            <v>183.33352383999997</v>
          </cell>
          <cell r="Z50">
            <v>171.03204679999999</v>
          </cell>
          <cell r="AA50">
            <v>152.10046087999999</v>
          </cell>
          <cell r="AB50">
            <v>129.14082424</v>
          </cell>
          <cell r="AC50">
            <v>107.37557544000001</v>
          </cell>
        </row>
        <row r="51">
          <cell r="F51">
            <v>121.94184799999999</v>
          </cell>
          <cell r="G51">
            <v>110.85592063999999</v>
          </cell>
          <cell r="H51">
            <v>104.77938248</v>
          </cell>
          <cell r="I51">
            <v>103.7549788</v>
          </cell>
          <cell r="J51">
            <v>116.35505032</v>
          </cell>
          <cell r="K51">
            <v>133.92800047999998</v>
          </cell>
          <cell r="L51">
            <v>155.48229304</v>
          </cell>
          <cell r="M51">
            <v>163.70701216</v>
          </cell>
          <cell r="N51">
            <v>180.50101416000001</v>
          </cell>
          <cell r="O51">
            <v>191.49026864000001</v>
          </cell>
          <cell r="P51">
            <v>203.67438959999998</v>
          </cell>
          <cell r="Q51">
            <v>214.57430208</v>
          </cell>
          <cell r="R51">
            <v>219.31190064</v>
          </cell>
          <cell r="S51">
            <v>216.90007335999999</v>
          </cell>
          <cell r="T51">
            <v>217.70913615999999</v>
          </cell>
          <cell r="U51">
            <v>218.03693264</v>
          </cell>
          <cell r="V51">
            <v>213.60340439999999</v>
          </cell>
          <cell r="W51">
            <v>212.13703744000003</v>
          </cell>
          <cell r="X51">
            <v>234.22422495999999</v>
          </cell>
          <cell r="Y51">
            <v>230.42881064000002</v>
          </cell>
          <cell r="Z51">
            <v>216.14304591999999</v>
          </cell>
          <cell r="AA51">
            <v>189.78928624</v>
          </cell>
          <cell r="AB51">
            <v>163.71434304000002</v>
          </cell>
          <cell r="AC51">
            <v>136.48283696000001</v>
          </cell>
        </row>
        <row r="52">
          <cell r="F52">
            <v>129.56074527999999</v>
          </cell>
          <cell r="G52">
            <v>116.91461023999999</v>
          </cell>
          <cell r="H52">
            <v>109.76732712</v>
          </cell>
          <cell r="I52">
            <v>107.59097584</v>
          </cell>
          <cell r="J52">
            <v>111.93840096</v>
          </cell>
          <cell r="K52">
            <v>126.03608991999999</v>
          </cell>
          <cell r="L52">
            <v>140.5568768</v>
          </cell>
          <cell r="M52">
            <v>149.04907384000001</v>
          </cell>
          <cell r="N52">
            <v>168.87593975999999</v>
          </cell>
          <cell r="O52">
            <v>181.58253224000001</v>
          </cell>
          <cell r="P52">
            <v>193.49104335999999</v>
          </cell>
          <cell r="Q52">
            <v>201.25260016000001</v>
          </cell>
          <cell r="R52">
            <v>204.16278592</v>
          </cell>
          <cell r="S52">
            <v>199.83572407999998</v>
          </cell>
          <cell r="T52">
            <v>195.58573071999999</v>
          </cell>
          <cell r="U52">
            <v>194.00272192</v>
          </cell>
          <cell r="V52">
            <v>192.48998144000001</v>
          </cell>
          <cell r="W52">
            <v>196.03689231999999</v>
          </cell>
          <cell r="X52">
            <v>214.27046240000001</v>
          </cell>
          <cell r="Y52">
            <v>211.13343104</v>
          </cell>
          <cell r="Z52">
            <v>197.99411327999999</v>
          </cell>
          <cell r="AA52">
            <v>180.42682496</v>
          </cell>
          <cell r="AB52">
            <v>160.54515599999999</v>
          </cell>
          <cell r="AC52">
            <v>140.17488488000004</v>
          </cell>
        </row>
        <row r="53">
          <cell r="F53">
            <v>130.22339879999998</v>
          </cell>
          <cell r="G53">
            <v>117.6419992</v>
          </cell>
          <cell r="H53">
            <v>109.309038</v>
          </cell>
          <cell r="I53">
            <v>105.28478416</v>
          </cell>
          <cell r="J53">
            <v>106.09827872</v>
          </cell>
          <cell r="K53">
            <v>110.65917727999999</v>
          </cell>
          <cell r="L53">
            <v>117.12543255999999</v>
          </cell>
          <cell r="M53">
            <v>118.67374863999999</v>
          </cell>
          <cell r="N53">
            <v>134.66237064000001</v>
          </cell>
          <cell r="O53">
            <v>148.52465799999999</v>
          </cell>
          <cell r="P53">
            <v>160.07327895999998</v>
          </cell>
          <cell r="Q53">
            <v>170.30923592000002</v>
          </cell>
          <cell r="R53">
            <v>177.08739088000002</v>
          </cell>
          <cell r="S53">
            <v>178.58785783999997</v>
          </cell>
          <cell r="T53">
            <v>176.90995679999997</v>
          </cell>
          <cell r="U53">
            <v>175.8972612</v>
          </cell>
          <cell r="V53">
            <v>173.56344976</v>
          </cell>
          <cell r="W53">
            <v>174.92915848000001</v>
          </cell>
          <cell r="X53">
            <v>194.07401199999998</v>
          </cell>
          <cell r="Y53">
            <v>193.82705359999997</v>
          </cell>
          <cell r="Z53">
            <v>182.77269911999997</v>
          </cell>
          <cell r="AA53">
            <v>167.76638032</v>
          </cell>
          <cell r="AB53">
            <v>149.56278847999999</v>
          </cell>
          <cell r="AC53">
            <v>130.51807735999998</v>
          </cell>
        </row>
        <row r="54">
          <cell r="F54">
            <v>128.61016871999999</v>
          </cell>
          <cell r="G54">
            <v>118.70712696000001</v>
          </cell>
          <cell r="H54">
            <v>110.27344552</v>
          </cell>
          <cell r="I54">
            <v>104.9949168</v>
          </cell>
          <cell r="J54">
            <v>104.3595904</v>
          </cell>
          <cell r="K54">
            <v>106.3317112</v>
          </cell>
          <cell r="L54">
            <v>107.6734532</v>
          </cell>
          <cell r="M54">
            <v>103.24449560000001</v>
          </cell>
          <cell r="N54">
            <v>114.11120088</v>
          </cell>
          <cell r="O54">
            <v>127.20723767999999</v>
          </cell>
          <cell r="P54">
            <v>139.53606168000002</v>
          </cell>
          <cell r="Q54">
            <v>152.23472064000001</v>
          </cell>
          <cell r="R54">
            <v>163.18526728000001</v>
          </cell>
          <cell r="S54">
            <v>165.67504344</v>
          </cell>
          <cell r="T54">
            <v>163.73251400000001</v>
          </cell>
          <cell r="U54">
            <v>164.21247088000001</v>
          </cell>
          <cell r="V54">
            <v>162.84091431999997</v>
          </cell>
          <cell r="W54">
            <v>166.6017252</v>
          </cell>
          <cell r="X54">
            <v>185.35606304000001</v>
          </cell>
          <cell r="Y54">
            <v>185.84081623999998</v>
          </cell>
          <cell r="Z54">
            <v>174.82451735999999</v>
          </cell>
          <cell r="AA54">
            <v>159.18807024</v>
          </cell>
          <cell r="AB54">
            <v>140.87908583999999</v>
          </cell>
          <cell r="AC54">
            <v>121.9909024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144.55239890000001</v>
          </cell>
          <cell r="G7">
            <v>135.43006522499999</v>
          </cell>
          <cell r="H7">
            <v>130.22537255</v>
          </cell>
          <cell r="I7">
            <v>129.66249660000003</v>
          </cell>
          <cell r="J7">
            <v>144.33699734999999</v>
          </cell>
          <cell r="K7">
            <v>165.71206925000001</v>
          </cell>
          <cell r="L7">
            <v>189.24203252500001</v>
          </cell>
          <cell r="M7">
            <v>190.92358967499999</v>
          </cell>
          <cell r="N7">
            <v>206.32276210000001</v>
          </cell>
          <cell r="O7">
            <v>216.49533587499999</v>
          </cell>
          <cell r="P7">
            <v>230.07999105000002</v>
          </cell>
          <cell r="Q7">
            <v>241.851780625</v>
          </cell>
          <cell r="R7">
            <v>246.21694597500002</v>
          </cell>
          <cell r="S7">
            <v>243.14727027499998</v>
          </cell>
          <cell r="T7">
            <v>244.48199685</v>
          </cell>
          <cell r="U7">
            <v>244.04373857499999</v>
          </cell>
          <cell r="V7">
            <v>238.46980884999999</v>
          </cell>
          <cell r="W7">
            <v>235.57842490000002</v>
          </cell>
          <cell r="X7">
            <v>255.28579212500003</v>
          </cell>
          <cell r="Y7">
            <v>258.5354317</v>
          </cell>
          <cell r="Z7">
            <v>244.20923345</v>
          </cell>
          <cell r="AA7">
            <v>214.6128075</v>
          </cell>
          <cell r="AB7">
            <v>187.090273825</v>
          </cell>
          <cell r="AC7">
            <v>158.2401093</v>
          </cell>
        </row>
        <row r="8">
          <cell r="F8">
            <v>156.09162205000001</v>
          </cell>
          <cell r="G8">
            <v>144.87507580000002</v>
          </cell>
          <cell r="H8">
            <v>138.44874680000001</v>
          </cell>
          <cell r="I8">
            <v>136.03373192500001</v>
          </cell>
          <cell r="J8">
            <v>141.14318400000002</v>
          </cell>
          <cell r="K8">
            <v>152.01986799999997</v>
          </cell>
          <cell r="L8">
            <v>168.69746529999998</v>
          </cell>
          <cell r="M8">
            <v>172.26394412500002</v>
          </cell>
          <cell r="N8">
            <v>191.61278955</v>
          </cell>
          <cell r="O8">
            <v>205.56146520000001</v>
          </cell>
          <cell r="P8">
            <v>217.94554372500002</v>
          </cell>
          <cell r="Q8">
            <v>226.487326975</v>
          </cell>
          <cell r="R8">
            <v>228.72156580000001</v>
          </cell>
          <cell r="S8">
            <v>224.85047357500002</v>
          </cell>
          <cell r="T8">
            <v>219.16380850000002</v>
          </cell>
          <cell r="U8">
            <v>217.13876274999998</v>
          </cell>
          <cell r="V8">
            <v>215.68835015000002</v>
          </cell>
          <cell r="W8">
            <v>220.43428907500001</v>
          </cell>
          <cell r="X8">
            <v>234.695959225</v>
          </cell>
          <cell r="Y8">
            <v>236.2464286</v>
          </cell>
          <cell r="Z8">
            <v>223.32882390000003</v>
          </cell>
          <cell r="AA8">
            <v>205.23942984999999</v>
          </cell>
          <cell r="AB8">
            <v>185.64379242500002</v>
          </cell>
          <cell r="AC8">
            <v>165.75642947499998</v>
          </cell>
        </row>
        <row r="9">
          <cell r="F9">
            <v>155.0212573</v>
          </cell>
          <cell r="G9">
            <v>143.22994822499999</v>
          </cell>
          <cell r="H9">
            <v>135.63137542500002</v>
          </cell>
          <cell r="I9">
            <v>131.90839025</v>
          </cell>
          <cell r="J9">
            <v>132.80823237499999</v>
          </cell>
          <cell r="K9">
            <v>137.416981975</v>
          </cell>
          <cell r="L9">
            <v>144.43357337500001</v>
          </cell>
          <cell r="M9">
            <v>141.79170915</v>
          </cell>
          <cell r="N9">
            <v>156.6824077</v>
          </cell>
          <cell r="O9">
            <v>169.77062375</v>
          </cell>
          <cell r="P9">
            <v>181.14309850000001</v>
          </cell>
          <cell r="Q9">
            <v>193.97921042499999</v>
          </cell>
          <cell r="R9">
            <v>203.84988942500001</v>
          </cell>
          <cell r="S9">
            <v>205.352622475</v>
          </cell>
          <cell r="T9">
            <v>201.77608814999999</v>
          </cell>
          <cell r="U9">
            <v>198.19717190000003</v>
          </cell>
          <cell r="V9">
            <v>195.052705575</v>
          </cell>
          <cell r="W9">
            <v>198.98986379999999</v>
          </cell>
          <cell r="X9">
            <v>216.04487904999999</v>
          </cell>
          <cell r="Y9">
            <v>221.69427734999999</v>
          </cell>
          <cell r="Z9">
            <v>211.81721242500001</v>
          </cell>
          <cell r="AA9">
            <v>196.49588595000003</v>
          </cell>
          <cell r="AB9">
            <v>175.87256504999999</v>
          </cell>
          <cell r="AC9">
            <v>155.124424</v>
          </cell>
        </row>
        <row r="10">
          <cell r="F10">
            <v>157.70008117500004</v>
          </cell>
          <cell r="G10">
            <v>149.13638285000002</v>
          </cell>
          <cell r="H10">
            <v>142.31502967500001</v>
          </cell>
          <cell r="I10">
            <v>136.55223172499998</v>
          </cell>
          <cell r="J10">
            <v>136.31477405000001</v>
          </cell>
          <cell r="K10">
            <v>138.29247705</v>
          </cell>
          <cell r="L10">
            <v>141.20525964999999</v>
          </cell>
          <cell r="M10">
            <v>133.24194065</v>
          </cell>
          <cell r="N10">
            <v>143.46947160000002</v>
          </cell>
          <cell r="O10">
            <v>154.80926825000003</v>
          </cell>
          <cell r="P10">
            <v>166.6843178</v>
          </cell>
          <cell r="Q10">
            <v>179.21894445000001</v>
          </cell>
          <cell r="R10">
            <v>188.8453658</v>
          </cell>
          <cell r="S10">
            <v>189.92081290000002</v>
          </cell>
          <cell r="T10">
            <v>186.94328835000002</v>
          </cell>
          <cell r="U10">
            <v>186.91024852500001</v>
          </cell>
          <cell r="V10">
            <v>185.78481285000001</v>
          </cell>
          <cell r="W10">
            <v>189.72264447500001</v>
          </cell>
          <cell r="X10">
            <v>208.03311165</v>
          </cell>
          <cell r="Y10">
            <v>211.94964927500004</v>
          </cell>
          <cell r="Z10">
            <v>201.531618925</v>
          </cell>
          <cell r="AA10">
            <v>186.74698770000001</v>
          </cell>
          <cell r="AB10">
            <v>167.69769152500001</v>
          </cell>
          <cell r="AC10">
            <v>148.98373945</v>
          </cell>
        </row>
        <row r="11">
          <cell r="F11">
            <v>151.05151652499998</v>
          </cell>
          <cell r="G11">
            <v>141.464962275</v>
          </cell>
          <cell r="H11">
            <v>136.7707432</v>
          </cell>
          <cell r="I11">
            <v>136.7696785</v>
          </cell>
          <cell r="J11">
            <v>155.5931377</v>
          </cell>
          <cell r="K11">
            <v>187.13779402500001</v>
          </cell>
          <cell r="L11">
            <v>211.94337710000002</v>
          </cell>
          <cell r="M11">
            <v>209.25709805000002</v>
          </cell>
          <cell r="N11">
            <v>223.189423275</v>
          </cell>
          <cell r="O11">
            <v>232.45591460000003</v>
          </cell>
          <cell r="P11">
            <v>246.70766802500003</v>
          </cell>
          <cell r="Q11">
            <v>258.25267877500005</v>
          </cell>
          <cell r="R11">
            <v>258.92204065000004</v>
          </cell>
          <cell r="S11">
            <v>255.60408965000002</v>
          </cell>
          <cell r="T11">
            <v>257.66040299999997</v>
          </cell>
          <cell r="U11">
            <v>257.96461145000001</v>
          </cell>
          <cell r="V11">
            <v>252.47687465000001</v>
          </cell>
          <cell r="W11">
            <v>247.21295917500004</v>
          </cell>
          <cell r="X11">
            <v>264.65072724999999</v>
          </cell>
          <cell r="Y11">
            <v>272.49105747499999</v>
          </cell>
          <cell r="Z11">
            <v>258.130547675</v>
          </cell>
          <cell r="AA11">
            <v>226.73401205000002</v>
          </cell>
          <cell r="AB11">
            <v>196.18065285</v>
          </cell>
          <cell r="AC11">
            <v>164.56157444999999</v>
          </cell>
        </row>
        <row r="12">
          <cell r="F12">
            <v>166.20237497500003</v>
          </cell>
          <cell r="G12">
            <v>154.75313262500003</v>
          </cell>
          <cell r="H12">
            <v>147.763477225</v>
          </cell>
          <cell r="I12">
            <v>146.2726993</v>
          </cell>
          <cell r="J12">
            <v>152.83425202500001</v>
          </cell>
          <cell r="K12">
            <v>165.1525967</v>
          </cell>
          <cell r="L12">
            <v>186.152132075</v>
          </cell>
          <cell r="M12">
            <v>191.99772637500001</v>
          </cell>
          <cell r="N12">
            <v>213.56986105000001</v>
          </cell>
          <cell r="O12">
            <v>227.23664372499999</v>
          </cell>
          <cell r="P12">
            <v>239.96160825000001</v>
          </cell>
          <cell r="Q12">
            <v>247.68324945000003</v>
          </cell>
          <cell r="R12">
            <v>247.85151754999998</v>
          </cell>
          <cell r="S12">
            <v>241.14993174999998</v>
          </cell>
          <cell r="T12">
            <v>234.65844902500001</v>
          </cell>
          <cell r="U12">
            <v>232.15752560000001</v>
          </cell>
          <cell r="V12">
            <v>229.10459162500001</v>
          </cell>
          <cell r="W12">
            <v>230.29953309999999</v>
          </cell>
          <cell r="X12">
            <v>243.28761730000005</v>
          </cell>
          <cell r="Y12">
            <v>248.90778639999999</v>
          </cell>
          <cell r="Z12">
            <v>236.646683</v>
          </cell>
          <cell r="AA12">
            <v>217.564949875</v>
          </cell>
          <cell r="AB12">
            <v>195.287562925</v>
          </cell>
          <cell r="AC12">
            <v>173.6035665</v>
          </cell>
        </row>
        <row r="13">
          <cell r="F13">
            <v>163.277166325</v>
          </cell>
          <cell r="G13">
            <v>151.13302522499998</v>
          </cell>
          <cell r="H13">
            <v>143.42412174999998</v>
          </cell>
          <cell r="I13">
            <v>139.54691432500002</v>
          </cell>
          <cell r="J13">
            <v>141.11591584999999</v>
          </cell>
          <cell r="K13">
            <v>146.00074125</v>
          </cell>
          <cell r="L13">
            <v>155.55487220000001</v>
          </cell>
          <cell r="M13">
            <v>154.616432425</v>
          </cell>
          <cell r="N13">
            <v>171.32058807500002</v>
          </cell>
          <cell r="O13">
            <v>185.49258455</v>
          </cell>
          <cell r="P13">
            <v>197.47293247500002</v>
          </cell>
          <cell r="Q13">
            <v>210.38793457500003</v>
          </cell>
          <cell r="R13">
            <v>218.27431762500004</v>
          </cell>
          <cell r="S13">
            <v>218.678139225</v>
          </cell>
          <cell r="T13">
            <v>214.41179305</v>
          </cell>
          <cell r="U13">
            <v>210.97447507499999</v>
          </cell>
          <cell r="V13">
            <v>207.417171325</v>
          </cell>
          <cell r="W13">
            <v>209.65337120000001</v>
          </cell>
          <cell r="X13">
            <v>224.419195</v>
          </cell>
          <cell r="Y13">
            <v>234.58263920000002</v>
          </cell>
          <cell r="Z13">
            <v>225.3289857</v>
          </cell>
          <cell r="AA13">
            <v>208.271497525</v>
          </cell>
          <cell r="AB13">
            <v>184.36035117500001</v>
          </cell>
          <cell r="AC13">
            <v>160.46429945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148.03334455000001</v>
          </cell>
          <cell r="G15">
            <v>138.98735305</v>
          </cell>
          <cell r="H15">
            <v>134.35495710000001</v>
          </cell>
          <cell r="I15">
            <v>134.55654257500001</v>
          </cell>
          <cell r="J15">
            <v>153.14587925000001</v>
          </cell>
          <cell r="K15">
            <v>183.45253062500001</v>
          </cell>
          <cell r="L15">
            <v>207.03902992500002</v>
          </cell>
          <cell r="M15">
            <v>206.11936345000001</v>
          </cell>
          <cell r="N15">
            <v>219.66876522500002</v>
          </cell>
          <cell r="O15">
            <v>228.71562350000002</v>
          </cell>
          <cell r="P15">
            <v>242.73175745</v>
          </cell>
          <cell r="Q15">
            <v>254.09173107500001</v>
          </cell>
          <cell r="R15">
            <v>255.27677629999999</v>
          </cell>
          <cell r="S15">
            <v>251.96244027500001</v>
          </cell>
          <cell r="T15">
            <v>253.80874382500002</v>
          </cell>
          <cell r="U15">
            <v>253.332245075</v>
          </cell>
          <cell r="V15">
            <v>248.09431464999997</v>
          </cell>
          <cell r="W15">
            <v>243.61066047500003</v>
          </cell>
          <cell r="X15">
            <v>260.46925222499999</v>
          </cell>
          <cell r="Y15">
            <v>267.41810777500001</v>
          </cell>
          <cell r="Z15">
            <v>252.92916967500003</v>
          </cell>
          <cell r="AA15">
            <v>221.78291362499999</v>
          </cell>
          <cell r="AB15">
            <v>192.28924032500001</v>
          </cell>
          <cell r="AC15">
            <v>161.16892837499998</v>
          </cell>
        </row>
        <row r="16">
          <cell r="F16">
            <v>158.74684735</v>
          </cell>
          <cell r="G16">
            <v>148.00578064999999</v>
          </cell>
          <cell r="H16">
            <v>141.66235492500002</v>
          </cell>
          <cell r="I16">
            <v>140.33738582500001</v>
          </cell>
          <cell r="J16">
            <v>147.36587320000001</v>
          </cell>
          <cell r="K16">
            <v>160.79239085</v>
          </cell>
          <cell r="L16">
            <v>180.98832115000002</v>
          </cell>
          <cell r="M16">
            <v>189.19268095000001</v>
          </cell>
          <cell r="N16">
            <v>209.20321695000001</v>
          </cell>
          <cell r="O16">
            <v>222.07857944999998</v>
          </cell>
          <cell r="P16">
            <v>234.30372192499999</v>
          </cell>
          <cell r="Q16">
            <v>243.52101865</v>
          </cell>
          <cell r="R16">
            <v>244.213062275</v>
          </cell>
          <cell r="S16">
            <v>238.72801679999998</v>
          </cell>
          <cell r="T16">
            <v>233.12711240000002</v>
          </cell>
          <cell r="U16">
            <v>229.47667470000005</v>
          </cell>
          <cell r="V16">
            <v>226.0377392</v>
          </cell>
          <cell r="W16">
            <v>228.257008525</v>
          </cell>
          <cell r="X16">
            <v>239.21951235000003</v>
          </cell>
          <cell r="Y16">
            <v>244.65829570000002</v>
          </cell>
          <cell r="Z16">
            <v>232.04084312500001</v>
          </cell>
          <cell r="AA16">
            <v>213.88836105000001</v>
          </cell>
          <cell r="AB16">
            <v>192.19326717499999</v>
          </cell>
          <cell r="AC16">
            <v>171.47126360000001</v>
          </cell>
        </row>
        <row r="17">
          <cell r="F17">
            <v>158.90991707500001</v>
          </cell>
          <cell r="G17">
            <v>147.0117831</v>
          </cell>
          <cell r="H17">
            <v>139.480152175</v>
          </cell>
          <cell r="I17">
            <v>135.68987022499999</v>
          </cell>
          <cell r="J17">
            <v>136.82073177500001</v>
          </cell>
          <cell r="K17">
            <v>141.69708052500002</v>
          </cell>
          <cell r="L17">
            <v>149.72912500000001</v>
          </cell>
          <cell r="M17">
            <v>151.344395475</v>
          </cell>
          <cell r="N17">
            <v>168.03915765000002</v>
          </cell>
          <cell r="O17">
            <v>180.91922257499999</v>
          </cell>
          <cell r="P17">
            <v>192.15316347500001</v>
          </cell>
          <cell r="Q17">
            <v>203.92452990000001</v>
          </cell>
          <cell r="R17">
            <v>211.43951692499999</v>
          </cell>
          <cell r="S17">
            <v>211.91292622500001</v>
          </cell>
          <cell r="T17">
            <v>208.12619100000003</v>
          </cell>
          <cell r="U17">
            <v>205.40584609999999</v>
          </cell>
          <cell r="V17">
            <v>202.37591237499998</v>
          </cell>
          <cell r="W17">
            <v>205.05615585000001</v>
          </cell>
          <cell r="X17">
            <v>219.5871496</v>
          </cell>
          <cell r="Y17">
            <v>229.510365175</v>
          </cell>
          <cell r="Z17">
            <v>220.57336437500001</v>
          </cell>
          <cell r="AA17">
            <v>203.990821125</v>
          </cell>
          <cell r="AB17">
            <v>181.75617687499999</v>
          </cell>
          <cell r="AC17">
            <v>158.69226782500002</v>
          </cell>
        </row>
        <row r="18">
          <cell r="F18">
            <v>163.59112997500003</v>
          </cell>
          <cell r="G18">
            <v>151.9829584</v>
          </cell>
          <cell r="H18">
            <v>144.84960262500002</v>
          </cell>
          <cell r="I18">
            <v>141.76609265000002</v>
          </cell>
          <cell r="J18">
            <v>144.22129085</v>
          </cell>
          <cell r="K18">
            <v>149.40440060000003</v>
          </cell>
          <cell r="L18">
            <v>156.70171107499999</v>
          </cell>
          <cell r="M18">
            <v>158.08605084999999</v>
          </cell>
          <cell r="N18">
            <v>174.41243137500001</v>
          </cell>
          <cell r="O18">
            <v>189.07531370000001</v>
          </cell>
          <cell r="P18">
            <v>202.76281707499999</v>
          </cell>
          <cell r="Q18">
            <v>218.18393187500001</v>
          </cell>
          <cell r="R18">
            <v>226.17218715000001</v>
          </cell>
          <cell r="S18">
            <v>223.64242810000002</v>
          </cell>
          <cell r="T18">
            <v>218.292048975</v>
          </cell>
          <cell r="U18">
            <v>215.01463620000001</v>
          </cell>
          <cell r="V18">
            <v>213.04389242500002</v>
          </cell>
          <cell r="W18">
            <v>216.16716029999998</v>
          </cell>
          <cell r="X18">
            <v>232.64156370000003</v>
          </cell>
          <cell r="Y18">
            <v>245.90366482500002</v>
          </cell>
          <cell r="Z18">
            <v>234.0646399</v>
          </cell>
          <cell r="AA18">
            <v>214.95444880000002</v>
          </cell>
          <cell r="AB18">
            <v>190.37347875</v>
          </cell>
          <cell r="AC18">
            <v>166.265183175</v>
          </cell>
        </row>
        <row r="19">
          <cell r="F19">
            <v>148.11866615</v>
          </cell>
          <cell r="G19">
            <v>138.80728225000001</v>
          </cell>
          <cell r="H19">
            <v>134.151537975</v>
          </cell>
          <cell r="I19">
            <v>134.3367116</v>
          </cell>
          <cell r="J19">
            <v>152.05482565000003</v>
          </cell>
          <cell r="K19">
            <v>178.889267375</v>
          </cell>
          <cell r="L19">
            <v>202.36923069999997</v>
          </cell>
          <cell r="M19">
            <v>203.859298825</v>
          </cell>
          <cell r="N19">
            <v>218.08606592500001</v>
          </cell>
          <cell r="O19">
            <v>227.88693654999997</v>
          </cell>
          <cell r="P19">
            <v>241.88090290000002</v>
          </cell>
          <cell r="Q19">
            <v>253.84823782499998</v>
          </cell>
          <cell r="R19">
            <v>256.0267346</v>
          </cell>
          <cell r="S19">
            <v>252.55671349999997</v>
          </cell>
          <cell r="T19">
            <v>254.18168002500005</v>
          </cell>
          <cell r="U19">
            <v>253.94840152499998</v>
          </cell>
          <cell r="V19">
            <v>248.20760282499998</v>
          </cell>
          <cell r="W19">
            <v>244.39318312500001</v>
          </cell>
          <cell r="X19">
            <v>263.11531610000003</v>
          </cell>
          <cell r="Y19">
            <v>267.62053045000005</v>
          </cell>
          <cell r="Z19">
            <v>253.11743275000003</v>
          </cell>
          <cell r="AA19">
            <v>222.601131025</v>
          </cell>
          <cell r="AB19">
            <v>194.09668232499999</v>
          </cell>
          <cell r="AC19">
            <v>162.20946559999999</v>
          </cell>
        </row>
        <row r="20">
          <cell r="F20">
            <v>157.13476415</v>
          </cell>
          <cell r="G20">
            <v>145.75248415000002</v>
          </cell>
          <cell r="H20">
            <v>139.35713837500001</v>
          </cell>
          <cell r="I20">
            <v>137.94993484999998</v>
          </cell>
          <cell r="J20">
            <v>144.11179964999999</v>
          </cell>
          <cell r="K20">
            <v>155.03238205000002</v>
          </cell>
          <cell r="L20">
            <v>173.12100942499998</v>
          </cell>
          <cell r="M20">
            <v>180.52238295000001</v>
          </cell>
          <cell r="N20">
            <v>200.00921395</v>
          </cell>
          <cell r="O20">
            <v>213.39185367500002</v>
          </cell>
          <cell r="P20">
            <v>225.22020430000001</v>
          </cell>
          <cell r="Q20">
            <v>234.02000895</v>
          </cell>
          <cell r="R20">
            <v>236.174349775</v>
          </cell>
          <cell r="S20">
            <v>232.24315887500003</v>
          </cell>
          <cell r="T20">
            <v>227.38987407500002</v>
          </cell>
          <cell r="U20">
            <v>225.92039470000003</v>
          </cell>
          <cell r="V20">
            <v>223.84983075000002</v>
          </cell>
          <cell r="W20">
            <v>226.46217685000002</v>
          </cell>
          <cell r="X20">
            <v>239.00502080000001</v>
          </cell>
          <cell r="Y20">
            <v>242.79888132500002</v>
          </cell>
          <cell r="Z20">
            <v>229.76898035000002</v>
          </cell>
          <cell r="AA20">
            <v>211.64835737499999</v>
          </cell>
          <cell r="AB20">
            <v>191.35480000000001</v>
          </cell>
          <cell r="AC20">
            <v>170.71587032500003</v>
          </cell>
        </row>
        <row r="21">
          <cell r="F21">
            <v>160.16171307499999</v>
          </cell>
          <cell r="G21">
            <v>148.17673097500003</v>
          </cell>
          <cell r="H21">
            <v>140.53510152500002</v>
          </cell>
          <cell r="I21">
            <v>137.080122725</v>
          </cell>
          <cell r="J21">
            <v>138.410538175</v>
          </cell>
          <cell r="K21">
            <v>141.83064122499999</v>
          </cell>
          <cell r="L21">
            <v>151.02950135</v>
          </cell>
          <cell r="M21">
            <v>153.27248072500001</v>
          </cell>
          <cell r="N21">
            <v>170.15873192500001</v>
          </cell>
          <cell r="O21">
            <v>184.22649472500004</v>
          </cell>
          <cell r="P21">
            <v>194.52494197499999</v>
          </cell>
          <cell r="Q21">
            <v>204.52911342499999</v>
          </cell>
          <cell r="R21">
            <v>211.58248247500001</v>
          </cell>
          <cell r="S21">
            <v>212.67358385</v>
          </cell>
          <cell r="T21">
            <v>210.34778992500003</v>
          </cell>
          <cell r="U21">
            <v>207.71341045</v>
          </cell>
          <cell r="V21">
            <v>204.706968375</v>
          </cell>
          <cell r="W21">
            <v>208.37828602500002</v>
          </cell>
          <cell r="X21">
            <v>223.37374832500001</v>
          </cell>
          <cell r="Y21">
            <v>231.04878387500003</v>
          </cell>
          <cell r="Z21">
            <v>221.300904825</v>
          </cell>
          <cell r="AA21">
            <v>204.140684475</v>
          </cell>
          <cell r="AB21">
            <v>181.04244112499998</v>
          </cell>
          <cell r="AC21">
            <v>157.68158997500001</v>
          </cell>
        </row>
        <row r="22">
          <cell r="F22">
            <v>165.025107975</v>
          </cell>
          <cell r="G22">
            <v>152.54277447499999</v>
          </cell>
          <cell r="H22">
            <v>144.86845099999999</v>
          </cell>
          <cell r="I22">
            <v>141.38877934999999</v>
          </cell>
          <cell r="J22">
            <v>143.23448002500001</v>
          </cell>
          <cell r="K22">
            <v>147.01109604999999</v>
          </cell>
          <cell r="L22">
            <v>154.26015604999998</v>
          </cell>
          <cell r="M22">
            <v>154.65683187499999</v>
          </cell>
          <cell r="N22">
            <v>169.69287562500003</v>
          </cell>
          <cell r="O22">
            <v>178.64724150000001</v>
          </cell>
          <cell r="P22">
            <v>183.84310035000001</v>
          </cell>
          <cell r="Q22">
            <v>195.69227405000001</v>
          </cell>
          <cell r="R22">
            <v>206.20724669999998</v>
          </cell>
          <cell r="S22">
            <v>205.24453495</v>
          </cell>
          <cell r="T22">
            <v>200.96136742499999</v>
          </cell>
          <cell r="U22">
            <v>198.21597022500001</v>
          </cell>
          <cell r="V22">
            <v>197.97388292500003</v>
          </cell>
          <cell r="W22">
            <v>202.78115812500002</v>
          </cell>
          <cell r="X22">
            <v>218.67508390000003</v>
          </cell>
          <cell r="Y22">
            <v>224.16655170000001</v>
          </cell>
          <cell r="Z22">
            <v>212.57060597500001</v>
          </cell>
          <cell r="AA22">
            <v>200.83773027500001</v>
          </cell>
          <cell r="AB22">
            <v>187.32845267499999</v>
          </cell>
          <cell r="AC22">
            <v>168.16588652500002</v>
          </cell>
        </row>
        <row r="23">
          <cell r="F23">
            <v>147.50568105000002</v>
          </cell>
          <cell r="G23">
            <v>138.04669287500002</v>
          </cell>
          <cell r="H23">
            <v>133.284039525</v>
          </cell>
          <cell r="I23">
            <v>133.54418577500002</v>
          </cell>
          <cell r="J23">
            <v>151.22246230000002</v>
          </cell>
          <cell r="K23">
            <v>177.88571254999999</v>
          </cell>
          <cell r="L23">
            <v>202.54854165</v>
          </cell>
          <cell r="M23">
            <v>204.51969265000002</v>
          </cell>
          <cell r="N23">
            <v>218.16864842499999</v>
          </cell>
          <cell r="O23">
            <v>228.154942925</v>
          </cell>
          <cell r="P23">
            <v>242.37716457499997</v>
          </cell>
          <cell r="Q23">
            <v>254.02713700000001</v>
          </cell>
          <cell r="R23">
            <v>254.92473370000002</v>
          </cell>
          <cell r="S23">
            <v>250.85161465000002</v>
          </cell>
          <cell r="T23">
            <v>251.85810650000002</v>
          </cell>
          <cell r="U23">
            <v>251.86746357499999</v>
          </cell>
          <cell r="V23">
            <v>246.31256877500002</v>
          </cell>
          <cell r="W23">
            <v>242.24365847500002</v>
          </cell>
          <cell r="X23">
            <v>260.98846637500003</v>
          </cell>
          <cell r="Y23">
            <v>267.17065374999999</v>
          </cell>
          <cell r="Z23">
            <v>252.53350849999998</v>
          </cell>
          <cell r="AA23">
            <v>222.00511287500001</v>
          </cell>
          <cell r="AB23">
            <v>193.01021285000002</v>
          </cell>
          <cell r="AC23">
            <v>161.31472630000002</v>
          </cell>
        </row>
        <row r="24">
          <cell r="F24">
            <v>159.03292177500003</v>
          </cell>
          <cell r="G24">
            <v>147.807025275</v>
          </cell>
          <cell r="H24">
            <v>141.78399917499999</v>
          </cell>
          <cell r="I24">
            <v>140.09922517499999</v>
          </cell>
          <cell r="J24">
            <v>146.61238182500003</v>
          </cell>
          <cell r="K24">
            <v>157.52627572499998</v>
          </cell>
          <cell r="L24">
            <v>177.72590972500001</v>
          </cell>
          <cell r="M24">
            <v>186.30270522500001</v>
          </cell>
          <cell r="N24">
            <v>206.69264752500001</v>
          </cell>
          <cell r="O24">
            <v>220.16073852500003</v>
          </cell>
          <cell r="P24">
            <v>232.48068935000001</v>
          </cell>
          <cell r="Q24">
            <v>241.07828290000003</v>
          </cell>
          <cell r="R24">
            <v>241.229126775</v>
          </cell>
          <cell r="S24">
            <v>235.156874225</v>
          </cell>
          <cell r="T24">
            <v>229.425830725</v>
          </cell>
          <cell r="U24">
            <v>226.98397085000002</v>
          </cell>
          <cell r="V24">
            <v>224.03114825000003</v>
          </cell>
          <cell r="W24">
            <v>226.523089975</v>
          </cell>
          <cell r="X24">
            <v>237.80875982500001</v>
          </cell>
          <cell r="Y24">
            <v>242.66697682500001</v>
          </cell>
          <cell r="Z24">
            <v>230.72078575</v>
          </cell>
          <cell r="AA24">
            <v>212.31582872499999</v>
          </cell>
          <cell r="AB24">
            <v>191.2931566</v>
          </cell>
          <cell r="AC24">
            <v>169.94968672500002</v>
          </cell>
        </row>
        <row r="25">
          <cell r="F25">
            <v>157.35893355000002</v>
          </cell>
          <cell r="G25">
            <v>145.8898714</v>
          </cell>
          <cell r="H25">
            <v>138.2087707</v>
          </cell>
          <cell r="I25">
            <v>134.62712672500001</v>
          </cell>
          <cell r="J25">
            <v>135.33187850000002</v>
          </cell>
          <cell r="K25">
            <v>138.09750955000001</v>
          </cell>
          <cell r="L25">
            <v>147.80622220000001</v>
          </cell>
          <cell r="M25">
            <v>150.52856227500001</v>
          </cell>
          <cell r="N25">
            <v>168.20489595000001</v>
          </cell>
          <cell r="O25">
            <v>182.94602917500001</v>
          </cell>
          <cell r="P25">
            <v>194.67632275</v>
          </cell>
          <cell r="Q25">
            <v>206.51692652499997</v>
          </cell>
          <cell r="R25">
            <v>212.13328727500001</v>
          </cell>
          <cell r="S25">
            <v>210.8757651</v>
          </cell>
          <cell r="T25">
            <v>204.99152992500001</v>
          </cell>
          <cell r="U25">
            <v>203.01695960000001</v>
          </cell>
          <cell r="V25">
            <v>200.21719445000002</v>
          </cell>
          <cell r="W25">
            <v>204.26091367500001</v>
          </cell>
          <cell r="X25">
            <v>218.79497867500001</v>
          </cell>
          <cell r="Y25">
            <v>227.166792125</v>
          </cell>
          <cell r="Z25">
            <v>218.17193807500001</v>
          </cell>
          <cell r="AA25">
            <v>201.96033129999998</v>
          </cell>
          <cell r="AB25">
            <v>179.52222470000001</v>
          </cell>
          <cell r="AC25">
            <v>156.15170707500002</v>
          </cell>
        </row>
        <row r="26">
          <cell r="F26">
            <v>151.73714237499999</v>
          </cell>
          <cell r="G26">
            <v>140.73610005</v>
          </cell>
          <cell r="H26">
            <v>134.32181490000002</v>
          </cell>
          <cell r="I26">
            <v>132.19888500000002</v>
          </cell>
          <cell r="J26">
            <v>137.22052435000003</v>
          </cell>
          <cell r="K26">
            <v>144.92561037500002</v>
          </cell>
          <cell r="L26">
            <v>155.17074072499997</v>
          </cell>
          <cell r="M26">
            <v>157.96466595000001</v>
          </cell>
          <cell r="N26">
            <v>174.73159567499999</v>
          </cell>
          <cell r="O26">
            <v>188.45070335</v>
          </cell>
          <cell r="P26">
            <v>203.38222222499999</v>
          </cell>
          <cell r="Q26">
            <v>215.84206962499999</v>
          </cell>
          <cell r="R26">
            <v>225.57481765</v>
          </cell>
          <cell r="S26">
            <v>222.02774912500001</v>
          </cell>
          <cell r="T26">
            <v>215.59268412500001</v>
          </cell>
          <cell r="U26">
            <v>209.18003242500001</v>
          </cell>
          <cell r="V26">
            <v>206.96249665000002</v>
          </cell>
          <cell r="W26">
            <v>214.12176239999999</v>
          </cell>
          <cell r="X26">
            <v>228.21223197500001</v>
          </cell>
          <cell r="Y26">
            <v>233.83265359999999</v>
          </cell>
          <cell r="Z26">
            <v>221.66429057500002</v>
          </cell>
          <cell r="AA26">
            <v>203.08197682500003</v>
          </cell>
          <cell r="AB26">
            <v>179.57609215000002</v>
          </cell>
          <cell r="AC26">
            <v>155.78043162500001</v>
          </cell>
        </row>
        <row r="27">
          <cell r="F27">
            <v>146.55725175000001</v>
          </cell>
          <cell r="G27">
            <v>136.90689740000002</v>
          </cell>
          <cell r="H27">
            <v>131.96018745000001</v>
          </cell>
          <cell r="I27">
            <v>131.93881837500001</v>
          </cell>
          <cell r="J27">
            <v>147.8630062</v>
          </cell>
          <cell r="K27">
            <v>169.2684084</v>
          </cell>
          <cell r="L27">
            <v>193.84422330000001</v>
          </cell>
          <cell r="M27">
            <v>199.564285375</v>
          </cell>
          <cell r="N27">
            <v>214.90936740000001</v>
          </cell>
          <cell r="O27">
            <v>225.33076930000001</v>
          </cell>
          <cell r="P27">
            <v>238.92526612500001</v>
          </cell>
          <cell r="Q27">
            <v>251.35431912499999</v>
          </cell>
          <cell r="R27">
            <v>254.30059200000002</v>
          </cell>
          <cell r="S27">
            <v>250.84452575000003</v>
          </cell>
          <cell r="T27">
            <v>252.06287925000001</v>
          </cell>
          <cell r="U27">
            <v>251.98301992500001</v>
          </cell>
          <cell r="V27">
            <v>246.40077507500001</v>
          </cell>
          <cell r="W27">
            <v>241.53251622499999</v>
          </cell>
          <cell r="X27">
            <v>255.81012957499996</v>
          </cell>
          <cell r="Y27">
            <v>262.87724872500002</v>
          </cell>
          <cell r="Z27">
            <v>248.27253360000003</v>
          </cell>
          <cell r="AA27">
            <v>218.699674375</v>
          </cell>
          <cell r="AB27">
            <v>189.95515402499998</v>
          </cell>
          <cell r="AC27">
            <v>159.71887749999999</v>
          </cell>
        </row>
        <row r="28">
          <cell r="F28">
            <v>157.25007252500001</v>
          </cell>
          <cell r="G28">
            <v>145.91652075000002</v>
          </cell>
          <cell r="H28">
            <v>139.03042107499999</v>
          </cell>
          <cell r="I28">
            <v>137.1749834</v>
          </cell>
          <cell r="J28">
            <v>143.238047225</v>
          </cell>
          <cell r="K28">
            <v>153.41140815</v>
          </cell>
          <cell r="L28">
            <v>173.15714780000002</v>
          </cell>
          <cell r="M28">
            <v>181.71741315</v>
          </cell>
          <cell r="N28">
            <v>201.39231384999999</v>
          </cell>
          <cell r="O28">
            <v>214.54259189999999</v>
          </cell>
          <cell r="P28">
            <v>227.11966777500001</v>
          </cell>
          <cell r="Q28">
            <v>236.01107075000002</v>
          </cell>
          <cell r="R28">
            <v>237.16188632500001</v>
          </cell>
          <cell r="S28">
            <v>231.1893584</v>
          </cell>
          <cell r="T28">
            <v>226.05293165</v>
          </cell>
          <cell r="U28">
            <v>224.39715480000001</v>
          </cell>
          <cell r="V28">
            <v>220.81249417500001</v>
          </cell>
          <cell r="W28">
            <v>222.97306622500003</v>
          </cell>
          <cell r="X28">
            <v>231.70021192500002</v>
          </cell>
          <cell r="Y28">
            <v>239.12938822500001</v>
          </cell>
          <cell r="Z28">
            <v>226.87117180000001</v>
          </cell>
          <cell r="AA28">
            <v>209.07075507499999</v>
          </cell>
          <cell r="AB28">
            <v>188.77776417500002</v>
          </cell>
          <cell r="AC28">
            <v>168.29958372499999</v>
          </cell>
        </row>
        <row r="29">
          <cell r="F29">
            <v>158.34974837499999</v>
          </cell>
          <cell r="G29">
            <v>146.93980892500002</v>
          </cell>
          <cell r="H29">
            <v>139.22086132500002</v>
          </cell>
          <cell r="I29">
            <v>135.82092387500001</v>
          </cell>
          <cell r="J29">
            <v>136.771141325</v>
          </cell>
          <cell r="K29">
            <v>139.49342680000001</v>
          </cell>
          <cell r="L29">
            <v>147.43513557500003</v>
          </cell>
          <cell r="M29">
            <v>148.23143562500002</v>
          </cell>
          <cell r="N29">
            <v>163.72195840000001</v>
          </cell>
          <cell r="O29">
            <v>177.20315794999999</v>
          </cell>
          <cell r="P29">
            <v>186.96963057500002</v>
          </cell>
          <cell r="Q29">
            <v>198.58927270000001</v>
          </cell>
          <cell r="R29">
            <v>205.99012525000001</v>
          </cell>
          <cell r="S29">
            <v>206.36459934999999</v>
          </cell>
          <cell r="T29">
            <v>202.52427650000001</v>
          </cell>
          <cell r="U29">
            <v>200.2572845</v>
          </cell>
          <cell r="V29">
            <v>197.37706625000001</v>
          </cell>
          <cell r="W29">
            <v>200.36016682500002</v>
          </cell>
          <cell r="X29">
            <v>211.179370675</v>
          </cell>
          <cell r="Y29">
            <v>221.44136332500003</v>
          </cell>
          <cell r="Z29">
            <v>213.00944437500002</v>
          </cell>
          <cell r="AA29">
            <v>199.51251775</v>
          </cell>
          <cell r="AB29">
            <v>179.86370447500002</v>
          </cell>
          <cell r="AC29">
            <v>159.17812592499999</v>
          </cell>
        </row>
        <row r="30">
          <cell r="F30">
            <v>151.94639915000002</v>
          </cell>
          <cell r="G30">
            <v>141.08336742500001</v>
          </cell>
          <cell r="H30">
            <v>134.33379504999999</v>
          </cell>
          <cell r="I30">
            <v>131.65734627499998</v>
          </cell>
          <cell r="J30">
            <v>133.82121025000001</v>
          </cell>
          <cell r="K30">
            <v>137.84005917499999</v>
          </cell>
          <cell r="L30">
            <v>145.67422414999999</v>
          </cell>
          <cell r="M30">
            <v>146.17815712499998</v>
          </cell>
          <cell r="N30">
            <v>162.018008425</v>
          </cell>
          <cell r="O30">
            <v>176.048847975</v>
          </cell>
          <cell r="P30">
            <v>190.34087572499999</v>
          </cell>
          <cell r="Q30">
            <v>205.07416930000002</v>
          </cell>
          <cell r="R30">
            <v>213.71144339999998</v>
          </cell>
          <cell r="S30">
            <v>211.99841845000003</v>
          </cell>
          <cell r="T30">
            <v>206.08108657500003</v>
          </cell>
          <cell r="U30">
            <v>203.10796415000002</v>
          </cell>
          <cell r="V30">
            <v>200.46107899999998</v>
          </cell>
          <cell r="W30">
            <v>204.38011230000001</v>
          </cell>
          <cell r="X30">
            <v>217.367143175</v>
          </cell>
          <cell r="Y30">
            <v>232.065131025</v>
          </cell>
          <cell r="Z30">
            <v>221.97073535000001</v>
          </cell>
          <cell r="AA30">
            <v>204.9424832</v>
          </cell>
          <cell r="AB30">
            <v>181.22890695000001</v>
          </cell>
          <cell r="AC30">
            <v>157.51951215</v>
          </cell>
        </row>
        <row r="31">
          <cell r="F31">
            <v>149.69570297499999</v>
          </cell>
          <cell r="G31">
            <v>139.84925045</v>
          </cell>
          <cell r="H31">
            <v>134.49622322499999</v>
          </cell>
          <cell r="I31">
            <v>134.19762720000003</v>
          </cell>
          <cell r="J31">
            <v>150.42883310000002</v>
          </cell>
          <cell r="K31">
            <v>175.04598247499999</v>
          </cell>
          <cell r="L31">
            <v>199.001200125</v>
          </cell>
          <cell r="M31">
            <v>201.86309324999999</v>
          </cell>
          <cell r="N31">
            <v>216.57348895000001</v>
          </cell>
          <cell r="O31">
            <v>226.66746375</v>
          </cell>
          <cell r="P31">
            <v>240.64071394999996</v>
          </cell>
          <cell r="Q31">
            <v>252.55217032499999</v>
          </cell>
          <cell r="R31">
            <v>254.62080962500002</v>
          </cell>
          <cell r="S31">
            <v>251.82537607500001</v>
          </cell>
          <cell r="T31">
            <v>254.43302202499999</v>
          </cell>
          <cell r="U31">
            <v>254.93340372499998</v>
          </cell>
          <cell r="V31">
            <v>249.05344782499998</v>
          </cell>
          <cell r="W31">
            <v>242.40266505000002</v>
          </cell>
          <cell r="X31">
            <v>255.53943415000001</v>
          </cell>
          <cell r="Y31">
            <v>267.65507632500004</v>
          </cell>
          <cell r="Z31">
            <v>254.20596337500001</v>
          </cell>
          <cell r="AA31">
            <v>224.60408652499999</v>
          </cell>
          <cell r="AB31">
            <v>194.773412925</v>
          </cell>
          <cell r="AC31">
            <v>163.39731135</v>
          </cell>
        </row>
        <row r="32">
          <cell r="F32">
            <v>159.56067627499999</v>
          </cell>
          <cell r="G32">
            <v>148.3912066</v>
          </cell>
          <cell r="H32">
            <v>141.69911210000001</v>
          </cell>
          <cell r="I32">
            <v>139.36787637500001</v>
          </cell>
          <cell r="J32">
            <v>145.07777147500002</v>
          </cell>
          <cell r="K32">
            <v>155.66219305000001</v>
          </cell>
          <cell r="L32">
            <v>174.66759537499999</v>
          </cell>
          <cell r="M32">
            <v>183.2108642</v>
          </cell>
          <cell r="N32">
            <v>202.93031622500001</v>
          </cell>
          <cell r="O32">
            <v>216.22313895000002</v>
          </cell>
          <cell r="P32">
            <v>228.84600374999999</v>
          </cell>
          <cell r="Q32">
            <v>238.43793382499999</v>
          </cell>
          <cell r="R32">
            <v>238.81985855000002</v>
          </cell>
          <cell r="S32">
            <v>231.71174162500003</v>
          </cell>
          <cell r="T32">
            <v>225.15862915000002</v>
          </cell>
          <cell r="U32">
            <v>223.043673125</v>
          </cell>
          <cell r="V32">
            <v>221.19536757500001</v>
          </cell>
          <cell r="W32">
            <v>223.22817562500001</v>
          </cell>
          <cell r="X32">
            <v>231.85895687499999</v>
          </cell>
          <cell r="Y32">
            <v>239.9893405</v>
          </cell>
          <cell r="Z32">
            <v>227.25791724999999</v>
          </cell>
          <cell r="AA32">
            <v>208.65612267500003</v>
          </cell>
          <cell r="AB32">
            <v>187.95550637500003</v>
          </cell>
          <cell r="AC32">
            <v>167.456587025</v>
          </cell>
        </row>
        <row r="33">
          <cell r="F33">
            <v>154.31756794999998</v>
          </cell>
          <cell r="G33">
            <v>142.61491789999999</v>
          </cell>
          <cell r="H33">
            <v>134.938287575</v>
          </cell>
          <cell r="I33">
            <v>131.06728634999999</v>
          </cell>
          <cell r="J33">
            <v>132.43755980000003</v>
          </cell>
          <cell r="K33">
            <v>135.51180142500002</v>
          </cell>
          <cell r="L33">
            <v>144.41339640000001</v>
          </cell>
          <cell r="M33">
            <v>145.25359940000001</v>
          </cell>
          <cell r="N33">
            <v>160.817067775</v>
          </cell>
          <cell r="O33">
            <v>174.6579016</v>
          </cell>
          <cell r="P33">
            <v>185.37911665000001</v>
          </cell>
          <cell r="Q33">
            <v>197.47125580000002</v>
          </cell>
          <cell r="R33">
            <v>204.88868400000001</v>
          </cell>
          <cell r="S33">
            <v>204.98262102500001</v>
          </cell>
          <cell r="T33">
            <v>200.70613972500001</v>
          </cell>
          <cell r="U33">
            <v>198.49367492500002</v>
          </cell>
          <cell r="V33">
            <v>195.826719725</v>
          </cell>
          <cell r="W33">
            <v>198.82743562500002</v>
          </cell>
          <cell r="X33">
            <v>210.58334342500001</v>
          </cell>
          <cell r="Y33">
            <v>225.27689047499999</v>
          </cell>
          <cell r="Z33">
            <v>216.337701125</v>
          </cell>
          <cell r="AA33">
            <v>199.3951778</v>
          </cell>
          <cell r="AB33">
            <v>176.0265234</v>
          </cell>
          <cell r="AC33">
            <v>154.18162532500003</v>
          </cell>
        </row>
        <row r="34">
          <cell r="F34">
            <v>164.15040687500002</v>
          </cell>
          <cell r="G34">
            <v>151.76949060000001</v>
          </cell>
          <cell r="H34">
            <v>143.82316584999998</v>
          </cell>
          <cell r="I34">
            <v>139.87596805000001</v>
          </cell>
          <cell r="J34">
            <v>140.35198905000001</v>
          </cell>
          <cell r="K34">
            <v>141.81889085</v>
          </cell>
          <cell r="L34">
            <v>150.39118867500002</v>
          </cell>
          <cell r="M34">
            <v>151.77671144999999</v>
          </cell>
          <cell r="N34">
            <v>167.22610677500003</v>
          </cell>
          <cell r="O34">
            <v>180.22194645000002</v>
          </cell>
          <cell r="P34">
            <v>191.12819635</v>
          </cell>
          <cell r="Q34">
            <v>203.86229955000002</v>
          </cell>
          <cell r="R34">
            <v>209.739054525</v>
          </cell>
          <cell r="S34">
            <v>210.16346032500002</v>
          </cell>
          <cell r="T34">
            <v>207.009309325</v>
          </cell>
          <cell r="U34">
            <v>205.16201842499999</v>
          </cell>
          <cell r="V34">
            <v>202.65666785000002</v>
          </cell>
          <cell r="W34">
            <v>205.89571502500002</v>
          </cell>
          <cell r="X34">
            <v>217.12560414999999</v>
          </cell>
          <cell r="Y34">
            <v>231.00846859999999</v>
          </cell>
          <cell r="Z34">
            <v>224.62176782500001</v>
          </cell>
          <cell r="AA34">
            <v>211.28343372500001</v>
          </cell>
          <cell r="AB34">
            <v>188.43891657500001</v>
          </cell>
          <cell r="AC34">
            <v>165.39435867500003</v>
          </cell>
        </row>
        <row r="35">
          <cell r="F35">
            <v>151.04837929999999</v>
          </cell>
          <cell r="G35">
            <v>141.04860087500001</v>
          </cell>
          <cell r="H35">
            <v>135.76938147499999</v>
          </cell>
          <cell r="I35">
            <v>135.539752075</v>
          </cell>
          <cell r="J35">
            <v>153.03895652499997</v>
          </cell>
          <cell r="K35">
            <v>180.14087682500002</v>
          </cell>
          <cell r="L35">
            <v>205.13280060000002</v>
          </cell>
          <cell r="M35">
            <v>206.51468109999999</v>
          </cell>
          <cell r="N35">
            <v>220.43660047500001</v>
          </cell>
          <cell r="O35">
            <v>229.929174475</v>
          </cell>
          <cell r="P35">
            <v>243.949899375</v>
          </cell>
          <cell r="Q35">
            <v>256.09863597500004</v>
          </cell>
          <cell r="R35">
            <v>257.91463880000003</v>
          </cell>
          <cell r="S35">
            <v>254.43583165000001</v>
          </cell>
          <cell r="T35">
            <v>256.99313639999997</v>
          </cell>
          <cell r="U35">
            <v>257.04016747499998</v>
          </cell>
          <cell r="V35">
            <v>251.55915102500001</v>
          </cell>
          <cell r="W35">
            <v>246.24940567500002</v>
          </cell>
          <cell r="X35">
            <v>263.95155149999999</v>
          </cell>
          <cell r="Y35">
            <v>272.77684069999998</v>
          </cell>
          <cell r="Z35">
            <v>258.55216660000002</v>
          </cell>
          <cell r="AA35">
            <v>227.07465462499999</v>
          </cell>
          <cell r="AB35">
            <v>196.89012752500003</v>
          </cell>
          <cell r="AC35">
            <v>165.11224730000001</v>
          </cell>
        </row>
        <row r="36">
          <cell r="F36">
            <v>161.21663512500004</v>
          </cell>
          <cell r="G36">
            <v>150.051690425</v>
          </cell>
          <cell r="H36">
            <v>143.60154217499999</v>
          </cell>
          <cell r="I36">
            <v>141.33820155000001</v>
          </cell>
          <cell r="J36">
            <v>147.63106995000001</v>
          </cell>
          <cell r="K36">
            <v>158.11737532500004</v>
          </cell>
          <cell r="L36">
            <v>177.63815387500003</v>
          </cell>
          <cell r="M36">
            <v>186.71270572500001</v>
          </cell>
          <cell r="N36">
            <v>206.4523825</v>
          </cell>
          <cell r="O36">
            <v>218.08310387500003</v>
          </cell>
          <cell r="P36">
            <v>229.322600325</v>
          </cell>
          <cell r="Q36">
            <v>237.0880057</v>
          </cell>
          <cell r="R36">
            <v>238.39232462500001</v>
          </cell>
          <cell r="S36">
            <v>232.96804212500001</v>
          </cell>
          <cell r="T36">
            <v>227.47249297499999</v>
          </cell>
          <cell r="U36">
            <v>225.04342087500001</v>
          </cell>
          <cell r="V36">
            <v>222.26832127500001</v>
          </cell>
          <cell r="W36">
            <v>224.92977779999998</v>
          </cell>
          <cell r="X36">
            <v>236.46528587500001</v>
          </cell>
          <cell r="Y36">
            <v>242.33228337500003</v>
          </cell>
          <cell r="Z36">
            <v>228.687597775</v>
          </cell>
          <cell r="AA36">
            <v>209.91381092500001</v>
          </cell>
          <cell r="AB36">
            <v>188.56085884999999</v>
          </cell>
          <cell r="AC36">
            <v>168.25379252499999</v>
          </cell>
        </row>
        <row r="37">
          <cell r="F37">
            <v>158.12630242500001</v>
          </cell>
          <cell r="G37">
            <v>146.63598267500001</v>
          </cell>
          <cell r="H37">
            <v>138.67780290000002</v>
          </cell>
          <cell r="I37">
            <v>135.17572477500002</v>
          </cell>
          <cell r="J37">
            <v>136.617933725</v>
          </cell>
          <cell r="K37">
            <v>141.168388725</v>
          </cell>
          <cell r="L37">
            <v>148.17971805000002</v>
          </cell>
          <cell r="M37">
            <v>149.45169330000002</v>
          </cell>
          <cell r="N37">
            <v>164.861981375</v>
          </cell>
          <cell r="O37">
            <v>178.66447917500003</v>
          </cell>
          <cell r="P37">
            <v>190.10658939999999</v>
          </cell>
          <cell r="Q37">
            <v>201.964282975</v>
          </cell>
          <cell r="R37">
            <v>209.57689252500001</v>
          </cell>
          <cell r="S37">
            <v>210.13254535000004</v>
          </cell>
          <cell r="T37">
            <v>204.94367075000002</v>
          </cell>
          <cell r="U37">
            <v>202.27884950000001</v>
          </cell>
          <cell r="V37">
            <v>199.11897687499999</v>
          </cell>
          <cell r="W37">
            <v>203.91027930000001</v>
          </cell>
          <cell r="X37">
            <v>219.577037225</v>
          </cell>
          <cell r="Y37">
            <v>229.32573300000001</v>
          </cell>
          <cell r="Z37">
            <v>219.55456705</v>
          </cell>
          <cell r="AA37">
            <v>203.05040210000001</v>
          </cell>
          <cell r="AB37">
            <v>180.42574322499999</v>
          </cell>
          <cell r="AC37">
            <v>158.74574625</v>
          </cell>
        </row>
        <row r="38">
          <cell r="F38">
            <v>153.72729417500003</v>
          </cell>
          <cell r="G38">
            <v>142.13746592499999</v>
          </cell>
          <cell r="H38">
            <v>134.492706075</v>
          </cell>
          <cell r="I38">
            <v>132.67579552500001</v>
          </cell>
          <cell r="J38">
            <v>134.87188259999999</v>
          </cell>
          <cell r="K38">
            <v>141.34109080000002</v>
          </cell>
          <cell r="L38">
            <v>151.001898775</v>
          </cell>
          <cell r="M38">
            <v>151.81228335</v>
          </cell>
          <cell r="N38">
            <v>169.38891742500002</v>
          </cell>
          <cell r="O38">
            <v>183.51362575000002</v>
          </cell>
          <cell r="P38">
            <v>197.3168652</v>
          </cell>
          <cell r="Q38">
            <v>211.34387137500002</v>
          </cell>
          <cell r="R38">
            <v>219.31317817500002</v>
          </cell>
          <cell r="S38">
            <v>218.26470802500003</v>
          </cell>
          <cell r="T38">
            <v>212.7529313</v>
          </cell>
          <cell r="U38">
            <v>208.06325312500002</v>
          </cell>
          <cell r="V38">
            <v>206.44618084999999</v>
          </cell>
          <cell r="W38">
            <v>209.82974057500002</v>
          </cell>
          <cell r="X38">
            <v>223.98131665000002</v>
          </cell>
          <cell r="Y38">
            <v>237.41242069999998</v>
          </cell>
          <cell r="Z38">
            <v>226.051664475</v>
          </cell>
          <cell r="AA38">
            <v>206.13650330000002</v>
          </cell>
          <cell r="AB38">
            <v>181.69008812500002</v>
          </cell>
          <cell r="AC38">
            <v>158.40452809999999</v>
          </cell>
        </row>
        <row r="39">
          <cell r="F39">
            <v>149.022503175</v>
          </cell>
          <cell r="G39">
            <v>139.597546725</v>
          </cell>
          <cell r="H39">
            <v>134.74051044999999</v>
          </cell>
          <cell r="I39">
            <v>134.60612165000001</v>
          </cell>
          <cell r="J39">
            <v>152.14144855000001</v>
          </cell>
          <cell r="K39">
            <v>179.39541392500001</v>
          </cell>
          <cell r="L39">
            <v>203.73223552500002</v>
          </cell>
          <cell r="M39">
            <v>204.07182477500001</v>
          </cell>
          <cell r="N39">
            <v>217.73426220000002</v>
          </cell>
          <cell r="O39">
            <v>227.214462475</v>
          </cell>
          <cell r="P39">
            <v>241.57748387500001</v>
          </cell>
          <cell r="Q39">
            <v>253.75589557500001</v>
          </cell>
          <cell r="R39">
            <v>254.716323225</v>
          </cell>
          <cell r="S39">
            <v>251.45768147500002</v>
          </cell>
          <cell r="T39">
            <v>253.56820352500003</v>
          </cell>
          <cell r="U39">
            <v>254.03672385000002</v>
          </cell>
          <cell r="V39">
            <v>248.95775222500001</v>
          </cell>
          <cell r="W39">
            <v>245.79745417500001</v>
          </cell>
          <cell r="X39">
            <v>268.45247975000001</v>
          </cell>
          <cell r="Y39">
            <v>268.95596910000006</v>
          </cell>
          <cell r="Z39">
            <v>253.973654025</v>
          </cell>
          <cell r="AA39">
            <v>223.04950850000003</v>
          </cell>
          <cell r="AB39">
            <v>192.91268587499999</v>
          </cell>
          <cell r="AC39">
            <v>161.8316154</v>
          </cell>
        </row>
        <row r="40">
          <cell r="F40">
            <v>158.66286345</v>
          </cell>
          <cell r="G40">
            <v>147.93399075000002</v>
          </cell>
          <cell r="H40">
            <v>141.256513125</v>
          </cell>
          <cell r="I40">
            <v>139.51742577500002</v>
          </cell>
          <cell r="J40">
            <v>146.17473552500002</v>
          </cell>
          <cell r="K40">
            <v>158.095922075</v>
          </cell>
          <cell r="L40">
            <v>176.76459255</v>
          </cell>
          <cell r="M40">
            <v>185.309644975</v>
          </cell>
          <cell r="N40">
            <v>204.88104455000001</v>
          </cell>
          <cell r="O40">
            <v>217.10851435000001</v>
          </cell>
          <cell r="P40">
            <v>230.44078330000002</v>
          </cell>
          <cell r="Q40">
            <v>239.70305905000001</v>
          </cell>
          <cell r="R40">
            <v>240.24670442499999</v>
          </cell>
          <cell r="S40">
            <v>234.71722137500004</v>
          </cell>
          <cell r="T40">
            <v>228.834253375</v>
          </cell>
          <cell r="U40">
            <v>226.4617628</v>
          </cell>
          <cell r="V40">
            <v>223.76263227500002</v>
          </cell>
          <cell r="W40">
            <v>227.74367525</v>
          </cell>
          <cell r="X40">
            <v>243.34022667500005</v>
          </cell>
          <cell r="Y40">
            <v>242.01985307500001</v>
          </cell>
          <cell r="Z40">
            <v>228.18294135000002</v>
          </cell>
          <cell r="AA40">
            <v>209.144474175</v>
          </cell>
          <cell r="AB40">
            <v>188.76722410000002</v>
          </cell>
          <cell r="AC40">
            <v>168.87498127500001</v>
          </cell>
        </row>
        <row r="41">
          <cell r="F41">
            <v>158.614617525</v>
          </cell>
          <cell r="G41">
            <v>146.21719157500002</v>
          </cell>
          <cell r="H41">
            <v>138.53610907500001</v>
          </cell>
          <cell r="I41">
            <v>134.55820332500002</v>
          </cell>
          <cell r="J41">
            <v>135.266788475</v>
          </cell>
          <cell r="K41">
            <v>138.59630785000002</v>
          </cell>
          <cell r="L41">
            <v>146.02078854999999</v>
          </cell>
          <cell r="M41">
            <v>146.62526742500003</v>
          </cell>
          <cell r="N41">
            <v>161.3056809</v>
          </cell>
          <cell r="O41">
            <v>174.54388997499998</v>
          </cell>
          <cell r="P41">
            <v>187.08891109999999</v>
          </cell>
          <cell r="Q41">
            <v>199.40214840000002</v>
          </cell>
          <cell r="R41">
            <v>206.16126212500001</v>
          </cell>
          <cell r="S41">
            <v>207.15424730000001</v>
          </cell>
          <cell r="T41">
            <v>203.77906867500002</v>
          </cell>
          <cell r="U41">
            <v>202.04668574999999</v>
          </cell>
          <cell r="V41">
            <v>200.04208087500001</v>
          </cell>
          <cell r="W41">
            <v>206.20673027500001</v>
          </cell>
          <cell r="X41">
            <v>224.92495935000002</v>
          </cell>
          <cell r="Y41">
            <v>227.99581805000003</v>
          </cell>
          <cell r="Z41">
            <v>217.28990465000001</v>
          </cell>
          <cell r="AA41">
            <v>200.27450625</v>
          </cell>
          <cell r="AB41">
            <v>177.56795192499999</v>
          </cell>
          <cell r="AC41">
            <v>155.218474775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143.56801095000003</v>
          </cell>
          <cell r="G43">
            <v>134.26146142500002</v>
          </cell>
          <cell r="H43">
            <v>129.87997067500001</v>
          </cell>
          <cell r="I43">
            <v>129.786936825</v>
          </cell>
          <cell r="J43">
            <v>147.2205553</v>
          </cell>
          <cell r="K43">
            <v>172.35906642500001</v>
          </cell>
          <cell r="L43">
            <v>196.53150562500002</v>
          </cell>
          <cell r="M43">
            <v>198.73459970000002</v>
          </cell>
          <cell r="N43">
            <v>212.34202535</v>
          </cell>
          <cell r="O43">
            <v>221.89354232500003</v>
          </cell>
          <cell r="P43">
            <v>235.82515775000002</v>
          </cell>
          <cell r="Q43">
            <v>248.07708835</v>
          </cell>
          <cell r="R43">
            <v>250.27286375000003</v>
          </cell>
          <cell r="S43">
            <v>246.69739867500002</v>
          </cell>
          <cell r="T43">
            <v>247.98828372499997</v>
          </cell>
          <cell r="U43">
            <v>248.15151269999998</v>
          </cell>
          <cell r="V43">
            <v>243.06432377500002</v>
          </cell>
          <cell r="W43">
            <v>244.00247007500002</v>
          </cell>
          <cell r="X43">
            <v>265.97897917500006</v>
          </cell>
          <cell r="Y43">
            <v>261.06585960000001</v>
          </cell>
          <cell r="Z43">
            <v>246.07898997499998</v>
          </cell>
          <cell r="AA43">
            <v>215.723141725</v>
          </cell>
          <cell r="AB43">
            <v>186.669462525</v>
          </cell>
          <cell r="AC43">
            <v>156.624083525</v>
          </cell>
        </row>
        <row r="44">
          <cell r="F44">
            <v>153.95828857500001</v>
          </cell>
          <cell r="G44">
            <v>142.82385390000002</v>
          </cell>
          <cell r="H44">
            <v>136.47605335</v>
          </cell>
          <cell r="I44">
            <v>134.57911512500002</v>
          </cell>
          <cell r="J44">
            <v>141.34182107500001</v>
          </cell>
          <cell r="K44">
            <v>152.53950075</v>
          </cell>
          <cell r="L44">
            <v>170.93567627499999</v>
          </cell>
          <cell r="M44">
            <v>178.57492834999999</v>
          </cell>
          <cell r="N44">
            <v>198.06268982500001</v>
          </cell>
          <cell r="O44">
            <v>210.897948625</v>
          </cell>
          <cell r="P44">
            <v>222.835431</v>
          </cell>
          <cell r="Q44">
            <v>231.5035723</v>
          </cell>
          <cell r="R44">
            <v>232.69689170000001</v>
          </cell>
          <cell r="S44">
            <v>227.357676</v>
          </cell>
          <cell r="T44">
            <v>223.679458275</v>
          </cell>
          <cell r="U44">
            <v>223.52737452500003</v>
          </cell>
          <cell r="V44">
            <v>220.44178975000003</v>
          </cell>
          <cell r="W44">
            <v>226.95293075000004</v>
          </cell>
          <cell r="X44">
            <v>241.13887070000004</v>
          </cell>
          <cell r="Y44">
            <v>235.448005975</v>
          </cell>
          <cell r="Z44">
            <v>222.063248225</v>
          </cell>
          <cell r="AA44">
            <v>203.45840060000003</v>
          </cell>
          <cell r="AB44">
            <v>182.20109180000003</v>
          </cell>
          <cell r="AC44">
            <v>162.14622287500001</v>
          </cell>
        </row>
        <row r="45">
          <cell r="F45">
            <v>152.25133332500002</v>
          </cell>
          <cell r="G45">
            <v>141.77777932500001</v>
          </cell>
          <cell r="H45">
            <v>134.63049144999999</v>
          </cell>
          <cell r="I45">
            <v>131.00767680000001</v>
          </cell>
          <cell r="J45">
            <v>132.30727282500001</v>
          </cell>
          <cell r="K45">
            <v>135.92133100000001</v>
          </cell>
          <cell r="L45">
            <v>143.79728089999998</v>
          </cell>
          <cell r="M45">
            <v>144.95673464999999</v>
          </cell>
          <cell r="N45">
            <v>159.89754235000001</v>
          </cell>
          <cell r="O45">
            <v>173.5808529</v>
          </cell>
          <cell r="P45">
            <v>185.883536475</v>
          </cell>
          <cell r="Q45">
            <v>197.46234007499999</v>
          </cell>
          <cell r="R45">
            <v>204.46181665000003</v>
          </cell>
          <cell r="S45">
            <v>204.77723402500001</v>
          </cell>
          <cell r="T45">
            <v>200.77378002500001</v>
          </cell>
          <cell r="U45">
            <v>198.18025955000002</v>
          </cell>
          <cell r="V45">
            <v>196.07368234999998</v>
          </cell>
          <cell r="W45">
            <v>203.79393580000001</v>
          </cell>
          <cell r="X45">
            <v>223.36833609999999</v>
          </cell>
          <cell r="Y45">
            <v>221.70974280000001</v>
          </cell>
          <cell r="Z45">
            <v>211.34820069999998</v>
          </cell>
          <cell r="AA45">
            <v>195.12364235000001</v>
          </cell>
          <cell r="AB45">
            <v>173.61463437499998</v>
          </cell>
          <cell r="AC45">
            <v>152.45485482499998</v>
          </cell>
        </row>
        <row r="46">
          <cell r="F46">
            <v>144.21497772500001</v>
          </cell>
          <cell r="G46">
            <v>134.00844275</v>
          </cell>
          <cell r="H46">
            <v>127.27596472500001</v>
          </cell>
          <cell r="I46">
            <v>124.52272787500002</v>
          </cell>
          <cell r="J46">
            <v>127.475191025</v>
          </cell>
          <cell r="K46">
            <v>132.5723217</v>
          </cell>
          <cell r="L46">
            <v>140.11068207500003</v>
          </cell>
          <cell r="M46">
            <v>140.8265131</v>
          </cell>
          <cell r="N46">
            <v>157.32573220000003</v>
          </cell>
          <cell r="O46">
            <v>172.30922345000002</v>
          </cell>
          <cell r="P46">
            <v>184.574656175</v>
          </cell>
          <cell r="Q46">
            <v>197.67508442499999</v>
          </cell>
          <cell r="R46">
            <v>208.03572335000001</v>
          </cell>
          <cell r="S46">
            <v>205.54641834999998</v>
          </cell>
          <cell r="T46">
            <v>199.4420246</v>
          </cell>
          <cell r="U46">
            <v>196.84362197499999</v>
          </cell>
          <cell r="V46">
            <v>195.56580907500003</v>
          </cell>
          <cell r="W46">
            <v>206.3416355</v>
          </cell>
          <cell r="X46">
            <v>226.612306375</v>
          </cell>
          <cell r="Y46">
            <v>225.43769884999998</v>
          </cell>
          <cell r="Z46">
            <v>212.1930811</v>
          </cell>
          <cell r="AA46">
            <v>192.07267397500001</v>
          </cell>
          <cell r="AB46">
            <v>168.118680275</v>
          </cell>
          <cell r="AC46">
            <v>146.72897785000004</v>
          </cell>
        </row>
        <row r="47">
          <cell r="F47">
            <v>147.55749417499999</v>
          </cell>
          <cell r="G47">
            <v>138.07206367500001</v>
          </cell>
          <cell r="H47">
            <v>133.02126337500002</v>
          </cell>
          <cell r="I47">
            <v>132.83026802500004</v>
          </cell>
          <cell r="J47">
            <v>150.37684025000001</v>
          </cell>
          <cell r="K47">
            <v>175.52732697499999</v>
          </cell>
          <cell r="L47">
            <v>201.56651060000002</v>
          </cell>
          <cell r="M47">
            <v>204.231115725</v>
          </cell>
          <cell r="N47">
            <v>218.087608375</v>
          </cell>
          <cell r="O47">
            <v>227.48448222500002</v>
          </cell>
          <cell r="P47">
            <v>241.799887875</v>
          </cell>
          <cell r="Q47">
            <v>253.22588882500003</v>
          </cell>
          <cell r="R47">
            <v>254.9048684</v>
          </cell>
          <cell r="S47">
            <v>252.13171392500001</v>
          </cell>
          <cell r="T47">
            <v>254.19922482500002</v>
          </cell>
          <cell r="U47">
            <v>254.60117410000001</v>
          </cell>
          <cell r="V47">
            <v>249.42770125000001</v>
          </cell>
          <cell r="W47">
            <v>252.06115025000003</v>
          </cell>
          <cell r="X47">
            <v>272.61410767500001</v>
          </cell>
          <cell r="Y47">
            <v>266.80234262500005</v>
          </cell>
          <cell r="Z47">
            <v>251.62652742499998</v>
          </cell>
          <cell r="AA47">
            <v>221.34716694999997</v>
          </cell>
          <cell r="AB47">
            <v>191.99862272499999</v>
          </cell>
          <cell r="AC47">
            <v>161.2088842</v>
          </cell>
        </row>
        <row r="48">
          <cell r="F48">
            <v>157.87837975000002</v>
          </cell>
          <cell r="G48">
            <v>146.19791777500001</v>
          </cell>
          <cell r="H48">
            <v>139.86843779999998</v>
          </cell>
          <cell r="I48">
            <v>138.46078610000001</v>
          </cell>
          <cell r="J48">
            <v>145.22015462499999</v>
          </cell>
          <cell r="K48">
            <v>156.567508825</v>
          </cell>
          <cell r="L48">
            <v>176.39130827500003</v>
          </cell>
          <cell r="M48">
            <v>185.04982404999998</v>
          </cell>
          <cell r="N48">
            <v>204.57522539999999</v>
          </cell>
          <cell r="O48">
            <v>217.44057562500001</v>
          </cell>
          <cell r="P48">
            <v>230.06073089999998</v>
          </cell>
          <cell r="Q48">
            <v>238.63306512500003</v>
          </cell>
          <cell r="R48">
            <v>239.07595985</v>
          </cell>
          <cell r="S48">
            <v>233.5735584</v>
          </cell>
          <cell r="T48">
            <v>228.49551725000001</v>
          </cell>
          <cell r="U48">
            <v>226.81937232500002</v>
          </cell>
          <cell r="V48">
            <v>224.967708875</v>
          </cell>
          <cell r="W48">
            <v>234.15414067500001</v>
          </cell>
          <cell r="X48">
            <v>248.82162987499999</v>
          </cell>
          <cell r="Y48">
            <v>242.95405452499998</v>
          </cell>
          <cell r="Z48">
            <v>229.62898367500003</v>
          </cell>
          <cell r="AA48">
            <v>211.32320754999998</v>
          </cell>
          <cell r="AB48">
            <v>189.87588165</v>
          </cell>
          <cell r="AC48">
            <v>169.33221987499999</v>
          </cell>
        </row>
        <row r="49">
          <cell r="F49">
            <v>159.05090565</v>
          </cell>
          <cell r="G49">
            <v>147.74110715</v>
          </cell>
          <cell r="H49">
            <v>139.80813210000002</v>
          </cell>
          <cell r="I49">
            <v>136.29474949999999</v>
          </cell>
          <cell r="J49">
            <v>137.66620140000003</v>
          </cell>
          <cell r="K49">
            <v>141.84922797499999</v>
          </cell>
          <cell r="L49">
            <v>149.621542525</v>
          </cell>
          <cell r="M49">
            <v>150.55831017500003</v>
          </cell>
          <cell r="N49">
            <v>166.27286129999999</v>
          </cell>
          <cell r="O49">
            <v>179.96366342499999</v>
          </cell>
          <cell r="P49">
            <v>191.74781990000002</v>
          </cell>
          <cell r="Q49">
            <v>203.50381187500003</v>
          </cell>
          <cell r="R49">
            <v>210.309701875</v>
          </cell>
          <cell r="S49">
            <v>211.40986230000001</v>
          </cell>
          <cell r="T49">
            <v>207.690953925</v>
          </cell>
          <cell r="U49">
            <v>205.49635470000001</v>
          </cell>
          <cell r="V49">
            <v>203.49577657500004</v>
          </cell>
          <cell r="W49">
            <v>214.884098975</v>
          </cell>
          <cell r="X49">
            <v>230.70239237499999</v>
          </cell>
          <cell r="Y49">
            <v>228.15659912500001</v>
          </cell>
          <cell r="Z49">
            <v>216.64259207500001</v>
          </cell>
          <cell r="AA49">
            <v>200.56841122500001</v>
          </cell>
          <cell r="AB49">
            <v>179.44115507499998</v>
          </cell>
          <cell r="AC49">
            <v>159.02579647500002</v>
          </cell>
        </row>
        <row r="50">
          <cell r="F50">
            <v>151.73646897500001</v>
          </cell>
          <cell r="G50">
            <v>140.72660647500001</v>
          </cell>
          <cell r="H50">
            <v>134.50392182499999</v>
          </cell>
          <cell r="I50">
            <v>131.54446305000002</v>
          </cell>
          <cell r="J50">
            <v>134.75648095000003</v>
          </cell>
          <cell r="K50">
            <v>139.91743220000001</v>
          </cell>
          <cell r="L50">
            <v>146.63583025</v>
          </cell>
          <cell r="M50">
            <v>147.92906310000001</v>
          </cell>
          <cell r="N50">
            <v>164.62873245</v>
          </cell>
          <cell r="O50">
            <v>179.18204622499999</v>
          </cell>
          <cell r="P50">
            <v>192.65680524999999</v>
          </cell>
          <cell r="Q50">
            <v>207.35056387500003</v>
          </cell>
          <cell r="R50">
            <v>217.05542722500002</v>
          </cell>
          <cell r="S50">
            <v>216.59228272499999</v>
          </cell>
          <cell r="T50">
            <v>211.46251035000003</v>
          </cell>
          <cell r="U50">
            <v>208.7067892</v>
          </cell>
          <cell r="V50">
            <v>206.053777475</v>
          </cell>
          <cell r="W50">
            <v>216.31144080000001</v>
          </cell>
          <cell r="X50">
            <v>235.19619532500002</v>
          </cell>
          <cell r="Y50">
            <v>233.08937925000001</v>
          </cell>
          <cell r="Z50">
            <v>220.37646085</v>
          </cell>
          <cell r="AA50">
            <v>200.91350142500002</v>
          </cell>
          <cell r="AB50">
            <v>177.30839717499998</v>
          </cell>
          <cell r="AC50">
            <v>155.07771142500002</v>
          </cell>
        </row>
        <row r="51">
          <cell r="F51">
            <v>153.83924919999998</v>
          </cell>
          <cell r="G51">
            <v>142.63297230000001</v>
          </cell>
          <cell r="H51">
            <v>136.50341705000002</v>
          </cell>
          <cell r="I51">
            <v>135.48048832500001</v>
          </cell>
          <cell r="J51">
            <v>149.66403270000001</v>
          </cell>
          <cell r="K51">
            <v>167.41330970000001</v>
          </cell>
          <cell r="L51">
            <v>189.36057822500001</v>
          </cell>
          <cell r="M51">
            <v>196.85820017500001</v>
          </cell>
          <cell r="N51">
            <v>214.131924825</v>
          </cell>
          <cell r="O51">
            <v>225.64851627499999</v>
          </cell>
          <cell r="P51">
            <v>238.14678160000003</v>
          </cell>
          <cell r="Q51">
            <v>249.36561422500003</v>
          </cell>
          <cell r="R51">
            <v>254.21966115000004</v>
          </cell>
          <cell r="S51">
            <v>251.62385657499999</v>
          </cell>
          <cell r="T51">
            <v>252.27905885000001</v>
          </cell>
          <cell r="U51">
            <v>252.3872988</v>
          </cell>
          <cell r="V51">
            <v>247.70816752500002</v>
          </cell>
          <cell r="W51">
            <v>248.39162757500003</v>
          </cell>
          <cell r="X51">
            <v>272.09372872500001</v>
          </cell>
          <cell r="Y51">
            <v>268.30321244999999</v>
          </cell>
          <cell r="Z51">
            <v>253.77159990000004</v>
          </cell>
          <cell r="AA51">
            <v>225.51524450000002</v>
          </cell>
          <cell r="AB51">
            <v>198.9960973</v>
          </cell>
          <cell r="AC51">
            <v>169.56092107499998</v>
          </cell>
        </row>
        <row r="52">
          <cell r="F52">
            <v>163.06234717500001</v>
          </cell>
          <cell r="G52">
            <v>150.254966225</v>
          </cell>
          <cell r="H52">
            <v>143.04587115000001</v>
          </cell>
          <cell r="I52">
            <v>140.8569526</v>
          </cell>
          <cell r="J52">
            <v>145.52927935</v>
          </cell>
          <cell r="K52">
            <v>159.753914775</v>
          </cell>
          <cell r="L52">
            <v>174.9090889</v>
          </cell>
          <cell r="M52">
            <v>182.60140990000002</v>
          </cell>
          <cell r="N52">
            <v>202.77570267500002</v>
          </cell>
          <cell r="O52">
            <v>215.73228950000001</v>
          </cell>
          <cell r="P52">
            <v>227.88670905000001</v>
          </cell>
          <cell r="Q52">
            <v>235.886211925</v>
          </cell>
          <cell r="R52">
            <v>238.79771825</v>
          </cell>
          <cell r="S52">
            <v>234.270784475</v>
          </cell>
          <cell r="T52">
            <v>229.872649825</v>
          </cell>
          <cell r="U52">
            <v>228.15119145</v>
          </cell>
          <cell r="V52">
            <v>226.42226879999998</v>
          </cell>
          <cell r="W52">
            <v>232.226023575</v>
          </cell>
          <cell r="X52">
            <v>250.63395629999999</v>
          </cell>
          <cell r="Y52">
            <v>247.36790487499999</v>
          </cell>
          <cell r="Z52">
            <v>233.98073562499999</v>
          </cell>
          <cell r="AA52">
            <v>216.108331075</v>
          </cell>
          <cell r="AB52">
            <v>195.83768749999999</v>
          </cell>
          <cell r="AC52">
            <v>175.08939857499999</v>
          </cell>
        </row>
        <row r="53">
          <cell r="F53">
            <v>163.72673817500001</v>
          </cell>
          <cell r="G53">
            <v>150.99434577500003</v>
          </cell>
          <cell r="H53">
            <v>142.61841685000002</v>
          </cell>
          <cell r="I53">
            <v>138.57813060000001</v>
          </cell>
          <cell r="J53">
            <v>139.78013367500003</v>
          </cell>
          <cell r="K53">
            <v>144.74408357499999</v>
          </cell>
          <cell r="L53">
            <v>152.02805345000002</v>
          </cell>
          <cell r="M53">
            <v>153.025060825</v>
          </cell>
          <cell r="N53">
            <v>169.53542742499999</v>
          </cell>
          <cell r="O53">
            <v>183.65297860000001</v>
          </cell>
          <cell r="P53">
            <v>195.43766742500003</v>
          </cell>
          <cell r="Q53">
            <v>205.80498120000001</v>
          </cell>
          <cell r="R53">
            <v>212.42991770000003</v>
          </cell>
          <cell r="S53">
            <v>213.419858925</v>
          </cell>
          <cell r="T53">
            <v>211.29845782500001</v>
          </cell>
          <cell r="U53">
            <v>210.09497372500002</v>
          </cell>
          <cell r="V53">
            <v>207.61188630000001</v>
          </cell>
          <cell r="W53">
            <v>211.50693427500002</v>
          </cell>
          <cell r="X53">
            <v>230.93335720000002</v>
          </cell>
          <cell r="Y53">
            <v>230.49429584999999</v>
          </cell>
          <cell r="Z53">
            <v>219.12918755000001</v>
          </cell>
          <cell r="AA53">
            <v>203.70867562500001</v>
          </cell>
          <cell r="AB53">
            <v>185.05818922500001</v>
          </cell>
          <cell r="AC53">
            <v>165.628255975</v>
          </cell>
        </row>
        <row r="54">
          <cell r="F54">
            <v>162.61556675</v>
          </cell>
          <cell r="G54">
            <v>152.47093452500002</v>
          </cell>
          <cell r="H54">
            <v>143.92438742500002</v>
          </cell>
          <cell r="I54">
            <v>138.58144072499999</v>
          </cell>
          <cell r="J54">
            <v>138.00786772499998</v>
          </cell>
          <cell r="K54">
            <v>140.05317235000001</v>
          </cell>
          <cell r="L54">
            <v>141.68597852500002</v>
          </cell>
          <cell r="M54">
            <v>136.46679182500003</v>
          </cell>
          <cell r="N54">
            <v>147.83635685000002</v>
          </cell>
          <cell r="O54">
            <v>161.173437425</v>
          </cell>
          <cell r="P54">
            <v>173.78327785000002</v>
          </cell>
          <cell r="Q54">
            <v>186.68218887500001</v>
          </cell>
          <cell r="R54">
            <v>197.54336420000001</v>
          </cell>
          <cell r="S54">
            <v>199.87137625</v>
          </cell>
          <cell r="T54">
            <v>197.668323125</v>
          </cell>
          <cell r="U54">
            <v>197.872636325</v>
          </cell>
          <cell r="V54">
            <v>196.30187395000002</v>
          </cell>
          <cell r="W54">
            <v>202.387273725</v>
          </cell>
          <cell r="X54">
            <v>221.48670180000002</v>
          </cell>
          <cell r="Y54">
            <v>221.847444</v>
          </cell>
          <cell r="Z54">
            <v>210.66526845000004</v>
          </cell>
          <cell r="AA54">
            <v>194.83949257500001</v>
          </cell>
          <cell r="AB54">
            <v>176.333677975</v>
          </cell>
          <cell r="AC54">
            <v>157.174337775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152.43847640999999</v>
          </cell>
          <cell r="G7">
            <v>142.850959902</v>
          </cell>
          <cell r="H7">
            <v>137.38085512800001</v>
          </cell>
          <cell r="I7">
            <v>136.78927948800001</v>
          </cell>
          <cell r="J7">
            <v>152.22359903400002</v>
          </cell>
          <cell r="K7">
            <v>174.68797092600002</v>
          </cell>
          <cell r="L7">
            <v>199.41704635799999</v>
          </cell>
          <cell r="M7">
            <v>189.39339394199999</v>
          </cell>
          <cell r="N7">
            <v>204.48038627999998</v>
          </cell>
          <cell r="O7">
            <v>214.44718012199999</v>
          </cell>
          <cell r="P7">
            <v>227.77201179599999</v>
          </cell>
          <cell r="Q7">
            <v>239.320036956</v>
          </cell>
          <cell r="R7">
            <v>243.626040558</v>
          </cell>
          <cell r="S7">
            <v>240.564735816</v>
          </cell>
          <cell r="T7">
            <v>241.85272337399999</v>
          </cell>
          <cell r="U7">
            <v>241.41331986599999</v>
          </cell>
          <cell r="V7">
            <v>235.94561210999998</v>
          </cell>
          <cell r="W7">
            <v>248.29236007799997</v>
          </cell>
          <cell r="X7">
            <v>269.02529608200001</v>
          </cell>
          <cell r="Y7">
            <v>272.44053792000005</v>
          </cell>
          <cell r="Z7">
            <v>257.38426335600002</v>
          </cell>
          <cell r="AA7">
            <v>226.25831009999999</v>
          </cell>
          <cell r="AB7">
            <v>197.33319981</v>
          </cell>
          <cell r="AC7">
            <v>166.99631127000001</v>
          </cell>
        </row>
        <row r="8">
          <cell r="F8">
            <v>164.57725097400001</v>
          </cell>
          <cell r="G8">
            <v>152.78909922599999</v>
          </cell>
          <cell r="H8">
            <v>146.03527578000001</v>
          </cell>
          <cell r="I8">
            <v>143.49719082000001</v>
          </cell>
          <cell r="J8">
            <v>148.86702462000002</v>
          </cell>
          <cell r="K8">
            <v>160.29799967999998</v>
          </cell>
          <cell r="L8">
            <v>177.82550410799999</v>
          </cell>
          <cell r="M8">
            <v>171.00982032599998</v>
          </cell>
          <cell r="N8">
            <v>190.067919942</v>
          </cell>
          <cell r="O8">
            <v>203.78607029400001</v>
          </cell>
          <cell r="P8">
            <v>215.98848136800001</v>
          </cell>
          <cell r="Q8">
            <v>224.291154216</v>
          </cell>
          <cell r="R8">
            <v>226.49194349999999</v>
          </cell>
          <cell r="S8">
            <v>222.73320221399999</v>
          </cell>
          <cell r="T8">
            <v>217.12795417199999</v>
          </cell>
          <cell r="U8">
            <v>215.191772802</v>
          </cell>
          <cell r="V8">
            <v>213.87508404599998</v>
          </cell>
          <cell r="W8">
            <v>232.376463978</v>
          </cell>
          <cell r="X8">
            <v>247.364924172</v>
          </cell>
          <cell r="Y8">
            <v>248.99440627200002</v>
          </cell>
          <cell r="Z8">
            <v>235.418506218</v>
          </cell>
          <cell r="AA8">
            <v>216.40725465</v>
          </cell>
          <cell r="AB8">
            <v>195.81300726000001</v>
          </cell>
          <cell r="AC8">
            <v>174.91215862800001</v>
          </cell>
        </row>
        <row r="9">
          <cell r="F9">
            <v>163.45233999600001</v>
          </cell>
          <cell r="G9">
            <v>151.06013504399999</v>
          </cell>
          <cell r="H9">
            <v>143.07432836999999</v>
          </cell>
          <cell r="I9">
            <v>139.161617772</v>
          </cell>
          <cell r="J9">
            <v>140.10731489400001</v>
          </cell>
          <cell r="K9">
            <v>144.95093438999999</v>
          </cell>
          <cell r="L9">
            <v>152.32509769200001</v>
          </cell>
          <cell r="M9">
            <v>141.00766472999999</v>
          </cell>
          <cell r="N9">
            <v>155.654700402</v>
          </cell>
          <cell r="O9">
            <v>168.48899763</v>
          </cell>
          <cell r="P9">
            <v>179.71511050799998</v>
          </cell>
          <cell r="Q9">
            <v>192.37782139200002</v>
          </cell>
          <cell r="R9">
            <v>202.215232278</v>
          </cell>
          <cell r="S9">
            <v>203.68277912400001</v>
          </cell>
          <cell r="T9">
            <v>200.17040787600001</v>
          </cell>
          <cell r="U9">
            <v>196.627715634</v>
          </cell>
          <cell r="V9">
            <v>193.52928162000001</v>
          </cell>
          <cell r="W9">
            <v>209.83920360000002</v>
          </cell>
          <cell r="X9">
            <v>227.76336432600002</v>
          </cell>
          <cell r="Y9">
            <v>233.700661212</v>
          </cell>
          <cell r="Z9">
            <v>223.32025222799999</v>
          </cell>
          <cell r="AA9">
            <v>207.21813093599999</v>
          </cell>
          <cell r="AB9">
            <v>185.54382504599999</v>
          </cell>
          <cell r="AC9">
            <v>163.73833435200001</v>
          </cell>
        </row>
        <row r="10">
          <cell r="F10">
            <v>166.26767848199998</v>
          </cell>
          <cell r="G10">
            <v>157.26756675599998</v>
          </cell>
          <cell r="H10">
            <v>150.09858772800001</v>
          </cell>
          <cell r="I10">
            <v>144.04211446800002</v>
          </cell>
          <cell r="J10">
            <v>143.79255385200003</v>
          </cell>
          <cell r="K10">
            <v>145.87104386999999</v>
          </cell>
          <cell r="L10">
            <v>148.93226458799998</v>
          </cell>
          <cell r="M10">
            <v>133.05874459200001</v>
          </cell>
          <cell r="N10">
            <v>143.084910726</v>
          </cell>
          <cell r="O10">
            <v>154.23934646399999</v>
          </cell>
          <cell r="P10">
            <v>165.90546502199999</v>
          </cell>
          <cell r="Q10">
            <v>178.21256066399999</v>
          </cell>
          <cell r="R10">
            <v>187.696788336</v>
          </cell>
          <cell r="S10">
            <v>188.736993786</v>
          </cell>
          <cell r="T10">
            <v>185.81578039199999</v>
          </cell>
          <cell r="U10">
            <v>185.99050363200001</v>
          </cell>
          <cell r="V10">
            <v>184.956424932</v>
          </cell>
          <cell r="W10">
            <v>200.099718018</v>
          </cell>
          <cell r="X10">
            <v>219.34330528199999</v>
          </cell>
          <cell r="Y10">
            <v>223.45943564999999</v>
          </cell>
          <cell r="Z10">
            <v>212.510492274</v>
          </cell>
          <cell r="AA10">
            <v>196.97241942600002</v>
          </cell>
          <cell r="AB10">
            <v>176.95235004</v>
          </cell>
          <cell r="AC10">
            <v>157.284714654</v>
          </cell>
        </row>
        <row r="11">
          <cell r="F11">
            <v>153.46057935600001</v>
          </cell>
          <cell r="G11">
            <v>143.70967584600001</v>
          </cell>
          <cell r="H11">
            <v>138.93497937000001</v>
          </cell>
          <cell r="I11">
            <v>138.93389639400002</v>
          </cell>
          <cell r="J11">
            <v>158.076083028</v>
          </cell>
          <cell r="K11">
            <v>190.161889116</v>
          </cell>
          <cell r="L11">
            <v>215.39301494999998</v>
          </cell>
          <cell r="M11">
            <v>199.215269724</v>
          </cell>
          <cell r="N11">
            <v>212.456618886</v>
          </cell>
          <cell r="O11">
            <v>221.26353842999998</v>
          </cell>
          <cell r="P11">
            <v>234.80847097199998</v>
          </cell>
          <cell r="Q11">
            <v>245.78090372400004</v>
          </cell>
          <cell r="R11">
            <v>246.41706809999999</v>
          </cell>
          <cell r="S11">
            <v>243.26367071999999</v>
          </cell>
          <cell r="T11">
            <v>245.21800594199996</v>
          </cell>
          <cell r="U11">
            <v>245.50712319000002</v>
          </cell>
          <cell r="V11">
            <v>240.29155278600001</v>
          </cell>
          <cell r="W11">
            <v>251.20536245999998</v>
          </cell>
          <cell r="X11">
            <v>268.93482090600003</v>
          </cell>
          <cell r="Y11">
            <v>276.90965077799996</v>
          </cell>
          <cell r="Z11">
            <v>262.30278791399996</v>
          </cell>
          <cell r="AA11">
            <v>230.37509632199999</v>
          </cell>
          <cell r="AB11">
            <v>199.29759223799999</v>
          </cell>
          <cell r="AC11">
            <v>167.14188285</v>
          </cell>
        </row>
        <row r="12">
          <cell r="F12">
            <v>168.86731802400001</v>
          </cell>
          <cell r="G12">
            <v>157.22166397800001</v>
          </cell>
          <cell r="H12">
            <v>150.11209925400001</v>
          </cell>
          <cell r="I12">
            <v>148.59574846800001</v>
          </cell>
          <cell r="J12">
            <v>155.26986814799997</v>
          </cell>
          <cell r="K12">
            <v>167.79953402999999</v>
          </cell>
          <cell r="L12">
            <v>189.15931941599999</v>
          </cell>
          <cell r="M12">
            <v>182.81188504799999</v>
          </cell>
          <cell r="N12">
            <v>203.31414249599999</v>
          </cell>
          <cell r="O12">
            <v>216.303116238</v>
          </cell>
          <cell r="P12">
            <v>228.39698697599999</v>
          </cell>
          <cell r="Q12">
            <v>235.73567114399998</v>
          </cell>
          <cell r="R12">
            <v>235.89559215599999</v>
          </cell>
          <cell r="S12">
            <v>229.526372232</v>
          </cell>
          <cell r="T12">
            <v>223.35684001199999</v>
          </cell>
          <cell r="U12">
            <v>220.97994575999999</v>
          </cell>
          <cell r="V12">
            <v>218.078424324</v>
          </cell>
          <cell r="W12">
            <v>234.00178455599999</v>
          </cell>
          <cell r="X12">
            <v>247.21268202000002</v>
          </cell>
          <cell r="Y12">
            <v>252.92926186199998</v>
          </cell>
          <cell r="Z12">
            <v>240.45781994400002</v>
          </cell>
          <cell r="AA12">
            <v>221.04873807600001</v>
          </cell>
          <cell r="AB12">
            <v>198.38918076600001</v>
          </cell>
          <cell r="AC12">
            <v>176.333191188</v>
          </cell>
        </row>
        <row r="13">
          <cell r="F13">
            <v>165.89192782199999</v>
          </cell>
          <cell r="G13">
            <v>153.53945221799998</v>
          </cell>
          <cell r="H13">
            <v>145.69830219599999</v>
          </cell>
          <cell r="I13">
            <v>141.75458207400001</v>
          </cell>
          <cell r="J13">
            <v>143.35050358799998</v>
          </cell>
          <cell r="K13">
            <v>148.319125122</v>
          </cell>
          <cell r="L13">
            <v>158.03715890999999</v>
          </cell>
          <cell r="M13">
            <v>147.284528274</v>
          </cell>
          <cell r="N13">
            <v>163.16023289400002</v>
          </cell>
          <cell r="O13">
            <v>176.62936878600001</v>
          </cell>
          <cell r="P13">
            <v>188.015547384</v>
          </cell>
          <cell r="Q13">
            <v>200.29002771</v>
          </cell>
          <cell r="R13">
            <v>207.78527893199998</v>
          </cell>
          <cell r="S13">
            <v>208.169072556</v>
          </cell>
          <cell r="T13">
            <v>204.11431705199999</v>
          </cell>
          <cell r="U13">
            <v>200.84747326799999</v>
          </cell>
          <cell r="V13">
            <v>197.46659724599999</v>
          </cell>
          <cell r="W13">
            <v>213.00143517000001</v>
          </cell>
          <cell r="X13">
            <v>228.02056879200001</v>
          </cell>
          <cell r="Y13">
            <v>238.35836593799996</v>
          </cell>
          <cell r="Z13">
            <v>228.94596711599999</v>
          </cell>
          <cell r="AA13">
            <v>211.595856024</v>
          </cell>
          <cell r="AB13">
            <v>187.27451172000002</v>
          </cell>
          <cell r="AC13">
            <v>162.96852046800001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155.84390144400001</v>
          </cell>
          <cell r="G15">
            <v>146.350193064</v>
          </cell>
          <cell r="H15">
            <v>141.488529414</v>
          </cell>
          <cell r="I15">
            <v>141.700090176</v>
          </cell>
          <cell r="J15">
            <v>161.22014674200003</v>
          </cell>
          <cell r="K15">
            <v>193.02585182399997</v>
          </cell>
          <cell r="L15">
            <v>217.7790048</v>
          </cell>
          <cell r="M15">
            <v>204.503847648</v>
          </cell>
          <cell r="N15">
            <v>217.851069384</v>
          </cell>
          <cell r="O15">
            <v>226.76293257</v>
          </cell>
          <cell r="P15">
            <v>240.56991962999999</v>
          </cell>
          <cell r="Q15">
            <v>251.76037599000003</v>
          </cell>
          <cell r="R15">
            <v>252.92774242799996</v>
          </cell>
          <cell r="S15">
            <v>249.66286153799999</v>
          </cell>
          <cell r="T15">
            <v>251.48161469999999</v>
          </cell>
          <cell r="U15">
            <v>251.01222629399996</v>
          </cell>
          <cell r="V15">
            <v>245.85245015999999</v>
          </cell>
          <cell r="W15">
            <v>256.32651089399997</v>
          </cell>
          <cell r="X15">
            <v>274.038959148</v>
          </cell>
          <cell r="Y15">
            <v>281.331528144</v>
          </cell>
          <cell r="Z15">
            <v>266.12592425999998</v>
          </cell>
          <cell r="AA15">
            <v>233.41909912199998</v>
          </cell>
          <cell r="AB15">
            <v>202.46658540600001</v>
          </cell>
          <cell r="AC15">
            <v>169.79141864400003</v>
          </cell>
        </row>
        <row r="16">
          <cell r="F16">
            <v>167.09815302600001</v>
          </cell>
          <cell r="G16">
            <v>155.82580127399999</v>
          </cell>
          <cell r="H16">
            <v>149.16861242999997</v>
          </cell>
          <cell r="I16">
            <v>147.778106256</v>
          </cell>
          <cell r="J16">
            <v>155.15424412199997</v>
          </cell>
          <cell r="K16">
            <v>169.2448752</v>
          </cell>
          <cell r="L16">
            <v>190.43975415</v>
          </cell>
          <cell r="M16">
            <v>187.82974698000001</v>
          </cell>
          <cell r="N16">
            <v>207.54168635400001</v>
          </cell>
          <cell r="O16">
            <v>220.22492243400001</v>
          </cell>
          <cell r="P16">
            <v>232.26764356200002</v>
          </cell>
          <cell r="Q16">
            <v>241.34740070399999</v>
          </cell>
          <cell r="R16">
            <v>242.029120092</v>
          </cell>
          <cell r="S16">
            <v>236.62592176200002</v>
          </cell>
          <cell r="T16">
            <v>231.10859083199998</v>
          </cell>
          <cell r="U16">
            <v>227.512627374</v>
          </cell>
          <cell r="V16">
            <v>224.12500609200001</v>
          </cell>
          <cell r="W16">
            <v>240.21342213600002</v>
          </cell>
          <cell r="X16">
            <v>251.71816326599998</v>
          </cell>
          <cell r="Y16">
            <v>257.42596259999999</v>
          </cell>
          <cell r="Z16">
            <v>244.18441504800001</v>
          </cell>
          <cell r="AA16">
            <v>225.13406197800001</v>
          </cell>
          <cell r="AB16">
            <v>202.36586630400001</v>
          </cell>
          <cell r="AC16">
            <v>180.618891324</v>
          </cell>
        </row>
        <row r="17">
          <cell r="F17">
            <v>167.26928890799999</v>
          </cell>
          <cell r="G17">
            <v>154.78263864599998</v>
          </cell>
          <cell r="H17">
            <v>146.878472958</v>
          </cell>
          <cell r="I17">
            <v>142.90071144599997</v>
          </cell>
          <cell r="J17">
            <v>144.08751076800002</v>
          </cell>
          <cell r="K17">
            <v>149.20505783999999</v>
          </cell>
          <cell r="L17">
            <v>157.63438753200001</v>
          </cell>
          <cell r="M17">
            <v>150.54623025599997</v>
          </cell>
          <cell r="N17">
            <v>166.99186966799999</v>
          </cell>
          <cell r="O17">
            <v>179.67974107199998</v>
          </cell>
          <cell r="P17">
            <v>190.74605430599996</v>
          </cell>
          <cell r="Q17">
            <v>202.34176542</v>
          </cell>
          <cell r="R17">
            <v>209.74461825</v>
          </cell>
          <cell r="S17">
            <v>210.21096078600002</v>
          </cell>
          <cell r="T17">
            <v>206.48073397800002</v>
          </cell>
          <cell r="U17">
            <v>203.80098222000001</v>
          </cell>
          <cell r="V17">
            <v>200.81625835200001</v>
          </cell>
          <cell r="W17">
            <v>215.864989428</v>
          </cell>
          <cell r="X17">
            <v>231.114726918</v>
          </cell>
          <cell r="Y17">
            <v>241.52877351000001</v>
          </cell>
          <cell r="Z17">
            <v>232.14972287999998</v>
          </cell>
          <cell r="AA17">
            <v>214.746961416</v>
          </cell>
          <cell r="AB17">
            <v>191.41252800599997</v>
          </cell>
          <cell r="AC17">
            <v>167.20781134799998</v>
          </cell>
        </row>
        <row r="18">
          <cell r="F18">
            <v>172.18204848600001</v>
          </cell>
          <cell r="G18">
            <v>159.99970281000003</v>
          </cell>
          <cell r="H18">
            <v>152.51351217599998</v>
          </cell>
          <cell r="I18">
            <v>149.27747952600001</v>
          </cell>
          <cell r="J18">
            <v>151.854122166</v>
          </cell>
          <cell r="K18">
            <v>157.29360485999999</v>
          </cell>
          <cell r="L18">
            <v>164.95185797399998</v>
          </cell>
          <cell r="M18">
            <v>157.187281824</v>
          </cell>
          <cell r="N18">
            <v>173.27004492</v>
          </cell>
          <cell r="O18">
            <v>187.71412995599999</v>
          </cell>
          <cell r="P18">
            <v>201.197391216</v>
          </cell>
          <cell r="Q18">
            <v>216.38839126200003</v>
          </cell>
          <cell r="R18">
            <v>224.25744892199998</v>
          </cell>
          <cell r="S18">
            <v>221.76543712199998</v>
          </cell>
          <cell r="T18">
            <v>216.49489635</v>
          </cell>
          <cell r="U18">
            <v>213.26639084999999</v>
          </cell>
          <cell r="V18">
            <v>211.325049006</v>
          </cell>
          <cell r="W18">
            <v>227.52557640599997</v>
          </cell>
          <cell r="X18">
            <v>244.814851788</v>
          </cell>
          <cell r="Y18">
            <v>258.73293258000001</v>
          </cell>
          <cell r="Z18">
            <v>246.30831303600002</v>
          </cell>
          <cell r="AA18">
            <v>226.25288121599999</v>
          </cell>
          <cell r="AB18">
            <v>200.456066136</v>
          </cell>
          <cell r="AC18">
            <v>175.15530541200002</v>
          </cell>
        </row>
        <row r="19">
          <cell r="F19">
            <v>154.37654131799999</v>
          </cell>
          <cell r="G19">
            <v>144.690254598</v>
          </cell>
          <cell r="H19">
            <v>139.84705989</v>
          </cell>
          <cell r="I19">
            <v>140.03968724399999</v>
          </cell>
          <cell r="J19">
            <v>158.47768740599997</v>
          </cell>
          <cell r="K19">
            <v>186.39204499200002</v>
          </cell>
          <cell r="L19">
            <v>210.81692553599999</v>
          </cell>
          <cell r="M19">
            <v>199.77189138</v>
          </cell>
          <cell r="N19">
            <v>213.63549194399999</v>
          </cell>
          <cell r="O19">
            <v>223.18617793199999</v>
          </cell>
          <cell r="P19">
            <v>236.82292303200001</v>
          </cell>
          <cell r="Q19">
            <v>248.48477270399999</v>
          </cell>
          <cell r="R19">
            <v>250.607667072</v>
          </cell>
          <cell r="S19">
            <v>247.22622155400001</v>
          </cell>
          <cell r="T19">
            <v>248.80970284799997</v>
          </cell>
          <cell r="U19">
            <v>248.58238058399999</v>
          </cell>
          <cell r="V19">
            <v>242.98812101399997</v>
          </cell>
          <cell r="W19">
            <v>254.63360000999995</v>
          </cell>
          <cell r="X19">
            <v>274.12133534399999</v>
          </cell>
          <cell r="Y19">
            <v>278.80785563399996</v>
          </cell>
          <cell r="Z19">
            <v>263.72110136399999</v>
          </cell>
          <cell r="AA19">
            <v>231.964561992</v>
          </cell>
          <cell r="AB19">
            <v>202.31298720000001</v>
          </cell>
          <cell r="AC19">
            <v>169.13306492999999</v>
          </cell>
        </row>
        <row r="20">
          <cell r="F20">
            <v>163.76206179599998</v>
          </cell>
          <cell r="G20">
            <v>151.92171714</v>
          </cell>
          <cell r="H20">
            <v>145.26900024</v>
          </cell>
          <cell r="I20">
            <v>143.80516212000003</v>
          </cell>
          <cell r="J20">
            <v>150.21500531399997</v>
          </cell>
          <cell r="K20">
            <v>161.57507112000002</v>
          </cell>
          <cell r="L20">
            <v>180.39164841599998</v>
          </cell>
          <cell r="M20">
            <v>177.030688416</v>
          </cell>
          <cell r="N20">
            <v>196.02007974</v>
          </cell>
          <cell r="O20">
            <v>209.06110634999999</v>
          </cell>
          <cell r="P20">
            <v>220.587521004</v>
          </cell>
          <cell r="Q20">
            <v>229.16269068600002</v>
          </cell>
          <cell r="R20">
            <v>231.26204199599999</v>
          </cell>
          <cell r="S20">
            <v>227.43120345</v>
          </cell>
          <cell r="T20">
            <v>222.70180291200001</v>
          </cell>
          <cell r="U20">
            <v>221.26983789599998</v>
          </cell>
          <cell r="V20">
            <v>219.25212290400003</v>
          </cell>
          <cell r="W20">
            <v>235.98098621399998</v>
          </cell>
          <cell r="X20">
            <v>249.02859937200003</v>
          </cell>
          <cell r="Y20">
            <v>252.97514129999999</v>
          </cell>
          <cell r="Z20">
            <v>239.42086809</v>
          </cell>
          <cell r="AA20">
            <v>220.57100795400001</v>
          </cell>
          <cell r="AB20">
            <v>199.46076451200003</v>
          </cell>
          <cell r="AC20">
            <v>177.991243782</v>
          </cell>
        </row>
        <row r="21">
          <cell r="F21">
            <v>166.91082618600001</v>
          </cell>
          <cell r="G21">
            <v>154.443524784</v>
          </cell>
          <cell r="H21">
            <v>146.494368912</v>
          </cell>
          <cell r="I21">
            <v>142.900347342</v>
          </cell>
          <cell r="J21">
            <v>144.28430431200002</v>
          </cell>
          <cell r="K21">
            <v>147.84204385199999</v>
          </cell>
          <cell r="L21">
            <v>157.41109842</v>
          </cell>
          <cell r="M21">
            <v>150.47638530599997</v>
          </cell>
          <cell r="N21">
            <v>166.931587116</v>
          </cell>
          <cell r="O21">
            <v>180.64024508999998</v>
          </cell>
          <cell r="P21">
            <v>190.67581024200001</v>
          </cell>
          <cell r="Q21">
            <v>200.42460615000002</v>
          </cell>
          <cell r="R21">
            <v>207.297925728</v>
          </cell>
          <cell r="S21">
            <v>208.361172426</v>
          </cell>
          <cell r="T21">
            <v>206.09474872800001</v>
          </cell>
          <cell r="U21">
            <v>203.527619472</v>
          </cell>
          <cell r="V21">
            <v>200.59791732000002</v>
          </cell>
          <cell r="W21">
            <v>217.169333658</v>
          </cell>
          <cell r="X21">
            <v>232.76826788999998</v>
          </cell>
          <cell r="Y21">
            <v>240.75217468799997</v>
          </cell>
          <cell r="Z21">
            <v>230.61200665799998</v>
          </cell>
          <cell r="AA21">
            <v>212.76119654999999</v>
          </cell>
          <cell r="AB21">
            <v>188.73339709199999</v>
          </cell>
          <cell r="AC21">
            <v>164.432419272</v>
          </cell>
        </row>
        <row r="22">
          <cell r="F22">
            <v>171.969941568</v>
          </cell>
          <cell r="G22">
            <v>158.98527172199996</v>
          </cell>
          <cell r="H22">
            <v>151.00210480200002</v>
          </cell>
          <cell r="I22">
            <v>147.38239989599998</v>
          </cell>
          <cell r="J22">
            <v>149.30237630400001</v>
          </cell>
          <cell r="K22">
            <v>153.23097910799999</v>
          </cell>
          <cell r="L22">
            <v>160.77176900399999</v>
          </cell>
          <cell r="M22">
            <v>161.42395862399999</v>
          </cell>
          <cell r="N22">
            <v>177.073346934</v>
          </cell>
          <cell r="O22">
            <v>186.39297159</v>
          </cell>
          <cell r="P22">
            <v>191.80077957</v>
          </cell>
          <cell r="Q22">
            <v>204.13329947400001</v>
          </cell>
          <cell r="R22">
            <v>215.07719440799997</v>
          </cell>
          <cell r="S22">
            <v>214.07521287599999</v>
          </cell>
          <cell r="T22">
            <v>209.61732889199999</v>
          </cell>
          <cell r="U22">
            <v>206.75994572999997</v>
          </cell>
          <cell r="V22">
            <v>206.507976426</v>
          </cell>
          <cell r="W22">
            <v>211.34695826399999</v>
          </cell>
          <cell r="X22">
            <v>227.88051245400001</v>
          </cell>
          <cell r="Y22">
            <v>233.59297745400002</v>
          </cell>
          <cell r="Z22">
            <v>221.53036831200001</v>
          </cell>
          <cell r="AA22">
            <v>209.32532215200001</v>
          </cell>
          <cell r="AB22">
            <v>195.27238050599999</v>
          </cell>
          <cell r="AC22">
            <v>175.33863877799999</v>
          </cell>
        </row>
        <row r="23">
          <cell r="F23">
            <v>156.446407206</v>
          </cell>
          <cell r="G23">
            <v>146.45417043</v>
          </cell>
          <cell r="H23">
            <v>141.423025704</v>
          </cell>
          <cell r="I23">
            <v>141.69783786599999</v>
          </cell>
          <cell r="J23">
            <v>160.38654697199999</v>
          </cell>
          <cell r="K23">
            <v>188.55185623799997</v>
          </cell>
          <cell r="L23">
            <v>214.60405526399998</v>
          </cell>
          <cell r="M23">
            <v>204.45191381399999</v>
          </cell>
          <cell r="N23">
            <v>217.98498963600002</v>
          </cell>
          <cell r="O23">
            <v>227.88649449599998</v>
          </cell>
          <cell r="P23">
            <v>241.987969338</v>
          </cell>
          <cell r="Q23">
            <v>253.53902636399999</v>
          </cell>
          <cell r="R23">
            <v>254.42900857200001</v>
          </cell>
          <cell r="S23">
            <v>250.390467366</v>
          </cell>
          <cell r="T23">
            <v>251.38841107799996</v>
          </cell>
          <cell r="U23">
            <v>251.39769572999998</v>
          </cell>
          <cell r="V23">
            <v>245.88995987400003</v>
          </cell>
          <cell r="W23">
            <v>256.75106549399999</v>
          </cell>
          <cell r="X23">
            <v>276.57767662200001</v>
          </cell>
          <cell r="Y23">
            <v>283.10813626800001</v>
          </cell>
          <cell r="Z23">
            <v>267.64641322799997</v>
          </cell>
          <cell r="AA23">
            <v>235.37239338000001</v>
          </cell>
          <cell r="AB23">
            <v>204.744079266</v>
          </cell>
          <cell r="AC23">
            <v>171.24297292199998</v>
          </cell>
        </row>
        <row r="24">
          <cell r="F24">
            <v>168.636998904</v>
          </cell>
          <cell r="G24">
            <v>156.77869878600001</v>
          </cell>
          <cell r="H24">
            <v>150.41636882999998</v>
          </cell>
          <cell r="I24">
            <v>148.63668449400001</v>
          </cell>
          <cell r="J24">
            <v>155.51675633400001</v>
          </cell>
          <cell r="K24">
            <v>167.04548164799999</v>
          </cell>
          <cell r="L24">
            <v>188.38305202199999</v>
          </cell>
          <cell r="M24">
            <v>186.38959195800001</v>
          </cell>
          <cell r="N24">
            <v>206.60641987800003</v>
          </cell>
          <cell r="O24">
            <v>219.96016281000001</v>
          </cell>
          <cell r="P24">
            <v>232.17551358</v>
          </cell>
          <cell r="Q24">
            <v>240.70011248400002</v>
          </cell>
          <cell r="R24">
            <v>240.84967753799998</v>
          </cell>
          <cell r="S24">
            <v>234.82897983000001</v>
          </cell>
          <cell r="T24">
            <v>229.146593088</v>
          </cell>
          <cell r="U24">
            <v>226.72546953600002</v>
          </cell>
          <cell r="V24">
            <v>223.79771393999999</v>
          </cell>
          <cell r="W24">
            <v>240.14488656</v>
          </cell>
          <cell r="X24">
            <v>252.06633071399997</v>
          </cell>
          <cell r="Y24">
            <v>257.19823188599997</v>
          </cell>
          <cell r="Z24">
            <v>244.57905710400001</v>
          </cell>
          <cell r="AA24">
            <v>225.13726889400002</v>
          </cell>
          <cell r="AB24">
            <v>202.93029285599999</v>
          </cell>
          <cell r="AC24">
            <v>180.38445036000002</v>
          </cell>
        </row>
        <row r="25">
          <cell r="F25">
            <v>166.86870682199998</v>
          </cell>
          <cell r="G25">
            <v>154.75354300199999</v>
          </cell>
          <cell r="H25">
            <v>146.63973276600001</v>
          </cell>
          <cell r="I25">
            <v>142.856316432</v>
          </cell>
          <cell r="J25">
            <v>143.60077373999999</v>
          </cell>
          <cell r="K25">
            <v>146.52220419599999</v>
          </cell>
          <cell r="L25">
            <v>156.77785154400001</v>
          </cell>
          <cell r="M25">
            <v>150.91917778199999</v>
          </cell>
          <cell r="N25">
            <v>168.44543585400001</v>
          </cell>
          <cell r="O25">
            <v>183.061412988</v>
          </cell>
          <cell r="P25">
            <v>194.69212009799998</v>
          </cell>
          <cell r="Q25">
            <v>206.43218911200003</v>
          </cell>
          <cell r="R25">
            <v>212.00086570799999</v>
          </cell>
          <cell r="S25">
            <v>210.75402190200001</v>
          </cell>
          <cell r="T25">
            <v>204.91974777600001</v>
          </cell>
          <cell r="U25">
            <v>202.96194189599998</v>
          </cell>
          <cell r="V25">
            <v>200.18594297999999</v>
          </cell>
          <cell r="W25">
            <v>216.62858320200002</v>
          </cell>
          <cell r="X25">
            <v>231.98141813999999</v>
          </cell>
          <cell r="Y25">
            <v>240.82485311400001</v>
          </cell>
          <cell r="Z25">
            <v>231.32327915400001</v>
          </cell>
          <cell r="AA25">
            <v>214.19839906200002</v>
          </cell>
          <cell r="AB25">
            <v>190.496250954</v>
          </cell>
          <cell r="AC25">
            <v>165.809166516</v>
          </cell>
        </row>
        <row r="26">
          <cell r="F26">
            <v>160.93021726200001</v>
          </cell>
          <cell r="G26">
            <v>149.30943432000001</v>
          </cell>
          <cell r="H26">
            <v>142.53380664599999</v>
          </cell>
          <cell r="I26">
            <v>140.29128310800002</v>
          </cell>
          <cell r="J26">
            <v>145.59581625599998</v>
          </cell>
          <cell r="K26">
            <v>153.73496206199999</v>
          </cell>
          <cell r="L26">
            <v>164.55724626000003</v>
          </cell>
          <cell r="M26">
            <v>158.29214840999998</v>
          </cell>
          <cell r="N26">
            <v>174.91672626599998</v>
          </cell>
          <cell r="O26">
            <v>188.51935528799999</v>
          </cell>
          <cell r="P26">
            <v>203.32410167400002</v>
          </cell>
          <cell r="Q26">
            <v>215.67816673199999</v>
          </cell>
          <cell r="R26">
            <v>225.328274118</v>
          </cell>
          <cell r="S26">
            <v>221.811325896</v>
          </cell>
          <cell r="T26">
            <v>215.430891102</v>
          </cell>
          <cell r="U26">
            <v>209.07268999199999</v>
          </cell>
          <cell r="V26">
            <v>206.87397796799999</v>
          </cell>
          <cell r="W26">
            <v>227.04493578600002</v>
          </cell>
          <cell r="X26">
            <v>241.92918754799999</v>
          </cell>
          <cell r="Y26">
            <v>247.86623236199998</v>
          </cell>
          <cell r="Z26">
            <v>235.01236921200001</v>
          </cell>
          <cell r="AA26">
            <v>215.38323315599999</v>
          </cell>
          <cell r="AB26">
            <v>190.55315387399997</v>
          </cell>
          <cell r="AC26">
            <v>165.41697515999999</v>
          </cell>
        </row>
        <row r="27">
          <cell r="F27">
            <v>151.99341528600002</v>
          </cell>
          <cell r="G27">
            <v>141.99834503400001</v>
          </cell>
          <cell r="H27">
            <v>136.87493262000001</v>
          </cell>
          <cell r="I27">
            <v>136.85280163199999</v>
          </cell>
          <cell r="J27">
            <v>153.35029085400001</v>
          </cell>
          <cell r="K27">
            <v>175.52003492400002</v>
          </cell>
          <cell r="L27">
            <v>200.973404238</v>
          </cell>
          <cell r="M27">
            <v>194.15987007000001</v>
          </cell>
          <cell r="N27">
            <v>209.01884461200001</v>
          </cell>
          <cell r="O27">
            <v>219.109935624</v>
          </cell>
          <cell r="P27">
            <v>232.27375630799997</v>
          </cell>
          <cell r="Q27">
            <v>244.30943809199999</v>
          </cell>
          <cell r="R27">
            <v>247.16310319199999</v>
          </cell>
          <cell r="S27">
            <v>243.81571773599998</v>
          </cell>
          <cell r="T27">
            <v>244.99583715</v>
          </cell>
          <cell r="U27">
            <v>244.92015953399999</v>
          </cell>
          <cell r="V27">
            <v>239.51806285200001</v>
          </cell>
          <cell r="W27">
            <v>250.433898438</v>
          </cell>
          <cell r="X27">
            <v>265.22964258600001</v>
          </cell>
          <cell r="Y27">
            <v>272.54911326600001</v>
          </cell>
          <cell r="Z27">
            <v>257.42289105600003</v>
          </cell>
          <cell r="AA27">
            <v>226.785742752</v>
          </cell>
          <cell r="AB27">
            <v>197.01481186799998</v>
          </cell>
          <cell r="AC27">
            <v>165.69240816600001</v>
          </cell>
        </row>
        <row r="28">
          <cell r="F28">
            <v>163.07254918199999</v>
          </cell>
          <cell r="G28">
            <v>151.334298354</v>
          </cell>
          <cell r="H28">
            <v>144.20231089200001</v>
          </cell>
          <cell r="I28">
            <v>142.28061899400001</v>
          </cell>
          <cell r="J28">
            <v>148.56018064200001</v>
          </cell>
          <cell r="K28">
            <v>159.09681358200001</v>
          </cell>
          <cell r="L28">
            <v>179.54763433799997</v>
          </cell>
          <cell r="M28">
            <v>176.876035242</v>
          </cell>
          <cell r="N28">
            <v>195.92786340000001</v>
          </cell>
          <cell r="O28">
            <v>208.66743290400001</v>
          </cell>
          <cell r="P28">
            <v>220.84237746600002</v>
          </cell>
          <cell r="Q28">
            <v>229.45149051000001</v>
          </cell>
          <cell r="R28">
            <v>230.567665326</v>
          </cell>
          <cell r="S28">
            <v>224.783399484</v>
          </cell>
          <cell r="T28">
            <v>219.80919268799997</v>
          </cell>
          <cell r="U28">
            <v>218.20565999999999</v>
          </cell>
          <cell r="V28">
            <v>214.733629608</v>
          </cell>
          <cell r="W28">
            <v>231.21172795800001</v>
          </cell>
          <cell r="X28">
            <v>240.25050239400002</v>
          </cell>
          <cell r="Y28">
            <v>247.94496518400001</v>
          </cell>
          <cell r="Z28">
            <v>235.24902981</v>
          </cell>
          <cell r="AA28">
            <v>216.812994876</v>
          </cell>
          <cell r="AB28">
            <v>195.79537855800001</v>
          </cell>
          <cell r="AC28">
            <v>174.585963456</v>
          </cell>
        </row>
        <row r="29">
          <cell r="F29">
            <v>164.21149216800001</v>
          </cell>
          <cell r="G29">
            <v>152.394125742</v>
          </cell>
          <cell r="H29">
            <v>144.39955022999999</v>
          </cell>
          <cell r="I29">
            <v>140.87820941999999</v>
          </cell>
          <cell r="J29">
            <v>141.86235452399998</v>
          </cell>
          <cell r="K29">
            <v>144.68184753</v>
          </cell>
          <cell r="L29">
            <v>152.90713894199999</v>
          </cell>
          <cell r="M29">
            <v>144.452186598</v>
          </cell>
          <cell r="N29">
            <v>159.453619164</v>
          </cell>
          <cell r="O29">
            <v>172.513390128</v>
          </cell>
          <cell r="P29">
            <v>181.96433729399999</v>
          </cell>
          <cell r="Q29">
            <v>193.215146226</v>
          </cell>
          <cell r="R29">
            <v>200.38180992599999</v>
          </cell>
          <cell r="S29">
            <v>200.74435481399999</v>
          </cell>
          <cell r="T29">
            <v>197.02574899200002</v>
          </cell>
          <cell r="U29">
            <v>194.83054263599999</v>
          </cell>
          <cell r="V29">
            <v>192.04130993999999</v>
          </cell>
          <cell r="W29">
            <v>207.791366004</v>
          </cell>
          <cell r="X29">
            <v>218.99690467199997</v>
          </cell>
          <cell r="Y29">
            <v>229.625333832</v>
          </cell>
          <cell r="Z29">
            <v>220.8923274</v>
          </cell>
          <cell r="AA29">
            <v>206.913450576</v>
          </cell>
          <cell r="AB29">
            <v>186.56301749400001</v>
          </cell>
          <cell r="AC29">
            <v>165.138795036</v>
          </cell>
        </row>
        <row r="30">
          <cell r="F30">
            <v>157.57949185200002</v>
          </cell>
          <cell r="G30">
            <v>146.32856388600001</v>
          </cell>
          <cell r="H30">
            <v>139.33797714599999</v>
          </cell>
          <cell r="I30">
            <v>136.56595770000001</v>
          </cell>
          <cell r="J30">
            <v>138.807090174</v>
          </cell>
          <cell r="K30">
            <v>142.969440744</v>
          </cell>
          <cell r="L30">
            <v>151.083349008</v>
          </cell>
          <cell r="M30">
            <v>142.46318914199998</v>
          </cell>
          <cell r="N30">
            <v>157.80247521000001</v>
          </cell>
          <cell r="O30">
            <v>171.3893544</v>
          </cell>
          <cell r="P30">
            <v>185.22718293599999</v>
          </cell>
          <cell r="Q30">
            <v>199.49208212400001</v>
          </cell>
          <cell r="R30">
            <v>207.85624887</v>
          </cell>
          <cell r="S30">
            <v>206.19649945800001</v>
          </cell>
          <cell r="T30">
            <v>200.468518026</v>
          </cell>
          <cell r="U30">
            <v>197.58966673199998</v>
          </cell>
          <cell r="V30">
            <v>195.02503719000001</v>
          </cell>
          <cell r="W30">
            <v>211.95485556599999</v>
          </cell>
          <cell r="X30">
            <v>225.40562987999999</v>
          </cell>
          <cell r="Y30">
            <v>240.62845401600001</v>
          </cell>
          <cell r="Z30">
            <v>230.17360677000002</v>
          </cell>
          <cell r="AA30">
            <v>212.53730759999999</v>
          </cell>
          <cell r="AB30">
            <v>187.97696869799998</v>
          </cell>
          <cell r="AC30">
            <v>163.42095469799997</v>
          </cell>
        </row>
        <row r="31">
          <cell r="F31">
            <v>159.32326293</v>
          </cell>
          <cell r="G31">
            <v>148.88915560800001</v>
          </cell>
          <cell r="H31">
            <v>143.21664868799999</v>
          </cell>
          <cell r="I31">
            <v>142.90023531</v>
          </cell>
          <cell r="J31">
            <v>160.115616252</v>
          </cell>
          <cell r="K31">
            <v>186.20093473799997</v>
          </cell>
          <cell r="L31">
            <v>211.58484654599999</v>
          </cell>
          <cell r="M31">
            <v>202.52578964999998</v>
          </cell>
          <cell r="N31">
            <v>217.084478754</v>
          </cell>
          <cell r="O31">
            <v>227.04246641399999</v>
          </cell>
          <cell r="P31">
            <v>240.873939468</v>
          </cell>
          <cell r="Q31">
            <v>252.71486995800004</v>
          </cell>
          <cell r="R31">
            <v>254.80977733200001</v>
          </cell>
          <cell r="S31">
            <v>252.10377974399998</v>
          </cell>
          <cell r="T31">
            <v>254.72902326600001</v>
          </cell>
          <cell r="U31">
            <v>255.28514311199999</v>
          </cell>
          <cell r="V31">
            <v>249.48737974799997</v>
          </cell>
          <cell r="W31">
            <v>257.81392941600001</v>
          </cell>
          <cell r="X31">
            <v>271.76280733799996</v>
          </cell>
          <cell r="Y31">
            <v>284.60102802</v>
          </cell>
          <cell r="Z31">
            <v>270.34981074000007</v>
          </cell>
          <cell r="AA31">
            <v>238.95383935800001</v>
          </cell>
          <cell r="AB31">
            <v>207.34405957199999</v>
          </cell>
          <cell r="AC31">
            <v>174.07448836200001</v>
          </cell>
        </row>
        <row r="32">
          <cell r="F32">
            <v>169.79208383399998</v>
          </cell>
          <cell r="G32">
            <v>157.95646319400001</v>
          </cell>
          <cell r="H32">
            <v>150.86525304599999</v>
          </cell>
          <cell r="I32">
            <v>148.39498012199999</v>
          </cell>
          <cell r="J32">
            <v>154.445417658</v>
          </cell>
          <cell r="K32">
            <v>165.66109288799998</v>
          </cell>
          <cell r="L32">
            <v>185.799981546</v>
          </cell>
          <cell r="M32">
            <v>184.07932640400003</v>
          </cell>
          <cell r="N32">
            <v>203.592056544</v>
          </cell>
          <cell r="O32">
            <v>216.77199116399999</v>
          </cell>
          <cell r="P32">
            <v>229.26313204200002</v>
          </cell>
          <cell r="Q32">
            <v>238.791780402</v>
          </cell>
          <cell r="R32">
            <v>239.186618514</v>
          </cell>
          <cell r="S32">
            <v>232.08812861999999</v>
          </cell>
          <cell r="T32">
            <v>225.52897944599999</v>
          </cell>
          <cell r="U32">
            <v>223.454727972</v>
          </cell>
          <cell r="V32">
            <v>221.702722542</v>
          </cell>
          <cell r="W32">
            <v>237.495868914</v>
          </cell>
          <cell r="X32">
            <v>246.64139117400001</v>
          </cell>
          <cell r="Y32">
            <v>255.25667297999996</v>
          </cell>
          <cell r="Z32">
            <v>241.76594758799999</v>
          </cell>
          <cell r="AA32">
            <v>222.05473642199999</v>
          </cell>
          <cell r="AB32">
            <v>200.11953134400002</v>
          </cell>
          <cell r="AC32">
            <v>178.39805297999999</v>
          </cell>
        </row>
        <row r="33">
          <cell r="F33">
            <v>164.23627457999999</v>
          </cell>
          <cell r="G33">
            <v>151.83567656399998</v>
          </cell>
          <cell r="H33">
            <v>143.70121042800002</v>
          </cell>
          <cell r="I33">
            <v>139.59934313400001</v>
          </cell>
          <cell r="J33">
            <v>141.05133853799998</v>
          </cell>
          <cell r="K33">
            <v>144.30892801200002</v>
          </cell>
          <cell r="L33">
            <v>153.74141790599998</v>
          </cell>
          <cell r="M33">
            <v>145.99258458600002</v>
          </cell>
          <cell r="N33">
            <v>161.38485012000001</v>
          </cell>
          <cell r="O33">
            <v>175.10187781800002</v>
          </cell>
          <cell r="P33">
            <v>185.65179821999999</v>
          </cell>
          <cell r="Q33">
            <v>197.64360080400002</v>
          </cell>
          <cell r="R33">
            <v>205.039166886</v>
          </cell>
          <cell r="S33">
            <v>205.123468632</v>
          </cell>
          <cell r="T33">
            <v>200.861474934</v>
          </cell>
          <cell r="U33">
            <v>198.71700740400001</v>
          </cell>
          <cell r="V33">
            <v>196.08029227199998</v>
          </cell>
          <cell r="W33">
            <v>211.63986359399999</v>
          </cell>
          <cell r="X33">
            <v>224.09689772999999</v>
          </cell>
          <cell r="Y33">
            <v>239.66676899400002</v>
          </cell>
          <cell r="Z33">
            <v>230.19444705599997</v>
          </cell>
          <cell r="AA33">
            <v>212.241468432</v>
          </cell>
          <cell r="AB33">
            <v>187.47910315799999</v>
          </cell>
          <cell r="AC33">
            <v>164.33137107600001</v>
          </cell>
        </row>
        <row r="34">
          <cell r="F34">
            <v>174.65554699800001</v>
          </cell>
          <cell r="G34">
            <v>161.536231026</v>
          </cell>
          <cell r="H34">
            <v>153.11598526200001</v>
          </cell>
          <cell r="I34">
            <v>148.933373238</v>
          </cell>
          <cell r="J34">
            <v>149.43778564799999</v>
          </cell>
          <cell r="K34">
            <v>150.992173632</v>
          </cell>
          <cell r="L34">
            <v>160.075725858</v>
          </cell>
          <cell r="M34">
            <v>152.60597125200002</v>
          </cell>
          <cell r="N34">
            <v>167.79445057800001</v>
          </cell>
          <cell r="O34">
            <v>180.566649402</v>
          </cell>
          <cell r="P34">
            <v>191.205882648</v>
          </cell>
          <cell r="Q34">
            <v>203.83016889000001</v>
          </cell>
          <cell r="R34">
            <v>209.62047745800001</v>
          </cell>
          <cell r="S34">
            <v>210.191320176</v>
          </cell>
          <cell r="T34">
            <v>207.15169596000001</v>
          </cell>
          <cell r="U34">
            <v>205.32048390599999</v>
          </cell>
          <cell r="V34">
            <v>203.01435186599997</v>
          </cell>
          <cell r="W34">
            <v>219.12969760199999</v>
          </cell>
          <cell r="X34">
            <v>231.02933986200003</v>
          </cell>
          <cell r="Y34">
            <v>245.74018009199997</v>
          </cell>
          <cell r="Z34">
            <v>238.97257437600001</v>
          </cell>
          <cell r="AA34">
            <v>224.83874095800002</v>
          </cell>
          <cell r="AB34">
            <v>200.63177198999998</v>
          </cell>
          <cell r="AC34">
            <v>176.21283381000001</v>
          </cell>
        </row>
        <row r="35">
          <cell r="F35">
            <v>158.18729112599999</v>
          </cell>
          <cell r="G35">
            <v>147.74042616</v>
          </cell>
          <cell r="H35">
            <v>142.22517482399999</v>
          </cell>
          <cell r="I35">
            <v>141.98528397000001</v>
          </cell>
          <cell r="J35">
            <v>160.27542989999998</v>
          </cell>
          <cell r="K35">
            <v>188.588404344</v>
          </cell>
          <cell r="L35">
            <v>214.69710484199999</v>
          </cell>
          <cell r="M35">
            <v>203.705811036</v>
          </cell>
          <cell r="N35">
            <v>217.29185465399999</v>
          </cell>
          <cell r="O35">
            <v>226.48605014999998</v>
          </cell>
          <cell r="P35">
            <v>240.16773175199998</v>
          </cell>
          <cell r="Q35">
            <v>252.09060197999997</v>
          </cell>
          <cell r="R35">
            <v>253.91782522799997</v>
          </cell>
          <cell r="S35">
            <v>250.50051313199998</v>
          </cell>
          <cell r="T35">
            <v>253.03721169599999</v>
          </cell>
          <cell r="U35">
            <v>253.11233382</v>
          </cell>
          <cell r="V35">
            <v>247.81683091799999</v>
          </cell>
          <cell r="W35">
            <v>257.78405888399999</v>
          </cell>
          <cell r="X35">
            <v>276.293159688</v>
          </cell>
          <cell r="Y35">
            <v>285.51280978800003</v>
          </cell>
          <cell r="Z35">
            <v>270.65250253200003</v>
          </cell>
          <cell r="AA35">
            <v>237.75247820999999</v>
          </cell>
          <cell r="AB35">
            <v>206.21914626</v>
          </cell>
          <cell r="AC35">
            <v>173.00889366000001</v>
          </cell>
        </row>
        <row r="36">
          <cell r="F36">
            <v>168.81852808799999</v>
          </cell>
          <cell r="G36">
            <v>157.15467350999998</v>
          </cell>
          <cell r="H36">
            <v>150.41629647599999</v>
          </cell>
          <cell r="I36">
            <v>148.05182143799999</v>
          </cell>
          <cell r="J36">
            <v>154.62588720599999</v>
          </cell>
          <cell r="K36">
            <v>165.580772946</v>
          </cell>
          <cell r="L36">
            <v>185.97384820800002</v>
          </cell>
          <cell r="M36">
            <v>184.22272502999996</v>
          </cell>
          <cell r="N36">
            <v>203.51658898799997</v>
          </cell>
          <cell r="O36">
            <v>214.761093786</v>
          </cell>
          <cell r="P36">
            <v>225.67010242199999</v>
          </cell>
          <cell r="Q36">
            <v>233.205883554</v>
          </cell>
          <cell r="R36">
            <v>234.557344242</v>
          </cell>
          <cell r="S36">
            <v>229.29265247399999</v>
          </cell>
          <cell r="T36">
            <v>223.963817718</v>
          </cell>
          <cell r="U36">
            <v>221.64958202999998</v>
          </cell>
          <cell r="V36">
            <v>218.954404866</v>
          </cell>
          <cell r="W36">
            <v>235.51175418600002</v>
          </cell>
          <cell r="X36">
            <v>247.56273300600003</v>
          </cell>
          <cell r="Y36">
            <v>253.69189869599998</v>
          </cell>
          <cell r="Z36">
            <v>239.43749783999999</v>
          </cell>
          <cell r="AA36">
            <v>219.82479547800003</v>
          </cell>
          <cell r="AB36">
            <v>197.517681504</v>
          </cell>
          <cell r="AC36">
            <v>176.30318528399999</v>
          </cell>
        </row>
        <row r="37">
          <cell r="F37">
            <v>165.59010427800001</v>
          </cell>
          <cell r="G37">
            <v>153.58633294200001</v>
          </cell>
          <cell r="H37">
            <v>145.27253858399999</v>
          </cell>
          <cell r="I37">
            <v>141.613970244</v>
          </cell>
          <cell r="J37">
            <v>143.12062559400002</v>
          </cell>
          <cell r="K37">
            <v>147.874416432</v>
          </cell>
          <cell r="L37">
            <v>155.19905225400001</v>
          </cell>
          <cell r="M37">
            <v>147.726975318</v>
          </cell>
          <cell r="N37">
            <v>162.72700515000002</v>
          </cell>
          <cell r="O37">
            <v>176.212850148</v>
          </cell>
          <cell r="P37">
            <v>187.43741791799999</v>
          </cell>
          <cell r="Q37">
            <v>199.06988719799998</v>
          </cell>
          <cell r="R37">
            <v>206.556605316</v>
          </cell>
          <cell r="S37">
            <v>207.11278117800001</v>
          </cell>
          <cell r="T37">
            <v>202.06511873399998</v>
          </cell>
          <cell r="U37">
            <v>199.46986477800002</v>
          </cell>
          <cell r="V37">
            <v>196.43368787999998</v>
          </cell>
          <cell r="W37">
            <v>213.55299438</v>
          </cell>
          <cell r="X37">
            <v>229.919826282</v>
          </cell>
          <cell r="Y37">
            <v>240.10414892399999</v>
          </cell>
          <cell r="Z37">
            <v>229.89635324400001</v>
          </cell>
          <cell r="AA37">
            <v>212.65469379599998</v>
          </cell>
          <cell r="AB37">
            <v>189.01904368199999</v>
          </cell>
          <cell r="AC37">
            <v>166.370269452</v>
          </cell>
        </row>
        <row r="38">
          <cell r="F38">
            <v>160.99452362999997</v>
          </cell>
          <cell r="G38">
            <v>148.88679826800001</v>
          </cell>
          <cell r="H38">
            <v>140.9004291</v>
          </cell>
          <cell r="I38">
            <v>139.00233160800002</v>
          </cell>
          <cell r="J38">
            <v>141.29655091200001</v>
          </cell>
          <cell r="K38">
            <v>148.05483696600001</v>
          </cell>
          <cell r="L38">
            <v>158.14734238200001</v>
          </cell>
          <cell r="M38">
            <v>149.72647110599999</v>
          </cell>
          <cell r="N38">
            <v>166.97920071599998</v>
          </cell>
          <cell r="O38">
            <v>180.85030508999998</v>
          </cell>
          <cell r="P38">
            <v>194.31636477000001</v>
          </cell>
          <cell r="Q38">
            <v>208.02899754599997</v>
          </cell>
          <cell r="R38">
            <v>215.780617662</v>
          </cell>
          <cell r="S38">
            <v>214.95530825999998</v>
          </cell>
          <cell r="T38">
            <v>209.671512702</v>
          </cell>
          <cell r="U38">
            <v>205.01759372399999</v>
          </cell>
          <cell r="V38">
            <v>203.59012632599999</v>
          </cell>
          <cell r="W38">
            <v>219.736967058</v>
          </cell>
          <cell r="X38">
            <v>234.52091516999999</v>
          </cell>
          <cell r="Y38">
            <v>248.552192628</v>
          </cell>
          <cell r="Z38">
            <v>236.683776954</v>
          </cell>
          <cell r="AA38">
            <v>215.87869701</v>
          </cell>
          <cell r="AB38">
            <v>190.33988462400001</v>
          </cell>
          <cell r="AC38">
            <v>166.01380230000001</v>
          </cell>
        </row>
        <row r="39">
          <cell r="F39">
            <v>156.79551525599999</v>
          </cell>
          <cell r="G39">
            <v>146.908884978</v>
          </cell>
          <cell r="H39">
            <v>141.81392869199999</v>
          </cell>
          <cell r="I39">
            <v>141.67295742600001</v>
          </cell>
          <cell r="J39">
            <v>160.07770275599998</v>
          </cell>
          <cell r="K39">
            <v>188.665841796</v>
          </cell>
          <cell r="L39">
            <v>214.19403214799999</v>
          </cell>
          <cell r="M39">
            <v>201.77179328399998</v>
          </cell>
          <cell r="N39">
            <v>215.12715367800001</v>
          </cell>
          <cell r="O39">
            <v>224.35213463399998</v>
          </cell>
          <cell r="P39">
            <v>238.423493874</v>
          </cell>
          <cell r="Q39">
            <v>250.37287134000002</v>
          </cell>
          <cell r="R39">
            <v>251.25126057</v>
          </cell>
          <cell r="S39">
            <v>248.057179236</v>
          </cell>
          <cell r="T39">
            <v>250.17662628600002</v>
          </cell>
          <cell r="U39">
            <v>250.66546624799997</v>
          </cell>
          <cell r="V39">
            <v>245.742609786</v>
          </cell>
          <cell r="W39">
            <v>258.48180351600001</v>
          </cell>
          <cell r="X39">
            <v>282.26541989399999</v>
          </cell>
          <cell r="Y39">
            <v>282.79355974800001</v>
          </cell>
          <cell r="Z39">
            <v>267.07780648199997</v>
          </cell>
          <cell r="AA39">
            <v>234.620268882</v>
          </cell>
          <cell r="AB39">
            <v>203.00815042799999</v>
          </cell>
          <cell r="AC39">
            <v>170.39033004599997</v>
          </cell>
        </row>
        <row r="40">
          <cell r="F40">
            <v>166.918362672</v>
          </cell>
          <cell r="G40">
            <v>155.66427680400002</v>
          </cell>
          <cell r="H40">
            <v>148.65991246199999</v>
          </cell>
          <cell r="I40">
            <v>146.83569073799998</v>
          </cell>
          <cell r="J40">
            <v>153.818902038</v>
          </cell>
          <cell r="K40">
            <v>166.32366647399999</v>
          </cell>
          <cell r="L40">
            <v>185.90623222800002</v>
          </cell>
          <cell r="M40">
            <v>183.28379183999999</v>
          </cell>
          <cell r="N40">
            <v>202.41980971200002</v>
          </cell>
          <cell r="O40">
            <v>214.28935970999999</v>
          </cell>
          <cell r="P40">
            <v>227.38434373199999</v>
          </cell>
          <cell r="Q40">
            <v>236.485064862</v>
          </cell>
          <cell r="R40">
            <v>237.029605734</v>
          </cell>
          <cell r="S40">
            <v>231.740056866</v>
          </cell>
          <cell r="T40">
            <v>226.11234640799998</v>
          </cell>
          <cell r="U40">
            <v>223.88465543999999</v>
          </cell>
          <cell r="V40">
            <v>221.33160954000002</v>
          </cell>
          <cell r="W40">
            <v>239.54423165999998</v>
          </cell>
          <cell r="X40">
            <v>255.90428562599996</v>
          </cell>
          <cell r="Y40">
            <v>254.51928069000002</v>
          </cell>
          <cell r="Z40">
            <v>240.005000604</v>
          </cell>
          <cell r="AA40">
            <v>220.034538054</v>
          </cell>
          <cell r="AB40">
            <v>198.659754384</v>
          </cell>
          <cell r="AC40">
            <v>177.79372202999997</v>
          </cell>
        </row>
        <row r="41">
          <cell r="F41">
            <v>166.86775454999997</v>
          </cell>
          <cell r="G41">
            <v>153.86343475799998</v>
          </cell>
          <cell r="H41">
            <v>145.80633605400001</v>
          </cell>
          <cell r="I41">
            <v>141.63369721199999</v>
          </cell>
          <cell r="J41">
            <v>142.37697351599999</v>
          </cell>
          <cell r="K41">
            <v>145.86948009</v>
          </cell>
          <cell r="L41">
            <v>153.65741724599999</v>
          </cell>
          <cell r="M41">
            <v>145.30945779599998</v>
          </cell>
          <cell r="N41">
            <v>159.59786970000002</v>
          </cell>
          <cell r="O41">
            <v>172.55085082799999</v>
          </cell>
          <cell r="P41">
            <v>184.88624388600002</v>
          </cell>
          <cell r="Q41">
            <v>197.015680116</v>
          </cell>
          <cell r="R41">
            <v>203.62308474</v>
          </cell>
          <cell r="S41">
            <v>204.71920582800001</v>
          </cell>
          <cell r="T41">
            <v>201.515429058</v>
          </cell>
          <cell r="U41">
            <v>199.85627014799999</v>
          </cell>
          <cell r="V41">
            <v>197.92531460400002</v>
          </cell>
          <cell r="W41">
            <v>216.95298119399999</v>
          </cell>
          <cell r="X41">
            <v>236.58752979599998</v>
          </cell>
          <cell r="Y41">
            <v>239.80872053999997</v>
          </cell>
          <cell r="Z41">
            <v>228.57871221599999</v>
          </cell>
          <cell r="AA41">
            <v>210.73035514199998</v>
          </cell>
          <cell r="AB41">
            <v>186.91223991000001</v>
          </cell>
          <cell r="AC41">
            <v>163.468682664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152.16764838600002</v>
          </cell>
          <cell r="G43">
            <v>142.343172528</v>
          </cell>
          <cell r="H43">
            <v>137.71784738399998</v>
          </cell>
          <cell r="I43">
            <v>137.61963966600001</v>
          </cell>
          <cell r="J43">
            <v>156.03690223799998</v>
          </cell>
          <cell r="K43">
            <v>182.57332690799998</v>
          </cell>
          <cell r="L43">
            <v>208.08995929199997</v>
          </cell>
          <cell r="M43">
            <v>198.07965035400002</v>
          </cell>
          <cell r="N43">
            <v>211.44565378799999</v>
          </cell>
          <cell r="O43">
            <v>220.839709704</v>
          </cell>
          <cell r="P43">
            <v>234.62459378399998</v>
          </cell>
          <cell r="Q43">
            <v>246.73984162799997</v>
          </cell>
          <cell r="R43">
            <v>248.89083735599999</v>
          </cell>
          <cell r="S43">
            <v>245.35870179599999</v>
          </cell>
          <cell r="T43">
            <v>246.631980486</v>
          </cell>
          <cell r="U43">
            <v>246.83291454599998</v>
          </cell>
          <cell r="V43">
            <v>241.856504454</v>
          </cell>
          <cell r="W43">
            <v>258.411253698</v>
          </cell>
          <cell r="X43">
            <v>281.63504850600003</v>
          </cell>
          <cell r="Y43">
            <v>276.44871845400002</v>
          </cell>
          <cell r="Z43">
            <v>260.62845100200002</v>
          </cell>
          <cell r="AA43">
            <v>228.55935168600001</v>
          </cell>
          <cell r="AB43">
            <v>197.89004319599999</v>
          </cell>
          <cell r="AC43">
            <v>166.15424141399998</v>
          </cell>
        </row>
        <row r="44">
          <cell r="F44">
            <v>163.14930977399999</v>
          </cell>
          <cell r="G44">
            <v>151.39570355999999</v>
          </cell>
          <cell r="H44">
            <v>144.69491326200003</v>
          </cell>
          <cell r="I44">
            <v>142.69249063799998</v>
          </cell>
          <cell r="J44">
            <v>149.83126070400002</v>
          </cell>
          <cell r="K44">
            <v>161.65162632000002</v>
          </cell>
          <cell r="L44">
            <v>181.070781732</v>
          </cell>
          <cell r="M44">
            <v>177.916569786</v>
          </cell>
          <cell r="N44">
            <v>197.142981144</v>
          </cell>
          <cell r="O44">
            <v>209.76703632000002</v>
          </cell>
          <cell r="P44">
            <v>221.48085717000001</v>
          </cell>
          <cell r="Q44">
            <v>230.019161322</v>
          </cell>
          <cell r="R44">
            <v>231.21737623799999</v>
          </cell>
          <cell r="S44">
            <v>225.99342444000001</v>
          </cell>
          <cell r="T44">
            <v>222.534478452</v>
          </cell>
          <cell r="U44">
            <v>222.546227808</v>
          </cell>
          <cell r="V44">
            <v>219.483020856</v>
          </cell>
          <cell r="W44">
            <v>240.41361398399999</v>
          </cell>
          <cell r="X44">
            <v>255.38841094199995</v>
          </cell>
          <cell r="Y44">
            <v>249.38108705400001</v>
          </cell>
          <cell r="Z44">
            <v>235.25202433199999</v>
          </cell>
          <cell r="AA44">
            <v>215.61258600000002</v>
          </cell>
          <cell r="AB44">
            <v>193.17319257599999</v>
          </cell>
          <cell r="AC44">
            <v>172.003100706</v>
          </cell>
        </row>
        <row r="45">
          <cell r="F45">
            <v>161.34743143199998</v>
          </cell>
          <cell r="G45">
            <v>150.291457818</v>
          </cell>
          <cell r="H45">
            <v>142.74672346200003</v>
          </cell>
          <cell r="I45">
            <v>138.92245045800001</v>
          </cell>
          <cell r="J45">
            <v>140.294314974</v>
          </cell>
          <cell r="K45">
            <v>144.109345338</v>
          </cell>
          <cell r="L45">
            <v>152.42326339799999</v>
          </cell>
          <cell r="M45">
            <v>144.620741076</v>
          </cell>
          <cell r="N45">
            <v>159.29060326800001</v>
          </cell>
          <cell r="O45">
            <v>172.82465703600002</v>
          </cell>
          <cell r="P45">
            <v>185.01641573400002</v>
          </cell>
          <cell r="Q45">
            <v>196.40670684</v>
          </cell>
          <cell r="R45">
            <v>203.34834726599999</v>
          </cell>
          <cell r="S45">
            <v>203.781418632</v>
          </cell>
          <cell r="T45">
            <v>199.89250783200001</v>
          </cell>
          <cell r="U45">
            <v>197.35936628399998</v>
          </cell>
          <cell r="V45">
            <v>195.39268653599999</v>
          </cell>
          <cell r="W45">
            <v>215.966784504</v>
          </cell>
          <cell r="X45">
            <v>236.62968650400001</v>
          </cell>
          <cell r="Y45">
            <v>234.87885974400001</v>
          </cell>
          <cell r="Z45">
            <v>223.94113123799997</v>
          </cell>
          <cell r="AA45">
            <v>206.814346602</v>
          </cell>
          <cell r="AB45">
            <v>184.10925528600001</v>
          </cell>
          <cell r="AC45">
            <v>161.77280993399998</v>
          </cell>
        </row>
        <row r="46">
          <cell r="F46">
            <v>152.86418867399999</v>
          </cell>
          <cell r="G46">
            <v>142.09008057000003</v>
          </cell>
          <cell r="H46">
            <v>134.983223286</v>
          </cell>
          <cell r="I46">
            <v>132.07688214000001</v>
          </cell>
          <cell r="J46">
            <v>135.19352602199999</v>
          </cell>
          <cell r="K46">
            <v>140.574103224</v>
          </cell>
          <cell r="L46">
            <v>148.53165916199998</v>
          </cell>
          <cell r="M46">
            <v>140.38877895599998</v>
          </cell>
          <cell r="N46">
            <v>156.70407147</v>
          </cell>
          <cell r="O46">
            <v>171.69677954400001</v>
          </cell>
          <cell r="P46">
            <v>183.77730913799999</v>
          </cell>
          <cell r="Q46">
            <v>196.54030499999999</v>
          </cell>
          <cell r="R46">
            <v>206.799138258</v>
          </cell>
          <cell r="S46">
            <v>204.19073921399999</v>
          </cell>
          <cell r="T46">
            <v>198.21003692999997</v>
          </cell>
          <cell r="U46">
            <v>195.60636890399999</v>
          </cell>
          <cell r="V46">
            <v>194.37782832599999</v>
          </cell>
          <cell r="W46">
            <v>218.65615700999999</v>
          </cell>
          <cell r="X46">
            <v>240.05404961399998</v>
          </cell>
          <cell r="Y46">
            <v>238.81412145000002</v>
          </cell>
          <cell r="Z46">
            <v>224.832992316</v>
          </cell>
          <cell r="AA46">
            <v>203.593718352</v>
          </cell>
          <cell r="AB46">
            <v>178.30768049999998</v>
          </cell>
          <cell r="AC46">
            <v>155.72852715599998</v>
          </cell>
        </row>
        <row r="47">
          <cell r="F47">
            <v>154.20671014199999</v>
          </cell>
          <cell r="G47">
            <v>144.31600236599999</v>
          </cell>
          <cell r="H47">
            <v>139.049401386</v>
          </cell>
          <cell r="I47">
            <v>138.85025050200002</v>
          </cell>
          <cell r="J47">
            <v>157.15413435599999</v>
          </cell>
          <cell r="K47">
            <v>183.378615258</v>
          </cell>
          <cell r="L47">
            <v>210.52974083999999</v>
          </cell>
          <cell r="M47">
            <v>200.17616585400003</v>
          </cell>
          <cell r="N47">
            <v>213.61864046400001</v>
          </cell>
          <cell r="O47">
            <v>222.739258944</v>
          </cell>
          <cell r="P47">
            <v>236.74804130999999</v>
          </cell>
          <cell r="Q47">
            <v>247.82091308400001</v>
          </cell>
          <cell r="R47">
            <v>249.373368516</v>
          </cell>
          <cell r="S47">
            <v>246.76566733799999</v>
          </cell>
          <cell r="T47">
            <v>248.893379082</v>
          </cell>
          <cell r="U47">
            <v>249.34178949599999</v>
          </cell>
          <cell r="V47">
            <v>244.27863396000001</v>
          </cell>
          <cell r="W47">
            <v>263.29960897200004</v>
          </cell>
          <cell r="X47">
            <v>284.74448032799995</v>
          </cell>
          <cell r="Y47">
            <v>278.68453407599998</v>
          </cell>
          <cell r="Z47">
            <v>262.86067226400002</v>
          </cell>
          <cell r="AA47">
            <v>231.27405976200001</v>
          </cell>
          <cell r="AB47">
            <v>200.672252886</v>
          </cell>
          <cell r="AC47">
            <v>168.55662294599998</v>
          </cell>
        </row>
        <row r="48">
          <cell r="F48">
            <v>164.97601020599998</v>
          </cell>
          <cell r="G48">
            <v>152.79676174799999</v>
          </cell>
          <cell r="H48">
            <v>146.196993972</v>
          </cell>
          <cell r="I48">
            <v>144.72923473199998</v>
          </cell>
          <cell r="J48">
            <v>151.77724487399999</v>
          </cell>
          <cell r="K48">
            <v>163.60916145600001</v>
          </cell>
          <cell r="L48">
            <v>184.27949024400002</v>
          </cell>
          <cell r="M48">
            <v>181.40548199999998</v>
          </cell>
          <cell r="N48">
            <v>200.34916426799998</v>
          </cell>
          <cell r="O48">
            <v>212.894099178</v>
          </cell>
          <cell r="P48">
            <v>225.25502852999998</v>
          </cell>
          <cell r="Q48">
            <v>233.62549240799999</v>
          </cell>
          <cell r="R48">
            <v>234.02561936399999</v>
          </cell>
          <cell r="S48">
            <v>228.72507735599999</v>
          </cell>
          <cell r="T48">
            <v>223.870434378</v>
          </cell>
          <cell r="U48">
            <v>222.35003877000003</v>
          </cell>
          <cell r="V48">
            <v>220.62893083199998</v>
          </cell>
          <cell r="W48">
            <v>244.62792406200001</v>
          </cell>
          <cell r="X48">
            <v>259.92175314599996</v>
          </cell>
          <cell r="Y48">
            <v>253.80361794000004</v>
          </cell>
          <cell r="Z48">
            <v>239.90953300200002</v>
          </cell>
          <cell r="AA48">
            <v>220.82204832599999</v>
          </cell>
          <cell r="AB48">
            <v>198.45886467</v>
          </cell>
          <cell r="AC48">
            <v>177.03793081800001</v>
          </cell>
        </row>
        <row r="49">
          <cell r="F49">
            <v>166.19860608600001</v>
          </cell>
          <cell r="G49">
            <v>154.40584702199999</v>
          </cell>
          <cell r="H49">
            <v>146.13411134400002</v>
          </cell>
          <cell r="I49">
            <v>142.470699954</v>
          </cell>
          <cell r="J49">
            <v>143.90071608</v>
          </cell>
          <cell r="K49">
            <v>148.26236924400001</v>
          </cell>
          <cell r="L49">
            <v>156.36658440599999</v>
          </cell>
          <cell r="M49">
            <v>147.97597577400001</v>
          </cell>
          <cell r="N49">
            <v>163.19992022999998</v>
          </cell>
          <cell r="O49">
            <v>176.49474599999999</v>
          </cell>
          <cell r="P49">
            <v>188.02212226200001</v>
          </cell>
          <cell r="Q49">
            <v>199.52028851399999</v>
          </cell>
          <cell r="R49">
            <v>206.11250579999998</v>
          </cell>
          <cell r="S49">
            <v>207.20370448200001</v>
          </cell>
          <cell r="T49">
            <v>203.64097951799999</v>
          </cell>
          <cell r="U49">
            <v>201.64096558200001</v>
          </cell>
          <cell r="V49">
            <v>199.82560838999999</v>
          </cell>
          <cell r="W49">
            <v>224.53499886599997</v>
          </cell>
          <cell r="X49">
            <v>241.02877469399999</v>
          </cell>
          <cell r="Y49">
            <v>238.374269814</v>
          </cell>
          <cell r="Z49">
            <v>226.368586932</v>
          </cell>
          <cell r="AA49">
            <v>209.60799522599999</v>
          </cell>
          <cell r="AB49">
            <v>187.57854556200002</v>
          </cell>
          <cell r="AC49">
            <v>166.29139658999998</v>
          </cell>
        </row>
        <row r="50">
          <cell r="F50">
            <v>158.57182229400001</v>
          </cell>
          <cell r="G50">
            <v>147.09180989399999</v>
          </cell>
          <cell r="H50">
            <v>140.60339725799997</v>
          </cell>
          <cell r="I50">
            <v>137.51756451</v>
          </cell>
          <cell r="J50">
            <v>140.86674247799999</v>
          </cell>
          <cell r="K50">
            <v>146.24808056399999</v>
          </cell>
          <cell r="L50">
            <v>153.25337383799999</v>
          </cell>
          <cell r="M50">
            <v>145.47484270199999</v>
          </cell>
          <cell r="N50">
            <v>161.70594550200002</v>
          </cell>
          <cell r="O50">
            <v>175.92631430399999</v>
          </cell>
          <cell r="P50">
            <v>188.97473736000001</v>
          </cell>
          <cell r="Q50">
            <v>203.334105198</v>
          </cell>
          <cell r="R50">
            <v>212.82448295999998</v>
          </cell>
          <cell r="S50">
            <v>212.37199738199999</v>
          </cell>
          <cell r="T50">
            <v>207.466776624</v>
          </cell>
          <cell r="U50">
            <v>204.909629886</v>
          </cell>
          <cell r="V50">
            <v>202.28402459400002</v>
          </cell>
          <cell r="W50">
            <v>226.02329263799999</v>
          </cell>
          <cell r="X50">
            <v>245.71447808400001</v>
          </cell>
          <cell r="Y50">
            <v>243.517693944</v>
          </cell>
          <cell r="Z50">
            <v>230.26190198999998</v>
          </cell>
          <cell r="AA50">
            <v>209.967821004</v>
          </cell>
          <cell r="AB50">
            <v>185.35471502999999</v>
          </cell>
          <cell r="AC50">
            <v>162.17471773199998</v>
          </cell>
        </row>
        <row r="51">
          <cell r="F51">
            <v>161.63045460599997</v>
          </cell>
          <cell r="G51">
            <v>149.88926760599998</v>
          </cell>
          <cell r="H51">
            <v>143.46712656599999</v>
          </cell>
          <cell r="I51">
            <v>142.39537010399999</v>
          </cell>
          <cell r="J51">
            <v>157.26604732199999</v>
          </cell>
          <cell r="K51">
            <v>175.862089626</v>
          </cell>
          <cell r="L51">
            <v>198.856398552</v>
          </cell>
          <cell r="M51">
            <v>194.7762678</v>
          </cell>
          <cell r="N51">
            <v>211.64577561600001</v>
          </cell>
          <cell r="O51">
            <v>222.96494040599998</v>
          </cell>
          <cell r="P51">
            <v>235.21047446399999</v>
          </cell>
          <cell r="Q51">
            <v>246.15830218799999</v>
          </cell>
          <cell r="R51">
            <v>250.91787667799997</v>
          </cell>
          <cell r="S51">
            <v>248.41665724800001</v>
          </cell>
          <cell r="T51">
            <v>249.09795885</v>
          </cell>
          <cell r="U51">
            <v>249.273926112</v>
          </cell>
          <cell r="V51">
            <v>244.73418641399999</v>
          </cell>
          <cell r="W51">
            <v>260.85812360400001</v>
          </cell>
          <cell r="X51">
            <v>285.70947262799996</v>
          </cell>
          <cell r="Y51">
            <v>281.73812728199999</v>
          </cell>
          <cell r="Z51">
            <v>266.51325389399994</v>
          </cell>
          <cell r="AA51">
            <v>236.89037563199997</v>
          </cell>
          <cell r="AB51">
            <v>209.10607552800002</v>
          </cell>
          <cell r="AC51">
            <v>178.252362366</v>
          </cell>
        </row>
        <row r="52">
          <cell r="F52">
            <v>171.30355422600002</v>
          </cell>
          <cell r="G52">
            <v>157.885173498</v>
          </cell>
          <cell r="H52">
            <v>150.33215110800001</v>
          </cell>
          <cell r="I52">
            <v>148.03880472</v>
          </cell>
          <cell r="J52">
            <v>152.93403595799998</v>
          </cell>
          <cell r="K52">
            <v>167.83728647999999</v>
          </cell>
          <cell r="L52">
            <v>183.71547214199998</v>
          </cell>
          <cell r="M52">
            <v>180.649083948</v>
          </cell>
          <cell r="N52">
            <v>200.42918312399999</v>
          </cell>
          <cell r="O52">
            <v>213.094251348</v>
          </cell>
          <cell r="P52">
            <v>225.09504683400002</v>
          </cell>
          <cell r="Q52">
            <v>232.94908987199997</v>
          </cell>
          <cell r="R52">
            <v>235.89646273799997</v>
          </cell>
          <cell r="S52">
            <v>231.47696605199999</v>
          </cell>
          <cell r="T52">
            <v>227.232769104</v>
          </cell>
          <cell r="U52">
            <v>225.68818158599998</v>
          </cell>
          <cell r="V52">
            <v>224.13938353199998</v>
          </cell>
          <cell r="W52">
            <v>243.92130556199999</v>
          </cell>
          <cell r="X52">
            <v>263.20742764199997</v>
          </cell>
          <cell r="Y52">
            <v>259.78556191199999</v>
          </cell>
          <cell r="Z52">
            <v>245.75973200999996</v>
          </cell>
          <cell r="AA52">
            <v>227.03468719199998</v>
          </cell>
          <cell r="AB52">
            <v>205.79698867799999</v>
          </cell>
          <cell r="AC52">
            <v>184.05885955799999</v>
          </cell>
        </row>
        <row r="53">
          <cell r="F53">
            <v>171.99963938400001</v>
          </cell>
          <cell r="G53">
            <v>158.65982809799999</v>
          </cell>
          <cell r="H53">
            <v>149.88430318799999</v>
          </cell>
          <cell r="I53">
            <v>145.651265094</v>
          </cell>
          <cell r="J53">
            <v>146.91061680599998</v>
          </cell>
          <cell r="K53">
            <v>152.11138031399997</v>
          </cell>
          <cell r="L53">
            <v>159.742848444</v>
          </cell>
          <cell r="M53">
            <v>151.74448251599998</v>
          </cell>
          <cell r="N53">
            <v>167.916110328</v>
          </cell>
          <cell r="O53">
            <v>181.764434862</v>
          </cell>
          <cell r="P53">
            <v>193.338794544</v>
          </cell>
          <cell r="Q53">
            <v>203.48580586200001</v>
          </cell>
          <cell r="R53">
            <v>209.988925032</v>
          </cell>
          <cell r="S53">
            <v>210.99400144800001</v>
          </cell>
          <cell r="T53">
            <v>209.04748746000001</v>
          </cell>
          <cell r="U53">
            <v>207.93880945200002</v>
          </cell>
          <cell r="V53">
            <v>205.53708143999998</v>
          </cell>
          <cell r="W53">
            <v>222.21377051399998</v>
          </cell>
          <cell r="X53">
            <v>242.56696938600001</v>
          </cell>
          <cell r="Y53">
            <v>242.10696366000002</v>
          </cell>
          <cell r="Z53">
            <v>230.199661212</v>
          </cell>
          <cell r="AA53">
            <v>214.04347981200002</v>
          </cell>
          <cell r="AB53">
            <v>194.50323181200002</v>
          </cell>
          <cell r="AC53">
            <v>174.14635455599998</v>
          </cell>
        </row>
        <row r="54">
          <cell r="F54">
            <v>170.83545885599997</v>
          </cell>
          <cell r="G54">
            <v>160.20685931400001</v>
          </cell>
          <cell r="H54">
            <v>151.25257801200001</v>
          </cell>
          <cell r="I54">
            <v>145.65473341799998</v>
          </cell>
          <cell r="J54">
            <v>145.05380077199999</v>
          </cell>
          <cell r="K54">
            <v>147.19668118199999</v>
          </cell>
          <cell r="L54">
            <v>148.90738414799998</v>
          </cell>
          <cell r="M54">
            <v>135.41919581399998</v>
          </cell>
          <cell r="N54">
            <v>146.484552108</v>
          </cell>
          <cell r="O54">
            <v>159.60780320399999</v>
          </cell>
          <cell r="P54">
            <v>172.00207841399998</v>
          </cell>
          <cell r="Q54">
            <v>184.738534362</v>
          </cell>
          <cell r="R54">
            <v>195.53145450599999</v>
          </cell>
          <cell r="S54">
            <v>197.88664489200002</v>
          </cell>
          <cell r="T54">
            <v>195.802499592</v>
          </cell>
          <cell r="U54">
            <v>196.07500576200002</v>
          </cell>
          <cell r="V54">
            <v>194.52592996199999</v>
          </cell>
          <cell r="W54">
            <v>212.65903736999999</v>
          </cell>
          <cell r="X54">
            <v>232.66964238599999</v>
          </cell>
          <cell r="Y54">
            <v>233.04759400799998</v>
          </cell>
          <cell r="Z54">
            <v>221.331950304</v>
          </cell>
          <cell r="AA54">
            <v>204.75117229200001</v>
          </cell>
          <cell r="AB54">
            <v>185.36249892000001</v>
          </cell>
          <cell r="AC54">
            <v>165.289123308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2AA8-98C1-46E7-8643-504944318B04}">
  <sheetPr codeName="Hoja4"/>
  <dimension ref="C1:BD57"/>
  <sheetViews>
    <sheetView showGridLines="0" topLeftCell="G1" zoomScale="66" zoomScaleNormal="66" workbookViewId="0">
      <selection activeCell="R48" sqref="R48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1796875" style="1" bestFit="1" customWidth="1"/>
    <col min="5" max="5" width="7.54296875" style="1" bestFit="1" customWidth="1"/>
    <col min="6" max="6" width="9" style="1" bestFit="1" customWidth="1"/>
    <col min="7" max="7" width="8.54296875" style="1" bestFit="1" customWidth="1"/>
    <col min="8" max="10" width="9" style="1" bestFit="1" customWidth="1"/>
    <col min="11" max="12" width="8.54296875" style="1" bestFit="1" customWidth="1"/>
    <col min="13" max="22" width="11.54296875" style="1" customWidth="1"/>
    <col min="23" max="24" width="9" style="1" bestFit="1" customWidth="1"/>
    <col min="25" max="25" width="8.54296875" style="1" bestFit="1" customWidth="1"/>
    <col min="26" max="27" width="9" style="1" bestFit="1" customWidth="1"/>
    <col min="28" max="28" width="8.54296875" style="1" bestFit="1" customWidth="1"/>
    <col min="29" max="29" width="9" style="1" bestFit="1" customWidth="1"/>
    <col min="30" max="30" width="19.54296875" style="1" bestFit="1" customWidth="1"/>
    <col min="31" max="31" width="2.8164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7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 spans="3:56" ht="18.649999999999999" customHeight="1">
      <c r="C3" s="67" t="s">
        <v>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3:56" ht="18.649999999999999" customHeight="1">
      <c r="C4" s="67">
        <v>2027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19</v>
      </c>
      <c r="F7" s="7">
        <f>+[1]Resumen!F7*1000</f>
        <v>43813.641634000007</v>
      </c>
      <c r="G7" s="7">
        <f>+[1]Resumen!G7*1000</f>
        <v>39665.253964000003</v>
      </c>
      <c r="H7" s="7">
        <f>+[1]Resumen!H7*1000</f>
        <v>36828.059379999999</v>
      </c>
      <c r="I7" s="7">
        <f>+[1]Resumen!I7*1000</f>
        <v>36269.994165999997</v>
      </c>
      <c r="J7" s="7">
        <f>+[1]Resumen!J7*1000</f>
        <v>38345.209112000004</v>
      </c>
      <c r="K7" s="7">
        <f>+[1]Resumen!K7*1000</f>
        <v>47715.167303999995</v>
      </c>
      <c r="L7" s="7">
        <f>+[1]Resumen!L7*1000</f>
        <v>58442.347124</v>
      </c>
      <c r="M7" s="7">
        <f>+[1]Resumen!M7*1000</f>
        <v>55336.175552000001</v>
      </c>
      <c r="N7" s="7">
        <f>+[1]Resumen!N7*1000</f>
        <v>60296.755232000003</v>
      </c>
      <c r="O7" s="7">
        <f>+[1]Resumen!O7*1000</f>
        <v>62479.832842000003</v>
      </c>
      <c r="P7" s="7">
        <f>+[1]Resumen!P7*1000</f>
        <v>67612.60037</v>
      </c>
      <c r="Q7" s="7">
        <f>+[1]Resumen!Q7*1000</f>
        <v>72200.043328</v>
      </c>
      <c r="R7" s="7">
        <f>+[1]Resumen!R7*1000</f>
        <v>74992.347500000003</v>
      </c>
      <c r="S7" s="7">
        <f>+[1]Resumen!S7*1000</f>
        <v>74906.603029999998</v>
      </c>
      <c r="T7" s="7">
        <f>+[1]Resumen!T7*1000</f>
        <v>77213.262321999995</v>
      </c>
      <c r="U7" s="7">
        <f>+[1]Resumen!U7*1000</f>
        <v>77842.734773999997</v>
      </c>
      <c r="V7" s="7">
        <f>+[1]Resumen!V7*1000</f>
        <v>75770.360344000001</v>
      </c>
      <c r="W7" s="7">
        <f>+[1]Resumen!W7*1000</f>
        <v>62749.887046000003</v>
      </c>
      <c r="X7" s="7">
        <f>+[1]Resumen!X7*1000</f>
        <v>67502.445415999988</v>
      </c>
      <c r="Y7" s="7">
        <f>+[1]Resumen!Y7*1000</f>
        <v>66261.624029999992</v>
      </c>
      <c r="Z7" s="7">
        <f>+[1]Resumen!Z7*1000</f>
        <v>60509.463713999998</v>
      </c>
      <c r="AA7" s="7">
        <f>+[1]Resumen!AA7*1000</f>
        <v>51940.396381999999</v>
      </c>
      <c r="AB7" s="7">
        <f>+[1]Resumen!AB7*1000</f>
        <v>40223.142848000003</v>
      </c>
      <c r="AC7" s="7">
        <f>+[1]Resumen!AC7*1000</f>
        <v>35254.686026000003</v>
      </c>
      <c r="AD7" s="64">
        <f>SUM(F7:AC7)*E7+SUM(F8:AC8)*E8+SUM(F9:AC9)*E9+SUM(F10:AC10)*E10</f>
        <v>40268590.081285998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5</v>
      </c>
      <c r="F8" s="7">
        <f>+[1]Resumen!F8*1000</f>
        <v>46194.401204000002</v>
      </c>
      <c r="G8" s="7">
        <f>+[1]Resumen!G8*1000</f>
        <v>41036.062619999997</v>
      </c>
      <c r="H8" s="7">
        <f>+[1]Resumen!H8*1000</f>
        <v>37664.071969999997</v>
      </c>
      <c r="I8" s="7">
        <f>+[1]Resumen!I8*1000</f>
        <v>35817.653213999998</v>
      </c>
      <c r="J8" s="7">
        <f>+[1]Resumen!J8*1000</f>
        <v>37198.733894000005</v>
      </c>
      <c r="K8" s="7">
        <f>+[1]Resumen!K8*1000</f>
        <v>42053.352068</v>
      </c>
      <c r="L8" s="7">
        <f>+[1]Resumen!L8*1000</f>
        <v>47939.680278</v>
      </c>
      <c r="M8" s="7">
        <f>+[1]Resumen!M8*1000</f>
        <v>44469.307106</v>
      </c>
      <c r="N8" s="7">
        <f>+[1]Resumen!N8*1000</f>
        <v>51910.086857999995</v>
      </c>
      <c r="O8" s="7">
        <f>+[1]Resumen!O8*1000</f>
        <v>57356.872468000001</v>
      </c>
      <c r="P8" s="7">
        <f>+[1]Resumen!P8*1000</f>
        <v>61788.340320000003</v>
      </c>
      <c r="Q8" s="7">
        <f>+[1]Resumen!Q8*1000</f>
        <v>64129.307018000007</v>
      </c>
      <c r="R8" s="7">
        <f>+[1]Resumen!R8*1000</f>
        <v>64342.534872000004</v>
      </c>
      <c r="S8" s="7">
        <f>+[1]Resumen!S8*1000</f>
        <v>65431.337356000004</v>
      </c>
      <c r="T8" s="7">
        <f>+[1]Resumen!T8*1000</f>
        <v>64446.409271999997</v>
      </c>
      <c r="U8" s="7">
        <f>+[1]Resumen!U8*1000</f>
        <v>65511.044928000003</v>
      </c>
      <c r="V8" s="7">
        <f>+[1]Resumen!V8*1000</f>
        <v>68187.792035999999</v>
      </c>
      <c r="W8" s="7">
        <f>+[1]Resumen!W8*1000</f>
        <v>58842.494396000002</v>
      </c>
      <c r="X8" s="7">
        <f>+[1]Resumen!X8*1000</f>
        <v>64374.469838000012</v>
      </c>
      <c r="Y8" s="7">
        <f>+[1]Resumen!Y8*1000</f>
        <v>62096.212500000001</v>
      </c>
      <c r="Z8" s="7">
        <f>+[1]Resumen!Z8*1000</f>
        <v>56368.106802000002</v>
      </c>
      <c r="AA8" s="7">
        <f>+[1]Resumen!AA8*1000</f>
        <v>49574.772338000002</v>
      </c>
      <c r="AB8" s="7">
        <f>+[1]Resumen!AB8*1000</f>
        <v>42550.888002000007</v>
      </c>
      <c r="AC8" s="7">
        <f>+[1]Resumen!AC8*1000</f>
        <v>34092.389197999997</v>
      </c>
      <c r="AD8" s="6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5</v>
      </c>
      <c r="F9" s="7">
        <f>+[1]Resumen!F9*1000</f>
        <v>45192.353079999993</v>
      </c>
      <c r="G9" s="7">
        <f>+[1]Resumen!G9*1000</f>
        <v>39849.560492000004</v>
      </c>
      <c r="H9" s="7">
        <f>+[1]Resumen!H9*1000</f>
        <v>35957.399548000001</v>
      </c>
      <c r="I9" s="7">
        <f>+[1]Resumen!I9*1000</f>
        <v>33879.222257999994</v>
      </c>
      <c r="J9" s="7">
        <f>+[1]Resumen!J9*1000</f>
        <v>34169.307549999998</v>
      </c>
      <c r="K9" s="7">
        <f>+[1]Resumen!K9*1000</f>
        <v>36410.747184</v>
      </c>
      <c r="L9" s="7">
        <f>+[1]Resumen!L9*1000</f>
        <v>38292.832689999996</v>
      </c>
      <c r="M9" s="7">
        <f>+[1]Resumen!M9*1000</f>
        <v>33298.070637999997</v>
      </c>
      <c r="N9" s="7">
        <f>+[1]Resumen!N9*1000</f>
        <v>38204.645248000001</v>
      </c>
      <c r="O9" s="7">
        <f>+[1]Resumen!O9*1000</f>
        <v>42291.227650000001</v>
      </c>
      <c r="P9" s="7">
        <f>+[1]Resumen!P9*1000</f>
        <v>46852.336523999998</v>
      </c>
      <c r="Q9" s="7">
        <f>+[1]Resumen!Q9*1000</f>
        <v>53340.129570000005</v>
      </c>
      <c r="R9" s="7">
        <f>+[1]Resumen!R9*1000</f>
        <v>59506.392875999998</v>
      </c>
      <c r="S9" s="7">
        <f>+[1]Resumen!S9*1000</f>
        <v>61867.336159999999</v>
      </c>
      <c r="T9" s="7">
        <f>+[1]Resumen!T9*1000</f>
        <v>62081.689320000005</v>
      </c>
      <c r="U9" s="7">
        <f>+[1]Resumen!U9*1000</f>
        <v>61164.183415999993</v>
      </c>
      <c r="V9" s="7">
        <f>+[1]Resumen!V9*1000</f>
        <v>60627.922207999996</v>
      </c>
      <c r="W9" s="7">
        <f>+[1]Resumen!W9*1000</f>
        <v>49672.074438000003</v>
      </c>
      <c r="X9" s="7">
        <f>+[1]Resumen!X9*1000</f>
        <v>57346.728684000002</v>
      </c>
      <c r="Y9" s="7">
        <f>+[1]Resumen!Y9*1000</f>
        <v>56594.835121999997</v>
      </c>
      <c r="Z9" s="7">
        <f>+[1]Resumen!Z9*1000</f>
        <v>51768.227770000005</v>
      </c>
      <c r="AA9" s="7">
        <f>+[1]Resumen!AA9*1000</f>
        <v>45645.861015999995</v>
      </c>
      <c r="AB9" s="7">
        <f>+[1]Resumen!AB9*1000</f>
        <v>37069.794986000001</v>
      </c>
      <c r="AC9" s="7">
        <f>+[1]Resumen!AC9*1000</f>
        <v>28114.827846</v>
      </c>
      <c r="AD9" s="6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+[1]Resumen!F10*1000</f>
        <v>45973.328267999997</v>
      </c>
      <c r="G10" s="7">
        <f>+[1]Resumen!G10*1000</f>
        <v>42913.387215999996</v>
      </c>
      <c r="H10" s="7">
        <f>+[1]Resumen!H10*1000</f>
        <v>41013.357728000003</v>
      </c>
      <c r="I10" s="7">
        <f>+[1]Resumen!I10*1000</f>
        <v>37804.167757999996</v>
      </c>
      <c r="J10" s="7">
        <f>+[1]Resumen!J10*1000</f>
        <v>37810.127712000001</v>
      </c>
      <c r="K10" s="7">
        <f>+[1]Resumen!K10*1000</f>
        <v>38750.848262</v>
      </c>
      <c r="L10" s="7">
        <f>+[1]Resumen!L10*1000</f>
        <v>39671.245977999999</v>
      </c>
      <c r="M10" s="7">
        <f>+[1]Resumen!M10*1000</f>
        <v>31541.756512</v>
      </c>
      <c r="N10" s="7">
        <f>+[1]Resumen!N10*1000</f>
        <v>33799.918642000004</v>
      </c>
      <c r="O10" s="7">
        <f>+[1]Resumen!O10*1000</f>
        <v>37449.340501999999</v>
      </c>
      <c r="P10" s="7">
        <f>+[1]Resumen!P10*1000</f>
        <v>41926.067455999997</v>
      </c>
      <c r="Q10" s="7">
        <f>+[1]Resumen!Q10*1000</f>
        <v>47227.428906000001</v>
      </c>
      <c r="R10" s="7">
        <f>+[1]Resumen!R10*1000</f>
        <v>52453.606449999999</v>
      </c>
      <c r="S10" s="7">
        <f>+[1]Resumen!S10*1000</f>
        <v>54347.166229999995</v>
      </c>
      <c r="T10" s="7">
        <f>+[1]Resumen!T10*1000</f>
        <v>54822.112688000001</v>
      </c>
      <c r="U10" s="7">
        <f>+[1]Resumen!U10*1000</f>
        <v>57533.180025999995</v>
      </c>
      <c r="V10" s="7">
        <f>+[1]Resumen!V10*1000</f>
        <v>58558.343410000001</v>
      </c>
      <c r="W10" s="7">
        <f>+[1]Resumen!W10*1000</f>
        <v>46114.719279999998</v>
      </c>
      <c r="X10" s="7">
        <f>+[1]Resumen!X10*1000</f>
        <v>53001.139953999998</v>
      </c>
      <c r="Y10" s="7">
        <f>+[1]Resumen!Y10*1000</f>
        <v>52224.528131999999</v>
      </c>
      <c r="Z10" s="7">
        <f>+[1]Resumen!Z10*1000</f>
        <v>47563.81525</v>
      </c>
      <c r="AA10" s="7">
        <f>+[1]Resumen!AA10*1000</f>
        <v>42213.623213999999</v>
      </c>
      <c r="AB10" s="7">
        <f>+[1]Resumen!AB10*1000</f>
        <v>33496.037931999999</v>
      </c>
      <c r="AC10" s="7">
        <f>+[1]Resumen!AC10*1000</f>
        <v>25016.408382000001</v>
      </c>
      <c r="AD10" s="66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+[1]Resumen!F11*1000</f>
        <v>48162.846731999998</v>
      </c>
      <c r="G11" s="7">
        <f>+[1]Resumen!G11*1000</f>
        <v>43331.340611999993</v>
      </c>
      <c r="H11" s="7">
        <f>+[1]Resumen!H11*1000</f>
        <v>41032.856619999999</v>
      </c>
      <c r="I11" s="7">
        <f>+[1]Resumen!I11*1000</f>
        <v>40886.005789999996</v>
      </c>
      <c r="J11" s="7">
        <f>+[1]Resumen!J11*1000</f>
        <v>46062.137674000005</v>
      </c>
      <c r="K11" s="7">
        <f>+[1]Resumen!K11*1000</f>
        <v>64182.606767999998</v>
      </c>
      <c r="L11" s="7">
        <f>+[1]Resumen!L11*1000</f>
        <v>73866.922877999998</v>
      </c>
      <c r="M11" s="7">
        <f>+[1]Resumen!M11*1000</f>
        <v>65816.150329999989</v>
      </c>
      <c r="N11" s="7">
        <f>+[1]Resumen!N11*1000</f>
        <v>70471.377745999998</v>
      </c>
      <c r="O11" s="7">
        <f>+[1]Resumen!O11*1000</f>
        <v>72666.372057999994</v>
      </c>
      <c r="P11" s="7">
        <f>+[1]Resumen!P11*1000</f>
        <v>79120.912471999996</v>
      </c>
      <c r="Q11" s="7">
        <f>+[1]Resumen!Q11*1000</f>
        <v>83685.788396000004</v>
      </c>
      <c r="R11" s="7">
        <f>+[1]Resumen!R11*1000</f>
        <v>83358.071075999993</v>
      </c>
      <c r="S11" s="7">
        <f>+[1]Resumen!S11*1000</f>
        <v>83505.322656000004</v>
      </c>
      <c r="T11" s="7">
        <f>+[1]Resumen!T11*1000</f>
        <v>85883.167971999996</v>
      </c>
      <c r="U11" s="7">
        <f>+[1]Resumen!U11*1000</f>
        <v>86825.29916200001</v>
      </c>
      <c r="V11" s="7">
        <f>+[1]Resumen!V11*1000</f>
        <v>84704.232004000005</v>
      </c>
      <c r="W11" s="7">
        <f>+[1]Resumen!W11*1000</f>
        <v>69410.393724000009</v>
      </c>
      <c r="X11" s="7">
        <f>+[1]Resumen!X11*1000</f>
        <v>73257.584106000009</v>
      </c>
      <c r="Y11" s="7">
        <f>+[1]Resumen!Y11*1000</f>
        <v>74599.737534</v>
      </c>
      <c r="Z11" s="7">
        <f>+[1]Resumen!Z11*1000</f>
        <v>68908.003905999998</v>
      </c>
      <c r="AA11" s="7">
        <f>+[1]Resumen!AA11*1000</f>
        <v>59277.814693999993</v>
      </c>
      <c r="AB11" s="7">
        <f>+[1]Resumen!AB11*1000</f>
        <v>45173.444092000005</v>
      </c>
      <c r="AC11" s="7">
        <f>+[1]Resumen!AC11*1000</f>
        <v>38562.636826000002</v>
      </c>
      <c r="AD11" s="64">
        <f>SUM(F11:AC11)*E11+SUM(F12:AC12)*E12+SUM(F13:AC13)*E13+SUM(F14:AC14)*E14</f>
        <v>42743658.370000005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+[1]Resumen!F12*1000</f>
        <v>52728.415152000001</v>
      </c>
      <c r="G12" s="7">
        <f>+[1]Resumen!G12*1000</f>
        <v>47353.751718</v>
      </c>
      <c r="H12" s="7">
        <f>+[1]Resumen!H12*1000</f>
        <v>43588.394485999997</v>
      </c>
      <c r="I12" s="7">
        <f>+[1]Resumen!I12*1000</f>
        <v>42699.075734000005</v>
      </c>
      <c r="J12" s="7">
        <f>+[1]Resumen!J12*1000</f>
        <v>45335.844021999997</v>
      </c>
      <c r="K12" s="7">
        <f>+[1]Resumen!K12*1000</f>
        <v>50515.339</v>
      </c>
      <c r="L12" s="7">
        <f>+[1]Resumen!L12*1000</f>
        <v>60057.539541999999</v>
      </c>
      <c r="M12" s="7">
        <f>+[1]Resumen!M12*1000</f>
        <v>58343.066921999998</v>
      </c>
      <c r="N12" s="7">
        <f>+[1]Resumen!N12*1000</f>
        <v>67724.23008400001</v>
      </c>
      <c r="O12" s="7">
        <f>+[1]Resumen!O12*1000</f>
        <v>73348.326730000001</v>
      </c>
      <c r="P12" s="7">
        <f>+[1]Resumen!P12*1000</f>
        <v>78218.205463999999</v>
      </c>
      <c r="Q12" s="7">
        <f>+[1]Resumen!Q12*1000</f>
        <v>79921.59814799999</v>
      </c>
      <c r="R12" s="7">
        <f>+[1]Resumen!R12*1000</f>
        <v>78501.644717999996</v>
      </c>
      <c r="S12" s="7">
        <f>+[1]Resumen!S12*1000</f>
        <v>77388.457397999999</v>
      </c>
      <c r="T12" s="7">
        <f>+[1]Resumen!T12*1000</f>
        <v>76551.255382000003</v>
      </c>
      <c r="U12" s="7">
        <f>+[1]Resumen!U12*1000</f>
        <v>77101.722375999991</v>
      </c>
      <c r="V12" s="7">
        <f>+[1]Resumen!V12*1000</f>
        <v>77069.290479999996</v>
      </c>
      <c r="W12" s="7">
        <f>+[1]Resumen!W12*1000</f>
        <v>64249.961622000003</v>
      </c>
      <c r="X12" s="7">
        <f>+[1]Resumen!X12*1000</f>
        <v>70926.674629999994</v>
      </c>
      <c r="Y12" s="7">
        <f>+[1]Resumen!Y12*1000</f>
        <v>70823.553639999998</v>
      </c>
      <c r="Z12" s="7">
        <f>+[1]Resumen!Z12*1000</f>
        <v>66157.089194</v>
      </c>
      <c r="AA12" s="7">
        <f>+[1]Resumen!AA12*1000</f>
        <v>57835.230110000004</v>
      </c>
      <c r="AB12" s="7">
        <f>+[1]Resumen!AB12*1000</f>
        <v>47730.854261999993</v>
      </c>
      <c r="AC12" s="7">
        <f>+[1]Resumen!AC12*1000</f>
        <v>38293.085963999998</v>
      </c>
      <c r="AD12" s="6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+[1]Resumen!F13*1000</f>
        <v>49175.458626</v>
      </c>
      <c r="G13" s="7">
        <f>+[1]Resumen!G13*1000</f>
        <v>43335.392996000002</v>
      </c>
      <c r="H13" s="7">
        <f>+[1]Resumen!H13*1000</f>
        <v>39717.104601999999</v>
      </c>
      <c r="I13" s="7">
        <f>+[1]Resumen!I13*1000</f>
        <v>37973.377231999999</v>
      </c>
      <c r="J13" s="7">
        <f>+[1]Resumen!J13*1000</f>
        <v>38578.843155999995</v>
      </c>
      <c r="K13" s="7">
        <f>+[1]Resumen!K13*1000</f>
        <v>40573.263696000002</v>
      </c>
      <c r="L13" s="7">
        <f>+[1]Resumen!L13*1000</f>
        <v>44876.927563999998</v>
      </c>
      <c r="M13" s="7">
        <f>+[1]Resumen!M13*1000</f>
        <v>41089.416872000002</v>
      </c>
      <c r="N13" s="7">
        <f>+[1]Resumen!N13*1000</f>
        <v>47380.274956000001</v>
      </c>
      <c r="O13" s="7">
        <f>+[1]Resumen!O13*1000</f>
        <v>52708.387270000007</v>
      </c>
      <c r="P13" s="7">
        <f>+[1]Resumen!P13*1000</f>
        <v>57753.361693999999</v>
      </c>
      <c r="Q13" s="7">
        <f>+[1]Resumen!Q13*1000</f>
        <v>64349.86378800001</v>
      </c>
      <c r="R13" s="7">
        <f>+[1]Resumen!R13*1000</f>
        <v>68021.669939999992</v>
      </c>
      <c r="S13" s="7">
        <f>+[1]Resumen!S13*1000</f>
        <v>69884.282202000002</v>
      </c>
      <c r="T13" s="7">
        <f>+[1]Resumen!T13*1000</f>
        <v>69917.499567999999</v>
      </c>
      <c r="U13" s="7">
        <f>+[1]Resumen!U13*1000</f>
        <v>69112.838451999996</v>
      </c>
      <c r="V13" s="7">
        <f>+[1]Resumen!V13*1000</f>
        <v>68308.430609999996</v>
      </c>
      <c r="W13" s="7">
        <f>+[1]Resumen!W13*1000</f>
        <v>55972.002295999999</v>
      </c>
      <c r="X13" s="7">
        <f>+[1]Resumen!X13*1000</f>
        <v>61967.991735999996</v>
      </c>
      <c r="Y13" s="7">
        <f>+[1]Resumen!Y13*1000</f>
        <v>63778.583442000003</v>
      </c>
      <c r="Z13" s="7">
        <f>+[1]Resumen!Z13*1000</f>
        <v>59693.725868000001</v>
      </c>
      <c r="AA13" s="7">
        <f>+[1]Resumen!AA13*1000</f>
        <v>52338.270599999996</v>
      </c>
      <c r="AB13" s="7">
        <f>+[1]Resumen!AB13*1000</f>
        <v>41894.427442</v>
      </c>
      <c r="AC13" s="7">
        <f>+[1]Resumen!AC13*1000</f>
        <v>31295.461973999998</v>
      </c>
      <c r="AD13" s="65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+[1]Resumen!F14*1000</f>
        <v>0</v>
      </c>
      <c r="G14" s="7">
        <f>+[1]Resumen!G14*1000</f>
        <v>0</v>
      </c>
      <c r="H14" s="7">
        <f>+[1]Resumen!H14*1000</f>
        <v>0</v>
      </c>
      <c r="I14" s="7">
        <f>+[1]Resumen!I14*1000</f>
        <v>0</v>
      </c>
      <c r="J14" s="7">
        <f>+[1]Resumen!J14*1000</f>
        <v>0</v>
      </c>
      <c r="K14" s="7">
        <f>+[1]Resumen!K14*1000</f>
        <v>0</v>
      </c>
      <c r="L14" s="7">
        <f>+[1]Resumen!L14*1000</f>
        <v>0</v>
      </c>
      <c r="M14" s="7">
        <f>+[1]Resumen!M14*1000</f>
        <v>0</v>
      </c>
      <c r="N14" s="7">
        <f>+[1]Resumen!N14*1000</f>
        <v>0</v>
      </c>
      <c r="O14" s="7">
        <f>+[1]Resumen!O14*1000</f>
        <v>0</v>
      </c>
      <c r="P14" s="7">
        <f>+[1]Resumen!P14*1000</f>
        <v>0</v>
      </c>
      <c r="Q14" s="7">
        <f>+[1]Resumen!Q14*1000</f>
        <v>0</v>
      </c>
      <c r="R14" s="7">
        <f>+[1]Resumen!R14*1000</f>
        <v>0</v>
      </c>
      <c r="S14" s="7">
        <f>+[1]Resumen!S14*1000</f>
        <v>0</v>
      </c>
      <c r="T14" s="7">
        <f>+[1]Resumen!T14*1000</f>
        <v>0</v>
      </c>
      <c r="U14" s="7">
        <f>+[1]Resumen!U14*1000</f>
        <v>0</v>
      </c>
      <c r="V14" s="7">
        <f>+[1]Resumen!V14*1000</f>
        <v>0</v>
      </c>
      <c r="W14" s="7">
        <f>+[1]Resumen!W14*1000</f>
        <v>0</v>
      </c>
      <c r="X14" s="7">
        <f>+[1]Resumen!X14*1000</f>
        <v>0</v>
      </c>
      <c r="Y14" s="7">
        <f>+[1]Resumen!Y14*1000</f>
        <v>0</v>
      </c>
      <c r="Z14" s="7">
        <f>+[1]Resumen!Z14*1000</f>
        <v>0</v>
      </c>
      <c r="AA14" s="7">
        <f>+[1]Resumen!AA14*1000</f>
        <v>0</v>
      </c>
      <c r="AB14" s="7">
        <f>+[1]Resumen!AB14*1000</f>
        <v>0</v>
      </c>
      <c r="AC14" s="7">
        <f>+[1]Resumen!AC14*1000</f>
        <v>0</v>
      </c>
      <c r="AD14" s="66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+[1]Resumen!F15*1000</f>
        <v>45602.345977999998</v>
      </c>
      <c r="G15" s="7">
        <f>+[1]Resumen!G15*1000</f>
        <v>41466.932990000001</v>
      </c>
      <c r="H15" s="7">
        <f>+[1]Resumen!H15*1000</f>
        <v>39227.913886000002</v>
      </c>
      <c r="I15" s="7">
        <f>+[1]Resumen!I15*1000</f>
        <v>39154.496485999996</v>
      </c>
      <c r="J15" s="7">
        <f>+[1]Resumen!J15*1000</f>
        <v>43612.288803999996</v>
      </c>
      <c r="K15" s="7">
        <f>+[1]Resumen!K15*1000</f>
        <v>59705.132815999998</v>
      </c>
      <c r="L15" s="7">
        <f>+[1]Resumen!L15*1000</f>
        <v>68233.621805999996</v>
      </c>
      <c r="M15" s="7">
        <f>+[1]Resumen!M15*1000</f>
        <v>60892.728189999994</v>
      </c>
      <c r="N15" s="7">
        <f>+[1]Resumen!N15*1000</f>
        <v>64890.469125999996</v>
      </c>
      <c r="O15" s="7">
        <f>+[1]Resumen!O15*1000</f>
        <v>67200.552425999995</v>
      </c>
      <c r="P15" s="7">
        <f>+[1]Resumen!P15*1000</f>
        <v>73147.791429999997</v>
      </c>
      <c r="Q15" s="7">
        <f>+[1]Resumen!Q15*1000</f>
        <v>77484.663046000001</v>
      </c>
      <c r="R15" s="7">
        <f>+[1]Resumen!R15*1000</f>
        <v>77505.239153999995</v>
      </c>
      <c r="S15" s="7">
        <f>+[1]Resumen!S15*1000</f>
        <v>78203.800906000004</v>
      </c>
      <c r="T15" s="7">
        <f>+[1]Resumen!T15*1000</f>
        <v>81122.960085999992</v>
      </c>
      <c r="U15" s="7">
        <f>+[1]Resumen!U15*1000</f>
        <v>81482.272536000004</v>
      </c>
      <c r="V15" s="7">
        <f>+[1]Resumen!V15*1000</f>
        <v>79349.920257999998</v>
      </c>
      <c r="W15" s="7">
        <f>+[1]Resumen!W15*1000</f>
        <v>63817.052235999996</v>
      </c>
      <c r="X15" s="7">
        <f>+[1]Resumen!X15*1000</f>
        <v>66669.177161999993</v>
      </c>
      <c r="Y15" s="7">
        <f>+[1]Resumen!Y15*1000</f>
        <v>68473.805708</v>
      </c>
      <c r="Z15" s="7">
        <f>+[1]Resumen!Z15*1000</f>
        <v>62968.523421999998</v>
      </c>
      <c r="AA15" s="7">
        <f>+[1]Resumen!AA15*1000</f>
        <v>53998.478464</v>
      </c>
      <c r="AB15" s="7">
        <f>+[1]Resumen!AB15*1000</f>
        <v>41820.077096000001</v>
      </c>
      <c r="AC15" s="7">
        <f>+[1]Resumen!AC15*1000</f>
        <v>35670.821619999995</v>
      </c>
      <c r="AD15" s="64">
        <f t="shared" ref="AD15" si="0">SUM(F15:AC15)*E15+SUM(F16:AC16)*E16+SUM(F17:AC17)*E17+SUM(F18:AC18)*E18</f>
        <v>43700782.191373996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+[1]Resumen!F16*1000</f>
        <v>45253.642182000003</v>
      </c>
      <c r="G16" s="7">
        <f>+[1]Resumen!G16*1000</f>
        <v>40768.024989999998</v>
      </c>
      <c r="H16" s="7">
        <f>+[1]Resumen!H16*1000</f>
        <v>37631.079023999999</v>
      </c>
      <c r="I16" s="7">
        <f>+[1]Resumen!I16*1000</f>
        <v>36806.181636000001</v>
      </c>
      <c r="J16" s="7">
        <f>+[1]Resumen!J16*1000</f>
        <v>39701.956251999996</v>
      </c>
      <c r="K16" s="7">
        <f>+[1]Resumen!K16*1000</f>
        <v>45895.300639999994</v>
      </c>
      <c r="L16" s="7">
        <f>+[1]Resumen!L16*1000</f>
        <v>53515.619597999997</v>
      </c>
      <c r="M16" s="7">
        <f>+[1]Resumen!M16*1000</f>
        <v>54207.198682000002</v>
      </c>
      <c r="N16" s="7">
        <f>+[1]Resumen!N16*1000</f>
        <v>61302.554376</v>
      </c>
      <c r="O16" s="7">
        <f>+[1]Resumen!O16*1000</f>
        <v>66251.96435200001</v>
      </c>
      <c r="P16" s="7">
        <f>+[1]Resumen!P16*1000</f>
        <v>71176.800338000001</v>
      </c>
      <c r="Q16" s="7">
        <f>+[1]Resumen!Q16*1000</f>
        <v>74670.199002000008</v>
      </c>
      <c r="R16" s="7">
        <f>+[1]Resumen!R16*1000</f>
        <v>74025.927653999999</v>
      </c>
      <c r="S16" s="7">
        <f>+[1]Resumen!S16*1000</f>
        <v>74044.089643999992</v>
      </c>
      <c r="T16" s="7">
        <f>+[1]Resumen!T16*1000</f>
        <v>74161.134292000002</v>
      </c>
      <c r="U16" s="7">
        <f>+[1]Resumen!U16*1000</f>
        <v>73645.048441999999</v>
      </c>
      <c r="V16" s="7">
        <f>+[1]Resumen!V16*1000</f>
        <v>73119.581835999998</v>
      </c>
      <c r="W16" s="7">
        <f>+[1]Resumen!W16*1000</f>
        <v>61436.565175999996</v>
      </c>
      <c r="X16" s="7">
        <f>+[1]Resumen!X16*1000</f>
        <v>64471.755908000006</v>
      </c>
      <c r="Y16" s="7">
        <f>+[1]Resumen!Y16*1000</f>
        <v>64316.495739999991</v>
      </c>
      <c r="Z16" s="7">
        <f>+[1]Resumen!Z16*1000</f>
        <v>60102.054852000001</v>
      </c>
      <c r="AA16" s="7">
        <f>+[1]Resumen!AA16*1000</f>
        <v>53856.792499999996</v>
      </c>
      <c r="AB16" s="7">
        <f>+[1]Resumen!AB16*1000</f>
        <v>44844.684821999996</v>
      </c>
      <c r="AC16" s="7">
        <f>+[1]Resumen!AC16*1000</f>
        <v>36579.392401999998</v>
      </c>
      <c r="AD16" s="65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+[1]Resumen!F17*1000</f>
        <v>45724.074592000004</v>
      </c>
      <c r="G17" s="7">
        <f>+[1]Resumen!G17*1000</f>
        <v>40525.568033999996</v>
      </c>
      <c r="H17" s="7">
        <f>+[1]Resumen!H17*1000</f>
        <v>36643.448281999998</v>
      </c>
      <c r="I17" s="7">
        <f>+[1]Resumen!I17*1000</f>
        <v>34812.527329999997</v>
      </c>
      <c r="J17" s="7">
        <f>+[1]Resumen!J17*1000</f>
        <v>34871.136215999999</v>
      </c>
      <c r="K17" s="7">
        <f>+[1]Resumen!K17*1000</f>
        <v>36515.980928000004</v>
      </c>
      <c r="L17" s="7">
        <f>+[1]Resumen!L17*1000</f>
        <v>39098.910857999996</v>
      </c>
      <c r="M17" s="7">
        <f>+[1]Resumen!M17*1000</f>
        <v>36423.933462000001</v>
      </c>
      <c r="N17" s="7">
        <f>+[1]Resumen!N17*1000</f>
        <v>42083.927689999997</v>
      </c>
      <c r="O17" s="7">
        <f>+[1]Resumen!O17*1000</f>
        <v>45445.268007999999</v>
      </c>
      <c r="P17" s="7">
        <f>+[1]Resumen!P17*1000</f>
        <v>49610.830220000003</v>
      </c>
      <c r="Q17" s="7">
        <f>+[1]Resumen!Q17*1000</f>
        <v>54475.832628000004</v>
      </c>
      <c r="R17" s="7">
        <f>+[1]Resumen!R17*1000</f>
        <v>58326.674643999999</v>
      </c>
      <c r="S17" s="7">
        <f>+[1]Resumen!S17*1000</f>
        <v>60828.457508</v>
      </c>
      <c r="T17" s="7">
        <f>+[1]Resumen!T17*1000</f>
        <v>61674.075274000003</v>
      </c>
      <c r="U17" s="7">
        <f>+[1]Resumen!U17*1000</f>
        <v>62419.560042000005</v>
      </c>
      <c r="V17" s="7">
        <f>+[1]Resumen!V17*1000</f>
        <v>61721.148971999995</v>
      </c>
      <c r="W17" s="7">
        <f>+[1]Resumen!W17*1000</f>
        <v>48959.572997999996</v>
      </c>
      <c r="X17" s="7">
        <f>+[1]Resumen!X17*1000</f>
        <v>54752.907972000001</v>
      </c>
      <c r="Y17" s="7">
        <f>+[1]Resumen!Y17*1000</f>
        <v>57362.386788000003</v>
      </c>
      <c r="Z17" s="7">
        <f>+[1]Resumen!Z17*1000</f>
        <v>54869.333861999999</v>
      </c>
      <c r="AA17" s="7">
        <f>+[1]Resumen!AA17*1000</f>
        <v>48563.250484000004</v>
      </c>
      <c r="AB17" s="7">
        <f>+[1]Resumen!AB17*1000</f>
        <v>39357.679942000002</v>
      </c>
      <c r="AC17" s="7">
        <f>+[1]Resumen!AC17*1000</f>
        <v>29297.069199999998</v>
      </c>
      <c r="AD17" s="65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3</v>
      </c>
      <c r="F18" s="7">
        <f>+[1]Resumen!F18*1000</f>
        <v>55146.742629999993</v>
      </c>
      <c r="G18" s="7">
        <f>+[1]Resumen!G18*1000</f>
        <v>50360.434697999997</v>
      </c>
      <c r="H18" s="7">
        <f>+[1]Resumen!H18*1000</f>
        <v>46653.285602000004</v>
      </c>
      <c r="I18" s="7">
        <f>+[1]Resumen!I18*1000</f>
        <v>44435.099086000002</v>
      </c>
      <c r="J18" s="7">
        <f>+[1]Resumen!J18*1000</f>
        <v>45416.321034000001</v>
      </c>
      <c r="K18" s="7">
        <f>+[1]Resumen!K18*1000</f>
        <v>46842.984621999996</v>
      </c>
      <c r="L18" s="7">
        <f>+[1]Resumen!L18*1000</f>
        <v>48659.542693999996</v>
      </c>
      <c r="M18" s="7">
        <f>+[1]Resumen!M18*1000</f>
        <v>46812.925165999994</v>
      </c>
      <c r="N18" s="7">
        <f>+[1]Resumen!N18*1000</f>
        <v>51455.222784000005</v>
      </c>
      <c r="O18" s="7">
        <f>+[1]Resumen!O18*1000</f>
        <v>56715.508961999993</v>
      </c>
      <c r="P18" s="7">
        <f>+[1]Resumen!P18*1000</f>
        <v>61439.617288000001</v>
      </c>
      <c r="Q18" s="7">
        <f>+[1]Resumen!Q18*1000</f>
        <v>68595.348374000008</v>
      </c>
      <c r="R18" s="7">
        <f>+[1]Resumen!R18*1000</f>
        <v>71429.211924000003</v>
      </c>
      <c r="S18" s="7">
        <f>+[1]Resumen!S18*1000</f>
        <v>71643.263720000003</v>
      </c>
      <c r="T18" s="7">
        <f>+[1]Resumen!T18*1000</f>
        <v>71131.284756000008</v>
      </c>
      <c r="U18" s="7">
        <f>+[1]Resumen!U18*1000</f>
        <v>70301.818818</v>
      </c>
      <c r="V18" s="7">
        <f>+[1]Resumen!V18*1000</f>
        <v>71103.065543999997</v>
      </c>
      <c r="W18" s="7">
        <f>+[1]Resumen!W18*1000</f>
        <v>57311.539627999999</v>
      </c>
      <c r="X18" s="7">
        <f>+[1]Resumen!X18*1000</f>
        <v>65431.042403999993</v>
      </c>
      <c r="Y18" s="7">
        <f>+[1]Resumen!Y18*1000</f>
        <v>73557.159157999995</v>
      </c>
      <c r="Z18" s="7">
        <f>+[1]Resumen!Z18*1000</f>
        <v>69596.418667999998</v>
      </c>
      <c r="AA18" s="7">
        <f>+[1]Resumen!AA18*1000</f>
        <v>62349.874425999995</v>
      </c>
      <c r="AB18" s="7">
        <f>+[1]Resumen!AB18*1000</f>
        <v>52577.611324000005</v>
      </c>
      <c r="AC18" s="7">
        <f>+[1]Resumen!AC18*1000</f>
        <v>41758.169236000002</v>
      </c>
      <c r="AD18" s="66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22</v>
      </c>
      <c r="F19" s="7">
        <f>+[1]Resumen!F19*1000</f>
        <v>43311.264640000001</v>
      </c>
      <c r="G19" s="7">
        <f>+[1]Resumen!G19*1000</f>
        <v>38703.287252000002</v>
      </c>
      <c r="H19" s="7">
        <f>+[1]Resumen!H19*1000</f>
        <v>36360.717553999995</v>
      </c>
      <c r="I19" s="7">
        <f>+[1]Resumen!I19*1000</f>
        <v>36297.043187999996</v>
      </c>
      <c r="J19" s="7">
        <f>+[1]Resumen!J19*1000</f>
        <v>40587.588103999995</v>
      </c>
      <c r="K19" s="7">
        <f>+[1]Resumen!K19*1000</f>
        <v>55183.9162</v>
      </c>
      <c r="L19" s="7">
        <f>+[1]Resumen!L19*1000</f>
        <v>64184.648990000002</v>
      </c>
      <c r="M19" s="7">
        <f>+[1]Resumen!M19*1000</f>
        <v>57676.654938</v>
      </c>
      <c r="N19" s="7">
        <f>+[1]Resumen!N19*1000</f>
        <v>61946.296734000003</v>
      </c>
      <c r="O19" s="7">
        <f>+[1]Resumen!O19*1000</f>
        <v>64674.782270000011</v>
      </c>
      <c r="P19" s="7">
        <f>+[1]Resumen!P19*1000</f>
        <v>71185.559129999994</v>
      </c>
      <c r="Q19" s="7">
        <f>+[1]Resumen!Q19*1000</f>
        <v>76025.150781999997</v>
      </c>
      <c r="R19" s="7">
        <f>+[1]Resumen!R19*1000</f>
        <v>76504.745939999993</v>
      </c>
      <c r="S19" s="7">
        <f>+[1]Resumen!S19*1000</f>
        <v>77140.197581999993</v>
      </c>
      <c r="T19" s="7">
        <f>+[1]Resumen!T19*1000</f>
        <v>80408.563899999994</v>
      </c>
      <c r="U19" s="7">
        <f>+[1]Resumen!U19*1000</f>
        <v>81688.91847199999</v>
      </c>
      <c r="V19" s="7">
        <f>+[1]Resumen!V19*1000</f>
        <v>79907.360302000001</v>
      </c>
      <c r="W19" s="7">
        <f>+[1]Resumen!W19*1000</f>
        <v>65451.891021999996</v>
      </c>
      <c r="X19" s="7">
        <f>+[1]Resumen!X19*1000</f>
        <v>68757.62647599999</v>
      </c>
      <c r="Y19" s="7">
        <f>+[1]Resumen!Y19*1000</f>
        <v>69393.680846000003</v>
      </c>
      <c r="Z19" s="7">
        <f>+[1]Resumen!Z19*1000</f>
        <v>64039.888471999999</v>
      </c>
      <c r="AA19" s="7">
        <f>+[1]Resumen!AA19*1000</f>
        <v>55380.286906000001</v>
      </c>
      <c r="AB19" s="7">
        <f>+[1]Resumen!AB19*1000</f>
        <v>43567.869674000001</v>
      </c>
      <c r="AC19" s="7">
        <f>+[1]Resumen!AC19*1000</f>
        <v>35318.174444000004</v>
      </c>
      <c r="AD19" s="64">
        <f t="shared" ref="AD19" si="1">SUM(F19:AC19)*E19+SUM(F20:AC20)*E20+SUM(F21:AC21)*E21+SUM(F22:AC22)*E22</f>
        <v>41482287.876931995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+[1]Resumen!F20*1000</f>
        <v>43895.660731999997</v>
      </c>
      <c r="G20" s="7">
        <f>+[1]Resumen!G20*1000</f>
        <v>38220.973405999997</v>
      </c>
      <c r="H20" s="7">
        <f>+[1]Resumen!H20*1000</f>
        <v>34897.797312000002</v>
      </c>
      <c r="I20" s="7">
        <f>+[1]Resumen!I20*1000</f>
        <v>34246.014305999997</v>
      </c>
      <c r="J20" s="7">
        <f>+[1]Resumen!J20*1000</f>
        <v>36382.556826</v>
      </c>
      <c r="K20" s="7">
        <f>+[1]Resumen!K20*1000</f>
        <v>41827.771496000001</v>
      </c>
      <c r="L20" s="7">
        <f>+[1]Resumen!L20*1000</f>
        <v>49866.973589999994</v>
      </c>
      <c r="M20" s="7">
        <f>+[1]Resumen!M20*1000</f>
        <v>49003.197039999999</v>
      </c>
      <c r="N20" s="7">
        <f>+[1]Resumen!N20*1000</f>
        <v>56102.480084000003</v>
      </c>
      <c r="O20" s="7">
        <f>+[1]Resumen!O20*1000</f>
        <v>60981.367678000002</v>
      </c>
      <c r="P20" s="7">
        <f>+[1]Resumen!P20*1000</f>
        <v>64545.471465999995</v>
      </c>
      <c r="Q20" s="7">
        <f>+[1]Resumen!Q20*1000</f>
        <v>66857.369361999998</v>
      </c>
      <c r="R20" s="7">
        <f>+[1]Resumen!R20*1000</f>
        <v>66383.788660000006</v>
      </c>
      <c r="S20" s="7">
        <f>+[1]Resumen!S20*1000</f>
        <v>67513.371463999996</v>
      </c>
      <c r="T20" s="7">
        <f>+[1]Resumen!T20*1000</f>
        <v>69011.445496</v>
      </c>
      <c r="U20" s="7">
        <f>+[1]Resumen!U20*1000</f>
        <v>70743.878127999997</v>
      </c>
      <c r="V20" s="7">
        <f>+[1]Resumen!V20*1000</f>
        <v>72485.624190000002</v>
      </c>
      <c r="W20" s="7">
        <f>+[1]Resumen!W20*1000</f>
        <v>60725.451934000004</v>
      </c>
      <c r="X20" s="7">
        <f>+[1]Resumen!X20*1000</f>
        <v>64440.298635999992</v>
      </c>
      <c r="Y20" s="7">
        <f>+[1]Resumen!Y20*1000</f>
        <v>63995.822002000001</v>
      </c>
      <c r="Z20" s="7">
        <f>+[1]Resumen!Z20*1000</f>
        <v>58557.920217999999</v>
      </c>
      <c r="AA20" s="7">
        <f>+[1]Resumen!AA20*1000</f>
        <v>51721.939542</v>
      </c>
      <c r="AB20" s="7">
        <f>+[1]Resumen!AB20*1000</f>
        <v>43696.850259999999</v>
      </c>
      <c r="AC20" s="7">
        <f>+[1]Resumen!AC20*1000</f>
        <v>35372.054479999999</v>
      </c>
      <c r="AD20" s="65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+[1]Resumen!F21*1000</f>
        <v>46190.900252000007</v>
      </c>
      <c r="G21" s="7">
        <f>+[1]Resumen!G21*1000</f>
        <v>40514.872817999996</v>
      </c>
      <c r="H21" s="7">
        <f>+[1]Resumen!H21*1000</f>
        <v>36603.729147999999</v>
      </c>
      <c r="I21" s="7">
        <f>+[1]Resumen!I21*1000</f>
        <v>34919.992449999998</v>
      </c>
      <c r="J21" s="7">
        <f>+[1]Resumen!J21*1000</f>
        <v>35186.362959999999</v>
      </c>
      <c r="K21" s="7">
        <f>+[1]Resumen!K21*1000</f>
        <v>36157.014726000001</v>
      </c>
      <c r="L21" s="7">
        <f>+[1]Resumen!L21*1000</f>
        <v>40405.250059999998</v>
      </c>
      <c r="M21" s="7">
        <f>+[1]Resumen!M21*1000</f>
        <v>38010.445004000001</v>
      </c>
      <c r="N21" s="7">
        <f>+[1]Resumen!N21*1000</f>
        <v>43765.003407999997</v>
      </c>
      <c r="O21" s="7">
        <f>+[1]Resumen!O21*1000</f>
        <v>47921.691411999993</v>
      </c>
      <c r="P21" s="7">
        <f>+[1]Resumen!P21*1000</f>
        <v>50842.501682000002</v>
      </c>
      <c r="Q21" s="7">
        <f>+[1]Resumen!Q21*1000</f>
        <v>54097.614395999997</v>
      </c>
      <c r="R21" s="7">
        <f>+[1]Resumen!R21*1000</f>
        <v>56127.175902000003</v>
      </c>
      <c r="S21" s="7">
        <f>+[1]Resumen!S21*1000</f>
        <v>58672.573189999996</v>
      </c>
      <c r="T21" s="7">
        <f>+[1]Resumen!T21*1000</f>
        <v>60861.838379999994</v>
      </c>
      <c r="U21" s="7">
        <f>+[1]Resumen!U21*1000</f>
        <v>62071.324322</v>
      </c>
      <c r="V21" s="7">
        <f>+[1]Resumen!V21*1000</f>
        <v>62243.749413999998</v>
      </c>
      <c r="W21" s="7">
        <f>+[1]Resumen!W21*1000</f>
        <v>51172.081688000006</v>
      </c>
      <c r="X21" s="7">
        <f>+[1]Resumen!X21*1000</f>
        <v>54973.730839999997</v>
      </c>
      <c r="Y21" s="7">
        <f>+[1]Resumen!Y21*1000</f>
        <v>55414.623165999998</v>
      </c>
      <c r="Z21" s="7">
        <f>+[1]Resumen!Z21*1000</f>
        <v>52550.924579999999</v>
      </c>
      <c r="AA21" s="7">
        <f>+[1]Resumen!AA21*1000</f>
        <v>46251.092902000004</v>
      </c>
      <c r="AB21" s="7">
        <f>+[1]Resumen!AB21*1000</f>
        <v>37010.810998000001</v>
      </c>
      <c r="AC21" s="7">
        <f>+[1]Resumen!AC21*1000</f>
        <v>26801.961228</v>
      </c>
      <c r="AD21" s="65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0</v>
      </c>
      <c r="F22" s="7">
        <f>+[1]Resumen!F22*1000</f>
        <v>109560.77319599999</v>
      </c>
      <c r="G22" s="7">
        <f>+[1]Resumen!G22*1000</f>
        <v>101670.19164399999</v>
      </c>
      <c r="H22" s="7">
        <f>+[1]Resumen!H22*1000</f>
        <v>96208.357069999998</v>
      </c>
      <c r="I22" s="7">
        <f>+[1]Resumen!I22*1000</f>
        <v>93669.423078000007</v>
      </c>
      <c r="J22" s="7">
        <f>+[1]Resumen!J22*1000</f>
        <v>94584.784168000013</v>
      </c>
      <c r="K22" s="7">
        <f>+[1]Resumen!K22*1000</f>
        <v>96366.15318400001</v>
      </c>
      <c r="L22" s="7">
        <f>+[1]Resumen!L22*1000</f>
        <v>99747.088573999994</v>
      </c>
      <c r="M22" s="7">
        <f>+[1]Resumen!M22*1000</f>
        <v>96639.560863999999</v>
      </c>
      <c r="N22" s="7">
        <f>+[1]Resumen!N22*1000</f>
        <v>103692.94039999999</v>
      </c>
      <c r="O22" s="7">
        <f>+[1]Resumen!O22*1000</f>
        <v>106343.59707999999</v>
      </c>
      <c r="P22" s="7">
        <f>+[1]Resumen!P22*1000</f>
        <v>106693.826932</v>
      </c>
      <c r="Q22" s="7">
        <f>+[1]Resumen!Q22*1000</f>
        <v>114271.99019599998</v>
      </c>
      <c r="R22" s="7">
        <f>+[1]Resumen!R22*1000</f>
        <v>121812.935006</v>
      </c>
      <c r="S22" s="7">
        <f>+[1]Resumen!S22*1000</f>
        <v>122716.07802999999</v>
      </c>
      <c r="T22" s="7">
        <f>+[1]Resumen!T22*1000</f>
        <v>123139.100112</v>
      </c>
      <c r="U22" s="7">
        <f>+[1]Resumen!U22*1000</f>
        <v>123622.90795400001</v>
      </c>
      <c r="V22" s="7">
        <f>+[1]Resumen!V22*1000</f>
        <v>125793.639258</v>
      </c>
      <c r="W22" s="7">
        <f>+[1]Resumen!W22*1000</f>
        <v>115713.423826</v>
      </c>
      <c r="X22" s="7">
        <f>+[1]Resumen!X22*1000</f>
        <v>124350.500036</v>
      </c>
      <c r="Y22" s="7">
        <f>+[1]Resumen!Y22*1000</f>
        <v>126104.29424599999</v>
      </c>
      <c r="Z22" s="7">
        <f>+[1]Resumen!Z22*1000</f>
        <v>119454.300042</v>
      </c>
      <c r="AA22" s="7">
        <f>+[1]Resumen!AA22*1000</f>
        <v>114453.340792</v>
      </c>
      <c r="AB22" s="7">
        <f>+[1]Resumen!AB22*1000</f>
        <v>109189.717168</v>
      </c>
      <c r="AC22" s="7">
        <f>+[1]Resumen!AC22*1000</f>
        <v>97455.208941999997</v>
      </c>
      <c r="AD22" s="66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19</v>
      </c>
      <c r="F23" s="7">
        <f>+[1]Resumen!F23*1000</f>
        <v>35141.334689999996</v>
      </c>
      <c r="G23" s="7">
        <f>+[1]Resumen!G23*1000</f>
        <v>30280.099332000002</v>
      </c>
      <c r="H23" s="7">
        <f>+[1]Resumen!H23*1000</f>
        <v>27902.654766</v>
      </c>
      <c r="I23" s="7">
        <f>+[1]Resumen!I23*1000</f>
        <v>27853.923566000001</v>
      </c>
      <c r="J23" s="7">
        <f>+[1]Resumen!J23*1000</f>
        <v>32039.680371999999</v>
      </c>
      <c r="K23" s="7">
        <f>+[1]Resumen!K23*1000</f>
        <v>48139.891771999995</v>
      </c>
      <c r="L23" s="7">
        <f>+[1]Resumen!L23*1000</f>
        <v>57437.856028000002</v>
      </c>
      <c r="M23" s="7">
        <f>+[1]Resumen!M23*1000</f>
        <v>51729.976984000001</v>
      </c>
      <c r="N23" s="7">
        <f>+[1]Resumen!N23*1000</f>
        <v>54766.443703999998</v>
      </c>
      <c r="O23" s="7">
        <f>+[1]Resumen!O23*1000</f>
        <v>56733.186845999997</v>
      </c>
      <c r="P23" s="7">
        <f>+[1]Resumen!P23*1000</f>
        <v>63370.834744</v>
      </c>
      <c r="Q23" s="7">
        <f>+[1]Resumen!Q23*1000</f>
        <v>68438.905192000006</v>
      </c>
      <c r="R23" s="7">
        <f>+[1]Resumen!R23*1000</f>
        <v>67700.031195999996</v>
      </c>
      <c r="S23" s="7">
        <f>+[1]Resumen!S23*1000</f>
        <v>67589.731971999994</v>
      </c>
      <c r="T23" s="7">
        <f>+[1]Resumen!T23*1000</f>
        <v>70538.960225999996</v>
      </c>
      <c r="U23" s="7">
        <f>+[1]Resumen!U23*1000</f>
        <v>72648.854474000007</v>
      </c>
      <c r="V23" s="7">
        <f>+[1]Resumen!V23*1000</f>
        <v>70397.582038000008</v>
      </c>
      <c r="W23" s="7">
        <f>+[1]Resumen!W23*1000</f>
        <v>54114.035528</v>
      </c>
      <c r="X23" s="7">
        <f>+[1]Resumen!X23*1000</f>
        <v>57823.569888000005</v>
      </c>
      <c r="Y23" s="7">
        <f>+[1]Resumen!Y23*1000</f>
        <v>59830.529093999998</v>
      </c>
      <c r="Z23" s="7">
        <f>+[1]Resumen!Z23*1000</f>
        <v>54493.061671999996</v>
      </c>
      <c r="AA23" s="7">
        <f>+[1]Resumen!AA23*1000</f>
        <v>46498.403742000002</v>
      </c>
      <c r="AB23" s="7">
        <f>+[1]Resumen!AB23*1000</f>
        <v>34719.582183999999</v>
      </c>
      <c r="AC23" s="7">
        <f>+[1]Resumen!AC23*1000</f>
        <v>26797.937698000002</v>
      </c>
      <c r="AD23" s="64">
        <f t="shared" ref="AD23" si="2">SUM(F23:AC23)*E23+SUM(F24:AC24)*E24+SUM(F25:AC25)*E25+SUM(F26:AC26)*E26</f>
        <v>34680250.754785992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+[1]Resumen!F24*1000</f>
        <v>35875.082291999999</v>
      </c>
      <c r="G24" s="7">
        <f>+[1]Resumen!G24*1000</f>
        <v>30677.377234</v>
      </c>
      <c r="H24" s="7">
        <f>+[1]Resumen!H24*1000</f>
        <v>27558.144418</v>
      </c>
      <c r="I24" s="7">
        <f>+[1]Resumen!I24*1000</f>
        <v>25987.252507999998</v>
      </c>
      <c r="J24" s="7">
        <f>+[1]Resumen!J24*1000</f>
        <v>26518.698303999998</v>
      </c>
      <c r="K24" s="7">
        <f>+[1]Resumen!K24*1000</f>
        <v>29782.980178000002</v>
      </c>
      <c r="L24" s="7">
        <f>+[1]Resumen!L24*1000</f>
        <v>37368.4948</v>
      </c>
      <c r="M24" s="7">
        <f>+[1]Resumen!M24*1000</f>
        <v>37782.296426000001</v>
      </c>
      <c r="N24" s="7">
        <f>+[1]Resumen!N24*1000</f>
        <v>46782.285424000002</v>
      </c>
      <c r="O24" s="7">
        <f>+[1]Resumen!O24*1000</f>
        <v>51792.166971999999</v>
      </c>
      <c r="P24" s="7">
        <f>+[1]Resumen!P24*1000</f>
        <v>56642.995653999998</v>
      </c>
      <c r="Q24" s="7">
        <f>+[1]Resumen!Q24*1000</f>
        <v>59381.477497999993</v>
      </c>
      <c r="R24" s="7">
        <f>+[1]Resumen!R24*1000</f>
        <v>57771.546125999994</v>
      </c>
      <c r="S24" s="7">
        <f>+[1]Resumen!S24*1000</f>
        <v>56490.97034</v>
      </c>
      <c r="T24" s="7">
        <f>+[1]Resumen!T24*1000</f>
        <v>56575.057307999996</v>
      </c>
      <c r="U24" s="7">
        <f>+[1]Resumen!U24*1000</f>
        <v>56709.000782000003</v>
      </c>
      <c r="V24" s="7">
        <f>+[1]Resumen!V24*1000</f>
        <v>56706.884822</v>
      </c>
      <c r="W24" s="7">
        <f>+[1]Resumen!W24*1000</f>
        <v>44875.100143999996</v>
      </c>
      <c r="X24" s="7">
        <f>+[1]Resumen!X24*1000</f>
        <v>48751.449096000004</v>
      </c>
      <c r="Y24" s="7">
        <f>+[1]Resumen!Y24*1000</f>
        <v>51064.097196000002</v>
      </c>
      <c r="Z24" s="7">
        <f>+[1]Resumen!Z24*1000</f>
        <v>47393.756185999999</v>
      </c>
      <c r="AA24" s="7">
        <f>+[1]Resumen!AA24*1000</f>
        <v>42667.894178000002</v>
      </c>
      <c r="AB24" s="7">
        <f>+[1]Resumen!AB24*1000</f>
        <v>35761.888050000001</v>
      </c>
      <c r="AC24" s="7">
        <f>+[1]Resumen!AC24*1000</f>
        <v>27114.648819999999</v>
      </c>
      <c r="AD24" s="65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5</v>
      </c>
      <c r="F25" s="7">
        <f>+[1]Resumen!F25*1000</f>
        <v>36190.600782000001</v>
      </c>
      <c r="G25" s="7">
        <f>+[1]Resumen!G25*1000</f>
        <v>31603.936882000002</v>
      </c>
      <c r="H25" s="7">
        <f>+[1]Resumen!H25*1000</f>
        <v>26553.695</v>
      </c>
      <c r="I25" s="7">
        <f>+[1]Resumen!I25*1000</f>
        <v>23001.039837999997</v>
      </c>
      <c r="J25" s="7">
        <f>+[1]Resumen!J25*1000</f>
        <v>20853.917517999998</v>
      </c>
      <c r="K25" s="7">
        <f>+[1]Resumen!K25*1000</f>
        <v>19530.243473999999</v>
      </c>
      <c r="L25" s="7">
        <f>+[1]Resumen!L25*1000</f>
        <v>20795.635643999998</v>
      </c>
      <c r="M25" s="7">
        <f>+[1]Resumen!M25*1000</f>
        <v>18495.821162</v>
      </c>
      <c r="N25" s="7">
        <f>+[1]Resumen!N25*1000</f>
        <v>25668.951210000003</v>
      </c>
      <c r="O25" s="7">
        <f>+[1]Resumen!O25*1000</f>
        <v>30664.877039999999</v>
      </c>
      <c r="P25" s="7">
        <f>+[1]Resumen!P25*1000</f>
        <v>35658.625996000002</v>
      </c>
      <c r="Q25" s="7">
        <f>+[1]Resumen!Q25*1000</f>
        <v>41596.452184000002</v>
      </c>
      <c r="R25" s="7">
        <f>+[1]Resumen!R25*1000</f>
        <v>44809.354702000004</v>
      </c>
      <c r="S25" s="7">
        <f>+[1]Resumen!S25*1000</f>
        <v>45461.003056000001</v>
      </c>
      <c r="T25" s="7">
        <f>+[1]Resumen!T25*1000</f>
        <v>42668.548202000005</v>
      </c>
      <c r="U25" s="7">
        <f>+[1]Resumen!U25*1000</f>
        <v>44734.728640000001</v>
      </c>
      <c r="V25" s="7">
        <f>+[1]Resumen!V25*1000</f>
        <v>44521.853446000001</v>
      </c>
      <c r="W25" s="7">
        <f>+[1]Resumen!W25*1000</f>
        <v>32755.342928000005</v>
      </c>
      <c r="X25" s="7">
        <f>+[1]Resumen!X25*1000</f>
        <v>39224.957953999998</v>
      </c>
      <c r="Y25" s="7">
        <f>+[1]Resumen!Y25*1000</f>
        <v>44328.44829</v>
      </c>
      <c r="Z25" s="7">
        <f>+[1]Resumen!Z25*1000</f>
        <v>41385.827601999998</v>
      </c>
      <c r="AA25" s="7">
        <f>+[1]Resumen!AA25*1000</f>
        <v>36204.325667999998</v>
      </c>
      <c r="AB25" s="7">
        <f>+[1]Resumen!AB25*1000</f>
        <v>27447.296967999999</v>
      </c>
      <c r="AC25" s="7">
        <f>+[1]Resumen!AC25*1000</f>
        <v>16825.607372000002</v>
      </c>
      <c r="AD25" s="65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3</v>
      </c>
      <c r="F26" s="7">
        <f>+[1]Resumen!F26*1000</f>
        <v>32618.042771999997</v>
      </c>
      <c r="G26" s="7">
        <f>+[1]Resumen!G26*1000</f>
        <v>27665.577478000003</v>
      </c>
      <c r="H26" s="7">
        <f>+[1]Resumen!H26*1000</f>
        <v>24793.389403999998</v>
      </c>
      <c r="I26" s="7">
        <f>+[1]Resumen!I26*1000</f>
        <v>23586.465055999997</v>
      </c>
      <c r="J26" s="7">
        <f>+[1]Resumen!J26*1000</f>
        <v>27113.975560000003</v>
      </c>
      <c r="K26" s="7">
        <f>+[1]Resumen!K26*1000</f>
        <v>33972.872724000001</v>
      </c>
      <c r="L26" s="7">
        <f>+[1]Resumen!L26*1000</f>
        <v>37259.679953999999</v>
      </c>
      <c r="M26" s="7">
        <f>+[1]Resumen!M26*1000</f>
        <v>34230.955723999999</v>
      </c>
      <c r="N26" s="7">
        <f>+[1]Resumen!N26*1000</f>
        <v>40459.594965999997</v>
      </c>
      <c r="O26" s="7">
        <f>+[1]Resumen!O26*1000</f>
        <v>44293.733721999997</v>
      </c>
      <c r="P26" s="7">
        <f>+[1]Resumen!P26*1000</f>
        <v>51504.521445999999</v>
      </c>
      <c r="Q26" s="7">
        <f>+[1]Resumen!Q26*1000</f>
        <v>56981.222242000003</v>
      </c>
      <c r="R26" s="7">
        <f>+[1]Resumen!R26*1000</f>
        <v>61873.433971999999</v>
      </c>
      <c r="S26" s="7">
        <f>+[1]Resumen!S26*1000</f>
        <v>61179.161847999996</v>
      </c>
      <c r="T26" s="7">
        <f>+[1]Resumen!T26*1000</f>
        <v>59513.151124000004</v>
      </c>
      <c r="U26" s="7">
        <f>+[1]Resumen!U26*1000</f>
        <v>55665.608081999999</v>
      </c>
      <c r="V26" s="7">
        <f>+[1]Resumen!V26*1000</f>
        <v>55963.676313999997</v>
      </c>
      <c r="W26" s="7">
        <f>+[1]Resumen!W26*1000</f>
        <v>47108.521571999998</v>
      </c>
      <c r="X26" s="7">
        <f>+[1]Resumen!X26*1000</f>
        <v>51232.864242000003</v>
      </c>
      <c r="Y26" s="7">
        <f>+[1]Resumen!Y26*1000</f>
        <v>52074.612365999994</v>
      </c>
      <c r="Z26" s="7">
        <f>+[1]Resumen!Z26*1000</f>
        <v>46064.596675999994</v>
      </c>
      <c r="AA26" s="7">
        <f>+[1]Resumen!AA26*1000</f>
        <v>39438.015889999995</v>
      </c>
      <c r="AB26" s="7">
        <f>+[1]Resumen!AB26*1000</f>
        <v>30184.909985999999</v>
      </c>
      <c r="AC26" s="7">
        <f>+[1]Resumen!AC26*1000</f>
        <v>15376.360719999999</v>
      </c>
      <c r="AD26" s="66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21</v>
      </c>
      <c r="F27" s="7">
        <f>+[1]Resumen!F27*1000</f>
        <v>28325.183123999999</v>
      </c>
      <c r="G27" s="7">
        <f>+[1]Resumen!G27*1000</f>
        <v>23892.429666</v>
      </c>
      <c r="H27" s="7">
        <f>+[1]Resumen!H27*1000</f>
        <v>21602.528135999997</v>
      </c>
      <c r="I27" s="7">
        <f>+[1]Resumen!I27*1000</f>
        <v>21537.100087999999</v>
      </c>
      <c r="J27" s="7">
        <f>+[1]Resumen!J27*1000</f>
        <v>24055.076457999996</v>
      </c>
      <c r="K27" s="7">
        <f>+[1]Resumen!K27*1000</f>
        <v>33867.597302000002</v>
      </c>
      <c r="L27" s="7">
        <f>+[1]Resumen!L27*1000</f>
        <v>42845.468106</v>
      </c>
      <c r="M27" s="7">
        <f>+[1]Resumen!M27*1000</f>
        <v>39415.839988</v>
      </c>
      <c r="N27" s="7">
        <f>+[1]Resumen!N27*1000</f>
        <v>43527.608725999999</v>
      </c>
      <c r="O27" s="7">
        <f>+[1]Resumen!O27*1000</f>
        <v>46043.129300000001</v>
      </c>
      <c r="P27" s="7">
        <f>+[1]Resumen!P27*1000</f>
        <v>50726.332272</v>
      </c>
      <c r="Q27" s="7">
        <f>+[1]Resumen!Q27*1000</f>
        <v>55006.339065999993</v>
      </c>
      <c r="R27" s="7">
        <f>+[1]Resumen!R27*1000</f>
        <v>55573.534968</v>
      </c>
      <c r="S27" s="7">
        <f>+[1]Resumen!S27*1000</f>
        <v>56294.945882</v>
      </c>
      <c r="T27" s="7">
        <f>+[1]Resumen!T27*1000</f>
        <v>58867.228685999995</v>
      </c>
      <c r="U27" s="7">
        <f>+[1]Resumen!U27*1000</f>
        <v>60210.808784000001</v>
      </c>
      <c r="V27" s="7">
        <f>+[1]Resumen!V27*1000</f>
        <v>58451.032178000001</v>
      </c>
      <c r="W27" s="7">
        <f>+[1]Resumen!W27*1000</f>
        <v>44148.235824000003</v>
      </c>
      <c r="X27" s="7">
        <f>+[1]Resumen!X27*1000</f>
        <v>45999.139774000003</v>
      </c>
      <c r="Y27" s="7">
        <f>+[1]Resumen!Y27*1000</f>
        <v>45908.499742</v>
      </c>
      <c r="Z27" s="7">
        <f>+[1]Resumen!Z27*1000</f>
        <v>40470.976265999998</v>
      </c>
      <c r="AA27" s="7">
        <f>+[1]Resumen!AA27*1000</f>
        <v>33554.460869999995</v>
      </c>
      <c r="AB27" s="7">
        <f>+[1]Resumen!AB27*1000</f>
        <v>23206.80733</v>
      </c>
      <c r="AC27" s="7">
        <f>+[1]Resumen!AC27*1000</f>
        <v>17888.460491999998</v>
      </c>
      <c r="AD27" s="64">
        <f t="shared" ref="AD27" si="3">SUM(F27:AC27)*E27+SUM(F28:AC28)*E28+SUM(F29:AC29)*E29+SUM(F30:AC30)*E30</f>
        <v>27234709.256019998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+[1]Resumen!F28*1000</f>
        <v>27883.806692000002</v>
      </c>
      <c r="G28" s="7">
        <f>+[1]Resumen!G28*1000</f>
        <v>23016.111244</v>
      </c>
      <c r="H28" s="7">
        <f>+[1]Resumen!H28*1000</f>
        <v>19614.064343999999</v>
      </c>
      <c r="I28" s="7">
        <f>+[1]Resumen!I28*1000</f>
        <v>18496.811816000001</v>
      </c>
      <c r="J28" s="7">
        <f>+[1]Resumen!J28*1000</f>
        <v>19877.309003999999</v>
      </c>
      <c r="K28" s="7">
        <f>+[1]Resumen!K28*1000</f>
        <v>23552.241005999997</v>
      </c>
      <c r="L28" s="7">
        <f>+[1]Resumen!L28*1000</f>
        <v>30830.890132</v>
      </c>
      <c r="M28" s="7">
        <f>+[1]Resumen!M28*1000</f>
        <v>30604.1554</v>
      </c>
      <c r="N28" s="7">
        <f>+[1]Resumen!N28*1000</f>
        <v>36494.975215999999</v>
      </c>
      <c r="O28" s="7">
        <f>+[1]Resumen!O28*1000</f>
        <v>40617.775800000003</v>
      </c>
      <c r="P28" s="7">
        <f>+[1]Resumen!P28*1000</f>
        <v>45098.029353999998</v>
      </c>
      <c r="Q28" s="7">
        <f>+[1]Resumen!Q28*1000</f>
        <v>47988.353770000002</v>
      </c>
      <c r="R28" s="7">
        <f>+[1]Resumen!R28*1000</f>
        <v>47597.923884000003</v>
      </c>
      <c r="S28" s="7">
        <f>+[1]Resumen!S28*1000</f>
        <v>47448.072238000001</v>
      </c>
      <c r="T28" s="7">
        <f>+[1]Resumen!T28*1000</f>
        <v>48448.857197999998</v>
      </c>
      <c r="U28" s="7">
        <f>+[1]Resumen!U28*1000</f>
        <v>50110.988661999996</v>
      </c>
      <c r="V28" s="7">
        <f>+[1]Resumen!V28*1000</f>
        <v>49721.030057999997</v>
      </c>
      <c r="W28" s="7">
        <f>+[1]Resumen!W28*1000</f>
        <v>38745.843696000004</v>
      </c>
      <c r="X28" s="7">
        <f>+[1]Resumen!X28*1000</f>
        <v>40597.568381999998</v>
      </c>
      <c r="Y28" s="7">
        <f>+[1]Resumen!Y28*1000</f>
        <v>42084.075165999995</v>
      </c>
      <c r="Z28" s="7">
        <f>+[1]Resumen!Z28*1000</f>
        <v>38007.893027999999</v>
      </c>
      <c r="AA28" s="7">
        <f>+[1]Resumen!AA28*1000</f>
        <v>31929.560684</v>
      </c>
      <c r="AB28" s="7">
        <f>+[1]Resumen!AB28*1000</f>
        <v>25307.263114000001</v>
      </c>
      <c r="AC28" s="7">
        <f>+[1]Resumen!AC28*1000</f>
        <v>18128.6476</v>
      </c>
      <c r="AD28" s="65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+[1]Resumen!F29*1000</f>
        <v>30211.074151999997</v>
      </c>
      <c r="G29" s="7">
        <f>+[1]Resumen!G29*1000</f>
        <v>25896.936281999999</v>
      </c>
      <c r="H29" s="7">
        <f>+[1]Resumen!H29*1000</f>
        <v>22247.283589999999</v>
      </c>
      <c r="I29" s="7">
        <f>+[1]Resumen!I29*1000</f>
        <v>20860.460964000002</v>
      </c>
      <c r="J29" s="7">
        <f>+[1]Resumen!J29*1000</f>
        <v>20802.884409999999</v>
      </c>
      <c r="K29" s="7">
        <f>+[1]Resumen!K29*1000</f>
        <v>21550.539639999999</v>
      </c>
      <c r="L29" s="7">
        <f>+[1]Resumen!L29*1000</f>
        <v>22613.171546000001</v>
      </c>
      <c r="M29" s="7">
        <f>+[1]Resumen!M29*1000</f>
        <v>18294.529246000002</v>
      </c>
      <c r="N29" s="7">
        <f>+[1]Resumen!N29*1000</f>
        <v>22351.026544</v>
      </c>
      <c r="O29" s="7">
        <f>+[1]Resumen!O29*1000</f>
        <v>26154.660210000002</v>
      </c>
      <c r="P29" s="7">
        <f>+[1]Resumen!P29*1000</f>
        <v>28478.471601999998</v>
      </c>
      <c r="Q29" s="7">
        <f>+[1]Resumen!Q29*1000</f>
        <v>33450.416552000002</v>
      </c>
      <c r="R29" s="7">
        <f>+[1]Resumen!R29*1000</f>
        <v>36607.175598000002</v>
      </c>
      <c r="S29" s="7">
        <f>+[1]Resumen!S29*1000</f>
        <v>39097.910585999998</v>
      </c>
      <c r="T29" s="7">
        <f>+[1]Resumen!T29*1000</f>
        <v>40835.344578000004</v>
      </c>
      <c r="U29" s="7">
        <f>+[1]Resumen!U29*1000</f>
        <v>41885.970013999999</v>
      </c>
      <c r="V29" s="7">
        <f>+[1]Resumen!V29*1000</f>
        <v>41249.357799999998</v>
      </c>
      <c r="W29" s="7">
        <f>+[1]Resumen!W29*1000</f>
        <v>28362.388754</v>
      </c>
      <c r="X29" s="7">
        <f>+[1]Resumen!X29*1000</f>
        <v>31293.031826000002</v>
      </c>
      <c r="Y29" s="7">
        <f>+[1]Resumen!Y29*1000</f>
        <v>35871.895528000001</v>
      </c>
      <c r="Z29" s="7">
        <f>+[1]Resumen!Z29*1000</f>
        <v>33680.463082000002</v>
      </c>
      <c r="AA29" s="7">
        <f>+[1]Resumen!AA29*1000</f>
        <v>29899.390037999998</v>
      </c>
      <c r="AB29" s="7">
        <f>+[1]Resumen!AB29*1000</f>
        <v>23220.301383999999</v>
      </c>
      <c r="AC29" s="7">
        <f>+[1]Resumen!AC29*1000</f>
        <v>15511.083251999999</v>
      </c>
      <c r="AD29" s="65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1</v>
      </c>
      <c r="F30" s="7">
        <f>+[1]Resumen!F30*1000</f>
        <v>27732.945155999998</v>
      </c>
      <c r="G30" s="7">
        <f>+[1]Resumen!G30*1000</f>
        <v>23085.912276000003</v>
      </c>
      <c r="H30" s="7">
        <f>+[1]Resumen!H30*1000</f>
        <v>20089.687267999998</v>
      </c>
      <c r="I30" s="7">
        <f>+[1]Resumen!I30*1000</f>
        <v>18779.847114</v>
      </c>
      <c r="J30" s="7">
        <f>+[1]Resumen!J30*1000</f>
        <v>18824.436161999998</v>
      </c>
      <c r="K30" s="7">
        <f>+[1]Resumen!K30*1000</f>
        <v>20393.882165999999</v>
      </c>
      <c r="L30" s="7">
        <f>+[1]Resumen!L30*1000</f>
        <v>22184.647968000001</v>
      </c>
      <c r="M30" s="7">
        <f>+[1]Resumen!M30*1000</f>
        <v>17420.144042</v>
      </c>
      <c r="N30" s="7">
        <f>+[1]Resumen!N30*1000</f>
        <v>22163.497985999998</v>
      </c>
      <c r="O30" s="7">
        <f>+[1]Resumen!O30*1000</f>
        <v>26065.988662</v>
      </c>
      <c r="P30" s="7">
        <f>+[1]Resumen!P30*1000</f>
        <v>31584.736148</v>
      </c>
      <c r="Q30" s="7">
        <f>+[1]Resumen!Q30*1000</f>
        <v>36926.986921999996</v>
      </c>
      <c r="R30" s="7">
        <f>+[1]Resumen!R30*1000</f>
        <v>40029.442739999999</v>
      </c>
      <c r="S30" s="7">
        <f>+[1]Resumen!S30*1000</f>
        <v>40558.516095999999</v>
      </c>
      <c r="T30" s="7">
        <f>+[1]Resumen!T30*1000</f>
        <v>39930.877476000001</v>
      </c>
      <c r="U30" s="7">
        <f>+[1]Resumen!U30*1000</f>
        <v>41093.754589999997</v>
      </c>
      <c r="V30" s="7">
        <f>+[1]Resumen!V30*1000</f>
        <v>40611.036787999998</v>
      </c>
      <c r="W30" s="7">
        <f>+[1]Resumen!W30*1000</f>
        <v>29612.488303999999</v>
      </c>
      <c r="X30" s="7">
        <f>+[1]Resumen!X30*1000</f>
        <v>32848.839505999997</v>
      </c>
      <c r="Y30" s="7">
        <f>+[1]Resumen!Y30*1000</f>
        <v>40488.343167999999</v>
      </c>
      <c r="Z30" s="7">
        <f>+[1]Resumen!Z30*1000</f>
        <v>38158.530144000004</v>
      </c>
      <c r="AA30" s="7">
        <f>+[1]Resumen!AA30*1000</f>
        <v>33963.322050000002</v>
      </c>
      <c r="AB30" s="7">
        <f>+[1]Resumen!AB30*1000</f>
        <v>25952.682210000003</v>
      </c>
      <c r="AC30" s="7">
        <f>+[1]Resumen!AC30*1000</f>
        <v>15902.628826</v>
      </c>
      <c r="AD30" s="66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20</v>
      </c>
      <c r="F31" s="7">
        <f>+[1]Resumen!F31*1000</f>
        <v>37663.950142000002</v>
      </c>
      <c r="G31" s="7">
        <f>+[1]Resumen!G31*1000</f>
        <v>32840.856566000002</v>
      </c>
      <c r="H31" s="7">
        <f>+[1]Resumen!H31*1000</f>
        <v>30017.351601999999</v>
      </c>
      <c r="I31" s="7">
        <f>+[1]Resumen!I31*1000</f>
        <v>29726.083296000001</v>
      </c>
      <c r="J31" s="7">
        <f>+[1]Resumen!J31*1000</f>
        <v>32122.988282000002</v>
      </c>
      <c r="K31" s="7">
        <f>+[1]Resumen!K31*1000</f>
        <v>42911.075689999998</v>
      </c>
      <c r="L31" s="7">
        <f>+[1]Resumen!L31*1000</f>
        <v>51975.530935999996</v>
      </c>
      <c r="M31" s="7">
        <f>+[1]Resumen!M31*1000</f>
        <v>48760.51887</v>
      </c>
      <c r="N31" s="7">
        <f>+[1]Resumen!N31*1000</f>
        <v>53288.599532</v>
      </c>
      <c r="O31" s="7">
        <f>+[1]Resumen!O31*1000</f>
        <v>55548.605111999997</v>
      </c>
      <c r="P31" s="7">
        <f>+[1]Resumen!P31*1000</f>
        <v>60724.406778000004</v>
      </c>
      <c r="Q31" s="7">
        <f>+[1]Resumen!Q31*1000</f>
        <v>65496.515336000004</v>
      </c>
      <c r="R31" s="7">
        <f>+[1]Resumen!R31*1000</f>
        <v>66636.671528000006</v>
      </c>
      <c r="S31" s="7">
        <f>+[1]Resumen!S31*1000</f>
        <v>67753.516894</v>
      </c>
      <c r="T31" s="7">
        <f>+[1]Resumen!T31*1000</f>
        <v>71108.919699999999</v>
      </c>
      <c r="U31" s="7">
        <f>+[1]Resumen!U31*1000</f>
        <v>72452.012485999992</v>
      </c>
      <c r="V31" s="7">
        <f>+[1]Resumen!V31*1000</f>
        <v>70245.633667999995</v>
      </c>
      <c r="W31" s="7">
        <f>+[1]Resumen!W31*1000</f>
        <v>52244.738755999999</v>
      </c>
      <c r="X31" s="7">
        <f>+[1]Resumen!X31*1000</f>
        <v>54111.897125999996</v>
      </c>
      <c r="Y31" s="7">
        <f>+[1]Resumen!Y31*1000</f>
        <v>57453.719315999995</v>
      </c>
      <c r="Z31" s="7">
        <f>+[1]Resumen!Z31*1000</f>
        <v>52421.402179999997</v>
      </c>
      <c r="AA31" s="7">
        <f>+[1]Resumen!AA31*1000</f>
        <v>45139.370724</v>
      </c>
      <c r="AB31" s="7">
        <f>+[1]Resumen!AB31*1000</f>
        <v>32866.889285999998</v>
      </c>
      <c r="AC31" s="7">
        <f>+[1]Resumen!AC31*1000</f>
        <v>26046.287792000003</v>
      </c>
      <c r="AD31" s="64">
        <f t="shared" ref="AD31:AD35" si="4">SUM(F31:AC31)*E31+SUM(F32:AC32)*E32+SUM(F33:AC33)*E33+SUM(F34:AC34)*E34</f>
        <v>34154192.795673996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5</v>
      </c>
      <c r="F32" s="7">
        <f>+[1]Resumen!F32*1000</f>
        <v>35916.112679999998</v>
      </c>
      <c r="G32" s="7">
        <f>+[1]Resumen!G32*1000</f>
        <v>31147.710257999999</v>
      </c>
      <c r="H32" s="7">
        <f>+[1]Resumen!H32*1000</f>
        <v>28207.946115999999</v>
      </c>
      <c r="I32" s="7">
        <f>+[1]Resumen!I32*1000</f>
        <v>26690.280218</v>
      </c>
      <c r="J32" s="7">
        <f>+[1]Resumen!J32*1000</f>
        <v>28346.406844000001</v>
      </c>
      <c r="K32" s="7">
        <f>+[1]Resumen!K32*1000</f>
        <v>32387.088944000006</v>
      </c>
      <c r="L32" s="7">
        <f>+[1]Resumen!L32*1000</f>
        <v>39455.748275999998</v>
      </c>
      <c r="M32" s="7">
        <f>+[1]Resumen!M32*1000</f>
        <v>39243.341157999996</v>
      </c>
      <c r="N32" s="7">
        <f>+[1]Resumen!N32*1000</f>
        <v>45671.505810000002</v>
      </c>
      <c r="O32" s="7">
        <f>+[1]Resumen!O32*1000</f>
        <v>50127.457884000003</v>
      </c>
      <c r="P32" s="7">
        <f>+[1]Resumen!P32*1000</f>
        <v>55516.468167999999</v>
      </c>
      <c r="Q32" s="7">
        <f>+[1]Resumen!Q32*1000</f>
        <v>59657.401888</v>
      </c>
      <c r="R32" s="7">
        <f>+[1]Resumen!R32*1000</f>
        <v>59391.749521999998</v>
      </c>
      <c r="S32" s="7">
        <f>+[1]Resumen!S32*1000</f>
        <v>57498.635375999998</v>
      </c>
      <c r="T32" s="7">
        <f>+[1]Resumen!T32*1000</f>
        <v>56750.480009999999</v>
      </c>
      <c r="U32" s="7">
        <f>+[1]Resumen!U32*1000</f>
        <v>57714.687715999993</v>
      </c>
      <c r="V32" s="7">
        <f>+[1]Resumen!V32*1000</f>
        <v>59064.112352000004</v>
      </c>
      <c r="W32" s="7">
        <f>+[1]Resumen!W32*1000</f>
        <v>45733.182838000001</v>
      </c>
      <c r="X32" s="7">
        <f>+[1]Resumen!X32*1000</f>
        <v>49570.761632000002</v>
      </c>
      <c r="Y32" s="7">
        <f>+[1]Resumen!Y32*1000</f>
        <v>48891.435879999997</v>
      </c>
      <c r="Z32" s="7">
        <f>+[1]Resumen!Z32*1000</f>
        <v>43443.239629999996</v>
      </c>
      <c r="AA32" s="7">
        <f>+[1]Resumen!AA32*1000</f>
        <v>35630.644028000002</v>
      </c>
      <c r="AB32" s="7">
        <f>+[1]Resumen!AB32*1000</f>
        <v>27789.479760000002</v>
      </c>
      <c r="AC32" s="7">
        <f>+[1]Resumen!AC32*1000</f>
        <v>20336.097222</v>
      </c>
      <c r="AD32" s="65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+[1]Resumen!F33*1000</f>
        <v>30132.491886</v>
      </c>
      <c r="G33" s="7">
        <f>+[1]Resumen!G33*1000</f>
        <v>25550.274707999997</v>
      </c>
      <c r="H33" s="7">
        <f>+[1]Resumen!H33*1000</f>
        <v>21996.705835999997</v>
      </c>
      <c r="I33" s="7">
        <f>+[1]Resumen!I33*1000</f>
        <v>20094.412912</v>
      </c>
      <c r="J33" s="7">
        <f>+[1]Resumen!J33*1000</f>
        <v>20912.186568000001</v>
      </c>
      <c r="K33" s="7">
        <f>+[1]Resumen!K33*1000</f>
        <v>21745.406731999999</v>
      </c>
      <c r="L33" s="7">
        <f>+[1]Resumen!L33*1000</f>
        <v>25242.463442</v>
      </c>
      <c r="M33" s="7">
        <f>+[1]Resumen!M33*1000</f>
        <v>22212.206744000003</v>
      </c>
      <c r="N33" s="7">
        <f>+[1]Resumen!N33*1000</f>
        <v>27125.401744000003</v>
      </c>
      <c r="O33" s="7">
        <f>+[1]Resumen!O33*1000</f>
        <v>31560.931597999999</v>
      </c>
      <c r="P33" s="7">
        <f>+[1]Resumen!P33*1000</f>
        <v>34639.204557999998</v>
      </c>
      <c r="Q33" s="7">
        <f>+[1]Resumen!Q33*1000</f>
        <v>40029.824253999999</v>
      </c>
      <c r="R33" s="7">
        <f>+[1]Resumen!R33*1000</f>
        <v>43622.365261999999</v>
      </c>
      <c r="S33" s="7">
        <f>+[1]Resumen!S33*1000</f>
        <v>45161.626775999997</v>
      </c>
      <c r="T33" s="7">
        <f>+[1]Resumen!T33*1000</f>
        <v>45250.509920000004</v>
      </c>
      <c r="U33" s="7">
        <f>+[1]Resumen!U33*1000</f>
        <v>46025.396913999997</v>
      </c>
      <c r="V33" s="7">
        <f>+[1]Resumen!V33*1000</f>
        <v>46468.408406000002</v>
      </c>
      <c r="W33" s="7">
        <f>+[1]Resumen!W33*1000</f>
        <v>33512.132052000001</v>
      </c>
      <c r="X33" s="7">
        <f>+[1]Resumen!X33*1000</f>
        <v>38372.825596000002</v>
      </c>
      <c r="Y33" s="7">
        <f>+[1]Resumen!Y33*1000</f>
        <v>42577.603600000002</v>
      </c>
      <c r="Z33" s="7">
        <f>+[1]Resumen!Z33*1000</f>
        <v>38517.877860000001</v>
      </c>
      <c r="AA33" s="7">
        <f>+[1]Resumen!AA33*1000</f>
        <v>31089.874017999999</v>
      </c>
      <c r="AB33" s="7">
        <f>+[1]Resumen!AB33*1000</f>
        <v>20875.772819999998</v>
      </c>
      <c r="AC33" s="7">
        <f>+[1]Resumen!AC33*1000</f>
        <v>12812.42634</v>
      </c>
      <c r="AD33" s="65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+[1]Resumen!F34*1000</f>
        <v>42831.438649999996</v>
      </c>
      <c r="G34" s="7">
        <f>+[1]Resumen!G34*1000</f>
        <v>36728.580406000001</v>
      </c>
      <c r="H34" s="7">
        <f>+[1]Resumen!H34*1000</f>
        <v>32397.790571999998</v>
      </c>
      <c r="I34" s="7">
        <f>+[1]Resumen!I34*1000</f>
        <v>29753.125905999997</v>
      </c>
      <c r="J34" s="7">
        <f>+[1]Resumen!J34*1000</f>
        <v>27876.461746000001</v>
      </c>
      <c r="K34" s="7">
        <f>+[1]Resumen!K34*1000</f>
        <v>25866.549814000002</v>
      </c>
      <c r="L34" s="7">
        <f>+[1]Resumen!L34*1000</f>
        <v>28362.452873999999</v>
      </c>
      <c r="M34" s="7">
        <f>+[1]Resumen!M34*1000</f>
        <v>25236.247007999998</v>
      </c>
      <c r="N34" s="7">
        <f>+[1]Resumen!N34*1000</f>
        <v>29054.804603999997</v>
      </c>
      <c r="O34" s="7">
        <f>+[1]Resumen!O34*1000</f>
        <v>31905.804223999996</v>
      </c>
      <c r="P34" s="7">
        <f>+[1]Resumen!P34*1000</f>
        <v>33364.508576</v>
      </c>
      <c r="Q34" s="7">
        <f>+[1]Resumen!Q34*1000</f>
        <v>38153.304364000003</v>
      </c>
      <c r="R34" s="7">
        <f>+[1]Resumen!R34*1000</f>
        <v>39058.938450000001</v>
      </c>
      <c r="S34" s="7">
        <f>+[1]Resumen!S34*1000</f>
        <v>42915.791715999992</v>
      </c>
      <c r="T34" s="7">
        <f>+[1]Resumen!T34*1000</f>
        <v>45902.873211999999</v>
      </c>
      <c r="U34" s="7">
        <f>+[1]Resumen!U34*1000</f>
        <v>47808.586938</v>
      </c>
      <c r="V34" s="7">
        <f>+[1]Resumen!V34*1000</f>
        <v>48164.020128000004</v>
      </c>
      <c r="W34" s="7">
        <f>+[1]Resumen!W34*1000</f>
        <v>35790.812581999999</v>
      </c>
      <c r="X34" s="7">
        <f>+[1]Resumen!X34*1000</f>
        <v>39151.732914</v>
      </c>
      <c r="Y34" s="7">
        <f>+[1]Resumen!Y34*1000</f>
        <v>42269.228078</v>
      </c>
      <c r="Z34" s="7">
        <f>+[1]Resumen!Z34*1000</f>
        <v>42880.480832000001</v>
      </c>
      <c r="AA34" s="7">
        <f>+[1]Resumen!AA34*1000</f>
        <v>42050.130038000003</v>
      </c>
      <c r="AB34" s="7">
        <f>+[1]Resumen!AB34*1000</f>
        <v>33365.249162</v>
      </c>
      <c r="AC34" s="7">
        <f>+[1]Resumen!AC34*1000</f>
        <v>24120.472446</v>
      </c>
      <c r="AD34" s="66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+[1]Resumen!F35*1000</f>
        <v>35088.72423</v>
      </c>
      <c r="G35" s="7">
        <f>+[1]Resumen!G35*1000</f>
        <v>30172.252698</v>
      </c>
      <c r="H35" s="7">
        <f>+[1]Resumen!H35*1000</f>
        <v>27238.442098</v>
      </c>
      <c r="I35" s="7">
        <f>+[1]Resumen!I35*1000</f>
        <v>26927.831994</v>
      </c>
      <c r="J35" s="7">
        <f>+[1]Resumen!J35*1000</f>
        <v>30454.287723999998</v>
      </c>
      <c r="K35" s="7">
        <f>+[1]Resumen!K35*1000</f>
        <v>43620.265332000003</v>
      </c>
      <c r="L35" s="7">
        <f>+[1]Resumen!L35*1000</f>
        <v>53613.085203999995</v>
      </c>
      <c r="M35" s="7">
        <f>+[1]Resumen!M35*1000</f>
        <v>49126.894138000003</v>
      </c>
      <c r="N35" s="7">
        <f>+[1]Resumen!N35*1000</f>
        <v>52928.171393999997</v>
      </c>
      <c r="O35" s="7">
        <f>+[1]Resumen!O35*1000</f>
        <v>54897.171560000003</v>
      </c>
      <c r="P35" s="7">
        <f>+[1]Resumen!P35*1000</f>
        <v>60631.314156</v>
      </c>
      <c r="Q35" s="7">
        <f>+[1]Resumen!Q35*1000</f>
        <v>65332.320046000008</v>
      </c>
      <c r="R35" s="7">
        <f>+[1]Resumen!R35*1000</f>
        <v>65617.038493999993</v>
      </c>
      <c r="S35" s="7">
        <f>+[1]Resumen!S35*1000</f>
        <v>66128.60708999999</v>
      </c>
      <c r="T35" s="7">
        <f>+[1]Resumen!T35*1000</f>
        <v>69510.626107999997</v>
      </c>
      <c r="U35" s="7">
        <f>+[1]Resumen!U35*1000</f>
        <v>70240.189879999991</v>
      </c>
      <c r="V35" s="7">
        <f>+[1]Resumen!V35*1000</f>
        <v>68118.087184000004</v>
      </c>
      <c r="W35" s="7">
        <f>+[1]Resumen!W35*1000</f>
        <v>51521.000286000002</v>
      </c>
      <c r="X35" s="7">
        <f>+[1]Resumen!X35*1000</f>
        <v>55528.769589999996</v>
      </c>
      <c r="Y35" s="7">
        <f>+[1]Resumen!Y35*1000</f>
        <v>58412.480027999998</v>
      </c>
      <c r="Z35" s="7">
        <f>+[1]Resumen!Z35*1000</f>
        <v>52954.072668000001</v>
      </c>
      <c r="AA35" s="7">
        <f>+[1]Resumen!AA35*1000</f>
        <v>43768.212614000004</v>
      </c>
      <c r="AB35" s="7">
        <f>+[1]Resumen!AB35*1000</f>
        <v>31473.923964000001</v>
      </c>
      <c r="AC35" s="7">
        <f>+[1]Resumen!AC35*1000</f>
        <v>24852.055998</v>
      </c>
      <c r="AD35" s="64">
        <f t="shared" si="4"/>
        <v>33336328.849096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3</v>
      </c>
      <c r="F36" s="7">
        <f>+[1]Resumen!F36*1000</f>
        <v>35089.230778000005</v>
      </c>
      <c r="G36" s="7">
        <f>+[1]Resumen!G36*1000</f>
        <v>30069.086823999998</v>
      </c>
      <c r="H36" s="7">
        <f>+[1]Resumen!H36*1000</f>
        <v>27106.335662000001</v>
      </c>
      <c r="I36" s="7">
        <f>+[1]Resumen!I36*1000</f>
        <v>25327.470531999999</v>
      </c>
      <c r="J36" s="7">
        <f>+[1]Resumen!J36*1000</f>
        <v>27339.716432000001</v>
      </c>
      <c r="K36" s="7">
        <f>+[1]Resumen!K36*1000</f>
        <v>30700.518142000001</v>
      </c>
      <c r="L36" s="7">
        <f>+[1]Resumen!L36*1000</f>
        <v>38204.549068</v>
      </c>
      <c r="M36" s="7">
        <f>+[1]Resumen!M36*1000</f>
        <v>38629.058733999998</v>
      </c>
      <c r="N36" s="7">
        <f>+[1]Resumen!N36*1000</f>
        <v>45495.518852000001</v>
      </c>
      <c r="O36" s="7">
        <f>+[1]Resumen!O36*1000</f>
        <v>48413.402043999995</v>
      </c>
      <c r="P36" s="7">
        <f>+[1]Resumen!P36*1000</f>
        <v>51504.130314000002</v>
      </c>
      <c r="Q36" s="7">
        <f>+[1]Resumen!Q36*1000</f>
        <v>53440.400426</v>
      </c>
      <c r="R36" s="7">
        <f>+[1]Resumen!R36*1000</f>
        <v>54000.206497999992</v>
      </c>
      <c r="S36" s="7">
        <f>+[1]Resumen!S36*1000</f>
        <v>54936.653449999998</v>
      </c>
      <c r="T36" s="7">
        <f>+[1]Resumen!T36*1000</f>
        <v>55618.457439999998</v>
      </c>
      <c r="U36" s="7">
        <f>+[1]Resumen!U36*1000</f>
        <v>56071.590274000002</v>
      </c>
      <c r="V36" s="7">
        <f>+[1]Resumen!V36*1000</f>
        <v>56613.099704</v>
      </c>
      <c r="W36" s="7">
        <f>+[1]Resumen!W36*1000</f>
        <v>44117.846149999998</v>
      </c>
      <c r="X36" s="7">
        <f>+[1]Resumen!X36*1000</f>
        <v>46916.767506000004</v>
      </c>
      <c r="Y36" s="7">
        <f>+[1]Resumen!Y36*1000</f>
        <v>47559.499973999998</v>
      </c>
      <c r="Z36" s="7">
        <f>+[1]Resumen!Z36*1000</f>
        <v>41746.800759999998</v>
      </c>
      <c r="AA36" s="7">
        <f>+[1]Resumen!AA36*1000</f>
        <v>33875.577036000002</v>
      </c>
      <c r="AB36" s="7">
        <f>+[1]Resumen!AB36*1000</f>
        <v>25962.274562000002</v>
      </c>
      <c r="AC36" s="7">
        <f>+[1]Resumen!AC36*1000</f>
        <v>18339.121500000001</v>
      </c>
      <c r="AD36" s="65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5</v>
      </c>
      <c r="F37" s="7">
        <f>+[1]Resumen!F37*1000</f>
        <v>30382.338671999998</v>
      </c>
      <c r="G37" s="7">
        <f>+[1]Resumen!G37*1000</f>
        <v>26150.149367999999</v>
      </c>
      <c r="H37" s="7">
        <f>+[1]Resumen!H37*1000</f>
        <v>22557.868046</v>
      </c>
      <c r="I37" s="7">
        <f>+[1]Resumen!I37*1000</f>
        <v>21173.485185999998</v>
      </c>
      <c r="J37" s="7">
        <f>+[1]Resumen!J37*1000</f>
        <v>21601.120702</v>
      </c>
      <c r="K37" s="7">
        <f>+[1]Resumen!K37*1000</f>
        <v>23962.089634</v>
      </c>
      <c r="L37" s="7">
        <f>+[1]Resumen!L37*1000</f>
        <v>25643.088407999996</v>
      </c>
      <c r="M37" s="7">
        <f>+[1]Resumen!M37*1000</f>
        <v>22962.330594000003</v>
      </c>
      <c r="N37" s="7">
        <f>+[1]Resumen!N37*1000</f>
        <v>26855.257771999997</v>
      </c>
      <c r="O37" s="7">
        <f>+[1]Resumen!O37*1000</f>
        <v>30847.567744</v>
      </c>
      <c r="P37" s="7">
        <f>+[1]Resumen!P37*1000</f>
        <v>34769.634255999998</v>
      </c>
      <c r="Q37" s="7">
        <f>+[1]Resumen!Q37*1000</f>
        <v>39790.368113999997</v>
      </c>
      <c r="R37" s="7">
        <f>+[1]Resumen!R37*1000</f>
        <v>43749.210652000002</v>
      </c>
      <c r="S37" s="7">
        <f>+[1]Resumen!S37*1000</f>
        <v>45321.869068</v>
      </c>
      <c r="T37" s="7">
        <f>+[1]Resumen!T37*1000</f>
        <v>44710.940120000007</v>
      </c>
      <c r="U37" s="7">
        <f>+[1]Resumen!U37*1000</f>
        <v>45366.759479999993</v>
      </c>
      <c r="V37" s="7">
        <f>+[1]Resumen!V37*1000</f>
        <v>45478.725824000001</v>
      </c>
      <c r="W37" s="7">
        <f>+[1]Resumen!W37*1000</f>
        <v>33832.408245999999</v>
      </c>
      <c r="X37" s="7">
        <f>+[1]Resumen!X37*1000</f>
        <v>41158.034889999995</v>
      </c>
      <c r="Y37" s="7">
        <f>+[1]Resumen!Y37*1000</f>
        <v>42630.291003999999</v>
      </c>
      <c r="Z37" s="7">
        <f>+[1]Resumen!Z37*1000</f>
        <v>37914.111116</v>
      </c>
      <c r="AA37" s="7">
        <f>+[1]Resumen!AA37*1000</f>
        <v>31109.19658</v>
      </c>
      <c r="AB37" s="7">
        <f>+[1]Resumen!AB37*1000</f>
        <v>21116.524183999998</v>
      </c>
      <c r="AC37" s="7">
        <f>+[1]Resumen!AC37*1000</f>
        <v>13322.731772000001</v>
      </c>
      <c r="AD37" s="65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+[1]Resumen!F38*1000</f>
        <v>27244.321902</v>
      </c>
      <c r="G38" s="7">
        <f>+[1]Resumen!G38*1000</f>
        <v>22522.034584000001</v>
      </c>
      <c r="H38" s="7">
        <f>+[1]Resumen!H38*1000</f>
        <v>18433.676058000001</v>
      </c>
      <c r="I38" s="7">
        <f>+[1]Resumen!I38*1000</f>
        <v>18016.71011</v>
      </c>
      <c r="J38" s="7">
        <f>+[1]Resumen!J38*1000</f>
        <v>17837.449826</v>
      </c>
      <c r="K38" s="7">
        <f>+[1]Resumen!K38*1000</f>
        <v>21322.147405999996</v>
      </c>
      <c r="L38" s="7">
        <f>+[1]Resumen!L38*1000</f>
        <v>24853.460226000003</v>
      </c>
      <c r="M38" s="7">
        <f>+[1]Resumen!M38*1000</f>
        <v>20603.631509999999</v>
      </c>
      <c r="N38" s="7">
        <f>+[1]Resumen!N38*1000</f>
        <v>26165.063679999999</v>
      </c>
      <c r="O38" s="7">
        <f>+[1]Resumen!O38*1000</f>
        <v>30809.685647999999</v>
      </c>
      <c r="P38" s="7">
        <f>+[1]Resumen!P38*1000</f>
        <v>35968.351243999998</v>
      </c>
      <c r="Q38" s="7">
        <f>+[1]Resumen!Q38*1000</f>
        <v>42459.234874000002</v>
      </c>
      <c r="R38" s="7">
        <f>+[1]Resumen!R38*1000</f>
        <v>46012.265138000002</v>
      </c>
      <c r="S38" s="7">
        <f>+[1]Resumen!S38*1000</f>
        <v>50061.186657999999</v>
      </c>
      <c r="T38" s="7">
        <f>+[1]Resumen!T38*1000</f>
        <v>48885.408600000002</v>
      </c>
      <c r="U38" s="7">
        <f>+[1]Resumen!U38*1000</f>
        <v>46220.199886000002</v>
      </c>
      <c r="V38" s="7">
        <f>+[1]Resumen!V38*1000</f>
        <v>47123.618625999996</v>
      </c>
      <c r="W38" s="7">
        <f>+[1]Resumen!W38*1000</f>
        <v>33058.293898000004</v>
      </c>
      <c r="X38" s="7">
        <f>+[1]Resumen!X38*1000</f>
        <v>39988.758600000001</v>
      </c>
      <c r="Y38" s="7">
        <f>+[1]Resumen!Y38*1000</f>
        <v>48132.110809999998</v>
      </c>
      <c r="Z38" s="7">
        <f>+[1]Resumen!Z38*1000</f>
        <v>43408.483384000006</v>
      </c>
      <c r="AA38" s="7">
        <f>+[1]Resumen!AA38*1000</f>
        <v>34629.817389999997</v>
      </c>
      <c r="AB38" s="7">
        <f>+[1]Resumen!AB38*1000</f>
        <v>23799.795502000001</v>
      </c>
      <c r="AC38" s="7">
        <f>+[1]Resumen!AC38*1000</f>
        <v>13341.339396000001</v>
      </c>
      <c r="AD38" s="66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22</v>
      </c>
      <c r="F39" s="7">
        <f>+[1]Resumen!F39*1000</f>
        <v>45528.864457999996</v>
      </c>
      <c r="G39" s="7">
        <f>+[1]Resumen!G39*1000</f>
        <v>41140.809051999997</v>
      </c>
      <c r="H39" s="7">
        <f>+[1]Resumen!H39*1000</f>
        <v>38589.913474000001</v>
      </c>
      <c r="I39" s="7">
        <f>+[1]Resumen!I39*1000</f>
        <v>38177.224329999997</v>
      </c>
      <c r="J39" s="7">
        <f>+[1]Resumen!J39*1000</f>
        <v>41541.562257999998</v>
      </c>
      <c r="K39" s="7">
        <f>+[1]Resumen!K39*1000</f>
        <v>55118.824782000003</v>
      </c>
      <c r="L39" s="7">
        <f>+[1]Resumen!L39*1000</f>
        <v>64013.204934000001</v>
      </c>
      <c r="M39" s="7">
        <f>+[1]Resumen!M39*1000</f>
        <v>57927.040331999997</v>
      </c>
      <c r="N39" s="7">
        <f>+[1]Resumen!N39*1000</f>
        <v>61921.126428000003</v>
      </c>
      <c r="O39" s="7">
        <f>+[1]Resumen!O39*1000</f>
        <v>63959.571759999999</v>
      </c>
      <c r="P39" s="7">
        <f>+[1]Resumen!P39*1000</f>
        <v>70114.639714000004</v>
      </c>
      <c r="Q39" s="7">
        <f>+[1]Resumen!Q39*1000</f>
        <v>74951.592827999993</v>
      </c>
      <c r="R39" s="7">
        <f>+[1]Resumen!R39*1000</f>
        <v>74975.262726000001</v>
      </c>
      <c r="S39" s="7">
        <f>+[1]Resumen!S39*1000</f>
        <v>75808.152671999997</v>
      </c>
      <c r="T39" s="7">
        <f>+[1]Resumen!T39*1000</f>
        <v>78424.777661999993</v>
      </c>
      <c r="U39" s="7">
        <f>+[1]Resumen!U39*1000</f>
        <v>79782.723845999994</v>
      </c>
      <c r="V39" s="7">
        <f>+[1]Resumen!V39*1000</f>
        <v>78050.887529999993</v>
      </c>
      <c r="W39" s="7">
        <f>+[1]Resumen!W39*1000</f>
        <v>62199.647678000001</v>
      </c>
      <c r="X39" s="7">
        <f>+[1]Resumen!X39*1000</f>
        <v>67806.486426000003</v>
      </c>
      <c r="Y39" s="7">
        <f>+[1]Resumen!Y39*1000</f>
        <v>67483.430630000003</v>
      </c>
      <c r="Z39" s="7">
        <f>+[1]Resumen!Z39*1000</f>
        <v>61829.707338</v>
      </c>
      <c r="AA39" s="7">
        <f>+[1]Resumen!AA39*1000</f>
        <v>53315.469017999996</v>
      </c>
      <c r="AB39" s="7">
        <f>+[1]Resumen!AB39*1000</f>
        <v>40411.915333999998</v>
      </c>
      <c r="AC39" s="7">
        <f>+[1]Resumen!AC39*1000</f>
        <v>33668.347607999996</v>
      </c>
      <c r="AD39" s="64">
        <f t="shared" ref="AD39" si="5">SUM(F39:AC39)*E39+SUM(F40:AC40)*E40+SUM(F41:AC41)*E41+SUM(F42:AC42)*E42</f>
        <v>40506337.824035995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+[1]Resumen!F40*1000</f>
        <v>41601.758114000004</v>
      </c>
      <c r="G40" s="7">
        <f>+[1]Resumen!G40*1000</f>
        <v>37419.335548000003</v>
      </c>
      <c r="H40" s="7">
        <f>+[1]Resumen!H40*1000</f>
        <v>34569.531766</v>
      </c>
      <c r="I40" s="7">
        <f>+[1]Resumen!I40*1000</f>
        <v>33397.392518000001</v>
      </c>
      <c r="J40" s="7">
        <f>+[1]Resumen!J40*1000</f>
        <v>35662.845092000003</v>
      </c>
      <c r="K40" s="7">
        <f>+[1]Resumen!K40*1000</f>
        <v>41505.622997999999</v>
      </c>
      <c r="L40" s="7">
        <f>+[1]Resumen!L40*1000</f>
        <v>47772.394403999999</v>
      </c>
      <c r="M40" s="7">
        <f>+[1]Resumen!M40*1000</f>
        <v>47055.737988000001</v>
      </c>
      <c r="N40" s="7">
        <f>+[1]Resumen!N40*1000</f>
        <v>52714.683853999995</v>
      </c>
      <c r="O40" s="7">
        <f>+[1]Resumen!O40*1000</f>
        <v>56379.850379999996</v>
      </c>
      <c r="P40" s="7">
        <f>+[1]Resumen!P40*1000</f>
        <v>61888.57591</v>
      </c>
      <c r="Q40" s="7">
        <f>+[1]Resumen!Q40*1000</f>
        <v>65848.09812000001</v>
      </c>
      <c r="R40" s="7">
        <f>+[1]Resumen!R40*1000</f>
        <v>65951.744894000003</v>
      </c>
      <c r="S40" s="7">
        <f>+[1]Resumen!S40*1000</f>
        <v>67014.277413999996</v>
      </c>
      <c r="T40" s="7">
        <f>+[1]Resumen!T40*1000</f>
        <v>67021.753806000008</v>
      </c>
      <c r="U40" s="7">
        <f>+[1]Resumen!U40*1000</f>
        <v>67704.971642000004</v>
      </c>
      <c r="V40" s="7">
        <f>+[1]Resumen!V40*1000</f>
        <v>68480.403655999995</v>
      </c>
      <c r="W40" s="7">
        <f>+[1]Resumen!W40*1000</f>
        <v>55655.114843999996</v>
      </c>
      <c r="X40" s="7">
        <f>+[1]Resumen!X40*1000</f>
        <v>60736.21127</v>
      </c>
      <c r="Y40" s="7">
        <f>+[1]Resumen!Y40*1000</f>
        <v>59168.220789999999</v>
      </c>
      <c r="Z40" s="7">
        <f>+[1]Resumen!Z40*1000</f>
        <v>53634.379456000002</v>
      </c>
      <c r="AA40" s="7">
        <f>+[1]Resumen!AA40*1000</f>
        <v>45915.235547999997</v>
      </c>
      <c r="AB40" s="7">
        <f>+[1]Resumen!AB40*1000</f>
        <v>38750.181413999999</v>
      </c>
      <c r="AC40" s="7">
        <f>+[1]Resumen!AC40*1000</f>
        <v>31817.276946000002</v>
      </c>
      <c r="AD40" s="65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+[1]Resumen!F41*1000</f>
        <v>44723.542906000002</v>
      </c>
      <c r="G41" s="7">
        <f>+[1]Resumen!G41*1000</f>
        <v>38784.716445999999</v>
      </c>
      <c r="H41" s="7">
        <f>+[1]Resumen!H41*1000</f>
        <v>35176.828315999999</v>
      </c>
      <c r="I41" s="7">
        <f>+[1]Resumen!I41*1000</f>
        <v>32810.970234</v>
      </c>
      <c r="J41" s="7">
        <f>+[1]Resumen!J41*1000</f>
        <v>32841.808748000003</v>
      </c>
      <c r="K41" s="7">
        <f>+[1]Resumen!K41*1000</f>
        <v>33743.130764000001</v>
      </c>
      <c r="L41" s="7">
        <f>+[1]Resumen!L41*1000</f>
        <v>35968.812908</v>
      </c>
      <c r="M41" s="7">
        <f>+[1]Resumen!M41*1000</f>
        <v>32295.471082</v>
      </c>
      <c r="N41" s="7">
        <f>+[1]Resumen!N41*1000</f>
        <v>36260.119685999998</v>
      </c>
      <c r="O41" s="7">
        <f>+[1]Resumen!O41*1000</f>
        <v>39127.659059999998</v>
      </c>
      <c r="P41" s="7">
        <f>+[1]Resumen!P41*1000</f>
        <v>44073.160921999995</v>
      </c>
      <c r="Q41" s="7">
        <f>+[1]Resumen!Q41*1000</f>
        <v>49793.479246000003</v>
      </c>
      <c r="R41" s="7">
        <f>+[1]Resumen!R41*1000</f>
        <v>52339.572236</v>
      </c>
      <c r="S41" s="7">
        <f>+[1]Resumen!S41*1000</f>
        <v>55241.168947999999</v>
      </c>
      <c r="T41" s="7">
        <f>+[1]Resumen!T41*1000</f>
        <v>56460.878823999999</v>
      </c>
      <c r="U41" s="7">
        <f>+[1]Resumen!U41*1000</f>
        <v>57710.901429999998</v>
      </c>
      <c r="V41" s="7">
        <f>+[1]Resumen!V41*1000</f>
        <v>58524.940095999998</v>
      </c>
      <c r="W41" s="7">
        <f>+[1]Resumen!W41*1000</f>
        <v>47686.393453999997</v>
      </c>
      <c r="X41" s="7">
        <f>+[1]Resumen!X41*1000</f>
        <v>55268.083317999997</v>
      </c>
      <c r="Y41" s="7">
        <f>+[1]Resumen!Y41*1000</f>
        <v>54469.433452000005</v>
      </c>
      <c r="Z41" s="7">
        <f>+[1]Resumen!Z41*1000</f>
        <v>49700.918820000006</v>
      </c>
      <c r="AA41" s="7">
        <f>+[1]Resumen!AA41*1000</f>
        <v>42194.826435999996</v>
      </c>
      <c r="AB41" s="7">
        <f>+[1]Resumen!AB41*1000</f>
        <v>32510.872604</v>
      </c>
      <c r="AC41" s="7">
        <f>+[1]Resumen!AC41*1000</f>
        <v>24134.662202</v>
      </c>
      <c r="AD41" s="65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+[1]Resumen!F42*1000</f>
        <v>0</v>
      </c>
      <c r="G42" s="7">
        <f>+[1]Resumen!G42*1000</f>
        <v>0</v>
      </c>
      <c r="H42" s="7">
        <f>+[1]Resumen!H42*1000</f>
        <v>0</v>
      </c>
      <c r="I42" s="7">
        <f>+[1]Resumen!I42*1000</f>
        <v>0</v>
      </c>
      <c r="J42" s="7">
        <f>+[1]Resumen!J42*1000</f>
        <v>0</v>
      </c>
      <c r="K42" s="7">
        <f>+[1]Resumen!K42*1000</f>
        <v>0</v>
      </c>
      <c r="L42" s="7">
        <f>+[1]Resumen!L42*1000</f>
        <v>0</v>
      </c>
      <c r="M42" s="7">
        <f>+[1]Resumen!M42*1000</f>
        <v>0</v>
      </c>
      <c r="N42" s="7">
        <f>+[1]Resumen!N42*1000</f>
        <v>0</v>
      </c>
      <c r="O42" s="7">
        <f>+[1]Resumen!O42*1000</f>
        <v>0</v>
      </c>
      <c r="P42" s="7">
        <f>+[1]Resumen!P42*1000</f>
        <v>0</v>
      </c>
      <c r="Q42" s="7">
        <f>+[1]Resumen!Q42*1000</f>
        <v>0</v>
      </c>
      <c r="R42" s="7">
        <f>+[1]Resumen!R42*1000</f>
        <v>0</v>
      </c>
      <c r="S42" s="7">
        <f>+[1]Resumen!S42*1000</f>
        <v>0</v>
      </c>
      <c r="T42" s="7">
        <f>+[1]Resumen!T42*1000</f>
        <v>0</v>
      </c>
      <c r="U42" s="7">
        <f>+[1]Resumen!U42*1000</f>
        <v>0</v>
      </c>
      <c r="V42" s="7">
        <f>+[1]Resumen!V42*1000</f>
        <v>0</v>
      </c>
      <c r="W42" s="7">
        <f>+[1]Resumen!W42*1000</f>
        <v>0</v>
      </c>
      <c r="X42" s="7">
        <f>+[1]Resumen!X42*1000</f>
        <v>0</v>
      </c>
      <c r="Y42" s="7">
        <f>+[1]Resumen!Y42*1000</f>
        <v>0</v>
      </c>
      <c r="Z42" s="7">
        <f>+[1]Resumen!Z42*1000</f>
        <v>0</v>
      </c>
      <c r="AA42" s="7">
        <f>+[1]Resumen!AA42*1000</f>
        <v>0</v>
      </c>
      <c r="AB42" s="7">
        <f>+[1]Resumen!AB42*1000</f>
        <v>0</v>
      </c>
      <c r="AC42" s="7">
        <f>+[1]Resumen!AC42*1000</f>
        <v>0</v>
      </c>
      <c r="AD42" s="66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20</v>
      </c>
      <c r="F43" s="7">
        <f>+[1]Resumen!F43*1000</f>
        <v>42722.219847999993</v>
      </c>
      <c r="G43" s="7">
        <f>+[1]Resumen!G43*1000</f>
        <v>38073.484581999997</v>
      </c>
      <c r="H43" s="7">
        <f>+[1]Resumen!H43*1000</f>
        <v>36098.181420000001</v>
      </c>
      <c r="I43" s="7">
        <f>+[1]Resumen!I43*1000</f>
        <v>35669.529602000002</v>
      </c>
      <c r="J43" s="7">
        <f>+[1]Resumen!J43*1000</f>
        <v>38753.772133999999</v>
      </c>
      <c r="K43" s="7">
        <f>+[1]Resumen!K43*1000</f>
        <v>50859.483864000002</v>
      </c>
      <c r="L43" s="7">
        <f>+[1]Resumen!L43*1000</f>
        <v>59619.933365999997</v>
      </c>
      <c r="M43" s="7">
        <f>+[1]Resumen!M43*1000</f>
        <v>54935.149835999997</v>
      </c>
      <c r="N43" s="7">
        <f>+[1]Resumen!N43*1000</f>
        <v>58588.483015999998</v>
      </c>
      <c r="O43" s="7">
        <f>+[1]Resumen!O43*1000</f>
        <v>60529.270382000002</v>
      </c>
      <c r="P43" s="7">
        <f>+[1]Resumen!P43*1000</f>
        <v>66223.924675999995</v>
      </c>
      <c r="Q43" s="7">
        <f>+[1]Resumen!Q43*1000</f>
        <v>71209.684280000001</v>
      </c>
      <c r="R43" s="7">
        <f>+[1]Resumen!R43*1000</f>
        <v>72136.74085799999</v>
      </c>
      <c r="S43" s="7">
        <f>+[1]Resumen!S43*1000</f>
        <v>72506.492043999999</v>
      </c>
      <c r="T43" s="7">
        <f>+[1]Resumen!T43*1000</f>
        <v>74456.528720000002</v>
      </c>
      <c r="U43" s="7">
        <f>+[1]Resumen!U43*1000</f>
        <v>75698.943488000004</v>
      </c>
      <c r="V43" s="7">
        <f>+[1]Resumen!V43*1000</f>
        <v>73501.855658</v>
      </c>
      <c r="W43" s="7">
        <f>+[1]Resumen!W43*1000</f>
        <v>58730.149743999995</v>
      </c>
      <c r="X43" s="7">
        <f>+[1]Resumen!X43*1000</f>
        <v>64363.768210000002</v>
      </c>
      <c r="Y43" s="7">
        <f>+[1]Resumen!Y43*1000</f>
        <v>63132.308343999997</v>
      </c>
      <c r="Z43" s="7">
        <f>+[1]Resumen!Z43*1000</f>
        <v>58256.854375999996</v>
      </c>
      <c r="AA43" s="7">
        <f>+[1]Resumen!AA43*1000</f>
        <v>50288.508088000002</v>
      </c>
      <c r="AB43" s="7">
        <f>+[1]Resumen!AB43*1000</f>
        <v>38026.109519999998</v>
      </c>
      <c r="AC43" s="7">
        <f>+[1]Resumen!AC43*1000</f>
        <v>31602.766692000001</v>
      </c>
      <c r="AD43" s="64">
        <f t="shared" ref="AD43" si="6">SUM(F43:AC43)*E43+SUM(F44:AC44)*E44+SUM(F45:AC45)*E45+SUM(F46:AC46)*E46</f>
        <v>38955128.019317992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5</v>
      </c>
      <c r="F44" s="7">
        <f>+[1]Resumen!F44*1000</f>
        <v>42184.355639999994</v>
      </c>
      <c r="G44" s="7">
        <f>+[1]Resumen!G44*1000</f>
        <v>36795.621071999994</v>
      </c>
      <c r="H44" s="7">
        <f>+[1]Resumen!H44*1000</f>
        <v>33523.407553999998</v>
      </c>
      <c r="I44" s="7">
        <f>+[1]Resumen!I44*1000</f>
        <v>32106.765922000002</v>
      </c>
      <c r="J44" s="7">
        <f>+[1]Resumen!J44*1000</f>
        <v>34240.108853999998</v>
      </c>
      <c r="K44" s="7">
        <f>+[1]Resumen!K44*1000</f>
        <v>39263.195915999997</v>
      </c>
      <c r="L44" s="7">
        <f>+[1]Resumen!L44*1000</f>
        <v>44327.053679999997</v>
      </c>
      <c r="M44" s="7">
        <f>+[1]Resumen!M44*1000</f>
        <v>42867.127842000002</v>
      </c>
      <c r="N44" s="7">
        <f>+[1]Resumen!N44*1000</f>
        <v>49258.038774000001</v>
      </c>
      <c r="O44" s="7">
        <f>+[1]Resumen!O44*1000</f>
        <v>54268.798765999993</v>
      </c>
      <c r="P44" s="7">
        <f>+[1]Resumen!P44*1000</f>
        <v>58839.346103999997</v>
      </c>
      <c r="Q44" s="7">
        <f>+[1]Resumen!Q44*1000</f>
        <v>61324.925843999998</v>
      </c>
      <c r="R44" s="7">
        <f>+[1]Resumen!R44*1000</f>
        <v>61654.114717999997</v>
      </c>
      <c r="S44" s="7">
        <f>+[1]Resumen!S44*1000</f>
        <v>62535.485796000001</v>
      </c>
      <c r="T44" s="7">
        <f>+[1]Resumen!T44*1000</f>
        <v>65149.116382</v>
      </c>
      <c r="U44" s="7">
        <f>+[1]Resumen!U44*1000</f>
        <v>69063.818711999993</v>
      </c>
      <c r="V44" s="7">
        <f>+[1]Resumen!V44*1000</f>
        <v>69252.443721999996</v>
      </c>
      <c r="W44" s="7">
        <f>+[1]Resumen!W44*1000</f>
        <v>56778.843492</v>
      </c>
      <c r="X44" s="7">
        <f>+[1]Resumen!X44*1000</f>
        <v>59976.261029999994</v>
      </c>
      <c r="Y44" s="7">
        <f>+[1]Resumen!Y44*1000</f>
        <v>57394.821889999999</v>
      </c>
      <c r="Z44" s="7">
        <f>+[1]Resumen!Z44*1000</f>
        <v>52469.825603999998</v>
      </c>
      <c r="AA44" s="7">
        <f>+[1]Resumen!AA44*1000</f>
        <v>45156.933192000004</v>
      </c>
      <c r="AB44" s="7">
        <f>+[1]Resumen!AB44*1000</f>
        <v>36762.948726000002</v>
      </c>
      <c r="AC44" s="7">
        <f>+[1]Resumen!AC44*1000</f>
        <v>28902.051528</v>
      </c>
      <c r="AD44" s="65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5</v>
      </c>
      <c r="F45" s="7">
        <f>+[1]Resumen!F45*1000</f>
        <v>40757.320155999994</v>
      </c>
      <c r="G45" s="7">
        <f>+[1]Resumen!G45*1000</f>
        <v>37160.165714000002</v>
      </c>
      <c r="H45" s="7">
        <f>+[1]Resumen!H45*1000</f>
        <v>33953.139794000002</v>
      </c>
      <c r="I45" s="7">
        <f>+[1]Resumen!I45*1000</f>
        <v>31960.79033</v>
      </c>
      <c r="J45" s="7">
        <f>+[1]Resumen!J45*1000</f>
        <v>31881.015432</v>
      </c>
      <c r="K45" s="7">
        <f>+[1]Resumen!K45*1000</f>
        <v>33894.251985999996</v>
      </c>
      <c r="L45" s="7">
        <f>+[1]Resumen!L45*1000</f>
        <v>34893.167847999997</v>
      </c>
      <c r="M45" s="7">
        <f>+[1]Resumen!M45*1000</f>
        <v>31379.795803999998</v>
      </c>
      <c r="N45" s="7">
        <f>+[1]Resumen!N45*1000</f>
        <v>34896.268049999999</v>
      </c>
      <c r="O45" s="7">
        <f>+[1]Resumen!O45*1000</f>
        <v>39229.321319999995</v>
      </c>
      <c r="P45" s="7">
        <f>+[1]Resumen!P45*1000</f>
        <v>44137.550225999999</v>
      </c>
      <c r="Q45" s="7">
        <f>+[1]Resumen!Q45*1000</f>
        <v>49085.713067999997</v>
      </c>
      <c r="R45" s="7">
        <f>+[1]Resumen!R45*1000</f>
        <v>52718.373960000004</v>
      </c>
      <c r="S45" s="7">
        <f>+[1]Resumen!S45*1000</f>
        <v>55091.820643999999</v>
      </c>
      <c r="T45" s="7">
        <f>+[1]Resumen!T45*1000</f>
        <v>55915.426013999997</v>
      </c>
      <c r="U45" s="7">
        <f>+[1]Resumen!U45*1000</f>
        <v>56524.431361999996</v>
      </c>
      <c r="V45" s="7">
        <f>+[1]Resumen!V45*1000</f>
        <v>57519.961688000003</v>
      </c>
      <c r="W45" s="7">
        <f>+[1]Resumen!W45*1000</f>
        <v>45261.410320000003</v>
      </c>
      <c r="X45" s="7">
        <f>+[1]Resumen!X45*1000</f>
        <v>54817.278039999997</v>
      </c>
      <c r="Y45" s="7">
        <f>+[1]Resumen!Y45*1000</f>
        <v>53846.177434000005</v>
      </c>
      <c r="Z45" s="7">
        <f>+[1]Resumen!Z45*1000</f>
        <v>49692.034993999994</v>
      </c>
      <c r="AA45" s="7">
        <f>+[1]Resumen!AA45*1000</f>
        <v>42921.774111999999</v>
      </c>
      <c r="AB45" s="7">
        <f>+[1]Resumen!AB45*1000</f>
        <v>33161.443742000003</v>
      </c>
      <c r="AC45" s="7">
        <f>+[1]Resumen!AC45*1000</f>
        <v>24060.411242000002</v>
      </c>
      <c r="AD45" s="65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+[1]Resumen!F46*1000</f>
        <v>35595.531916</v>
      </c>
      <c r="G46" s="7">
        <f>+[1]Resumen!G46*1000</f>
        <v>31502.434921999997</v>
      </c>
      <c r="H46" s="7">
        <f>+[1]Resumen!H46*1000</f>
        <v>27825.031094000002</v>
      </c>
      <c r="I46" s="7">
        <f>+[1]Resumen!I46*1000</f>
        <v>27199.409048000001</v>
      </c>
      <c r="J46" s="7">
        <f>+[1]Resumen!J46*1000</f>
        <v>27649.717396</v>
      </c>
      <c r="K46" s="7">
        <f>+[1]Resumen!K46*1000</f>
        <v>31263.523802</v>
      </c>
      <c r="L46" s="7">
        <f>+[1]Resumen!L46*1000</f>
        <v>32181.869678000006</v>
      </c>
      <c r="M46" s="7">
        <f>+[1]Resumen!M46*1000</f>
        <v>27663.503196000001</v>
      </c>
      <c r="N46" s="7">
        <f>+[1]Resumen!N46*1000</f>
        <v>33619.475343999999</v>
      </c>
      <c r="O46" s="7">
        <f>+[1]Resumen!O46*1000</f>
        <v>39644.485496000001</v>
      </c>
      <c r="P46" s="7">
        <f>+[1]Resumen!P46*1000</f>
        <v>42797.689088000006</v>
      </c>
      <c r="Q46" s="7">
        <f>+[1]Resumen!Q46*1000</f>
        <v>46504.581703999997</v>
      </c>
      <c r="R46" s="7">
        <f>+[1]Resumen!R46*1000</f>
        <v>52541.143074</v>
      </c>
      <c r="S46" s="7">
        <f>+[1]Resumen!S46*1000</f>
        <v>52119.925970000004</v>
      </c>
      <c r="T46" s="7">
        <f>+[1]Resumen!T46*1000</f>
        <v>51460.448563999998</v>
      </c>
      <c r="U46" s="7">
        <f>+[1]Resumen!U46*1000</f>
        <v>51994.786172</v>
      </c>
      <c r="V46" s="7">
        <f>+[1]Resumen!V46*1000</f>
        <v>54043.971603999998</v>
      </c>
      <c r="W46" s="7">
        <f>+[1]Resumen!W46*1000</f>
        <v>46104.838388000004</v>
      </c>
      <c r="X46" s="7">
        <f>+[1]Resumen!X46*1000</f>
        <v>53171.497175999997</v>
      </c>
      <c r="Y46" s="7">
        <f>+[1]Resumen!Y46*1000</f>
        <v>50974.50232</v>
      </c>
      <c r="Z46" s="7">
        <f>+[1]Resumen!Z46*1000</f>
        <v>44529.656849999999</v>
      </c>
      <c r="AA46" s="7">
        <f>+[1]Resumen!AA46*1000</f>
        <v>36404.030614000003</v>
      </c>
      <c r="AB46" s="7">
        <f>+[1]Resumen!AB46*1000</f>
        <v>26107.169731999998</v>
      </c>
      <c r="AC46" s="7">
        <f>+[1]Resumen!AC46*1000</f>
        <v>18273.671009999998</v>
      </c>
      <c r="AD46" s="66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+[1]Resumen!F47*1000</f>
        <v>44906.416352</v>
      </c>
      <c r="G47" s="7">
        <f>+[1]Resumen!G47*1000</f>
        <v>40346.480874000001</v>
      </c>
      <c r="H47" s="7">
        <f>+[1]Resumen!H47*1000</f>
        <v>37646.612094000004</v>
      </c>
      <c r="I47" s="7">
        <f>+[1]Resumen!I47*1000</f>
        <v>37162.948521999999</v>
      </c>
      <c r="J47" s="7">
        <f>+[1]Resumen!J47*1000</f>
        <v>40272.819817999996</v>
      </c>
      <c r="K47" s="7">
        <f>+[1]Resumen!K47*1000</f>
        <v>52301.632431999999</v>
      </c>
      <c r="L47" s="7">
        <f>+[1]Resumen!L47*1000</f>
        <v>62212.898075999998</v>
      </c>
      <c r="M47" s="7">
        <f>+[1]Resumen!M47*1000</f>
        <v>57075.154836000002</v>
      </c>
      <c r="N47" s="7">
        <f>+[1]Resumen!N47*1000</f>
        <v>60922.274685999997</v>
      </c>
      <c r="O47" s="7">
        <f>+[1]Resumen!O47*1000</f>
        <v>63260.282246000002</v>
      </c>
      <c r="P47" s="7">
        <f>+[1]Resumen!P47*1000</f>
        <v>69654.001634</v>
      </c>
      <c r="Q47" s="7">
        <f>+[1]Resumen!Q47*1000</f>
        <v>73687.627328000002</v>
      </c>
      <c r="R47" s="7">
        <f>+[1]Resumen!R47*1000</f>
        <v>73570.194753999996</v>
      </c>
      <c r="S47" s="7">
        <f>+[1]Resumen!S47*1000</f>
        <v>74874.276931999993</v>
      </c>
      <c r="T47" s="7">
        <f>+[1]Resumen!T47*1000</f>
        <v>78358.932834000007</v>
      </c>
      <c r="U47" s="7">
        <f>+[1]Resumen!U47*1000</f>
        <v>79755.165070000003</v>
      </c>
      <c r="V47" s="7">
        <f>+[1]Resumen!V47*1000</f>
        <v>77198.017791999999</v>
      </c>
      <c r="W47" s="7">
        <f>+[1]Resumen!W47*1000</f>
        <v>62148.162523999999</v>
      </c>
      <c r="X47" s="7">
        <f>+[1]Resumen!X47*1000</f>
        <v>66380.492891999995</v>
      </c>
      <c r="Y47" s="7">
        <f>+[1]Resumen!Y47*1000</f>
        <v>64214.131365999987</v>
      </c>
      <c r="Z47" s="7">
        <f>+[1]Resumen!Z47*1000</f>
        <v>58906.050139999999</v>
      </c>
      <c r="AA47" s="7">
        <f>+[1]Resumen!AA47*1000</f>
        <v>51816.571043999997</v>
      </c>
      <c r="AB47" s="7">
        <f>+[1]Resumen!AB47*1000</f>
        <v>40021.052638000001</v>
      </c>
      <c r="AC47" s="7">
        <f>+[1]Resumen!AC47*1000</f>
        <v>33643.299129999999</v>
      </c>
      <c r="AD47" s="64">
        <f t="shared" ref="AD47" si="7">SUM(F47:AC47)*E47+SUM(F48:AC48)*E48+SUM(F49:AC49)*E49+SUM(F50:AC50)*E50</f>
        <v>39641632.117527992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+[1]Resumen!F48*1000</f>
        <v>43761.585811999998</v>
      </c>
      <c r="G48" s="7">
        <f>+[1]Resumen!G48*1000</f>
        <v>38228.568419999996</v>
      </c>
      <c r="H48" s="7">
        <f>+[1]Resumen!H48*1000</f>
        <v>35346.890586000001</v>
      </c>
      <c r="I48" s="7">
        <f>+[1]Resumen!I48*1000</f>
        <v>34452.362084</v>
      </c>
      <c r="J48" s="7">
        <f>+[1]Resumen!J48*1000</f>
        <v>36151.243926000003</v>
      </c>
      <c r="K48" s="7">
        <f>+[1]Resumen!K48*1000</f>
        <v>40847.014417999999</v>
      </c>
      <c r="L48" s="7">
        <f>+[1]Resumen!L48*1000</f>
        <v>47063.082934000005</v>
      </c>
      <c r="M48" s="7">
        <f>+[1]Resumen!M48*1000</f>
        <v>45855.459677999999</v>
      </c>
      <c r="N48" s="7">
        <f>+[1]Resumen!N48*1000</f>
        <v>51948.372909999998</v>
      </c>
      <c r="O48" s="7">
        <f>+[1]Resumen!O48*1000</f>
        <v>57326.649506000002</v>
      </c>
      <c r="P48" s="7">
        <f>+[1]Resumen!P48*1000</f>
        <v>62314.114702000006</v>
      </c>
      <c r="Q48" s="7">
        <f>+[1]Resumen!Q48*1000</f>
        <v>65257.831842</v>
      </c>
      <c r="R48" s="7">
        <f>+[1]Resumen!R48*1000</f>
        <v>65030.949634000011</v>
      </c>
      <c r="S48" s="7">
        <f>+[1]Resumen!S48*1000</f>
        <v>65259.870858000002</v>
      </c>
      <c r="T48" s="7">
        <f>+[1]Resumen!T48*1000</f>
        <v>66179.245859999995</v>
      </c>
      <c r="U48" s="7">
        <f>+[1]Resumen!U48*1000</f>
        <v>67851.293481999994</v>
      </c>
      <c r="V48" s="7">
        <f>+[1]Resumen!V48*1000</f>
        <v>69109.180405999999</v>
      </c>
      <c r="W48" s="7">
        <f>+[1]Resumen!W48*1000</f>
        <v>57588.637413999997</v>
      </c>
      <c r="X48" s="7">
        <f>+[1]Resumen!X48*1000</f>
        <v>63988.169279999995</v>
      </c>
      <c r="Y48" s="7">
        <f>+[1]Resumen!Y48*1000</f>
        <v>60894.799265999995</v>
      </c>
      <c r="Z48" s="7">
        <f>+[1]Resumen!Z48*1000</f>
        <v>56266.277829999999</v>
      </c>
      <c r="AA48" s="7">
        <f>+[1]Resumen!AA48*1000</f>
        <v>49089.579504000001</v>
      </c>
      <c r="AB48" s="7">
        <f>+[1]Resumen!AB48*1000</f>
        <v>41435.898910000004</v>
      </c>
      <c r="AC48" s="7">
        <f>+[1]Resumen!AC48*1000</f>
        <v>33534.67985</v>
      </c>
      <c r="AD48" s="65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+[1]Resumen!F49*1000</f>
        <v>46313.805467999999</v>
      </c>
      <c r="G49" s="7">
        <f>+[1]Resumen!G49*1000</f>
        <v>41947.86505</v>
      </c>
      <c r="H49" s="7">
        <f>+[1]Resumen!H49*1000</f>
        <v>37995.851291999999</v>
      </c>
      <c r="I49" s="7">
        <f>+[1]Resumen!I49*1000</f>
        <v>36416.675078</v>
      </c>
      <c r="J49" s="7">
        <f>+[1]Resumen!J49*1000</f>
        <v>36332.392544000002</v>
      </c>
      <c r="K49" s="7">
        <f>+[1]Resumen!K49*1000</f>
        <v>38102.235990000001</v>
      </c>
      <c r="L49" s="7">
        <f>+[1]Resumen!L49*1000</f>
        <v>39037.317186</v>
      </c>
      <c r="M49" s="7">
        <f>+[1]Resumen!M49*1000</f>
        <v>34184.321248</v>
      </c>
      <c r="N49" s="7">
        <f>+[1]Resumen!N49*1000</f>
        <v>38711.638881999999</v>
      </c>
      <c r="O49" s="7">
        <f>+[1]Resumen!O49*1000</f>
        <v>42386.769656000004</v>
      </c>
      <c r="P49" s="7">
        <f>+[1]Resumen!P49*1000</f>
        <v>46207.635571999999</v>
      </c>
      <c r="Q49" s="7">
        <f>+[1]Resumen!Q49*1000</f>
        <v>51526.514606000004</v>
      </c>
      <c r="R49" s="7">
        <f>+[1]Resumen!R49*1000</f>
        <v>54711.531336</v>
      </c>
      <c r="S49" s="7">
        <f>+[1]Resumen!S49*1000</f>
        <v>57360.895997999993</v>
      </c>
      <c r="T49" s="7">
        <f>+[1]Resumen!T49*1000</f>
        <v>58340.332203999998</v>
      </c>
      <c r="U49" s="7">
        <f>+[1]Resumen!U49*1000</f>
        <v>59204.884606</v>
      </c>
      <c r="V49" s="7">
        <f>+[1]Resumen!V49*1000</f>
        <v>60527.439756</v>
      </c>
      <c r="W49" s="7">
        <f>+[1]Resumen!W49*1000</f>
        <v>52861.364765999992</v>
      </c>
      <c r="X49" s="7">
        <f>+[1]Resumen!X49*1000</f>
        <v>57118.503161999994</v>
      </c>
      <c r="Y49" s="7">
        <f>+[1]Resumen!Y49*1000</f>
        <v>54983.852182000002</v>
      </c>
      <c r="Z49" s="7">
        <f>+[1]Resumen!Z49*1000</f>
        <v>49646.663681999999</v>
      </c>
      <c r="AA49" s="7">
        <f>+[1]Resumen!AA49*1000</f>
        <v>43025.055402000005</v>
      </c>
      <c r="AB49" s="7">
        <f>+[1]Resumen!AB49*1000</f>
        <v>34854.497076</v>
      </c>
      <c r="AC49" s="7">
        <f>+[1]Resumen!AC49*1000</f>
        <v>27426.207900000001</v>
      </c>
      <c r="AD49" s="65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+[1]Resumen!F50*1000</f>
        <v>43776.618746</v>
      </c>
      <c r="G50" s="7">
        <f>+[1]Resumen!G50*1000</f>
        <v>38032.515108</v>
      </c>
      <c r="H50" s="7">
        <f>+[1]Resumen!H50*1000</f>
        <v>35198.885596</v>
      </c>
      <c r="I50" s="7">
        <f>+[1]Resumen!I50*1000</f>
        <v>33449.986947999998</v>
      </c>
      <c r="J50" s="7">
        <f>+[1]Resumen!J50*1000</f>
        <v>34518.319122000001</v>
      </c>
      <c r="K50" s="7">
        <f>+[1]Resumen!K50*1000</f>
        <v>36582.806792000003</v>
      </c>
      <c r="L50" s="7">
        <f>+[1]Resumen!L50*1000</f>
        <v>37186.307437999996</v>
      </c>
      <c r="M50" s="7">
        <f>+[1]Resumen!M50*1000</f>
        <v>33282.005372</v>
      </c>
      <c r="N50" s="7">
        <f>+[1]Resumen!N50*1000</f>
        <v>38277.693957999996</v>
      </c>
      <c r="O50" s="7">
        <f>+[1]Resumen!O50*1000</f>
        <v>43055.191802000001</v>
      </c>
      <c r="P50" s="7">
        <f>+[1]Resumen!P50*1000</f>
        <v>46844.154811999993</v>
      </c>
      <c r="Q50" s="7">
        <f>+[1]Resumen!Q50*1000</f>
        <v>53248.521325999995</v>
      </c>
      <c r="R50" s="7">
        <f>+[1]Resumen!R50*1000</f>
        <v>58770.891592</v>
      </c>
      <c r="S50" s="7">
        <f>+[1]Resumen!S50*1000</f>
        <v>61934.873756000001</v>
      </c>
      <c r="T50" s="7">
        <f>+[1]Resumen!T50*1000</f>
        <v>61913.512177999997</v>
      </c>
      <c r="U50" s="7">
        <f>+[1]Resumen!U50*1000</f>
        <v>62810.182288000004</v>
      </c>
      <c r="V50" s="7">
        <f>+[1]Resumen!V50*1000</f>
        <v>62085.427515999996</v>
      </c>
      <c r="W50" s="7">
        <f>+[1]Resumen!W50*1000</f>
        <v>50691.489463999998</v>
      </c>
      <c r="X50" s="7">
        <f>+[1]Resumen!X50*1000</f>
        <v>58868.975956000002</v>
      </c>
      <c r="Y50" s="7">
        <f>+[1]Resumen!Y50*1000</f>
        <v>57153.002928000002</v>
      </c>
      <c r="Z50" s="7">
        <f>+[1]Resumen!Z50*1000</f>
        <v>53014.874457999998</v>
      </c>
      <c r="AA50" s="7">
        <f>+[1]Resumen!AA50*1000</f>
        <v>44625.516250000001</v>
      </c>
      <c r="AB50" s="7">
        <f>+[1]Resumen!AB50*1000</f>
        <v>36266.047579999999</v>
      </c>
      <c r="AC50" s="7">
        <f>+[1]Resumen!AC50*1000</f>
        <v>27861.278129999999</v>
      </c>
      <c r="AD50" s="66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22</v>
      </c>
      <c r="F51" s="7">
        <f>+[1]Resumen!F51*1000</f>
        <v>51439.160724000001</v>
      </c>
      <c r="G51" s="7">
        <f>+[1]Resumen!G51*1000</f>
        <v>45800.268388000004</v>
      </c>
      <c r="H51" s="7">
        <f>+[1]Resumen!H51*1000</f>
        <v>42405.729939999997</v>
      </c>
      <c r="I51" s="7">
        <f>+[1]Resumen!I51*1000</f>
        <v>41524.163295999999</v>
      </c>
      <c r="J51" s="7">
        <f>+[1]Resumen!J51*1000</f>
        <v>43080.467906000005</v>
      </c>
      <c r="K51" s="7">
        <f>+[1]Resumen!K51*1000</f>
        <v>51115.457315999993</v>
      </c>
      <c r="L51" s="7">
        <f>+[1]Resumen!L51*1000</f>
        <v>59720.688328000004</v>
      </c>
      <c r="M51" s="7">
        <f>+[1]Resumen!M51*1000</f>
        <v>58953.409172</v>
      </c>
      <c r="N51" s="7">
        <f>+[1]Resumen!N51*1000</f>
        <v>64421.800015999994</v>
      </c>
      <c r="O51" s="7">
        <f>+[1]Resumen!O51*1000</f>
        <v>68238.472483999998</v>
      </c>
      <c r="P51" s="7">
        <f>+[1]Resumen!P51*1000</f>
        <v>72916.561885999996</v>
      </c>
      <c r="Q51" s="7">
        <f>+[1]Resumen!Q51*1000</f>
        <v>77043.998345999993</v>
      </c>
      <c r="R51" s="7">
        <f>+[1]Resumen!R51*1000</f>
        <v>79580.986296000003</v>
      </c>
      <c r="S51" s="7">
        <f>+[1]Resumen!S51*1000</f>
        <v>80551.561117999998</v>
      </c>
      <c r="T51" s="7">
        <f>+[1]Resumen!T51*1000</f>
        <v>82694.239921999993</v>
      </c>
      <c r="U51" s="7">
        <f>+[1]Resumen!U51*1000</f>
        <v>84490.167384</v>
      </c>
      <c r="V51" s="7">
        <f>+[1]Resumen!V51*1000</f>
        <v>83355.628104000003</v>
      </c>
      <c r="W51" s="7">
        <f>+[1]Resumen!W51*1000</f>
        <v>69476.555945999993</v>
      </c>
      <c r="X51" s="7">
        <f>+[1]Resumen!X51*1000</f>
        <v>74907.62574399999</v>
      </c>
      <c r="Y51" s="7">
        <f>+[1]Resumen!Y51*1000</f>
        <v>73032.183069999999</v>
      </c>
      <c r="Z51" s="7">
        <f>+[1]Resumen!Z51*1000</f>
        <v>67313.586368000004</v>
      </c>
      <c r="AA51" s="7">
        <f>+[1]Resumen!AA51*1000</f>
        <v>59376.187597999997</v>
      </c>
      <c r="AB51" s="7">
        <f>+[1]Resumen!AB51*1000</f>
        <v>47996.493803999998</v>
      </c>
      <c r="AC51" s="7">
        <f>+[1]Resumen!AC51*1000</f>
        <v>42305.285960000001</v>
      </c>
      <c r="AD51" s="64">
        <f t="shared" ref="AD51" si="8">SUM(F51:AC51)*E51+SUM(F52:AC52)*E52+SUM(F53:AC53)*E53+SUM(F54:AC54)*E54</f>
        <v>44711422.895510003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3</v>
      </c>
      <c r="F52" s="7">
        <f>+[1]Resumen!F52*1000</f>
        <v>48950.031942000001</v>
      </c>
      <c r="G52" s="7">
        <f>+[1]Resumen!G52*1000</f>
        <v>42636.379197999995</v>
      </c>
      <c r="H52" s="7">
        <f>+[1]Resumen!H52*1000</f>
        <v>39229.891987999996</v>
      </c>
      <c r="I52" s="7">
        <f>+[1]Resumen!I52*1000</f>
        <v>38343.182919999999</v>
      </c>
      <c r="J52" s="7">
        <f>+[1]Resumen!J52*1000</f>
        <v>37802.936653999997</v>
      </c>
      <c r="K52" s="7">
        <f>+[1]Resumen!K52*1000</f>
        <v>45865.417514000001</v>
      </c>
      <c r="L52" s="7">
        <f>+[1]Resumen!L52*1000</f>
        <v>48377.469195999998</v>
      </c>
      <c r="M52" s="7">
        <f>+[1]Resumen!M52*1000</f>
        <v>48435.731834000006</v>
      </c>
      <c r="N52" s="7">
        <f>+[1]Resumen!N52*1000</f>
        <v>56348.928509999998</v>
      </c>
      <c r="O52" s="7">
        <f>+[1]Resumen!O52*1000</f>
        <v>61569.787299999996</v>
      </c>
      <c r="P52" s="7">
        <f>+[1]Resumen!P52*1000</f>
        <v>66707.822285999995</v>
      </c>
      <c r="Q52" s="7">
        <f>+[1]Resumen!Q52*1000</f>
        <v>69300.867146000004</v>
      </c>
      <c r="R52" s="7">
        <f>+[1]Resumen!R52*1000</f>
        <v>71783.446070000005</v>
      </c>
      <c r="S52" s="7">
        <f>+[1]Resumen!S52*1000</f>
        <v>72943.652585999997</v>
      </c>
      <c r="T52" s="7">
        <f>+[1]Resumen!T52*1000</f>
        <v>74554.725293999989</v>
      </c>
      <c r="U52" s="7">
        <f>+[1]Resumen!U52*1000</f>
        <v>75779.955902000002</v>
      </c>
      <c r="V52" s="7">
        <f>+[1]Resumen!V52*1000</f>
        <v>77045.569285999998</v>
      </c>
      <c r="W52" s="7">
        <f>+[1]Resumen!W52*1000</f>
        <v>63079.242632000001</v>
      </c>
      <c r="X52" s="7">
        <f>+[1]Resumen!X52*1000</f>
        <v>70951.969970000006</v>
      </c>
      <c r="Y52" s="7">
        <f>+[1]Resumen!Y52*1000</f>
        <v>69845.159383999999</v>
      </c>
      <c r="Z52" s="7">
        <f>+[1]Resumen!Z52*1000</f>
        <v>64584.706494000005</v>
      </c>
      <c r="AA52" s="7">
        <f>+[1]Resumen!AA52*1000</f>
        <v>57012.176171999999</v>
      </c>
      <c r="AB52" s="7">
        <f>+[1]Resumen!AB52*1000</f>
        <v>48848.058700000001</v>
      </c>
      <c r="AC52" s="7">
        <f>+[1]Resumen!AC52*1000</f>
        <v>39787.735988</v>
      </c>
      <c r="AD52" s="65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+[1]Resumen!F53*1000</f>
        <v>51957.779313999999</v>
      </c>
      <c r="G53" s="7">
        <f>+[1]Resumen!G53*1000</f>
        <v>45842.517056000004</v>
      </c>
      <c r="H53" s="7">
        <f>+[1]Resumen!H53*1000</f>
        <v>41657.680371999995</v>
      </c>
      <c r="I53" s="7">
        <f>+[1]Resumen!I53*1000</f>
        <v>39550.928004000001</v>
      </c>
      <c r="J53" s="7">
        <f>+[1]Resumen!J53*1000</f>
        <v>39514.434106000001</v>
      </c>
      <c r="K53" s="7">
        <f>+[1]Resumen!K53*1000</f>
        <v>41990.357373999999</v>
      </c>
      <c r="L53" s="7">
        <f>+[1]Resumen!L53*1000</f>
        <v>43739.605475999997</v>
      </c>
      <c r="M53" s="7">
        <f>+[1]Resumen!M53*1000</f>
        <v>40700.663723999998</v>
      </c>
      <c r="N53" s="7">
        <f>+[1]Resumen!N53*1000</f>
        <v>47019.580720000005</v>
      </c>
      <c r="O53" s="7">
        <f>+[1]Resumen!O53*1000</f>
        <v>51835.758953999997</v>
      </c>
      <c r="P53" s="7">
        <f>+[1]Resumen!P53*1000</f>
        <v>56845.614853999999</v>
      </c>
      <c r="Q53" s="7">
        <f>+[1]Resumen!Q53*1000</f>
        <v>60615.476515999995</v>
      </c>
      <c r="R53" s="7">
        <f>+[1]Resumen!R53*1000</f>
        <v>63158.546247999999</v>
      </c>
      <c r="S53" s="7">
        <f>+[1]Resumen!S53*1000</f>
        <v>65650.220593999999</v>
      </c>
      <c r="T53" s="7">
        <f>+[1]Resumen!T53*1000</f>
        <v>68110.6685</v>
      </c>
      <c r="U53" s="7">
        <f>+[1]Resumen!U53*1000</f>
        <v>70184.347771999994</v>
      </c>
      <c r="V53" s="7">
        <f>+[1]Resumen!V53*1000</f>
        <v>70961.184013999999</v>
      </c>
      <c r="W53" s="7">
        <f>+[1]Resumen!W53*1000</f>
        <v>55281.978122</v>
      </c>
      <c r="X53" s="7">
        <f>+[1]Resumen!X53*1000</f>
        <v>62043.143581999997</v>
      </c>
      <c r="Y53" s="7">
        <f>+[1]Resumen!Y53*1000</f>
        <v>60748.535134000005</v>
      </c>
      <c r="Z53" s="7">
        <f>+[1]Resumen!Z53*1000</f>
        <v>54210.052021999996</v>
      </c>
      <c r="AA53" s="7">
        <f>+[1]Resumen!AA53*1000</f>
        <v>47477.516142</v>
      </c>
      <c r="AB53" s="7">
        <f>+[1]Resumen!AB53*1000</f>
        <v>41253.612161999998</v>
      </c>
      <c r="AC53" s="7">
        <f>+[1]Resumen!AC53*1000</f>
        <v>35092.343803999996</v>
      </c>
      <c r="AD53" s="65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+[1]Resumen!F54*1000</f>
        <v>44495.224410000003</v>
      </c>
      <c r="G54" s="7">
        <f>+[1]Resumen!G54*1000</f>
        <v>41012.274100000002</v>
      </c>
      <c r="H54" s="7">
        <f>+[1]Resumen!H54*1000</f>
        <v>37095.362836</v>
      </c>
      <c r="I54" s="7">
        <f>+[1]Resumen!I54*1000</f>
        <v>34668.763877999998</v>
      </c>
      <c r="J54" s="7">
        <f>+[1]Resumen!J54*1000</f>
        <v>34090.555366000001</v>
      </c>
      <c r="K54" s="7">
        <f>+[1]Resumen!K54*1000</f>
        <v>34908.684887999996</v>
      </c>
      <c r="L54" s="7">
        <f>+[1]Resumen!L54*1000</f>
        <v>33271.249242000005</v>
      </c>
      <c r="M54" s="7">
        <f>+[1]Resumen!M54*1000</f>
        <v>25775.496207999997</v>
      </c>
      <c r="N54" s="7">
        <f>+[1]Resumen!N54*1000</f>
        <v>27656.41473</v>
      </c>
      <c r="O54" s="7">
        <f>+[1]Resumen!O54*1000</f>
        <v>33372.555635999997</v>
      </c>
      <c r="P54" s="7">
        <f>+[1]Resumen!P54*1000</f>
        <v>38225.506689999995</v>
      </c>
      <c r="Q54" s="7">
        <f>+[1]Resumen!Q54*1000</f>
        <v>44021.537909999999</v>
      </c>
      <c r="R54" s="7">
        <f>+[1]Resumen!R54*1000</f>
        <v>51563.460549999996</v>
      </c>
      <c r="S54" s="7">
        <f>+[1]Resumen!S54*1000</f>
        <v>54779.280528000003</v>
      </c>
      <c r="T54" s="7">
        <f>+[1]Resumen!T54*1000</f>
        <v>56188.554771999996</v>
      </c>
      <c r="U54" s="7">
        <f>+[1]Resumen!U54*1000</f>
        <v>59107.354879999999</v>
      </c>
      <c r="V54" s="7">
        <f>+[1]Resumen!V54*1000</f>
        <v>59921.688497999996</v>
      </c>
      <c r="W54" s="7">
        <f>+[1]Resumen!W54*1000</f>
        <v>47872.129858</v>
      </c>
      <c r="X54" s="7">
        <f>+[1]Resumen!X54*1000</f>
        <v>54709.761623999999</v>
      </c>
      <c r="Y54" s="7">
        <f>+[1]Resumen!Y54*1000</f>
        <v>55590.481884000001</v>
      </c>
      <c r="Z54" s="7">
        <f>+[1]Resumen!Z54*1000</f>
        <v>50109.603670000004</v>
      </c>
      <c r="AA54" s="7">
        <f>+[1]Resumen!AA54*1000</f>
        <v>42541.346945999998</v>
      </c>
      <c r="AB54" s="7">
        <f>+[1]Resumen!AB54*1000</f>
        <v>34069.572096000004</v>
      </c>
      <c r="AC54" s="7">
        <f>+[1]Resumen!AC54*1000</f>
        <v>25954.759698000002</v>
      </c>
      <c r="AD54" s="66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Y55" s="61" t="s">
        <v>46</v>
      </c>
      <c r="Z55" s="62"/>
      <c r="AA55" s="62"/>
      <c r="AB55" s="62"/>
      <c r="AC55" s="63"/>
      <c r="AD55" s="60">
        <f>SUM(AD7:AD54)</f>
        <v>461415321.03156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7"/>
    </row>
  </sheetData>
  <mergeCells count="16">
    <mergeCell ref="AD15:AD18"/>
    <mergeCell ref="C2:AD2"/>
    <mergeCell ref="C3:AD3"/>
    <mergeCell ref="C4:AD4"/>
    <mergeCell ref="AD7:AD10"/>
    <mergeCell ref="AD11:AD14"/>
    <mergeCell ref="Y55:AC55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X55 AD5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5C97-6CFB-4CD7-93B5-29463B5EEB7F}">
  <sheetPr codeName="Hoja5"/>
  <dimension ref="C1:BD57"/>
  <sheetViews>
    <sheetView showGridLines="0" topLeftCell="G1" zoomScale="66" zoomScaleNormal="66" workbookViewId="0">
      <selection activeCell="AD55" sqref="AD7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1796875" style="1" bestFit="1" customWidth="1"/>
    <col min="5" max="5" width="7.54296875" style="1" bestFit="1" customWidth="1"/>
    <col min="6" max="10" width="7.81640625" style="1" bestFit="1" customWidth="1"/>
    <col min="11" max="12" width="8.54296875" style="1" bestFit="1" customWidth="1"/>
    <col min="13" max="22" width="11.54296875" style="1" customWidth="1"/>
    <col min="23" max="25" width="9" style="1" bestFit="1" customWidth="1"/>
    <col min="26" max="26" width="10.453125" style="1" customWidth="1"/>
    <col min="27" max="28" width="8.54296875" style="1" bestFit="1" customWidth="1"/>
    <col min="29" max="29" width="7.81640625" style="1" bestFit="1" customWidth="1"/>
    <col min="30" max="30" width="19.54296875" style="1" bestFit="1" customWidth="1"/>
    <col min="31" max="31" width="2.8164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7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 spans="3:56" ht="18.649999999999999" customHeight="1">
      <c r="C3" s="67" t="s">
        <v>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3:56" ht="18.649999999999999" customHeight="1">
      <c r="C4" s="67">
        <v>2028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20</v>
      </c>
      <c r="F7" s="7">
        <f>+[2]Resumen!F7*1000</f>
        <v>74040.340626000005</v>
      </c>
      <c r="G7" s="7">
        <f>+[2]Resumen!G7*1000</f>
        <v>62593.147755000005</v>
      </c>
      <c r="H7" s="7">
        <f>+[2]Resumen!H7*1000</f>
        <v>55846.89718800001</v>
      </c>
      <c r="I7" s="7">
        <f>+[2]Resumen!I7*1000</f>
        <v>55002.528519000007</v>
      </c>
      <c r="J7" s="7">
        <f>+[2]Resumen!J7*1000</f>
        <v>67163.651877000011</v>
      </c>
      <c r="K7" s="7">
        <f>+[2]Resumen!K7*1000</f>
        <v>93269.858895000012</v>
      </c>
      <c r="L7" s="7">
        <f>+[2]Resumen!L7*1000</f>
        <v>122335.51542300002</v>
      </c>
      <c r="M7" s="7">
        <f>+[2]Resumen!M7*1000</f>
        <v>128313.99022200001</v>
      </c>
      <c r="N7" s="7">
        <f>+[2]Resumen!N7*1000</f>
        <v>146490.52353900002</v>
      </c>
      <c r="O7" s="7">
        <f>+[2]Resumen!O7*1000</f>
        <v>158061.40956600002</v>
      </c>
      <c r="P7" s="7">
        <f>+[2]Resumen!P7*1000</f>
        <v>174195.22642200001</v>
      </c>
      <c r="Q7" s="7">
        <f>+[2]Resumen!Q7*1000</f>
        <v>188264.680911</v>
      </c>
      <c r="R7" s="7">
        <f>+[2]Resumen!R7*1000</f>
        <v>193920.21084000001</v>
      </c>
      <c r="S7" s="7">
        <f>+[2]Resumen!S7*1000</f>
        <v>190649.66583000001</v>
      </c>
      <c r="T7" s="7">
        <f>+[2]Resumen!T7*1000</f>
        <v>192962.17144200002</v>
      </c>
      <c r="U7" s="7">
        <f>+[2]Resumen!U7*1000</f>
        <v>192716.66359200003</v>
      </c>
      <c r="V7" s="7">
        <f>+[2]Resumen!V7*1000</f>
        <v>185995.07477400001</v>
      </c>
      <c r="W7" s="7">
        <f>+[2]Resumen!W7*1000</f>
        <v>161521.87342500003</v>
      </c>
      <c r="X7" s="7">
        <f>+[2]Resumen!X7*1000</f>
        <v>177348.74007900004</v>
      </c>
      <c r="Y7" s="7">
        <f>+[2]Resumen!Y7*1000</f>
        <v>180386.32806000003</v>
      </c>
      <c r="Z7" s="7">
        <f>+[2]Resumen!Z7*1000</f>
        <v>163421.03813700003</v>
      </c>
      <c r="AA7" s="7">
        <f>+[2]Resumen!AA7*1000</f>
        <v>135874.02698700002</v>
      </c>
      <c r="AB7" s="7">
        <f>+[2]Resumen!AB7*1000</f>
        <v>102020.51956500001</v>
      </c>
      <c r="AC7" s="7">
        <f>+[2]Resumen!AC7*1000</f>
        <v>74090.195166000005</v>
      </c>
      <c r="AD7" s="64">
        <f>SUM(F7:AC7)*E7+SUM(F8:AC8)*E8+SUM(F9:AC9)*E9+SUM(F10:AC10)*E10</f>
        <v>93960931.741194025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+[2]Resumen!F8*1000</f>
        <v>82065.019326000009</v>
      </c>
      <c r="G8" s="7">
        <f>+[2]Resumen!G8*1000</f>
        <v>68304.639207000015</v>
      </c>
      <c r="H8" s="7">
        <f>+[2]Resumen!H8*1000</f>
        <v>60288.155991000007</v>
      </c>
      <c r="I8" s="7">
        <f>+[2]Resumen!I8*1000</f>
        <v>57095.059890000004</v>
      </c>
      <c r="J8" s="7">
        <f>+[2]Resumen!J8*1000</f>
        <v>62884.606590000003</v>
      </c>
      <c r="K8" s="7">
        <f>+[2]Resumen!K8*1000</f>
        <v>76217.862495000008</v>
      </c>
      <c r="L8" s="7">
        <f>+[2]Resumen!L8*1000</f>
        <v>96001.035642000003</v>
      </c>
      <c r="M8" s="7">
        <f>+[2]Resumen!M8*1000</f>
        <v>103611.16076400001</v>
      </c>
      <c r="N8" s="7">
        <f>+[2]Resumen!N8*1000</f>
        <v>126793.01856300002</v>
      </c>
      <c r="O8" s="7">
        <f>+[2]Resumen!O8*1000</f>
        <v>143696.73931800001</v>
      </c>
      <c r="P8" s="7">
        <f>+[2]Resumen!P8*1000</f>
        <v>158301.29788200001</v>
      </c>
      <c r="Q8" s="7">
        <f>+[2]Resumen!Q8*1000</f>
        <v>168162.78348900002</v>
      </c>
      <c r="R8" s="7">
        <f>+[2]Resumen!R8*1000</f>
        <v>170568.43941600001</v>
      </c>
      <c r="S8" s="7">
        <f>+[2]Resumen!S8*1000</f>
        <v>167167.480002</v>
      </c>
      <c r="T8" s="7">
        <f>+[2]Resumen!T8*1000</f>
        <v>160698.98817900004</v>
      </c>
      <c r="U8" s="7">
        <f>+[2]Resumen!U8*1000</f>
        <v>158964.93393600002</v>
      </c>
      <c r="V8" s="7">
        <f>+[2]Resumen!V8*1000</f>
        <v>158925.46245600001</v>
      </c>
      <c r="W8" s="7">
        <f>+[2]Resumen!W8*1000</f>
        <v>143541.97227900001</v>
      </c>
      <c r="X8" s="7">
        <f>+[2]Resumen!X8*1000</f>
        <v>161643.64056300002</v>
      </c>
      <c r="Y8" s="7">
        <f>+[2]Resumen!Y8*1000</f>
        <v>162689.39700300002</v>
      </c>
      <c r="Z8" s="7">
        <f>+[2]Resumen!Z8*1000</f>
        <v>146966.14694700003</v>
      </c>
      <c r="AA8" s="7">
        <f>+[2]Resumen!AA8*1000</f>
        <v>124791.57674700001</v>
      </c>
      <c r="AB8" s="7">
        <f>+[2]Resumen!AB8*1000</f>
        <v>101054.14994100001</v>
      </c>
      <c r="AC8" s="7">
        <f>+[2]Resumen!AC8*1000</f>
        <v>76753.16075700002</v>
      </c>
      <c r="AD8" s="6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5</v>
      </c>
      <c r="F9" s="7">
        <f>+[2]Resumen!F9*1000</f>
        <v>80798.476230000015</v>
      </c>
      <c r="G9" s="7">
        <f>+[2]Resumen!G9*1000</f>
        <v>66381.664791000003</v>
      </c>
      <c r="H9" s="7">
        <f>+[2]Resumen!H9*1000</f>
        <v>57035.044218000003</v>
      </c>
      <c r="I9" s="7">
        <f>+[2]Resumen!I9*1000</f>
        <v>52381.321059000002</v>
      </c>
      <c r="J9" s="7">
        <f>+[2]Resumen!J9*1000</f>
        <v>53407.841097000004</v>
      </c>
      <c r="K9" s="7">
        <f>+[2]Resumen!K9*1000</f>
        <v>59164.633602000009</v>
      </c>
      <c r="L9" s="7">
        <f>+[2]Resumen!L9*1000</f>
        <v>67157.418078000002</v>
      </c>
      <c r="M9" s="7">
        <f>+[2]Resumen!M9*1000</f>
        <v>67579.972953000004</v>
      </c>
      <c r="N9" s="7">
        <f>+[2]Resumen!N9*1000</f>
        <v>84848.840565000006</v>
      </c>
      <c r="O9" s="7">
        <f>+[2]Resumen!O9*1000</f>
        <v>99926.391105000017</v>
      </c>
      <c r="P9" s="7">
        <f>+[2]Resumen!P9*1000</f>
        <v>113559.02391900001</v>
      </c>
      <c r="Q9" s="7">
        <f>+[2]Resumen!Q9*1000</f>
        <v>129609.06295500002</v>
      </c>
      <c r="R9" s="7">
        <f>+[2]Resumen!R9*1000</f>
        <v>142766.50036500001</v>
      </c>
      <c r="S9" s="7">
        <f>+[2]Resumen!S9*1000</f>
        <v>145515.47098200003</v>
      </c>
      <c r="T9" s="7">
        <f>+[2]Resumen!T9*1000</f>
        <v>141952.94005800001</v>
      </c>
      <c r="U9" s="7">
        <f>+[2]Resumen!U9*1000</f>
        <v>137621.37709500003</v>
      </c>
      <c r="V9" s="7">
        <f>+[2]Resumen!V9*1000</f>
        <v>134091.02176800001</v>
      </c>
      <c r="W9" s="7">
        <f>+[2]Resumen!W9*1000</f>
        <v>117699.257205</v>
      </c>
      <c r="X9" s="7">
        <f>+[2]Resumen!X9*1000</f>
        <v>139668.97200900002</v>
      </c>
      <c r="Y9" s="7">
        <f>+[2]Resumen!Y9*1000</f>
        <v>145313.87317200002</v>
      </c>
      <c r="Z9" s="7">
        <f>+[2]Resumen!Z9*1000</f>
        <v>132752.10636600002</v>
      </c>
      <c r="AA9" s="7">
        <f>+[2]Resumen!AA9*1000</f>
        <v>114018.86269800003</v>
      </c>
      <c r="AB9" s="7">
        <f>+[2]Resumen!AB9*1000</f>
        <v>88609.652268000005</v>
      </c>
      <c r="AC9" s="7">
        <f>+[2]Resumen!AC9*1000</f>
        <v>63188.164464000009</v>
      </c>
      <c r="AD9" s="6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+[2]Resumen!F10*1000</f>
        <v>85507.994466000018</v>
      </c>
      <c r="G10" s="7">
        <f>+[2]Resumen!G10*1000</f>
        <v>75103.490673000008</v>
      </c>
      <c r="H10" s="7">
        <f>+[2]Resumen!H10*1000</f>
        <v>67074.880677000008</v>
      </c>
      <c r="I10" s="7">
        <f>+[2]Resumen!I10*1000</f>
        <v>59592.93879</v>
      </c>
      <c r="J10" s="7">
        <f>+[2]Resumen!J10*1000</f>
        <v>59302.125924000007</v>
      </c>
      <c r="K10" s="7">
        <f>+[2]Resumen!K10*1000</f>
        <v>61732.990494000005</v>
      </c>
      <c r="L10" s="7">
        <f>+[2]Resumen!L10*1000</f>
        <v>65045.519526000004</v>
      </c>
      <c r="M10" s="7">
        <f>+[2]Resumen!M10*1000</f>
        <v>58823.086410000011</v>
      </c>
      <c r="N10" s="7">
        <f>+[2]Resumen!N10*1000</f>
        <v>70350.082212000008</v>
      </c>
      <c r="O10" s="7">
        <f>+[2]Resumen!O10*1000</f>
        <v>83406.807903000008</v>
      </c>
      <c r="P10" s="7">
        <f>+[2]Resumen!P10*1000</f>
        <v>97522.205451000002</v>
      </c>
      <c r="Q10" s="7">
        <f>+[2]Resumen!Q10*1000</f>
        <v>112825.37750700001</v>
      </c>
      <c r="R10" s="7">
        <f>+[2]Resumen!R10*1000</f>
        <v>124906.63848900002</v>
      </c>
      <c r="S10" s="7">
        <f>+[2]Resumen!S10*1000</f>
        <v>127169.30145000001</v>
      </c>
      <c r="T10" s="7">
        <f>+[2]Resumen!T10*1000</f>
        <v>124413.79584600001</v>
      </c>
      <c r="U10" s="7">
        <f>+[2]Resumen!U10*1000</f>
        <v>125472.42807300002</v>
      </c>
      <c r="V10" s="7">
        <f>+[2]Resumen!V10*1000</f>
        <v>124804.90827900002</v>
      </c>
      <c r="W10" s="7">
        <f>+[2]Resumen!W10*1000</f>
        <v>107237.44050600001</v>
      </c>
      <c r="X10" s="7">
        <f>+[2]Resumen!X10*1000</f>
        <v>129719.90410199999</v>
      </c>
      <c r="Y10" s="7">
        <f>+[2]Resumen!Y10*1000</f>
        <v>133819.52456400002</v>
      </c>
      <c r="Z10" s="7">
        <f>+[2]Resumen!Z10*1000</f>
        <v>120988.824615</v>
      </c>
      <c r="AA10" s="7">
        <f>+[2]Resumen!AA10*1000</f>
        <v>103061.96426100002</v>
      </c>
      <c r="AB10" s="7">
        <f>+[2]Resumen!AB10*1000</f>
        <v>79544.507733000006</v>
      </c>
      <c r="AC10" s="7">
        <f>+[2]Resumen!AC10*1000</f>
        <v>56203.166925000005</v>
      </c>
      <c r="AD10" s="66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21</v>
      </c>
      <c r="F11" s="7">
        <f>+[2]Resumen!F11*1000</f>
        <v>72519.99908400001</v>
      </c>
      <c r="G11" s="7">
        <f>+[2]Resumen!G11*1000</f>
        <v>60708.685773000005</v>
      </c>
      <c r="H11" s="7">
        <f>+[2]Resumen!H11*1000</f>
        <v>55035.116267999998</v>
      </c>
      <c r="I11" s="7">
        <f>+[2]Resumen!I11*1000</f>
        <v>54989.185098000002</v>
      </c>
      <c r="J11" s="7">
        <f>+[2]Resumen!J11*1000</f>
        <v>71754.034407000014</v>
      </c>
      <c r="K11" s="7">
        <f>+[2]Resumen!K11*1000</f>
        <v>109886.86452600002</v>
      </c>
      <c r="L11" s="7">
        <f>+[2]Resumen!L11*1000</f>
        <v>139370.93063100002</v>
      </c>
      <c r="M11" s="7">
        <f>+[2]Resumen!M11*1000</f>
        <v>139259.098734</v>
      </c>
      <c r="N11" s="7">
        <f>+[2]Resumen!N11*1000</f>
        <v>155044.16366400002</v>
      </c>
      <c r="O11" s="7">
        <f>+[2]Resumen!O11*1000</f>
        <v>164854.24123500002</v>
      </c>
      <c r="P11" s="7">
        <f>+[2]Resumen!P11*1000</f>
        <v>181347.57748800001</v>
      </c>
      <c r="Q11" s="7">
        <f>+[2]Resumen!Q11*1000</f>
        <v>194837.45115300003</v>
      </c>
      <c r="R11" s="7">
        <f>+[2]Resumen!R11*1000</f>
        <v>195570.943008</v>
      </c>
      <c r="S11" s="7">
        <f>+[2]Resumen!S11*1000</f>
        <v>192104.19779400004</v>
      </c>
      <c r="T11" s="7">
        <f>+[2]Resumen!T11*1000</f>
        <v>195146.67611700002</v>
      </c>
      <c r="U11" s="7">
        <f>+[2]Resumen!U11*1000</f>
        <v>195783.52625400003</v>
      </c>
      <c r="V11" s="7">
        <f>+[2]Resumen!V11*1000</f>
        <v>189360.89030400003</v>
      </c>
      <c r="W11" s="7">
        <f>+[2]Resumen!W11*1000</f>
        <v>161591.313111</v>
      </c>
      <c r="X11" s="7">
        <f>+[2]Resumen!X11*1000</f>
        <v>173144.71041900001</v>
      </c>
      <c r="Y11" s="7">
        <f>+[2]Resumen!Y11*1000</f>
        <v>181306.778403</v>
      </c>
      <c r="Z11" s="7">
        <f>+[2]Resumen!Z11*1000</f>
        <v>165083.12430000002</v>
      </c>
      <c r="AA11" s="7">
        <f>+[2]Resumen!AA11*1000</f>
        <v>137134.16983800003</v>
      </c>
      <c r="AB11" s="7">
        <f>+[2]Resumen!AB11*1000</f>
        <v>101062.20275700002</v>
      </c>
      <c r="AC11" s="7">
        <f>+[2]Resumen!AC11*1000</f>
        <v>71468.333811000004</v>
      </c>
      <c r="AD11" s="64">
        <f>SUM(F11:AC11)*E11+SUM(F12:AC12)*E12+SUM(F13:AC13)*E13+SUM(F14:AC14)*E14</f>
        <v>92294495.254389003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+[2]Resumen!F12*1000</f>
        <v>85607.247801000005</v>
      </c>
      <c r="G12" s="7">
        <f>+[2]Resumen!G12*1000</f>
        <v>71824.310286000007</v>
      </c>
      <c r="H12" s="7">
        <f>+[2]Resumen!H12*1000</f>
        <v>63185.711367000004</v>
      </c>
      <c r="I12" s="7">
        <f>+[2]Resumen!I12*1000</f>
        <v>61129.996266000009</v>
      </c>
      <c r="J12" s="7">
        <f>+[2]Resumen!J12*1000</f>
        <v>67709.479830000011</v>
      </c>
      <c r="K12" s="7">
        <f>+[2]Resumen!K12*1000</f>
        <v>79558.74282900001</v>
      </c>
      <c r="L12" s="7">
        <f>+[2]Resumen!L12*1000</f>
        <v>103514.21389500001</v>
      </c>
      <c r="M12" s="7">
        <f>+[2]Resumen!M12*1000</f>
        <v>114315.98069700001</v>
      </c>
      <c r="N12" s="7">
        <f>+[2]Resumen!N12*1000</f>
        <v>140317.95288900004</v>
      </c>
      <c r="O12" s="7">
        <f>+[2]Resumen!O12*1000</f>
        <v>156477.44602200002</v>
      </c>
      <c r="P12" s="7">
        <f>+[2]Resumen!P12*1000</f>
        <v>170929.71045900002</v>
      </c>
      <c r="Q12" s="7">
        <f>+[2]Resumen!Q12*1000</f>
        <v>179012.736408</v>
      </c>
      <c r="R12" s="7">
        <f>+[2]Resumen!R12*1000</f>
        <v>179001.82626900001</v>
      </c>
      <c r="S12" s="7">
        <f>+[2]Resumen!S12*1000</f>
        <v>171361.45949400001</v>
      </c>
      <c r="T12" s="7">
        <f>+[2]Resumen!T12*1000</f>
        <v>163199.68873500003</v>
      </c>
      <c r="U12" s="7">
        <f>+[2]Resumen!U12*1000</f>
        <v>160480.11168900004</v>
      </c>
      <c r="V12" s="7">
        <f>+[2]Resumen!V12*1000</f>
        <v>157717.06449600001</v>
      </c>
      <c r="W12" s="7">
        <f>+[2]Resumen!W12*1000</f>
        <v>138390.95602800002</v>
      </c>
      <c r="X12" s="7">
        <f>+[2]Resumen!X12*1000</f>
        <v>155169.770949</v>
      </c>
      <c r="Y12" s="7">
        <f>+[2]Resumen!Y12*1000</f>
        <v>160961.04948000002</v>
      </c>
      <c r="Z12" s="7">
        <f>+[2]Resumen!Z12*1000</f>
        <v>147097.46491500002</v>
      </c>
      <c r="AA12" s="7">
        <f>+[2]Resumen!AA12*1000</f>
        <v>125078.27205600002</v>
      </c>
      <c r="AB12" s="7">
        <f>+[2]Resumen!AB12*1000</f>
        <v>99383.721663000018</v>
      </c>
      <c r="AC12" s="7">
        <f>+[2]Resumen!AC12*1000</f>
        <v>74602.389138000013</v>
      </c>
      <c r="AD12" s="6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+[2]Resumen!F13*1000</f>
        <v>80738.099925000002</v>
      </c>
      <c r="G13" s="7">
        <f>+[2]Resumen!G13*1000</f>
        <v>66168.399909</v>
      </c>
      <c r="H13" s="7">
        <f>+[2]Resumen!H13*1000</f>
        <v>56805.832224000013</v>
      </c>
      <c r="I13" s="7">
        <f>+[2]Resumen!I13*1000</f>
        <v>51738.138048000008</v>
      </c>
      <c r="J13" s="7">
        <f>+[2]Resumen!J13*1000</f>
        <v>52662.270018000003</v>
      </c>
      <c r="K13" s="7">
        <f>+[2]Resumen!K13*1000</f>
        <v>57221.352774000014</v>
      </c>
      <c r="L13" s="7">
        <f>+[2]Resumen!L13*1000</f>
        <v>66821.10600900001</v>
      </c>
      <c r="M13" s="7">
        <f>+[2]Resumen!M13*1000</f>
        <v>68062.96357800001</v>
      </c>
      <c r="N13" s="7">
        <f>+[2]Resumen!N13*1000</f>
        <v>86382.814827000009</v>
      </c>
      <c r="O13" s="7">
        <f>+[2]Resumen!O13*1000</f>
        <v>102585.952479</v>
      </c>
      <c r="P13" s="7">
        <f>+[2]Resumen!P13*1000</f>
        <v>116313.50706900001</v>
      </c>
      <c r="Q13" s="7">
        <f>+[2]Resumen!Q13*1000</f>
        <v>132094.47822000002</v>
      </c>
      <c r="R13" s="7">
        <f>+[2]Resumen!R13*1000</f>
        <v>142167.55236000003</v>
      </c>
      <c r="S13" s="7">
        <f>+[2]Resumen!S13*1000</f>
        <v>144408.24444900002</v>
      </c>
      <c r="T13" s="7">
        <f>+[2]Resumen!T13*1000</f>
        <v>140809.38074100003</v>
      </c>
      <c r="U13" s="7">
        <f>+[2]Resumen!U13*1000</f>
        <v>137025.96012300003</v>
      </c>
      <c r="V13" s="7">
        <f>+[2]Resumen!V13*1000</f>
        <v>133168.05492000002</v>
      </c>
      <c r="W13" s="7">
        <f>+[2]Resumen!W13*1000</f>
        <v>114128.396055</v>
      </c>
      <c r="X13" s="7">
        <f>+[2]Resumen!X13*1000</f>
        <v>132493.06090800001</v>
      </c>
      <c r="Y13" s="7">
        <f>+[2]Resumen!Y13*1000</f>
        <v>144070.00239900002</v>
      </c>
      <c r="Z13" s="7">
        <f>+[2]Resumen!Z13*1000</f>
        <v>133720.36237800002</v>
      </c>
      <c r="AA13" s="7">
        <f>+[2]Resumen!AA13*1000</f>
        <v>113954.103315</v>
      </c>
      <c r="AB13" s="7">
        <f>+[2]Resumen!AB13*1000</f>
        <v>85577.085408000014</v>
      </c>
      <c r="AC13" s="7">
        <f>+[2]Resumen!AC13*1000</f>
        <v>57067.267371000009</v>
      </c>
      <c r="AD13" s="65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+[2]Resumen!F14*1000</f>
        <v>0</v>
      </c>
      <c r="G14" s="7">
        <f>+[2]Resumen!G14*1000</f>
        <v>0</v>
      </c>
      <c r="H14" s="7">
        <f>+[2]Resumen!H14*1000</f>
        <v>0</v>
      </c>
      <c r="I14" s="7">
        <f>+[2]Resumen!I14*1000</f>
        <v>0</v>
      </c>
      <c r="J14" s="7">
        <f>+[2]Resumen!J14*1000</f>
        <v>0</v>
      </c>
      <c r="K14" s="7">
        <f>+[2]Resumen!K14*1000</f>
        <v>0</v>
      </c>
      <c r="L14" s="7">
        <f>+[2]Resumen!L14*1000</f>
        <v>0</v>
      </c>
      <c r="M14" s="7">
        <f>+[2]Resumen!M14*1000</f>
        <v>0</v>
      </c>
      <c r="N14" s="7">
        <f>+[2]Resumen!N14*1000</f>
        <v>0</v>
      </c>
      <c r="O14" s="7">
        <f>+[2]Resumen!O14*1000</f>
        <v>0</v>
      </c>
      <c r="P14" s="7">
        <f>+[2]Resumen!P14*1000</f>
        <v>0</v>
      </c>
      <c r="Q14" s="7">
        <f>+[2]Resumen!Q14*1000</f>
        <v>0</v>
      </c>
      <c r="R14" s="7">
        <f>+[2]Resumen!R14*1000</f>
        <v>0</v>
      </c>
      <c r="S14" s="7">
        <f>+[2]Resumen!S14*1000</f>
        <v>0</v>
      </c>
      <c r="T14" s="7">
        <f>+[2]Resumen!T14*1000</f>
        <v>0</v>
      </c>
      <c r="U14" s="7">
        <f>+[2]Resumen!U14*1000</f>
        <v>0</v>
      </c>
      <c r="V14" s="7">
        <f>+[2]Resumen!V14*1000</f>
        <v>0</v>
      </c>
      <c r="W14" s="7">
        <f>+[2]Resumen!W14*1000</f>
        <v>0</v>
      </c>
      <c r="X14" s="7">
        <f>+[2]Resumen!X14*1000</f>
        <v>0</v>
      </c>
      <c r="Y14" s="7">
        <f>+[2]Resumen!Y14*1000</f>
        <v>0</v>
      </c>
      <c r="Z14" s="7">
        <f>+[2]Resumen!Z14*1000</f>
        <v>0</v>
      </c>
      <c r="AA14" s="7">
        <f>+[2]Resumen!AA14*1000</f>
        <v>0</v>
      </c>
      <c r="AB14" s="7">
        <f>+[2]Resumen!AB14*1000</f>
        <v>0</v>
      </c>
      <c r="AC14" s="7">
        <f>+[2]Resumen!AC14*1000</f>
        <v>0</v>
      </c>
      <c r="AD14" s="66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22</v>
      </c>
      <c r="F15" s="7">
        <f>+[2]Resumen!F15*1000</f>
        <v>75406.386725999997</v>
      </c>
      <c r="G15" s="7">
        <f>+[2]Resumen!G15*1000</f>
        <v>64055.875202999996</v>
      </c>
      <c r="H15" s="7">
        <f>+[2]Resumen!H15*1000</f>
        <v>58179.106836000006</v>
      </c>
      <c r="I15" s="7">
        <f>+[2]Resumen!I15*1000</f>
        <v>58331.825003999998</v>
      </c>
      <c r="J15" s="7">
        <f>+[2]Resumen!J15*1000</f>
        <v>74776.408431000003</v>
      </c>
      <c r="K15" s="7">
        <f>+[2]Resumen!K15*1000</f>
        <v>111526.37347800001</v>
      </c>
      <c r="L15" s="7">
        <f>+[2]Resumen!L15*1000</f>
        <v>139708.70504700002</v>
      </c>
      <c r="M15" s="7">
        <f>+[2]Resumen!M15*1000</f>
        <v>142130.466606</v>
      </c>
      <c r="N15" s="7">
        <f>+[2]Resumen!N15*1000</f>
        <v>158237.68380600002</v>
      </c>
      <c r="O15" s="7">
        <f>+[2]Resumen!O15*1000</f>
        <v>168457.41272400002</v>
      </c>
      <c r="P15" s="7">
        <f>+[2]Resumen!P15*1000</f>
        <v>185050.87417200001</v>
      </c>
      <c r="Q15" s="7">
        <f>+[2]Resumen!Q15*1000</f>
        <v>198625.64718600002</v>
      </c>
      <c r="R15" s="7">
        <f>+[2]Resumen!R15*1000</f>
        <v>200425.56648900002</v>
      </c>
      <c r="S15" s="7">
        <f>+[2]Resumen!S15*1000</f>
        <v>197165.74932000003</v>
      </c>
      <c r="T15" s="7">
        <f>+[2]Resumen!T15*1000</f>
        <v>200078.03516700002</v>
      </c>
      <c r="U15" s="7">
        <f>+[2]Resumen!U15*1000</f>
        <v>199531.74750600001</v>
      </c>
      <c r="V15" s="7">
        <f>+[2]Resumen!V15*1000</f>
        <v>193291.05684900002</v>
      </c>
      <c r="W15" s="7">
        <f>+[2]Resumen!W15*1000</f>
        <v>166165.56226800001</v>
      </c>
      <c r="X15" s="7">
        <f>+[2]Resumen!X15*1000</f>
        <v>177267.26476200001</v>
      </c>
      <c r="Y15" s="7">
        <f>+[2]Resumen!Y15*1000</f>
        <v>184855.62112500001</v>
      </c>
      <c r="Z15" s="7">
        <f>+[2]Resumen!Z15*1000</f>
        <v>168110.28959100001</v>
      </c>
      <c r="AA15" s="7">
        <f>+[2]Resumen!AA15*1000</f>
        <v>139490.13370800001</v>
      </c>
      <c r="AB15" s="7">
        <f>+[2]Resumen!AB15*1000</f>
        <v>103888.78080300002</v>
      </c>
      <c r="AC15" s="7">
        <f>+[2]Resumen!AC15*1000</f>
        <v>73919.500830000004</v>
      </c>
      <c r="AD15" s="64">
        <f t="shared" ref="AD15" si="0">SUM(F15:AC15)*E15+SUM(F16:AC16)*E16+SUM(F17:AC17)*E17+SUM(F18:AC18)*E18</f>
        <v>101314283.70617102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+[2]Resumen!F16*1000</f>
        <v>81261.180258000008</v>
      </c>
      <c r="G16" s="7">
        <f>+[2]Resumen!G16*1000</f>
        <v>68415.040461000011</v>
      </c>
      <c r="H16" s="7">
        <f>+[2]Resumen!H16*1000</f>
        <v>60575.001894000008</v>
      </c>
      <c r="I16" s="7">
        <f>+[2]Resumen!I16*1000</f>
        <v>58973.034441000011</v>
      </c>
      <c r="J16" s="7">
        <f>+[2]Resumen!J16*1000</f>
        <v>67441.703883000009</v>
      </c>
      <c r="K16" s="7">
        <f>+[2]Resumen!K16*1000</f>
        <v>83945.39149200001</v>
      </c>
      <c r="L16" s="7">
        <f>+[2]Resumen!L16*1000</f>
        <v>107805.94474500002</v>
      </c>
      <c r="M16" s="7">
        <f>+[2]Resumen!M16*1000</f>
        <v>121987.23113100001</v>
      </c>
      <c r="N16" s="7">
        <f>+[2]Resumen!N16*1000</f>
        <v>145311.01188599999</v>
      </c>
      <c r="O16" s="7">
        <f>+[2]Resumen!O16*1000</f>
        <v>160746.91273800001</v>
      </c>
      <c r="P16" s="7">
        <f>+[2]Resumen!P16*1000</f>
        <v>175195.76503200002</v>
      </c>
      <c r="Q16" s="7">
        <f>+[2]Resumen!Q16*1000</f>
        <v>186378.49106100001</v>
      </c>
      <c r="R16" s="7">
        <f>+[2]Resumen!R16*1000</f>
        <v>186712.17169800002</v>
      </c>
      <c r="S16" s="7">
        <f>+[2]Resumen!S16*1000</f>
        <v>181049.37362700002</v>
      </c>
      <c r="T16" s="7">
        <f>+[2]Resumen!T16*1000</f>
        <v>175401.12769200004</v>
      </c>
      <c r="U16" s="7">
        <f>+[2]Resumen!U16*1000</f>
        <v>171513.28995000001</v>
      </c>
      <c r="V16" s="7">
        <f>+[2]Resumen!V16*1000</f>
        <v>167854.52946000002</v>
      </c>
      <c r="W16" s="7">
        <f>+[2]Resumen!W16*1000</f>
        <v>148897.35251400003</v>
      </c>
      <c r="X16" s="7">
        <f>+[2]Resumen!X16*1000</f>
        <v>162180.49628400002</v>
      </c>
      <c r="Y16" s="7">
        <f>+[2]Resumen!Y16*1000</f>
        <v>168275.60217300002</v>
      </c>
      <c r="Z16" s="7">
        <f>+[2]Resumen!Z16*1000</f>
        <v>153372.35626200002</v>
      </c>
      <c r="AA16" s="7">
        <f>+[2]Resumen!AA16*1000</f>
        <v>132120.241683</v>
      </c>
      <c r="AB16" s="7">
        <f>+[2]Resumen!AB16*1000</f>
        <v>105666.73319700001</v>
      </c>
      <c r="AC16" s="7">
        <f>+[2]Resumen!AC16*1000</f>
        <v>80734.259778000007</v>
      </c>
      <c r="AD16" s="65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+[2]Resumen!F17*1000</f>
        <v>82287.898446000007</v>
      </c>
      <c r="G17" s="7">
        <f>+[2]Resumen!G17*1000</f>
        <v>67993.377261000001</v>
      </c>
      <c r="H17" s="7">
        <f>+[2]Resumen!H17*1000</f>
        <v>58435.552566000006</v>
      </c>
      <c r="I17" s="7">
        <f>+[2]Resumen!I17*1000</f>
        <v>53874.298086000003</v>
      </c>
      <c r="J17" s="7">
        <f>+[2]Resumen!J17*1000</f>
        <v>54975.362154000002</v>
      </c>
      <c r="K17" s="7">
        <f>+[2]Resumen!K17*1000</f>
        <v>60677.108589000003</v>
      </c>
      <c r="L17" s="7">
        <f>+[2]Resumen!L17*1000</f>
        <v>69856.510377000013</v>
      </c>
      <c r="M17" s="7">
        <f>+[2]Resumen!M17*1000</f>
        <v>75930.113028000007</v>
      </c>
      <c r="N17" s="7">
        <f>+[2]Resumen!N17*1000</f>
        <v>95521.45716000002</v>
      </c>
      <c r="O17" s="7">
        <f>+[2]Resumen!O17*1000</f>
        <v>110170.07239500002</v>
      </c>
      <c r="P17" s="7">
        <f>+[2]Resumen!P17*1000</f>
        <v>123589.61866200001</v>
      </c>
      <c r="Q17" s="7">
        <f>+[2]Resumen!Q17*1000</f>
        <v>138000.25971000001</v>
      </c>
      <c r="R17" s="7">
        <f>+[2]Resumen!R17*1000</f>
        <v>147429.21160800001</v>
      </c>
      <c r="S17" s="7">
        <f>+[2]Resumen!S17*1000</f>
        <v>149021.49745200001</v>
      </c>
      <c r="T17" s="7">
        <f>+[2]Resumen!T17*1000</f>
        <v>145637.27775000001</v>
      </c>
      <c r="U17" s="7">
        <f>+[2]Resumen!U17*1000</f>
        <v>143346.410118</v>
      </c>
      <c r="V17" s="7">
        <f>+[2]Resumen!V17*1000</f>
        <v>139835.96094000002</v>
      </c>
      <c r="W17" s="7">
        <f>+[2]Resumen!W17*1000</f>
        <v>120822.10516800001</v>
      </c>
      <c r="X17" s="7">
        <f>+[2]Resumen!X17*1000</f>
        <v>138624.38465400002</v>
      </c>
      <c r="Y17" s="7">
        <f>+[2]Resumen!Y17*1000</f>
        <v>150006.02157900002</v>
      </c>
      <c r="Z17" s="7">
        <f>+[2]Resumen!Z17*1000</f>
        <v>139814.37447900002</v>
      </c>
      <c r="AA17" s="7">
        <f>+[2]Resumen!AA17*1000</f>
        <v>119990.48547000003</v>
      </c>
      <c r="AB17" s="7">
        <f>+[2]Resumen!AB17*1000</f>
        <v>93133.876476000005</v>
      </c>
      <c r="AC17" s="7">
        <f>+[2]Resumen!AC17*1000</f>
        <v>64858.929597000017</v>
      </c>
      <c r="AD17" s="65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+[2]Resumen!F18*1000</f>
        <v>91445.313510000007</v>
      </c>
      <c r="G18" s="7">
        <f>+[2]Resumen!G18*1000</f>
        <v>77279.898939000006</v>
      </c>
      <c r="H18" s="7">
        <f>+[2]Resumen!H18*1000</f>
        <v>68316.413280000008</v>
      </c>
      <c r="I18" s="7">
        <f>+[2]Resumen!I18*1000</f>
        <v>64371.972009000005</v>
      </c>
      <c r="J18" s="7">
        <f>+[2]Resumen!J18*1000</f>
        <v>67276.446783000007</v>
      </c>
      <c r="K18" s="7">
        <f>+[2]Resumen!K18*1000</f>
        <v>72963.732231000002</v>
      </c>
      <c r="L18" s="7">
        <f>+[2]Resumen!L18*1000</f>
        <v>81256.531659</v>
      </c>
      <c r="M18" s="7">
        <f>+[2]Resumen!M18*1000</f>
        <v>87565.548399000007</v>
      </c>
      <c r="N18" s="7">
        <f>+[2]Resumen!N18*1000</f>
        <v>106259.25717900002</v>
      </c>
      <c r="O18" s="7">
        <f>+[2]Resumen!O18*1000</f>
        <v>123180.33983700001</v>
      </c>
      <c r="P18" s="7">
        <f>+[2]Resumen!P18*1000</f>
        <v>139300.527936</v>
      </c>
      <c r="Q18" s="7">
        <f>+[2]Resumen!Q18*1000</f>
        <v>158180.87023800003</v>
      </c>
      <c r="R18" s="7">
        <f>+[2]Resumen!R18*1000</f>
        <v>167402.632533</v>
      </c>
      <c r="S18" s="7">
        <f>+[2]Resumen!S18*1000</f>
        <v>164899.83555000002</v>
      </c>
      <c r="T18" s="7">
        <f>+[2]Resumen!T18*1000</f>
        <v>159097.95599400002</v>
      </c>
      <c r="U18" s="7">
        <f>+[2]Resumen!U18*1000</f>
        <v>155629.63746900001</v>
      </c>
      <c r="V18" s="7">
        <f>+[2]Resumen!V18*1000</f>
        <v>154129.58648700002</v>
      </c>
      <c r="W18" s="7">
        <f>+[2]Resumen!W18*1000</f>
        <v>135858.90021600001</v>
      </c>
      <c r="X18" s="7">
        <f>+[2]Resumen!X18*1000</f>
        <v>156451.93619100002</v>
      </c>
      <c r="Y18" s="7">
        <f>+[2]Resumen!Y18*1000</f>
        <v>173143.96537500003</v>
      </c>
      <c r="Z18" s="7">
        <f>+[2]Resumen!Z18*1000</f>
        <v>158963.32495800001</v>
      </c>
      <c r="AA18" s="7">
        <f>+[2]Resumen!AA18*1000</f>
        <v>135709.97067600003</v>
      </c>
      <c r="AB18" s="7">
        <f>+[2]Resumen!AB18*1000</f>
        <v>105978.95815200001</v>
      </c>
      <c r="AC18" s="7">
        <f>+[2]Resumen!AC18*1000</f>
        <v>76160.902296000015</v>
      </c>
      <c r="AD18" s="66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18</v>
      </c>
      <c r="F19" s="7">
        <f>+[2]Resumen!F19*1000</f>
        <v>76681.834683000008</v>
      </c>
      <c r="G19" s="7">
        <f>+[2]Resumen!G19*1000</f>
        <v>64783.212519000001</v>
      </c>
      <c r="H19" s="7">
        <f>+[2]Resumen!H19*1000</f>
        <v>58864.198572000008</v>
      </c>
      <c r="I19" s="7">
        <f>+[2]Resumen!I19*1000</f>
        <v>59070.845244000011</v>
      </c>
      <c r="J19" s="7">
        <f>+[2]Resumen!J19*1000</f>
        <v>74597.974356000006</v>
      </c>
      <c r="K19" s="7">
        <f>+[2]Resumen!K19*1000</f>
        <v>107229.16179900001</v>
      </c>
      <c r="L19" s="7">
        <f>+[2]Resumen!L19*1000</f>
        <v>135644.16506100001</v>
      </c>
      <c r="M19" s="7">
        <f>+[2]Resumen!M19*1000</f>
        <v>140840.50614300001</v>
      </c>
      <c r="N19" s="7">
        <f>+[2]Resumen!N19*1000</f>
        <v>157491.15764400002</v>
      </c>
      <c r="O19" s="7">
        <f>+[2]Resumen!O19*1000</f>
        <v>168674.359233</v>
      </c>
      <c r="P19" s="7">
        <f>+[2]Resumen!P19*1000</f>
        <v>185488.06836900002</v>
      </c>
      <c r="Q19" s="7">
        <f>+[2]Resumen!Q19*1000</f>
        <v>199983.79899000001</v>
      </c>
      <c r="R19" s="7">
        <f>+[2]Resumen!R19*1000</f>
        <v>202985.90226900001</v>
      </c>
      <c r="S19" s="7">
        <f>+[2]Resumen!S19*1000</f>
        <v>199575.79625100002</v>
      </c>
      <c r="T19" s="7">
        <f>+[2]Resumen!T19*1000</f>
        <v>202347.30048600002</v>
      </c>
      <c r="U19" s="7">
        <f>+[2]Resumen!U19*1000</f>
        <v>202421.75336700003</v>
      </c>
      <c r="V19" s="7">
        <f>+[2]Resumen!V19*1000</f>
        <v>195495.38048700002</v>
      </c>
      <c r="W19" s="7">
        <f>+[2]Resumen!W19*1000</f>
        <v>169383.13385700004</v>
      </c>
      <c r="X19" s="7">
        <f>+[2]Resumen!X19*1000</f>
        <v>182755.17564300002</v>
      </c>
      <c r="Y19" s="7">
        <f>+[2]Resumen!Y19*1000</f>
        <v>187613.42923200002</v>
      </c>
      <c r="Z19" s="7">
        <f>+[2]Resumen!Z19*1000</f>
        <v>170820.36732600004</v>
      </c>
      <c r="AA19" s="7">
        <f>+[2]Resumen!AA19*1000</f>
        <v>143087.796627</v>
      </c>
      <c r="AB19" s="7">
        <f>+[2]Resumen!AB19*1000</f>
        <v>108755.15457900002</v>
      </c>
      <c r="AC19" s="7">
        <f>+[2]Resumen!AC19*1000</f>
        <v>77143.928409</v>
      </c>
      <c r="AD19" s="64">
        <f t="shared" ref="AD19" si="1">SUM(F19:AC19)*E19+SUM(F20:AC20)*E20+SUM(F21:AC21)*E21+SUM(F22:AC22)*E22</f>
        <v>95730393.221432999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5</v>
      </c>
      <c r="F20" s="7">
        <f>+[2]Resumen!F20*1000</f>
        <v>80677.985178000003</v>
      </c>
      <c r="G20" s="7">
        <f>+[2]Resumen!G20*1000</f>
        <v>66646.932159000004</v>
      </c>
      <c r="H20" s="7">
        <f>+[2]Resumen!H20*1000</f>
        <v>58728.858159000003</v>
      </c>
      <c r="I20" s="7">
        <f>+[2]Resumen!I20*1000</f>
        <v>56953.267713000008</v>
      </c>
      <c r="J20" s="7">
        <f>+[2]Resumen!J20*1000</f>
        <v>63831.16517700001</v>
      </c>
      <c r="K20" s="7">
        <f>+[2]Resumen!K20*1000</f>
        <v>76791.387855000008</v>
      </c>
      <c r="L20" s="7">
        <f>+[2]Resumen!L20*1000</f>
        <v>97748.845458000011</v>
      </c>
      <c r="M20" s="7">
        <f>+[2]Resumen!M20*1000</f>
        <v>110066.09516400003</v>
      </c>
      <c r="N20" s="7">
        <f>+[2]Resumen!N20*1000</f>
        <v>133171.11831900003</v>
      </c>
      <c r="O20" s="7">
        <f>+[2]Resumen!O20*1000</f>
        <v>148896.71050800002</v>
      </c>
      <c r="P20" s="7">
        <f>+[2]Resumen!P20*1000</f>
        <v>162328.14577500001</v>
      </c>
      <c r="Q20" s="7">
        <f>+[2]Resumen!Q20*1000</f>
        <v>172792.31649600001</v>
      </c>
      <c r="R20" s="7">
        <f>+[2]Resumen!R20*1000</f>
        <v>175432.69695000001</v>
      </c>
      <c r="S20" s="7">
        <f>+[2]Resumen!S20*1000</f>
        <v>172105.31855700002</v>
      </c>
      <c r="T20" s="7">
        <f>+[2]Resumen!T20*1000</f>
        <v>167789.32622100002</v>
      </c>
      <c r="U20" s="7">
        <f>+[2]Resumen!U20*1000</f>
        <v>167025.90579000002</v>
      </c>
      <c r="V20" s="7">
        <f>+[2]Resumen!V20*1000</f>
        <v>165773.01522900001</v>
      </c>
      <c r="W20" s="7">
        <f>+[2]Resumen!W20*1000</f>
        <v>147409.17071700003</v>
      </c>
      <c r="X20" s="7">
        <f>+[2]Resumen!X20*1000</f>
        <v>162736.02962400002</v>
      </c>
      <c r="Y20" s="7">
        <f>+[2]Resumen!Y20*1000</f>
        <v>167219.88671400002</v>
      </c>
      <c r="Z20" s="7">
        <f>+[2]Resumen!Z20*1000</f>
        <v>151386.23144100001</v>
      </c>
      <c r="AA20" s="7">
        <f>+[2]Resumen!AA20*1000</f>
        <v>129942.898149</v>
      </c>
      <c r="AB20" s="7">
        <f>+[2]Resumen!AB20*1000</f>
        <v>105823.01013900002</v>
      </c>
      <c r="AC20" s="7">
        <f>+[2]Resumen!AC20*1000</f>
        <v>80638.727700000003</v>
      </c>
      <c r="AD20" s="65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5</v>
      </c>
      <c r="F21" s="7">
        <f>+[2]Resumen!F21*1000</f>
        <v>85097.415777000017</v>
      </c>
      <c r="G21" s="7">
        <f>+[2]Resumen!G21*1000</f>
        <v>70310.686029000004</v>
      </c>
      <c r="H21" s="7">
        <f>+[2]Resumen!H21*1000</f>
        <v>60793.01445000001</v>
      </c>
      <c r="I21" s="7">
        <f>+[2]Resumen!I21*1000</f>
        <v>56560.895046000012</v>
      </c>
      <c r="J21" s="7">
        <f>+[2]Resumen!J21*1000</f>
        <v>57837.714201000003</v>
      </c>
      <c r="K21" s="7">
        <f>+[2]Resumen!K21*1000</f>
        <v>61234.10031300001</v>
      </c>
      <c r="L21" s="7">
        <f>+[2]Resumen!L21*1000</f>
        <v>72062.320139999996</v>
      </c>
      <c r="M21" s="7">
        <f>+[2]Resumen!M21*1000</f>
        <v>78513.798804000005</v>
      </c>
      <c r="N21" s="7">
        <f>+[2]Resumen!N21*1000</f>
        <v>98325.985074000011</v>
      </c>
      <c r="O21" s="7">
        <f>+[2]Resumen!O21*1000</f>
        <v>114652.06687500002</v>
      </c>
      <c r="P21" s="7">
        <f>+[2]Resumen!P21*1000</f>
        <v>126692.84581200001</v>
      </c>
      <c r="Q21" s="7">
        <f>+[2]Resumen!Q21*1000</f>
        <v>138541.966143</v>
      </c>
      <c r="R21" s="7">
        <f>+[2]Resumen!R21*1000</f>
        <v>147477.52454100002</v>
      </c>
      <c r="S21" s="7">
        <f>+[2]Resumen!S21*1000</f>
        <v>149886.24386700001</v>
      </c>
      <c r="T21" s="7">
        <f>+[2]Resumen!T21*1000</f>
        <v>148645.30967700001</v>
      </c>
      <c r="U21" s="7">
        <f>+[2]Resumen!U21*1000</f>
        <v>146491.60543800003</v>
      </c>
      <c r="V21" s="7">
        <f>+[2]Resumen!V21*1000</f>
        <v>143428.52347800002</v>
      </c>
      <c r="W21" s="7">
        <f>+[2]Resumen!W21*1000</f>
        <v>126435.64711200001</v>
      </c>
      <c r="X21" s="7">
        <f>+[2]Resumen!X21*1000</f>
        <v>144421.33820100004</v>
      </c>
      <c r="Y21" s="7">
        <f>+[2]Resumen!Y21*1000</f>
        <v>153062.03751000002</v>
      </c>
      <c r="Z21" s="7">
        <f>+[2]Resumen!Z21*1000</f>
        <v>141497.52795000002</v>
      </c>
      <c r="AA21" s="7">
        <f>+[2]Resumen!AA21*1000</f>
        <v>120639.46635000002</v>
      </c>
      <c r="AB21" s="7">
        <f>+[2]Resumen!AB21*1000</f>
        <v>92425.300002000018</v>
      </c>
      <c r="AC21" s="7">
        <f>+[2]Resumen!AC21*1000</f>
        <v>63757.421673000004</v>
      </c>
      <c r="AD21" s="65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+[2]Resumen!F22*1000</f>
        <v>93447.520185000016</v>
      </c>
      <c r="G22" s="7">
        <f>+[2]Resumen!G22*1000</f>
        <v>77940.194184000007</v>
      </c>
      <c r="H22" s="7">
        <f>+[2]Resumen!H22*1000</f>
        <v>68100.552633000014</v>
      </c>
      <c r="I22" s="7">
        <f>+[2]Resumen!I22*1000</f>
        <v>63576.356166000012</v>
      </c>
      <c r="J22" s="7">
        <f>+[2]Resumen!J22*1000</f>
        <v>65461.495821000011</v>
      </c>
      <c r="K22" s="7">
        <f>+[2]Resumen!K22*1000</f>
        <v>69306.727350000001</v>
      </c>
      <c r="L22" s="7">
        <f>+[2]Resumen!L22*1000</f>
        <v>77683.803936000011</v>
      </c>
      <c r="M22" s="7">
        <f>+[2]Resumen!M22*1000</f>
        <v>80974.445319000006</v>
      </c>
      <c r="N22" s="7">
        <f>+[2]Resumen!N22*1000</f>
        <v>98147.677815000003</v>
      </c>
      <c r="O22" s="7">
        <f>+[2]Resumen!O22*1000</f>
        <v>107744.819433</v>
      </c>
      <c r="P22" s="7">
        <f>+[2]Resumen!P22*1000</f>
        <v>113197.85591400003</v>
      </c>
      <c r="Q22" s="7">
        <f>+[2]Resumen!Q22*1000</f>
        <v>127906.74441600002</v>
      </c>
      <c r="R22" s="7">
        <f>+[2]Resumen!R22*1000</f>
        <v>141326.318424</v>
      </c>
      <c r="S22" s="7">
        <f>+[2]Resumen!S22*1000</f>
        <v>140248.83816900002</v>
      </c>
      <c r="T22" s="7">
        <f>+[2]Resumen!T22*1000</f>
        <v>136078.70404800001</v>
      </c>
      <c r="U22" s="7">
        <f>+[2]Resumen!U22*1000</f>
        <v>133762.39791900001</v>
      </c>
      <c r="V22" s="7">
        <f>+[2]Resumen!V22*1000</f>
        <v>135036.74019899999</v>
      </c>
      <c r="W22" s="7">
        <f>+[2]Resumen!W22*1000</f>
        <v>119627.977971</v>
      </c>
      <c r="X22" s="7">
        <f>+[2]Resumen!X22*1000</f>
        <v>139587.31439400002</v>
      </c>
      <c r="Y22" s="7">
        <f>+[2]Resumen!Y22*1000</f>
        <v>146016.56459100003</v>
      </c>
      <c r="Z22" s="7">
        <f>+[2]Resumen!Z22*1000</f>
        <v>132033.62635500001</v>
      </c>
      <c r="AA22" s="7">
        <f>+[2]Resumen!AA22*1000</f>
        <v>118603.02728100002</v>
      </c>
      <c r="AB22" s="7">
        <f>+[2]Resumen!AB22*1000</f>
        <v>102909.73354200002</v>
      </c>
      <c r="AC22" s="7">
        <f>+[2]Resumen!AC22*1000</f>
        <v>79103.065200000012</v>
      </c>
      <c r="AD22" s="66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21</v>
      </c>
      <c r="F23" s="7">
        <f>+[2]Resumen!F23*1000</f>
        <v>75560.717835000018</v>
      </c>
      <c r="G23" s="7">
        <f>+[2]Resumen!G23*1000</f>
        <v>63544.945428000006</v>
      </c>
      <c r="H23" s="7">
        <f>+[2]Resumen!H23*1000</f>
        <v>57552.302904000004</v>
      </c>
      <c r="I23" s="7">
        <f>+[2]Resumen!I23*1000</f>
        <v>58028.940840000003</v>
      </c>
      <c r="J23" s="7">
        <f>+[2]Resumen!J23*1000</f>
        <v>74392.441287000009</v>
      </c>
      <c r="K23" s="7">
        <f>+[2]Resumen!K23*1000</f>
        <v>108919.432818</v>
      </c>
      <c r="L23" s="7">
        <f>+[2]Resumen!L23*1000</f>
        <v>138975.54212100001</v>
      </c>
      <c r="M23" s="7">
        <f>+[2]Resumen!M23*1000</f>
        <v>143820.19073100001</v>
      </c>
      <c r="N23" s="7">
        <f>+[2]Resumen!N23*1000</f>
        <v>159036.45816000001</v>
      </c>
      <c r="O23" s="7">
        <f>+[2]Resumen!O23*1000</f>
        <v>170066.30750100003</v>
      </c>
      <c r="P23" s="7">
        <f>+[2]Resumen!P23*1000</f>
        <v>187302.09198900004</v>
      </c>
      <c r="Q23" s="7">
        <f>+[2]Resumen!Q23*1000</f>
        <v>201194.55493500002</v>
      </c>
      <c r="R23" s="7">
        <f>+[2]Resumen!R23*1000</f>
        <v>201347.66147700002</v>
      </c>
      <c r="S23" s="7">
        <f>+[2]Resumen!S23*1000</f>
        <v>196941.17007300002</v>
      </c>
      <c r="T23" s="7">
        <f>+[2]Resumen!T23*1000</f>
        <v>199381.36354500003</v>
      </c>
      <c r="U23" s="7">
        <f>+[2]Resumen!U23*1000</f>
        <v>200373.66307800001</v>
      </c>
      <c r="V23" s="7">
        <f>+[2]Resumen!V23*1000</f>
        <v>193823.90994000001</v>
      </c>
      <c r="W23" s="7">
        <f>+[2]Resumen!W23*1000</f>
        <v>167010.913761</v>
      </c>
      <c r="X23" s="7">
        <f>+[2]Resumen!X23*1000</f>
        <v>180440.37941700002</v>
      </c>
      <c r="Y23" s="7">
        <f>+[2]Resumen!Y23*1000</f>
        <v>187305.00479400001</v>
      </c>
      <c r="Z23" s="7">
        <f>+[2]Resumen!Z23*1000</f>
        <v>170281.02680400002</v>
      </c>
      <c r="AA23" s="7">
        <f>+[2]Resumen!AA23*1000</f>
        <v>142422.07603500001</v>
      </c>
      <c r="AB23" s="7">
        <f>+[2]Resumen!AB23*1000</f>
        <v>107380.56821400003</v>
      </c>
      <c r="AC23" s="7">
        <f>+[2]Resumen!AC23*1000</f>
        <v>76031.066489999997</v>
      </c>
      <c r="AD23" s="64">
        <f t="shared" ref="AD23" si="2">SUM(F23:AC23)*E23+SUM(F24:AC24)*E24+SUM(F25:AC25)*E25+SUM(F26:AC26)*E26</f>
        <v>99950640.285885021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+[2]Resumen!F24*1000</f>
        <v>83446.715313000008</v>
      </c>
      <c r="G24" s="7">
        <f>+[2]Resumen!G24*1000</f>
        <v>69415.602849000017</v>
      </c>
      <c r="H24" s="7">
        <f>+[2]Resumen!H24*1000</f>
        <v>61958.116635000013</v>
      </c>
      <c r="I24" s="7">
        <f>+[2]Resumen!I24*1000</f>
        <v>59579.956002000006</v>
      </c>
      <c r="J24" s="7">
        <f>+[2]Resumen!J24*1000</f>
        <v>66301.992639000004</v>
      </c>
      <c r="K24" s="7">
        <f>+[2]Resumen!K24*1000</f>
        <v>77858.045157000015</v>
      </c>
      <c r="L24" s="7">
        <f>+[2]Resumen!L24*1000</f>
        <v>100610.78535300001</v>
      </c>
      <c r="M24" s="7">
        <f>+[2]Resumen!M24*1000</f>
        <v>114600.25461300001</v>
      </c>
      <c r="N24" s="7">
        <f>+[2]Resumen!N24*1000</f>
        <v>139271.50688700003</v>
      </c>
      <c r="O24" s="7">
        <f>+[2]Resumen!O24*1000</f>
        <v>155894.88898500003</v>
      </c>
      <c r="P24" s="7">
        <f>+[2]Resumen!P24*1000</f>
        <v>170461.05796800001</v>
      </c>
      <c r="Q24" s="7">
        <f>+[2]Resumen!Q24*1000</f>
        <v>179725.49781000003</v>
      </c>
      <c r="R24" s="7">
        <f>+[2]Resumen!R24*1000</f>
        <v>178950.76697700002</v>
      </c>
      <c r="S24" s="7">
        <f>+[2]Resumen!S24*1000</f>
        <v>172559.91825000002</v>
      </c>
      <c r="T24" s="7">
        <f>+[2]Resumen!T24*1000</f>
        <v>165609.58507200002</v>
      </c>
      <c r="U24" s="7">
        <f>+[2]Resumen!U24*1000</f>
        <v>163118.62557000003</v>
      </c>
      <c r="V24" s="7">
        <f>+[2]Resumen!V24*1000</f>
        <v>160651.62636600001</v>
      </c>
      <c r="W24" s="7">
        <f>+[2]Resumen!W24*1000</f>
        <v>143412.14043600002</v>
      </c>
      <c r="X24" s="7">
        <f>+[2]Resumen!X24*1000</f>
        <v>157454.02829700001</v>
      </c>
      <c r="Y24" s="7">
        <f>+[2]Resumen!Y24*1000</f>
        <v>163380.57590700002</v>
      </c>
      <c r="Z24" s="7">
        <f>+[2]Resumen!Z24*1000</f>
        <v>149760.13724400001</v>
      </c>
      <c r="AA24" s="7">
        <f>+[2]Resumen!AA24*1000</f>
        <v>128140.60897200003</v>
      </c>
      <c r="AB24" s="7">
        <f>+[2]Resumen!AB24*1000</f>
        <v>103986.61934700001</v>
      </c>
      <c r="AC24" s="7">
        <f>+[2]Resumen!AC24*1000</f>
        <v>78772.606482000017</v>
      </c>
      <c r="AD24" s="65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+[2]Resumen!F25*1000</f>
        <v>80525.833719000017</v>
      </c>
      <c r="G25" s="7">
        <f>+[2]Resumen!G25*1000</f>
        <v>66624.660099000015</v>
      </c>
      <c r="H25" s="7">
        <f>+[2]Resumen!H25*1000</f>
        <v>56820.33284100001</v>
      </c>
      <c r="I25" s="7">
        <f>+[2]Resumen!I25*1000</f>
        <v>51958.096437</v>
      </c>
      <c r="J25" s="7">
        <f>+[2]Resumen!J25*1000</f>
        <v>51232.162023000004</v>
      </c>
      <c r="K25" s="7">
        <f>+[2]Resumen!K25*1000</f>
        <v>53057.032374000009</v>
      </c>
      <c r="L25" s="7">
        <f>+[2]Resumen!L25*1000</f>
        <v>62306.448483000007</v>
      </c>
      <c r="M25" s="7">
        <f>+[2]Resumen!M25*1000</f>
        <v>68159.458664999998</v>
      </c>
      <c r="N25" s="7">
        <f>+[2]Resumen!N25*1000</f>
        <v>88239.290103000007</v>
      </c>
      <c r="O25" s="7">
        <f>+[2]Resumen!O25*1000</f>
        <v>105857.40897900001</v>
      </c>
      <c r="P25" s="7">
        <f>+[2]Resumen!P25*1000</f>
        <v>119831.59294800002</v>
      </c>
      <c r="Q25" s="7">
        <f>+[2]Resumen!Q25*1000</f>
        <v>134520.05218500001</v>
      </c>
      <c r="R25" s="7">
        <f>+[2]Resumen!R25*1000</f>
        <v>141919.00488900003</v>
      </c>
      <c r="S25" s="7">
        <f>+[2]Resumen!S25*1000</f>
        <v>142376.21619900002</v>
      </c>
      <c r="T25" s="7">
        <f>+[2]Resumen!T25*1000</f>
        <v>136272.673083</v>
      </c>
      <c r="U25" s="7">
        <f>+[2]Resumen!U25*1000</f>
        <v>135233.02362600001</v>
      </c>
      <c r="V25" s="7">
        <f>+[2]Resumen!V25*1000</f>
        <v>132469.54446600002</v>
      </c>
      <c r="W25" s="7">
        <f>+[2]Resumen!W25*1000</f>
        <v>116007.72198900003</v>
      </c>
      <c r="X25" s="7">
        <f>+[2]Resumen!X25*1000</f>
        <v>134254.72933500001</v>
      </c>
      <c r="Y25" s="7">
        <f>+[2]Resumen!Y25*1000</f>
        <v>145140.00447300004</v>
      </c>
      <c r="Z25" s="7">
        <f>+[2]Resumen!Z25*1000</f>
        <v>135250.48856700002</v>
      </c>
      <c r="AA25" s="7">
        <f>+[2]Resumen!AA25*1000</f>
        <v>116209.54965300001</v>
      </c>
      <c r="AB25" s="7">
        <f>+[2]Resumen!AB25*1000</f>
        <v>88674.958545000001</v>
      </c>
      <c r="AC25" s="7">
        <f>+[2]Resumen!AC25*1000</f>
        <v>59434.450494000012</v>
      </c>
      <c r="AD25" s="65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+[2]Resumen!F26*1000</f>
        <v>74259.799677000017</v>
      </c>
      <c r="G26" s="7">
        <f>+[2]Resumen!G26*1000</f>
        <v>60772.581222000008</v>
      </c>
      <c r="H26" s="7">
        <f>+[2]Resumen!H26*1000</f>
        <v>53048.967669000005</v>
      </c>
      <c r="I26" s="7">
        <f>+[2]Resumen!I26*1000</f>
        <v>50573.404422000007</v>
      </c>
      <c r="J26" s="7">
        <f>+[2]Resumen!J26*1000</f>
        <v>57573.065061000008</v>
      </c>
      <c r="K26" s="7">
        <f>+[2]Resumen!K26*1000</f>
        <v>68620.062303000013</v>
      </c>
      <c r="L26" s="7">
        <f>+[2]Resumen!L26*1000</f>
        <v>80716.350981000011</v>
      </c>
      <c r="M26" s="7">
        <f>+[2]Resumen!M26*1000</f>
        <v>87879.366480000012</v>
      </c>
      <c r="N26" s="7">
        <f>+[2]Resumen!N26*1000</f>
        <v>107355.49431300002</v>
      </c>
      <c r="O26" s="7">
        <f>+[2]Resumen!O26*1000</f>
        <v>122560.918974</v>
      </c>
      <c r="P26" s="7">
        <f>+[2]Resumen!P26*1000</f>
        <v>140977.47138599999</v>
      </c>
      <c r="Q26" s="7">
        <f>+[2]Resumen!Q26*1000</f>
        <v>155873.44519200001</v>
      </c>
      <c r="R26" s="7">
        <f>+[2]Resumen!R26*1000</f>
        <v>168494.38751400003</v>
      </c>
      <c r="S26" s="7">
        <f>+[2]Resumen!S26*1000</f>
        <v>164213.118984</v>
      </c>
      <c r="T26" s="7">
        <f>+[2]Resumen!T26*1000</f>
        <v>156713.08203900003</v>
      </c>
      <c r="U26" s="7">
        <f>+[2]Resumen!U26*1000</f>
        <v>148321.21553700001</v>
      </c>
      <c r="V26" s="7">
        <f>+[2]Resumen!V26*1000</f>
        <v>146735.69453400001</v>
      </c>
      <c r="W26" s="7">
        <f>+[2]Resumen!W26*1000</f>
        <v>135218.24956200001</v>
      </c>
      <c r="X26" s="7">
        <f>+[2]Resumen!X26*1000</f>
        <v>151564.71307200001</v>
      </c>
      <c r="Y26" s="7">
        <f>+[2]Resumen!Y26*1000</f>
        <v>156791.79910800001</v>
      </c>
      <c r="Z26" s="7">
        <f>+[2]Resumen!Z26*1000</f>
        <v>141362.57987400002</v>
      </c>
      <c r="AA26" s="7">
        <f>+[2]Resumen!AA26*1000</f>
        <v>118757.21572200001</v>
      </c>
      <c r="AB26" s="7">
        <f>+[2]Resumen!AB26*1000</f>
        <v>89890.917909000011</v>
      </c>
      <c r="AC26" s="7">
        <f>+[2]Resumen!AC26*1000</f>
        <v>60559.787937000001</v>
      </c>
      <c r="AD26" s="66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20</v>
      </c>
      <c r="F27" s="7">
        <f>+[2]Resumen!F27*1000</f>
        <v>68905.992753000013</v>
      </c>
      <c r="G27" s="7">
        <f>+[2]Resumen!G27*1000</f>
        <v>56855.211203999999</v>
      </c>
      <c r="H27" s="7">
        <f>+[2]Resumen!H27*1000</f>
        <v>50683.021002000001</v>
      </c>
      <c r="I27" s="7">
        <f>+[2]Resumen!I27*1000</f>
        <v>50619.252369000009</v>
      </c>
      <c r="J27" s="7">
        <f>+[2]Resumen!J27*1000</f>
        <v>63597.879219000009</v>
      </c>
      <c r="K27" s="7">
        <f>+[2]Resumen!K27*1000</f>
        <v>89115.842295000009</v>
      </c>
      <c r="L27" s="7">
        <f>+[2]Resumen!L27*1000</f>
        <v>118187.93077200001</v>
      </c>
      <c r="M27" s="7">
        <f>+[2]Resumen!M27*1000</f>
        <v>128123.064771</v>
      </c>
      <c r="N27" s="7">
        <f>+[2]Resumen!N27*1000</f>
        <v>145708.38982200003</v>
      </c>
      <c r="O27" s="7">
        <f>+[2]Resumen!O27*1000</f>
        <v>157438.94115600002</v>
      </c>
      <c r="P27" s="7">
        <f>+[2]Resumen!P27*1000</f>
        <v>173143.98519000001</v>
      </c>
      <c r="Q27" s="7">
        <f>+[2]Resumen!Q27*1000</f>
        <v>187611.48736200001</v>
      </c>
      <c r="R27" s="7">
        <f>+[2]Resumen!R27*1000</f>
        <v>191052.99222900002</v>
      </c>
      <c r="S27" s="7">
        <f>+[2]Resumen!S27*1000</f>
        <v>187759.73130300001</v>
      </c>
      <c r="T27" s="7">
        <f>+[2]Resumen!T27*1000</f>
        <v>190258.299765</v>
      </c>
      <c r="U27" s="7">
        <f>+[2]Resumen!U27*1000</f>
        <v>190838.66922600003</v>
      </c>
      <c r="V27" s="7">
        <f>+[2]Resumen!V27*1000</f>
        <v>184550.56127400001</v>
      </c>
      <c r="W27" s="7">
        <f>+[2]Resumen!W27*1000</f>
        <v>156873.92039400002</v>
      </c>
      <c r="X27" s="7">
        <f>+[2]Resumen!X27*1000</f>
        <v>164757.24681000001</v>
      </c>
      <c r="Y27" s="7">
        <f>+[2]Resumen!Y27*1000</f>
        <v>172167.28402500003</v>
      </c>
      <c r="Z27" s="7">
        <f>+[2]Resumen!Z27*1000</f>
        <v>155381.93807999999</v>
      </c>
      <c r="AA27" s="7">
        <f>+[2]Resumen!AA27*1000</f>
        <v>129536.88087300003</v>
      </c>
      <c r="AB27" s="7">
        <f>+[2]Resumen!AB27*1000</f>
        <v>95531.004027000017</v>
      </c>
      <c r="AC27" s="7">
        <f>+[2]Resumen!AC27*1000</f>
        <v>67079.870094000013</v>
      </c>
      <c r="AD27" s="64">
        <f t="shared" ref="AD27" si="3">SUM(F27:AC27)*E27+SUM(F28:AC28)*E28+SUM(F29:AC29)*E29+SUM(F30:AC30)*E30</f>
        <v>88752436.954572007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+[2]Resumen!F28*1000</f>
        <v>75005.719500000007</v>
      </c>
      <c r="G28" s="7">
        <f>+[2]Resumen!G28*1000</f>
        <v>61299.176736000009</v>
      </c>
      <c r="H28" s="7">
        <f>+[2]Resumen!H28*1000</f>
        <v>52786.284177000009</v>
      </c>
      <c r="I28" s="7">
        <f>+[2]Resumen!I28*1000</f>
        <v>50561.138937000011</v>
      </c>
      <c r="J28" s="7">
        <f>+[2]Resumen!J28*1000</f>
        <v>57056.527641000008</v>
      </c>
      <c r="K28" s="7">
        <f>+[2]Resumen!K28*1000</f>
        <v>68806.422378000003</v>
      </c>
      <c r="L28" s="7">
        <f>+[2]Resumen!L28*1000</f>
        <v>91862.732337000009</v>
      </c>
      <c r="M28" s="7">
        <f>+[2]Resumen!M28*1000</f>
        <v>105932.90412900002</v>
      </c>
      <c r="N28" s="7">
        <f>+[2]Resumen!N28*1000</f>
        <v>128294.52396600001</v>
      </c>
      <c r="O28" s="7">
        <f>+[2]Resumen!O28*1000</f>
        <v>143477.10985800001</v>
      </c>
      <c r="P28" s="7">
        <f>+[2]Resumen!P28*1000</f>
        <v>158413.39133700001</v>
      </c>
      <c r="Q28" s="7">
        <f>+[2]Resumen!Q28*1000</f>
        <v>168462.20795400001</v>
      </c>
      <c r="R28" s="7">
        <f>+[2]Resumen!R28*1000</f>
        <v>169605.497787</v>
      </c>
      <c r="S28" s="7">
        <f>+[2]Resumen!S28*1000</f>
        <v>163509.20696100002</v>
      </c>
      <c r="T28" s="7">
        <f>+[2]Resumen!T28*1000</f>
        <v>159002.80436400004</v>
      </c>
      <c r="U28" s="7">
        <f>+[2]Resumen!U28*1000</f>
        <v>157918.59493500003</v>
      </c>
      <c r="V28" s="7">
        <f>+[2]Resumen!V28*1000</f>
        <v>154084.37262000004</v>
      </c>
      <c r="W28" s="7">
        <f>+[2]Resumen!W28*1000</f>
        <v>135122.40044400003</v>
      </c>
      <c r="X28" s="7">
        <f>+[2]Resumen!X28*1000</f>
        <v>145296.69356700004</v>
      </c>
      <c r="Y28" s="7">
        <f>+[2]Resumen!Y28*1000</f>
        <v>154263.92426100001</v>
      </c>
      <c r="Z28" s="7">
        <f>+[2]Resumen!Z28*1000</f>
        <v>139836.630687</v>
      </c>
      <c r="AA28" s="7">
        <f>+[2]Resumen!AA28*1000</f>
        <v>119595.42588900002</v>
      </c>
      <c r="AB28" s="7">
        <f>+[2]Resumen!AB28*1000</f>
        <v>96119.319303000011</v>
      </c>
      <c r="AC28" s="7">
        <f>+[2]Resumen!AC28*1000</f>
        <v>72074.450883000012</v>
      </c>
      <c r="AD28" s="65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+[2]Resumen!F29*1000</f>
        <v>78440.49519300001</v>
      </c>
      <c r="G29" s="7">
        <f>+[2]Resumen!G29*1000</f>
        <v>64806.657627000008</v>
      </c>
      <c r="H29" s="7">
        <f>+[2]Resumen!H29*1000</f>
        <v>55305.682167000006</v>
      </c>
      <c r="I29" s="7">
        <f>+[2]Resumen!I29*1000</f>
        <v>51321.908121000008</v>
      </c>
      <c r="J29" s="7">
        <f>+[2]Resumen!J29*1000</f>
        <v>52224.818226000003</v>
      </c>
      <c r="K29" s="7">
        <f>+[2]Resumen!K29*1000</f>
        <v>54902.668845</v>
      </c>
      <c r="L29" s="7">
        <f>+[2]Resumen!L29*1000</f>
        <v>63367.351509000007</v>
      </c>
      <c r="M29" s="7">
        <f>+[2]Resumen!M29*1000</f>
        <v>67690.128500999999</v>
      </c>
      <c r="N29" s="7">
        <f>+[2]Resumen!N29*1000</f>
        <v>84840.692637</v>
      </c>
      <c r="O29" s="7">
        <f>+[2]Resumen!O29*1000</f>
        <v>99818.197242000009</v>
      </c>
      <c r="P29" s="7">
        <f>+[2]Resumen!P29*1000</f>
        <v>110793.162996</v>
      </c>
      <c r="Q29" s="7">
        <f>+[2]Resumen!Q29*1000</f>
        <v>124918.27782000002</v>
      </c>
      <c r="R29" s="7">
        <f>+[2]Resumen!R29*1000</f>
        <v>133657.838127</v>
      </c>
      <c r="S29" s="7">
        <f>+[2]Resumen!S29*1000</f>
        <v>135154.14011100002</v>
      </c>
      <c r="T29" s="7">
        <f>+[2]Resumen!T29*1000</f>
        <v>132415.988484</v>
      </c>
      <c r="U29" s="7">
        <f>+[2]Resumen!U29*1000</f>
        <v>130937.47244400001</v>
      </c>
      <c r="V29" s="7">
        <f>+[2]Resumen!V29*1000</f>
        <v>127424.40768600001</v>
      </c>
      <c r="W29" s="7">
        <f>+[2]Resumen!W29*1000</f>
        <v>108444.11456099999</v>
      </c>
      <c r="X29" s="7">
        <f>+[2]Resumen!X29*1000</f>
        <v>121281.634833</v>
      </c>
      <c r="Y29" s="7">
        <f>+[2]Resumen!Y29*1000</f>
        <v>133573.30733700001</v>
      </c>
      <c r="Z29" s="7">
        <f>+[2]Resumen!Z29*1000</f>
        <v>124434.24096300002</v>
      </c>
      <c r="AA29" s="7">
        <f>+[2]Resumen!AA29*1000</f>
        <v>109091.83124400002</v>
      </c>
      <c r="AB29" s="7">
        <f>+[2]Resumen!AB29*1000</f>
        <v>86027.064243000001</v>
      </c>
      <c r="AC29" s="7">
        <f>+[2]Resumen!AC29*1000</f>
        <v>61313.22557100001</v>
      </c>
      <c r="AD29" s="65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+[2]Resumen!F30*1000</f>
        <v>70180.79077800001</v>
      </c>
      <c r="G30" s="7">
        <f>+[2]Resumen!G30*1000</f>
        <v>57070.231695000002</v>
      </c>
      <c r="H30" s="7">
        <f>+[2]Resumen!H30*1000</f>
        <v>48875.369886000008</v>
      </c>
      <c r="I30" s="7">
        <f>+[2]Resumen!I30*1000</f>
        <v>45614.641227</v>
      </c>
      <c r="J30" s="7">
        <f>+[2]Resumen!J30*1000</f>
        <v>47852.658291000007</v>
      </c>
      <c r="K30" s="7">
        <f>+[2]Resumen!K30*1000</f>
        <v>52801.232613000007</v>
      </c>
      <c r="L30" s="7">
        <f>+[2]Resumen!L30*1000</f>
        <v>61306.797585000008</v>
      </c>
      <c r="M30" s="7">
        <f>+[2]Resumen!M30*1000</f>
        <v>65070.835170000006</v>
      </c>
      <c r="N30" s="7">
        <f>+[2]Resumen!N30*1000</f>
        <v>82913.763147000005</v>
      </c>
      <c r="O30" s="7">
        <f>+[2]Resumen!O30*1000</f>
        <v>98661.361875000017</v>
      </c>
      <c r="P30" s="7">
        <f>+[2]Resumen!P30*1000</f>
        <v>115569.366633</v>
      </c>
      <c r="Q30" s="7">
        <f>+[2]Resumen!Q30*1000</f>
        <v>132727.31780100003</v>
      </c>
      <c r="R30" s="7">
        <f>+[2]Resumen!R30*1000</f>
        <v>142200.29862900003</v>
      </c>
      <c r="S30" s="7">
        <f>+[2]Resumen!S30*1000</f>
        <v>140334.79563900002</v>
      </c>
      <c r="T30" s="7">
        <f>+[2]Resumen!T30*1000</f>
        <v>134069.91482999999</v>
      </c>
      <c r="U30" s="7">
        <f>+[2]Resumen!U30*1000</f>
        <v>131710.63392900003</v>
      </c>
      <c r="V30" s="7">
        <f>+[2]Resumen!V30*1000</f>
        <v>129048.246936</v>
      </c>
      <c r="W30" s="7">
        <f>+[2]Resumen!W30*1000</f>
        <v>112228.95789600001</v>
      </c>
      <c r="X30" s="7">
        <f>+[2]Resumen!X30*1000</f>
        <v>127571.58954300001</v>
      </c>
      <c r="Y30" s="7">
        <f>+[2]Resumen!Y30*1000</f>
        <v>145614.74016900003</v>
      </c>
      <c r="Z30" s="7">
        <f>+[2]Resumen!Z30*1000</f>
        <v>134530.53432000004</v>
      </c>
      <c r="AA30" s="7">
        <f>+[2]Resumen!AA30*1000</f>
        <v>115336.85742300002</v>
      </c>
      <c r="AB30" s="7">
        <f>+[2]Resumen!AB30*1000</f>
        <v>87355.453917000006</v>
      </c>
      <c r="AC30" s="7">
        <f>+[2]Resumen!AC30*1000</f>
        <v>58632.592926000005</v>
      </c>
      <c r="AD30" s="66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19</v>
      </c>
      <c r="F31" s="7">
        <f>+[2]Resumen!F31*1000</f>
        <v>66015.899706000011</v>
      </c>
      <c r="G31" s="7">
        <f>+[2]Resumen!G31*1000</f>
        <v>53255.883825000004</v>
      </c>
      <c r="H31" s="7">
        <f>+[2]Resumen!H31*1000</f>
        <v>46226.021163000005</v>
      </c>
      <c r="I31" s="7">
        <f>+[2]Resumen!I31*1000</f>
        <v>45729.247224000006</v>
      </c>
      <c r="J31" s="7">
        <f>+[2]Resumen!J31*1000</f>
        <v>59336.679321000011</v>
      </c>
      <c r="K31" s="7">
        <f>+[2]Resumen!K31*1000</f>
        <v>88734.716622000007</v>
      </c>
      <c r="L31" s="7">
        <f>+[2]Resumen!L31*1000</f>
        <v>117865.75868700001</v>
      </c>
      <c r="M31" s="7">
        <f>+[2]Resumen!M31*1000</f>
        <v>125592.55056600002</v>
      </c>
      <c r="N31" s="7">
        <f>+[2]Resumen!N31*1000</f>
        <v>143267.11445100003</v>
      </c>
      <c r="O31" s="7">
        <f>+[2]Resumen!O31*1000</f>
        <v>154821.98599500002</v>
      </c>
      <c r="P31" s="7">
        <f>+[2]Resumen!P31*1000</f>
        <v>171423.63500100002</v>
      </c>
      <c r="Q31" s="7">
        <f>+[2]Resumen!Q31*1000</f>
        <v>186174.92364000002</v>
      </c>
      <c r="R31" s="7">
        <f>+[2]Resumen!R31*1000</f>
        <v>189194.11933800002</v>
      </c>
      <c r="S31" s="7">
        <f>+[2]Resumen!S31*1000</f>
        <v>186844.31397000002</v>
      </c>
      <c r="T31" s="7">
        <f>+[2]Resumen!T31*1000</f>
        <v>190993.00826100001</v>
      </c>
      <c r="U31" s="7">
        <f>+[2]Resumen!U31*1000</f>
        <v>191915.79677400002</v>
      </c>
      <c r="V31" s="7">
        <f>+[2]Resumen!V31*1000</f>
        <v>184922.65923300001</v>
      </c>
      <c r="W31" s="7">
        <f>+[2]Resumen!W31*1000</f>
        <v>154641.61401300001</v>
      </c>
      <c r="X31" s="7">
        <f>+[2]Resumen!X31*1000</f>
        <v>161712.66413400002</v>
      </c>
      <c r="Y31" s="7">
        <f>+[2]Resumen!Y31*1000</f>
        <v>175716.83612400002</v>
      </c>
      <c r="Z31" s="7">
        <f>+[2]Resumen!Z31*1000</f>
        <v>159890.72244000001</v>
      </c>
      <c r="AA31" s="7">
        <f>+[2]Resumen!AA31*1000</f>
        <v>133353.82054500002</v>
      </c>
      <c r="AB31" s="7">
        <f>+[2]Resumen!AB31*1000</f>
        <v>96769.742715</v>
      </c>
      <c r="AC31" s="7">
        <f>+[2]Resumen!AC31*1000</f>
        <v>65447.958213000005</v>
      </c>
      <c r="AD31" s="64">
        <f t="shared" ref="AD31" si="4">SUM(F31:AC31)*E31+SUM(F32:AC32)*E32+SUM(F33:AC33)*E33+SUM(F34:AC34)*E34</f>
        <v>88100349.823653027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5</v>
      </c>
      <c r="F32" s="7">
        <f>+[2]Resumen!F32*1000</f>
        <v>70414.108439999996</v>
      </c>
      <c r="G32" s="7">
        <f>+[2]Resumen!G32*1000</f>
        <v>56527.728699000007</v>
      </c>
      <c r="H32" s="7">
        <f>+[2]Resumen!H32*1000</f>
        <v>48235.737723000006</v>
      </c>
      <c r="I32" s="7">
        <f>+[2]Resumen!I32*1000</f>
        <v>45154.937190000004</v>
      </c>
      <c r="J32" s="7">
        <f>+[2]Resumen!J32*1000</f>
        <v>51772.857891000007</v>
      </c>
      <c r="K32" s="7">
        <f>+[2]Resumen!K32*1000</f>
        <v>64447.760421000014</v>
      </c>
      <c r="L32" s="7">
        <f>+[2]Resumen!L32*1000</f>
        <v>87187.569348000005</v>
      </c>
      <c r="M32" s="7">
        <f>+[2]Resumen!M32*1000</f>
        <v>101466.83694600001</v>
      </c>
      <c r="N32" s="7">
        <f>+[2]Resumen!N32*1000</f>
        <v>124517.89593</v>
      </c>
      <c r="O32" s="7">
        <f>+[2]Resumen!O32*1000</f>
        <v>140341.72692600003</v>
      </c>
      <c r="P32" s="7">
        <f>+[2]Resumen!P32*1000</f>
        <v>155907.17032200002</v>
      </c>
      <c r="Q32" s="7">
        <f>+[2]Resumen!Q32*1000</f>
        <v>168020.27400900002</v>
      </c>
      <c r="R32" s="7">
        <f>+[2]Resumen!R32*1000</f>
        <v>168282.21642000004</v>
      </c>
      <c r="S32" s="7">
        <f>+[2]Resumen!S32*1000</f>
        <v>160061.73777900002</v>
      </c>
      <c r="T32" s="7">
        <f>+[2]Resumen!T32*1000</f>
        <v>152974.96643700002</v>
      </c>
      <c r="U32" s="7">
        <f>+[2]Resumen!U32*1000</f>
        <v>151184.49492600001</v>
      </c>
      <c r="V32" s="7">
        <f>+[2]Resumen!V32*1000</f>
        <v>150106.13884800003</v>
      </c>
      <c r="W32" s="7">
        <f>+[2]Resumen!W32*1000</f>
        <v>130920.49495200001</v>
      </c>
      <c r="X32" s="7">
        <f>+[2]Resumen!X32*1000</f>
        <v>142066.52360100002</v>
      </c>
      <c r="Y32" s="7">
        <f>+[2]Resumen!Y32*1000</f>
        <v>150535.12567200002</v>
      </c>
      <c r="Z32" s="7">
        <f>+[2]Resumen!Z32*1000</f>
        <v>134682.29740499999</v>
      </c>
      <c r="AA32" s="7">
        <f>+[2]Resumen!AA32*1000</f>
        <v>111699.98458200002</v>
      </c>
      <c r="AB32" s="7">
        <f>+[2]Resumen!AB32*1000</f>
        <v>86388.061839000002</v>
      </c>
      <c r="AC32" s="7">
        <f>+[2]Resumen!AC32*1000</f>
        <v>61170.434718000004</v>
      </c>
      <c r="AD32" s="65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5</v>
      </c>
      <c r="F33" s="7">
        <f>+[2]Resumen!F33*1000</f>
        <v>61566.833792999998</v>
      </c>
      <c r="G33" s="7">
        <f>+[2]Resumen!G33*1000</f>
        <v>47091.044988000001</v>
      </c>
      <c r="H33" s="7">
        <f>+[2]Resumen!H33*1000</f>
        <v>37709.082381</v>
      </c>
      <c r="I33" s="7">
        <f>+[2]Resumen!I33*1000</f>
        <v>32991.06351</v>
      </c>
      <c r="J33" s="7">
        <f>+[2]Resumen!J33*1000</f>
        <v>34758.414879000004</v>
      </c>
      <c r="K33" s="7">
        <f>+[2]Resumen!K33*1000</f>
        <v>38515.247730000003</v>
      </c>
      <c r="L33" s="7">
        <f>+[2]Resumen!L33*1000</f>
        <v>49464.402465000006</v>
      </c>
      <c r="M33" s="7">
        <f>+[2]Resumen!M33*1000</f>
        <v>54602.269482000011</v>
      </c>
      <c r="N33" s="7">
        <f>+[2]Resumen!N33*1000</f>
        <v>72782.115867</v>
      </c>
      <c r="O33" s="7">
        <f>+[2]Resumen!O33*1000</f>
        <v>89257.555212000007</v>
      </c>
      <c r="P33" s="7">
        <f>+[2]Resumen!P33*1000</f>
        <v>101633.857581</v>
      </c>
      <c r="Q33" s="7">
        <f>+[2]Resumen!Q33*1000</f>
        <v>116658.00669600001</v>
      </c>
      <c r="R33" s="7">
        <f>+[2]Resumen!R33*1000</f>
        <v>125978.20198500002</v>
      </c>
      <c r="S33" s="7">
        <f>+[2]Resumen!S33*1000</f>
        <v>126643.32416400002</v>
      </c>
      <c r="T33" s="7">
        <f>+[2]Resumen!T33*1000</f>
        <v>122560.07881800001</v>
      </c>
      <c r="U33" s="7">
        <f>+[2]Resumen!U33*1000</f>
        <v>120569.36088000001</v>
      </c>
      <c r="V33" s="7">
        <f>+[2]Resumen!V33*1000</f>
        <v>118125.73545000001</v>
      </c>
      <c r="W33" s="7">
        <f>+[2]Resumen!W33*1000</f>
        <v>100119.87269100001</v>
      </c>
      <c r="X33" s="7">
        <f>+[2]Resumen!X33*1000</f>
        <v>114848.124411</v>
      </c>
      <c r="Y33" s="7">
        <f>+[2]Resumen!Y33*1000</f>
        <v>132152.31820500002</v>
      </c>
      <c r="Z33" s="7">
        <f>+[2]Resumen!Z33*1000</f>
        <v>120906.37440000002</v>
      </c>
      <c r="AA33" s="7">
        <f>+[2]Resumen!AA33*1000</f>
        <v>99582.795042000012</v>
      </c>
      <c r="AB33" s="7">
        <f>+[2]Resumen!AB33*1000</f>
        <v>70157.765748000005</v>
      </c>
      <c r="AC33" s="7">
        <f>+[2]Resumen!AC33*1000</f>
        <v>43499.275050000004</v>
      </c>
      <c r="AD33" s="65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+[2]Resumen!F34*1000</f>
        <v>78909.69457800001</v>
      </c>
      <c r="G34" s="7">
        <f>+[2]Resumen!G34*1000</f>
        <v>62812.000467000005</v>
      </c>
      <c r="H34" s="7">
        <f>+[2]Resumen!H34*1000</f>
        <v>52704.828675000004</v>
      </c>
      <c r="I34" s="7">
        <f>+[2]Resumen!I34*1000</f>
        <v>47458.724202000005</v>
      </c>
      <c r="J34" s="7">
        <f>+[2]Resumen!J34*1000</f>
        <v>46712.832119999999</v>
      </c>
      <c r="K34" s="7">
        <f>+[2]Resumen!K34*1000</f>
        <v>46806.989037000007</v>
      </c>
      <c r="L34" s="7">
        <f>+[2]Resumen!L34*1000</f>
        <v>56848.795107000013</v>
      </c>
      <c r="M34" s="7">
        <f>+[2]Resumen!M34*1000</f>
        <v>61959.059828999998</v>
      </c>
      <c r="N34" s="7">
        <f>+[2]Resumen!N34*1000</f>
        <v>79706.546877000015</v>
      </c>
      <c r="O34" s="7">
        <f>+[2]Resumen!O34*1000</f>
        <v>93802.981470000013</v>
      </c>
      <c r="P34" s="7">
        <f>+[2]Resumen!P34*1000</f>
        <v>105580.23675900001</v>
      </c>
      <c r="Q34" s="7">
        <f>+[2]Resumen!Q34*1000</f>
        <v>120960.09682800001</v>
      </c>
      <c r="R34" s="7">
        <f>+[2]Resumen!R34*1000</f>
        <v>127139.53535700002</v>
      </c>
      <c r="S34" s="7">
        <f>+[2]Resumen!S34*1000</f>
        <v>129627.617721</v>
      </c>
      <c r="T34" s="7">
        <f>+[2]Resumen!T34*1000</f>
        <v>128150.69084400003</v>
      </c>
      <c r="U34" s="7">
        <f>+[2]Resumen!U34*1000</f>
        <v>127482.58848900003</v>
      </c>
      <c r="V34" s="7">
        <f>+[2]Resumen!V34*1000</f>
        <v>125208.99953700001</v>
      </c>
      <c r="W34" s="7">
        <f>+[2]Resumen!W34*1000</f>
        <v>107595.16862700001</v>
      </c>
      <c r="X34" s="7">
        <f>+[2]Resumen!X34*1000</f>
        <v>121243.90311000001</v>
      </c>
      <c r="Y34" s="7">
        <f>+[2]Resumen!Y34*1000</f>
        <v>137688.086274</v>
      </c>
      <c r="Z34" s="7">
        <f>+[2]Resumen!Z34*1000</f>
        <v>131868.09977100001</v>
      </c>
      <c r="AA34" s="7">
        <f>+[2]Resumen!AA34*1000</f>
        <v>118088.09487600002</v>
      </c>
      <c r="AB34" s="7">
        <f>+[2]Resumen!AB34*1000</f>
        <v>90358.971987000012</v>
      </c>
      <c r="AC34" s="7">
        <f>+[2]Resumen!AC34*1000</f>
        <v>62306.97952500001</v>
      </c>
      <c r="AD34" s="66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+[2]Resumen!F35*1000</f>
        <v>63613.093176000002</v>
      </c>
      <c r="G35" s="7">
        <f>+[2]Resumen!G35*1000</f>
        <v>50783.352273000011</v>
      </c>
      <c r="H35" s="7">
        <f>+[2]Resumen!H35*1000</f>
        <v>43824.724536000002</v>
      </c>
      <c r="I35" s="7">
        <f>+[2]Resumen!I35*1000</f>
        <v>43349.858061000006</v>
      </c>
      <c r="J35" s="7">
        <f>+[2]Resumen!J35*1000</f>
        <v>58610.812278000005</v>
      </c>
      <c r="K35" s="7">
        <f>+[2]Resumen!K35*1000</f>
        <v>91390.600332000016</v>
      </c>
      <c r="L35" s="7">
        <f>+[2]Resumen!L35*1000</f>
        <v>121758.59773500002</v>
      </c>
      <c r="M35" s="7">
        <f>+[2]Resumen!M35*1000</f>
        <v>126878.17154400001</v>
      </c>
      <c r="N35" s="7">
        <f>+[2]Resumen!N35*1000</f>
        <v>143192.98653600001</v>
      </c>
      <c r="O35" s="7">
        <f>+[2]Resumen!O35*1000</f>
        <v>153799.25854800001</v>
      </c>
      <c r="P35" s="7">
        <f>+[2]Resumen!P35*1000</f>
        <v>170405.23118700003</v>
      </c>
      <c r="Q35" s="7">
        <f>+[2]Resumen!Q35*1000</f>
        <v>184987.30765200002</v>
      </c>
      <c r="R35" s="7">
        <f>+[2]Resumen!R35*1000</f>
        <v>187371.63867600003</v>
      </c>
      <c r="S35" s="7">
        <f>+[2]Resumen!S35*1000</f>
        <v>183930.40725600001</v>
      </c>
      <c r="T35" s="7">
        <f>+[2]Resumen!T35*1000</f>
        <v>187901.551221</v>
      </c>
      <c r="U35" s="7">
        <f>+[2]Resumen!U35*1000</f>
        <v>188273.35988100001</v>
      </c>
      <c r="V35" s="7">
        <f>+[2]Resumen!V35*1000</f>
        <v>181814.67252000002</v>
      </c>
      <c r="W35" s="7">
        <f>+[2]Resumen!W35*1000</f>
        <v>154151.454321</v>
      </c>
      <c r="X35" s="7">
        <f>+[2]Resumen!X35*1000</f>
        <v>166658.66250600002</v>
      </c>
      <c r="Y35" s="7">
        <f>+[2]Resumen!Y35*1000</f>
        <v>176760.242505</v>
      </c>
      <c r="Z35" s="7">
        <f>+[2]Resumen!Z35*1000</f>
        <v>160229.05167600003</v>
      </c>
      <c r="AA35" s="7">
        <f>+[2]Resumen!AA35*1000</f>
        <v>131398.08004500001</v>
      </c>
      <c r="AB35" s="7">
        <f>+[2]Resumen!AB35*1000</f>
        <v>94987.367613000009</v>
      </c>
      <c r="AC35" s="7">
        <f>+[2]Resumen!AC35*1000</f>
        <v>63956.752647000008</v>
      </c>
      <c r="AD35" s="64">
        <f t="shared" ref="AD35" si="5">SUM(F35:AC35)*E35+SUM(F36:AC36)*E36+SUM(F37:AC37)*E37+SUM(F38:AC38)*E38</f>
        <v>89084306.124087006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4</v>
      </c>
      <c r="F36" s="7">
        <f>+[2]Resumen!F36*1000</f>
        <v>68546.215761000014</v>
      </c>
      <c r="G36" s="7">
        <f>+[2]Resumen!G36*1000</f>
        <v>55084.384284</v>
      </c>
      <c r="H36" s="7">
        <f>+[2]Resumen!H36*1000</f>
        <v>46972.717734000005</v>
      </c>
      <c r="I36" s="7">
        <f>+[2]Resumen!I36*1000</f>
        <v>44206.464474</v>
      </c>
      <c r="J36" s="7">
        <f>+[2]Resumen!J36*1000</f>
        <v>51446.695065000007</v>
      </c>
      <c r="K36" s="7">
        <f>+[2]Resumen!K36*1000</f>
        <v>63622.869897000004</v>
      </c>
      <c r="L36" s="7">
        <f>+[2]Resumen!L36*1000</f>
        <v>86890.447386000014</v>
      </c>
      <c r="M36" s="7">
        <f>+[2]Resumen!M36*1000</f>
        <v>101465.00207700001</v>
      </c>
      <c r="N36" s="7">
        <f>+[2]Resumen!N36*1000</f>
        <v>124526.21426700002</v>
      </c>
      <c r="O36" s="7">
        <f>+[2]Resumen!O36*1000</f>
        <v>137665.01368800001</v>
      </c>
      <c r="P36" s="7">
        <f>+[2]Resumen!P36*1000</f>
        <v>150279.69843300001</v>
      </c>
      <c r="Q36" s="7">
        <f>+[2]Resumen!Q36*1000</f>
        <v>159300.57229500002</v>
      </c>
      <c r="R36" s="7">
        <f>+[2]Resumen!R36*1000</f>
        <v>160815.43300799999</v>
      </c>
      <c r="S36" s="7">
        <f>+[2]Resumen!S36*1000</f>
        <v>155647.74441600003</v>
      </c>
      <c r="T36" s="7">
        <f>+[2]Resumen!T36*1000</f>
        <v>150409.82750100002</v>
      </c>
      <c r="U36" s="7">
        <f>+[2]Resumen!U36*1000</f>
        <v>148214.82483900004</v>
      </c>
      <c r="V36" s="7">
        <f>+[2]Resumen!V36*1000</f>
        <v>145708.437378</v>
      </c>
      <c r="W36" s="7">
        <f>+[2]Resumen!W36*1000</f>
        <v>127766.10547200001</v>
      </c>
      <c r="X36" s="7">
        <f>+[2]Resumen!X36*1000</f>
        <v>141269.75452500003</v>
      </c>
      <c r="Y36" s="7">
        <f>+[2]Resumen!Y36*1000</f>
        <v>148062.95475300003</v>
      </c>
      <c r="Z36" s="7">
        <f>+[2]Resumen!Z36*1000</f>
        <v>131528.41122600003</v>
      </c>
      <c r="AA36" s="7">
        <f>+[2]Resumen!AA36*1000</f>
        <v>108712.84955400001</v>
      </c>
      <c r="AB36" s="7">
        <f>+[2]Resumen!AB36*1000</f>
        <v>83073.285786000008</v>
      </c>
      <c r="AC36" s="7">
        <f>+[2]Resumen!AC36*1000</f>
        <v>58894.959378000007</v>
      </c>
      <c r="AD36" s="65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+[2]Resumen!F37*1000</f>
        <v>64046.094519000006</v>
      </c>
      <c r="G37" s="7">
        <f>+[2]Resumen!G37*1000</f>
        <v>50204.401566000008</v>
      </c>
      <c r="H37" s="7">
        <f>+[2]Resumen!H37*1000</f>
        <v>40452.659355000003</v>
      </c>
      <c r="I37" s="7">
        <f>+[2]Resumen!I37*1000</f>
        <v>36174.458187000004</v>
      </c>
      <c r="J37" s="7">
        <f>+[2]Resumen!J37*1000</f>
        <v>38112.563337000007</v>
      </c>
      <c r="K37" s="7">
        <f>+[2]Resumen!K37*1000</f>
        <v>43693.854387000007</v>
      </c>
      <c r="L37" s="7">
        <f>+[2]Resumen!L37*1000</f>
        <v>51635.008899</v>
      </c>
      <c r="M37" s="7">
        <f>+[2]Resumen!M37*1000</f>
        <v>57040.52504700001</v>
      </c>
      <c r="N37" s="7">
        <f>+[2]Resumen!N37*1000</f>
        <v>74279.040042000008</v>
      </c>
      <c r="O37" s="7">
        <f>+[2]Resumen!O37*1000</f>
        <v>90089.797101000004</v>
      </c>
      <c r="P37" s="7">
        <f>+[2]Resumen!P37*1000</f>
        <v>103519.48864800001</v>
      </c>
      <c r="Q37" s="7">
        <f>+[2]Resumen!Q37*1000</f>
        <v>118087.77783600001</v>
      </c>
      <c r="R37" s="7">
        <f>+[2]Resumen!R37*1000</f>
        <v>127304.22971100001</v>
      </c>
      <c r="S37" s="7">
        <f>+[2]Resumen!S37*1000</f>
        <v>128843.490615</v>
      </c>
      <c r="T37" s="7">
        <f>+[2]Resumen!T37*1000</f>
        <v>123540.04153200002</v>
      </c>
      <c r="U37" s="7">
        <f>+[2]Resumen!U37*1000</f>
        <v>121077.36199800002</v>
      </c>
      <c r="V37" s="7">
        <f>+[2]Resumen!V37*1000</f>
        <v>117994.35803700001</v>
      </c>
      <c r="W37" s="7">
        <f>+[2]Resumen!W37*1000</f>
        <v>102515.99364</v>
      </c>
      <c r="X37" s="7">
        <f>+[2]Resumen!X37*1000</f>
        <v>122063.368287</v>
      </c>
      <c r="Y37" s="7">
        <f>+[2]Resumen!Y37*1000</f>
        <v>133582.34694000002</v>
      </c>
      <c r="Z37" s="7">
        <f>+[2]Resumen!Z37*1000</f>
        <v>122017.10026200001</v>
      </c>
      <c r="AA37" s="7">
        <f>+[2]Resumen!AA37*1000</f>
        <v>101897.79734400001</v>
      </c>
      <c r="AB37" s="7">
        <f>+[2]Resumen!AB37*1000</f>
        <v>73856.100756</v>
      </c>
      <c r="AC37" s="7">
        <f>+[2]Resumen!AC37*1000</f>
        <v>47913.601305000004</v>
      </c>
      <c r="AD37" s="65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+[2]Resumen!F38*1000</f>
        <v>58669.333899000012</v>
      </c>
      <c r="G38" s="7">
        <f>+[2]Resumen!G38*1000</f>
        <v>44672.168493000005</v>
      </c>
      <c r="H38" s="7">
        <f>+[2]Resumen!H38*1000</f>
        <v>35101.333269000002</v>
      </c>
      <c r="I38" s="7">
        <f>+[2]Resumen!I38*1000</f>
        <v>33104.119974000001</v>
      </c>
      <c r="J38" s="7">
        <f>+[2]Resumen!J38*1000</f>
        <v>35605.145496000005</v>
      </c>
      <c r="K38" s="7">
        <f>+[2]Resumen!K38*1000</f>
        <v>44037.993381</v>
      </c>
      <c r="L38" s="7">
        <f>+[2]Resumen!L38*1000</f>
        <v>56311.535160000014</v>
      </c>
      <c r="M38" s="7">
        <f>+[2]Resumen!M38*1000</f>
        <v>60543.464339999999</v>
      </c>
      <c r="N38" s="7">
        <f>+[2]Resumen!N38*1000</f>
        <v>80879.892102000013</v>
      </c>
      <c r="O38" s="7">
        <f>+[2]Resumen!O38*1000</f>
        <v>96834.414912000007</v>
      </c>
      <c r="P38" s="7">
        <f>+[2]Resumen!P38*1000</f>
        <v>112949.12218200002</v>
      </c>
      <c r="Q38" s="7">
        <f>+[2]Resumen!Q38*1000</f>
        <v>129526.25210700004</v>
      </c>
      <c r="R38" s="7">
        <f>+[2]Resumen!R38*1000</f>
        <v>139745.40242699999</v>
      </c>
      <c r="S38" s="7">
        <f>+[2]Resumen!S38*1000</f>
        <v>139522.491603</v>
      </c>
      <c r="T38" s="7">
        <f>+[2]Resumen!T38*1000</f>
        <v>133809.65273100001</v>
      </c>
      <c r="U38" s="7">
        <f>+[2]Resumen!U38*1000</f>
        <v>127949.62011300001</v>
      </c>
      <c r="V38" s="7">
        <f>+[2]Resumen!V38*1000</f>
        <v>126994.69563300001</v>
      </c>
      <c r="W38" s="7">
        <f>+[2]Resumen!W38*1000</f>
        <v>109656.55478100001</v>
      </c>
      <c r="X38" s="7">
        <f>+[2]Resumen!X38*1000</f>
        <v>127486.060077</v>
      </c>
      <c r="Y38" s="7">
        <f>+[2]Resumen!Y38*1000</f>
        <v>144092.147643</v>
      </c>
      <c r="Z38" s="7">
        <f>+[2]Resumen!Z38*1000</f>
        <v>130225.54723500002</v>
      </c>
      <c r="AA38" s="7">
        <f>+[2]Resumen!AA38*1000</f>
        <v>105648.77684400001</v>
      </c>
      <c r="AB38" s="7">
        <f>+[2]Resumen!AB38*1000</f>
        <v>75849.125160000011</v>
      </c>
      <c r="AC38" s="7">
        <f>+[2]Resumen!AC38*1000</f>
        <v>47547.562773000005</v>
      </c>
      <c r="AD38" s="66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21</v>
      </c>
      <c r="F39" s="7">
        <f>+[2]Resumen!F39*1000</f>
        <v>60745.94193600001</v>
      </c>
      <c r="G39" s="7">
        <f>+[2]Resumen!G39*1000</f>
        <v>48729.487893000005</v>
      </c>
      <c r="H39" s="7">
        <f>+[2]Resumen!H39*1000</f>
        <v>42472.707456000004</v>
      </c>
      <c r="I39" s="7">
        <f>+[2]Resumen!I39*1000</f>
        <v>42087.309669000009</v>
      </c>
      <c r="J39" s="7">
        <f>+[2]Resumen!J39*1000</f>
        <v>57271.49661300001</v>
      </c>
      <c r="K39" s="7">
        <f>+[2]Resumen!K39*1000</f>
        <v>90815.557142999998</v>
      </c>
      <c r="L39" s="7">
        <f>+[2]Resumen!L39*1000</f>
        <v>119966.35872600002</v>
      </c>
      <c r="M39" s="7">
        <f>+[2]Resumen!M39*1000</f>
        <v>123254.75705100002</v>
      </c>
      <c r="N39" s="7">
        <f>+[2]Resumen!N39*1000</f>
        <v>139380.62412900003</v>
      </c>
      <c r="O39" s="7">
        <f>+[2]Resumen!O39*1000</f>
        <v>150059.014815</v>
      </c>
      <c r="P39" s="7">
        <f>+[2]Resumen!P39*1000</f>
        <v>167233.86025200001</v>
      </c>
      <c r="Q39" s="7">
        <f>+[2]Resumen!Q39*1000</f>
        <v>182049.80523600001</v>
      </c>
      <c r="R39" s="7">
        <f>+[2]Resumen!R39*1000</f>
        <v>183117.65540100003</v>
      </c>
      <c r="S39" s="7">
        <f>+[2]Resumen!S39*1000</f>
        <v>180008.84834700002</v>
      </c>
      <c r="T39" s="7">
        <f>+[2]Resumen!T39*1000</f>
        <v>183362.90961900001</v>
      </c>
      <c r="U39" s="7">
        <f>+[2]Resumen!U39*1000</f>
        <v>184437.21947400001</v>
      </c>
      <c r="V39" s="7">
        <f>+[2]Resumen!V39*1000</f>
        <v>178594.71520500001</v>
      </c>
      <c r="W39" s="7">
        <f>+[2]Resumen!W39*1000</f>
        <v>153636.85084500004</v>
      </c>
      <c r="X39" s="7">
        <f>+[2]Resumen!X39*1000</f>
        <v>172118.19830700001</v>
      </c>
      <c r="Y39" s="7">
        <f>+[2]Resumen!Y39*1000</f>
        <v>172531.19442600003</v>
      </c>
      <c r="Z39" s="7">
        <f>+[2]Resumen!Z39*1000</f>
        <v>155078.11072200001</v>
      </c>
      <c r="AA39" s="7">
        <f>+[2]Resumen!AA39*1000</f>
        <v>126864.213858</v>
      </c>
      <c r="AB39" s="7">
        <f>+[2]Resumen!AB39*1000</f>
        <v>89835.915432000009</v>
      </c>
      <c r="AC39" s="7">
        <f>+[2]Resumen!AC39*1000</f>
        <v>59379.190422000007</v>
      </c>
      <c r="AD39" s="64">
        <f t="shared" ref="AD39" si="6">SUM(F39:AC39)*E39+SUM(F40:AC40)*E40+SUM(F41:AC41)*E41+SUM(F42:AC42)*E42</f>
        <v>85827980.334309027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5</v>
      </c>
      <c r="F40" s="7">
        <f>+[2]Resumen!F40*1000</f>
        <v>64727.940558000017</v>
      </c>
      <c r="G40" s="7">
        <f>+[2]Resumen!G40*1000</f>
        <v>51652.961289000006</v>
      </c>
      <c r="H40" s="7">
        <f>+[2]Resumen!H40*1000</f>
        <v>43292.834454000003</v>
      </c>
      <c r="I40" s="7">
        <f>+[2]Resumen!I40*1000</f>
        <v>41113.342973999999</v>
      </c>
      <c r="J40" s="7">
        <f>+[2]Resumen!J40*1000</f>
        <v>48890.480805000007</v>
      </c>
      <c r="K40" s="7">
        <f>+[2]Resumen!K40*1000</f>
        <v>63709.810191000011</v>
      </c>
      <c r="L40" s="7">
        <f>+[2]Resumen!L40*1000</f>
        <v>85284.172152000014</v>
      </c>
      <c r="M40" s="7">
        <f>+[2]Resumen!M40*1000</f>
        <v>99020.825790000003</v>
      </c>
      <c r="N40" s="7">
        <f>+[2]Resumen!N40*1000</f>
        <v>121847.67804900001</v>
      </c>
      <c r="O40" s="7">
        <f>+[2]Resumen!O40*1000</f>
        <v>135759.42099000001</v>
      </c>
      <c r="P40" s="7">
        <f>+[2]Resumen!P40*1000</f>
        <v>151800.90390900002</v>
      </c>
      <c r="Q40" s="7">
        <f>+[2]Resumen!Q40*1000</f>
        <v>163161.957012</v>
      </c>
      <c r="R40" s="7">
        <f>+[2]Resumen!R40*1000</f>
        <v>163939.03394100003</v>
      </c>
      <c r="S40" s="7">
        <f>+[2]Resumen!S40*1000</f>
        <v>158481.14278500003</v>
      </c>
      <c r="T40" s="7">
        <f>+[2]Resumen!T40*1000</f>
        <v>152515.44469800004</v>
      </c>
      <c r="U40" s="7">
        <f>+[2]Resumen!U40*1000</f>
        <v>150554.93274600001</v>
      </c>
      <c r="V40" s="7">
        <f>+[2]Resumen!V40*1000</f>
        <v>148121.56752300003</v>
      </c>
      <c r="W40" s="7">
        <f>+[2]Resumen!W40*1000</f>
        <v>131880.928002</v>
      </c>
      <c r="X40" s="7">
        <f>+[2]Resumen!X40*1000</f>
        <v>150812.43659700002</v>
      </c>
      <c r="Y40" s="7">
        <f>+[2]Resumen!Y40*1000</f>
        <v>148784.61309</v>
      </c>
      <c r="Z40" s="7">
        <f>+[2]Resumen!Z40*1000</f>
        <v>131997.38472000003</v>
      </c>
      <c r="AA40" s="7">
        <f>+[2]Resumen!AA40*1000</f>
        <v>109291.24940400002</v>
      </c>
      <c r="AB40" s="7">
        <f>+[2]Resumen!AB40*1000</f>
        <v>84829.22767800001</v>
      </c>
      <c r="AC40" s="7">
        <f>+[2]Resumen!AC40*1000</f>
        <v>61042.378299000011</v>
      </c>
      <c r="AD40" s="65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+[2]Resumen!F41*1000</f>
        <v>65865.107556000003</v>
      </c>
      <c r="G41" s="7">
        <f>+[2]Resumen!G41*1000</f>
        <v>50124.127038000006</v>
      </c>
      <c r="H41" s="7">
        <f>+[2]Resumen!H41*1000</f>
        <v>40788.226380000007</v>
      </c>
      <c r="I41" s="7">
        <f>+[2]Resumen!I41*1000</f>
        <v>35832.007431000005</v>
      </c>
      <c r="J41" s="7">
        <f>+[2]Resumen!J41*1000</f>
        <v>36503.803302</v>
      </c>
      <c r="K41" s="7">
        <f>+[2]Resumen!K41*1000</f>
        <v>40128.315546000005</v>
      </c>
      <c r="L41" s="7">
        <f>+[2]Resumen!L41*1000</f>
        <v>48715.466799000002</v>
      </c>
      <c r="M41" s="7">
        <f>+[2]Resumen!M41*1000</f>
        <v>52992.467178000006</v>
      </c>
      <c r="N41" s="7">
        <f>+[2]Resumen!N41*1000</f>
        <v>69221.621925000014</v>
      </c>
      <c r="O41" s="7">
        <f>+[2]Resumen!O41*1000</f>
        <v>84187.277160000012</v>
      </c>
      <c r="P41" s="7">
        <f>+[2]Resumen!P41*1000</f>
        <v>99450.779586000004</v>
      </c>
      <c r="Q41" s="7">
        <f>+[2]Resumen!Q41*1000</f>
        <v>114580.93102500001</v>
      </c>
      <c r="R41" s="7">
        <f>+[2]Resumen!R41*1000</f>
        <v>122232.83409300001</v>
      </c>
      <c r="S41" s="7">
        <f>+[2]Resumen!S41*1000</f>
        <v>124403.45241600001</v>
      </c>
      <c r="T41" s="7">
        <f>+[2]Resumen!T41*1000</f>
        <v>122010.18086400002</v>
      </c>
      <c r="U41" s="7">
        <f>+[2]Resumen!U41*1000</f>
        <v>121398.49181400002</v>
      </c>
      <c r="V41" s="7">
        <f>+[2]Resumen!V41*1000</f>
        <v>119655.32663400001</v>
      </c>
      <c r="W41" s="7">
        <f>+[2]Resumen!W41*1000</f>
        <v>106450.17866700001</v>
      </c>
      <c r="X41" s="7">
        <f>+[2]Resumen!X41*1000</f>
        <v>129563.016858</v>
      </c>
      <c r="Y41" s="7">
        <f>+[2]Resumen!Y41*1000</f>
        <v>132245.17129500004</v>
      </c>
      <c r="Z41" s="7">
        <f>+[2]Resumen!Z41*1000</f>
        <v>119079.078693</v>
      </c>
      <c r="AA41" s="7">
        <f>+[2]Resumen!AA41*1000</f>
        <v>98366.958531000011</v>
      </c>
      <c r="AB41" s="7">
        <f>+[2]Resumen!AB41*1000</f>
        <v>70677.445827000018</v>
      </c>
      <c r="AC41" s="7">
        <f>+[2]Resumen!AC41*1000</f>
        <v>43464.281760000005</v>
      </c>
      <c r="AD41" s="65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+[2]Resumen!F42*1000</f>
        <v>0</v>
      </c>
      <c r="G42" s="7">
        <f>+[2]Resumen!G42*1000</f>
        <v>0</v>
      </c>
      <c r="H42" s="7">
        <f>+[2]Resumen!H42*1000</f>
        <v>0</v>
      </c>
      <c r="I42" s="7">
        <f>+[2]Resumen!I42*1000</f>
        <v>0</v>
      </c>
      <c r="J42" s="7">
        <f>+[2]Resumen!J42*1000</f>
        <v>0</v>
      </c>
      <c r="K42" s="7">
        <f>+[2]Resumen!K42*1000</f>
        <v>0</v>
      </c>
      <c r="L42" s="7">
        <f>+[2]Resumen!L42*1000</f>
        <v>0</v>
      </c>
      <c r="M42" s="7">
        <f>+[2]Resumen!M42*1000</f>
        <v>0</v>
      </c>
      <c r="N42" s="7">
        <f>+[2]Resumen!N42*1000</f>
        <v>0</v>
      </c>
      <c r="O42" s="7">
        <f>+[2]Resumen!O42*1000</f>
        <v>0</v>
      </c>
      <c r="P42" s="7">
        <f>+[2]Resumen!P42*1000</f>
        <v>0</v>
      </c>
      <c r="Q42" s="7">
        <f>+[2]Resumen!Q42*1000</f>
        <v>0</v>
      </c>
      <c r="R42" s="7">
        <f>+[2]Resumen!R42*1000</f>
        <v>0</v>
      </c>
      <c r="S42" s="7">
        <f>+[2]Resumen!S42*1000</f>
        <v>0</v>
      </c>
      <c r="T42" s="7">
        <f>+[2]Resumen!T42*1000</f>
        <v>0</v>
      </c>
      <c r="U42" s="7">
        <f>+[2]Resumen!U42*1000</f>
        <v>0</v>
      </c>
      <c r="V42" s="7">
        <f>+[2]Resumen!V42*1000</f>
        <v>0</v>
      </c>
      <c r="W42" s="7">
        <f>+[2]Resumen!W42*1000</f>
        <v>0</v>
      </c>
      <c r="X42" s="7">
        <f>+[2]Resumen!X42*1000</f>
        <v>0</v>
      </c>
      <c r="Y42" s="7">
        <f>+[2]Resumen!Y42*1000</f>
        <v>0</v>
      </c>
      <c r="Z42" s="7">
        <f>+[2]Resumen!Z42*1000</f>
        <v>0</v>
      </c>
      <c r="AA42" s="7">
        <f>+[2]Resumen!AA42*1000</f>
        <v>0</v>
      </c>
      <c r="AB42" s="7">
        <f>+[2]Resumen!AB42*1000</f>
        <v>0</v>
      </c>
      <c r="AC42" s="7">
        <f>+[2]Resumen!AC42*1000</f>
        <v>0</v>
      </c>
      <c r="AD42" s="66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21</v>
      </c>
      <c r="F43" s="7">
        <f>+[2]Resumen!F43*1000</f>
        <v>55218.397092000007</v>
      </c>
      <c r="G43" s="7">
        <f>+[2]Resumen!G43*1000</f>
        <v>43167.365874000003</v>
      </c>
      <c r="H43" s="7">
        <f>+[2]Resumen!H43*1000</f>
        <v>37655.819661000001</v>
      </c>
      <c r="I43" s="7">
        <f>+[2]Resumen!I43*1000</f>
        <v>37275.387513000001</v>
      </c>
      <c r="J43" s="7">
        <f>+[2]Resumen!J43*1000</f>
        <v>52395.928677000011</v>
      </c>
      <c r="K43" s="7">
        <f>+[2]Resumen!K43*1000</f>
        <v>83381.103885000019</v>
      </c>
      <c r="L43" s="7">
        <f>+[2]Resumen!L43*1000</f>
        <v>112106.56856700002</v>
      </c>
      <c r="M43" s="7">
        <f>+[2]Resumen!M43*1000</f>
        <v>117849.99387300001</v>
      </c>
      <c r="N43" s="7">
        <f>+[2]Resumen!N43*1000</f>
        <v>133727.98322700002</v>
      </c>
      <c r="O43" s="7">
        <f>+[2]Resumen!O43*1000</f>
        <v>144590.34826200001</v>
      </c>
      <c r="P43" s="7">
        <f>+[2]Resumen!P43*1000</f>
        <v>161310.907083</v>
      </c>
      <c r="Q43" s="7">
        <f>+[2]Resumen!Q43*1000</f>
        <v>176261.53462200001</v>
      </c>
      <c r="R43" s="7">
        <f>+[2]Resumen!R43*1000</f>
        <v>178956.97699800003</v>
      </c>
      <c r="S43" s="7">
        <f>+[2]Resumen!S43*1000</f>
        <v>175520.71518</v>
      </c>
      <c r="T43" s="7">
        <f>+[2]Resumen!T43*1000</f>
        <v>177887.43463200002</v>
      </c>
      <c r="U43" s="7">
        <f>+[2]Resumen!U43*1000</f>
        <v>178769.06342700002</v>
      </c>
      <c r="V43" s="7">
        <f>+[2]Resumen!V43*1000</f>
        <v>172620.29851800003</v>
      </c>
      <c r="W43" s="7">
        <f>+[2]Resumen!W43*1000</f>
        <v>152243.75330700004</v>
      </c>
      <c r="X43" s="7">
        <f>+[2]Resumen!X43*1000</f>
        <v>170052.12788700001</v>
      </c>
      <c r="Y43" s="7">
        <f>+[2]Resumen!Y43*1000</f>
        <v>164377.31003700002</v>
      </c>
      <c r="Z43" s="7">
        <f>+[2]Resumen!Z43*1000</f>
        <v>147314.67298200002</v>
      </c>
      <c r="AA43" s="7">
        <f>+[2]Resumen!AA43*1000</f>
        <v>119464.71426000002</v>
      </c>
      <c r="AB43" s="7">
        <f>+[2]Resumen!AB43*1000</f>
        <v>83959.618662000008</v>
      </c>
      <c r="AC43" s="7">
        <f>+[2]Resumen!AC43*1000</f>
        <v>54692.273175000002</v>
      </c>
      <c r="AD43" s="64">
        <f t="shared" ref="AD43" si="7">SUM(F43:AC43)*E43+SUM(F44:AC44)*E44+SUM(F45:AC45)*E45+SUM(F46:AC46)*E46</f>
        <v>83618191.636085987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+[2]Resumen!F44*1000</f>
        <v>61273.016973000005</v>
      </c>
      <c r="G44" s="7">
        <f>+[2]Resumen!G44*1000</f>
        <v>47313.028470000005</v>
      </c>
      <c r="H44" s="7">
        <f>+[2]Resumen!H44*1000</f>
        <v>39348.107847000007</v>
      </c>
      <c r="I44" s="7">
        <f>+[2]Resumen!I44*1000</f>
        <v>36777.710010000003</v>
      </c>
      <c r="J44" s="7">
        <f>+[2]Resumen!J44*1000</f>
        <v>44647.320483000003</v>
      </c>
      <c r="K44" s="7">
        <f>+[2]Resumen!K44*1000</f>
        <v>58094.687010000009</v>
      </c>
      <c r="L44" s="7">
        <f>+[2]Resumen!L44*1000</f>
        <v>79204.014699000007</v>
      </c>
      <c r="M44" s="7">
        <f>+[2]Resumen!M44*1000</f>
        <v>91659.442326000004</v>
      </c>
      <c r="N44" s="7">
        <f>+[2]Resumen!N44*1000</f>
        <v>114705.09974100001</v>
      </c>
      <c r="O44" s="7">
        <f>+[2]Resumen!O44*1000</f>
        <v>129909.35928000002</v>
      </c>
      <c r="P44" s="7">
        <f>+[2]Resumen!P44*1000</f>
        <v>144032.46486300003</v>
      </c>
      <c r="Q44" s="7">
        <f>+[2]Resumen!Q44*1000</f>
        <v>154358.544849</v>
      </c>
      <c r="R44" s="7">
        <f>+[2]Resumen!R44*1000</f>
        <v>155723.38223400002</v>
      </c>
      <c r="S44" s="7">
        <f>+[2]Resumen!S44*1000</f>
        <v>150604.43061600003</v>
      </c>
      <c r="T44" s="7">
        <f>+[2]Resumen!T44*1000</f>
        <v>148403.17434</v>
      </c>
      <c r="U44" s="7">
        <f>+[2]Resumen!U44*1000</f>
        <v>150155.632755</v>
      </c>
      <c r="V44" s="7">
        <f>+[2]Resumen!V44*1000</f>
        <v>147281.76026700003</v>
      </c>
      <c r="W44" s="7">
        <f>+[2]Resumen!W44*1000</f>
        <v>133605.00737400001</v>
      </c>
      <c r="X44" s="7">
        <f>+[2]Resumen!X44*1000</f>
        <v>150182.12144700001</v>
      </c>
      <c r="Y44" s="7">
        <f>+[2]Resumen!Y44*1000</f>
        <v>143039.05569000001</v>
      </c>
      <c r="Z44" s="7">
        <f>+[2]Resumen!Z44*1000</f>
        <v>127085.96748600001</v>
      </c>
      <c r="AA44" s="7">
        <f>+[2]Resumen!AA44*1000</f>
        <v>104717.61847500001</v>
      </c>
      <c r="AB44" s="7">
        <f>+[2]Resumen!AB44*1000</f>
        <v>78806.807172000015</v>
      </c>
      <c r="AC44" s="7">
        <f>+[2]Resumen!AC44*1000</f>
        <v>54434.911992000001</v>
      </c>
      <c r="AD44" s="65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5</v>
      </c>
      <c r="F45" s="7">
        <f>+[2]Resumen!F45*1000</f>
        <v>59033.953677000012</v>
      </c>
      <c r="G45" s="7">
        <f>+[2]Resumen!G45*1000</f>
        <v>46502.900121000006</v>
      </c>
      <c r="H45" s="7">
        <f>+[2]Resumen!H45*1000</f>
        <v>37856.050236000003</v>
      </c>
      <c r="I45" s="7">
        <f>+[2]Resumen!I45*1000</f>
        <v>33310.029527999999</v>
      </c>
      <c r="J45" s="7">
        <f>+[2]Resumen!J45*1000</f>
        <v>34766.059506000005</v>
      </c>
      <c r="K45" s="7">
        <f>+[2]Resumen!K45*1000</f>
        <v>39197.886369000007</v>
      </c>
      <c r="L45" s="7">
        <f>+[2]Resumen!L45*1000</f>
        <v>47510.572131000001</v>
      </c>
      <c r="M45" s="7">
        <f>+[2]Resumen!M45*1000</f>
        <v>52416.988059000003</v>
      </c>
      <c r="N45" s="7">
        <f>+[2]Resumen!N45*1000</f>
        <v>69243.125163000004</v>
      </c>
      <c r="O45" s="7">
        <f>+[2]Resumen!O45*1000</f>
        <v>84983.73315900001</v>
      </c>
      <c r="P45" s="7">
        <f>+[2]Resumen!P45*1000</f>
        <v>100112.98103400001</v>
      </c>
      <c r="Q45" s="7">
        <f>+[2]Resumen!Q45*1000</f>
        <v>114321.56852700001</v>
      </c>
      <c r="R45" s="7">
        <f>+[2]Resumen!R45*1000</f>
        <v>123127.83801300002</v>
      </c>
      <c r="S45" s="7">
        <f>+[2]Resumen!S45*1000</f>
        <v>124457.52358800001</v>
      </c>
      <c r="T45" s="7">
        <f>+[2]Resumen!T45*1000</f>
        <v>120772.191183</v>
      </c>
      <c r="U45" s="7">
        <f>+[2]Resumen!U45*1000</f>
        <v>118366.74529500002</v>
      </c>
      <c r="V45" s="7">
        <f>+[2]Resumen!V45*1000</f>
        <v>116441.61104400002</v>
      </c>
      <c r="W45" s="7">
        <f>+[2]Resumen!W45*1000</f>
        <v>104090.54505900001</v>
      </c>
      <c r="X45" s="7">
        <f>+[2]Resumen!X45*1000</f>
        <v>128850.16827000001</v>
      </c>
      <c r="Y45" s="7">
        <f>+[2]Resumen!Y45*1000</f>
        <v>126267.86954400002</v>
      </c>
      <c r="Z45" s="7">
        <f>+[2]Resumen!Z45*1000</f>
        <v>113910.27649800002</v>
      </c>
      <c r="AA45" s="7">
        <f>+[2]Resumen!AA45*1000</f>
        <v>94252.155816000013</v>
      </c>
      <c r="AB45" s="7">
        <f>+[2]Resumen!AB45*1000</f>
        <v>67693.516866000005</v>
      </c>
      <c r="AC45" s="7">
        <f>+[2]Resumen!AC45*1000</f>
        <v>41682.608109000001</v>
      </c>
      <c r="AD45" s="65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+[2]Resumen!F46*1000</f>
        <v>47468.152179000004</v>
      </c>
      <c r="G46" s="7">
        <f>+[2]Resumen!G46*1000</f>
        <v>34984.202841000006</v>
      </c>
      <c r="H46" s="7">
        <f>+[2]Resumen!H46*1000</f>
        <v>26571.217512000007</v>
      </c>
      <c r="I46" s="7">
        <f>+[2]Resumen!I46*1000</f>
        <v>23262.548441999999</v>
      </c>
      <c r="J46" s="7">
        <f>+[2]Resumen!J46*1000</f>
        <v>26805.133587000004</v>
      </c>
      <c r="K46" s="7">
        <f>+[2]Resumen!K46*1000</f>
        <v>33480.153192000005</v>
      </c>
      <c r="L46" s="7">
        <f>+[2]Resumen!L46*1000</f>
        <v>41874.476754000003</v>
      </c>
      <c r="M46" s="7">
        <f>+[2]Resumen!M46*1000</f>
        <v>46058.180187000005</v>
      </c>
      <c r="N46" s="7">
        <f>+[2]Resumen!N46*1000</f>
        <v>65484.473295000003</v>
      </c>
      <c r="O46" s="7">
        <f>+[2]Resumen!O46*1000</f>
        <v>83766.073667999997</v>
      </c>
      <c r="P46" s="7">
        <f>+[2]Resumen!P46*1000</f>
        <v>97302.472953000004</v>
      </c>
      <c r="Q46" s="7">
        <f>+[2]Resumen!Q46*1000</f>
        <v>112263.43995900001</v>
      </c>
      <c r="R46" s="7">
        <f>+[2]Resumen!R46*1000</f>
        <v>125637.75254400002</v>
      </c>
      <c r="S46" s="7">
        <f>+[2]Resumen!S46*1000</f>
        <v>122818.65267900002</v>
      </c>
      <c r="T46" s="7">
        <f>+[2]Resumen!T46*1000</f>
        <v>116260.70009400001</v>
      </c>
      <c r="U46" s="7">
        <f>+[2]Resumen!U46*1000</f>
        <v>113795.56350000002</v>
      </c>
      <c r="V46" s="7">
        <f>+[2]Resumen!V46*1000</f>
        <v>113728.89791400003</v>
      </c>
      <c r="W46" s="7">
        <f>+[2]Resumen!W46*1000</f>
        <v>105751.38684000001</v>
      </c>
      <c r="X46" s="7">
        <f>+[2]Resumen!X46*1000</f>
        <v>131435.02709400002</v>
      </c>
      <c r="Y46" s="7">
        <f>+[2]Resumen!Y46*1000</f>
        <v>129762.35179500002</v>
      </c>
      <c r="Z46" s="7">
        <f>+[2]Resumen!Z46*1000</f>
        <v>113248.62987000002</v>
      </c>
      <c r="AA46" s="7">
        <f>+[2]Resumen!AA46*1000</f>
        <v>88834.695186000012</v>
      </c>
      <c r="AB46" s="7">
        <f>+[2]Resumen!AB46*1000</f>
        <v>59575.275699000013</v>
      </c>
      <c r="AC46" s="7">
        <f>+[2]Resumen!AC46*1000</f>
        <v>33920.783309999999</v>
      </c>
      <c r="AD46" s="66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+[2]Resumen!F47*1000</f>
        <v>59785.120512000001</v>
      </c>
      <c r="G47" s="7">
        <f>+[2]Resumen!G47*1000</f>
        <v>47797.441812000005</v>
      </c>
      <c r="H47" s="7">
        <f>+[2]Resumen!H47*1000</f>
        <v>41260.972650000003</v>
      </c>
      <c r="I47" s="7">
        <f>+[2]Resumen!I47*1000</f>
        <v>40849.474545000005</v>
      </c>
      <c r="J47" s="7">
        <f>+[2]Resumen!J47*1000</f>
        <v>55985.30496300001</v>
      </c>
      <c r="K47" s="7">
        <f>+[2]Resumen!K47*1000</f>
        <v>86549.110233000014</v>
      </c>
      <c r="L47" s="7">
        <f>+[2]Resumen!L47*1000</f>
        <v>117490.81529400001</v>
      </c>
      <c r="M47" s="7">
        <f>+[2]Resumen!M47*1000</f>
        <v>123415.742037</v>
      </c>
      <c r="N47" s="7">
        <f>+[2]Resumen!N47*1000</f>
        <v>139386.528999</v>
      </c>
      <c r="O47" s="7">
        <f>+[2]Resumen!O47*1000</f>
        <v>149973.03753</v>
      </c>
      <c r="P47" s="7">
        <f>+[2]Resumen!P47*1000</f>
        <v>167324.85469500002</v>
      </c>
      <c r="Q47" s="7">
        <f>+[2]Resumen!Q47*1000</f>
        <v>180658.31667600002</v>
      </c>
      <c r="R47" s="7">
        <f>+[2]Resumen!R47*1000</f>
        <v>182502.07072200003</v>
      </c>
      <c r="S47" s="7">
        <f>+[2]Resumen!S47*1000</f>
        <v>180269.61771000002</v>
      </c>
      <c r="T47" s="7">
        <f>+[2]Resumen!T47*1000</f>
        <v>183651.07123800003</v>
      </c>
      <c r="U47" s="7">
        <f>+[2]Resumen!U47*1000</f>
        <v>184892.08072500001</v>
      </c>
      <c r="V47" s="7">
        <f>+[2]Resumen!V47*1000</f>
        <v>178684.93290000001</v>
      </c>
      <c r="W47" s="7">
        <f>+[2]Resumen!W47*1000</f>
        <v>160266.30387600002</v>
      </c>
      <c r="X47" s="7">
        <f>+[2]Resumen!X47*1000</f>
        <v>175748.79771900002</v>
      </c>
      <c r="Y47" s="7">
        <f>+[2]Resumen!Y47*1000</f>
        <v>168939.42052500002</v>
      </c>
      <c r="Z47" s="7">
        <f>+[2]Resumen!Z47*1000</f>
        <v>151500.66702900003</v>
      </c>
      <c r="AA47" s="7">
        <f>+[2]Resumen!AA47*1000</f>
        <v>124477.98455700002</v>
      </c>
      <c r="AB47" s="7">
        <f>+[2]Resumen!AB47*1000</f>
        <v>89096.043147000004</v>
      </c>
      <c r="AC47" s="7">
        <f>+[2]Resumen!AC47*1000</f>
        <v>59478.102939000004</v>
      </c>
      <c r="AD47" s="64">
        <f t="shared" ref="AD47" si="8">SUM(F47:AC47)*E47+SUM(F48:AC48)*E48+SUM(F49:AC49)*E49+SUM(F50:AC50)*E50</f>
        <v>84749471.518325984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+[2]Resumen!F48*1000</f>
        <v>65319.953313000013</v>
      </c>
      <c r="G48" s="7">
        <f>+[2]Resumen!G48*1000</f>
        <v>50920.448295000002</v>
      </c>
      <c r="H48" s="7">
        <f>+[2]Resumen!H48*1000</f>
        <v>42893.605797000004</v>
      </c>
      <c r="I48" s="7">
        <f>+[2]Resumen!I48*1000</f>
        <v>41218.956924000006</v>
      </c>
      <c r="J48" s="7">
        <f>+[2]Resumen!J48*1000</f>
        <v>48786.483759000002</v>
      </c>
      <c r="K48" s="7">
        <f>+[2]Resumen!K48*1000</f>
        <v>62204.440863000011</v>
      </c>
      <c r="L48" s="7">
        <f>+[2]Resumen!L48*1000</f>
        <v>85205.379786000005</v>
      </c>
      <c r="M48" s="7">
        <f>+[2]Resumen!M48*1000</f>
        <v>98700.555945000015</v>
      </c>
      <c r="N48" s="7">
        <f>+[2]Resumen!N48*1000</f>
        <v>121210.498983</v>
      </c>
      <c r="O48" s="7">
        <f>+[2]Resumen!O48*1000</f>
        <v>136758.08906400003</v>
      </c>
      <c r="P48" s="7">
        <f>+[2]Resumen!P48*1000</f>
        <v>151801.125837</v>
      </c>
      <c r="Q48" s="7">
        <f>+[2]Resumen!Q48*1000</f>
        <v>161817.93726600002</v>
      </c>
      <c r="R48" s="7">
        <f>+[2]Resumen!R48*1000</f>
        <v>162328.41129600001</v>
      </c>
      <c r="S48" s="7">
        <f>+[2]Resumen!S48*1000</f>
        <v>156888.09208200002</v>
      </c>
      <c r="T48" s="7">
        <f>+[2]Resumen!T48*1000</f>
        <v>152141.50394400003</v>
      </c>
      <c r="U48" s="7">
        <f>+[2]Resumen!U48*1000</f>
        <v>151055.66572200001</v>
      </c>
      <c r="V48" s="7">
        <f>+[2]Resumen!V48*1000</f>
        <v>149945.25690000001</v>
      </c>
      <c r="W48" s="7">
        <f>+[2]Resumen!W48*1000</f>
        <v>139517.581446</v>
      </c>
      <c r="X48" s="7">
        <f>+[2]Resumen!X48*1000</f>
        <v>157796.59398000001</v>
      </c>
      <c r="Y48" s="7">
        <f>+[2]Resumen!Y48*1000</f>
        <v>150755.20295100001</v>
      </c>
      <c r="Z48" s="7">
        <f>+[2]Resumen!Z48*1000</f>
        <v>134992.628046</v>
      </c>
      <c r="AA48" s="7">
        <f>+[2]Resumen!AA48*1000</f>
        <v>113296.47120600002</v>
      </c>
      <c r="AB48" s="7">
        <f>+[2]Resumen!AB48*1000</f>
        <v>87782.625687000007</v>
      </c>
      <c r="AC48" s="7">
        <f>+[2]Resumen!AC48*1000</f>
        <v>63170.798598000001</v>
      </c>
      <c r="AD48" s="65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+[2]Resumen!F49*1000</f>
        <v>68141.276421000017</v>
      </c>
      <c r="G49" s="7">
        <f>+[2]Resumen!G49*1000</f>
        <v>54503.051814000006</v>
      </c>
      <c r="H49" s="7">
        <f>+[2]Resumen!H49*1000</f>
        <v>44628.920274000004</v>
      </c>
      <c r="I49" s="7">
        <f>+[2]Resumen!I49*1000</f>
        <v>40226.106533999999</v>
      </c>
      <c r="J49" s="7">
        <f>+[2]Resumen!J49*1000</f>
        <v>41561.994204000002</v>
      </c>
      <c r="K49" s="7">
        <f>+[2]Resumen!K49*1000</f>
        <v>46575.831210000004</v>
      </c>
      <c r="L49" s="7">
        <f>+[2]Resumen!L49*1000</f>
        <v>54801.227934000002</v>
      </c>
      <c r="M49" s="7">
        <f>+[2]Resumen!M49*1000</f>
        <v>58730.280876000004</v>
      </c>
      <c r="N49" s="7">
        <f>+[2]Resumen!N49*1000</f>
        <v>76413.987402000013</v>
      </c>
      <c r="O49" s="7">
        <f>+[2]Resumen!O49*1000</f>
        <v>91902.425745</v>
      </c>
      <c r="P49" s="7">
        <f>+[2]Resumen!P49*1000</f>
        <v>105818.49231900001</v>
      </c>
      <c r="Q49" s="7">
        <f>+[2]Resumen!Q49*1000</f>
        <v>120050.94103500001</v>
      </c>
      <c r="R49" s="7">
        <f>+[2]Resumen!R49*1000</f>
        <v>128391.363834</v>
      </c>
      <c r="S49" s="7">
        <f>+[2]Resumen!S49*1000</f>
        <v>130686.06368700003</v>
      </c>
      <c r="T49" s="7">
        <f>+[2]Resumen!T49*1000</f>
        <v>127767.532152</v>
      </c>
      <c r="U49" s="7">
        <f>+[2]Resumen!U49*1000</f>
        <v>126444.03282000002</v>
      </c>
      <c r="V49" s="7">
        <f>+[2]Resumen!V49*1000</f>
        <v>125524.99330500001</v>
      </c>
      <c r="W49" s="7">
        <f>+[2]Resumen!W49*1000</f>
        <v>117885.53802000002</v>
      </c>
      <c r="X49" s="7">
        <f>+[2]Resumen!X49*1000</f>
        <v>136877.89055400001</v>
      </c>
      <c r="Y49" s="7">
        <f>+[2]Resumen!Y49*1000</f>
        <v>133389.66588000002</v>
      </c>
      <c r="Z49" s="7">
        <f>+[2]Resumen!Z49*1000</f>
        <v>119447.57032200001</v>
      </c>
      <c r="AA49" s="7">
        <f>+[2]Resumen!AA49*1000</f>
        <v>100243.06254600002</v>
      </c>
      <c r="AB49" s="7">
        <f>+[2]Resumen!AB49*1000</f>
        <v>74717.038728000014</v>
      </c>
      <c r="AC49" s="7">
        <f>+[2]Resumen!AC49*1000</f>
        <v>50037.785157000006</v>
      </c>
      <c r="AD49" s="65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+[2]Resumen!F50*1000</f>
        <v>58953.687075000009</v>
      </c>
      <c r="G50" s="7">
        <f>+[2]Resumen!G50*1000</f>
        <v>45306.569496000004</v>
      </c>
      <c r="H50" s="7">
        <f>+[2]Resumen!H50*1000</f>
        <v>37804.935462000009</v>
      </c>
      <c r="I50" s="7">
        <f>+[2]Resumen!I50*1000</f>
        <v>34008.155571000003</v>
      </c>
      <c r="J50" s="7">
        <f>+[2]Resumen!J50*1000</f>
        <v>37705.729683000005</v>
      </c>
      <c r="K50" s="7">
        <f>+[2]Resumen!K50*1000</f>
        <v>44137.40127300001</v>
      </c>
      <c r="L50" s="7">
        <f>+[2]Resumen!L50*1000</f>
        <v>50733.802884000004</v>
      </c>
      <c r="M50" s="7">
        <f>+[2]Resumen!M50*1000</f>
        <v>55275.81699900001</v>
      </c>
      <c r="N50" s="7">
        <f>+[2]Resumen!N50*1000</f>
        <v>74222.880369000006</v>
      </c>
      <c r="O50" s="7">
        <f>+[2]Resumen!O50*1000</f>
        <v>90398.72484000001</v>
      </c>
      <c r="P50" s="7">
        <f>+[2]Resumen!P50*1000</f>
        <v>105650.29863600001</v>
      </c>
      <c r="Q50" s="7">
        <f>+[2]Resumen!Q50*1000</f>
        <v>123263.03972100001</v>
      </c>
      <c r="R50" s="7">
        <f>+[2]Resumen!R50*1000</f>
        <v>135525.707028</v>
      </c>
      <c r="S50" s="7">
        <f>+[2]Resumen!S50*1000</f>
        <v>136552.68281100001</v>
      </c>
      <c r="T50" s="7">
        <f>+[2]Resumen!T50*1000</f>
        <v>131706.05666400003</v>
      </c>
      <c r="U50" s="7">
        <f>+[2]Resumen!U50*1000</f>
        <v>129403.724073</v>
      </c>
      <c r="V50" s="7">
        <f>+[2]Resumen!V50*1000</f>
        <v>126579.88049700002</v>
      </c>
      <c r="W50" s="7">
        <f>+[2]Resumen!W50*1000</f>
        <v>117504.26967900002</v>
      </c>
      <c r="X50" s="7">
        <f>+[2]Resumen!X50*1000</f>
        <v>140565.05386500002</v>
      </c>
      <c r="Y50" s="7">
        <f>+[2]Resumen!Y50*1000</f>
        <v>137743.87342500003</v>
      </c>
      <c r="Z50" s="7">
        <f>+[2]Resumen!Z50*1000</f>
        <v>123006.22146900001</v>
      </c>
      <c r="AA50" s="7">
        <f>+[2]Resumen!AA50*1000</f>
        <v>99758.55012900001</v>
      </c>
      <c r="AB50" s="7">
        <f>+[2]Resumen!AB50*1000</f>
        <v>71722.219443000009</v>
      </c>
      <c r="AC50" s="7">
        <f>+[2]Resumen!AC50*1000</f>
        <v>44817.586815000002</v>
      </c>
      <c r="AD50" s="66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19</v>
      </c>
      <c r="F51" s="7">
        <f>+[2]Resumen!F51*1000</f>
        <v>73429.741401000007</v>
      </c>
      <c r="G51" s="7">
        <f>+[2]Resumen!G51*1000</f>
        <v>58960.816512000005</v>
      </c>
      <c r="H51" s="7">
        <f>+[2]Resumen!H51*1000</f>
        <v>50959.491771000008</v>
      </c>
      <c r="I51" s="7">
        <f>+[2]Resumen!I51*1000</f>
        <v>49556.835477000001</v>
      </c>
      <c r="J51" s="7">
        <f>+[2]Resumen!J51*1000</f>
        <v>61235.376399000008</v>
      </c>
      <c r="K51" s="7">
        <f>+[2]Resumen!K51*1000</f>
        <v>83663.915454000002</v>
      </c>
      <c r="L51" s="7">
        <f>+[2]Resumen!L51*1000</f>
        <v>110553.53623800002</v>
      </c>
      <c r="M51" s="7">
        <f>+[2]Resumen!M51*1000</f>
        <v>123395.20577100001</v>
      </c>
      <c r="N51" s="7">
        <f>+[2]Resumen!N51*1000</f>
        <v>143645.32335600001</v>
      </c>
      <c r="O51" s="7">
        <f>+[2]Resumen!O51*1000</f>
        <v>157212.721227</v>
      </c>
      <c r="P51" s="7">
        <f>+[2]Resumen!P51*1000</f>
        <v>172131.288096</v>
      </c>
      <c r="Q51" s="7">
        <f>+[2]Resumen!Q51*1000</f>
        <v>185355.65661300003</v>
      </c>
      <c r="R51" s="7">
        <f>+[2]Resumen!R51*1000</f>
        <v>191212.80813000002</v>
      </c>
      <c r="S51" s="7">
        <f>+[2]Resumen!S51*1000</f>
        <v>188779.03075500001</v>
      </c>
      <c r="T51" s="7">
        <f>+[2]Resumen!T51*1000</f>
        <v>190473.74826000002</v>
      </c>
      <c r="U51" s="7">
        <f>+[2]Resumen!U51*1000</f>
        <v>191661.15420900003</v>
      </c>
      <c r="V51" s="7">
        <f>+[2]Resumen!V51*1000</f>
        <v>186613.51677600003</v>
      </c>
      <c r="W51" s="7">
        <f>+[2]Resumen!W51*1000</f>
        <v>166282.84725300001</v>
      </c>
      <c r="X51" s="7">
        <f>+[2]Resumen!X51*1000</f>
        <v>185331.93013200004</v>
      </c>
      <c r="Y51" s="7">
        <f>+[2]Resumen!Y51*1000</f>
        <v>180485.65669200002</v>
      </c>
      <c r="Z51" s="7">
        <f>+[2]Resumen!Z51*1000</f>
        <v>163042.95208500003</v>
      </c>
      <c r="AA51" s="7">
        <f>+[2]Resumen!AA51*1000</f>
        <v>137429.51637600001</v>
      </c>
      <c r="AB51" s="7">
        <f>+[2]Resumen!AB51*1000</f>
        <v>104766.16126200001</v>
      </c>
      <c r="AC51" s="7">
        <f>+[2]Resumen!AC51*1000</f>
        <v>76664.120072999998</v>
      </c>
      <c r="AD51" s="64">
        <f t="shared" ref="AD51" si="9">SUM(F51:AC51)*E51+SUM(F52:AC52)*E52+SUM(F53:AC53)*E53+SUM(F54:AC54)*E54</f>
        <v>91594946.395314008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5</v>
      </c>
      <c r="F52" s="7">
        <f>+[2]Resumen!F52*1000</f>
        <v>77810.790345000001</v>
      </c>
      <c r="G52" s="7">
        <f>+[2]Resumen!G52*1000</f>
        <v>61748.398638000013</v>
      </c>
      <c r="H52" s="7">
        <f>+[2]Resumen!H52*1000</f>
        <v>52553.323185000008</v>
      </c>
      <c r="I52" s="7">
        <f>+[2]Resumen!I52*1000</f>
        <v>49781.620800000004</v>
      </c>
      <c r="J52" s="7">
        <f>+[2]Resumen!J52*1000</f>
        <v>54149.900958000006</v>
      </c>
      <c r="K52" s="7">
        <f>+[2]Resumen!K52*1000</f>
        <v>72133.543176000006</v>
      </c>
      <c r="L52" s="7">
        <f>+[2]Resumen!L52*1000</f>
        <v>88771.580448000008</v>
      </c>
      <c r="M52" s="7">
        <f>+[2]Resumen!M52*1000</f>
        <v>102196.57980300002</v>
      </c>
      <c r="N52" s="7">
        <f>+[2]Resumen!N52*1000</f>
        <v>126856.71982500001</v>
      </c>
      <c r="O52" s="7">
        <f>+[2]Resumen!O52*1000</f>
        <v>142648.90230300001</v>
      </c>
      <c r="P52" s="7">
        <f>+[2]Resumen!P52*1000</f>
        <v>157395.01922700001</v>
      </c>
      <c r="Q52" s="7">
        <f>+[2]Resumen!Q52*1000</f>
        <v>166616.03647800002</v>
      </c>
      <c r="R52" s="7">
        <f>+[2]Resumen!R52*1000</f>
        <v>170451.53487900001</v>
      </c>
      <c r="S52" s="7">
        <f>+[2]Resumen!S52*1000</f>
        <v>165781.551531</v>
      </c>
      <c r="T52" s="7">
        <f>+[2]Resumen!T52*1000</f>
        <v>161061.166749</v>
      </c>
      <c r="U52" s="7">
        <f>+[2]Resumen!U52*1000</f>
        <v>159560.82250500002</v>
      </c>
      <c r="V52" s="7">
        <f>+[2]Resumen!V52*1000</f>
        <v>158382.21441600003</v>
      </c>
      <c r="W52" s="7">
        <f>+[2]Resumen!W52*1000</f>
        <v>143815.462872</v>
      </c>
      <c r="X52" s="7">
        <f>+[2]Resumen!X52*1000</f>
        <v>167106.152577</v>
      </c>
      <c r="Y52" s="7">
        <f>+[2]Resumen!Y52*1000</f>
        <v>163489.18588500001</v>
      </c>
      <c r="Z52" s="7">
        <f>+[2]Resumen!Z52*1000</f>
        <v>147138.17285100001</v>
      </c>
      <c r="AA52" s="7">
        <f>+[2]Resumen!AA52*1000</f>
        <v>125260.43531400003</v>
      </c>
      <c r="AB52" s="7">
        <f>+[2]Resumen!AB52*1000</f>
        <v>100638.77998500002</v>
      </c>
      <c r="AC52" s="7">
        <f>+[2]Resumen!AC52*1000</f>
        <v>75283.034388000015</v>
      </c>
      <c r="AD52" s="65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5</v>
      </c>
      <c r="F53" s="7">
        <f>+[2]Resumen!F53*1000</f>
        <v>79004.86602300001</v>
      </c>
      <c r="G53" s="7">
        <f>+[2]Resumen!G53*1000</f>
        <v>62963.739774000009</v>
      </c>
      <c r="H53" s="7">
        <f>+[2]Resumen!H53*1000</f>
        <v>52170.873870000003</v>
      </c>
      <c r="I53" s="7">
        <f>+[2]Resumen!I53*1000</f>
        <v>46904.601690000003</v>
      </c>
      <c r="J53" s="7">
        <f>+[2]Resumen!J53*1000</f>
        <v>46676.566707000005</v>
      </c>
      <c r="K53" s="7">
        <f>+[2]Resumen!K53*1000</f>
        <v>51396.150963</v>
      </c>
      <c r="L53" s="7">
        <f>+[2]Resumen!L53*1000</f>
        <v>57242.03170800001</v>
      </c>
      <c r="M53" s="7">
        <f>+[2]Resumen!M53*1000</f>
        <v>61102.378119000008</v>
      </c>
      <c r="N53" s="7">
        <f>+[2]Resumen!N53*1000</f>
        <v>80200.356492000006</v>
      </c>
      <c r="O53" s="7">
        <f>+[2]Resumen!O53*1000</f>
        <v>97331.137332000013</v>
      </c>
      <c r="P53" s="7">
        <f>+[2]Resumen!P53*1000</f>
        <v>111611.45512500001</v>
      </c>
      <c r="Q53" s="7">
        <f>+[2]Resumen!Q53*1000</f>
        <v>124395.53434200003</v>
      </c>
      <c r="R53" s="7">
        <f>+[2]Resumen!R53*1000</f>
        <v>133586.09990100001</v>
      </c>
      <c r="S53" s="7">
        <f>+[2]Resumen!S53*1000</f>
        <v>137280.07560900002</v>
      </c>
      <c r="T53" s="7">
        <f>+[2]Resumen!T53*1000</f>
        <v>136781.70854400002</v>
      </c>
      <c r="U53" s="7">
        <f>+[2]Resumen!U53*1000</f>
        <v>136292.963643</v>
      </c>
      <c r="V53" s="7">
        <f>+[2]Resumen!V53*1000</f>
        <v>133926.71975100003</v>
      </c>
      <c r="W53" s="7">
        <f>+[2]Resumen!W53*1000</f>
        <v>115476.30350400002</v>
      </c>
      <c r="X53" s="7">
        <f>+[2]Resumen!X53*1000</f>
        <v>139496.80343700002</v>
      </c>
      <c r="Y53" s="7">
        <f>+[2]Resumen!Y53*1000</f>
        <v>139647.817515</v>
      </c>
      <c r="Z53" s="7">
        <f>+[2]Resumen!Z53*1000</f>
        <v>126034.07632200001</v>
      </c>
      <c r="AA53" s="7">
        <f>+[2]Resumen!AA53*1000</f>
        <v>107728.88024700001</v>
      </c>
      <c r="AB53" s="7">
        <f>+[2]Resumen!AB53*1000</f>
        <v>85508.909919000012</v>
      </c>
      <c r="AC53" s="7">
        <f>+[2]Resumen!AC53*1000</f>
        <v>62087.579919000011</v>
      </c>
      <c r="AD53" s="65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+[2]Resumen!F54*1000</f>
        <v>74596.103820000004</v>
      </c>
      <c r="G54" s="7">
        <f>+[2]Resumen!G54*1000</f>
        <v>62531.63803200001</v>
      </c>
      <c r="H54" s="7">
        <f>+[2]Resumen!H54*1000</f>
        <v>51886.286877000006</v>
      </c>
      <c r="I54" s="7">
        <f>+[2]Resumen!I54*1000</f>
        <v>45201.561885000003</v>
      </c>
      <c r="J54" s="7">
        <f>+[2]Resumen!J54*1000</f>
        <v>44142.228207000007</v>
      </c>
      <c r="K54" s="7">
        <f>+[2]Resumen!K54*1000</f>
        <v>46523.72172300001</v>
      </c>
      <c r="L54" s="7">
        <f>+[2]Resumen!L54*1000</f>
        <v>47285.675844000005</v>
      </c>
      <c r="M54" s="7">
        <f>+[2]Resumen!M54*1000</f>
        <v>44002.663236000008</v>
      </c>
      <c r="N54" s="7">
        <f>+[2]Resumen!N54*1000</f>
        <v>56351.462385000013</v>
      </c>
      <c r="O54" s="7">
        <f>+[2]Resumen!O54*1000</f>
        <v>72577.946070000005</v>
      </c>
      <c r="P54" s="7">
        <f>+[2]Resumen!P54*1000</f>
        <v>87617.451810000013</v>
      </c>
      <c r="Q54" s="7">
        <f>+[2]Resumen!Q54*1000</f>
        <v>103456.12027800002</v>
      </c>
      <c r="R54" s="7">
        <f>+[2]Resumen!R54*1000</f>
        <v>118156.76177700001</v>
      </c>
      <c r="S54" s="7">
        <f>+[2]Resumen!S54*1000</f>
        <v>122051.13054300001</v>
      </c>
      <c r="T54" s="7">
        <f>+[2]Resumen!T54*1000</f>
        <v>120549.08220900001</v>
      </c>
      <c r="U54" s="7">
        <f>+[2]Resumen!U54*1000</f>
        <v>122187.12088800002</v>
      </c>
      <c r="V54" s="7">
        <f>+[2]Resumen!V54*1000</f>
        <v>121136.050065</v>
      </c>
      <c r="W54" s="7">
        <f>+[2]Resumen!W54*1000</f>
        <v>106706.58476700002</v>
      </c>
      <c r="X54" s="7">
        <f>+[2]Resumen!X54*1000</f>
        <v>129958.61937000003</v>
      </c>
      <c r="Y54" s="7">
        <f>+[2]Resumen!Y54*1000</f>
        <v>131068.742856</v>
      </c>
      <c r="Z54" s="7">
        <f>+[2]Resumen!Z54*1000</f>
        <v>117189.72240600002</v>
      </c>
      <c r="AA54" s="7">
        <f>+[2]Resumen!AA54*1000</f>
        <v>97325.141313000015</v>
      </c>
      <c r="AB54" s="7">
        <f>+[2]Resumen!AB54*1000</f>
        <v>74029.925862000004</v>
      </c>
      <c r="AC54" s="7">
        <f>+[2]Resumen!AC54*1000</f>
        <v>50233.228428000002</v>
      </c>
      <c r="AD54" s="66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49" t="s">
        <v>46</v>
      </c>
      <c r="AA55" s="52"/>
      <c r="AB55" s="50"/>
      <c r="AC55" s="51"/>
      <c r="AD55" s="60">
        <f>SUM(AD7:AD54)</f>
        <v>1094978426.995419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7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1CF5-E50B-48A4-9B8E-84DE2A4E3E69}">
  <sheetPr codeName="Hoja3"/>
  <dimension ref="C1:BD57"/>
  <sheetViews>
    <sheetView showGridLines="0" topLeftCell="G1" zoomScale="66" zoomScaleNormal="66" workbookViewId="0">
      <selection activeCell="AD55" sqref="AD7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54296875" style="1" customWidth="1"/>
    <col min="5" max="5" width="9.453125" style="1" customWidth="1"/>
    <col min="6" max="12" width="8.54296875" style="1" bestFit="1" customWidth="1"/>
    <col min="13" max="22" width="11.54296875" style="1" customWidth="1"/>
    <col min="23" max="25" width="9" style="1" bestFit="1" customWidth="1"/>
    <col min="26" max="26" width="10.1796875" style="1" customWidth="1"/>
    <col min="27" max="28" width="9" style="1" bestFit="1" customWidth="1"/>
    <col min="29" max="29" width="8.54296875" style="1" bestFit="1" customWidth="1"/>
    <col min="30" max="30" width="19.54296875" style="1" bestFit="1" customWidth="1"/>
    <col min="31" max="31" width="2.8164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7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 spans="3:56" ht="18.649999999999999" customHeight="1">
      <c r="C3" s="67" t="s">
        <v>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3:56" ht="18.649999999999999" customHeight="1">
      <c r="C4" s="67">
        <v>2029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21</v>
      </c>
      <c r="F7" s="7">
        <f>+[3]Resumen!F7*1000</f>
        <v>108131.05515100001</v>
      </c>
      <c r="G7" s="7">
        <f>+[3]Resumen!G7*1000</f>
        <v>95731.358781999996</v>
      </c>
      <c r="H7" s="7">
        <f>+[3]Resumen!H7*1000</f>
        <v>88578.898388000001</v>
      </c>
      <c r="I7" s="7">
        <f>+[3]Resumen!I7*1000</f>
        <v>87783.827019999997</v>
      </c>
      <c r="J7" s="7">
        <f>+[3]Resumen!J7*1000</f>
        <v>100104.413803</v>
      </c>
      <c r="K7" s="7">
        <f>+[3]Resumen!K7*1000</f>
        <v>128191.54032</v>
      </c>
      <c r="L7" s="7">
        <f>+[3]Resumen!L7*1000</f>
        <v>159399.76183200002</v>
      </c>
      <c r="M7" s="7">
        <f>+[3]Resumen!M7*1000</f>
        <v>164500.14208799999</v>
      </c>
      <c r="N7" s="7">
        <f>+[3]Resumen!N7*1000</f>
        <v>184344.41933</v>
      </c>
      <c r="O7" s="7">
        <f>+[3]Resumen!O7*1000</f>
        <v>196787.740475</v>
      </c>
      <c r="P7" s="7">
        <f>+[3]Resumen!P7*1000</f>
        <v>214350.008103</v>
      </c>
      <c r="Q7" s="7">
        <f>+[3]Resumen!Q7*1000</f>
        <v>229586.954998</v>
      </c>
      <c r="R7" s="7">
        <f>+[3]Resumen!R7*1000</f>
        <v>235512.317407</v>
      </c>
      <c r="S7" s="7">
        <f>+[3]Resumen!S7*1000</f>
        <v>231671.390934</v>
      </c>
      <c r="T7" s="7">
        <f>+[3]Resumen!T7*1000</f>
        <v>233696.66284599999</v>
      </c>
      <c r="U7" s="7">
        <f>+[3]Resumen!U7*1000</f>
        <v>233215.879571</v>
      </c>
      <c r="V7" s="7">
        <f>+[3]Resumen!V7*1000</f>
        <v>225972.92724300001</v>
      </c>
      <c r="W7" s="7">
        <f>+[3]Resumen!W7*1000</f>
        <v>215524.92943500003</v>
      </c>
      <c r="X7" s="7">
        <f>+[3]Resumen!X7*1000</f>
        <v>232192.98740899999</v>
      </c>
      <c r="Y7" s="7">
        <f>+[3]Resumen!Y7*1000</f>
        <v>235723.053342</v>
      </c>
      <c r="Z7" s="7">
        <f>+[3]Resumen!Z7*1000</f>
        <v>217365.79748399998</v>
      </c>
      <c r="AA7" s="7">
        <f>+[3]Resumen!AA7*1000</f>
        <v>188414.72354500002</v>
      </c>
      <c r="AB7" s="7">
        <f>+[3]Resumen!AB7*1000</f>
        <v>152043.817404</v>
      </c>
      <c r="AC7" s="7">
        <f>+[3]Resumen!AC7*1000</f>
        <v>122963.055743</v>
      </c>
      <c r="AD7" s="64">
        <f>SUM(F7:AC7)*E7+SUM(F8:AC8)*E8+SUM(F9:AC9)*E9+SUM(F10:AC10)*E10</f>
        <v>125500184.36591898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+[3]Resumen!F8*1000</f>
        <v>115732.695043</v>
      </c>
      <c r="G8" s="7">
        <f>+[3]Resumen!G8*1000</f>
        <v>100987.02570600001</v>
      </c>
      <c r="H8" s="7">
        <f>+[3]Resumen!H8*1000</f>
        <v>92478.20285300001</v>
      </c>
      <c r="I8" s="7">
        <f>+[3]Resumen!I8*1000</f>
        <v>89182.15905300001</v>
      </c>
      <c r="J8" s="7">
        <f>+[3]Resumen!J8*1000</f>
        <v>95712.656511000008</v>
      </c>
      <c r="K8" s="7">
        <f>+[3]Resumen!K8*1000</f>
        <v>110017.331664</v>
      </c>
      <c r="L8" s="7">
        <f>+[3]Resumen!L8*1000</f>
        <v>131646.305899</v>
      </c>
      <c r="M8" s="7">
        <f>+[3]Resumen!M8*1000</f>
        <v>138816.72032200001</v>
      </c>
      <c r="N8" s="7">
        <f>+[3]Resumen!N8*1000</f>
        <v>164111.68356200002</v>
      </c>
      <c r="O8" s="7">
        <f>+[3]Resumen!O8*1000</f>
        <v>182417.48077700002</v>
      </c>
      <c r="P8" s="7">
        <f>+[3]Resumen!P8*1000</f>
        <v>198361.58438399999</v>
      </c>
      <c r="Q8" s="7">
        <f>+[3]Resumen!Q8*1000</f>
        <v>209209.27190600001</v>
      </c>
      <c r="R8" s="7">
        <f>+[3]Resumen!R8*1000</f>
        <v>212056.08708100001</v>
      </c>
      <c r="S8" s="7">
        <f>+[3]Resumen!S8*1000</f>
        <v>207679.74432999999</v>
      </c>
      <c r="T8" s="7">
        <f>+[3]Resumen!T8*1000</f>
        <v>200351.16364100002</v>
      </c>
      <c r="U8" s="7">
        <f>+[3]Resumen!U8*1000</f>
        <v>198015.53001700001</v>
      </c>
      <c r="V8" s="7">
        <f>+[3]Resumen!V8*1000</f>
        <v>197097.44086200002</v>
      </c>
      <c r="W8" s="7">
        <f>+[3]Resumen!W8*1000</f>
        <v>196749.51589000001</v>
      </c>
      <c r="X8" s="7">
        <f>+[3]Resumen!X8*1000</f>
        <v>216119.23764900002</v>
      </c>
      <c r="Y8" s="7">
        <f>+[3]Resumen!Y8*1000</f>
        <v>217589.82038300001</v>
      </c>
      <c r="Z8" s="7">
        <f>+[3]Resumen!Z8*1000</f>
        <v>200610.176301</v>
      </c>
      <c r="AA8" s="7">
        <f>+[3]Resumen!AA8*1000</f>
        <v>176601.24077199999</v>
      </c>
      <c r="AB8" s="7">
        <f>+[3]Resumen!AB8*1000</f>
        <v>150788.02169299999</v>
      </c>
      <c r="AC8" s="7">
        <f>+[3]Resumen!AC8*1000</f>
        <v>124591.20766100001</v>
      </c>
      <c r="AD8" s="6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+[3]Resumen!F9*1000</f>
        <v>114272.71240400001</v>
      </c>
      <c r="G9" s="7">
        <f>+[3]Resumen!G9*1000</f>
        <v>98772.267176000008</v>
      </c>
      <c r="H9" s="7">
        <f>+[3]Resumen!H9*1000</f>
        <v>88777.787158000006</v>
      </c>
      <c r="I9" s="7">
        <f>+[3]Resumen!I9*1000</f>
        <v>83842.896869999997</v>
      </c>
      <c r="J9" s="7">
        <f>+[3]Resumen!J9*1000</f>
        <v>85016.544679000013</v>
      </c>
      <c r="K9" s="7">
        <f>+[3]Resumen!K9*1000</f>
        <v>91133.23030000001</v>
      </c>
      <c r="L9" s="7">
        <f>+[3]Resumen!L9*1000</f>
        <v>100051.12990300001</v>
      </c>
      <c r="M9" s="7">
        <f>+[3]Resumen!M9*1000</f>
        <v>99211.659063999992</v>
      </c>
      <c r="N9" s="7">
        <f>+[3]Resumen!N9*1000</f>
        <v>118368.906548</v>
      </c>
      <c r="O9" s="7">
        <f>+[3]Resumen!O9*1000</f>
        <v>135157.650666</v>
      </c>
      <c r="P9" s="7">
        <f>+[3]Resumen!P9*1000</f>
        <v>150103.78461599999</v>
      </c>
      <c r="Q9" s="7">
        <f>+[3]Resumen!Q9*1000</f>
        <v>167313.974151</v>
      </c>
      <c r="R9" s="7">
        <f>+[3]Resumen!R9*1000</f>
        <v>181067.674883</v>
      </c>
      <c r="S9" s="7">
        <f>+[3]Resumen!S9*1000</f>
        <v>183600.06214200001</v>
      </c>
      <c r="T9" s="7">
        <f>+[3]Resumen!T9*1000</f>
        <v>179251.80114</v>
      </c>
      <c r="U9" s="7">
        <f>+[3]Resumen!U9*1000</f>
        <v>174461.15906100001</v>
      </c>
      <c r="V9" s="7">
        <f>+[3]Resumen!V9*1000</f>
        <v>170449.97352200001</v>
      </c>
      <c r="W9" s="7">
        <f>+[3]Resumen!W9*1000</f>
        <v>168787.44404100001</v>
      </c>
      <c r="X9" s="7">
        <f>+[3]Resumen!X9*1000</f>
        <v>192115.029649</v>
      </c>
      <c r="Y9" s="7">
        <f>+[3]Resumen!Y9*1000</f>
        <v>198615.18551600003</v>
      </c>
      <c r="Z9" s="7">
        <f>+[3]Resumen!Z9*1000</f>
        <v>185173.12757700001</v>
      </c>
      <c r="AA9" s="7">
        <f>+[3]Resumen!AA9*1000</f>
        <v>164925.604582</v>
      </c>
      <c r="AB9" s="7">
        <f>+[3]Resumen!AB9*1000</f>
        <v>137541.44008700002</v>
      </c>
      <c r="AC9" s="7">
        <f>+[3]Resumen!AC9*1000</f>
        <v>110236.407852</v>
      </c>
      <c r="AD9" s="6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+[3]Resumen!F10*1000</f>
        <v>119461.789569</v>
      </c>
      <c r="G10" s="7">
        <f>+[3]Resumen!G10*1000</f>
        <v>108274.60424499999</v>
      </c>
      <c r="H10" s="7">
        <f>+[3]Resumen!H10*1000</f>
        <v>99526.774758000014</v>
      </c>
      <c r="I10" s="7">
        <f>+[3]Resumen!I10*1000</f>
        <v>91606.572723999998</v>
      </c>
      <c r="J10" s="7">
        <f>+[3]Resumen!J10*1000</f>
        <v>91346.188286999997</v>
      </c>
      <c r="K10" s="7">
        <f>+[3]Resumen!K10*1000</f>
        <v>93886.046629000004</v>
      </c>
      <c r="L10" s="7">
        <f>+[3]Resumen!L10*1000</f>
        <v>97632.010611000005</v>
      </c>
      <c r="M10" s="7">
        <f>+[3]Resumen!M10*1000</f>
        <v>89610.021212000007</v>
      </c>
      <c r="N10" s="7">
        <f>+[3]Resumen!N10*1000</f>
        <v>102521.38284399999</v>
      </c>
      <c r="O10" s="7">
        <f>+[3]Resumen!O10*1000</f>
        <v>116984.90070400001</v>
      </c>
      <c r="P10" s="7">
        <f>+[3]Resumen!P10*1000</f>
        <v>132431.268442</v>
      </c>
      <c r="Q10" s="7">
        <f>+[3]Resumen!Q10*1000</f>
        <v>148973.36478800001</v>
      </c>
      <c r="R10" s="7">
        <f>+[3]Resumen!R10*1000</f>
        <v>161870.12436399999</v>
      </c>
      <c r="S10" s="7">
        <f>+[3]Resumen!S10*1000</f>
        <v>163809.19350700002</v>
      </c>
      <c r="T10" s="7">
        <f>+[3]Resumen!T10*1000</f>
        <v>160402.70465300002</v>
      </c>
      <c r="U10" s="7">
        <f>+[3]Resumen!U10*1000</f>
        <v>160942.46678100002</v>
      </c>
      <c r="V10" s="7">
        <f>+[3]Resumen!V10*1000</f>
        <v>159892.312913</v>
      </c>
      <c r="W10" s="7">
        <f>+[3]Resumen!W10*1000</f>
        <v>157510.79089199999</v>
      </c>
      <c r="X10" s="7">
        <f>+[3]Resumen!X10*1000</f>
        <v>181728.08536500001</v>
      </c>
      <c r="Y10" s="7">
        <f>+[3]Resumen!Y10*1000</f>
        <v>186364.63493999999</v>
      </c>
      <c r="Z10" s="7">
        <f>+[3]Resumen!Z10*1000</f>
        <v>172444.04601000002</v>
      </c>
      <c r="AA10" s="7">
        <f>+[3]Resumen!AA10*1000</f>
        <v>152953.56630600002</v>
      </c>
      <c r="AB10" s="7">
        <f>+[3]Resumen!AB10*1000</f>
        <v>127841.85811299999</v>
      </c>
      <c r="AC10" s="7">
        <f>+[3]Resumen!AC10*1000</f>
        <v>102967.50135200001</v>
      </c>
      <c r="AD10" s="66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+[3]Resumen!F11*1000</f>
        <v>116500.88638400001</v>
      </c>
      <c r="G11" s="7">
        <f>+[3]Resumen!G11*1000</f>
        <v>103360.403982</v>
      </c>
      <c r="H11" s="7">
        <f>+[3]Resumen!H11*1000</f>
        <v>96981.421750000009</v>
      </c>
      <c r="I11" s="7">
        <f>+[3]Resumen!I11*1000</f>
        <v>96964.907519999993</v>
      </c>
      <c r="J11" s="7">
        <f>+[3]Resumen!J11*1000</f>
        <v>114441.694168</v>
      </c>
      <c r="K11" s="7">
        <f>+[3]Resumen!K11*1000</f>
        <v>156282.98245500002</v>
      </c>
      <c r="L11" s="7">
        <f>+[3]Resumen!L11*1000</f>
        <v>188800.400727</v>
      </c>
      <c r="M11" s="7">
        <f>+[3]Resumen!M11*1000</f>
        <v>187922.58437500001</v>
      </c>
      <c r="N11" s="7">
        <f>+[3]Resumen!N11*1000</f>
        <v>205874.40643900001</v>
      </c>
      <c r="O11" s="7">
        <f>+[3]Resumen!O11*1000</f>
        <v>216996.98975800001</v>
      </c>
      <c r="P11" s="7">
        <f>+[3]Resumen!P11*1000</f>
        <v>235445.11167099999</v>
      </c>
      <c r="Q11" s="7">
        <f>+[3]Resumen!Q11*1000</f>
        <v>250573.78265800001</v>
      </c>
      <c r="R11" s="7">
        <f>+[3]Resumen!R11*1000</f>
        <v>251424.39398900003</v>
      </c>
      <c r="S11" s="7">
        <f>+[3]Resumen!S11*1000</f>
        <v>247203.34168500002</v>
      </c>
      <c r="T11" s="7">
        <f>+[3]Resumen!T11*1000</f>
        <v>250020.52572100001</v>
      </c>
      <c r="U11" s="7">
        <f>+[3]Resumen!U11*1000</f>
        <v>250596.17701200003</v>
      </c>
      <c r="V11" s="7">
        <f>+[3]Resumen!V11*1000</f>
        <v>243604.37324500002</v>
      </c>
      <c r="W11" s="7">
        <f>+[3]Resumen!W11*1000</f>
        <v>229647.34341800003</v>
      </c>
      <c r="X11" s="7">
        <f>+[3]Resumen!X11*1000</f>
        <v>242776.590853</v>
      </c>
      <c r="Y11" s="7">
        <f>+[3]Resumen!Y11*1000</f>
        <v>252157.115636</v>
      </c>
      <c r="Z11" s="7">
        <f>+[3]Resumen!Z11*1000</f>
        <v>234008.419009</v>
      </c>
      <c r="AA11" s="7">
        <f>+[3]Resumen!AA11*1000</f>
        <v>203701.14888700002</v>
      </c>
      <c r="AB11" s="7">
        <f>+[3]Resumen!AB11*1000</f>
        <v>163488.386639</v>
      </c>
      <c r="AC11" s="7">
        <f>+[3]Resumen!AC11*1000</f>
        <v>130968.30795100001</v>
      </c>
      <c r="AD11" s="64">
        <f t="shared" ref="AD11" si="0">SUM(F11:AC11)*E11+SUM(F12:AC12)*E12+SUM(F13:AC13)*E13+SUM(F14:AC14)*E14</f>
        <v>125772481.26526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+[3]Resumen!F12*1000</f>
        <v>129230.172017</v>
      </c>
      <c r="G12" s="7">
        <f>+[3]Resumen!G12*1000</f>
        <v>114230.34603500001</v>
      </c>
      <c r="H12" s="7">
        <f>+[3]Resumen!H12*1000</f>
        <v>104918.11533999999</v>
      </c>
      <c r="I12" s="7">
        <f>+[3]Resumen!I12*1000</f>
        <v>103046.89814199999</v>
      </c>
      <c r="J12" s="7">
        <f>+[3]Resumen!J12*1000</f>
        <v>111678.36088200001</v>
      </c>
      <c r="K12" s="7">
        <f>+[3]Resumen!K12*1000</f>
        <v>127747.78368700002</v>
      </c>
      <c r="L12" s="7">
        <f>+[3]Resumen!L12*1000</f>
        <v>155217.31201299999</v>
      </c>
      <c r="M12" s="7">
        <f>+[3]Resumen!M12*1000</f>
        <v>165402.74868000002</v>
      </c>
      <c r="N12" s="7">
        <f>+[3]Resumen!N12*1000</f>
        <v>193629.01419800002</v>
      </c>
      <c r="O12" s="7">
        <f>+[3]Resumen!O12*1000</f>
        <v>211340.96801600003</v>
      </c>
      <c r="P12" s="7">
        <f>+[3]Resumen!P12*1000</f>
        <v>227736.39003500002</v>
      </c>
      <c r="Q12" s="7">
        <f>+[3]Resumen!Q12*1000</f>
        <v>237445.97880099999</v>
      </c>
      <c r="R12" s="7">
        <f>+[3]Resumen!R12*1000</f>
        <v>237537.729142</v>
      </c>
      <c r="S12" s="7">
        <f>+[3]Resumen!S12*1000</f>
        <v>229031.721644</v>
      </c>
      <c r="T12" s="7">
        <f>+[3]Resumen!T12*1000</f>
        <v>220830.67188800001</v>
      </c>
      <c r="U12" s="7">
        <f>+[3]Resumen!U12*1000</f>
        <v>217894.83103100001</v>
      </c>
      <c r="V12" s="7">
        <f>+[3]Resumen!V12*1000</f>
        <v>214257.24499000001</v>
      </c>
      <c r="W12" s="7">
        <f>+[3]Resumen!W12*1000</f>
        <v>208347.28200600002</v>
      </c>
      <c r="X12" s="7">
        <f>+[3]Resumen!X12*1000</f>
        <v>226318.70952200002</v>
      </c>
      <c r="Y12" s="7">
        <f>+[3]Resumen!Y12*1000</f>
        <v>233126.38529300003</v>
      </c>
      <c r="Z12" s="7">
        <f>+[3]Resumen!Z12*1000</f>
        <v>217310.15548799999</v>
      </c>
      <c r="AA12" s="7">
        <f>+[3]Resumen!AA12*1000</f>
        <v>192229.7941</v>
      </c>
      <c r="AB12" s="7">
        <f>+[3]Resumen!AB12*1000</f>
        <v>162715.30149300001</v>
      </c>
      <c r="AC12" s="7">
        <f>+[3]Resumen!AC12*1000</f>
        <v>134015.26652400001</v>
      </c>
      <c r="AD12" s="6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+[3]Resumen!F13*1000</f>
        <v>124667.64171499999</v>
      </c>
      <c r="G13" s="7">
        <f>+[3]Resumen!G13*1000</f>
        <v>108657.95734199999</v>
      </c>
      <c r="H13" s="7">
        <f>+[3]Resumen!H13*1000</f>
        <v>98484.443419999996</v>
      </c>
      <c r="I13" s="7">
        <f>+[3]Resumen!I13*1000</f>
        <v>93350.320473</v>
      </c>
      <c r="J13" s="7">
        <f>+[3]Resumen!J13*1000</f>
        <v>95435.909004000001</v>
      </c>
      <c r="K13" s="7">
        <f>+[3]Resumen!K13*1000</f>
        <v>101800.806903</v>
      </c>
      <c r="L13" s="7">
        <f>+[3]Resumen!L13*1000</f>
        <v>114358.741339</v>
      </c>
      <c r="M13" s="7">
        <f>+[3]Resumen!M13*1000</f>
        <v>116015.832839</v>
      </c>
      <c r="N13" s="7">
        <f>+[3]Resumen!N13*1000</f>
        <v>137635.930203</v>
      </c>
      <c r="O13" s="7">
        <f>+[3]Resumen!O13*1000</f>
        <v>155998.23480500001</v>
      </c>
      <c r="P13" s="7">
        <f>+[3]Resumen!P13*1000</f>
        <v>171628.36775500001</v>
      </c>
      <c r="Q13" s="7">
        <f>+[3]Resumen!Q13*1000</f>
        <v>188782.35222299999</v>
      </c>
      <c r="R13" s="7">
        <f>+[3]Resumen!R13*1000</f>
        <v>199168.29507200004</v>
      </c>
      <c r="S13" s="7">
        <f>+[3]Resumen!S13*1000</f>
        <v>200244.32375299998</v>
      </c>
      <c r="T13" s="7">
        <f>+[3]Resumen!T13*1000</f>
        <v>195209.49403100001</v>
      </c>
      <c r="U13" s="7">
        <f>+[3]Resumen!U13*1000</f>
        <v>190735.59261600001</v>
      </c>
      <c r="V13" s="7">
        <f>+[3]Resumen!V13*1000</f>
        <v>186079.75880400001</v>
      </c>
      <c r="W13" s="7">
        <f>+[3]Resumen!W13*1000</f>
        <v>181688.84045000002</v>
      </c>
      <c r="X13" s="7">
        <f>+[3]Resumen!X13*1000</f>
        <v>201575.84306600003</v>
      </c>
      <c r="Y13" s="7">
        <f>+[3]Resumen!Y13*1000</f>
        <v>213909.11973100001</v>
      </c>
      <c r="Z13" s="7">
        <f>+[3]Resumen!Z13*1000</f>
        <v>201602.428331</v>
      </c>
      <c r="AA13" s="7">
        <f>+[3]Resumen!AA13*1000</f>
        <v>178928.700419</v>
      </c>
      <c r="AB13" s="7">
        <f>+[3]Resumen!AB13*1000</f>
        <v>147375.73963200001</v>
      </c>
      <c r="AC13" s="7">
        <f>+[3]Resumen!AC13*1000</f>
        <v>115837.98176200001</v>
      </c>
      <c r="AD13" s="65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+[3]Resumen!F14*1000</f>
        <v>0</v>
      </c>
      <c r="G14" s="7">
        <f>+[3]Resumen!G14*1000</f>
        <v>0</v>
      </c>
      <c r="H14" s="7">
        <f>+[3]Resumen!H14*1000</f>
        <v>0</v>
      </c>
      <c r="I14" s="7">
        <f>+[3]Resumen!I14*1000</f>
        <v>0</v>
      </c>
      <c r="J14" s="7">
        <f>+[3]Resumen!J14*1000</f>
        <v>0</v>
      </c>
      <c r="K14" s="7">
        <f>+[3]Resumen!K14*1000</f>
        <v>0</v>
      </c>
      <c r="L14" s="7">
        <f>+[3]Resumen!L14*1000</f>
        <v>0</v>
      </c>
      <c r="M14" s="7">
        <f>+[3]Resumen!M14*1000</f>
        <v>0</v>
      </c>
      <c r="N14" s="7">
        <f>+[3]Resumen!N14*1000</f>
        <v>0</v>
      </c>
      <c r="O14" s="7">
        <f>+[3]Resumen!O14*1000</f>
        <v>0</v>
      </c>
      <c r="P14" s="7">
        <f>+[3]Resumen!P14*1000</f>
        <v>0</v>
      </c>
      <c r="Q14" s="7">
        <f>+[3]Resumen!Q14*1000</f>
        <v>0</v>
      </c>
      <c r="R14" s="7">
        <f>+[3]Resumen!R14*1000</f>
        <v>0</v>
      </c>
      <c r="S14" s="7">
        <f>+[3]Resumen!S14*1000</f>
        <v>0</v>
      </c>
      <c r="T14" s="7">
        <f>+[3]Resumen!T14*1000</f>
        <v>0</v>
      </c>
      <c r="U14" s="7">
        <f>+[3]Resumen!U14*1000</f>
        <v>0</v>
      </c>
      <c r="V14" s="7">
        <f>+[3]Resumen!V14*1000</f>
        <v>0</v>
      </c>
      <c r="W14" s="7">
        <f>+[3]Resumen!W14*1000</f>
        <v>0</v>
      </c>
      <c r="X14" s="7">
        <f>+[3]Resumen!X14*1000</f>
        <v>0</v>
      </c>
      <c r="Y14" s="7">
        <f>+[3]Resumen!Y14*1000</f>
        <v>0</v>
      </c>
      <c r="Z14" s="7">
        <f>+[3]Resumen!Z14*1000</f>
        <v>0</v>
      </c>
      <c r="AA14" s="7">
        <f>+[3]Resumen!AA14*1000</f>
        <v>0</v>
      </c>
      <c r="AB14" s="7">
        <f>+[3]Resumen!AB14*1000</f>
        <v>0</v>
      </c>
      <c r="AC14" s="7">
        <f>+[3]Resumen!AC14*1000</f>
        <v>0</v>
      </c>
      <c r="AD14" s="66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19</v>
      </c>
      <c r="F15" s="7">
        <f>+[3]Resumen!F15*1000</f>
        <v>112667.84668400002</v>
      </c>
      <c r="G15" s="7">
        <f>+[3]Resumen!G15*1000</f>
        <v>100434.207133</v>
      </c>
      <c r="H15" s="7">
        <f>+[3]Resumen!H15*1000</f>
        <v>94133.057184999998</v>
      </c>
      <c r="I15" s="7">
        <f>+[3]Resumen!I15*1000</f>
        <v>94374.350114000001</v>
      </c>
      <c r="J15" s="7">
        <f>+[3]Resumen!J15*1000</f>
        <v>111589.41833799999</v>
      </c>
      <c r="K15" s="7">
        <f>+[3]Resumen!K15*1000</f>
        <v>151880.66285800003</v>
      </c>
      <c r="L15" s="7">
        <f>+[3]Resumen!L15*1000</f>
        <v>182660.71989099999</v>
      </c>
      <c r="M15" s="7">
        <f>+[3]Resumen!M15*1000</f>
        <v>184104.090046</v>
      </c>
      <c r="N15" s="7">
        <f>+[3]Resumen!N15*1000</f>
        <v>201736.73021200002</v>
      </c>
      <c r="O15" s="7">
        <f>+[3]Resumen!O15*1000</f>
        <v>212786.10296400002</v>
      </c>
      <c r="P15" s="7">
        <f>+[3]Resumen!P15*1000</f>
        <v>231109.27224200001</v>
      </c>
      <c r="Q15" s="7">
        <f>+[3]Resumen!Q15*1000</f>
        <v>246075.23460500001</v>
      </c>
      <c r="R15" s="7">
        <f>+[3]Resumen!R15*1000</f>
        <v>247749.71706299999</v>
      </c>
      <c r="S15" s="7">
        <f>+[3]Resumen!S15*1000</f>
        <v>243680.68637100002</v>
      </c>
      <c r="T15" s="7">
        <f>+[3]Resumen!T15*1000</f>
        <v>246360.68137000003</v>
      </c>
      <c r="U15" s="7">
        <f>+[3]Resumen!U15*1000</f>
        <v>245606.88046099999</v>
      </c>
      <c r="V15" s="7">
        <f>+[3]Resumen!V15*1000</f>
        <v>238821.731309</v>
      </c>
      <c r="W15" s="7">
        <f>+[3]Resumen!W15*1000</f>
        <v>225855.90672900001</v>
      </c>
      <c r="X15" s="7">
        <f>+[3]Resumen!X15*1000</f>
        <v>237964.419811</v>
      </c>
      <c r="Y15" s="7">
        <f>+[3]Resumen!Y15*1000</f>
        <v>246480.04864300002</v>
      </c>
      <c r="Z15" s="7">
        <f>+[3]Resumen!Z15*1000</f>
        <v>228082.39905400001</v>
      </c>
      <c r="AA15" s="7">
        <f>+[3]Resumen!AA15*1000</f>
        <v>197652.13003999999</v>
      </c>
      <c r="AB15" s="7">
        <f>+[3]Resumen!AB15*1000</f>
        <v>158709.595504</v>
      </c>
      <c r="AC15" s="7">
        <f>+[3]Resumen!AC15*1000</f>
        <v>126508.76673600002</v>
      </c>
      <c r="AD15" s="64">
        <f t="shared" ref="AD15" si="1">SUM(F15:AC15)*E15+SUM(F16:AC16)*E16+SUM(F17:AC17)*E17+SUM(F18:AC18)*E18</f>
        <v>134319314.520877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5</v>
      </c>
      <c r="F16" s="7">
        <f>+[3]Resumen!F16*1000</f>
        <v>118704.12652200001</v>
      </c>
      <c r="G16" s="7">
        <f>+[3]Resumen!G16*1000</f>
        <v>104793.223169</v>
      </c>
      <c r="H16" s="7">
        <f>+[3]Resumen!H16*1000</f>
        <v>96394.229393000001</v>
      </c>
      <c r="I16" s="7">
        <f>+[3]Resumen!I16*1000</f>
        <v>94776.900531000007</v>
      </c>
      <c r="J16" s="7">
        <f>+[3]Resumen!J16*1000</f>
        <v>104263.73236299999</v>
      </c>
      <c r="K16" s="7">
        <f>+[3]Resumen!K16*1000</f>
        <v>122217.296546</v>
      </c>
      <c r="L16" s="7">
        <f>+[3]Resumen!L16*1000</f>
        <v>148530.69272799999</v>
      </c>
      <c r="M16" s="7">
        <f>+[3]Resumen!M16*1000</f>
        <v>162720.56563999999</v>
      </c>
      <c r="N16" s="7">
        <f>+[3]Resumen!N16*1000</f>
        <v>188805.92184600001</v>
      </c>
      <c r="O16" s="7">
        <f>+[3]Resumen!O16*1000</f>
        <v>205709.10164199999</v>
      </c>
      <c r="P16" s="7">
        <f>+[3]Resumen!P16*1000</f>
        <v>221774.67364600001</v>
      </c>
      <c r="Q16" s="7">
        <f>+[3]Resumen!Q16*1000</f>
        <v>233941.23216800002</v>
      </c>
      <c r="R16" s="7">
        <f>+[3]Resumen!R16*1000</f>
        <v>234317.820855</v>
      </c>
      <c r="S16" s="7">
        <f>+[3]Resumen!S16*1000</f>
        <v>227589.30757599999</v>
      </c>
      <c r="T16" s="7">
        <f>+[3]Resumen!T16*1000</f>
        <v>220672.282661</v>
      </c>
      <c r="U16" s="7">
        <f>+[3]Resumen!U16*1000</f>
        <v>215813.22934500003</v>
      </c>
      <c r="V16" s="7">
        <f>+[3]Resumen!V16*1000</f>
        <v>211635.71490000002</v>
      </c>
      <c r="W16" s="7">
        <f>+[3]Resumen!W16*1000</f>
        <v>206932.95724500003</v>
      </c>
      <c r="X16" s="7">
        <f>+[3]Resumen!X16*1000</f>
        <v>221585.84457400002</v>
      </c>
      <c r="Y16" s="7">
        <f>+[3]Resumen!Y16*1000</f>
        <v>228707.70262599998</v>
      </c>
      <c r="Z16" s="7">
        <f>+[3]Resumen!Z16*1000</f>
        <v>212367.37086900001</v>
      </c>
      <c r="AA16" s="7">
        <f>+[3]Resumen!AA16*1000</f>
        <v>188904.999668</v>
      </c>
      <c r="AB16" s="7">
        <f>+[3]Resumen!AB16*1000</f>
        <v>159868.89444999999</v>
      </c>
      <c r="AC16" s="7">
        <f>+[3]Resumen!AC16*1000</f>
        <v>132452.94100700002</v>
      </c>
      <c r="AD16" s="65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+[3]Resumen!F17*1000</f>
        <v>119435.623773</v>
      </c>
      <c r="G17" s="7">
        <f>+[3]Resumen!G17*1000</f>
        <v>103927.65455600001</v>
      </c>
      <c r="H17" s="7">
        <f>+[3]Resumen!H17*1000</f>
        <v>93760.122791000002</v>
      </c>
      <c r="I17" s="7">
        <f>+[3]Resumen!I17*1000</f>
        <v>88819.201218999995</v>
      </c>
      <c r="J17" s="7">
        <f>+[3]Resumen!J17*1000</f>
        <v>90202.919859000001</v>
      </c>
      <c r="K17" s="7">
        <f>+[3]Resumen!K17*1000</f>
        <v>96596.825362000003</v>
      </c>
      <c r="L17" s="7">
        <f>+[3]Resumen!L17*1000</f>
        <v>106780.71263899999</v>
      </c>
      <c r="M17" s="7">
        <f>+[3]Resumen!M17*1000</f>
        <v>112115.30775700002</v>
      </c>
      <c r="N17" s="7">
        <f>+[3]Resumen!N17*1000</f>
        <v>133865.72771499999</v>
      </c>
      <c r="O17" s="7">
        <f>+[3]Resumen!O17*1000</f>
        <v>150282.59178000002</v>
      </c>
      <c r="P17" s="7">
        <f>+[3]Resumen!P17*1000</f>
        <v>165012.83523900001</v>
      </c>
      <c r="Q17" s="7">
        <f>+[3]Resumen!Q17*1000</f>
        <v>180766.734218</v>
      </c>
      <c r="R17" s="7">
        <f>+[3]Resumen!R17*1000</f>
        <v>190780.82346700001</v>
      </c>
      <c r="S17" s="7">
        <f>+[3]Resumen!S17*1000</f>
        <v>191710.83914600001</v>
      </c>
      <c r="T17" s="7">
        <f>+[3]Resumen!T17*1000</f>
        <v>187176.85541000002</v>
      </c>
      <c r="U17" s="7">
        <f>+[3]Resumen!U17*1000</f>
        <v>184198.15691399999</v>
      </c>
      <c r="V17" s="7">
        <f>+[3]Resumen!V17*1000</f>
        <v>180378.08674199998</v>
      </c>
      <c r="W17" s="7">
        <f>+[3]Resumen!W17*1000</f>
        <v>176249.89202600002</v>
      </c>
      <c r="X17" s="7">
        <f>+[3]Resumen!X17*1000</f>
        <v>195927.40577700001</v>
      </c>
      <c r="Y17" s="7">
        <f>+[3]Resumen!Y17*1000</f>
        <v>208815.74574100002</v>
      </c>
      <c r="Z17" s="7">
        <f>+[3]Resumen!Z17*1000</f>
        <v>197230.33317600001</v>
      </c>
      <c r="AA17" s="7">
        <f>+[3]Resumen!AA17*1000</f>
        <v>175382.20339400001</v>
      </c>
      <c r="AB17" s="7">
        <f>+[3]Resumen!AB17*1000</f>
        <v>146013.69355700002</v>
      </c>
      <c r="AC17" s="7">
        <f>+[3]Resumen!AC17*1000</f>
        <v>115238.64747800001</v>
      </c>
      <c r="AD17" s="65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3</v>
      </c>
      <c r="F18" s="7">
        <f>+[3]Resumen!F18*1000</f>
        <v>128481.03817300001</v>
      </c>
      <c r="G18" s="7">
        <f>+[3]Resumen!G18*1000</f>
        <v>113112.42336000002</v>
      </c>
      <c r="H18" s="7">
        <f>+[3]Resumen!H18*1000</f>
        <v>103533.97345200001</v>
      </c>
      <c r="I18" s="7">
        <f>+[3]Resumen!I18*1000</f>
        <v>99471.83565600001</v>
      </c>
      <c r="J18" s="7">
        <f>+[3]Resumen!J18*1000</f>
        <v>102598.240146</v>
      </c>
      <c r="K18" s="7">
        <f>+[3]Resumen!K18*1000</f>
        <v>109219.422267</v>
      </c>
      <c r="L18" s="7">
        <f>+[3]Resumen!L18*1000</f>
        <v>118385.52281100002</v>
      </c>
      <c r="M18" s="7">
        <f>+[3]Resumen!M18*1000</f>
        <v>123284.19138400001</v>
      </c>
      <c r="N18" s="7">
        <f>+[3]Resumen!N18*1000</f>
        <v>144461.246346</v>
      </c>
      <c r="O18" s="7">
        <f>+[3]Resumen!O18*1000</f>
        <v>163992.089549</v>
      </c>
      <c r="P18" s="7">
        <f>+[3]Resumen!P18*1000</f>
        <v>182296.15598200003</v>
      </c>
      <c r="Q18" s="7">
        <f>+[3]Resumen!Q18*1000</f>
        <v>202875.87952999998</v>
      </c>
      <c r="R18" s="7">
        <f>+[3]Resumen!R18*1000</f>
        <v>213096.40799100001</v>
      </c>
      <c r="S18" s="7">
        <f>+[3]Resumen!S18*1000</f>
        <v>209790.281819</v>
      </c>
      <c r="T18" s="7">
        <f>+[3]Resumen!T18*1000</f>
        <v>203003.21293500002</v>
      </c>
      <c r="U18" s="7">
        <f>+[3]Resumen!U18*1000</f>
        <v>198900.78344100001</v>
      </c>
      <c r="V18" s="7">
        <f>+[3]Resumen!V18*1000</f>
        <v>196873.12698</v>
      </c>
      <c r="W18" s="7">
        <f>+[3]Resumen!W18*1000</f>
        <v>193682.30187700002</v>
      </c>
      <c r="X18" s="7">
        <f>+[3]Resumen!X18*1000</f>
        <v>216017.02703599998</v>
      </c>
      <c r="Y18" s="7">
        <f>+[3]Resumen!Y18*1000</f>
        <v>234080.30314700003</v>
      </c>
      <c r="Z18" s="7">
        <f>+[3]Resumen!Z18*1000</f>
        <v>218467.90504400001</v>
      </c>
      <c r="AA18" s="7">
        <f>+[3]Resumen!AA18*1000</f>
        <v>192853.302647</v>
      </c>
      <c r="AB18" s="7">
        <f>+[3]Resumen!AB18*1000</f>
        <v>159695.65753200001</v>
      </c>
      <c r="AC18" s="7">
        <f>+[3]Resumen!AC18*1000</f>
        <v>127083.17095700001</v>
      </c>
      <c r="AD18" s="66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21</v>
      </c>
      <c r="F19" s="7">
        <f>+[3]Resumen!F19*1000</f>
        <v>110863.89946499999</v>
      </c>
      <c r="G19" s="7">
        <f>+[3]Resumen!G19*1000</f>
        <v>98176.141262999998</v>
      </c>
      <c r="H19" s="7">
        <f>+[3]Resumen!H19*1000</f>
        <v>91853.927169000002</v>
      </c>
      <c r="I19" s="7">
        <f>+[3]Resumen!I19*1000</f>
        <v>92084.431053000008</v>
      </c>
      <c r="J19" s="7">
        <f>+[3]Resumen!J19*1000</f>
        <v>107805.63790300001</v>
      </c>
      <c r="K19" s="7">
        <f>+[3]Resumen!K19*1000</f>
        <v>142598.85311299999</v>
      </c>
      <c r="L19" s="7">
        <f>+[3]Resumen!L19*1000</f>
        <v>172998.15322199999</v>
      </c>
      <c r="M19" s="7">
        <f>+[3]Resumen!M19*1000</f>
        <v>177656.783494</v>
      </c>
      <c r="N19" s="7">
        <f>+[3]Resumen!N19*1000</f>
        <v>196021.23834700001</v>
      </c>
      <c r="O19" s="7">
        <f>+[3]Resumen!O19*1000</f>
        <v>207965.41783500003</v>
      </c>
      <c r="P19" s="7">
        <f>+[3]Resumen!P19*1000</f>
        <v>226162.99960600003</v>
      </c>
      <c r="Q19" s="7">
        <f>+[3]Resumen!Q19*1000</f>
        <v>241863.08562500001</v>
      </c>
      <c r="R19" s="7">
        <f>+[3]Resumen!R19*1000</f>
        <v>245005.20319700002</v>
      </c>
      <c r="S19" s="7">
        <f>+[3]Resumen!S19*1000</f>
        <v>240773.74352700001</v>
      </c>
      <c r="T19" s="7">
        <f>+[3]Resumen!T19*1000</f>
        <v>243049.39308399998</v>
      </c>
      <c r="U19" s="7">
        <f>+[3]Resumen!U19*1000</f>
        <v>242872.08996200003</v>
      </c>
      <c r="V19" s="7">
        <f>+[3]Resumen!V19*1000</f>
        <v>235507.35180099998</v>
      </c>
      <c r="W19" s="7">
        <f>+[3]Resumen!W19*1000</f>
        <v>223666.98900099998</v>
      </c>
      <c r="X19" s="7">
        <f>+[3]Resumen!X19*1000</f>
        <v>237943.49926700001</v>
      </c>
      <c r="Y19" s="7">
        <f>+[3]Resumen!Y19*1000</f>
        <v>243350.92327299999</v>
      </c>
      <c r="Z19" s="7">
        <f>+[3]Resumen!Z19*1000</f>
        <v>225112.92887599999</v>
      </c>
      <c r="AA19" s="7">
        <f>+[3]Resumen!AA19*1000</f>
        <v>196061.41289599999</v>
      </c>
      <c r="AB19" s="7">
        <f>+[3]Resumen!AB19*1000</f>
        <v>159113.73310100002</v>
      </c>
      <c r="AC19" s="7">
        <f>+[3]Resumen!AC19*1000</f>
        <v>126220.36101399999</v>
      </c>
      <c r="AD19" s="64">
        <f t="shared" ref="AD19" si="2">SUM(F19:AC19)*E19+SUM(F20:AC20)*E20+SUM(F21:AC21)*E21+SUM(F22:AC22)*E22</f>
        <v>128167190.866339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+[3]Resumen!F20*1000</f>
        <v>114424.242746</v>
      </c>
      <c r="G20" s="7">
        <f>+[3]Resumen!G20*1000</f>
        <v>99520.384468999997</v>
      </c>
      <c r="H20" s="7">
        <f>+[3]Resumen!H20*1000</f>
        <v>91109.947881000015</v>
      </c>
      <c r="I20" s="7">
        <f>+[3]Resumen!I20*1000</f>
        <v>89347.403386000005</v>
      </c>
      <c r="J20" s="7">
        <f>+[3]Resumen!J20*1000</f>
        <v>97188.556297999996</v>
      </c>
      <c r="K20" s="7">
        <f>+[3]Resumen!K20*1000</f>
        <v>111294.22175300001</v>
      </c>
      <c r="L20" s="7">
        <f>+[3]Resumen!L20*1000</f>
        <v>134098.744634</v>
      </c>
      <c r="M20" s="7">
        <f>+[3]Resumen!M20*1000</f>
        <v>146041.71484199999</v>
      </c>
      <c r="N20" s="7">
        <f>+[3]Resumen!N20*1000</f>
        <v>171218.99246400001</v>
      </c>
      <c r="O20" s="7">
        <f>+[3]Resumen!O20*1000</f>
        <v>188365.211087</v>
      </c>
      <c r="P20" s="7">
        <f>+[3]Resumen!P20*1000</f>
        <v>203427.87806000002</v>
      </c>
      <c r="Q20" s="7">
        <f>+[3]Resumen!Q20*1000</f>
        <v>214715.225779</v>
      </c>
      <c r="R20" s="7">
        <f>+[3]Resumen!R20*1000</f>
        <v>217553.26611600001</v>
      </c>
      <c r="S20" s="7">
        <f>+[3]Resumen!S20*1000</f>
        <v>213280.72493700002</v>
      </c>
      <c r="T20" s="7">
        <f>+[3]Resumen!T20*1000</f>
        <v>208072.38998800001</v>
      </c>
      <c r="U20" s="7">
        <f>+[3]Resumen!U20*1000</f>
        <v>206825.58451800002</v>
      </c>
      <c r="V20" s="7">
        <f>+[3]Resumen!V20*1000</f>
        <v>204750.39579500002</v>
      </c>
      <c r="W20" s="7">
        <f>+[3]Resumen!W20*1000</f>
        <v>200972.46903100002</v>
      </c>
      <c r="X20" s="7">
        <f>+[3]Resumen!X20*1000</f>
        <v>217297.11038</v>
      </c>
      <c r="Y20" s="7">
        <f>+[3]Resumen!Y20*1000</f>
        <v>222308.17397100001</v>
      </c>
      <c r="Z20" s="7">
        <f>+[3]Resumen!Z20*1000</f>
        <v>205520.09495699999</v>
      </c>
      <c r="AA20" s="7">
        <f>+[3]Resumen!AA20*1000</f>
        <v>182077.14781600001</v>
      </c>
      <c r="AB20" s="7">
        <f>+[3]Resumen!AB20*1000</f>
        <v>155764.38272700002</v>
      </c>
      <c r="AC20" s="7">
        <f>+[3]Resumen!AC20*1000</f>
        <v>128767.629975</v>
      </c>
      <c r="AD20" s="65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5</v>
      </c>
      <c r="F21" s="7">
        <f>+[3]Resumen!F21*1000</f>
        <v>119032.23441799999</v>
      </c>
      <c r="G21" s="7">
        <f>+[3]Resumen!G21*1000</f>
        <v>103270.834124</v>
      </c>
      <c r="H21" s="7">
        <f>+[3]Resumen!H21*1000</f>
        <v>93305.066948000007</v>
      </c>
      <c r="I21" s="7">
        <f>+[3]Resumen!I21*1000</f>
        <v>88900.000018000006</v>
      </c>
      <c r="J21" s="7">
        <f>+[3]Resumen!J21*1000</f>
        <v>90653.569388000004</v>
      </c>
      <c r="K21" s="7">
        <f>+[3]Resumen!K21*1000</f>
        <v>94810.061256000015</v>
      </c>
      <c r="L21" s="7">
        <f>+[3]Resumen!L21*1000</f>
        <v>106766.454472</v>
      </c>
      <c r="M21" s="7">
        <f>+[3]Resumen!M21*1000</f>
        <v>112529.565516</v>
      </c>
      <c r="N21" s="7">
        <f>+[3]Resumen!N21*1000</f>
        <v>134303.67602499999</v>
      </c>
      <c r="O21" s="7">
        <f>+[3]Resumen!O21*1000</f>
        <v>152546.431962</v>
      </c>
      <c r="P21" s="7">
        <f>+[3]Resumen!P21*1000</f>
        <v>165828.698665</v>
      </c>
      <c r="Q21" s="7">
        <f>+[3]Resumen!Q21*1000</f>
        <v>178666.997111</v>
      </c>
      <c r="R21" s="7">
        <f>+[3]Resumen!R21*1000</f>
        <v>187974.27353700003</v>
      </c>
      <c r="S21" s="7">
        <f>+[3]Resumen!S21*1000</f>
        <v>189862.122114</v>
      </c>
      <c r="T21" s="7">
        <f>+[3]Resumen!T21*1000</f>
        <v>187862.84594299999</v>
      </c>
      <c r="U21" s="7">
        <f>+[3]Resumen!U21*1000</f>
        <v>184730.70493100001</v>
      </c>
      <c r="V21" s="7">
        <f>+[3]Resumen!V21*1000</f>
        <v>181020.47139399999</v>
      </c>
      <c r="W21" s="7">
        <f>+[3]Resumen!W21*1000</f>
        <v>178575.80606200002</v>
      </c>
      <c r="X21" s="7">
        <f>+[3]Resumen!X21*1000</f>
        <v>198091.15536499998</v>
      </c>
      <c r="Y21" s="7">
        <f>+[3]Resumen!Y21*1000</f>
        <v>207886.49719900003</v>
      </c>
      <c r="Z21" s="7">
        <f>+[3]Resumen!Z21*1000</f>
        <v>195272.64867900001</v>
      </c>
      <c r="AA21" s="7">
        <f>+[3]Resumen!AA21*1000</f>
        <v>172731.10640800002</v>
      </c>
      <c r="AB21" s="7">
        <f>+[3]Resumen!AB21*1000</f>
        <v>142262.10642299999</v>
      </c>
      <c r="AC21" s="7">
        <f>+[3]Resumen!AC21*1000</f>
        <v>111542.902627</v>
      </c>
      <c r="AD21" s="65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0</v>
      </c>
      <c r="F22" s="7">
        <f>+[3]Resumen!F22*1000</f>
        <v>211200.85025400002</v>
      </c>
      <c r="G22" s="7">
        <f>+[3]Resumen!G22*1000</f>
        <v>192832.66552800001</v>
      </c>
      <c r="H22" s="7">
        <f>+[3]Resumen!H22*1000</f>
        <v>181468.79683800001</v>
      </c>
      <c r="I22" s="7">
        <f>+[3]Resumen!I22*1000</f>
        <v>176314.59228500002</v>
      </c>
      <c r="J22" s="7">
        <f>+[3]Resumen!J22*1000</f>
        <v>178887.75117500001</v>
      </c>
      <c r="K22" s="7">
        <f>+[3]Resumen!K22*1000</f>
        <v>184152.94117900002</v>
      </c>
      <c r="L22" s="7">
        <f>+[3]Resumen!L22*1000</f>
        <v>194805.197716</v>
      </c>
      <c r="M22" s="7">
        <f>+[3]Resumen!M22*1000</f>
        <v>196114.957547</v>
      </c>
      <c r="N22" s="7">
        <f>+[3]Resumen!N22*1000</f>
        <v>218085.001648</v>
      </c>
      <c r="O22" s="7">
        <f>+[3]Resumen!O22*1000</f>
        <v>230904.13678500001</v>
      </c>
      <c r="P22" s="7">
        <f>+[3]Resumen!P22*1000</f>
        <v>238508.19145800002</v>
      </c>
      <c r="Q22" s="7">
        <f>+[3]Resumen!Q22*1000</f>
        <v>256038.81751900003</v>
      </c>
      <c r="R22" s="7">
        <f>+[3]Resumen!R22*1000</f>
        <v>271641.74166900001</v>
      </c>
      <c r="S22" s="7">
        <f>+[3]Resumen!S22*1000</f>
        <v>270322.62125500001</v>
      </c>
      <c r="T22" s="7">
        <f>+[3]Resumen!T22*1000</f>
        <v>264368.26257900003</v>
      </c>
      <c r="U22" s="7">
        <f>+[3]Resumen!U22*1000</f>
        <v>260600.73184399999</v>
      </c>
      <c r="V22" s="7">
        <f>+[3]Resumen!V22*1000</f>
        <v>260669.13174400001</v>
      </c>
      <c r="W22" s="7">
        <f>+[3]Resumen!W22*1000</f>
        <v>264646.32517799997</v>
      </c>
      <c r="X22" s="7">
        <f>+[3]Resumen!X22*1000</f>
        <v>288206.00940800004</v>
      </c>
      <c r="Y22" s="7">
        <f>+[3]Resumen!Y22*1000</f>
        <v>296449.90546600003</v>
      </c>
      <c r="Z22" s="7">
        <f>+[3]Resumen!Z22*1000</f>
        <v>279526.17168900004</v>
      </c>
      <c r="AA22" s="7">
        <f>+[3]Resumen!AA22*1000</f>
        <v>262678.71702700004</v>
      </c>
      <c r="AB22" s="7">
        <f>+[3]Resumen!AB22*1000</f>
        <v>242730.275429</v>
      </c>
      <c r="AC22" s="7">
        <f>+[3]Resumen!AC22*1000</f>
        <v>214317.12702400002</v>
      </c>
      <c r="AD22" s="66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21</v>
      </c>
      <c r="F23" s="7">
        <f>+[3]Resumen!F23*1000</f>
        <v>111665.927972</v>
      </c>
      <c r="G23" s="7">
        <f>+[3]Resumen!G23*1000</f>
        <v>98680.120040000009</v>
      </c>
      <c r="H23" s="7">
        <f>+[3]Resumen!H23*1000</f>
        <v>92135.564702000003</v>
      </c>
      <c r="I23" s="7">
        <f>+[3]Resumen!I23*1000</f>
        <v>92563.332386000009</v>
      </c>
      <c r="J23" s="7">
        <f>+[3]Resumen!J23*1000</f>
        <v>108669.42282800001</v>
      </c>
      <c r="K23" s="7">
        <f>+[3]Resumen!K23*1000</f>
        <v>143961.43958500001</v>
      </c>
      <c r="L23" s="7">
        <f>+[3]Resumen!L23*1000</f>
        <v>176443.44106899999</v>
      </c>
      <c r="M23" s="7">
        <f>+[3]Resumen!M23*1000</f>
        <v>181896.77614599999</v>
      </c>
      <c r="N23" s="7">
        <f>+[3]Resumen!N23*1000</f>
        <v>199369.00532000003</v>
      </c>
      <c r="O23" s="7">
        <f>+[3]Resumen!O23*1000</f>
        <v>211533.79904900002</v>
      </c>
      <c r="P23" s="7">
        <f>+[3]Resumen!P23*1000</f>
        <v>230041.33817900001</v>
      </c>
      <c r="Q23" s="7">
        <f>+[3]Resumen!Q23*1000</f>
        <v>245339.59557000003</v>
      </c>
      <c r="R23" s="7">
        <f>+[3]Resumen!R23*1000</f>
        <v>246417.11695600001</v>
      </c>
      <c r="S23" s="7">
        <f>+[3]Resumen!S23*1000</f>
        <v>241223.539002</v>
      </c>
      <c r="T23" s="7">
        <f>+[3]Resumen!T23*1000</f>
        <v>242918.96845699998</v>
      </c>
      <c r="U23" s="7">
        <f>+[3]Resumen!U23*1000</f>
        <v>243372.985075</v>
      </c>
      <c r="V23" s="7">
        <f>+[3]Resumen!V23*1000</f>
        <v>236148.88239900002</v>
      </c>
      <c r="W23" s="7">
        <f>+[3]Resumen!W23*1000</f>
        <v>223515.79498999999</v>
      </c>
      <c r="X23" s="7">
        <f>+[3]Resumen!X23*1000</f>
        <v>238070.25448500001</v>
      </c>
      <c r="Y23" s="7">
        <f>+[3]Resumen!Y23*1000</f>
        <v>245826.42524500002</v>
      </c>
      <c r="Z23" s="7">
        <f>+[3]Resumen!Z23*1000</f>
        <v>227199.57552700001</v>
      </c>
      <c r="AA23" s="7">
        <f>+[3]Resumen!AA23*1000</f>
        <v>197738.117406</v>
      </c>
      <c r="AB23" s="7">
        <f>+[3]Resumen!AB23*1000</f>
        <v>159739.64887100001</v>
      </c>
      <c r="AC23" s="7">
        <f>+[3]Resumen!AC23*1000</f>
        <v>126935.17398000001</v>
      </c>
      <c r="AD23" s="64">
        <f t="shared" ref="AD23" si="3">SUM(F23:AC23)*E23+SUM(F24:AC24)*E24+SUM(F25:AC25)*E25+SUM(F26:AC26)*E26</f>
        <v>132829544.73819903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+[3]Resumen!F24*1000</f>
        <v>118922.52626899999</v>
      </c>
      <c r="G24" s="7">
        <f>+[3]Resumen!G24*1000</f>
        <v>103924.506649</v>
      </c>
      <c r="H24" s="7">
        <f>+[3]Resumen!H24*1000</f>
        <v>96032.563976999998</v>
      </c>
      <c r="I24" s="7">
        <f>+[3]Resumen!I24*1000</f>
        <v>93648.151020999998</v>
      </c>
      <c r="J24" s="7">
        <f>+[3]Resumen!J24*1000</f>
        <v>101474.00276200002</v>
      </c>
      <c r="K24" s="7">
        <f>+[3]Resumen!K24*1000</f>
        <v>114229.84342800001</v>
      </c>
      <c r="L24" s="7">
        <f>+[3]Resumen!L24*1000</f>
        <v>140026.38200100002</v>
      </c>
      <c r="M24" s="7">
        <f>+[3]Resumen!M24*1000</f>
        <v>155040.90451399999</v>
      </c>
      <c r="N24" s="7">
        <f>+[3]Resumen!N24*1000</f>
        <v>182131.614543</v>
      </c>
      <c r="O24" s="7">
        <f>+[3]Resumen!O24*1000</f>
        <v>200024.873444</v>
      </c>
      <c r="P24" s="7">
        <f>+[3]Resumen!P24*1000</f>
        <v>215998.86516200003</v>
      </c>
      <c r="Q24" s="7">
        <f>+[3]Resumen!Q24*1000</f>
        <v>226888.306855</v>
      </c>
      <c r="R24" s="7">
        <f>+[3]Resumen!R24*1000</f>
        <v>226827.36292200003</v>
      </c>
      <c r="S24" s="7">
        <f>+[3]Resumen!S24*1000</f>
        <v>219312.322594</v>
      </c>
      <c r="T24" s="7">
        <f>+[3]Resumen!T24*1000</f>
        <v>211622.93054300002</v>
      </c>
      <c r="U24" s="7">
        <f>+[3]Resumen!U24*1000</f>
        <v>208537.29012599998</v>
      </c>
      <c r="V24" s="7">
        <f>+[3]Resumen!V24*1000</f>
        <v>205114.19256699999</v>
      </c>
      <c r="W24" s="7">
        <f>+[3]Resumen!W24*1000</f>
        <v>201763.92389599999</v>
      </c>
      <c r="X24" s="7">
        <f>+[3]Resumen!X24*1000</f>
        <v>216623.07660299999</v>
      </c>
      <c r="Y24" s="7">
        <f>+[3]Resumen!Y24*1000</f>
        <v>223298.47981600004</v>
      </c>
      <c r="Z24" s="7">
        <f>+[3]Resumen!Z24*1000</f>
        <v>208118.77721299999</v>
      </c>
      <c r="AA24" s="7">
        <f>+[3]Resumen!AA24*1000</f>
        <v>184275.64153000002</v>
      </c>
      <c r="AB24" s="7">
        <f>+[3]Resumen!AB24*1000</f>
        <v>157369.762391</v>
      </c>
      <c r="AC24" s="7">
        <f>+[3]Resumen!AC24*1000</f>
        <v>129489.86867600001</v>
      </c>
      <c r="AD24" s="65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+[3]Resumen!F25*1000</f>
        <v>116486.08026200002</v>
      </c>
      <c r="G25" s="7">
        <f>+[3]Resumen!G25*1000</f>
        <v>101425.945219</v>
      </c>
      <c r="H25" s="7">
        <f>+[3]Resumen!H25*1000</f>
        <v>91176.13706600001</v>
      </c>
      <c r="I25" s="7">
        <f>+[3]Resumen!I25*1000</f>
        <v>86298.366363000008</v>
      </c>
      <c r="J25" s="7">
        <f>+[3]Resumen!J25*1000</f>
        <v>86408.716942000014</v>
      </c>
      <c r="K25" s="7">
        <f>+[3]Resumen!K25*1000</f>
        <v>89155.891224000006</v>
      </c>
      <c r="L25" s="7">
        <f>+[3]Resumen!L25*1000</f>
        <v>100561.404494</v>
      </c>
      <c r="M25" s="7">
        <f>+[3]Resumen!M25*1000</f>
        <v>106304.22986599999</v>
      </c>
      <c r="N25" s="7">
        <f>+[3]Resumen!N25*1000</f>
        <v>128941.50176499999</v>
      </c>
      <c r="O25" s="7">
        <f>+[3]Resumen!O25*1000</f>
        <v>148232.41625800001</v>
      </c>
      <c r="P25" s="7">
        <f>+[3]Resumen!P25*1000</f>
        <v>163473.34999799999</v>
      </c>
      <c r="Q25" s="7">
        <f>+[3]Resumen!Q25*1000</f>
        <v>179243.02630200001</v>
      </c>
      <c r="R25" s="7">
        <f>+[3]Resumen!R25*1000</f>
        <v>186934.99185200001</v>
      </c>
      <c r="S25" s="7">
        <f>+[3]Resumen!S25*1000</f>
        <v>186191.14860800002</v>
      </c>
      <c r="T25" s="7">
        <f>+[3]Resumen!T25*1000</f>
        <v>178961.24138799999</v>
      </c>
      <c r="U25" s="7">
        <f>+[3]Resumen!U25*1000</f>
        <v>177439.86889400001</v>
      </c>
      <c r="V25" s="7">
        <f>+[3]Resumen!V25*1000</f>
        <v>173985.405635</v>
      </c>
      <c r="W25" s="7">
        <f>+[3]Resumen!W25*1000</f>
        <v>172356.30140900001</v>
      </c>
      <c r="X25" s="7">
        <f>+[3]Resumen!X25*1000</f>
        <v>192105.99406000003</v>
      </c>
      <c r="Y25" s="7">
        <f>+[3]Resumen!Y25*1000</f>
        <v>203579.23834700003</v>
      </c>
      <c r="Z25" s="7">
        <f>+[3]Resumen!Z25*1000</f>
        <v>192138.130676</v>
      </c>
      <c r="AA25" s="7">
        <f>+[3]Resumen!AA25*1000</f>
        <v>171012.18668899999</v>
      </c>
      <c r="AB25" s="7">
        <f>+[3]Resumen!AB25*1000</f>
        <v>141245.01124700002</v>
      </c>
      <c r="AC25" s="7">
        <f>+[3]Resumen!AC25*1000</f>
        <v>110010.068426</v>
      </c>
      <c r="AD25" s="65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+[3]Resumen!F26*1000</f>
        <v>109070.578794</v>
      </c>
      <c r="G26" s="7">
        <f>+[3]Resumen!G26*1000</f>
        <v>94748.433323999998</v>
      </c>
      <c r="H26" s="7">
        <f>+[3]Resumen!H26*1000</f>
        <v>86312.753016000002</v>
      </c>
      <c r="I26" s="7">
        <f>+[3]Resumen!I26*1000</f>
        <v>83659.792982999992</v>
      </c>
      <c r="J26" s="7">
        <f>+[3]Resumen!J26*1000</f>
        <v>90902.442991000004</v>
      </c>
      <c r="K26" s="7">
        <f>+[3]Resumen!K26*1000</f>
        <v>102165.64667900001</v>
      </c>
      <c r="L26" s="7">
        <f>+[3]Resumen!L26*1000</f>
        <v>115415.882578</v>
      </c>
      <c r="M26" s="7">
        <f>+[3]Resumen!M26*1000</f>
        <v>121985.454896</v>
      </c>
      <c r="N26" s="7">
        <f>+[3]Resumen!N26*1000</f>
        <v>143511.64411000002</v>
      </c>
      <c r="O26" s="7">
        <f>+[3]Resumen!O26*1000</f>
        <v>160663.58036000002</v>
      </c>
      <c r="P26" s="7">
        <f>+[3]Resumen!P26*1000</f>
        <v>180420.90281200001</v>
      </c>
      <c r="Q26" s="7">
        <f>+[3]Resumen!Q26*1000</f>
        <v>196212.82608900001</v>
      </c>
      <c r="R26" s="7">
        <f>+[3]Resumen!R26*1000</f>
        <v>209488.88389500004</v>
      </c>
      <c r="S26" s="7">
        <f>+[3]Resumen!S26*1000</f>
        <v>204653.47578199999</v>
      </c>
      <c r="T26" s="7">
        <f>+[3]Resumen!T26*1000</f>
        <v>195941.13866299999</v>
      </c>
      <c r="U26" s="7">
        <f>+[3]Resumen!U26*1000</f>
        <v>186877.27518500001</v>
      </c>
      <c r="V26" s="7">
        <f>+[3]Resumen!V26*1000</f>
        <v>184734.81270400001</v>
      </c>
      <c r="W26" s="7">
        <f>+[3]Resumen!W26*1000</f>
        <v>187910.08344300001</v>
      </c>
      <c r="X26" s="7">
        <f>+[3]Resumen!X26*1000</f>
        <v>206074.59518500001</v>
      </c>
      <c r="Y26" s="7">
        <f>+[3]Resumen!Y26*1000</f>
        <v>212428.33369700002</v>
      </c>
      <c r="Z26" s="7">
        <f>+[3]Resumen!Z26*1000</f>
        <v>196085.52669500001</v>
      </c>
      <c r="AA26" s="7">
        <f>+[3]Resumen!AA26*1000</f>
        <v>171676.53111000001</v>
      </c>
      <c r="AB26" s="7">
        <f>+[3]Resumen!AB26*1000</f>
        <v>140804.98070800002</v>
      </c>
      <c r="AC26" s="7">
        <f>+[3]Resumen!AC26*1000</f>
        <v>109535.573407</v>
      </c>
      <c r="AD26" s="66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19</v>
      </c>
      <c r="F27" s="7">
        <f>+[3]Resumen!F27*1000</f>
        <v>107622.52645800001</v>
      </c>
      <c r="G27" s="7">
        <f>+[3]Resumen!G27*1000</f>
        <v>94557.665625000009</v>
      </c>
      <c r="H27" s="7">
        <f>+[3]Resumen!H27*1000</f>
        <v>87936.528852000003</v>
      </c>
      <c r="I27" s="7">
        <f>+[3]Resumen!I27*1000</f>
        <v>87928.207494000002</v>
      </c>
      <c r="J27" s="7">
        <f>+[3]Resumen!J27*1000</f>
        <v>101432.679397</v>
      </c>
      <c r="K27" s="7">
        <f>+[3]Resumen!K27*1000</f>
        <v>129441.33497900001</v>
      </c>
      <c r="L27" s="7">
        <f>+[3]Resumen!L27*1000</f>
        <v>161253.954635</v>
      </c>
      <c r="M27" s="7">
        <f>+[3]Resumen!M27*1000</f>
        <v>171147.165011</v>
      </c>
      <c r="N27" s="7">
        <f>+[3]Resumen!N27*1000</f>
        <v>190488.26084500001</v>
      </c>
      <c r="O27" s="7">
        <f>+[3]Resumen!O27*1000</f>
        <v>203117.86023700002</v>
      </c>
      <c r="P27" s="7">
        <f>+[3]Resumen!P27*1000</f>
        <v>220446.04526800002</v>
      </c>
      <c r="Q27" s="7">
        <f>+[3]Resumen!Q27*1000</f>
        <v>236373.03000499998</v>
      </c>
      <c r="R27" s="7">
        <f>+[3]Resumen!R27*1000</f>
        <v>240059.34247200002</v>
      </c>
      <c r="S27" s="7">
        <f>+[3]Resumen!S27*1000</f>
        <v>236038.28996400003</v>
      </c>
      <c r="T27" s="7">
        <f>+[3]Resumen!T27*1000</f>
        <v>238173.57612400004</v>
      </c>
      <c r="U27" s="7">
        <f>+[3]Resumen!U27*1000</f>
        <v>238456.99356600002</v>
      </c>
      <c r="V27" s="7">
        <f>+[3]Resumen!V27*1000</f>
        <v>231520.31407200004</v>
      </c>
      <c r="W27" s="7">
        <f>+[3]Resumen!W27*1000</f>
        <v>217720.10140800002</v>
      </c>
      <c r="X27" s="7">
        <f>+[3]Resumen!X27*1000</f>
        <v>226146.41357500001</v>
      </c>
      <c r="Y27" s="7">
        <f>+[3]Resumen!Y27*1000</f>
        <v>234524.955403</v>
      </c>
      <c r="Z27" s="7">
        <f>+[3]Resumen!Z27*1000</f>
        <v>216194.10341800001</v>
      </c>
      <c r="AA27" s="7">
        <f>+[3]Resumen!AA27*1000</f>
        <v>188477.26977400001</v>
      </c>
      <c r="AB27" s="7">
        <f>+[3]Resumen!AB27*1000</f>
        <v>151163.10633799998</v>
      </c>
      <c r="AC27" s="7">
        <f>+[3]Resumen!AC27*1000</f>
        <v>121045.38707700001</v>
      </c>
      <c r="AD27" s="64">
        <f t="shared" ref="AD27" si="4">SUM(F27:AC27)*E27+SUM(F28:AC28)*E28+SUM(F29:AC29)*E29+SUM(F30:AC30)*E30</f>
        <v>122359069.313492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5</v>
      </c>
      <c r="F28" s="7">
        <f>+[3]Resumen!F28*1000</f>
        <v>113336.53317600001</v>
      </c>
      <c r="G28" s="7">
        <f>+[3]Resumen!G28*1000</f>
        <v>98621.330136999997</v>
      </c>
      <c r="H28" s="7">
        <f>+[3]Resumen!H28*1000</f>
        <v>89492.849538000009</v>
      </c>
      <c r="I28" s="7">
        <f>+[3]Resumen!I28*1000</f>
        <v>87109.313309999998</v>
      </c>
      <c r="J28" s="7">
        <f>+[3]Resumen!J28*1000</f>
        <v>94631.907858999999</v>
      </c>
      <c r="K28" s="7">
        <f>+[3]Resumen!K28*1000</f>
        <v>107634.69105900002</v>
      </c>
      <c r="L28" s="7">
        <f>+[3]Resumen!L28*1000</f>
        <v>132844.37360600001</v>
      </c>
      <c r="M28" s="7">
        <f>+[3]Resumen!M28*1000</f>
        <v>147029.17509999999</v>
      </c>
      <c r="N28" s="7">
        <f>+[3]Resumen!N28*1000</f>
        <v>172054.858137</v>
      </c>
      <c r="O28" s="7">
        <f>+[3]Resumen!O28*1000</f>
        <v>188830.164131</v>
      </c>
      <c r="P28" s="7">
        <f>+[3]Resumen!P28*1000</f>
        <v>205088.74856000001</v>
      </c>
      <c r="Q28" s="7">
        <f>+[3]Resumen!Q28*1000</f>
        <v>216418.82165299999</v>
      </c>
      <c r="R28" s="7">
        <f>+[3]Resumen!R28*1000</f>
        <v>217918.336411</v>
      </c>
      <c r="S28" s="7">
        <f>+[3]Resumen!S28*1000</f>
        <v>210812.501319</v>
      </c>
      <c r="T28" s="7">
        <f>+[3]Resumen!T28*1000</f>
        <v>204885.26830499998</v>
      </c>
      <c r="U28" s="7">
        <f>+[3]Resumen!U28*1000</f>
        <v>203096.202788</v>
      </c>
      <c r="V28" s="7">
        <f>+[3]Resumen!V28*1000</f>
        <v>198571.526729</v>
      </c>
      <c r="W28" s="7">
        <f>+[3]Resumen!W28*1000</f>
        <v>193902.05072699999</v>
      </c>
      <c r="X28" s="7">
        <f>+[3]Resumen!X28*1000</f>
        <v>205034.99984300003</v>
      </c>
      <c r="Y28" s="7">
        <f>+[3]Resumen!Y28*1000</f>
        <v>214840.590325</v>
      </c>
      <c r="Z28" s="7">
        <f>+[3]Resumen!Z28*1000</f>
        <v>199242.68090800001</v>
      </c>
      <c r="AA28" s="7">
        <f>+[3]Resumen!AA28*1000</f>
        <v>176626.94553</v>
      </c>
      <c r="AB28" s="7">
        <f>+[3]Resumen!AB28*1000</f>
        <v>150659.581041</v>
      </c>
      <c r="AC28" s="7">
        <f>+[3]Resumen!AC28*1000</f>
        <v>124206.38453300002</v>
      </c>
      <c r="AD28" s="65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+[3]Resumen!F29*1000</f>
        <v>115837.267531</v>
      </c>
      <c r="G29" s="7">
        <f>+[3]Resumen!G29*1000</f>
        <v>101063.84899700001</v>
      </c>
      <c r="H29" s="7">
        <f>+[3]Resumen!H29*1000</f>
        <v>90946.460783000002</v>
      </c>
      <c r="I29" s="7">
        <f>+[3]Resumen!I29*1000</f>
        <v>86646.612550000005</v>
      </c>
      <c r="J29" s="7">
        <f>+[3]Resumen!J29*1000</f>
        <v>87789.98679000001</v>
      </c>
      <c r="K29" s="7">
        <f>+[3]Resumen!K29*1000</f>
        <v>91037.935257000005</v>
      </c>
      <c r="L29" s="7">
        <f>+[3]Resumen!L29*1000</f>
        <v>100858.717319</v>
      </c>
      <c r="M29" s="7">
        <f>+[3]Resumen!M29*1000</f>
        <v>104457.988079</v>
      </c>
      <c r="N29" s="7">
        <f>+[3]Resumen!N29*1000</f>
        <v>123995.474764</v>
      </c>
      <c r="O29" s="7">
        <f>+[3]Resumen!O29*1000</f>
        <v>140945.072017</v>
      </c>
      <c r="P29" s="7">
        <f>+[3]Resumen!P29*1000</f>
        <v>153195.84933300002</v>
      </c>
      <c r="Q29" s="7">
        <f>+[3]Resumen!Q29*1000</f>
        <v>168113.64456200003</v>
      </c>
      <c r="R29" s="7">
        <f>+[3]Resumen!R29*1000</f>
        <v>177604.916719</v>
      </c>
      <c r="S29" s="7">
        <f>+[3]Resumen!S29*1000</f>
        <v>178870.52649300001</v>
      </c>
      <c r="T29" s="7">
        <f>+[3]Resumen!T29*1000</f>
        <v>174711.53670600001</v>
      </c>
      <c r="U29" s="7">
        <f>+[3]Resumen!U29*1000</f>
        <v>172460.56023999999</v>
      </c>
      <c r="V29" s="7">
        <f>+[3]Resumen!V29*1000</f>
        <v>168857.64652400001</v>
      </c>
      <c r="W29" s="7">
        <f>+[3]Resumen!W29*1000</f>
        <v>164985.259876</v>
      </c>
      <c r="X29" s="7">
        <f>+[3]Resumen!X29*1000</f>
        <v>178992.758248</v>
      </c>
      <c r="Y29" s="7">
        <f>+[3]Resumen!Y29*1000</f>
        <v>192355.865319</v>
      </c>
      <c r="Z29" s="7">
        <f>+[3]Resumen!Z29*1000</f>
        <v>181938.51142200001</v>
      </c>
      <c r="AA29" s="7">
        <f>+[3]Resumen!AA29*1000</f>
        <v>164903.73550900002</v>
      </c>
      <c r="AB29" s="7">
        <f>+[3]Resumen!AB29*1000</f>
        <v>139537.87822899999</v>
      </c>
      <c r="AC29" s="7">
        <f>+[3]Resumen!AC29*1000</f>
        <v>112704.12508400001</v>
      </c>
      <c r="AD29" s="65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+[3]Resumen!F30*1000</f>
        <v>107299.599571</v>
      </c>
      <c r="G30" s="7">
        <f>+[3]Resumen!G30*1000</f>
        <v>93091.009271999996</v>
      </c>
      <c r="H30" s="7">
        <f>+[3]Resumen!H30*1000</f>
        <v>84314.062590000001</v>
      </c>
      <c r="I30" s="7">
        <f>+[3]Resumen!I30*1000</f>
        <v>80834.809091000003</v>
      </c>
      <c r="J30" s="7">
        <f>+[3]Resumen!J30*1000</f>
        <v>83425.978694999998</v>
      </c>
      <c r="K30" s="7">
        <f>+[3]Resumen!K30*1000</f>
        <v>88736.206821</v>
      </c>
      <c r="L30" s="7">
        <f>+[3]Resumen!L30*1000</f>
        <v>98293.947809000005</v>
      </c>
      <c r="M30" s="7">
        <f>+[3]Resumen!M30*1000</f>
        <v>101271.48615200001</v>
      </c>
      <c r="N30" s="7">
        <f>+[3]Resumen!N30*1000</f>
        <v>121021.534029</v>
      </c>
      <c r="O30" s="7">
        <f>+[3]Resumen!O30*1000</f>
        <v>139000.137866</v>
      </c>
      <c r="P30" s="7">
        <f>+[3]Resumen!P30*1000</f>
        <v>157424.33115100002</v>
      </c>
      <c r="Q30" s="7">
        <f>+[3]Resumen!Q30*1000</f>
        <v>176373.06475200001</v>
      </c>
      <c r="R30" s="7">
        <f>+[3]Resumen!R30*1000</f>
        <v>187113.78390000001</v>
      </c>
      <c r="S30" s="7">
        <f>+[3]Resumen!S30*1000</f>
        <v>185185.84391200001</v>
      </c>
      <c r="T30" s="7">
        <f>+[3]Resumen!T30*1000</f>
        <v>177976.97438500001</v>
      </c>
      <c r="U30" s="7">
        <f>+[3]Resumen!U30*1000</f>
        <v>174743.28408500002</v>
      </c>
      <c r="V30" s="7">
        <f>+[3]Resumen!V30*1000</f>
        <v>171686.23558200002</v>
      </c>
      <c r="W30" s="7">
        <f>+[3]Resumen!W30*1000</f>
        <v>169314.75814300001</v>
      </c>
      <c r="X30" s="7">
        <f>+[3]Resumen!X30*1000</f>
        <v>185934.55072900001</v>
      </c>
      <c r="Y30" s="7">
        <f>+[3]Resumen!Y30*1000</f>
        <v>205618.57569700002</v>
      </c>
      <c r="Z30" s="7">
        <f>+[3]Resumen!Z30*1000</f>
        <v>193075.326455</v>
      </c>
      <c r="AA30" s="7">
        <f>+[3]Resumen!AA30*1000</f>
        <v>171879.036383</v>
      </c>
      <c r="AB30" s="7">
        <f>+[3]Resumen!AB30*1000</f>
        <v>141056.29176600001</v>
      </c>
      <c r="AC30" s="7">
        <f>+[3]Resumen!AC30*1000</f>
        <v>109996.32042400001</v>
      </c>
      <c r="AD30" s="66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20</v>
      </c>
      <c r="F31" s="7">
        <f>+[3]Resumen!F31*1000</f>
        <v>118731.766128</v>
      </c>
      <c r="G31" s="7">
        <f>+[3]Resumen!G31*1000</f>
        <v>104986.91581399999</v>
      </c>
      <c r="H31" s="7">
        <f>+[3]Resumen!H31*1000</f>
        <v>97466.924996000002</v>
      </c>
      <c r="I31" s="7">
        <f>+[3]Resumen!I31*1000</f>
        <v>96990.608499000009</v>
      </c>
      <c r="J31" s="7">
        <f>+[3]Resumen!J31*1000</f>
        <v>110870.60341100002</v>
      </c>
      <c r="K31" s="7">
        <f>+[3]Resumen!K31*1000</f>
        <v>142968.43931299998</v>
      </c>
      <c r="L31" s="7">
        <f>+[3]Resumen!L31*1000</f>
        <v>174589.55058600003</v>
      </c>
      <c r="M31" s="7">
        <f>+[3]Resumen!M31*1000</f>
        <v>181608.77099799999</v>
      </c>
      <c r="N31" s="7">
        <f>+[3]Resumen!N31*1000</f>
        <v>200927.98264300002</v>
      </c>
      <c r="O31" s="7">
        <f>+[3]Resumen!O31*1000</f>
        <v>213351.65676700001</v>
      </c>
      <c r="P31" s="7">
        <f>+[3]Resumen!P31*1000</f>
        <v>231490.67915400001</v>
      </c>
      <c r="Q31" s="7">
        <f>+[3]Resumen!Q31*1000</f>
        <v>247310.84667700002</v>
      </c>
      <c r="R31" s="7">
        <f>+[3]Resumen!R31*1000</f>
        <v>250405.63983199999</v>
      </c>
      <c r="S31" s="7">
        <f>+[3]Resumen!S31*1000</f>
        <v>247316.81749700004</v>
      </c>
      <c r="T31" s="7">
        <f>+[3]Resumen!T31*1000</f>
        <v>251397.27210600002</v>
      </c>
      <c r="U31" s="7">
        <f>+[3]Resumen!U31*1000</f>
        <v>252335.51466800002</v>
      </c>
      <c r="V31" s="7">
        <f>+[3]Resumen!V31*1000</f>
        <v>244702.80383799999</v>
      </c>
      <c r="W31" s="7">
        <f>+[3]Resumen!W31*1000</f>
        <v>228165.13270099999</v>
      </c>
      <c r="X31" s="7">
        <f>+[3]Resumen!X31*1000</f>
        <v>235592.435986</v>
      </c>
      <c r="Y31" s="7">
        <f>+[3]Resumen!Y31*1000</f>
        <v>251021.760434</v>
      </c>
      <c r="Z31" s="7">
        <f>+[3]Resumen!Z31*1000</f>
        <v>233838.88928999999</v>
      </c>
      <c r="AA31" s="7">
        <f>+[3]Resumen!AA31*1000</f>
        <v>205635.78904199999</v>
      </c>
      <c r="AB31" s="7">
        <f>+[3]Resumen!AB31*1000</f>
        <v>165988.18758100001</v>
      </c>
      <c r="AC31" s="7">
        <f>+[3]Resumen!AC31*1000</f>
        <v>133563.22254399999</v>
      </c>
      <c r="AD31" s="64">
        <f t="shared" ref="AD31" si="5">SUM(F31:AC31)*E31+SUM(F32:AC32)*E32+SUM(F33:AC33)*E33+SUM(F34:AC34)*E34</f>
        <v>133667530.751414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4</v>
      </c>
      <c r="F32" s="7">
        <f>+[3]Resumen!F32*1000</f>
        <v>122873.75419399999</v>
      </c>
      <c r="G32" s="7">
        <f>+[3]Resumen!G32*1000</f>
        <v>107923.20259299999</v>
      </c>
      <c r="H32" s="7">
        <f>+[3]Resumen!H32*1000</f>
        <v>99034.926571000004</v>
      </c>
      <c r="I32" s="7">
        <f>+[3]Resumen!I32*1000</f>
        <v>95812.418332000001</v>
      </c>
      <c r="J32" s="7">
        <f>+[3]Resumen!J32*1000</f>
        <v>103148.768645</v>
      </c>
      <c r="K32" s="7">
        <f>+[3]Resumen!K32*1000</f>
        <v>117077.712944</v>
      </c>
      <c r="L32" s="7">
        <f>+[3]Resumen!L32*1000</f>
        <v>141894.25478400002</v>
      </c>
      <c r="M32" s="7">
        <f>+[3]Resumen!M32*1000</f>
        <v>156220.24349699999</v>
      </c>
      <c r="N32" s="7">
        <f>+[3]Resumen!N32*1000</f>
        <v>181771.58543400001</v>
      </c>
      <c r="O32" s="7">
        <f>+[3]Resumen!O32*1000</f>
        <v>199208.480958</v>
      </c>
      <c r="P32" s="7">
        <f>+[3]Resumen!P32*1000</f>
        <v>215835.18155600003</v>
      </c>
      <c r="Q32" s="7">
        <f>+[3]Resumen!Q32*1000</f>
        <v>228725.437473</v>
      </c>
      <c r="R32" s="7">
        <f>+[3]Resumen!R32*1000</f>
        <v>229193.99190400002</v>
      </c>
      <c r="S32" s="7">
        <f>+[3]Resumen!S32*1000</f>
        <v>220120.28413100002</v>
      </c>
      <c r="T32" s="7">
        <f>+[3]Resumen!T32*1000</f>
        <v>211853.72918900003</v>
      </c>
      <c r="U32" s="7">
        <f>+[3]Resumen!U32*1000</f>
        <v>209548.61476900001</v>
      </c>
      <c r="V32" s="7">
        <f>+[3]Resumen!V32*1000</f>
        <v>207911.10226800002</v>
      </c>
      <c r="W32" s="7">
        <f>+[3]Resumen!W32*1000</f>
        <v>203157.131605</v>
      </c>
      <c r="X32" s="7">
        <f>+[3]Resumen!X32*1000</f>
        <v>214883.519765</v>
      </c>
      <c r="Y32" s="7">
        <f>+[3]Resumen!Y32*1000</f>
        <v>224971.17858599999</v>
      </c>
      <c r="Z32" s="7">
        <f>+[3]Resumen!Z32*1000</f>
        <v>207912.58741499999</v>
      </c>
      <c r="AA32" s="7">
        <f>+[3]Resumen!AA32*1000</f>
        <v>183115.851314</v>
      </c>
      <c r="AB32" s="7">
        <f>+[3]Resumen!AB32*1000</f>
        <v>155614.84013900001</v>
      </c>
      <c r="AC32" s="7">
        <f>+[3]Resumen!AC32*1000</f>
        <v>128435.51633900001</v>
      </c>
      <c r="AD32" s="65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5</v>
      </c>
      <c r="F33" s="7">
        <f>+[3]Resumen!F33*1000</f>
        <v>114461.541476</v>
      </c>
      <c r="G33" s="7">
        <f>+[3]Resumen!G33*1000</f>
        <v>98926.722464000006</v>
      </c>
      <c r="H33" s="7">
        <f>+[3]Resumen!H33*1000</f>
        <v>88785.462306999994</v>
      </c>
      <c r="I33" s="7">
        <f>+[3]Resumen!I33*1000</f>
        <v>83629.107503000007</v>
      </c>
      <c r="J33" s="7">
        <f>+[3]Resumen!J33*1000</f>
        <v>85515.758136999997</v>
      </c>
      <c r="K33" s="7">
        <f>+[3]Resumen!K33*1000</f>
        <v>89537.838533000002</v>
      </c>
      <c r="L33" s="7">
        <f>+[3]Resumen!L33*1000</f>
        <v>101297.65950600001</v>
      </c>
      <c r="M33" s="7">
        <f>+[3]Resumen!M33*1000</f>
        <v>105370.66192700001</v>
      </c>
      <c r="N33" s="7">
        <f>+[3]Resumen!N33*1000</f>
        <v>125621.53311599999</v>
      </c>
      <c r="O33" s="7">
        <f>+[3]Resumen!O33*1000</f>
        <v>143647.36311599999</v>
      </c>
      <c r="P33" s="7">
        <f>+[3]Resumen!P33*1000</f>
        <v>157401.91790200002</v>
      </c>
      <c r="Q33" s="7">
        <f>+[3]Resumen!Q33*1000</f>
        <v>173616.533666</v>
      </c>
      <c r="R33" s="7">
        <f>+[3]Resumen!R33*1000</f>
        <v>183705.97995400001</v>
      </c>
      <c r="S33" s="7">
        <f>+[3]Resumen!S33*1000</f>
        <v>184209.84536100001</v>
      </c>
      <c r="T33" s="7">
        <f>+[3]Resumen!T33*1000</f>
        <v>179239.016783</v>
      </c>
      <c r="U33" s="7">
        <f>+[3]Resumen!U33*1000</f>
        <v>176680.60355100001</v>
      </c>
      <c r="V33" s="7">
        <f>+[3]Resumen!V33*1000</f>
        <v>173690.32997800002</v>
      </c>
      <c r="W33" s="7">
        <f>+[3]Resumen!W33*1000</f>
        <v>170335.295988</v>
      </c>
      <c r="X33" s="7">
        <f>+[3]Resumen!X33*1000</f>
        <v>186267.42394400001</v>
      </c>
      <c r="Y33" s="7">
        <f>+[3]Resumen!Y33*1000</f>
        <v>205386.25411400001</v>
      </c>
      <c r="Z33" s="7">
        <f>+[3]Resumen!Z33*1000</f>
        <v>193262.76863400001</v>
      </c>
      <c r="AA33" s="7">
        <f>+[3]Resumen!AA33*1000</f>
        <v>170457.27832900002</v>
      </c>
      <c r="AB33" s="7">
        <f>+[3]Resumen!AB33*1000</f>
        <v>138917.230385</v>
      </c>
      <c r="AC33" s="7">
        <f>+[3]Resumen!AC33*1000</f>
        <v>110002.669144</v>
      </c>
      <c r="AD33" s="65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+[3]Resumen!F34*1000</f>
        <v>131393.29051200001</v>
      </c>
      <c r="G34" s="7">
        <f>+[3]Resumen!G34*1000</f>
        <v>114445.94554299999</v>
      </c>
      <c r="H34" s="7">
        <f>+[3]Resumen!H34*1000</f>
        <v>103569.26553300001</v>
      </c>
      <c r="I34" s="7">
        <f>+[3]Resumen!I34*1000</f>
        <v>98094.359924000004</v>
      </c>
      <c r="J34" s="7">
        <f>+[3]Resumen!J34*1000</f>
        <v>97833.922581000006</v>
      </c>
      <c r="K34" s="7">
        <f>+[3]Resumen!K34*1000</f>
        <v>98684.601934000006</v>
      </c>
      <c r="L34" s="7">
        <f>+[3]Resumen!L34*1000</f>
        <v>109586.99048100002</v>
      </c>
      <c r="M34" s="7">
        <f>+[3]Resumen!M34*1000</f>
        <v>113951.981116</v>
      </c>
      <c r="N34" s="7">
        <f>+[3]Resumen!N34*1000</f>
        <v>133695.90323400003</v>
      </c>
      <c r="O34" s="7">
        <f>+[3]Resumen!O34*1000</f>
        <v>149960.5454</v>
      </c>
      <c r="P34" s="7">
        <f>+[3]Resumen!P34*1000</f>
        <v>163204.243629</v>
      </c>
      <c r="Q34" s="7">
        <f>+[3]Resumen!Q34*1000</f>
        <v>180033.67246100001</v>
      </c>
      <c r="R34" s="7">
        <f>+[3]Resumen!R34*1000</f>
        <v>187283.13222699999</v>
      </c>
      <c r="S34" s="7">
        <f>+[3]Resumen!S34*1000</f>
        <v>189043.00119000001</v>
      </c>
      <c r="T34" s="7">
        <f>+[3]Resumen!T34*1000</f>
        <v>186442.13089299999</v>
      </c>
      <c r="U34" s="7">
        <f>+[3]Resumen!U34*1000</f>
        <v>184844.07871</v>
      </c>
      <c r="V34" s="7">
        <f>+[3]Resumen!V34*1000</f>
        <v>181979.38886499999</v>
      </c>
      <c r="W34" s="7">
        <f>+[3]Resumen!W34*1000</f>
        <v>179155.772971</v>
      </c>
      <c r="X34" s="7">
        <f>+[3]Resumen!X34*1000</f>
        <v>194051.77848600002</v>
      </c>
      <c r="Y34" s="7">
        <f>+[3]Resumen!Y34*1000</f>
        <v>211923.24767300001</v>
      </c>
      <c r="Z34" s="7">
        <f>+[3]Resumen!Z34*1000</f>
        <v>204725.17097000004</v>
      </c>
      <c r="AA34" s="7">
        <f>+[3]Resumen!AA34*1000</f>
        <v>188658.51817200001</v>
      </c>
      <c r="AB34" s="7">
        <f>+[3]Resumen!AB34*1000</f>
        <v>158432.06952300001</v>
      </c>
      <c r="AC34" s="7">
        <f>+[3]Resumen!AC34*1000</f>
        <v>127784.640274</v>
      </c>
      <c r="AD34" s="66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+[3]Resumen!F35*1000</f>
        <v>116073.25474400001</v>
      </c>
      <c r="G35" s="7">
        <f>+[3]Resumen!G35*1000</f>
        <v>102321.01648500001</v>
      </c>
      <c r="H35" s="7">
        <f>+[3]Resumen!H35*1000</f>
        <v>94908.984139000007</v>
      </c>
      <c r="I35" s="7">
        <f>+[3]Resumen!I35*1000</f>
        <v>94518.624776000011</v>
      </c>
      <c r="J35" s="7">
        <f>+[3]Resumen!J35*1000</f>
        <v>109966.36051200001</v>
      </c>
      <c r="K35" s="7">
        <f>+[3]Resumen!K35*1000</f>
        <v>145208.94039100001</v>
      </c>
      <c r="L35" s="7">
        <f>+[3]Resumen!L35*1000</f>
        <v>178018.56228000001</v>
      </c>
      <c r="M35" s="7">
        <f>+[3]Resumen!M35*1000</f>
        <v>182493.43489800001</v>
      </c>
      <c r="N35" s="7">
        <f>+[3]Resumen!N35*1000</f>
        <v>200491.281403</v>
      </c>
      <c r="O35" s="7">
        <f>+[3]Resumen!O35*1000</f>
        <v>211940.67264199999</v>
      </c>
      <c r="P35" s="7">
        <f>+[3]Resumen!P35*1000</f>
        <v>229907.304607</v>
      </c>
      <c r="Q35" s="7">
        <f>+[3]Resumen!Q35*1000</f>
        <v>245734.64089300003</v>
      </c>
      <c r="R35" s="7">
        <f>+[3]Resumen!R35*1000</f>
        <v>248260.91750899999</v>
      </c>
      <c r="S35" s="7">
        <f>+[3]Resumen!S35*1000</f>
        <v>244096.07782999999</v>
      </c>
      <c r="T35" s="7">
        <f>+[3]Resumen!T35*1000</f>
        <v>247859.13045</v>
      </c>
      <c r="U35" s="7">
        <f>+[3]Resumen!U35*1000</f>
        <v>248107.47877200003</v>
      </c>
      <c r="V35" s="7">
        <f>+[3]Resumen!V35*1000</f>
        <v>241145.79363500001</v>
      </c>
      <c r="W35" s="7">
        <f>+[3]Resumen!W35*1000</f>
        <v>227458.38412100001</v>
      </c>
      <c r="X35" s="7">
        <f>+[3]Resumen!X35*1000</f>
        <v>240719.07651300001</v>
      </c>
      <c r="Y35" s="7">
        <f>+[3]Resumen!Y35*1000</f>
        <v>251644.14661800003</v>
      </c>
      <c r="Z35" s="7">
        <f>+[3]Resumen!Z35*1000</f>
        <v>233700.89154700004</v>
      </c>
      <c r="AA35" s="7">
        <f>+[3]Resumen!AA35*1000</f>
        <v>203275.950923</v>
      </c>
      <c r="AB35" s="7">
        <f>+[3]Resumen!AB35*1000</f>
        <v>163867.435455</v>
      </c>
      <c r="AC35" s="7">
        <f>+[3]Resumen!AC35*1000</f>
        <v>131482.17259199999</v>
      </c>
      <c r="AD35" s="64">
        <f t="shared" ref="AD35" si="6">SUM(F35:AC35)*E35+SUM(F36:AC36)*E36+SUM(F37:AC37)*E37+SUM(F38:AC38)*E38</f>
        <v>133909879.49144503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4</v>
      </c>
      <c r="F36" s="7">
        <f>+[3]Resumen!F36*1000</f>
        <v>120528.49545700001</v>
      </c>
      <c r="G36" s="7">
        <f>+[3]Resumen!G36*1000</f>
        <v>106056.50507900001</v>
      </c>
      <c r="H36" s="7">
        <f>+[3]Resumen!H36*1000</f>
        <v>97368.920410000006</v>
      </c>
      <c r="I36" s="7">
        <f>+[3]Resumen!I36*1000</f>
        <v>94490.762208999993</v>
      </c>
      <c r="J36" s="7">
        <f>+[3]Resumen!J36*1000</f>
        <v>102461.40633500001</v>
      </c>
      <c r="K36" s="7">
        <f>+[3]Resumen!K36*1000</f>
        <v>115720.538</v>
      </c>
      <c r="L36" s="7">
        <f>+[3]Resumen!L36*1000</f>
        <v>140701.90470400002</v>
      </c>
      <c r="M36" s="7">
        <f>+[3]Resumen!M36*1000</f>
        <v>155389.00709900001</v>
      </c>
      <c r="N36" s="7">
        <f>+[3]Resumen!N36*1000</f>
        <v>180776.80903200002</v>
      </c>
      <c r="O36" s="7">
        <f>+[3]Resumen!O36*1000</f>
        <v>195375.81915800003</v>
      </c>
      <c r="P36" s="7">
        <f>+[3]Resumen!P36*1000</f>
        <v>209392.70834500002</v>
      </c>
      <c r="Q36" s="7">
        <f>+[3]Resumen!Q36*1000</f>
        <v>219374.60051400002</v>
      </c>
      <c r="R36" s="7">
        <f>+[3]Resumen!R36*1000</f>
        <v>221074.897321</v>
      </c>
      <c r="S36" s="7">
        <f>+[3]Resumen!S36*1000</f>
        <v>214924.04576099999</v>
      </c>
      <c r="T36" s="7">
        <f>+[3]Resumen!T36*1000</f>
        <v>208469.05650200002</v>
      </c>
      <c r="U36" s="7">
        <f>+[3]Resumen!U36*1000</f>
        <v>205636.42391400001</v>
      </c>
      <c r="V36" s="7">
        <f>+[3]Resumen!V36*1000</f>
        <v>202580.607365</v>
      </c>
      <c r="W36" s="7">
        <f>+[3]Resumen!W36*1000</f>
        <v>199278.73634700003</v>
      </c>
      <c r="X36" s="7">
        <f>+[3]Resumen!X36*1000</f>
        <v>214359.87129300003</v>
      </c>
      <c r="Y36" s="7">
        <f>+[3]Resumen!Y36*1000</f>
        <v>221743.198355</v>
      </c>
      <c r="Z36" s="7">
        <f>+[3]Resumen!Z36*1000</f>
        <v>203918.853298</v>
      </c>
      <c r="AA36" s="7">
        <f>+[3]Resumen!AA36*1000</f>
        <v>179146.25367000001</v>
      </c>
      <c r="AB36" s="7">
        <f>+[3]Resumen!AB36*1000</f>
        <v>151221.17067300002</v>
      </c>
      <c r="AC36" s="7">
        <f>+[3]Resumen!AC36*1000</f>
        <v>124909.98898500002</v>
      </c>
      <c r="AD36" s="65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+[3]Resumen!F37*1000</f>
        <v>115734.901979</v>
      </c>
      <c r="G37" s="7">
        <f>+[3]Resumen!G37*1000</f>
        <v>100854.38658500001</v>
      </c>
      <c r="H37" s="7">
        <f>+[3]Resumen!H37*1000</f>
        <v>90415.409249999997</v>
      </c>
      <c r="I37" s="7">
        <f>+[3]Resumen!I37*1000</f>
        <v>85888.477127999999</v>
      </c>
      <c r="J37" s="7">
        <f>+[3]Resumen!J37*1000</f>
        <v>87941.173243000012</v>
      </c>
      <c r="K37" s="7">
        <f>+[3]Resumen!K37*1000</f>
        <v>93807.039076000001</v>
      </c>
      <c r="L37" s="7">
        <f>+[3]Resumen!L37*1000</f>
        <v>102711.05463300001</v>
      </c>
      <c r="M37" s="7">
        <f>+[3]Resumen!M37*1000</f>
        <v>107141.289703</v>
      </c>
      <c r="N37" s="7">
        <f>+[3]Resumen!N37*1000</f>
        <v>126529.70239600001</v>
      </c>
      <c r="O37" s="7">
        <f>+[3]Resumen!O37*1000</f>
        <v>144205.57810099999</v>
      </c>
      <c r="P37" s="7">
        <f>+[3]Resumen!P37*1000</f>
        <v>158933.42945300002</v>
      </c>
      <c r="Q37" s="7">
        <f>+[3]Resumen!Q37*1000</f>
        <v>174548.786513</v>
      </c>
      <c r="R37" s="7">
        <f>+[3]Resumen!R37*1000</f>
        <v>184485.59143300002</v>
      </c>
      <c r="S37" s="7">
        <f>+[3]Resumen!S37*1000</f>
        <v>185795.65358400001</v>
      </c>
      <c r="T37" s="7">
        <f>+[3]Resumen!T37*1000</f>
        <v>179491.846999</v>
      </c>
      <c r="U37" s="7">
        <f>+[3]Resumen!U37*1000</f>
        <v>176489.52597400002</v>
      </c>
      <c r="V37" s="7">
        <f>+[3]Resumen!V37*1000</f>
        <v>172679.685555</v>
      </c>
      <c r="W37" s="7">
        <f>+[3]Resumen!W37*1000</f>
        <v>172438.28681399999</v>
      </c>
      <c r="X37" s="7">
        <f>+[3]Resumen!X37*1000</f>
        <v>193364.72227500001</v>
      </c>
      <c r="Y37" s="7">
        <f>+[3]Resumen!Y37*1000</f>
        <v>205971.09971200002</v>
      </c>
      <c r="Z37" s="7">
        <f>+[3]Resumen!Z37*1000</f>
        <v>193385.102422</v>
      </c>
      <c r="AA37" s="7">
        <f>+[3]Resumen!AA37*1000</f>
        <v>171485.96369800001</v>
      </c>
      <c r="AB37" s="7">
        <f>+[3]Resumen!AB37*1000</f>
        <v>141331.504999</v>
      </c>
      <c r="AC37" s="7">
        <f>+[3]Resumen!AC37*1000</f>
        <v>113127.45622200001</v>
      </c>
      <c r="AD37" s="65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+[3]Resumen!F38*1000</f>
        <v>110442.53340700001</v>
      </c>
      <c r="G38" s="7">
        <f>+[3]Resumen!G38*1000</f>
        <v>95176.015836999999</v>
      </c>
      <c r="H38" s="7">
        <f>+[3]Resumen!H38*1000</f>
        <v>85028.301147999999</v>
      </c>
      <c r="I38" s="7">
        <f>+[3]Resumen!I38*1000</f>
        <v>82702.549608999994</v>
      </c>
      <c r="J38" s="7">
        <f>+[3]Resumen!J38*1000</f>
        <v>85625.107281000004</v>
      </c>
      <c r="K38" s="7">
        <f>+[3]Resumen!K38*1000</f>
        <v>94525.767086000007</v>
      </c>
      <c r="L38" s="7">
        <f>+[3]Resumen!L38*1000</f>
        <v>107659.29234900001</v>
      </c>
      <c r="M38" s="7">
        <f>+[3]Resumen!M38*1000</f>
        <v>111151.39822700001</v>
      </c>
      <c r="N38" s="7">
        <f>+[3]Resumen!N38*1000</f>
        <v>133850.82711799999</v>
      </c>
      <c r="O38" s="7">
        <f>+[3]Resumen!O38*1000</f>
        <v>151685.62111000001</v>
      </c>
      <c r="P38" s="7">
        <f>+[3]Resumen!P38*1000</f>
        <v>169249.43434900002</v>
      </c>
      <c r="Q38" s="7">
        <f>+[3]Resumen!Q38*1000</f>
        <v>187282.98484600001</v>
      </c>
      <c r="R38" s="7">
        <f>+[3]Resumen!R38*1000</f>
        <v>197971.10787199999</v>
      </c>
      <c r="S38" s="7">
        <f>+[3]Resumen!S38*1000</f>
        <v>197017.96471299999</v>
      </c>
      <c r="T38" s="7">
        <f>+[3]Resumen!T38*1000</f>
        <v>190581.08442200001</v>
      </c>
      <c r="U38" s="7">
        <f>+[3]Resumen!U38*1000</f>
        <v>184344.68386000002</v>
      </c>
      <c r="V38" s="7">
        <f>+[3]Resumen!V38*1000</f>
        <v>182857.220333</v>
      </c>
      <c r="W38" s="7">
        <f>+[3]Resumen!W38*1000</f>
        <v>180483.53595800002</v>
      </c>
      <c r="X38" s="7">
        <f>+[3]Resumen!X38*1000</f>
        <v>199201.754338</v>
      </c>
      <c r="Y38" s="7">
        <f>+[3]Resumen!Y38*1000</f>
        <v>217034.57191299999</v>
      </c>
      <c r="Z38" s="7">
        <f>+[3]Resumen!Z38*1000</f>
        <v>202173.66197099999</v>
      </c>
      <c r="AA38" s="7">
        <f>+[3]Resumen!AA38*1000</f>
        <v>175817.098272</v>
      </c>
      <c r="AB38" s="7">
        <f>+[3]Resumen!AB38*1000</f>
        <v>143833.21055700001</v>
      </c>
      <c r="AC38" s="7">
        <f>+[3]Resumen!AC38*1000</f>
        <v>113321.919783</v>
      </c>
      <c r="AD38" s="66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20</v>
      </c>
      <c r="F39" s="7">
        <f>+[3]Resumen!F39*1000</f>
        <v>115541.21311299999</v>
      </c>
      <c r="G39" s="7">
        <f>+[3]Resumen!G39*1000</f>
        <v>102548.98843899999</v>
      </c>
      <c r="H39" s="7">
        <f>+[3]Resumen!H39*1000</f>
        <v>95858.008188000007</v>
      </c>
      <c r="I39" s="7">
        <f>+[3]Resumen!I39*1000</f>
        <v>95546.924687000006</v>
      </c>
      <c r="J39" s="7">
        <f>+[3]Resumen!J39*1000</f>
        <v>111102.69447500001</v>
      </c>
      <c r="K39" s="7">
        <f>+[3]Resumen!K39*1000</f>
        <v>147299.68347800002</v>
      </c>
      <c r="L39" s="7">
        <f>+[3]Resumen!L39*1000</f>
        <v>179235.026159</v>
      </c>
      <c r="M39" s="7">
        <f>+[3]Resumen!M39*1000</f>
        <v>182032.02655600003</v>
      </c>
      <c r="N39" s="7">
        <f>+[3]Resumen!N39*1000</f>
        <v>199837.09871299998</v>
      </c>
      <c r="O39" s="7">
        <f>+[3]Resumen!O39*1000</f>
        <v>211323.46746700001</v>
      </c>
      <c r="P39" s="7">
        <f>+[3]Resumen!P39*1000</f>
        <v>230001.95344100002</v>
      </c>
      <c r="Q39" s="7">
        <f>+[3]Resumen!Q39*1000</f>
        <v>246155.34184700003</v>
      </c>
      <c r="R39" s="7">
        <f>+[3]Resumen!R39*1000</f>
        <v>247400.66217000003</v>
      </c>
      <c r="S39" s="7">
        <f>+[3]Resumen!S39*1000</f>
        <v>243507.35497799999</v>
      </c>
      <c r="T39" s="7">
        <f>+[3]Resumen!T39*1000</f>
        <v>246639.94569100003</v>
      </c>
      <c r="U39" s="7">
        <f>+[3]Resumen!U39*1000</f>
        <v>247485.87862000003</v>
      </c>
      <c r="V39" s="7">
        <f>+[3]Resumen!V39*1000</f>
        <v>241094.65620699999</v>
      </c>
      <c r="W39" s="7">
        <f>+[3]Resumen!W39*1000</f>
        <v>230271.709798</v>
      </c>
      <c r="X39" s="7">
        <f>+[3]Resumen!X39*1000</f>
        <v>250029.10782999999</v>
      </c>
      <c r="Y39" s="7">
        <f>+[3]Resumen!Y39*1000</f>
        <v>250521.94233600001</v>
      </c>
      <c r="Z39" s="7">
        <f>+[3]Resumen!Z39*1000</f>
        <v>231398.53201800003</v>
      </c>
      <c r="AA39" s="7">
        <f>+[3]Resumen!AA39*1000</f>
        <v>201372.51775</v>
      </c>
      <c r="AB39" s="7">
        <f>+[3]Resumen!AB39*1000</f>
        <v>161248.73205700002</v>
      </c>
      <c r="AC39" s="7">
        <f>+[3]Resumen!AC39*1000</f>
        <v>129354.41420000001</v>
      </c>
      <c r="AD39" s="64">
        <f t="shared" ref="AD39" si="7">SUM(F39:AC39)*E39+SUM(F40:AC40)*E40+SUM(F41:AC41)*E41+SUM(F42:AC42)*E42</f>
        <v>130382327.61377499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5</v>
      </c>
      <c r="F40" s="7">
        <f>+[3]Resumen!F40*1000</f>
        <v>119334.180297</v>
      </c>
      <c r="G40" s="7">
        <f>+[3]Resumen!G40*1000</f>
        <v>105166.667728</v>
      </c>
      <c r="H40" s="7">
        <f>+[3]Resumen!H40*1000</f>
        <v>96201.326558999994</v>
      </c>
      <c r="I40" s="7">
        <f>+[3]Resumen!I40*1000</f>
        <v>93929.705416000012</v>
      </c>
      <c r="J40" s="7">
        <f>+[3]Resumen!J40*1000</f>
        <v>102589.25368400001</v>
      </c>
      <c r="K40" s="7">
        <f>+[3]Resumen!K40*1000</f>
        <v>118588.462669</v>
      </c>
      <c r="L40" s="7">
        <f>+[3]Resumen!L40*1000</f>
        <v>142425.26474800002</v>
      </c>
      <c r="M40" s="7">
        <f>+[3]Resumen!M40*1000</f>
        <v>156423.255156</v>
      </c>
      <c r="N40" s="7">
        <f>+[3]Resumen!N40*1000</f>
        <v>181791.82575800002</v>
      </c>
      <c r="O40" s="7">
        <f>+[3]Resumen!O40*1000</f>
        <v>197311.003489</v>
      </c>
      <c r="P40" s="7">
        <f>+[3]Resumen!P40*1000</f>
        <v>214858.37052000003</v>
      </c>
      <c r="Q40" s="7">
        <f>+[3]Resumen!Q40*1000</f>
        <v>227323.76858300003</v>
      </c>
      <c r="R40" s="7">
        <f>+[3]Resumen!R40*1000</f>
        <v>228336.51035099998</v>
      </c>
      <c r="S40" s="7">
        <f>+[3]Resumen!S40*1000</f>
        <v>221875.58806200002</v>
      </c>
      <c r="T40" s="7">
        <f>+[3]Resumen!T40*1000</f>
        <v>214633.85635099999</v>
      </c>
      <c r="U40" s="7">
        <f>+[3]Resumen!U40*1000</f>
        <v>211952.353531</v>
      </c>
      <c r="V40" s="7">
        <f>+[3]Resumen!V40*1000</f>
        <v>208890.70598500001</v>
      </c>
      <c r="W40" s="7">
        <f>+[3]Resumen!W40*1000</f>
        <v>207412.08153900001</v>
      </c>
      <c r="X40" s="7">
        <f>+[3]Resumen!X40*1000</f>
        <v>228144.54470899998</v>
      </c>
      <c r="Y40" s="7">
        <f>+[3]Resumen!Y40*1000</f>
        <v>226253.49531900001</v>
      </c>
      <c r="Z40" s="7">
        <f>+[3]Resumen!Z40*1000</f>
        <v>208021.195875</v>
      </c>
      <c r="AA40" s="7">
        <f>+[3]Resumen!AA40*1000</f>
        <v>183032.191812</v>
      </c>
      <c r="AB40" s="7">
        <f>+[3]Resumen!AB40*1000</f>
        <v>156059.806052</v>
      </c>
      <c r="AC40" s="7">
        <f>+[3]Resumen!AC40*1000</f>
        <v>130122.63577300002</v>
      </c>
      <c r="AD40" s="65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5</v>
      </c>
      <c r="F41" s="7">
        <f>+[3]Resumen!F41*1000</f>
        <v>120294.19367800001</v>
      </c>
      <c r="G41" s="7">
        <f>+[3]Resumen!G41*1000</f>
        <v>103377.333902</v>
      </c>
      <c r="H41" s="7">
        <f>+[3]Resumen!H41*1000</f>
        <v>93311.374099000008</v>
      </c>
      <c r="I41" s="7">
        <f>+[3]Resumen!I41*1000</f>
        <v>87996.312632000001</v>
      </c>
      <c r="J41" s="7">
        <f>+[3]Resumen!J41*1000</f>
        <v>88811.174622999999</v>
      </c>
      <c r="K41" s="7">
        <f>+[3]Resumen!K41*1000</f>
        <v>92870.104048000008</v>
      </c>
      <c r="L41" s="7">
        <f>+[3]Resumen!L41*1000</f>
        <v>102449.35888300001</v>
      </c>
      <c r="M41" s="7">
        <f>+[3]Resumen!M41*1000</f>
        <v>105877.146181</v>
      </c>
      <c r="N41" s="7">
        <f>+[3]Resumen!N41*1000</f>
        <v>124317.13568600001</v>
      </c>
      <c r="O41" s="7">
        <f>+[3]Resumen!O41*1000</f>
        <v>141259.65109299999</v>
      </c>
      <c r="P41" s="7">
        <f>+[3]Resumen!P41*1000</f>
        <v>157906.09318700002</v>
      </c>
      <c r="Q41" s="7">
        <f>+[3]Resumen!Q41*1000</f>
        <v>174248.70746000001</v>
      </c>
      <c r="R41" s="7">
        <f>+[3]Resumen!R41*1000</f>
        <v>182816.18417200001</v>
      </c>
      <c r="S41" s="7">
        <f>+[3]Resumen!S41*1000</f>
        <v>184658.208595</v>
      </c>
      <c r="T41" s="7">
        <f>+[3]Resumen!T41*1000</f>
        <v>181194.38853200001</v>
      </c>
      <c r="U41" s="7">
        <f>+[3]Resumen!U41*1000</f>
        <v>179905.25448300003</v>
      </c>
      <c r="V41" s="7">
        <f>+[3]Resumen!V41*1000</f>
        <v>177679.87696299999</v>
      </c>
      <c r="W41" s="7">
        <f>+[3]Resumen!W41*1000</f>
        <v>179550.87875800001</v>
      </c>
      <c r="X41" s="7">
        <f>+[3]Resumen!X41*1000</f>
        <v>204537.02589700001</v>
      </c>
      <c r="Y41" s="7">
        <f>+[3]Resumen!Y41*1000</f>
        <v>207960.33885899998</v>
      </c>
      <c r="Z41" s="7">
        <f>+[3]Resumen!Z41*1000</f>
        <v>193669.400371</v>
      </c>
      <c r="AA41" s="7">
        <f>+[3]Resumen!AA41*1000</f>
        <v>171156.669196</v>
      </c>
      <c r="AB41" s="7">
        <f>+[3]Resumen!AB41*1000</f>
        <v>141155.369588</v>
      </c>
      <c r="AC41" s="7">
        <f>+[3]Resumen!AC41*1000</f>
        <v>111553.77103100001</v>
      </c>
      <c r="AD41" s="65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+[3]Resumen!F42*1000</f>
        <v>0</v>
      </c>
      <c r="G42" s="7">
        <f>+[3]Resumen!G42*1000</f>
        <v>0</v>
      </c>
      <c r="H42" s="7">
        <f>+[3]Resumen!H42*1000</f>
        <v>0</v>
      </c>
      <c r="I42" s="7">
        <f>+[3]Resumen!I42*1000</f>
        <v>0</v>
      </c>
      <c r="J42" s="7">
        <f>+[3]Resumen!J42*1000</f>
        <v>0</v>
      </c>
      <c r="K42" s="7">
        <f>+[3]Resumen!K42*1000</f>
        <v>0</v>
      </c>
      <c r="L42" s="7">
        <f>+[3]Resumen!L42*1000</f>
        <v>0</v>
      </c>
      <c r="M42" s="7">
        <f>+[3]Resumen!M42*1000</f>
        <v>0</v>
      </c>
      <c r="N42" s="7">
        <f>+[3]Resumen!N42*1000</f>
        <v>0</v>
      </c>
      <c r="O42" s="7">
        <f>+[3]Resumen!O42*1000</f>
        <v>0</v>
      </c>
      <c r="P42" s="7">
        <f>+[3]Resumen!P42*1000</f>
        <v>0</v>
      </c>
      <c r="Q42" s="7">
        <f>+[3]Resumen!Q42*1000</f>
        <v>0</v>
      </c>
      <c r="R42" s="7">
        <f>+[3]Resumen!R42*1000</f>
        <v>0</v>
      </c>
      <c r="S42" s="7">
        <f>+[3]Resumen!S42*1000</f>
        <v>0</v>
      </c>
      <c r="T42" s="7">
        <f>+[3]Resumen!T42*1000</f>
        <v>0</v>
      </c>
      <c r="U42" s="7">
        <f>+[3]Resumen!U42*1000</f>
        <v>0</v>
      </c>
      <c r="V42" s="7">
        <f>+[3]Resumen!V42*1000</f>
        <v>0</v>
      </c>
      <c r="W42" s="7">
        <f>+[3]Resumen!W42*1000</f>
        <v>0</v>
      </c>
      <c r="X42" s="7">
        <f>+[3]Resumen!X42*1000</f>
        <v>0</v>
      </c>
      <c r="Y42" s="7">
        <f>+[3]Resumen!Y42*1000</f>
        <v>0</v>
      </c>
      <c r="Z42" s="7">
        <f>+[3]Resumen!Z42*1000</f>
        <v>0</v>
      </c>
      <c r="AA42" s="7">
        <f>+[3]Resumen!AA42*1000</f>
        <v>0</v>
      </c>
      <c r="AB42" s="7">
        <f>+[3]Resumen!AB42*1000</f>
        <v>0</v>
      </c>
      <c r="AC42" s="7">
        <f>+[3]Resumen!AC42*1000</f>
        <v>0</v>
      </c>
      <c r="AD42" s="66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22</v>
      </c>
      <c r="F43" s="7">
        <f>+[3]Resumen!F43*1000</f>
        <v>106308.44723000001</v>
      </c>
      <c r="G43" s="7">
        <f>+[3]Resumen!G43*1000</f>
        <v>93370.836664000002</v>
      </c>
      <c r="H43" s="7">
        <f>+[3]Resumen!H43*1000</f>
        <v>87412.850147999998</v>
      </c>
      <c r="I43" s="7">
        <f>+[3]Resumen!I43*1000</f>
        <v>87086.552393000005</v>
      </c>
      <c r="J43" s="7">
        <f>+[3]Resumen!J43*1000</f>
        <v>102450.60595300001</v>
      </c>
      <c r="K43" s="7">
        <f>+[3]Resumen!K43*1000</f>
        <v>135467.23390400002</v>
      </c>
      <c r="L43" s="7">
        <f>+[3]Resumen!L43*1000</f>
        <v>166632.79428500001</v>
      </c>
      <c r="M43" s="7">
        <f>+[3]Resumen!M43*1000</f>
        <v>171887.350183</v>
      </c>
      <c r="N43" s="7">
        <f>+[3]Resumen!N43*1000</f>
        <v>189396.061823</v>
      </c>
      <c r="O43" s="7">
        <f>+[3]Resumen!O43*1000</f>
        <v>201003.42659900003</v>
      </c>
      <c r="P43" s="7">
        <f>+[3]Resumen!P43*1000</f>
        <v>219019.93758500001</v>
      </c>
      <c r="Q43" s="7">
        <f>+[3]Resumen!Q43*1000</f>
        <v>235168.06940200002</v>
      </c>
      <c r="R43" s="7">
        <f>+[3]Resumen!R43*1000</f>
        <v>238105.59569300001</v>
      </c>
      <c r="S43" s="7">
        <f>+[3]Resumen!S43*1000</f>
        <v>234011.068088</v>
      </c>
      <c r="T43" s="7">
        <f>+[3]Resumen!T43*1000</f>
        <v>236226.363236</v>
      </c>
      <c r="U43" s="7">
        <f>+[3]Resumen!U43*1000</f>
        <v>236865.42992599998</v>
      </c>
      <c r="V43" s="7">
        <f>+[3]Resumen!V43*1000</f>
        <v>230274.948401</v>
      </c>
      <c r="W43" s="7">
        <f>+[3]Resumen!W43*1000</f>
        <v>224502.26515000002</v>
      </c>
      <c r="X43" s="7">
        <f>+[3]Resumen!X43*1000</f>
        <v>243252.49543900002</v>
      </c>
      <c r="Y43" s="7">
        <f>+[3]Resumen!Y43*1000</f>
        <v>237036.724438</v>
      </c>
      <c r="Z43" s="7">
        <f>+[3]Resumen!Z43*1000</f>
        <v>218486.54685099999</v>
      </c>
      <c r="AA43" s="7">
        <f>+[3]Resumen!AA43*1000</f>
        <v>189230.09948</v>
      </c>
      <c r="AB43" s="7">
        <f>+[3]Resumen!AB43*1000</f>
        <v>151120.180677</v>
      </c>
      <c r="AC43" s="7">
        <f>+[3]Resumen!AC43*1000</f>
        <v>120774.54992600001</v>
      </c>
      <c r="AD43" s="64">
        <f t="shared" ref="AD43" si="8">SUM(F43:AC43)*E43+SUM(F44:AC44)*E44+SUM(F45:AC45)*E45+SUM(F46:AC46)*E46</f>
        <v>128264037.72923599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+[3]Resumen!F44*1000</f>
        <v>111846.556614</v>
      </c>
      <c r="G44" s="7">
        <f>+[3]Resumen!G44*1000</f>
        <v>97086.595098999998</v>
      </c>
      <c r="H44" s="7">
        <f>+[3]Resumen!H44*1000</f>
        <v>88639.094079000002</v>
      </c>
      <c r="I44" s="7">
        <f>+[3]Resumen!I44*1000</f>
        <v>85960.750503000003</v>
      </c>
      <c r="J44" s="7">
        <f>+[3]Resumen!J44*1000</f>
        <v>94580.562586</v>
      </c>
      <c r="K44" s="7">
        <f>+[3]Resumen!K44*1000</f>
        <v>109083.899769</v>
      </c>
      <c r="L44" s="7">
        <f>+[3]Resumen!L44*1000</f>
        <v>132246.55470100002</v>
      </c>
      <c r="M44" s="7">
        <f>+[3]Resumen!M44*1000</f>
        <v>144599.36123799998</v>
      </c>
      <c r="N44" s="7">
        <f>+[3]Resumen!N44*1000</f>
        <v>169690.60236699998</v>
      </c>
      <c r="O44" s="7">
        <f>+[3]Resumen!O44*1000</f>
        <v>186149.53426000001</v>
      </c>
      <c r="P44" s="7">
        <f>+[3]Resumen!P44*1000</f>
        <v>201493.46086600001</v>
      </c>
      <c r="Q44" s="7">
        <f>+[3]Resumen!Q44*1000</f>
        <v>212788.99767799999</v>
      </c>
      <c r="R44" s="7">
        <f>+[3]Resumen!R44*1000</f>
        <v>214425.08549600001</v>
      </c>
      <c r="S44" s="7">
        <f>+[3]Resumen!S44*1000</f>
        <v>208206.034323</v>
      </c>
      <c r="T44" s="7">
        <f>+[3]Resumen!T44*1000</f>
        <v>204827.52896400003</v>
      </c>
      <c r="U44" s="7">
        <f>+[3]Resumen!U44*1000</f>
        <v>205941.604617</v>
      </c>
      <c r="V44" s="7">
        <f>+[3]Resumen!V44*1000</f>
        <v>202339.16327599998</v>
      </c>
      <c r="W44" s="7">
        <f>+[3]Resumen!W44*1000</f>
        <v>203826.018384</v>
      </c>
      <c r="X44" s="7">
        <f>+[3]Resumen!X44*1000</f>
        <v>222335.32986500001</v>
      </c>
      <c r="Y44" s="7">
        <f>+[3]Resumen!Y44*1000</f>
        <v>214884.82729900003</v>
      </c>
      <c r="Z44" s="7">
        <f>+[3]Resumen!Z44*1000</f>
        <v>197642.05900500002</v>
      </c>
      <c r="AA44" s="7">
        <f>+[3]Resumen!AA44*1000</f>
        <v>173468.200358</v>
      </c>
      <c r="AB44" s="7">
        <f>+[3]Resumen!AB44*1000</f>
        <v>145554.20872600001</v>
      </c>
      <c r="AC44" s="7">
        <f>+[3]Resumen!AC44*1000</f>
        <v>119285.58613600001</v>
      </c>
      <c r="AD44" s="65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+[3]Resumen!F45*1000</f>
        <v>109331.06526399999</v>
      </c>
      <c r="G45" s="7">
        <f>+[3]Resumen!G45*1000</f>
        <v>95717.055267000003</v>
      </c>
      <c r="H45" s="7">
        <f>+[3]Resumen!H45*1000</f>
        <v>86433.715026999998</v>
      </c>
      <c r="I45" s="7">
        <f>+[3]Resumen!I45*1000</f>
        <v>81601.364125000007</v>
      </c>
      <c r="J45" s="7">
        <f>+[3]Resumen!J45*1000</f>
        <v>83256.532114000001</v>
      </c>
      <c r="K45" s="7">
        <f>+[3]Resumen!K45*1000</f>
        <v>87862.354640000005</v>
      </c>
      <c r="L45" s="7">
        <f>+[3]Resumen!L45*1000</f>
        <v>97250.078418000005</v>
      </c>
      <c r="M45" s="7">
        <f>+[3]Resumen!M45*1000</f>
        <v>101365.40563899999</v>
      </c>
      <c r="N45" s="7">
        <f>+[3]Resumen!N45*1000</f>
        <v>120270.17057500001</v>
      </c>
      <c r="O45" s="7">
        <f>+[3]Resumen!O45*1000</f>
        <v>137883.205289</v>
      </c>
      <c r="P45" s="7">
        <f>+[3]Resumen!P45*1000</f>
        <v>154170.21157700001</v>
      </c>
      <c r="Q45" s="7">
        <f>+[3]Resumen!Q45*1000</f>
        <v>169462.350767</v>
      </c>
      <c r="R45" s="7">
        <f>+[3]Resumen!R45*1000</f>
        <v>178839.72764299999</v>
      </c>
      <c r="S45" s="7">
        <f>+[3]Resumen!S45*1000</f>
        <v>179736.63172400001</v>
      </c>
      <c r="T45" s="7">
        <f>+[3]Resumen!T45*1000</f>
        <v>175037.74754400001</v>
      </c>
      <c r="U45" s="7">
        <f>+[3]Resumen!U45*1000</f>
        <v>172028.903965</v>
      </c>
      <c r="V45" s="7">
        <f>+[3]Resumen!V45*1000</f>
        <v>169653.22049900002</v>
      </c>
      <c r="W45" s="7">
        <f>+[3]Resumen!W45*1000</f>
        <v>172843.97002199999</v>
      </c>
      <c r="X45" s="7">
        <f>+[3]Resumen!X45*1000</f>
        <v>199113.92282000004</v>
      </c>
      <c r="Y45" s="7">
        <f>+[3]Resumen!Y45*1000</f>
        <v>196432.113901</v>
      </c>
      <c r="Z45" s="7">
        <f>+[3]Resumen!Z45*1000</f>
        <v>183034.85978600002</v>
      </c>
      <c r="AA45" s="7">
        <f>+[3]Resumen!AA45*1000</f>
        <v>161845.19430100001</v>
      </c>
      <c r="AB45" s="7">
        <f>+[3]Resumen!AB45*1000</f>
        <v>133547.26760600001</v>
      </c>
      <c r="AC45" s="7">
        <f>+[3]Resumen!AC45*1000</f>
        <v>105666.221296</v>
      </c>
      <c r="AD45" s="65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+[3]Resumen!F46*1000</f>
        <v>97444.405935000003</v>
      </c>
      <c r="G46" s="7">
        <f>+[3]Resumen!G46*1000</f>
        <v>83954.607889000006</v>
      </c>
      <c r="H46" s="7">
        <f>+[3]Resumen!H46*1000</f>
        <v>75010.686092000004</v>
      </c>
      <c r="I46" s="7">
        <f>+[3]Resumen!I46*1000</f>
        <v>71492.123435000001</v>
      </c>
      <c r="J46" s="7">
        <f>+[3]Resumen!J46*1000</f>
        <v>75330.676695999995</v>
      </c>
      <c r="K46" s="7">
        <f>+[3]Resumen!K46*1000</f>
        <v>82216.596661999996</v>
      </c>
      <c r="L46" s="7">
        <f>+[3]Resumen!L46*1000</f>
        <v>91668.272456999999</v>
      </c>
      <c r="M46" s="7">
        <f>+[3]Resumen!M46*1000</f>
        <v>94943.259668999992</v>
      </c>
      <c r="N46" s="7">
        <f>+[3]Resumen!N46*1000</f>
        <v>116206.37001899999</v>
      </c>
      <c r="O46" s="7">
        <f>+[3]Resumen!O46*1000</f>
        <v>136124.99908600003</v>
      </c>
      <c r="P46" s="7">
        <f>+[3]Resumen!P46*1000</f>
        <v>151558.09497599999</v>
      </c>
      <c r="Q46" s="7">
        <f>+[3]Resumen!Q46*1000</f>
        <v>168303.051821</v>
      </c>
      <c r="R46" s="7">
        <f>+[3]Resumen!R46*1000</f>
        <v>182376.72804099999</v>
      </c>
      <c r="S46" s="7">
        <f>+[3]Resumen!S46*1000</f>
        <v>179116.93618799999</v>
      </c>
      <c r="T46" s="7">
        <f>+[3]Resumen!T46*1000</f>
        <v>171416.486783</v>
      </c>
      <c r="U46" s="7">
        <f>+[3]Resumen!U46*1000</f>
        <v>168354.608718</v>
      </c>
      <c r="V46" s="7">
        <f>+[3]Resumen!V46*1000</f>
        <v>167503.498559</v>
      </c>
      <c r="W46" s="7">
        <f>+[3]Resumen!W46*1000</f>
        <v>174597.30509400001</v>
      </c>
      <c r="X46" s="7">
        <f>+[3]Resumen!X46*1000</f>
        <v>202496.10892500001</v>
      </c>
      <c r="Y46" s="7">
        <f>+[3]Resumen!Y46*1000</f>
        <v>201064.49146000002</v>
      </c>
      <c r="Z46" s="7">
        <f>+[3]Resumen!Z46*1000</f>
        <v>183147.22457200001</v>
      </c>
      <c r="AA46" s="7">
        <f>+[3]Resumen!AA46*1000</f>
        <v>157097.795319</v>
      </c>
      <c r="AB46" s="7">
        <f>+[3]Resumen!AB46*1000</f>
        <v>125714.99156499999</v>
      </c>
      <c r="AC46" s="7">
        <f>+[3]Resumen!AC46*1000</f>
        <v>97769.248775</v>
      </c>
      <c r="AD46" s="66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+[3]Resumen!F47*1000</f>
        <v>110224.30749399999</v>
      </c>
      <c r="G47" s="7">
        <f>+[3]Resumen!G47*1000</f>
        <v>97334.724239000003</v>
      </c>
      <c r="H47" s="7">
        <f>+[3]Resumen!H47*1000</f>
        <v>90352.258381000007</v>
      </c>
      <c r="I47" s="7">
        <f>+[3]Resumen!I47*1000</f>
        <v>90030.790187999999</v>
      </c>
      <c r="J47" s="7">
        <f>+[3]Resumen!J47*1000</f>
        <v>105459.011168</v>
      </c>
      <c r="K47" s="7">
        <f>+[3]Resumen!K47*1000</f>
        <v>138408.225538</v>
      </c>
      <c r="L47" s="7">
        <f>+[3]Resumen!L47*1000</f>
        <v>172015.21264800002</v>
      </c>
      <c r="M47" s="7">
        <f>+[3]Resumen!M47*1000</f>
        <v>177592.15503600001</v>
      </c>
      <c r="N47" s="7">
        <f>+[3]Resumen!N47*1000</f>
        <v>195143.51269100001</v>
      </c>
      <c r="O47" s="7">
        <f>+[3]Resumen!O47*1000</f>
        <v>206437.37918500003</v>
      </c>
      <c r="P47" s="7">
        <f>+[3]Resumen!P47*1000</f>
        <v>225115.959634</v>
      </c>
      <c r="Q47" s="7">
        <f>+[3]Resumen!Q47*1000</f>
        <v>239732.60257400002</v>
      </c>
      <c r="R47" s="7">
        <f>+[3]Resumen!R47*1000</f>
        <v>241815.90858900003</v>
      </c>
      <c r="S47" s="7">
        <f>+[3]Resumen!S47*1000</f>
        <v>238817.74068500003</v>
      </c>
      <c r="T47" s="7">
        <f>+[3]Resumen!T47*1000</f>
        <v>241928.53034700002</v>
      </c>
      <c r="U47" s="7">
        <f>+[3]Resumen!U47*1000</f>
        <v>242984.52277000004</v>
      </c>
      <c r="V47" s="7">
        <f>+[3]Resumen!V47*1000</f>
        <v>236382.12605800002</v>
      </c>
      <c r="W47" s="7">
        <f>+[3]Resumen!W47*1000</f>
        <v>232941.07069100003</v>
      </c>
      <c r="X47" s="7">
        <f>+[3]Resumen!X47*1000</f>
        <v>249304.15202799998</v>
      </c>
      <c r="Y47" s="7">
        <f>+[3]Resumen!Y47*1000</f>
        <v>241893.483901</v>
      </c>
      <c r="Z47" s="7">
        <f>+[3]Resumen!Z47*1000</f>
        <v>222936.840853</v>
      </c>
      <c r="AA47" s="7">
        <f>+[3]Resumen!AA47*1000</f>
        <v>194215.90801399999</v>
      </c>
      <c r="AB47" s="7">
        <f>+[3]Resumen!AB47*1000</f>
        <v>155998.510672</v>
      </c>
      <c r="AC47" s="7">
        <f>+[3]Resumen!AC47*1000</f>
        <v>125057.574051</v>
      </c>
      <c r="AD47" s="64">
        <f t="shared" ref="AD47" si="9">SUM(F47:AC47)*E47+SUM(F48:AC48)*E48+SUM(F49:AC49)*E49+SUM(F50:AC50)*E50</f>
        <v>126928773.87315802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+[3]Resumen!F48*1000</f>
        <v>115586.852096</v>
      </c>
      <c r="G48" s="7">
        <f>+[3]Resumen!G48*1000</f>
        <v>100208.944722</v>
      </c>
      <c r="H48" s="7">
        <f>+[3]Resumen!H48*1000</f>
        <v>91623.317473000003</v>
      </c>
      <c r="I48" s="7">
        <f>+[3]Resumen!I48*1000</f>
        <v>89846.847363000008</v>
      </c>
      <c r="J48" s="7">
        <f>+[3]Resumen!J48*1000</f>
        <v>98351.056056999994</v>
      </c>
      <c r="K48" s="7">
        <f>+[3]Resumen!K48*1000</f>
        <v>112906.13530800001</v>
      </c>
      <c r="L48" s="7">
        <f>+[3]Resumen!L48*1000</f>
        <v>138227.61957000001</v>
      </c>
      <c r="M48" s="7">
        <f>+[3]Resumen!M48*1000</f>
        <v>151777.90051100001</v>
      </c>
      <c r="N48" s="7">
        <f>+[3]Resumen!N48*1000</f>
        <v>176771.34489900002</v>
      </c>
      <c r="O48" s="7">
        <f>+[3]Resumen!O48*1000</f>
        <v>193654.495995</v>
      </c>
      <c r="P48" s="7">
        <f>+[3]Resumen!P48*1000</f>
        <v>210089.52193399999</v>
      </c>
      <c r="Q48" s="7">
        <f>+[3]Resumen!Q48*1000</f>
        <v>221149.17734500003</v>
      </c>
      <c r="R48" s="7">
        <f>+[3]Resumen!R48*1000</f>
        <v>221698.80266300001</v>
      </c>
      <c r="S48" s="7">
        <f>+[3]Resumen!S48*1000</f>
        <v>215224.07946600002</v>
      </c>
      <c r="T48" s="7">
        <f>+[3]Resumen!T48*1000</f>
        <v>209304.04544700004</v>
      </c>
      <c r="U48" s="7">
        <f>+[3]Resumen!U48*1000</f>
        <v>207617.65158100001</v>
      </c>
      <c r="V48" s="7">
        <f>+[3]Resumen!V48*1000</f>
        <v>205888.65704799999</v>
      </c>
      <c r="W48" s="7">
        <f>+[3]Resumen!W48*1000</f>
        <v>210959.54976699999</v>
      </c>
      <c r="X48" s="7">
        <f>+[3]Resumen!X48*1000</f>
        <v>230398.17781200001</v>
      </c>
      <c r="Y48" s="7">
        <f>+[3]Resumen!Y48*1000</f>
        <v>222734.10884</v>
      </c>
      <c r="Z48" s="7">
        <f>+[3]Resumen!Z48*1000</f>
        <v>205591.88839900002</v>
      </c>
      <c r="AA48" s="7">
        <f>+[3]Resumen!AA48*1000</f>
        <v>182012.04320400002</v>
      </c>
      <c r="AB48" s="7">
        <f>+[3]Resumen!AB48*1000</f>
        <v>154134.692756</v>
      </c>
      <c r="AC48" s="7">
        <f>+[3]Resumen!AC48*1000</f>
        <v>127430.85407300001</v>
      </c>
      <c r="AD48" s="65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+[3]Resumen!F49*1000</f>
        <v>117851.485868</v>
      </c>
      <c r="G49" s="7">
        <f>+[3]Resumen!G49*1000</f>
        <v>103079.374868</v>
      </c>
      <c r="H49" s="7">
        <f>+[3]Resumen!H49*1000</f>
        <v>92598.254125000007</v>
      </c>
      <c r="I49" s="7">
        <f>+[3]Resumen!I49*1000</f>
        <v>87928.354875000005</v>
      </c>
      <c r="J49" s="7">
        <f>+[3]Resumen!J49*1000</f>
        <v>89536.289143000002</v>
      </c>
      <c r="K49" s="7">
        <f>+[3]Resumen!K49*1000</f>
        <v>94915.918604000006</v>
      </c>
      <c r="L49" s="7">
        <f>+[3]Resumen!L49*1000</f>
        <v>104248.51433000001</v>
      </c>
      <c r="M49" s="7">
        <f>+[3]Resumen!M49*1000</f>
        <v>107668.101198</v>
      </c>
      <c r="N49" s="7">
        <f>+[3]Resumen!N49*1000</f>
        <v>127543.09793100001</v>
      </c>
      <c r="O49" s="7">
        <f>+[3]Resumen!O49*1000</f>
        <v>144789.766153</v>
      </c>
      <c r="P49" s="7">
        <f>+[3]Resumen!P49*1000</f>
        <v>160126.047842</v>
      </c>
      <c r="Q49" s="7">
        <f>+[3]Resumen!Q49*1000</f>
        <v>175483.465478</v>
      </c>
      <c r="R49" s="7">
        <f>+[3]Resumen!R49*1000</f>
        <v>184508.82094599999</v>
      </c>
      <c r="S49" s="7">
        <f>+[3]Resumen!S49*1000</f>
        <v>186577.92925800002</v>
      </c>
      <c r="T49" s="7">
        <f>+[3]Resumen!T49*1000</f>
        <v>182541.90435200001</v>
      </c>
      <c r="U49" s="7">
        <f>+[3]Resumen!U49*1000</f>
        <v>180470.60422000001</v>
      </c>
      <c r="V49" s="7">
        <f>+[3]Resumen!V49*1000</f>
        <v>178801.90741100002</v>
      </c>
      <c r="W49" s="7">
        <f>+[3]Resumen!W49*1000</f>
        <v>186652.451138</v>
      </c>
      <c r="X49" s="7">
        <f>+[3]Resumen!X49*1000</f>
        <v>207407.36156800002</v>
      </c>
      <c r="Y49" s="7">
        <f>+[3]Resumen!Y49*1000</f>
        <v>203803.05340099998</v>
      </c>
      <c r="Z49" s="7">
        <f>+[3]Resumen!Z49*1000</f>
        <v>188744.61512900001</v>
      </c>
      <c r="AA49" s="7">
        <f>+[3]Resumen!AA49*1000</f>
        <v>167955.769279</v>
      </c>
      <c r="AB49" s="7">
        <f>+[3]Resumen!AB49*1000</f>
        <v>140338.25153400001</v>
      </c>
      <c r="AC49" s="7">
        <f>+[3]Resumen!AC49*1000</f>
        <v>113612.31325900002</v>
      </c>
      <c r="AD49" s="65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+[3]Resumen!F50*1000</f>
        <v>107896.64378100001</v>
      </c>
      <c r="G50" s="7">
        <f>+[3]Resumen!G50*1000</f>
        <v>93397.705354000005</v>
      </c>
      <c r="H50" s="7">
        <f>+[3]Resumen!H50*1000</f>
        <v>85312.859848000007</v>
      </c>
      <c r="I50" s="7">
        <f>+[3]Resumen!I50*1000</f>
        <v>81347.249049000005</v>
      </c>
      <c r="J50" s="7">
        <f>+[3]Resumen!J50*1000</f>
        <v>85488.027835000001</v>
      </c>
      <c r="K50" s="7">
        <f>+[3]Resumen!K50*1000</f>
        <v>92349.002622</v>
      </c>
      <c r="L50" s="7">
        <f>+[3]Resumen!L50*1000</f>
        <v>100094.07823799999</v>
      </c>
      <c r="M50" s="7">
        <f>+[3]Resumen!M50*1000</f>
        <v>103817.22461799999</v>
      </c>
      <c r="N50" s="7">
        <f>+[3]Resumen!N50*1000</f>
        <v>124756.331066</v>
      </c>
      <c r="O50" s="7">
        <f>+[3]Resumen!O50*1000</f>
        <v>142823.35594499999</v>
      </c>
      <c r="P50" s="7">
        <f>+[3]Resumen!P50*1000</f>
        <v>159844.773093</v>
      </c>
      <c r="Q50" s="7">
        <f>+[3]Resumen!Q50*1000</f>
        <v>178977.72160700001</v>
      </c>
      <c r="R50" s="7">
        <f>+[3]Resumen!R50*1000</f>
        <v>191841.73992700002</v>
      </c>
      <c r="S50" s="7">
        <f>+[3]Resumen!S50*1000</f>
        <v>192286.36573000002</v>
      </c>
      <c r="T50" s="7">
        <f>+[3]Resumen!T50*1000</f>
        <v>186441.87770000001</v>
      </c>
      <c r="U50" s="7">
        <f>+[3]Resumen!U50*1000</f>
        <v>183582.39909600001</v>
      </c>
      <c r="V50" s="7">
        <f>+[3]Resumen!V50*1000</f>
        <v>180379.836419</v>
      </c>
      <c r="W50" s="7">
        <f>+[3]Resumen!W50*1000</f>
        <v>187011.32387300002</v>
      </c>
      <c r="X50" s="7">
        <f>+[3]Resumen!X50*1000</f>
        <v>211672.02353199999</v>
      </c>
      <c r="Y50" s="7">
        <f>+[3]Resumen!Y50*1000</f>
        <v>208663.30466000002</v>
      </c>
      <c r="Z50" s="7">
        <f>+[3]Resumen!Z50*1000</f>
        <v>192442.207911</v>
      </c>
      <c r="AA50" s="7">
        <f>+[3]Resumen!AA50*1000</f>
        <v>167238.77205100001</v>
      </c>
      <c r="AB50" s="7">
        <f>+[3]Resumen!AB50*1000</f>
        <v>136948.73794799999</v>
      </c>
      <c r="AC50" s="7">
        <f>+[3]Resumen!AC50*1000</f>
        <v>107805.467848</v>
      </c>
      <c r="AD50" s="66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20</v>
      </c>
      <c r="F51" s="7">
        <f>+[3]Resumen!F51*1000</f>
        <v>121796.30460900001</v>
      </c>
      <c r="G51" s="7">
        <f>+[3]Resumen!G51*1000</f>
        <v>106269.95433600001</v>
      </c>
      <c r="H51" s="7">
        <f>+[3]Resumen!H51*1000</f>
        <v>97722.816202000002</v>
      </c>
      <c r="I51" s="7">
        <f>+[3]Resumen!I51*1000</f>
        <v>96253.095080000014</v>
      </c>
      <c r="J51" s="7">
        <f>+[3]Resumen!J51*1000</f>
        <v>107828.92410100001</v>
      </c>
      <c r="K51" s="7">
        <f>+[3]Resumen!K51*1000</f>
        <v>131594.98707900001</v>
      </c>
      <c r="L51" s="7">
        <f>+[3]Resumen!L51*1000</f>
        <v>160413.096903</v>
      </c>
      <c r="M51" s="7">
        <f>+[3]Resumen!M51*1000</f>
        <v>172921.08429600002</v>
      </c>
      <c r="N51" s="7">
        <f>+[3]Resumen!N51*1000</f>
        <v>195138.81161499998</v>
      </c>
      <c r="O51" s="7">
        <f>+[3]Resumen!O51*1000</f>
        <v>209585.31641699999</v>
      </c>
      <c r="P51" s="7">
        <f>+[3]Resumen!P51*1000</f>
        <v>225776.52127599998</v>
      </c>
      <c r="Q51" s="7">
        <f>+[3]Resumen!Q51*1000</f>
        <v>240205.39326400001</v>
      </c>
      <c r="R51" s="7">
        <f>+[3]Resumen!R51*1000</f>
        <v>246545.25150899999</v>
      </c>
      <c r="S51" s="7">
        <f>+[3]Resumen!S51*1000</f>
        <v>243541.981955</v>
      </c>
      <c r="T51" s="7">
        <f>+[3]Resumen!T51*1000</f>
        <v>244824.35159400001</v>
      </c>
      <c r="U51" s="7">
        <f>+[3]Resumen!U51*1000</f>
        <v>245674.85711300001</v>
      </c>
      <c r="V51" s="7">
        <f>+[3]Resumen!V51*1000</f>
        <v>240085.43646699999</v>
      </c>
      <c r="W51" s="7">
        <f>+[3]Resumen!W51*1000</f>
        <v>234325.44309800002</v>
      </c>
      <c r="X51" s="7">
        <f>+[3]Resumen!X51*1000</f>
        <v>254944.95195800002</v>
      </c>
      <c r="Y51" s="7">
        <f>+[3]Resumen!Y51*1000</f>
        <v>249906.40747900002</v>
      </c>
      <c r="Z51" s="7">
        <f>+[3]Resumen!Z51*1000</f>
        <v>231220.473096</v>
      </c>
      <c r="AA51" s="7">
        <f>+[3]Resumen!AA51*1000</f>
        <v>204526.86416600001</v>
      </c>
      <c r="AB51" s="7">
        <f>+[3]Resumen!AB51*1000</f>
        <v>169421.07274999999</v>
      </c>
      <c r="AC51" s="7">
        <f>+[3]Resumen!AC51*1000</f>
        <v>140034.29900600002</v>
      </c>
      <c r="AD51" s="64">
        <f t="shared" ref="AD51" si="10">SUM(F51:AC51)*E51+SUM(F52:AC52)*E52+SUM(F53:AC53)*E53+SUM(F54:AC54)*E54</f>
        <v>133418152.96179201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+[3]Resumen!F52*1000</f>
        <v>125788.024519</v>
      </c>
      <c r="G52" s="7">
        <f>+[3]Resumen!G52*1000</f>
        <v>108670.47339</v>
      </c>
      <c r="H52" s="7">
        <f>+[3]Resumen!H52*1000</f>
        <v>98996.747334</v>
      </c>
      <c r="I52" s="7">
        <f>+[3]Resumen!I52*1000</f>
        <v>96072.885907000003</v>
      </c>
      <c r="J52" s="7">
        <f>+[3]Resumen!J52*1000</f>
        <v>101636.63958500001</v>
      </c>
      <c r="K52" s="7">
        <f>+[3]Resumen!K52*1000</f>
        <v>121124.13010000001</v>
      </c>
      <c r="L52" s="7">
        <f>+[3]Resumen!L52*1000</f>
        <v>140127.984195</v>
      </c>
      <c r="M52" s="7">
        <f>+[3]Resumen!M52*1000</f>
        <v>153308.74317900001</v>
      </c>
      <c r="N52" s="7">
        <f>+[3]Resumen!N52*1000</f>
        <v>179906.41463600003</v>
      </c>
      <c r="O52" s="7">
        <f>+[3]Resumen!O52*1000</f>
        <v>196813.29029400001</v>
      </c>
      <c r="P52" s="7">
        <f>+[3]Resumen!P52*1000</f>
        <v>212723.60208300001</v>
      </c>
      <c r="Q52" s="7">
        <f>+[3]Resumen!Q52*1000</f>
        <v>223081.20243199999</v>
      </c>
      <c r="R52" s="7">
        <f>+[3]Resumen!R52*1000</f>
        <v>227182.93659</v>
      </c>
      <c r="S52" s="7">
        <f>+[3]Resumen!S52*1000</f>
        <v>221599.20711800002</v>
      </c>
      <c r="T52" s="7">
        <f>+[3]Resumen!T52*1000</f>
        <v>216111.42267700002</v>
      </c>
      <c r="U52" s="7">
        <f>+[3]Resumen!U52*1000</f>
        <v>214229.14434600002</v>
      </c>
      <c r="V52" s="7">
        <f>+[3]Resumen!V52*1000</f>
        <v>212535.400325</v>
      </c>
      <c r="W52" s="7">
        <f>+[3]Resumen!W52*1000</f>
        <v>213066.58034400002</v>
      </c>
      <c r="X52" s="7">
        <f>+[3]Resumen!X52*1000</f>
        <v>237851.465501</v>
      </c>
      <c r="Y52" s="7">
        <f>+[3]Resumen!Y52*1000</f>
        <v>233703.30632799998</v>
      </c>
      <c r="Z52" s="7">
        <f>+[3]Resumen!Z52*1000</f>
        <v>215987.2334</v>
      </c>
      <c r="AA52" s="7">
        <f>+[3]Resumen!AA52*1000</f>
        <v>192223.52096000002</v>
      </c>
      <c r="AB52" s="7">
        <f>+[3]Resumen!AB52*1000</f>
        <v>165424.84071399999</v>
      </c>
      <c r="AC52" s="7">
        <f>+[3]Resumen!AC52*1000</f>
        <v>137965.78777600001</v>
      </c>
      <c r="AD52" s="65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5</v>
      </c>
      <c r="F53" s="7">
        <f>+[3]Resumen!F53*1000</f>
        <v>126856.81263600002</v>
      </c>
      <c r="G53" s="7">
        <f>+[3]Resumen!G53*1000</f>
        <v>109811.194772</v>
      </c>
      <c r="H53" s="7">
        <f>+[3]Resumen!H53*1000</f>
        <v>98496.604242000001</v>
      </c>
      <c r="I53" s="7">
        <f>+[3]Resumen!I53*1000</f>
        <v>93067.946035000001</v>
      </c>
      <c r="J53" s="7">
        <f>+[3]Resumen!J53*1000</f>
        <v>93870.620751000009</v>
      </c>
      <c r="K53" s="7">
        <f>+[3]Resumen!K53*1000</f>
        <v>99841.331160000016</v>
      </c>
      <c r="L53" s="7">
        <f>+[3]Resumen!L53*1000</f>
        <v>107857.06253500002</v>
      </c>
      <c r="M53" s="7">
        <f>+[3]Resumen!M53*1000</f>
        <v>111315.05538000001</v>
      </c>
      <c r="N53" s="7">
        <f>+[3]Resumen!N53*1000</f>
        <v>132563.280249</v>
      </c>
      <c r="O53" s="7">
        <f>+[3]Resumen!O53*1000</f>
        <v>151043.52744099998</v>
      </c>
      <c r="P53" s="7">
        <f>+[3]Resumen!P53*1000</f>
        <v>166532.756597</v>
      </c>
      <c r="Q53" s="7">
        <f>+[3]Resumen!Q53*1000</f>
        <v>180390.45540900002</v>
      </c>
      <c r="R53" s="7">
        <f>+[3]Resumen!R53*1000</f>
        <v>189800.65667900001</v>
      </c>
      <c r="S53" s="7">
        <f>+[3]Resumen!S53*1000</f>
        <v>192326.48359399999</v>
      </c>
      <c r="T53" s="7">
        <f>+[3]Resumen!T53*1000</f>
        <v>190540.45261400001</v>
      </c>
      <c r="U53" s="7">
        <f>+[3]Resumen!U53*1000</f>
        <v>189413.928935</v>
      </c>
      <c r="V53" s="7">
        <f>+[3]Resumen!V53*1000</f>
        <v>186441.19748</v>
      </c>
      <c r="W53" s="7">
        <f>+[3]Resumen!W53*1000</f>
        <v>183915.55573600001</v>
      </c>
      <c r="X53" s="7">
        <f>+[3]Resumen!X53*1000</f>
        <v>209587.88613700002</v>
      </c>
      <c r="Y53" s="7">
        <f>+[3]Resumen!Y53*1000</f>
        <v>209402.416596</v>
      </c>
      <c r="Z53" s="7">
        <f>+[3]Resumen!Z53*1000</f>
        <v>194654.343815</v>
      </c>
      <c r="AA53" s="7">
        <f>+[3]Resumen!AA53*1000</f>
        <v>174578.89002700002</v>
      </c>
      <c r="AB53" s="7">
        <f>+[3]Resumen!AB53*1000</f>
        <v>150170.23455200001</v>
      </c>
      <c r="AC53" s="7">
        <f>+[3]Resumen!AC53*1000</f>
        <v>124502.16308400001</v>
      </c>
      <c r="AD53" s="65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+[3]Resumen!F54*1000</f>
        <v>123827.86477700001</v>
      </c>
      <c r="G54" s="7">
        <f>+[3]Resumen!G54*1000</f>
        <v>110554.357796</v>
      </c>
      <c r="H54" s="7">
        <f>+[3]Resumen!H54*1000</f>
        <v>99112.728623000003</v>
      </c>
      <c r="I54" s="7">
        <f>+[3]Resumen!I54*1000</f>
        <v>91939.438381000014</v>
      </c>
      <c r="J54" s="7">
        <f>+[3]Resumen!J54*1000</f>
        <v>90950.802854000009</v>
      </c>
      <c r="K54" s="7">
        <f>+[3]Resumen!K54*1000</f>
        <v>93479.891046000004</v>
      </c>
      <c r="L54" s="7">
        <f>+[3]Resumen!L54*1000</f>
        <v>94740.448296999995</v>
      </c>
      <c r="M54" s="7">
        <f>+[3]Resumen!M54*1000</f>
        <v>90084.629601000008</v>
      </c>
      <c r="N54" s="7">
        <f>+[3]Resumen!N54*1000</f>
        <v>104177.14035700001</v>
      </c>
      <c r="O54" s="7">
        <f>+[3]Resumen!O54*1000</f>
        <v>121821.07973300001</v>
      </c>
      <c r="P54" s="7">
        <f>+[3]Resumen!P54*1000</f>
        <v>138370.960819</v>
      </c>
      <c r="Q54" s="7">
        <f>+[3]Resumen!Q54*1000</f>
        <v>155561.75652600001</v>
      </c>
      <c r="R54" s="7">
        <f>+[3]Resumen!R54*1000</f>
        <v>170780.93078400003</v>
      </c>
      <c r="S54" s="7">
        <f>+[3]Resumen!S54*1000</f>
        <v>174465.02875700002</v>
      </c>
      <c r="T54" s="7">
        <f>+[3]Resumen!T54*1000</f>
        <v>172178.507017</v>
      </c>
      <c r="U54" s="7">
        <f>+[3]Resumen!U54*1000</f>
        <v>173339.65389399999</v>
      </c>
      <c r="V54" s="7">
        <f>+[3]Resumen!V54*1000</f>
        <v>171791.17841200001</v>
      </c>
      <c r="W54" s="7">
        <f>+[3]Resumen!W54*1000</f>
        <v>172662.706508</v>
      </c>
      <c r="X54" s="7">
        <f>+[3]Resumen!X54*1000</f>
        <v>198010.035351</v>
      </c>
      <c r="Y54" s="7">
        <f>+[3]Resumen!Y54*1000</f>
        <v>198883.37736700001</v>
      </c>
      <c r="Z54" s="7">
        <f>+[3]Resumen!Z54*1000</f>
        <v>184011.818203</v>
      </c>
      <c r="AA54" s="7">
        <f>+[3]Resumen!AA54*1000</f>
        <v>162815.71330200002</v>
      </c>
      <c r="AB54" s="7">
        <f>+[3]Resumen!AB54*1000</f>
        <v>137897.53525700001</v>
      </c>
      <c r="AC54" s="7">
        <f>+[3]Resumen!AC54*1000</f>
        <v>112327.834938</v>
      </c>
      <c r="AD54" s="66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49" t="s">
        <v>46</v>
      </c>
      <c r="AA55" s="52"/>
      <c r="AB55" s="50"/>
      <c r="AC55" s="51"/>
      <c r="AD55" s="60">
        <f>SUM(AD7:AD54)</f>
        <v>1555518487.490906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7"/>
    </row>
  </sheetData>
  <mergeCells count="15"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  <ignoredErrors>
    <ignoredError sqref="F7:AD5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8FC-5452-48EB-BFE9-0A227EE50D8E}">
  <dimension ref="C1:BD57"/>
  <sheetViews>
    <sheetView showGridLines="0" zoomScale="66" zoomScaleNormal="66" workbookViewId="0">
      <selection activeCell="C4" sqref="C4:AD4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54296875" style="1" customWidth="1"/>
    <col min="5" max="5" width="9.453125" style="1" customWidth="1"/>
    <col min="6" max="12" width="8.54296875" style="1" bestFit="1" customWidth="1"/>
    <col min="13" max="22" width="11.54296875" style="1" customWidth="1"/>
    <col min="23" max="25" width="9" style="1" bestFit="1" customWidth="1"/>
    <col min="26" max="26" width="11" style="1" customWidth="1"/>
    <col min="27" max="27" width="9" style="1" bestFit="1" customWidth="1"/>
    <col min="28" max="29" width="8.54296875" style="1" bestFit="1" customWidth="1"/>
    <col min="30" max="30" width="19.54296875" style="1" bestFit="1" customWidth="1"/>
    <col min="31" max="31" width="2.8164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7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 spans="3:56" ht="18.649999999999999" customHeight="1">
      <c r="C3" s="67" t="s">
        <v>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3:56" ht="18.649999999999999" customHeight="1">
      <c r="C4" s="67">
        <v>2030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21</v>
      </c>
      <c r="F7" s="7">
        <f>+[4]Resumen!F7*1000</f>
        <v>112739.97167999999</v>
      </c>
      <c r="G7" s="7">
        <f>+[4]Resumen!G7*1000</f>
        <v>103779.61263999999</v>
      </c>
      <c r="H7" s="7">
        <f>+[4]Resumen!H7*1000</f>
        <v>98635.075840000005</v>
      </c>
      <c r="I7" s="7">
        <f>+[4]Resumen!I7*1000</f>
        <v>98062.912559999997</v>
      </c>
      <c r="J7" s="7">
        <f>+[4]Resumen!J7*1000</f>
        <v>111097.924</v>
      </c>
      <c r="K7" s="7">
        <f>+[4]Resumen!K7*1000</f>
        <v>132061.65664</v>
      </c>
      <c r="L7" s="7">
        <f>+[4]Resumen!L7*1000</f>
        <v>155226.57527999999</v>
      </c>
      <c r="M7" s="7">
        <f>+[4]Resumen!M7*1000</f>
        <v>157822.09864000001</v>
      </c>
      <c r="N7" s="7">
        <f>+[4]Resumen!N7*1000</f>
        <v>172833.18400000001</v>
      </c>
      <c r="O7" s="7">
        <f>+[4]Resumen!O7*1000</f>
        <v>182454.53247999999</v>
      </c>
      <c r="P7" s="7">
        <f>+[4]Resumen!P7*1000</f>
        <v>195688.20679999999</v>
      </c>
      <c r="Q7" s="7">
        <f>+[4]Resumen!Q7*1000</f>
        <v>207175.62880000001</v>
      </c>
      <c r="R7" s="7">
        <f>+[4]Resumen!R7*1000</f>
        <v>211527.78823999999</v>
      </c>
      <c r="S7" s="7">
        <f>+[4]Resumen!S7*1000</f>
        <v>208596.92671999999</v>
      </c>
      <c r="T7" s="7">
        <f>+[4]Resumen!T7*1000</f>
        <v>210018.8744</v>
      </c>
      <c r="U7" s="7">
        <f>+[4]Resumen!U7*1000</f>
        <v>209635.17376000001</v>
      </c>
      <c r="V7" s="7">
        <f>+[4]Resumen!V7*1000</f>
        <v>204179.36223999999</v>
      </c>
      <c r="W7" s="7">
        <f>+[4]Resumen!W7*1000</f>
        <v>199236.87351999999</v>
      </c>
      <c r="X7" s="7">
        <f>+[4]Resumen!X7*1000</f>
        <v>217668.89072</v>
      </c>
      <c r="Y7" s="7">
        <f>+[4]Resumen!Y7*1000</f>
        <v>220673.09576</v>
      </c>
      <c r="Z7" s="7">
        <f>+[4]Resumen!Z7*1000</f>
        <v>206626.33856</v>
      </c>
      <c r="AA7" s="7">
        <f>+[4]Resumen!AA7*1000</f>
        <v>178927.29544000002</v>
      </c>
      <c r="AB7" s="7">
        <f>+[4]Resumen!AB7*1000</f>
        <v>151866.33152000001</v>
      </c>
      <c r="AC7" s="7">
        <f>+[4]Resumen!AC7*1000</f>
        <v>125133.54848</v>
      </c>
      <c r="AD7" s="64">
        <f>SUM(F7:AC7)*E7+SUM(F8:AC8)*E8+SUM(F9:AC9)*E9+SUM(F10:AC10)*E10</f>
        <v>120775959.32799999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+[4]Resumen!F8*1000</f>
        <v>122702.8484</v>
      </c>
      <c r="G8" s="7">
        <f>+[4]Resumen!G8*1000</f>
        <v>111689.42632</v>
      </c>
      <c r="H8" s="7">
        <f>+[4]Resumen!H8*1000</f>
        <v>105357.94167999999</v>
      </c>
      <c r="I8" s="7">
        <f>+[4]Resumen!I8*1000</f>
        <v>102948.76056</v>
      </c>
      <c r="J8" s="7">
        <f>+[4]Resumen!J8*1000</f>
        <v>107880.70432</v>
      </c>
      <c r="K8" s="7">
        <f>+[4]Resumen!K8*1000</f>
        <v>118561.2484</v>
      </c>
      <c r="L8" s="7">
        <f>+[4]Resumen!L8*1000</f>
        <v>134832.0944</v>
      </c>
      <c r="M8" s="7">
        <f>+[4]Resumen!M8*1000</f>
        <v>139120.94192000001</v>
      </c>
      <c r="N8" s="7">
        <f>+[4]Resumen!N8*1000</f>
        <v>158060.97224</v>
      </c>
      <c r="O8" s="7">
        <f>+[4]Resumen!O8*1000</f>
        <v>171748.68</v>
      </c>
      <c r="P8" s="7">
        <f>+[4]Resumen!P8*1000</f>
        <v>183806.37055999998</v>
      </c>
      <c r="Q8" s="7">
        <f>+[4]Resumen!Q8*1000</f>
        <v>192081.6048</v>
      </c>
      <c r="R8" s="7">
        <f>+[4]Resumen!R8*1000</f>
        <v>194229.09383999999</v>
      </c>
      <c r="S8" s="7">
        <f>+[4]Resumen!S8*1000</f>
        <v>190674.50983999998</v>
      </c>
      <c r="T8" s="7">
        <f>+[4]Resumen!T8*1000</f>
        <v>185162.38992000002</v>
      </c>
      <c r="U8" s="7">
        <f>+[4]Resumen!U8*1000</f>
        <v>183300.08103999999</v>
      </c>
      <c r="V8" s="7">
        <f>+[4]Resumen!V8*1000</f>
        <v>182212.97055999999</v>
      </c>
      <c r="W8" s="7">
        <f>+[4]Resumen!W8*1000</f>
        <v>184772.9332</v>
      </c>
      <c r="X8" s="7">
        <f>+[4]Resumen!X8*1000</f>
        <v>198949.88047999999</v>
      </c>
      <c r="Y8" s="7">
        <f>+[4]Resumen!Y8*1000</f>
        <v>200304.66232</v>
      </c>
      <c r="Z8" s="7">
        <f>+[4]Resumen!Z8*1000</f>
        <v>187634.46135999999</v>
      </c>
      <c r="AA8" s="7">
        <f>+[4]Resumen!AA8*1000</f>
        <v>169823.99911999999</v>
      </c>
      <c r="AB8" s="7">
        <f>+[4]Resumen!AB8*1000</f>
        <v>150597.75943999999</v>
      </c>
      <c r="AC8" s="7">
        <f>+[4]Resumen!AC8*1000</f>
        <v>131074.47279999999</v>
      </c>
      <c r="AD8" s="6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+[4]Resumen!F9*1000</f>
        <v>121646.70568</v>
      </c>
      <c r="G9" s="7">
        <f>+[4]Resumen!G9*1000</f>
        <v>110077.01216</v>
      </c>
      <c r="H9" s="7">
        <f>+[4]Resumen!H9*1000</f>
        <v>102621.37328</v>
      </c>
      <c r="I9" s="7">
        <f>+[4]Resumen!I9*1000</f>
        <v>98956.838480000006</v>
      </c>
      <c r="J9" s="7">
        <f>+[4]Resumen!J9*1000</f>
        <v>99825.63208000001</v>
      </c>
      <c r="K9" s="7">
        <f>+[4]Resumen!K9*1000</f>
        <v>104371.19928</v>
      </c>
      <c r="L9" s="7">
        <f>+[4]Resumen!L9*1000</f>
        <v>111144.33472</v>
      </c>
      <c r="M9" s="7">
        <f>+[4]Resumen!M9*1000</f>
        <v>109378.69375999999</v>
      </c>
      <c r="N9" s="7">
        <f>+[4]Resumen!N9*1000</f>
        <v>123836.40927999999</v>
      </c>
      <c r="O9" s="7">
        <f>+[4]Resumen!O9*1000</f>
        <v>136526.24440000003</v>
      </c>
      <c r="P9" s="7">
        <f>+[4]Resumen!P9*1000</f>
        <v>147657.43424</v>
      </c>
      <c r="Q9" s="7">
        <f>+[4]Resumen!Q9*1000</f>
        <v>160350.55040000001</v>
      </c>
      <c r="R9" s="7">
        <f>+[4]Resumen!R9*1000</f>
        <v>170285.42792000002</v>
      </c>
      <c r="S9" s="7">
        <f>+[4]Resumen!S9*1000</f>
        <v>171949.11856</v>
      </c>
      <c r="T9" s="7">
        <f>+[4]Resumen!T9*1000</f>
        <v>168578.38688000001</v>
      </c>
      <c r="U9" s="7">
        <f>+[4]Resumen!U9*1000</f>
        <v>165049.67176</v>
      </c>
      <c r="V9" s="7">
        <f>+[4]Resumen!V9*1000</f>
        <v>162010.65247999999</v>
      </c>
      <c r="W9" s="7">
        <f>+[4]Resumen!W9*1000</f>
        <v>163781.05007999999</v>
      </c>
      <c r="X9" s="7">
        <f>+[4]Resumen!X9*1000</f>
        <v>180791.66768000001</v>
      </c>
      <c r="Y9" s="7">
        <f>+[4]Resumen!Y9*1000</f>
        <v>186078.85903999998</v>
      </c>
      <c r="Z9" s="7">
        <f>+[4]Resumen!Z9*1000</f>
        <v>176262.56520000001</v>
      </c>
      <c r="AA9" s="7">
        <f>+[4]Resumen!AA9*1000</f>
        <v>161207.94096000001</v>
      </c>
      <c r="AB9" s="7">
        <f>+[4]Resumen!AB9*1000</f>
        <v>140905.55735999998</v>
      </c>
      <c r="AC9" s="7">
        <f>+[4]Resumen!AC9*1000</f>
        <v>120529.75584</v>
      </c>
      <c r="AD9" s="6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+[4]Resumen!F10*1000</f>
        <v>124728.04367999999</v>
      </c>
      <c r="G10" s="7">
        <f>+[4]Resumen!G10*1000</f>
        <v>116329.17896</v>
      </c>
      <c r="H10" s="7">
        <f>+[4]Resumen!H10*1000</f>
        <v>109688.27215999999</v>
      </c>
      <c r="I10" s="7">
        <f>+[4]Resumen!I10*1000</f>
        <v>103932.03344</v>
      </c>
      <c r="J10" s="7">
        <f>+[4]Resumen!J10*1000</f>
        <v>103704.3496</v>
      </c>
      <c r="K10" s="7">
        <f>+[4]Resumen!K10*1000</f>
        <v>105637.37568</v>
      </c>
      <c r="L10" s="7">
        <f>+[4]Resumen!L10*1000</f>
        <v>108453.03872</v>
      </c>
      <c r="M10" s="7">
        <f>+[4]Resumen!M10*1000</f>
        <v>101420.9764</v>
      </c>
      <c r="N10" s="7">
        <f>+[4]Resumen!N10*1000</f>
        <v>111283.4776</v>
      </c>
      <c r="O10" s="7">
        <f>+[4]Resumen!O10*1000</f>
        <v>122261.94656</v>
      </c>
      <c r="P10" s="7">
        <f>+[4]Resumen!P10*1000</f>
        <v>133858.01983999999</v>
      </c>
      <c r="Q10" s="7">
        <f>+[4]Resumen!Q10*1000</f>
        <v>146180.50744000002</v>
      </c>
      <c r="R10" s="7">
        <f>+[4]Resumen!R10*1000</f>
        <v>155699.56088</v>
      </c>
      <c r="S10" s="7">
        <f>+[4]Resumen!S10*1000</f>
        <v>156950.42327999999</v>
      </c>
      <c r="T10" s="7">
        <f>+[4]Resumen!T10*1000</f>
        <v>154200.64144000001</v>
      </c>
      <c r="U10" s="7">
        <f>+[4]Resumen!U10*1000</f>
        <v>154365.32583999998</v>
      </c>
      <c r="V10" s="7">
        <f>+[4]Resumen!V10*1000</f>
        <v>153401.62511999998</v>
      </c>
      <c r="W10" s="7">
        <f>+[4]Resumen!W10*1000</f>
        <v>154948.69623999999</v>
      </c>
      <c r="X10" s="7">
        <f>+[4]Resumen!X10*1000</f>
        <v>172948.18904</v>
      </c>
      <c r="Y10" s="7">
        <f>+[4]Resumen!Y10*1000</f>
        <v>176646.70976</v>
      </c>
      <c r="Z10" s="7">
        <f>+[4]Resumen!Z10*1000</f>
        <v>166389.10983999999</v>
      </c>
      <c r="AA10" s="7">
        <f>+[4]Resumen!AA10*1000</f>
        <v>151881.34296000001</v>
      </c>
      <c r="AB10" s="7">
        <f>+[4]Resumen!AB10*1000</f>
        <v>133156.49727999998</v>
      </c>
      <c r="AC10" s="7">
        <f>+[4]Resumen!AC10*1000</f>
        <v>114697.81759999999</v>
      </c>
      <c r="AD10" s="66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+[4]Resumen!F11*1000</f>
        <v>119021.24376</v>
      </c>
      <c r="G11" s="7">
        <f>+[4]Resumen!G11*1000</f>
        <v>109563.12639999999</v>
      </c>
      <c r="H11" s="7">
        <f>+[4]Resumen!H11*1000</f>
        <v>104946.34351999999</v>
      </c>
      <c r="I11" s="7">
        <f>+[4]Resumen!I11*1000</f>
        <v>104931.59496</v>
      </c>
      <c r="J11" s="7">
        <f>+[4]Resumen!J11*1000</f>
        <v>122027.89408</v>
      </c>
      <c r="K11" s="7">
        <f>+[4]Resumen!K11*1000</f>
        <v>153109.30504000001</v>
      </c>
      <c r="L11" s="7">
        <f>+[4]Resumen!L11*1000</f>
        <v>177430.47655999998</v>
      </c>
      <c r="M11" s="7">
        <f>+[4]Resumen!M11*1000</f>
        <v>175644.15240000002</v>
      </c>
      <c r="N11" s="7">
        <f>+[4]Resumen!N11*1000</f>
        <v>189243.09599999999</v>
      </c>
      <c r="O11" s="7">
        <f>+[4]Resumen!O11*1000</f>
        <v>197926.24807999999</v>
      </c>
      <c r="P11" s="7">
        <f>+[4]Resumen!P11*1000</f>
        <v>211826.72992000001</v>
      </c>
      <c r="Q11" s="7">
        <f>+[4]Resumen!Q11*1000</f>
        <v>223145.21679999999</v>
      </c>
      <c r="R11" s="7">
        <f>+[4]Resumen!R11*1000</f>
        <v>223799.21511999998</v>
      </c>
      <c r="S11" s="7">
        <f>+[4]Resumen!S11*1000</f>
        <v>220601.75855999999</v>
      </c>
      <c r="T11" s="7">
        <f>+[4]Resumen!T11*1000</f>
        <v>222672.92559999999</v>
      </c>
      <c r="U11" s="7">
        <f>+[4]Resumen!U11*1000</f>
        <v>223037.51783999999</v>
      </c>
      <c r="V11" s="7">
        <f>+[4]Resumen!V11*1000</f>
        <v>217720.31599999999</v>
      </c>
      <c r="W11" s="7">
        <f>+[4]Resumen!W11*1000</f>
        <v>210374.04759999999</v>
      </c>
      <c r="X11" s="7">
        <f>+[4]Resumen!X11*1000</f>
        <v>226515.6856</v>
      </c>
      <c r="Y11" s="7">
        <f>+[4]Resumen!Y11*1000</f>
        <v>234007.61679999999</v>
      </c>
      <c r="Z11" s="7">
        <f>+[4]Resumen!Z11*1000</f>
        <v>220010.57368</v>
      </c>
      <c r="AA11" s="7">
        <f>+[4]Resumen!AA11*1000</f>
        <v>190679.30120000002</v>
      </c>
      <c r="AB11" s="7">
        <f>+[4]Resumen!AB11*1000</f>
        <v>160649.49703999999</v>
      </c>
      <c r="AC11" s="7">
        <f>+[4]Resumen!AC11*1000</f>
        <v>131208.38535999999</v>
      </c>
      <c r="AD11" s="64">
        <f>SUM(F11:AC11)*E11+SUM(F12:AC12)*E12+SUM(F13:AC13)*E13+SUM(F14:AC14)*E14</f>
        <v>118607369.52543999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+[4]Resumen!F12*1000</f>
        <v>132750.00792</v>
      </c>
      <c r="G12" s="7">
        <f>+[4]Resumen!G12*1000</f>
        <v>121524.27304</v>
      </c>
      <c r="H12" s="7">
        <f>+[4]Resumen!H12*1000</f>
        <v>114602.62032</v>
      </c>
      <c r="I12" s="7">
        <f>+[4]Resumen!I12*1000</f>
        <v>113162.30327999999</v>
      </c>
      <c r="J12" s="7">
        <f>+[4]Resumen!J12*1000</f>
        <v>119584.97255999999</v>
      </c>
      <c r="K12" s="7">
        <f>+[4]Resumen!K12*1000</f>
        <v>131641.81744000001</v>
      </c>
      <c r="L12" s="7">
        <f>+[4]Resumen!L12*1000</f>
        <v>152192.39696000001</v>
      </c>
      <c r="M12" s="7">
        <f>+[4]Resumen!M12*1000</f>
        <v>158719.54616</v>
      </c>
      <c r="N12" s="7">
        <f>+[4]Resumen!N12*1000</f>
        <v>179872.24240000002</v>
      </c>
      <c r="O12" s="7">
        <f>+[4]Resumen!O12*1000</f>
        <v>193216.25936</v>
      </c>
      <c r="P12" s="7">
        <f>+[4]Resumen!P12*1000</f>
        <v>205609.59311999998</v>
      </c>
      <c r="Q12" s="7">
        <f>+[4]Resumen!Q12*1000</f>
        <v>213051.30679999999</v>
      </c>
      <c r="R12" s="7">
        <f>+[4]Resumen!R12*1000</f>
        <v>213191.0796</v>
      </c>
      <c r="S12" s="7">
        <f>+[4]Resumen!S12*1000</f>
        <v>206712.99968000001</v>
      </c>
      <c r="T12" s="7">
        <f>+[4]Resumen!T12*1000</f>
        <v>200462.83424</v>
      </c>
      <c r="U12" s="7">
        <f>+[4]Resumen!U12*1000</f>
        <v>198126.49567999999</v>
      </c>
      <c r="V12" s="7">
        <f>+[4]Resumen!V12*1000</f>
        <v>195253.51736</v>
      </c>
      <c r="W12" s="7">
        <f>+[4]Resumen!W12*1000</f>
        <v>194125.22151999999</v>
      </c>
      <c r="X12" s="7">
        <f>+[4]Resumen!X12*1000</f>
        <v>207166.7628</v>
      </c>
      <c r="Y12" s="7">
        <f>+[4]Resumen!Y12*1000</f>
        <v>212501.02208</v>
      </c>
      <c r="Z12" s="7">
        <f>+[4]Resumen!Z12*1000</f>
        <v>200555.09768000001</v>
      </c>
      <c r="AA12" s="7">
        <f>+[4]Resumen!AA12*1000</f>
        <v>181837.34232</v>
      </c>
      <c r="AB12" s="7">
        <f>+[4]Resumen!AB12*1000</f>
        <v>159910.99024000001</v>
      </c>
      <c r="AC12" s="7">
        <f>+[4]Resumen!AC12*1000</f>
        <v>138575.78584</v>
      </c>
      <c r="AD12" s="6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+[4]Resumen!F13*1000</f>
        <v>129645.59600000001</v>
      </c>
      <c r="G13" s="7">
        <f>+[4]Resumen!G13*1000</f>
        <v>117694.03951999999</v>
      </c>
      <c r="H13" s="7">
        <f>+[4]Resumen!H13*1000</f>
        <v>110104.64679999999</v>
      </c>
      <c r="I13" s="7">
        <f>+[4]Resumen!I13*1000</f>
        <v>106278.91944000001</v>
      </c>
      <c r="J13" s="7">
        <f>+[4]Resumen!J13*1000</f>
        <v>107816.80960000001</v>
      </c>
      <c r="K13" s="7">
        <f>+[4]Resumen!K13*1000</f>
        <v>112594.86192</v>
      </c>
      <c r="L13" s="7">
        <f>+[4]Resumen!L13*1000</f>
        <v>121981.80824</v>
      </c>
      <c r="M13" s="7">
        <f>+[4]Resumen!M13*1000</f>
        <v>121959.90736</v>
      </c>
      <c r="N13" s="7">
        <f>+[4]Resumen!N13*1000</f>
        <v>138252.06400000001</v>
      </c>
      <c r="O13" s="7">
        <f>+[4]Resumen!O13*1000</f>
        <v>152065.84007999999</v>
      </c>
      <c r="P13" s="7">
        <f>+[4]Resumen!P13*1000</f>
        <v>163792.49031999998</v>
      </c>
      <c r="Q13" s="7">
        <f>+[4]Resumen!Q13*1000</f>
        <v>176525.92879999999</v>
      </c>
      <c r="R13" s="7">
        <f>+[4]Resumen!R13*1000</f>
        <v>184275.51464000001</v>
      </c>
      <c r="S13" s="7">
        <f>+[4]Resumen!S13*1000</f>
        <v>184839.51871999999</v>
      </c>
      <c r="T13" s="7">
        <f>+[4]Resumen!T13*1000</f>
        <v>180836.06464</v>
      </c>
      <c r="U13" s="7">
        <f>+[4]Resumen!U13*1000</f>
        <v>177495.29879999999</v>
      </c>
      <c r="V13" s="7">
        <f>+[4]Resumen!V13*1000</f>
        <v>174025.91271999999</v>
      </c>
      <c r="W13" s="7">
        <f>+[4]Resumen!W13*1000</f>
        <v>173993.66527999999</v>
      </c>
      <c r="X13" s="7">
        <f>+[4]Resumen!X13*1000</f>
        <v>188629.66552000001</v>
      </c>
      <c r="Y13" s="7">
        <f>+[4]Resumen!Y13*1000</f>
        <v>198310.11735999997</v>
      </c>
      <c r="Z13" s="7">
        <f>+[4]Resumen!Z13*1000</f>
        <v>189208.73559999999</v>
      </c>
      <c r="AA13" s="7">
        <f>+[4]Resumen!AA13*1000</f>
        <v>172415.52720000001</v>
      </c>
      <c r="AB13" s="7">
        <f>+[4]Resumen!AB13*1000</f>
        <v>148900.56400000001</v>
      </c>
      <c r="AC13" s="7">
        <f>+[4]Resumen!AC13*1000</f>
        <v>125391.05679999999</v>
      </c>
      <c r="AD13" s="65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+[4]Resumen!F14*1000</f>
        <v>0</v>
      </c>
      <c r="G14" s="7">
        <f>+[4]Resumen!G14*1000</f>
        <v>0</v>
      </c>
      <c r="H14" s="7">
        <f>+[4]Resumen!H14*1000</f>
        <v>0</v>
      </c>
      <c r="I14" s="7">
        <f>+[4]Resumen!I14*1000</f>
        <v>0</v>
      </c>
      <c r="J14" s="7">
        <f>+[4]Resumen!J14*1000</f>
        <v>0</v>
      </c>
      <c r="K14" s="7">
        <f>+[4]Resumen!K14*1000</f>
        <v>0</v>
      </c>
      <c r="L14" s="7">
        <f>+[4]Resumen!L14*1000</f>
        <v>0</v>
      </c>
      <c r="M14" s="7">
        <f>+[4]Resumen!M14*1000</f>
        <v>0</v>
      </c>
      <c r="N14" s="7">
        <f>+[4]Resumen!N14*1000</f>
        <v>0</v>
      </c>
      <c r="O14" s="7">
        <f>+[4]Resumen!O14*1000</f>
        <v>0</v>
      </c>
      <c r="P14" s="7">
        <f>+[4]Resumen!P14*1000</f>
        <v>0</v>
      </c>
      <c r="Q14" s="7">
        <f>+[4]Resumen!Q14*1000</f>
        <v>0</v>
      </c>
      <c r="R14" s="7">
        <f>+[4]Resumen!R14*1000</f>
        <v>0</v>
      </c>
      <c r="S14" s="7">
        <f>+[4]Resumen!S14*1000</f>
        <v>0</v>
      </c>
      <c r="T14" s="7">
        <f>+[4]Resumen!T14*1000</f>
        <v>0</v>
      </c>
      <c r="U14" s="7">
        <f>+[4]Resumen!U14*1000</f>
        <v>0</v>
      </c>
      <c r="V14" s="7">
        <f>+[4]Resumen!V14*1000</f>
        <v>0</v>
      </c>
      <c r="W14" s="7">
        <f>+[4]Resumen!W14*1000</f>
        <v>0</v>
      </c>
      <c r="X14" s="7">
        <f>+[4]Resumen!X14*1000</f>
        <v>0</v>
      </c>
      <c r="Y14" s="7">
        <f>+[4]Resumen!Y14*1000</f>
        <v>0</v>
      </c>
      <c r="Z14" s="7">
        <f>+[4]Resumen!Z14*1000</f>
        <v>0</v>
      </c>
      <c r="AA14" s="7">
        <f>+[4]Resumen!AA14*1000</f>
        <v>0</v>
      </c>
      <c r="AB14" s="7">
        <f>+[4]Resumen!AB14*1000</f>
        <v>0</v>
      </c>
      <c r="AC14" s="7">
        <f>+[4]Resumen!AC14*1000</f>
        <v>0</v>
      </c>
      <c r="AD14" s="66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+[4]Resumen!F15*1000</f>
        <v>115908.44696</v>
      </c>
      <c r="G15" s="7">
        <f>+[4]Resumen!G15*1000</f>
        <v>107038.50128</v>
      </c>
      <c r="H15" s="7">
        <f>+[4]Resumen!H15*1000</f>
        <v>102486.69439999999</v>
      </c>
      <c r="I15" s="7">
        <f>+[4]Resumen!I15*1000</f>
        <v>102677.38903999999</v>
      </c>
      <c r="J15" s="7">
        <f>+[4]Resumen!J15*1000</f>
        <v>119557.70744000001</v>
      </c>
      <c r="K15" s="7">
        <f>+[4]Resumen!K15*1000</f>
        <v>149462.02111999999</v>
      </c>
      <c r="L15" s="7">
        <f>+[4]Resumen!L15*1000</f>
        <v>172560.0368</v>
      </c>
      <c r="M15" s="7">
        <f>+[4]Resumen!M15*1000</f>
        <v>172504.00616000002</v>
      </c>
      <c r="N15" s="7">
        <f>+[4]Resumen!N15*1000</f>
        <v>185755.09752000001</v>
      </c>
      <c r="O15" s="7">
        <f>+[4]Resumen!O15*1000</f>
        <v>194287.45071999999</v>
      </c>
      <c r="P15" s="7">
        <f>+[4]Resumen!P15*1000</f>
        <v>208014.61528</v>
      </c>
      <c r="Q15" s="7">
        <f>+[4]Resumen!Q15*1000</f>
        <v>219175.33696000002</v>
      </c>
      <c r="R15" s="7">
        <f>+[4]Resumen!R15*1000</f>
        <v>220373.85152</v>
      </c>
      <c r="S15" s="7">
        <f>+[4]Resumen!S15*1000</f>
        <v>217207.7868</v>
      </c>
      <c r="T15" s="7">
        <f>+[4]Resumen!T15*1000</f>
        <v>219096.89455999999</v>
      </c>
      <c r="U15" s="7">
        <f>+[4]Resumen!U15*1000</f>
        <v>218590.19088000001</v>
      </c>
      <c r="V15" s="7">
        <f>+[4]Resumen!V15*1000</f>
        <v>213479.43664</v>
      </c>
      <c r="W15" s="7">
        <f>+[4]Resumen!W15*1000</f>
        <v>206905.57167999999</v>
      </c>
      <c r="X15" s="7">
        <f>+[4]Resumen!X15*1000</f>
        <v>222381.65951999999</v>
      </c>
      <c r="Y15" s="7">
        <f>+[4]Resumen!Y15*1000</f>
        <v>229088.84927999999</v>
      </c>
      <c r="Z15" s="7">
        <f>+[4]Resumen!Z15*1000</f>
        <v>214899.68552</v>
      </c>
      <c r="AA15" s="7">
        <f>+[4]Resumen!AA15*1000</f>
        <v>185730.68192</v>
      </c>
      <c r="AB15" s="7">
        <f>+[4]Resumen!AB15*1000</f>
        <v>156710.06416000001</v>
      </c>
      <c r="AC15" s="7">
        <f>+[4]Resumen!AC15*1000</f>
        <v>127691.52712</v>
      </c>
      <c r="AD15" s="64">
        <f t="shared" ref="AD15" si="0">SUM(F15:AC15)*E15+SUM(F16:AC16)*E16+SUM(F17:AC17)*E17+SUM(F18:AC18)*E18</f>
        <v>127404007.99512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5</v>
      </c>
      <c r="F16" s="7">
        <f>+[4]Resumen!F16*1000</f>
        <v>124981.39055999999</v>
      </c>
      <c r="G16" s="7">
        <f>+[4]Resumen!G16*1000</f>
        <v>114495.72487999999</v>
      </c>
      <c r="H16" s="7">
        <f>+[4]Resumen!H16*1000</f>
        <v>108247.70464</v>
      </c>
      <c r="I16" s="7">
        <f>+[4]Resumen!I16*1000</f>
        <v>106984.85639999999</v>
      </c>
      <c r="J16" s="7">
        <f>+[4]Resumen!J16*1000</f>
        <v>113963.7748</v>
      </c>
      <c r="K16" s="7">
        <f>+[4]Resumen!K16*1000</f>
        <v>127244.51952</v>
      </c>
      <c r="L16" s="7">
        <f>+[4]Resumen!L16*1000</f>
        <v>147011.50088000001</v>
      </c>
      <c r="M16" s="7">
        <f>+[4]Resumen!M16*1000</f>
        <v>156146.53872000001</v>
      </c>
      <c r="N16" s="7">
        <f>+[4]Resumen!N16*1000</f>
        <v>175732.19488000002</v>
      </c>
      <c r="O16" s="7">
        <f>+[4]Resumen!O16*1000</f>
        <v>188369.75904</v>
      </c>
      <c r="P16" s="7">
        <f>+[4]Resumen!P16*1000</f>
        <v>200373.43520000001</v>
      </c>
      <c r="Q16" s="7">
        <f>+[4]Resumen!Q16*1000</f>
        <v>209440.96496000001</v>
      </c>
      <c r="R16" s="7">
        <f>+[4]Resumen!R16*1000</f>
        <v>209960.18520000001</v>
      </c>
      <c r="S16" s="7">
        <f>+[4]Resumen!S16*1000</f>
        <v>204718.75975999999</v>
      </c>
      <c r="T16" s="7">
        <f>+[4]Resumen!T16*1000</f>
        <v>199351.46935999999</v>
      </c>
      <c r="U16" s="7">
        <f>+[4]Resumen!U16*1000</f>
        <v>195747.95744</v>
      </c>
      <c r="V16" s="7">
        <f>+[4]Resumen!V16*1000</f>
        <v>192473.78951999999</v>
      </c>
      <c r="W16" s="7">
        <f>+[4]Resumen!W16*1000</f>
        <v>192327.20416000002</v>
      </c>
      <c r="X16" s="7">
        <f>+[4]Resumen!X16*1000</f>
        <v>203166.68400000001</v>
      </c>
      <c r="Y16" s="7">
        <f>+[4]Resumen!Y16*1000</f>
        <v>208499.95624</v>
      </c>
      <c r="Z16" s="7">
        <f>+[4]Resumen!Z16*1000</f>
        <v>196182.48071999999</v>
      </c>
      <c r="AA16" s="7">
        <f>+[4]Resumen!AA16*1000</f>
        <v>178472.93711999999</v>
      </c>
      <c r="AB16" s="7">
        <f>+[4]Resumen!AB16*1000</f>
        <v>157007.66416000001</v>
      </c>
      <c r="AC16" s="7">
        <f>+[4]Resumen!AC16*1000</f>
        <v>136601.77031999998</v>
      </c>
      <c r="AD16" s="65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5</v>
      </c>
      <c r="F17" s="7">
        <f>+[4]Resumen!F17*1000</f>
        <v>125297.76664</v>
      </c>
      <c r="G17" s="7">
        <f>+[4]Resumen!G17*1000</f>
        <v>113651.64696</v>
      </c>
      <c r="H17" s="7">
        <f>+[4]Resumen!H17*1000</f>
        <v>106174.42464</v>
      </c>
      <c r="I17" s="7">
        <f>+[4]Resumen!I17*1000</f>
        <v>102464.33472</v>
      </c>
      <c r="J17" s="7">
        <f>+[4]Resumen!J17*1000</f>
        <v>103544.0052</v>
      </c>
      <c r="K17" s="7">
        <f>+[4]Resumen!K17*1000</f>
        <v>108328.83039999999</v>
      </c>
      <c r="L17" s="7">
        <f>+[4]Resumen!L17*1000</f>
        <v>116105.35648</v>
      </c>
      <c r="M17" s="7">
        <f>+[4]Resumen!M17*1000</f>
        <v>118713.18312</v>
      </c>
      <c r="N17" s="7">
        <f>+[4]Resumen!N17*1000</f>
        <v>135050.41872000002</v>
      </c>
      <c r="O17" s="7">
        <f>+[4]Resumen!O17*1000</f>
        <v>147544.60664000001</v>
      </c>
      <c r="P17" s="7">
        <f>+[4]Resumen!P17*1000</f>
        <v>158567.47255999999</v>
      </c>
      <c r="Q17" s="7">
        <f>+[4]Resumen!Q17*1000</f>
        <v>170213.24503999998</v>
      </c>
      <c r="R17" s="7">
        <f>+[4]Resumen!R17*1000</f>
        <v>177634.74672</v>
      </c>
      <c r="S17" s="7">
        <f>+[4]Resumen!S17*1000</f>
        <v>178192.9228</v>
      </c>
      <c r="T17" s="7">
        <f>+[4]Resumen!T17*1000</f>
        <v>174607.78520000001</v>
      </c>
      <c r="U17" s="7">
        <f>+[4]Resumen!U17*1000</f>
        <v>172116.35735999999</v>
      </c>
      <c r="V17" s="7">
        <f>+[4]Resumen!V17*1000</f>
        <v>169189.19352</v>
      </c>
      <c r="W17" s="7">
        <f>+[4]Resumen!W17*1000</f>
        <v>169484.73759999999</v>
      </c>
      <c r="X17" s="7">
        <f>+[4]Resumen!X17*1000</f>
        <v>183930.69296000001</v>
      </c>
      <c r="Y17" s="7">
        <f>+[4]Resumen!Y17*1000</f>
        <v>193628.70071999999</v>
      </c>
      <c r="Z17" s="7">
        <f>+[4]Resumen!Z17*1000</f>
        <v>184899.45783999999</v>
      </c>
      <c r="AA17" s="7">
        <f>+[4]Resumen!AA17*1000</f>
        <v>168595.98992000002</v>
      </c>
      <c r="AB17" s="7">
        <f>+[4]Resumen!AB17*1000</f>
        <v>146714.99703999999</v>
      </c>
      <c r="AC17" s="7">
        <f>+[4]Resumen!AC17*1000</f>
        <v>123924.98</v>
      </c>
      <c r="AD17" s="65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+[4]Resumen!F18*1000</f>
        <v>130772.99407999999</v>
      </c>
      <c r="G18" s="7">
        <f>+[4]Resumen!G18*1000</f>
        <v>119339.25167999999</v>
      </c>
      <c r="H18" s="7">
        <f>+[4]Resumen!H18*1000</f>
        <v>112272.23127999999</v>
      </c>
      <c r="I18" s="7">
        <f>+[4]Resumen!I18*1000</f>
        <v>109241.49767999999</v>
      </c>
      <c r="J18" s="7">
        <f>+[4]Resumen!J18*1000</f>
        <v>111622.64736</v>
      </c>
      <c r="K18" s="7">
        <f>+[4]Resumen!K18*1000</f>
        <v>116655.22951999999</v>
      </c>
      <c r="L18" s="7">
        <f>+[4]Resumen!L18*1000</f>
        <v>123693.25624</v>
      </c>
      <c r="M18" s="7">
        <f>+[4]Resumen!M18*1000</f>
        <v>126032.98991999999</v>
      </c>
      <c r="N18" s="7">
        <f>+[4]Resumen!N18*1000</f>
        <v>141981.60704</v>
      </c>
      <c r="O18" s="7">
        <f>+[4]Resumen!O18*1000</f>
        <v>156463.34631999998</v>
      </c>
      <c r="P18" s="7">
        <f>+[4]Resumen!P18*1000</f>
        <v>170005.01431999999</v>
      </c>
      <c r="Q18" s="7">
        <f>+[4]Resumen!Q18*1000</f>
        <v>185245.95352000001</v>
      </c>
      <c r="R18" s="7">
        <f>+[4]Resumen!R18*1000</f>
        <v>193006.50592</v>
      </c>
      <c r="S18" s="7">
        <f>+[4]Resumen!S18*1000</f>
        <v>190526.3596</v>
      </c>
      <c r="T18" s="7">
        <f>+[4]Resumen!T18*1000</f>
        <v>185345.02703999999</v>
      </c>
      <c r="U18" s="7">
        <f>+[4]Resumen!U18*1000</f>
        <v>182187.27528</v>
      </c>
      <c r="V18" s="7">
        <f>+[4]Resumen!V18*1000</f>
        <v>180421.34416000001</v>
      </c>
      <c r="W18" s="7">
        <f>+[4]Resumen!W18*1000</f>
        <v>181257.98704000001</v>
      </c>
      <c r="X18" s="7">
        <f>+[4]Resumen!X18*1000</f>
        <v>197646.70744</v>
      </c>
      <c r="Y18" s="7">
        <f>+[4]Resumen!Y18*1000</f>
        <v>210867.06168000001</v>
      </c>
      <c r="Z18" s="7">
        <f>+[4]Resumen!Z18*1000</f>
        <v>199224.24535999997</v>
      </c>
      <c r="AA18" s="7">
        <f>+[4]Resumen!AA18*1000</f>
        <v>180301.11376000001</v>
      </c>
      <c r="AB18" s="7">
        <f>+[4]Resumen!AB18*1000</f>
        <v>155897.00855999999</v>
      </c>
      <c r="AC18" s="7">
        <f>+[4]Resumen!AC18*1000</f>
        <v>131935.89831999998</v>
      </c>
      <c r="AD18" s="66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20</v>
      </c>
      <c r="F19" s="7">
        <f>+[4]Resumen!F19*1000</f>
        <v>115860.7144</v>
      </c>
      <c r="G19" s="7">
        <f>+[4]Resumen!G19*1000</f>
        <v>106683.94560000001</v>
      </c>
      <c r="H19" s="7">
        <f>+[4]Resumen!H19*1000</f>
        <v>102101.65208</v>
      </c>
      <c r="I19" s="7">
        <f>+[4]Resumen!I19*1000</f>
        <v>102279.73096</v>
      </c>
      <c r="J19" s="7">
        <f>+[4]Resumen!J19*1000</f>
        <v>118213.31432</v>
      </c>
      <c r="K19" s="7">
        <f>+[4]Resumen!K19*1000</f>
        <v>144487.18575999999</v>
      </c>
      <c r="L19" s="7">
        <f>+[4]Resumen!L19*1000</f>
        <v>167465.73983999999</v>
      </c>
      <c r="M19" s="7">
        <f>+[4]Resumen!M19*1000</f>
        <v>169827.12640000001</v>
      </c>
      <c r="N19" s="7">
        <f>+[4]Resumen!N19*1000</f>
        <v>183731.22904000001</v>
      </c>
      <c r="O19" s="7">
        <f>+[4]Resumen!O19*1000</f>
        <v>192995.48728</v>
      </c>
      <c r="P19" s="7">
        <f>+[4]Resumen!P19*1000</f>
        <v>206707.43703999999</v>
      </c>
      <c r="Q19" s="7">
        <f>+[4]Resumen!Q19*1000</f>
        <v>218475.74383999998</v>
      </c>
      <c r="R19" s="7">
        <f>+[4]Resumen!R19*1000</f>
        <v>220705.49944000001</v>
      </c>
      <c r="S19" s="7">
        <f>+[4]Resumen!S19*1000</f>
        <v>217390.22303999998</v>
      </c>
      <c r="T19" s="7">
        <f>+[4]Resumen!T19*1000</f>
        <v>219030.78768000001</v>
      </c>
      <c r="U19" s="7">
        <f>+[4]Resumen!U19*1000</f>
        <v>218840.74528</v>
      </c>
      <c r="V19" s="7">
        <f>+[4]Resumen!V19*1000</f>
        <v>213248.89335999999</v>
      </c>
      <c r="W19" s="7">
        <f>+[4]Resumen!W19*1000</f>
        <v>207371.04535999999</v>
      </c>
      <c r="X19" s="7">
        <f>+[4]Resumen!X19*1000</f>
        <v>224612.50383999999</v>
      </c>
      <c r="Y19" s="7">
        <f>+[4]Resumen!Y19*1000</f>
        <v>228933.59631999998</v>
      </c>
      <c r="Z19" s="7">
        <f>+[4]Resumen!Z19*1000</f>
        <v>214754.0128</v>
      </c>
      <c r="AA19" s="7">
        <f>+[4]Resumen!AA19*1000</f>
        <v>186333.72368</v>
      </c>
      <c r="AB19" s="7">
        <f>+[4]Resumen!AB19*1000</f>
        <v>158434.14775999999</v>
      </c>
      <c r="AC19" s="7">
        <f>+[4]Resumen!AC19*1000</f>
        <v>128690.81088000002</v>
      </c>
      <c r="AD19" s="64">
        <f t="shared" ref="AD19" si="1">SUM(F19:AC19)*E19+SUM(F20:AC20)*E20+SUM(F21:AC21)*E21+SUM(F22:AC22)*E22</f>
        <v>122434373.26703998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+[4]Resumen!F20*1000</f>
        <v>123189.78648</v>
      </c>
      <c r="G20" s="7">
        <f>+[4]Resumen!G20*1000</f>
        <v>112006.73736</v>
      </c>
      <c r="H20" s="7">
        <f>+[4]Resumen!H20*1000</f>
        <v>105711.82776</v>
      </c>
      <c r="I20" s="7">
        <f>+[4]Resumen!I20*1000</f>
        <v>104355.0396</v>
      </c>
      <c r="J20" s="7">
        <f>+[4]Resumen!J20*1000</f>
        <v>110344.36608000001</v>
      </c>
      <c r="K20" s="7">
        <f>+[4]Resumen!K20*1000</f>
        <v>121021.02896000001</v>
      </c>
      <c r="L20" s="7">
        <f>+[4]Resumen!L20*1000</f>
        <v>138534.04992000002</v>
      </c>
      <c r="M20" s="7">
        <f>+[4]Resumen!M20*1000</f>
        <v>146553.48455999998</v>
      </c>
      <c r="N20" s="7">
        <f>+[4]Resumen!N20*1000</f>
        <v>165605.45959999997</v>
      </c>
      <c r="O20" s="7">
        <f>+[4]Resumen!O20*1000</f>
        <v>178647.24888</v>
      </c>
      <c r="P20" s="7">
        <f>+[4]Resumen!P20*1000</f>
        <v>190145.58040000001</v>
      </c>
      <c r="Q20" s="7">
        <f>+[4]Resumen!Q20*1000</f>
        <v>198724.38896000001</v>
      </c>
      <c r="R20" s="7">
        <f>+[4]Resumen!R20*1000</f>
        <v>200847.75008</v>
      </c>
      <c r="S20" s="7">
        <f>+[4]Resumen!S20*1000</f>
        <v>197251.85920000001</v>
      </c>
      <c r="T20" s="7">
        <f>+[4]Resumen!T20*1000</f>
        <v>192837.40959999998</v>
      </c>
      <c r="U20" s="7">
        <f>+[4]Resumen!U20*1000</f>
        <v>191611.81096</v>
      </c>
      <c r="V20" s="7">
        <f>+[4]Resumen!V20*1000</f>
        <v>189770.41840000002</v>
      </c>
      <c r="W20" s="7">
        <f>+[4]Resumen!W20*1000</f>
        <v>190110.58264000001</v>
      </c>
      <c r="X20" s="7">
        <f>+[4]Resumen!X20*1000</f>
        <v>202385.16407999999</v>
      </c>
      <c r="Y20" s="7">
        <f>+[4]Resumen!Y20*1000</f>
        <v>206123.49375999998</v>
      </c>
      <c r="Z20" s="7">
        <f>+[4]Resumen!Z20*1000</f>
        <v>193398.09048000001</v>
      </c>
      <c r="AA20" s="7">
        <f>+[4]Resumen!AA20*1000</f>
        <v>175676.68752000001</v>
      </c>
      <c r="AB20" s="7">
        <f>+[4]Resumen!AB20*1000</f>
        <v>155812.04376</v>
      </c>
      <c r="AC20" s="7">
        <f>+[4]Resumen!AC20*1000</f>
        <v>135543.09552</v>
      </c>
      <c r="AD20" s="65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+[4]Resumen!F21*1000</f>
        <v>126364.65272</v>
      </c>
      <c r="G21" s="7">
        <f>+[4]Resumen!G21*1000</f>
        <v>114560.94144000001</v>
      </c>
      <c r="H21" s="7">
        <f>+[4]Resumen!H21*1000</f>
        <v>107067.7752</v>
      </c>
      <c r="I21" s="7">
        <f>+[4]Resumen!I21*1000</f>
        <v>103711.23904</v>
      </c>
      <c r="J21" s="7">
        <f>+[4]Resumen!J21*1000</f>
        <v>105024.26512</v>
      </c>
      <c r="K21" s="7">
        <f>+[4]Resumen!K21*1000</f>
        <v>108289.65136</v>
      </c>
      <c r="L21" s="7">
        <f>+[4]Resumen!L21*1000</f>
        <v>117307.10496</v>
      </c>
      <c r="M21" s="7">
        <f>+[4]Resumen!M21*1000</f>
        <v>120449.3964</v>
      </c>
      <c r="N21" s="7">
        <f>+[4]Resumen!N21*1000</f>
        <v>136947.62368000002</v>
      </c>
      <c r="O21" s="7">
        <f>+[4]Resumen!O21*1000</f>
        <v>150724.51472000001</v>
      </c>
      <c r="P21" s="7">
        <f>+[4]Resumen!P21*1000</f>
        <v>160786.37816000002</v>
      </c>
      <c r="Q21" s="7">
        <f>+[4]Resumen!Q21*1000</f>
        <v>170539.94288000002</v>
      </c>
      <c r="R21" s="7">
        <f>+[4]Resumen!R21*1000</f>
        <v>177494.20016000001</v>
      </c>
      <c r="S21" s="7">
        <f>+[4]Resumen!S21*1000</f>
        <v>178705.81904</v>
      </c>
      <c r="T21" s="7">
        <f>+[4]Resumen!T21*1000</f>
        <v>176738.16472</v>
      </c>
      <c r="U21" s="7">
        <f>+[4]Resumen!U21*1000</f>
        <v>174244.75040000002</v>
      </c>
      <c r="V21" s="7">
        <f>+[4]Resumen!V21*1000</f>
        <v>171358.00559999997</v>
      </c>
      <c r="W21" s="7">
        <f>+[4]Resumen!W21*1000</f>
        <v>172724.11856</v>
      </c>
      <c r="X21" s="7">
        <f>+[4]Resumen!X21*1000</f>
        <v>187405.09607999999</v>
      </c>
      <c r="Y21" s="7">
        <f>+[4]Resumen!Y21*1000</f>
        <v>194871.39648</v>
      </c>
      <c r="Z21" s="7">
        <f>+[4]Resumen!Z21*1000</f>
        <v>185336.08168</v>
      </c>
      <c r="AA21" s="7">
        <f>+[4]Resumen!AA21*1000</f>
        <v>168449.41696</v>
      </c>
      <c r="AB21" s="7">
        <f>+[4]Resumen!AB21*1000</f>
        <v>145674.66928</v>
      </c>
      <c r="AC21" s="7">
        <f>+[4]Resumen!AC21*1000</f>
        <v>122676.90512</v>
      </c>
      <c r="AD21" s="65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+[4]Resumen!F22*1000</f>
        <v>131684.58255999998</v>
      </c>
      <c r="G22" s="7">
        <f>+[4]Resumen!G22*1000</f>
        <v>119394.6896</v>
      </c>
      <c r="H22" s="7">
        <f>+[4]Resumen!H22*1000</f>
        <v>111817.86304</v>
      </c>
      <c r="I22" s="7">
        <f>+[4]Resumen!I22*1000</f>
        <v>108395.1952</v>
      </c>
      <c r="J22" s="7">
        <f>+[4]Resumen!J22*1000</f>
        <v>110174.18351999999</v>
      </c>
      <c r="K22" s="7">
        <f>+[4]Resumen!K22*1000</f>
        <v>113750.23688</v>
      </c>
      <c r="L22" s="7">
        <f>+[4]Resumen!L22*1000</f>
        <v>120799.20288</v>
      </c>
      <c r="M22" s="7">
        <f>+[4]Resumen!M22*1000</f>
        <v>121917.15712</v>
      </c>
      <c r="N22" s="7">
        <f>+[4]Resumen!N22*1000</f>
        <v>136545.50159999999</v>
      </c>
      <c r="O22" s="7">
        <f>+[4]Resumen!O22*1000</f>
        <v>145008.89344000001</v>
      </c>
      <c r="P22" s="7">
        <f>+[4]Resumen!P22*1000</f>
        <v>149868.16576</v>
      </c>
      <c r="Q22" s="7">
        <f>+[4]Resumen!Q22*1000</f>
        <v>161554.98968</v>
      </c>
      <c r="R22" s="7">
        <f>+[4]Resumen!R22*1000</f>
        <v>172077.23288000003</v>
      </c>
      <c r="S22" s="7">
        <f>+[4]Resumen!S22*1000</f>
        <v>171154.3976</v>
      </c>
      <c r="T22" s="7">
        <f>+[4]Resumen!T22*1000</f>
        <v>167146.17696000001</v>
      </c>
      <c r="U22" s="7">
        <f>+[4]Resumen!U22*1000</f>
        <v>164596.57327999998</v>
      </c>
      <c r="V22" s="7">
        <f>+[4]Resumen!V22*1000</f>
        <v>164655.08392</v>
      </c>
      <c r="W22" s="7">
        <f>+[4]Resumen!W22*1000</f>
        <v>167239.30095999999</v>
      </c>
      <c r="X22" s="7">
        <f>+[4]Resumen!X22*1000</f>
        <v>182927.37176000001</v>
      </c>
      <c r="Y22" s="7">
        <f>+[4]Resumen!Y22*1000</f>
        <v>188302.05504000001</v>
      </c>
      <c r="Z22" s="7">
        <f>+[4]Resumen!Z22*1000</f>
        <v>176868.40688000002</v>
      </c>
      <c r="AA22" s="7">
        <f>+[4]Resumen!AA22*1000</f>
        <v>165673.40912</v>
      </c>
      <c r="AB22" s="7">
        <f>+[4]Resumen!AB22*1000</f>
        <v>152669.38775999998</v>
      </c>
      <c r="AC22" s="7">
        <f>+[4]Resumen!AC22*1000</f>
        <v>133894.58744</v>
      </c>
      <c r="AD22" s="66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22</v>
      </c>
      <c r="F23" s="7">
        <f>+[4]Resumen!F23*1000</f>
        <v>106730.16288</v>
      </c>
      <c r="G23" s="7">
        <f>+[4]Resumen!G23*1000</f>
        <v>97451.463600000003</v>
      </c>
      <c r="H23" s="7">
        <f>+[4]Resumen!H23*1000</f>
        <v>92774.674639999997</v>
      </c>
      <c r="I23" s="7">
        <f>+[4]Resumen!I23*1000</f>
        <v>93061.759440000009</v>
      </c>
      <c r="J23" s="7">
        <f>+[4]Resumen!J23*1000</f>
        <v>108876.22592</v>
      </c>
      <c r="K23" s="7">
        <f>+[4]Resumen!K23*1000</f>
        <v>135080.87807999999</v>
      </c>
      <c r="L23" s="7">
        <f>+[4]Resumen!L23*1000</f>
        <v>159265.97696</v>
      </c>
      <c r="M23" s="7">
        <f>+[4]Resumen!M23*1000</f>
        <v>162081.20352000001</v>
      </c>
      <c r="N23" s="7">
        <f>+[4]Resumen!N23*1000</f>
        <v>175265.98464000001</v>
      </c>
      <c r="O23" s="7">
        <f>+[4]Resumen!O23*1000</f>
        <v>184633.00168000002</v>
      </c>
      <c r="P23" s="7">
        <f>+[4]Resumen!P23*1000</f>
        <v>198476.77583999999</v>
      </c>
      <c r="Q23" s="7">
        <f>+[4]Resumen!Q23*1000</f>
        <v>209840.19535999998</v>
      </c>
      <c r="R23" s="7">
        <f>+[4]Resumen!R23*1000</f>
        <v>210688.28591999999</v>
      </c>
      <c r="S23" s="7">
        <f>+[4]Resumen!S23*1000</f>
        <v>206783.93264000001</v>
      </c>
      <c r="T23" s="7">
        <f>+[4]Resumen!T23*1000</f>
        <v>207917.54807999998</v>
      </c>
      <c r="U23" s="7">
        <f>+[4]Resumen!U23*1000</f>
        <v>208086.50552000001</v>
      </c>
      <c r="V23" s="7">
        <f>+[4]Resumen!V23*1000</f>
        <v>202650.87375999999</v>
      </c>
      <c r="W23" s="7">
        <f>+[4]Resumen!W23*1000</f>
        <v>196369.78271999999</v>
      </c>
      <c r="X23" s="7">
        <f>+[4]Resumen!X23*1000</f>
        <v>213307.58255999998</v>
      </c>
      <c r="Y23" s="7">
        <f>+[4]Resumen!Y23*1000</f>
        <v>219283.60135999997</v>
      </c>
      <c r="Z23" s="7">
        <f>+[4]Resumen!Z23*1000</f>
        <v>204992.20952</v>
      </c>
      <c r="AA23" s="7">
        <f>+[4]Resumen!AA23*1000</f>
        <v>176853.74264000001</v>
      </c>
      <c r="AB23" s="7">
        <f>+[4]Resumen!AB23*1000</f>
        <v>148550.63847999999</v>
      </c>
      <c r="AC23" s="7">
        <f>+[4]Resumen!AC23*1000</f>
        <v>119248.4192</v>
      </c>
      <c r="AD23" s="64">
        <f t="shared" ref="AD23" si="2">SUM(F23:AC23)*E23+SUM(F24:AC24)*E24+SUM(F25:AC25)*E25+SUM(F26:AC26)*E26</f>
        <v>120435795.40544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+[4]Resumen!F24*1000</f>
        <v>116592.94184</v>
      </c>
      <c r="G24" s="7">
        <f>+[4]Resumen!G24*1000</f>
        <v>105500.05064</v>
      </c>
      <c r="H24" s="7">
        <f>+[4]Resumen!H24*1000</f>
        <v>99593.739679999999</v>
      </c>
      <c r="I24" s="7">
        <f>+[4]Resumen!I24*1000</f>
        <v>97850.339359999998</v>
      </c>
      <c r="J24" s="7">
        <f>+[4]Resumen!J24*1000</f>
        <v>103900.31176</v>
      </c>
      <c r="K24" s="7">
        <f>+[4]Resumen!K24*1000</f>
        <v>113842.25727999999</v>
      </c>
      <c r="L24" s="7">
        <f>+[4]Resumen!L24*1000</f>
        <v>133302.3064</v>
      </c>
      <c r="M24" s="7">
        <f>+[4]Resumen!M24*1000</f>
        <v>142948.50448</v>
      </c>
      <c r="N24" s="7">
        <f>+[4]Resumen!N24*1000</f>
        <v>163065.90240000002</v>
      </c>
      <c r="O24" s="7">
        <f>+[4]Resumen!O24*1000</f>
        <v>176351.59720000002</v>
      </c>
      <c r="P24" s="7">
        <f>+[4]Resumen!P24*1000</f>
        <v>188333.44440000001</v>
      </c>
      <c r="Q24" s="7">
        <f>+[4]Resumen!Q24*1000</f>
        <v>196562.92264</v>
      </c>
      <c r="R24" s="7">
        <f>+[4]Resumen!R24*1000</f>
        <v>196638.47335999997</v>
      </c>
      <c r="S24" s="7">
        <f>+[4]Resumen!S24*1000</f>
        <v>190802.37616000001</v>
      </c>
      <c r="T24" s="7">
        <f>+[4]Resumen!T24*1000</f>
        <v>185012.58304</v>
      </c>
      <c r="U24" s="7">
        <f>+[4]Resumen!U24*1000</f>
        <v>182621.80848000001</v>
      </c>
      <c r="V24" s="7">
        <f>+[4]Resumen!V24*1000</f>
        <v>179889.38664000001</v>
      </c>
      <c r="W24" s="7">
        <f>+[4]Resumen!W24*1000</f>
        <v>180414.80688000002</v>
      </c>
      <c r="X24" s="7">
        <f>+[4]Resumen!X24*1000</f>
        <v>191466.86735999997</v>
      </c>
      <c r="Y24" s="7">
        <f>+[4]Resumen!Y24*1000</f>
        <v>196288.71400000001</v>
      </c>
      <c r="Z24" s="7">
        <f>+[4]Resumen!Z24*1000</f>
        <v>184784.50983999998</v>
      </c>
      <c r="AA24" s="7">
        <f>+[4]Resumen!AA24*1000</f>
        <v>166952.75183999998</v>
      </c>
      <c r="AB24" s="7">
        <f>+[4]Resumen!AB24*1000</f>
        <v>146735.30824000001</v>
      </c>
      <c r="AC24" s="7">
        <f>+[4]Resumen!AC24*1000</f>
        <v>125979.08712</v>
      </c>
      <c r="AD24" s="65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+[4]Resumen!F25*1000</f>
        <v>114802.04455999999</v>
      </c>
      <c r="G25" s="7">
        <f>+[4]Resumen!G25*1000</f>
        <v>103562.76639999999</v>
      </c>
      <c r="H25" s="7">
        <f>+[4]Resumen!H25*1000</f>
        <v>95982.175199999998</v>
      </c>
      <c r="I25" s="7">
        <f>+[4]Resumen!I25*1000</f>
        <v>92400.365760000001</v>
      </c>
      <c r="J25" s="7">
        <f>+[4]Resumen!J25*1000</f>
        <v>92743.858159999989</v>
      </c>
      <c r="K25" s="7">
        <f>+[4]Resumen!K25*1000</f>
        <v>95043.467919999996</v>
      </c>
      <c r="L25" s="7">
        <f>+[4]Resumen!L25*1000</f>
        <v>103943.93248</v>
      </c>
      <c r="M25" s="7">
        <f>+[4]Resumen!M25*1000</f>
        <v>107155.88712</v>
      </c>
      <c r="N25" s="7">
        <f>+[4]Resumen!N25*1000</f>
        <v>124174.19768</v>
      </c>
      <c r="O25" s="7">
        <f>+[4]Resumen!O25*1000</f>
        <v>138591.80664000002</v>
      </c>
      <c r="P25" s="7">
        <f>+[4]Resumen!P25*1000</f>
        <v>149968.82647999999</v>
      </c>
      <c r="Q25" s="7">
        <f>+[4]Resumen!Q25*1000</f>
        <v>161618.91168000002</v>
      </c>
      <c r="R25" s="7">
        <f>+[4]Resumen!R25*1000</f>
        <v>167265.62368000002</v>
      </c>
      <c r="S25" s="7">
        <f>+[4]Resumen!S25*1000</f>
        <v>166408.76135999997</v>
      </c>
      <c r="T25" s="7">
        <f>+[4]Resumen!T25*1000</f>
        <v>160837.17848</v>
      </c>
      <c r="U25" s="7">
        <f>+[4]Resumen!U25*1000</f>
        <v>159243.26264</v>
      </c>
      <c r="V25" s="7">
        <f>+[4]Resumen!V25*1000</f>
        <v>156578.30671999999</v>
      </c>
      <c r="W25" s="7">
        <f>+[4]Resumen!W25*1000</f>
        <v>158420.47552000001</v>
      </c>
      <c r="X25" s="7">
        <f>+[4]Resumen!X25*1000</f>
        <v>172890.77455999999</v>
      </c>
      <c r="Y25" s="7">
        <f>+[4]Resumen!Y25*1000</f>
        <v>181270.52592000001</v>
      </c>
      <c r="Z25" s="7">
        <f>+[4]Resumen!Z25*1000</f>
        <v>172648.59264000002</v>
      </c>
      <c r="AA25" s="7">
        <f>+[4]Resumen!AA25*1000</f>
        <v>156929.36064</v>
      </c>
      <c r="AB25" s="7">
        <f>+[4]Resumen!AB25*1000</f>
        <v>134930.57768000002</v>
      </c>
      <c r="AC25" s="7">
        <f>+[4]Resumen!AC25*1000</f>
        <v>111935.14967999999</v>
      </c>
      <c r="AD25" s="65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1</v>
      </c>
      <c r="F26" s="7">
        <f>+[4]Resumen!F26*1000</f>
        <v>109066.79904</v>
      </c>
      <c r="G26" s="7">
        <f>+[4]Resumen!G26*1000</f>
        <v>98386.7212</v>
      </c>
      <c r="H26" s="7">
        <f>+[4]Resumen!H26*1000</f>
        <v>92120.450639999995</v>
      </c>
      <c r="I26" s="7">
        <f>+[4]Resumen!I26*1000</f>
        <v>90106.251679999987</v>
      </c>
      <c r="J26" s="7">
        <f>+[4]Resumen!J26*1000</f>
        <v>95235.077679999988</v>
      </c>
      <c r="K26" s="7">
        <f>+[4]Resumen!K26*1000</f>
        <v>103139.31384</v>
      </c>
      <c r="L26" s="7">
        <f>+[4]Resumen!L26*1000</f>
        <v>113064.84672</v>
      </c>
      <c r="M26" s="7">
        <f>+[4]Resumen!M26*1000</f>
        <v>116671.8232</v>
      </c>
      <c r="N26" s="7">
        <f>+[4]Resumen!N26*1000</f>
        <v>132861.01768000002</v>
      </c>
      <c r="O26" s="7">
        <f>+[4]Resumen!O26*1000</f>
        <v>146045.05976</v>
      </c>
      <c r="P26" s="7">
        <f>+[4]Resumen!P26*1000</f>
        <v>160719.88935999997</v>
      </c>
      <c r="Q26" s="7">
        <f>+[4]Resumen!Q26*1000</f>
        <v>172733.03911999997</v>
      </c>
      <c r="R26" s="7">
        <f>+[4]Resumen!R26*1000</f>
        <v>182456.44207999998</v>
      </c>
      <c r="S26" s="7">
        <f>+[4]Resumen!S26*1000</f>
        <v>178922.56607999999</v>
      </c>
      <c r="T26" s="7">
        <f>+[4]Resumen!T26*1000</f>
        <v>172509.39272</v>
      </c>
      <c r="U26" s="7">
        <f>+[4]Resumen!U26*1000</f>
        <v>166041.98176</v>
      </c>
      <c r="V26" s="7">
        <f>+[4]Resumen!V26*1000</f>
        <v>164124.75079999998</v>
      </c>
      <c r="W26" s="7">
        <f>+[4]Resumen!W26*1000</f>
        <v>169217.84744000001</v>
      </c>
      <c r="X26" s="7">
        <f>+[4]Resumen!X26*1000</f>
        <v>182889.23679999998</v>
      </c>
      <c r="Y26" s="7">
        <f>+[4]Resumen!Y26*1000</f>
        <v>188082.38159999999</v>
      </c>
      <c r="Z26" s="7">
        <f>+[4]Resumen!Z26*1000</f>
        <v>176042.5148</v>
      </c>
      <c r="AA26" s="7">
        <f>+[4]Resumen!AA26*1000</f>
        <v>157820.44200000001</v>
      </c>
      <c r="AB26" s="7">
        <f>+[4]Resumen!AB26*1000</f>
        <v>134833.59232</v>
      </c>
      <c r="AC26" s="7">
        <f>+[4]Resumen!AC26*1000</f>
        <v>111621.33544000001</v>
      </c>
      <c r="AD26" s="66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18</v>
      </c>
      <c r="F27" s="7">
        <f>+[4]Resumen!F27*1000</f>
        <v>105927.09920000001</v>
      </c>
      <c r="G27" s="7">
        <f>+[4]Resumen!G27*1000</f>
        <v>96457.067920000001</v>
      </c>
      <c r="H27" s="7">
        <f>+[4]Resumen!H27*1000</f>
        <v>91610.39151999999</v>
      </c>
      <c r="I27" s="7">
        <f>+[4]Resumen!I27*1000</f>
        <v>91576.318799999994</v>
      </c>
      <c r="J27" s="7">
        <f>+[4]Resumen!J27*1000</f>
        <v>105504.59648000001</v>
      </c>
      <c r="K27" s="7">
        <f>+[4]Resumen!K27*1000</f>
        <v>126431.45896</v>
      </c>
      <c r="L27" s="7">
        <f>+[4]Resumen!L27*1000</f>
        <v>150402.35032</v>
      </c>
      <c r="M27" s="7">
        <f>+[4]Resumen!M27*1000</f>
        <v>156781.55511999998</v>
      </c>
      <c r="N27" s="7">
        <f>+[4]Resumen!N27*1000</f>
        <v>171618.07327999998</v>
      </c>
      <c r="O27" s="7">
        <f>+[4]Resumen!O27*1000</f>
        <v>181464.24120000002</v>
      </c>
      <c r="P27" s="7">
        <f>+[4]Resumen!P27*1000</f>
        <v>194653.25816</v>
      </c>
      <c r="Q27" s="7">
        <f>+[4]Resumen!Q27*1000</f>
        <v>206724.32583999998</v>
      </c>
      <c r="R27" s="7">
        <f>+[4]Resumen!R27*1000</f>
        <v>209568.67007999998</v>
      </c>
      <c r="S27" s="7">
        <f>+[4]Resumen!S27*1000</f>
        <v>206336.54064000002</v>
      </c>
      <c r="T27" s="7">
        <f>+[4]Resumen!T27*1000</f>
        <v>207703.47696</v>
      </c>
      <c r="U27" s="7">
        <f>+[4]Resumen!U27*1000</f>
        <v>207757.36240000001</v>
      </c>
      <c r="V27" s="7">
        <f>+[4]Resumen!V27*1000</f>
        <v>202373.02447999999</v>
      </c>
      <c r="W27" s="7">
        <f>+[4]Resumen!W27*1000</f>
        <v>195275.58935999998</v>
      </c>
      <c r="X27" s="7">
        <f>+[4]Resumen!X27*1000</f>
        <v>207755.66608</v>
      </c>
      <c r="Y27" s="7">
        <f>+[4]Resumen!Y27*1000</f>
        <v>214492.14464000001</v>
      </c>
      <c r="Z27" s="7">
        <f>+[4]Resumen!Z27*1000</f>
        <v>200282.12159999998</v>
      </c>
      <c r="AA27" s="7">
        <f>+[4]Resumen!AA27*1000</f>
        <v>173245.14176</v>
      </c>
      <c r="AB27" s="7">
        <f>+[4]Resumen!AB27*1000</f>
        <v>145220.52920000002</v>
      </c>
      <c r="AC27" s="7">
        <f>+[4]Resumen!AC27*1000</f>
        <v>117573.14944000001</v>
      </c>
      <c r="AD27" s="64">
        <f t="shared" ref="AD27:AD35" si="3">SUM(F27:AC27)*E27+SUM(F28:AC28)*E28+SUM(F29:AC29)*E29+SUM(F30:AC30)*E30</f>
        <v>112601226.36384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5</v>
      </c>
      <c r="F28" s="7">
        <f>+[4]Resumen!F28*1000</f>
        <v>114652.53032000001</v>
      </c>
      <c r="G28" s="7">
        <f>+[4]Resumen!G28*1000</f>
        <v>103564.88679999999</v>
      </c>
      <c r="H28" s="7">
        <f>+[4]Resumen!H28*1000</f>
        <v>96763.067679999993</v>
      </c>
      <c r="I28" s="7">
        <f>+[4]Resumen!I28*1000</f>
        <v>94972.507679999995</v>
      </c>
      <c r="J28" s="7">
        <f>+[4]Resumen!J28*1000</f>
        <v>100778.94408</v>
      </c>
      <c r="K28" s="7">
        <f>+[4]Resumen!K28*1000</f>
        <v>110660.76696000001</v>
      </c>
      <c r="L28" s="7">
        <f>+[4]Resumen!L28*1000</f>
        <v>129845.82127999999</v>
      </c>
      <c r="M28" s="7">
        <f>+[4]Resumen!M28*1000</f>
        <v>139167.6428</v>
      </c>
      <c r="N28" s="7">
        <f>+[4]Resumen!N28*1000</f>
        <v>158233.36696000001</v>
      </c>
      <c r="O28" s="7">
        <f>+[4]Resumen!O28*1000</f>
        <v>170997.16064000002</v>
      </c>
      <c r="P28" s="7">
        <f>+[4]Resumen!P28*1000</f>
        <v>183288.802</v>
      </c>
      <c r="Q28" s="7">
        <f>+[4]Resumen!Q28*1000</f>
        <v>191897.68552</v>
      </c>
      <c r="R28" s="7">
        <f>+[4]Resumen!R28*1000</f>
        <v>193009.25623999999</v>
      </c>
      <c r="S28" s="7">
        <f>+[4]Resumen!S28*1000</f>
        <v>187365.88728</v>
      </c>
      <c r="T28" s="7">
        <f>+[4]Resumen!T28*1000</f>
        <v>182591.17551999999</v>
      </c>
      <c r="U28" s="7">
        <f>+[4]Resumen!U28*1000</f>
        <v>181078.99056000001</v>
      </c>
      <c r="V28" s="7">
        <f>+[4]Resumen!V28*1000</f>
        <v>177652.77383999998</v>
      </c>
      <c r="W28" s="7">
        <f>+[4]Resumen!W28*1000</f>
        <v>177508.52711999998</v>
      </c>
      <c r="X28" s="7">
        <f>+[4]Resumen!X28*1000</f>
        <v>185989.91136</v>
      </c>
      <c r="Y28" s="7">
        <f>+[4]Resumen!Y28*1000</f>
        <v>193238.07096000001</v>
      </c>
      <c r="Z28" s="7">
        <f>+[4]Resumen!Z28*1000</f>
        <v>181314.36984</v>
      </c>
      <c r="AA28" s="7">
        <f>+[4]Resumen!AA28*1000</f>
        <v>164091.75440000001</v>
      </c>
      <c r="AB28" s="7">
        <f>+[4]Resumen!AB28*1000</f>
        <v>144410.69511999999</v>
      </c>
      <c r="AC28" s="7">
        <f>+[4]Resumen!AC28*1000</f>
        <v>124462.80768</v>
      </c>
      <c r="AD28" s="65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5</v>
      </c>
      <c r="F29" s="7">
        <f>+[4]Resumen!F29*1000</f>
        <v>116074.80288</v>
      </c>
      <c r="G29" s="7">
        <f>+[4]Resumen!G29*1000</f>
        <v>104940.03191999999</v>
      </c>
      <c r="H29" s="7">
        <f>+[4]Resumen!H29*1000</f>
        <v>97352.062720000002</v>
      </c>
      <c r="I29" s="7">
        <f>+[4]Resumen!I29*1000</f>
        <v>94056.274160000001</v>
      </c>
      <c r="J29" s="7">
        <f>+[4]Resumen!J29*1000</f>
        <v>94953.791119999994</v>
      </c>
      <c r="K29" s="7">
        <f>+[4]Resumen!K29*1000</f>
        <v>97514.038960000005</v>
      </c>
      <c r="L29" s="7">
        <f>+[4]Resumen!L29*1000</f>
        <v>105079.10784</v>
      </c>
      <c r="M29" s="7">
        <f>+[4]Resumen!M29*1000</f>
        <v>106692.71736</v>
      </c>
      <c r="N29" s="7">
        <f>+[4]Resumen!N29*1000</f>
        <v>121638.58615999999</v>
      </c>
      <c r="O29" s="7">
        <f>+[4]Resumen!O29*1000</f>
        <v>134647.25255999999</v>
      </c>
      <c r="P29" s="7">
        <f>+[4]Resumen!P29*1000</f>
        <v>144088.0496</v>
      </c>
      <c r="Q29" s="7">
        <f>+[4]Resumen!Q29*1000</f>
        <v>155491.32024</v>
      </c>
      <c r="R29" s="7">
        <f>+[4]Resumen!R29*1000</f>
        <v>162702.37159999998</v>
      </c>
      <c r="S29" s="7">
        <f>+[4]Resumen!S29*1000</f>
        <v>163208.26679999998</v>
      </c>
      <c r="T29" s="7">
        <f>+[4]Resumen!T29*1000</f>
        <v>159751.44936</v>
      </c>
      <c r="U29" s="7">
        <f>+[4]Resumen!U29*1000</f>
        <v>157760.59959999999</v>
      </c>
      <c r="V29" s="7">
        <f>+[4]Resumen!V29*1000</f>
        <v>154950.38511999999</v>
      </c>
      <c r="W29" s="7">
        <f>+[4]Resumen!W29*1000</f>
        <v>155474.42895999999</v>
      </c>
      <c r="X29" s="7">
        <f>+[4]Resumen!X29*1000</f>
        <v>166046.83016000001</v>
      </c>
      <c r="Y29" s="7">
        <f>+[4]Resumen!Y29*1000</f>
        <v>176131.68568</v>
      </c>
      <c r="Z29" s="7">
        <f>+[4]Resumen!Z29*1000</f>
        <v>168067.58872</v>
      </c>
      <c r="AA29" s="7">
        <f>+[4]Resumen!AA29*1000</f>
        <v>155016.03072000001</v>
      </c>
      <c r="AB29" s="7">
        <f>+[4]Resumen!AB29*1000</f>
        <v>135844.88424000001</v>
      </c>
      <c r="AC29" s="7">
        <f>+[4]Resumen!AC29*1000</f>
        <v>115620.64296</v>
      </c>
      <c r="AD29" s="65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+[4]Resumen!F30*1000</f>
        <v>109780.54552</v>
      </c>
      <c r="G30" s="7">
        <f>+[4]Resumen!G30*1000</f>
        <v>99134.46351999999</v>
      </c>
      <c r="H30" s="7">
        <f>+[4]Resumen!H30*1000</f>
        <v>92508.449120000005</v>
      </c>
      <c r="I30" s="7">
        <f>+[4]Resumen!I30*1000</f>
        <v>89879.301919999998</v>
      </c>
      <c r="J30" s="7">
        <f>+[4]Resumen!J30*1000</f>
        <v>91929.322</v>
      </c>
      <c r="K30" s="7">
        <f>+[4]Resumen!K30*1000</f>
        <v>95864.223919999989</v>
      </c>
      <c r="L30" s="7">
        <f>+[4]Resumen!L30*1000</f>
        <v>103356.98591999999</v>
      </c>
      <c r="M30" s="7">
        <f>+[4]Resumen!M30*1000</f>
        <v>104580.55096000001</v>
      </c>
      <c r="N30" s="7">
        <f>+[4]Resumen!N30*1000</f>
        <v>119788.78887999999</v>
      </c>
      <c r="O30" s="7">
        <f>+[4]Resumen!O30*1000</f>
        <v>133411.07920000001</v>
      </c>
      <c r="P30" s="7">
        <f>+[4]Resumen!P30*1000</f>
        <v>147360.32032</v>
      </c>
      <c r="Q30" s="7">
        <f>+[4]Resumen!Q30*1000</f>
        <v>161689.16511999999</v>
      </c>
      <c r="R30" s="7">
        <f>+[4]Resumen!R30*1000</f>
        <v>169963.95544000002</v>
      </c>
      <c r="S30" s="7">
        <f>+[4]Resumen!S30*1000</f>
        <v>168361.6324</v>
      </c>
      <c r="T30" s="7">
        <f>+[4]Resumen!T30*1000</f>
        <v>162737.85295999999</v>
      </c>
      <c r="U30" s="7">
        <f>+[4]Resumen!U30*1000</f>
        <v>160052.17911999999</v>
      </c>
      <c r="V30" s="7">
        <f>+[4]Resumen!V30*1000</f>
        <v>157586.49864000001</v>
      </c>
      <c r="W30" s="7">
        <f>+[4]Resumen!W30*1000</f>
        <v>159148.83168</v>
      </c>
      <c r="X30" s="7">
        <f>+[4]Resumen!X30*1000</f>
        <v>171730.42968</v>
      </c>
      <c r="Y30" s="7">
        <f>+[4]Resumen!Y30*1000</f>
        <v>186339.63104000001</v>
      </c>
      <c r="Z30" s="7">
        <f>+[4]Resumen!Z30*1000</f>
        <v>176684.66616000002</v>
      </c>
      <c r="AA30" s="7">
        <f>+[4]Resumen!AA30*1000</f>
        <v>160366.28104</v>
      </c>
      <c r="AB30" s="7">
        <f>+[4]Resumen!AB30*1000</f>
        <v>137203.19511999999</v>
      </c>
      <c r="AC30" s="7">
        <f>+[4]Resumen!AC30*1000</f>
        <v>113945.94608000001</v>
      </c>
      <c r="AD30" s="66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22</v>
      </c>
      <c r="F31" s="7">
        <f>+[4]Resumen!F31*1000</f>
        <v>114934.67496</v>
      </c>
      <c r="G31" s="7">
        <f>+[4]Resumen!G31*1000</f>
        <v>105150.76</v>
      </c>
      <c r="H31" s="7">
        <f>+[4]Resumen!H31*1000</f>
        <v>99816.111359999995</v>
      </c>
      <c r="I31" s="7">
        <f>+[4]Resumen!I31*1000</f>
        <v>99499.827039999989</v>
      </c>
      <c r="J31" s="7">
        <f>+[4]Resumen!J31*1000</f>
        <v>113913.89208000001</v>
      </c>
      <c r="K31" s="7">
        <f>+[4]Resumen!K31*1000</f>
        <v>138013.37888</v>
      </c>
      <c r="L31" s="7">
        <f>+[4]Resumen!L31*1000</f>
        <v>161578.19503999999</v>
      </c>
      <c r="M31" s="7">
        <f>+[4]Resumen!M31*1000</f>
        <v>165424.98256</v>
      </c>
      <c r="N31" s="7">
        <f>+[4]Resumen!N31*1000</f>
        <v>179868.91672000001</v>
      </c>
      <c r="O31" s="7">
        <f>+[4]Resumen!O31*1000</f>
        <v>189432.33488000001</v>
      </c>
      <c r="P31" s="7">
        <f>+[4]Resumen!P31*1000</f>
        <v>203088.05064</v>
      </c>
      <c r="Q31" s="7">
        <f>+[4]Resumen!Q31*1000</f>
        <v>214847.40711999999</v>
      </c>
      <c r="R31" s="7">
        <f>+[4]Resumen!R31*1000</f>
        <v>216990.49911999999</v>
      </c>
      <c r="S31" s="7">
        <f>+[4]Resumen!S31*1000</f>
        <v>214446.38368</v>
      </c>
      <c r="T31" s="7">
        <f>+[4]Resumen!T31*1000</f>
        <v>217214.334</v>
      </c>
      <c r="U31" s="7">
        <f>+[4]Resumen!U31*1000</f>
        <v>217779.58056</v>
      </c>
      <c r="V31" s="7">
        <f>+[4]Resumen!V31*1000</f>
        <v>212031.32</v>
      </c>
      <c r="W31" s="7">
        <f>+[4]Resumen!W31*1000</f>
        <v>203097.45480000001</v>
      </c>
      <c r="X31" s="7">
        <f>+[4]Resumen!X31*1000</f>
        <v>214817.22552000001</v>
      </c>
      <c r="Y31" s="7">
        <f>+[4]Resumen!Y31*1000</f>
        <v>226667.45416000002</v>
      </c>
      <c r="Z31" s="7">
        <f>+[4]Resumen!Z31*1000</f>
        <v>213471.30472000001</v>
      </c>
      <c r="AA31" s="7">
        <f>+[4]Resumen!AA31*1000</f>
        <v>185964.57071999999</v>
      </c>
      <c r="AB31" s="7">
        <f>+[4]Resumen!AB31*1000</f>
        <v>156547.89447999999</v>
      </c>
      <c r="AC31" s="7">
        <f>+[4]Resumen!AC31*1000</f>
        <v>127326.31984</v>
      </c>
      <c r="AD31" s="64">
        <f t="shared" si="3"/>
        <v>124136669.25360002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3</v>
      </c>
      <c r="F32" s="7">
        <f>+[4]Resumen!F32*1000</f>
        <v>122877.58672000001</v>
      </c>
      <c r="G32" s="7">
        <f>+[4]Resumen!G32*1000</f>
        <v>111825.50887999999</v>
      </c>
      <c r="H32" s="7">
        <f>+[4]Resumen!H32*1000</f>
        <v>105218.18127999999</v>
      </c>
      <c r="I32" s="7">
        <f>+[4]Resumen!I32*1000</f>
        <v>102877.12576</v>
      </c>
      <c r="J32" s="7">
        <f>+[4]Resumen!J32*1000</f>
        <v>108428.47679999999</v>
      </c>
      <c r="K32" s="7">
        <f>+[4]Resumen!K32*1000</f>
        <v>118811.72096000001</v>
      </c>
      <c r="L32" s="7">
        <f>+[4]Resumen!L32*1000</f>
        <v>137429.26944</v>
      </c>
      <c r="M32" s="7">
        <f>+[4]Resumen!M32*1000</f>
        <v>146786.38631999999</v>
      </c>
      <c r="N32" s="7">
        <f>+[4]Resumen!N32*1000</f>
        <v>166026.03288000001</v>
      </c>
      <c r="O32" s="7">
        <f>+[4]Resumen!O32*1000</f>
        <v>179057.34912</v>
      </c>
      <c r="P32" s="7">
        <f>+[4]Resumen!P32*1000</f>
        <v>191504.42199999999</v>
      </c>
      <c r="Q32" s="7">
        <f>+[4]Resumen!Q32*1000</f>
        <v>201029.99784</v>
      </c>
      <c r="R32" s="7">
        <f>+[4]Resumen!R32*1000</f>
        <v>201376.88535999999</v>
      </c>
      <c r="S32" s="7">
        <f>+[4]Resumen!S32*1000</f>
        <v>194474.07816</v>
      </c>
      <c r="T32" s="7">
        <f>+[4]Resumen!T32*1000</f>
        <v>188181.61135999998</v>
      </c>
      <c r="U32" s="7">
        <f>+[4]Resumen!U32*1000</f>
        <v>186257.40664</v>
      </c>
      <c r="V32" s="7">
        <f>+[4]Resumen!V32*1000</f>
        <v>184682.34127999999</v>
      </c>
      <c r="W32" s="7">
        <f>+[4]Resumen!W32*1000</f>
        <v>184431.7844</v>
      </c>
      <c r="X32" s="7">
        <f>+[4]Resumen!X32*1000</f>
        <v>193037.56296000001</v>
      </c>
      <c r="Y32" s="7">
        <f>+[4]Resumen!Y32*1000</f>
        <v>200789.00879999998</v>
      </c>
      <c r="Z32" s="7">
        <f>+[4]Resumen!Z32*1000</f>
        <v>188186.75488000002</v>
      </c>
      <c r="AA32" s="7">
        <f>+[4]Resumen!AA32*1000</f>
        <v>169814.85535999999</v>
      </c>
      <c r="AB32" s="7">
        <f>+[4]Resumen!AB32*1000</f>
        <v>149410.21144000001</v>
      </c>
      <c r="AC32" s="7">
        <f>+[4]Resumen!AC32*1000</f>
        <v>129195.538</v>
      </c>
      <c r="AD32" s="65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+[4]Resumen!F33*1000</f>
        <v>117244.06584000001</v>
      </c>
      <c r="G33" s="7">
        <f>+[4]Resumen!G33*1000</f>
        <v>105691.3132</v>
      </c>
      <c r="H33" s="7">
        <f>+[4]Resumen!H33*1000</f>
        <v>98133.101519999997</v>
      </c>
      <c r="I33" s="7">
        <f>+[4]Resumen!I33*1000</f>
        <v>94317.125520000001</v>
      </c>
      <c r="J33" s="7">
        <f>+[4]Resumen!J33*1000</f>
        <v>95686.990720000002</v>
      </c>
      <c r="K33" s="7">
        <f>+[4]Resumen!K33*1000</f>
        <v>98709.136080000011</v>
      </c>
      <c r="L33" s="7">
        <f>+[4]Resumen!L33*1000</f>
        <v>107480.25624</v>
      </c>
      <c r="M33" s="7">
        <f>+[4]Resumen!M33*1000</f>
        <v>109253.89023999999</v>
      </c>
      <c r="N33" s="7">
        <f>+[4]Resumen!N33*1000</f>
        <v>124449.45784</v>
      </c>
      <c r="O33" s="7">
        <f>+[4]Resumen!O33*1000</f>
        <v>137999.46359999999</v>
      </c>
      <c r="P33" s="7">
        <f>+[4]Resumen!P33*1000</f>
        <v>148425.04135999997</v>
      </c>
      <c r="Q33" s="7">
        <f>+[4]Resumen!Q33*1000</f>
        <v>160401.34576</v>
      </c>
      <c r="R33" s="7">
        <f>+[4]Resumen!R33*1000</f>
        <v>167778.04376</v>
      </c>
      <c r="S33" s="7">
        <f>+[4]Resumen!S33*1000</f>
        <v>167987.99064</v>
      </c>
      <c r="T33" s="7">
        <f>+[4]Resumen!T33*1000</f>
        <v>164003.00759999998</v>
      </c>
      <c r="U33" s="7">
        <f>+[4]Resumen!U33*1000</f>
        <v>161954.53008</v>
      </c>
      <c r="V33" s="7">
        <f>+[4]Resumen!V33*1000</f>
        <v>159495.72664000001</v>
      </c>
      <c r="W33" s="7">
        <f>+[4]Resumen!W33*1000</f>
        <v>160226.56031999999</v>
      </c>
      <c r="X33" s="7">
        <f>+[4]Resumen!X33*1000</f>
        <v>171890.20368000001</v>
      </c>
      <c r="Y33" s="7">
        <f>+[4]Resumen!Y33*1000</f>
        <v>186236.88711999997</v>
      </c>
      <c r="Z33" s="7">
        <f>+[4]Resumen!Z33*1000</f>
        <v>177352.95423999999</v>
      </c>
      <c r="AA33" s="7">
        <f>+[4]Resumen!AA33*1000</f>
        <v>160548.28823999999</v>
      </c>
      <c r="AB33" s="7">
        <f>+[4]Resumen!AB33*1000</f>
        <v>137353.26983999999</v>
      </c>
      <c r="AC33" s="7">
        <f>+[4]Resumen!AC33*1000</f>
        <v>115847.66215999999</v>
      </c>
      <c r="AD33" s="65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+[4]Resumen!F34*1000</f>
        <v>128060.77679999999</v>
      </c>
      <c r="G34" s="7">
        <f>+[4]Resumen!G34*1000</f>
        <v>115678.97752</v>
      </c>
      <c r="H34" s="7">
        <f>+[4]Resumen!H34*1000</f>
        <v>107755.23616</v>
      </c>
      <c r="I34" s="7">
        <f>+[4]Resumen!I34*1000</f>
        <v>103787.96279999999</v>
      </c>
      <c r="J34" s="7">
        <f>+[4]Resumen!J34*1000</f>
        <v>103981.5144</v>
      </c>
      <c r="K34" s="7">
        <f>+[4]Resumen!K34*1000</f>
        <v>105085.75176</v>
      </c>
      <c r="L34" s="7">
        <f>+[4]Resumen!L34*1000</f>
        <v>113421.97912</v>
      </c>
      <c r="M34" s="7">
        <f>+[4]Resumen!M34*1000</f>
        <v>115548.21455999999</v>
      </c>
      <c r="N34" s="7">
        <f>+[4]Resumen!N34*1000</f>
        <v>130544.7944</v>
      </c>
      <c r="O34" s="7">
        <f>+[4]Resumen!O34*1000</f>
        <v>143015.43720000001</v>
      </c>
      <c r="P34" s="7">
        <f>+[4]Resumen!P34*1000</f>
        <v>153420.64671999999</v>
      </c>
      <c r="Q34" s="7">
        <f>+[4]Resumen!Q34*1000</f>
        <v>165942.46927999999</v>
      </c>
      <c r="R34" s="7">
        <f>+[4]Resumen!R34*1000</f>
        <v>171543.87664</v>
      </c>
      <c r="S34" s="7">
        <f>+[4]Resumen!S34*1000</f>
        <v>172352.20783999999</v>
      </c>
      <c r="T34" s="7">
        <f>+[4]Resumen!T34*1000</f>
        <v>169737.10735999999</v>
      </c>
      <c r="U34" s="7">
        <f>+[4]Resumen!U34*1000</f>
        <v>168219.85576000001</v>
      </c>
      <c r="V34" s="7">
        <f>+[4]Resumen!V34*1000</f>
        <v>165899.17096000002</v>
      </c>
      <c r="W34" s="7">
        <f>+[4]Resumen!W34*1000</f>
        <v>166968.77264000001</v>
      </c>
      <c r="X34" s="7">
        <f>+[4]Resumen!X34*1000</f>
        <v>178018.03320000001</v>
      </c>
      <c r="Y34" s="7">
        <f>+[4]Resumen!Y34*1000</f>
        <v>191560.11288</v>
      </c>
      <c r="Z34" s="7">
        <f>+[4]Resumen!Z34*1000</f>
        <v>185669.28207999998</v>
      </c>
      <c r="AA34" s="7">
        <f>+[4]Resumen!AA34*1000</f>
        <v>173039.51504</v>
      </c>
      <c r="AB34" s="7">
        <f>+[4]Resumen!AB34*1000</f>
        <v>150567.2604</v>
      </c>
      <c r="AC34" s="7">
        <f>+[4]Resumen!AC34*1000</f>
        <v>127866.30016</v>
      </c>
      <c r="AD34" s="66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20</v>
      </c>
      <c r="F35" s="7">
        <f>+[4]Resumen!F35*1000</f>
        <v>114567.61512</v>
      </c>
      <c r="G35" s="7">
        <f>+[4]Resumen!G35*1000</f>
        <v>104714.71399999999</v>
      </c>
      <c r="H35" s="7">
        <f>+[4]Resumen!H35*1000</f>
        <v>99473.573759999999</v>
      </c>
      <c r="I35" s="7">
        <f>+[4]Resumen!I35*1000</f>
        <v>99215.41072</v>
      </c>
      <c r="J35" s="7">
        <f>+[4]Resumen!J35*1000</f>
        <v>114811.99927999999</v>
      </c>
      <c r="K35" s="7">
        <f>+[4]Resumen!K35*1000</f>
        <v>141232.39159999997</v>
      </c>
      <c r="L35" s="7">
        <f>+[4]Resumen!L35*1000</f>
        <v>165718.16816</v>
      </c>
      <c r="M35" s="7">
        <f>+[4]Resumen!M35*1000</f>
        <v>167926.38743999999</v>
      </c>
      <c r="N35" s="7">
        <f>+[4]Resumen!N35*1000</f>
        <v>181481.39288</v>
      </c>
      <c r="O35" s="7">
        <f>+[4]Resumen!O35*1000</f>
        <v>190378.02583999999</v>
      </c>
      <c r="P35" s="7">
        <f>+[4]Resumen!P35*1000</f>
        <v>203982.86688000002</v>
      </c>
      <c r="Q35" s="7">
        <f>+[4]Resumen!Q35*1000</f>
        <v>215842.86920000002</v>
      </c>
      <c r="R35" s="7">
        <f>+[4]Resumen!R35*1000</f>
        <v>217688.68359999999</v>
      </c>
      <c r="S35" s="7">
        <f>+[4]Resumen!S35*1000</f>
        <v>214422.97248</v>
      </c>
      <c r="T35" s="7">
        <f>+[4]Resumen!T35*1000</f>
        <v>217067.53535999998</v>
      </c>
      <c r="U35" s="7">
        <f>+[4]Resumen!U35*1000</f>
        <v>217172.11696000001</v>
      </c>
      <c r="V35" s="7">
        <f>+[4]Resumen!V35*1000</f>
        <v>211857.40503999998</v>
      </c>
      <c r="W35" s="7">
        <f>+[4]Resumen!W35*1000</f>
        <v>204528.46192</v>
      </c>
      <c r="X35" s="7">
        <f>+[4]Resumen!X35*1000</f>
        <v>220670.81664</v>
      </c>
      <c r="Y35" s="7">
        <f>+[4]Resumen!Y35*1000</f>
        <v>229213.31552</v>
      </c>
      <c r="Z35" s="7">
        <f>+[4]Resumen!Z35*1000</f>
        <v>215368.89408</v>
      </c>
      <c r="AA35" s="7">
        <f>+[4]Resumen!AA35*1000</f>
        <v>186161.79519999999</v>
      </c>
      <c r="AB35" s="7">
        <f>+[4]Resumen!AB35*1000</f>
        <v>156679.61472000001</v>
      </c>
      <c r="AC35" s="7">
        <f>+[4]Resumen!AC35*1000</f>
        <v>127288.29152</v>
      </c>
      <c r="AD35" s="64">
        <f t="shared" si="3"/>
        <v>124135638.10928002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5</v>
      </c>
      <c r="F36" s="7">
        <f>+[4]Resumen!F36*1000</f>
        <v>122783.81296000001</v>
      </c>
      <c r="G36" s="7">
        <f>+[4]Resumen!G36*1000</f>
        <v>111899.5592</v>
      </c>
      <c r="H36" s="7">
        <f>+[4]Resumen!H36*1000</f>
        <v>105515.45144</v>
      </c>
      <c r="I36" s="7">
        <f>+[4]Resumen!I36*1000</f>
        <v>103323.30503999999</v>
      </c>
      <c r="J36" s="7">
        <f>+[4]Resumen!J36*1000</f>
        <v>109393.70024000001</v>
      </c>
      <c r="K36" s="7">
        <f>+[4]Resumen!K36*1000</f>
        <v>119526.29328</v>
      </c>
      <c r="L36" s="7">
        <f>+[4]Resumen!L36*1000</f>
        <v>138504.8132</v>
      </c>
      <c r="M36" s="7">
        <f>+[4]Resumen!M36*1000</f>
        <v>148227.27872</v>
      </c>
      <c r="N36" s="7">
        <f>+[4]Resumen!N36*1000</f>
        <v>167376.53672</v>
      </c>
      <c r="O36" s="7">
        <f>+[4]Resumen!O36*1000</f>
        <v>178575.61159999997</v>
      </c>
      <c r="P36" s="7">
        <f>+[4]Resumen!P36*1000</f>
        <v>189363.52231999999</v>
      </c>
      <c r="Q36" s="7">
        <f>+[4]Resumen!Q36*1000</f>
        <v>196912.54311999999</v>
      </c>
      <c r="R36" s="7">
        <f>+[4]Resumen!R36*1000</f>
        <v>198175.55007999999</v>
      </c>
      <c r="S36" s="7">
        <f>+[4]Resumen!S36*1000</f>
        <v>193148.7488</v>
      </c>
      <c r="T36" s="7">
        <f>+[4]Resumen!T36*1000</f>
        <v>188032.174</v>
      </c>
      <c r="U36" s="7">
        <f>+[4]Resumen!U36*1000</f>
        <v>185787.1912</v>
      </c>
      <c r="V36" s="7">
        <f>+[4]Resumen!V36*1000</f>
        <v>183247.4356</v>
      </c>
      <c r="W36" s="7">
        <f>+[4]Resumen!W36*1000</f>
        <v>183749.79431999999</v>
      </c>
      <c r="X36" s="7">
        <f>+[4]Resumen!X36*1000</f>
        <v>194986.60983999999</v>
      </c>
      <c r="Y36" s="7">
        <f>+[4]Resumen!Y36*1000</f>
        <v>200660.75808</v>
      </c>
      <c r="Z36" s="7">
        <f>+[4]Resumen!Z36*1000</f>
        <v>187323.83392</v>
      </c>
      <c r="AA36" s="7">
        <f>+[4]Resumen!AA36*1000</f>
        <v>168929.36392</v>
      </c>
      <c r="AB36" s="7">
        <f>+[4]Resumen!AB36*1000</f>
        <v>148067.06576</v>
      </c>
      <c r="AC36" s="7">
        <f>+[4]Resumen!AC36*1000</f>
        <v>128295.38728</v>
      </c>
      <c r="AD36" s="65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+[4]Resumen!F37*1000</f>
        <v>119611.35479999999</v>
      </c>
      <c r="G37" s="7">
        <f>+[4]Resumen!G37*1000</f>
        <v>108393.97008</v>
      </c>
      <c r="H37" s="7">
        <f>+[4]Resumen!H37*1000</f>
        <v>100595.66215999999</v>
      </c>
      <c r="I37" s="7">
        <f>+[4]Resumen!I37*1000</f>
        <v>97171.994879999998</v>
      </c>
      <c r="J37" s="7">
        <f>+[4]Resumen!J37*1000</f>
        <v>98634.884879999998</v>
      </c>
      <c r="K37" s="7">
        <f>+[4]Resumen!K37*1000</f>
        <v>103076.3888</v>
      </c>
      <c r="L37" s="7">
        <f>+[4]Resumen!L37*1000</f>
        <v>109837.93272</v>
      </c>
      <c r="M37" s="7">
        <f>+[4]Resumen!M37*1000</f>
        <v>111929.46303999999</v>
      </c>
      <c r="N37" s="7">
        <f>+[4]Resumen!N37*1000</f>
        <v>126740.78688</v>
      </c>
      <c r="O37" s="7">
        <f>+[4]Resumen!O37*1000</f>
        <v>140089.24304</v>
      </c>
      <c r="P37" s="7">
        <f>+[4]Resumen!P37*1000</f>
        <v>151207.05824000001</v>
      </c>
      <c r="Q37" s="7">
        <f>+[4]Resumen!Q37*1000</f>
        <v>162857.4088</v>
      </c>
      <c r="R37" s="7">
        <f>+[4]Resumen!R37*1000</f>
        <v>170292.07183999999</v>
      </c>
      <c r="S37" s="7">
        <f>+[4]Resumen!S37*1000</f>
        <v>171025.51199999999</v>
      </c>
      <c r="T37" s="7">
        <f>+[4]Resumen!T37*1000</f>
        <v>166136.34576</v>
      </c>
      <c r="U37" s="7">
        <f>+[4]Resumen!U37*1000</f>
        <v>163676.10640000002</v>
      </c>
      <c r="V37" s="7">
        <f>+[4]Resumen!V37*1000</f>
        <v>160706.19727999999</v>
      </c>
      <c r="W37" s="7">
        <f>+[4]Resumen!W37*1000</f>
        <v>163325.79896000001</v>
      </c>
      <c r="X37" s="7">
        <f>+[4]Resumen!X37*1000</f>
        <v>178762.09272000002</v>
      </c>
      <c r="Y37" s="7">
        <f>+[4]Resumen!Y37*1000</f>
        <v>188274.61383999998</v>
      </c>
      <c r="Z37" s="7">
        <f>+[4]Resumen!Z37*1000</f>
        <v>178807.34528000001</v>
      </c>
      <c r="AA37" s="7">
        <f>+[4]Resumen!AA37*1000</f>
        <v>162616.4768</v>
      </c>
      <c r="AB37" s="7">
        <f>+[4]Resumen!AB37*1000</f>
        <v>140343.19256</v>
      </c>
      <c r="AC37" s="7">
        <f>+[4]Resumen!AC37*1000</f>
        <v>119190.33016</v>
      </c>
      <c r="AD37" s="65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+[4]Resumen!F38*1000</f>
        <v>115396.40879999999</v>
      </c>
      <c r="G38" s="7">
        <f>+[4]Resumen!G38*1000</f>
        <v>104056.37072000001</v>
      </c>
      <c r="H38" s="7">
        <f>+[4]Resumen!H38*1000</f>
        <v>96530.780960000004</v>
      </c>
      <c r="I38" s="7">
        <f>+[4]Resumen!I38*1000</f>
        <v>94786.215039999995</v>
      </c>
      <c r="J38" s="7">
        <f>+[4]Resumen!J38*1000</f>
        <v>96938.812879999998</v>
      </c>
      <c r="K38" s="7">
        <f>+[4]Resumen!K38*1000</f>
        <v>103405.43272</v>
      </c>
      <c r="L38" s="7">
        <f>+[4]Resumen!L38*1000</f>
        <v>113019.94384000001</v>
      </c>
      <c r="M38" s="7">
        <f>+[4]Resumen!M38*1000</f>
        <v>114567.32991999999</v>
      </c>
      <c r="N38" s="7">
        <f>+[4]Resumen!N38*1000</f>
        <v>131605.73592000001</v>
      </c>
      <c r="O38" s="7">
        <f>+[4]Resumen!O38*1000</f>
        <v>145182.87784</v>
      </c>
      <c r="P38" s="7">
        <f>+[4]Resumen!P38*1000</f>
        <v>158544.45320000002</v>
      </c>
      <c r="Q38" s="7">
        <f>+[4]Resumen!Q38*1000</f>
        <v>172150.10519999999</v>
      </c>
      <c r="R38" s="7">
        <f>+[4]Resumen!R38*1000</f>
        <v>180073.22904000001</v>
      </c>
      <c r="S38" s="7">
        <f>+[4]Resumen!S38*1000</f>
        <v>179163.58984</v>
      </c>
      <c r="T38" s="7">
        <f>+[4]Resumen!T38*1000</f>
        <v>174000.92423999999</v>
      </c>
      <c r="U38" s="7">
        <f>+[4]Resumen!U38*1000</f>
        <v>169394.48295999999</v>
      </c>
      <c r="V38" s="7">
        <f>+[4]Resumen!V38*1000</f>
        <v>168017.79775999999</v>
      </c>
      <c r="W38" s="7">
        <f>+[4]Resumen!W38*1000</f>
        <v>169243.58984</v>
      </c>
      <c r="X38" s="7">
        <f>+[4]Resumen!X38*1000</f>
        <v>183183.99968000001</v>
      </c>
      <c r="Y38" s="7">
        <f>+[4]Resumen!Y38*1000</f>
        <v>196317.87383999999</v>
      </c>
      <c r="Z38" s="7">
        <f>+[4]Resumen!Z38*1000</f>
        <v>185188.26376</v>
      </c>
      <c r="AA38" s="7">
        <f>+[4]Resumen!AA38*1000</f>
        <v>165616.36168</v>
      </c>
      <c r="AB38" s="7">
        <f>+[4]Resumen!AB38*1000</f>
        <v>141710.91256</v>
      </c>
      <c r="AC38" s="7">
        <f>+[4]Resumen!AC38*1000</f>
        <v>118950.06775999999</v>
      </c>
      <c r="AD38" s="66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21</v>
      </c>
      <c r="F39" s="7">
        <f>+[4]Resumen!F39*1000</f>
        <v>106044.92152</v>
      </c>
      <c r="G39" s="7">
        <f>+[4]Resumen!G39*1000</f>
        <v>96716.252720000004</v>
      </c>
      <c r="H39" s="7">
        <f>+[4]Resumen!H39*1000</f>
        <v>91904.412880000003</v>
      </c>
      <c r="I39" s="7">
        <f>+[4]Resumen!I39*1000</f>
        <v>91731.323759999999</v>
      </c>
      <c r="J39" s="7">
        <f>+[4]Resumen!J39*1000</f>
        <v>107309.43384</v>
      </c>
      <c r="K39" s="7">
        <f>+[4]Resumen!K39*1000</f>
        <v>134214.83479999998</v>
      </c>
      <c r="L39" s="7">
        <f>+[4]Resumen!L39*1000</f>
        <v>158146.97616000002</v>
      </c>
      <c r="M39" s="7">
        <f>+[4]Resumen!M39*1000</f>
        <v>159312.24631999998</v>
      </c>
      <c r="N39" s="7">
        <f>+[4]Resumen!N39*1000</f>
        <v>172725.70576000001</v>
      </c>
      <c r="O39" s="7">
        <f>+[4]Resumen!O39*1000</f>
        <v>181681.87359999999</v>
      </c>
      <c r="P39" s="7">
        <f>+[4]Resumen!P39*1000</f>
        <v>195759.1844</v>
      </c>
      <c r="Q39" s="7">
        <f>+[4]Resumen!Q39*1000</f>
        <v>207785.82783999998</v>
      </c>
      <c r="R39" s="7">
        <f>+[4]Resumen!R39*1000</f>
        <v>208732.61496000001</v>
      </c>
      <c r="S39" s="7">
        <f>+[4]Resumen!S39*1000</f>
        <v>205667.71192</v>
      </c>
      <c r="T39" s="7">
        <f>+[4]Resumen!T39*1000</f>
        <v>207883.94159999999</v>
      </c>
      <c r="U39" s="7">
        <f>+[4]Resumen!U39*1000</f>
        <v>208433.94855999999</v>
      </c>
      <c r="V39" s="7">
        <f>+[4]Resumen!V39*1000</f>
        <v>203500.41264000002</v>
      </c>
      <c r="W39" s="7">
        <f>+[4]Resumen!W39*1000</f>
        <v>198232.00727999999</v>
      </c>
      <c r="X39" s="7">
        <f>+[4]Resumen!X39*1000</f>
        <v>219169.46183999997</v>
      </c>
      <c r="Y39" s="7">
        <f>+[4]Resumen!Y39*1000</f>
        <v>219623.33159999998</v>
      </c>
      <c r="Z39" s="7">
        <f>+[4]Resumen!Z39*1000</f>
        <v>204919.49096</v>
      </c>
      <c r="AA39" s="7">
        <f>+[4]Resumen!AA39*1000</f>
        <v>176283.31783999997</v>
      </c>
      <c r="AB39" s="7">
        <f>+[4]Resumen!AB39*1000</f>
        <v>146484.53311999998</v>
      </c>
      <c r="AC39" s="7">
        <f>+[4]Resumen!AC39*1000</f>
        <v>117648.87872000001</v>
      </c>
      <c r="AD39" s="64">
        <f t="shared" ref="AD39" si="4">SUM(F39:AC39)*E39+SUM(F40:AC40)*E40+SUM(F41:AC41)*E41+SUM(F42:AC42)*E42</f>
        <v>115307354.82472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+[4]Resumen!F40*1000</f>
        <v>113695.13624000001</v>
      </c>
      <c r="G40" s="7">
        <f>+[4]Resumen!G40*1000</f>
        <v>103104.30615999999</v>
      </c>
      <c r="H40" s="7">
        <f>+[4]Resumen!H40*1000</f>
        <v>96455.135999999999</v>
      </c>
      <c r="I40" s="7">
        <f>+[4]Resumen!I40*1000</f>
        <v>94745.156159999999</v>
      </c>
      <c r="J40" s="7">
        <f>+[4]Resumen!J40*1000</f>
        <v>101243.00416</v>
      </c>
      <c r="K40" s="7">
        <f>+[4]Resumen!K40*1000</f>
        <v>113061.18376</v>
      </c>
      <c r="L40" s="7">
        <f>+[4]Resumen!L40*1000</f>
        <v>131220.09344</v>
      </c>
      <c r="M40" s="7">
        <f>+[4]Resumen!M40*1000</f>
        <v>140531.57088000001</v>
      </c>
      <c r="N40" s="7">
        <f>+[4]Resumen!N40*1000</f>
        <v>159678.27944000001</v>
      </c>
      <c r="O40" s="7">
        <f>+[4]Resumen!O40*1000</f>
        <v>171544.24616000001</v>
      </c>
      <c r="P40" s="7">
        <f>+[4]Resumen!P40*1000</f>
        <v>184672.58</v>
      </c>
      <c r="Q40" s="7">
        <f>+[4]Resumen!Q40*1000</f>
        <v>193855.95056</v>
      </c>
      <c r="R40" s="7">
        <f>+[4]Resumen!R40*1000</f>
        <v>194447.74056000001</v>
      </c>
      <c r="S40" s="7">
        <f>+[4]Resumen!S40*1000</f>
        <v>189226.17248000001</v>
      </c>
      <c r="T40" s="7">
        <f>+[4]Resumen!T40*1000</f>
        <v>183630.58816000001</v>
      </c>
      <c r="U40" s="7">
        <f>+[4]Resumen!U40*1000</f>
        <v>181461.31479999999</v>
      </c>
      <c r="V40" s="7">
        <f>+[4]Resumen!V40*1000</f>
        <v>178952.26903999998</v>
      </c>
      <c r="W40" s="7">
        <f>+[4]Resumen!W40*1000</f>
        <v>180779.32224000001</v>
      </c>
      <c r="X40" s="7">
        <f>+[4]Resumen!X40*1000</f>
        <v>196181.59040000002</v>
      </c>
      <c r="Y40" s="7">
        <f>+[4]Resumen!Y40*1000</f>
        <v>194807.74231999999</v>
      </c>
      <c r="Z40" s="7">
        <f>+[4]Resumen!Z40*1000</f>
        <v>181162.89144000001</v>
      </c>
      <c r="AA40" s="7">
        <f>+[4]Resumen!AA40*1000</f>
        <v>162481.60944</v>
      </c>
      <c r="AB40" s="7">
        <f>+[4]Resumen!AB40*1000</f>
        <v>142420.52984</v>
      </c>
      <c r="AC40" s="7">
        <f>+[4]Resumen!AC40*1000</f>
        <v>122891.85664</v>
      </c>
      <c r="AD40" s="65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5</v>
      </c>
      <c r="F41" s="7">
        <f>+[4]Resumen!F41*1000</f>
        <v>113873.12832</v>
      </c>
      <c r="G41" s="7">
        <f>+[4]Resumen!G41*1000</f>
        <v>101498.68223999999</v>
      </c>
      <c r="H41" s="7">
        <f>+[4]Resumen!H41*1000</f>
        <v>93941.916400000002</v>
      </c>
      <c r="I41" s="7">
        <f>+[4]Resumen!I41*1000</f>
        <v>90008.886880000005</v>
      </c>
      <c r="J41" s="7">
        <f>+[4]Resumen!J41*1000</f>
        <v>90659.470239999995</v>
      </c>
      <c r="K41" s="7">
        <f>+[4]Resumen!K41*1000</f>
        <v>93840.56624</v>
      </c>
      <c r="L41" s="7">
        <f>+[4]Resumen!L41*1000</f>
        <v>101076.67551999999</v>
      </c>
      <c r="M41" s="7">
        <f>+[4]Resumen!M41*1000</f>
        <v>102541.98104</v>
      </c>
      <c r="N41" s="7">
        <f>+[4]Resumen!N41*1000</f>
        <v>116702.36688</v>
      </c>
      <c r="O41" s="7">
        <f>+[4]Resumen!O41*1000</f>
        <v>129568.19024000001</v>
      </c>
      <c r="P41" s="7">
        <f>+[4]Resumen!P41*1000</f>
        <v>141967.43383999998</v>
      </c>
      <c r="Q41" s="7">
        <f>+[4]Resumen!Q41*1000</f>
        <v>154144.65296000001</v>
      </c>
      <c r="R41" s="7">
        <f>+[4]Resumen!R41*1000</f>
        <v>160693.44759999998</v>
      </c>
      <c r="S41" s="7">
        <f>+[4]Resumen!S41*1000</f>
        <v>161843.34424000001</v>
      </c>
      <c r="T41" s="7">
        <f>+[4]Resumen!T41*1000</f>
        <v>158857.99959999998</v>
      </c>
      <c r="U41" s="7">
        <f>+[4]Resumen!U41*1000</f>
        <v>157471.50599999999</v>
      </c>
      <c r="V41" s="7">
        <f>+[4]Resumen!V41*1000</f>
        <v>155624.61031999998</v>
      </c>
      <c r="W41" s="7">
        <f>+[4]Resumen!W41*1000</f>
        <v>159710.30616000001</v>
      </c>
      <c r="X41" s="7">
        <f>+[4]Resumen!X41*1000</f>
        <v>178246.60983999999</v>
      </c>
      <c r="Y41" s="7">
        <f>+[4]Resumen!Y41*1000</f>
        <v>181056.77968000001</v>
      </c>
      <c r="Z41" s="7">
        <f>+[4]Resumen!Z41*1000</f>
        <v>170462.26928000001</v>
      </c>
      <c r="AA41" s="7">
        <f>+[4]Resumen!AA41*1000</f>
        <v>153691.39079999999</v>
      </c>
      <c r="AB41" s="7">
        <f>+[4]Resumen!AB41*1000</f>
        <v>131309.62144000002</v>
      </c>
      <c r="AC41" s="7">
        <f>+[4]Resumen!AC41*1000</f>
        <v>109245.80544000001</v>
      </c>
      <c r="AD41" s="65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+[4]Resumen!F42*1000</f>
        <v>0</v>
      </c>
      <c r="G42" s="7">
        <f>+[4]Resumen!G42*1000</f>
        <v>0</v>
      </c>
      <c r="H42" s="7">
        <f>+[4]Resumen!H42*1000</f>
        <v>0</v>
      </c>
      <c r="I42" s="7">
        <f>+[4]Resumen!I42*1000</f>
        <v>0</v>
      </c>
      <c r="J42" s="7">
        <f>+[4]Resumen!J42*1000</f>
        <v>0</v>
      </c>
      <c r="K42" s="7">
        <f>+[4]Resumen!K42*1000</f>
        <v>0</v>
      </c>
      <c r="L42" s="7">
        <f>+[4]Resumen!L42*1000</f>
        <v>0</v>
      </c>
      <c r="M42" s="7">
        <f>+[4]Resumen!M42*1000</f>
        <v>0</v>
      </c>
      <c r="N42" s="7">
        <f>+[4]Resumen!N42*1000</f>
        <v>0</v>
      </c>
      <c r="O42" s="7">
        <f>+[4]Resumen!O42*1000</f>
        <v>0</v>
      </c>
      <c r="P42" s="7">
        <f>+[4]Resumen!P42*1000</f>
        <v>0</v>
      </c>
      <c r="Q42" s="7">
        <f>+[4]Resumen!Q42*1000</f>
        <v>0</v>
      </c>
      <c r="R42" s="7">
        <f>+[4]Resumen!R42*1000</f>
        <v>0</v>
      </c>
      <c r="S42" s="7">
        <f>+[4]Resumen!S42*1000</f>
        <v>0</v>
      </c>
      <c r="T42" s="7">
        <f>+[4]Resumen!T42*1000</f>
        <v>0</v>
      </c>
      <c r="U42" s="7">
        <f>+[4]Resumen!U42*1000</f>
        <v>0</v>
      </c>
      <c r="V42" s="7">
        <f>+[4]Resumen!V42*1000</f>
        <v>0</v>
      </c>
      <c r="W42" s="7">
        <f>+[4]Resumen!W42*1000</f>
        <v>0</v>
      </c>
      <c r="X42" s="7">
        <f>+[4]Resumen!X42*1000</f>
        <v>0</v>
      </c>
      <c r="Y42" s="7">
        <f>+[4]Resumen!Y42*1000</f>
        <v>0</v>
      </c>
      <c r="Z42" s="7">
        <f>+[4]Resumen!Z42*1000</f>
        <v>0</v>
      </c>
      <c r="AA42" s="7">
        <f>+[4]Resumen!AA42*1000</f>
        <v>0</v>
      </c>
      <c r="AB42" s="7">
        <f>+[4]Resumen!AB42*1000</f>
        <v>0</v>
      </c>
      <c r="AC42" s="7">
        <f>+[4]Resumen!AC42*1000</f>
        <v>0</v>
      </c>
      <c r="AD42" s="66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22</v>
      </c>
      <c r="F43" s="7">
        <f>+[4]Resumen!F43*1000</f>
        <v>99704.04264</v>
      </c>
      <c r="G43" s="7">
        <f>+[4]Resumen!G43*1000</f>
        <v>90505.422559999992</v>
      </c>
      <c r="H43" s="7">
        <f>+[4]Resumen!H43*1000</f>
        <v>86209.068080000012</v>
      </c>
      <c r="I43" s="7">
        <f>+[4]Resumen!I43*1000</f>
        <v>86062.656320000009</v>
      </c>
      <c r="J43" s="7">
        <f>+[4]Resumen!J43*1000</f>
        <v>101429.69608000001</v>
      </c>
      <c r="K43" s="7">
        <f>+[4]Resumen!K43*1000</f>
        <v>126108.67951999999</v>
      </c>
      <c r="L43" s="7">
        <f>+[4]Resumen!L43*1000</f>
        <v>149665.26455999998</v>
      </c>
      <c r="M43" s="7">
        <f>+[4]Resumen!M43*1000</f>
        <v>152615.83464000002</v>
      </c>
      <c r="N43" s="7">
        <f>+[4]Resumen!N43*1000</f>
        <v>165861.57167999999</v>
      </c>
      <c r="O43" s="7">
        <f>+[4]Resumen!O43*1000</f>
        <v>174865.01824</v>
      </c>
      <c r="P43" s="7">
        <f>+[4]Resumen!P43*1000</f>
        <v>188463.89488000001</v>
      </c>
      <c r="Q43" s="7">
        <f>+[4]Resumen!Q43*1000</f>
        <v>200497.19464</v>
      </c>
      <c r="R43" s="7">
        <f>+[4]Resumen!R43*1000</f>
        <v>202671.04111999998</v>
      </c>
      <c r="S43" s="7">
        <f>+[4]Resumen!S43*1000</f>
        <v>199348.31232</v>
      </c>
      <c r="T43" s="7">
        <f>+[4]Resumen!T43*1000</f>
        <v>200776.87912</v>
      </c>
      <c r="U43" s="7">
        <f>+[4]Resumen!U43*1000</f>
        <v>201078.68520000001</v>
      </c>
      <c r="V43" s="7">
        <f>+[4]Resumen!V43*1000</f>
        <v>196103.40840000001</v>
      </c>
      <c r="W43" s="7">
        <f>+[4]Resumen!W43*1000</f>
        <v>194805.87240000002</v>
      </c>
      <c r="X43" s="7">
        <f>+[4]Resumen!X43*1000</f>
        <v>214936.93759999998</v>
      </c>
      <c r="Y43" s="7">
        <f>+[4]Resumen!Y43*1000</f>
        <v>210137.87471999999</v>
      </c>
      <c r="Z43" s="7">
        <f>+[4]Resumen!Z43*1000</f>
        <v>195613.69768000001</v>
      </c>
      <c r="AA43" s="7">
        <f>+[4]Resumen!AA43*1000</f>
        <v>167697.55536</v>
      </c>
      <c r="AB43" s="7">
        <f>+[4]Resumen!AB43*1000</f>
        <v>139192.40807999999</v>
      </c>
      <c r="AC43" s="7">
        <f>+[4]Resumen!AC43*1000</f>
        <v>111555.00784000001</v>
      </c>
      <c r="AD43" s="64">
        <f t="shared" ref="AD43" si="5">SUM(F43:AC43)*E43+SUM(F44:AC44)*E44+SUM(F45:AC45)*E45+SUM(F46:AC46)*E46</f>
        <v>114507728.43216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+[4]Resumen!F44*1000</f>
        <v>108188.93856</v>
      </c>
      <c r="G44" s="7">
        <f>+[4]Resumen!G44*1000</f>
        <v>97204.073679999987</v>
      </c>
      <c r="H44" s="7">
        <f>+[4]Resumen!H44*1000</f>
        <v>90936.369679999989</v>
      </c>
      <c r="I44" s="7">
        <f>+[4]Resumen!I44*1000</f>
        <v>89023.74656</v>
      </c>
      <c r="J44" s="7">
        <f>+[4]Resumen!J44*1000</f>
        <v>95579.567039999994</v>
      </c>
      <c r="K44" s="7">
        <f>+[4]Resumen!K44*1000</f>
        <v>106503.15856</v>
      </c>
      <c r="L44" s="7">
        <f>+[4]Resumen!L44*1000</f>
        <v>124273.7548</v>
      </c>
      <c r="M44" s="7">
        <f>+[4]Resumen!M44*1000</f>
        <v>132523.07303999999</v>
      </c>
      <c r="N44" s="7">
        <f>+[4]Resumen!N44*1000</f>
        <v>151523.14416</v>
      </c>
      <c r="O44" s="7">
        <f>+[4]Resumen!O44*1000</f>
        <v>164014.77024000001</v>
      </c>
      <c r="P44" s="7">
        <f>+[4]Resumen!P44*1000</f>
        <v>175635.40792</v>
      </c>
      <c r="Q44" s="7">
        <f>+[4]Resumen!Q44*1000</f>
        <v>184120.93375999999</v>
      </c>
      <c r="R44" s="7">
        <f>+[4]Resumen!R44*1000</f>
        <v>185289.19975999999</v>
      </c>
      <c r="S44" s="7">
        <f>+[4]Resumen!S44*1000</f>
        <v>180309.27296</v>
      </c>
      <c r="T44" s="7">
        <f>+[4]Resumen!T44*1000</f>
        <v>177167.19232</v>
      </c>
      <c r="U44" s="7">
        <f>+[4]Resumen!U44*1000</f>
        <v>177406.23455999998</v>
      </c>
      <c r="V44" s="7">
        <f>+[4]Resumen!V44*1000</f>
        <v>174542.80671999999</v>
      </c>
      <c r="W44" s="7">
        <f>+[4]Resumen!W44*1000</f>
        <v>178729.32448000001</v>
      </c>
      <c r="X44" s="7">
        <f>+[4]Resumen!X44*1000</f>
        <v>192567.38224000001</v>
      </c>
      <c r="Y44" s="7">
        <f>+[4]Resumen!Y44*1000</f>
        <v>186953.82288000002</v>
      </c>
      <c r="Z44" s="7">
        <f>+[4]Resumen!Z44*1000</f>
        <v>173907.58696000002</v>
      </c>
      <c r="AA44" s="7">
        <f>+[4]Resumen!AA44*1000</f>
        <v>155727.28727999999</v>
      </c>
      <c r="AB44" s="7">
        <f>+[4]Resumen!AB44*1000</f>
        <v>134865.80752</v>
      </c>
      <c r="AC44" s="7">
        <f>+[4]Resumen!AC44*1000</f>
        <v>115196.66712</v>
      </c>
      <c r="AD44" s="65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+[4]Resumen!F45*1000</f>
        <v>106476.84079999999</v>
      </c>
      <c r="G45" s="7">
        <f>+[4]Resumen!G45*1000</f>
        <v>96237.178719999996</v>
      </c>
      <c r="H45" s="7">
        <f>+[4]Resumen!H45*1000</f>
        <v>89251.137759999998</v>
      </c>
      <c r="I45" s="7">
        <f>+[4]Resumen!I45*1000</f>
        <v>85677.011360000004</v>
      </c>
      <c r="J45" s="7">
        <f>+[4]Resumen!J45*1000</f>
        <v>86933.327279999998</v>
      </c>
      <c r="K45" s="7">
        <f>+[4]Resumen!K45*1000</f>
        <v>90456.812080000003</v>
      </c>
      <c r="L45" s="7">
        <f>+[4]Resumen!L45*1000</f>
        <v>97900.824720000004</v>
      </c>
      <c r="M45" s="7">
        <f>+[4]Resumen!M45*1000</f>
        <v>99848.433199999999</v>
      </c>
      <c r="N45" s="7">
        <f>+[4]Resumen!N45*1000</f>
        <v>114255.78984</v>
      </c>
      <c r="O45" s="7">
        <f>+[4]Resumen!O45*1000</f>
        <v>127528.16455999999</v>
      </c>
      <c r="P45" s="7">
        <f>+[4]Resumen!P45*1000</f>
        <v>139656.75088000001</v>
      </c>
      <c r="Q45" s="7">
        <f>+[4]Resumen!Q45*1000</f>
        <v>151055.36903999999</v>
      </c>
      <c r="R45" s="7">
        <f>+[4]Resumen!R45*1000</f>
        <v>157990.52040000001</v>
      </c>
      <c r="S45" s="7">
        <f>+[4]Resumen!S45*1000</f>
        <v>158476.82359999997</v>
      </c>
      <c r="T45" s="7">
        <f>+[4]Resumen!T45*1000</f>
        <v>154761.60008</v>
      </c>
      <c r="U45" s="7">
        <f>+[4]Resumen!U45*1000</f>
        <v>152353.16296000002</v>
      </c>
      <c r="V45" s="7">
        <f>+[4]Resumen!V45*1000</f>
        <v>150394.89048</v>
      </c>
      <c r="W45" s="7">
        <f>+[4]Resumen!W45*1000</f>
        <v>155789.41872000002</v>
      </c>
      <c r="X45" s="7">
        <f>+[4]Resumen!X45*1000</f>
        <v>175159.69928</v>
      </c>
      <c r="Y45" s="7">
        <f>+[4]Resumen!Y45*1000</f>
        <v>173380.05872</v>
      </c>
      <c r="Z45" s="7">
        <f>+[4]Resumen!Z45*1000</f>
        <v>163278.20775999999</v>
      </c>
      <c r="AA45" s="7">
        <f>+[4]Resumen!AA45*1000</f>
        <v>147398.47759999998</v>
      </c>
      <c r="AB45" s="7">
        <f>+[4]Resumen!AB45*1000</f>
        <v>126265.75528</v>
      </c>
      <c r="AC45" s="7">
        <f>+[4]Resumen!AC45*1000</f>
        <v>105467.21296</v>
      </c>
      <c r="AD45" s="65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+[4]Resumen!F46*1000</f>
        <v>98165.750719999996</v>
      </c>
      <c r="G46" s="7">
        <f>+[4]Resumen!G46*1000</f>
        <v>88136.375279999993</v>
      </c>
      <c r="H46" s="7">
        <f>+[4]Resumen!H46*1000</f>
        <v>81502.692720000006</v>
      </c>
      <c r="I46" s="7">
        <f>+[4]Resumen!I46*1000</f>
        <v>78803.862479999996</v>
      </c>
      <c r="J46" s="7">
        <f>+[4]Resumen!J46*1000</f>
        <v>81707.267919999998</v>
      </c>
      <c r="K46" s="7">
        <f>+[4]Resumen!K46*1000</f>
        <v>86769.329840000006</v>
      </c>
      <c r="L46" s="7">
        <f>+[4]Resumen!L46*1000</f>
        <v>94039.305999999997</v>
      </c>
      <c r="M46" s="7">
        <f>+[4]Resumen!M46*1000</f>
        <v>95510.003039999996</v>
      </c>
      <c r="N46" s="7">
        <f>+[4]Resumen!N46*1000</f>
        <v>111575.73568</v>
      </c>
      <c r="O46" s="7">
        <f>+[4]Resumen!O46*1000</f>
        <v>126324.94791999999</v>
      </c>
      <c r="P46" s="7">
        <f>+[4]Resumen!P46*1000</f>
        <v>138091.55095999999</v>
      </c>
      <c r="Q46" s="7">
        <f>+[4]Resumen!Q46*1000</f>
        <v>150760.89135999998</v>
      </c>
      <c r="R46" s="7">
        <f>+[4]Resumen!R46*1000</f>
        <v>161087.90896</v>
      </c>
      <c r="S46" s="7">
        <f>+[4]Resumen!S46*1000</f>
        <v>158665.75992000001</v>
      </c>
      <c r="T46" s="7">
        <f>+[4]Resumen!T46*1000</f>
        <v>152824.87135999999</v>
      </c>
      <c r="U46" s="7">
        <f>+[4]Resumen!U46*1000</f>
        <v>150391.71359999999</v>
      </c>
      <c r="V46" s="7">
        <f>+[4]Resumen!V46*1000</f>
        <v>149429.50831999999</v>
      </c>
      <c r="W46" s="7">
        <f>+[4]Resumen!W46*1000</f>
        <v>157865.34983999998</v>
      </c>
      <c r="X46" s="7">
        <f>+[4]Resumen!X46*1000</f>
        <v>178073.39176</v>
      </c>
      <c r="Y46" s="7">
        <f>+[4]Resumen!Y46*1000</f>
        <v>176924.71776</v>
      </c>
      <c r="Z46" s="7">
        <f>+[4]Resumen!Z46*1000</f>
        <v>163836.40119999999</v>
      </c>
      <c r="AA46" s="7">
        <f>+[4]Resumen!AA46*1000</f>
        <v>144156.31904</v>
      </c>
      <c r="AB46" s="7">
        <f>+[4]Resumen!AB46*1000</f>
        <v>120670.54048</v>
      </c>
      <c r="AC46" s="7">
        <f>+[4]Resumen!AC46*1000</f>
        <v>99749.751519999991</v>
      </c>
      <c r="AD46" s="66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19</v>
      </c>
      <c r="F47" s="7">
        <f>+[4]Resumen!F47*1000</f>
        <v>102946.43927999999</v>
      </c>
      <c r="G47" s="7">
        <f>+[4]Resumen!G47*1000</f>
        <v>93655.659919999991</v>
      </c>
      <c r="H47" s="7">
        <f>+[4]Resumen!H47*1000</f>
        <v>88675.946400000001</v>
      </c>
      <c r="I47" s="7">
        <f>+[4]Resumen!I47*1000</f>
        <v>88462.113360000003</v>
      </c>
      <c r="J47" s="7">
        <f>+[4]Resumen!J47*1000</f>
        <v>103898.43936</v>
      </c>
      <c r="K47" s="7">
        <f>+[4]Resumen!K47*1000</f>
        <v>128485.22632000002</v>
      </c>
      <c r="L47" s="7">
        <f>+[4]Resumen!L47*1000</f>
        <v>153827.58248000001</v>
      </c>
      <c r="M47" s="7">
        <f>+[4]Resumen!M47*1000</f>
        <v>157138.44696</v>
      </c>
      <c r="N47" s="7">
        <f>+[4]Resumen!N47*1000</f>
        <v>170543.63807999998</v>
      </c>
      <c r="O47" s="7">
        <f>+[4]Resumen!O47*1000</f>
        <v>179346.75768000001</v>
      </c>
      <c r="P47" s="7">
        <f>+[4]Resumen!P47*1000</f>
        <v>193338.24064</v>
      </c>
      <c r="Q47" s="7">
        <f>+[4]Resumen!Q47*1000</f>
        <v>204409.35</v>
      </c>
      <c r="R47" s="7">
        <f>+[4]Resumen!R47*1000</f>
        <v>206029.37776</v>
      </c>
      <c r="S47" s="7">
        <f>+[4]Resumen!S47*1000</f>
        <v>203533.05192</v>
      </c>
      <c r="T47" s="7">
        <f>+[4]Resumen!T47*1000</f>
        <v>205696.79488</v>
      </c>
      <c r="U47" s="7">
        <f>+[4]Resumen!U47*1000</f>
        <v>206255.1024</v>
      </c>
      <c r="V47" s="7">
        <f>+[4]Resumen!V47*1000</f>
        <v>201224.78200000001</v>
      </c>
      <c r="W47" s="7">
        <f>+[4]Resumen!W47*1000</f>
        <v>201579.24840000001</v>
      </c>
      <c r="X47" s="7">
        <f>+[4]Resumen!X47*1000</f>
        <v>220195.20472000001</v>
      </c>
      <c r="Y47" s="7">
        <f>+[4]Resumen!Y47*1000</f>
        <v>214520.82583999998</v>
      </c>
      <c r="Z47" s="7">
        <f>+[4]Resumen!Z47*1000</f>
        <v>199797.01128000001</v>
      </c>
      <c r="AA47" s="7">
        <f>+[4]Resumen!AA47*1000</f>
        <v>172125.516</v>
      </c>
      <c r="AB47" s="7">
        <f>+[4]Resumen!AB47*1000</f>
        <v>143462.59855999998</v>
      </c>
      <c r="AC47" s="7">
        <f>+[4]Resumen!AC47*1000</f>
        <v>115241.71136</v>
      </c>
      <c r="AD47" s="64">
        <f t="shared" ref="AD47" si="6">SUM(F47:AC47)*E47+SUM(F48:AC48)*E48+SUM(F49:AC49)*E49+SUM(F50:AC50)*E50</f>
        <v>112897248.73416001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5</v>
      </c>
      <c r="F48" s="7">
        <f>+[4]Resumen!F48*1000</f>
        <v>111327.72824</v>
      </c>
      <c r="G48" s="7">
        <f>+[4]Resumen!G48*1000</f>
        <v>99861.292000000001</v>
      </c>
      <c r="H48" s="7">
        <f>+[4]Resumen!H48*1000</f>
        <v>93580.860639999999</v>
      </c>
      <c r="I48" s="7">
        <f>+[4]Resumen!I48*1000</f>
        <v>92219.122399999993</v>
      </c>
      <c r="J48" s="7">
        <f>+[4]Resumen!J48*1000</f>
        <v>98708.151519999999</v>
      </c>
      <c r="K48" s="7">
        <f>+[4]Resumen!K48*1000</f>
        <v>109714.42128</v>
      </c>
      <c r="L48" s="7">
        <f>+[4]Resumen!L48*1000</f>
        <v>128906.35264</v>
      </c>
      <c r="M48" s="7">
        <f>+[4]Resumen!M48*1000</f>
        <v>138103.02592000001</v>
      </c>
      <c r="N48" s="7">
        <f>+[4]Resumen!N48*1000</f>
        <v>157004.37568</v>
      </c>
      <c r="O48" s="7">
        <f>+[4]Resumen!O48*1000</f>
        <v>169599.50207999998</v>
      </c>
      <c r="P48" s="7">
        <f>+[4]Resumen!P48*1000</f>
        <v>181913.65688000002</v>
      </c>
      <c r="Q48" s="7">
        <f>+[4]Resumen!Q48*1000</f>
        <v>190245.80959999998</v>
      </c>
      <c r="R48" s="7">
        <f>+[4]Resumen!R48*1000</f>
        <v>190684.26120000001</v>
      </c>
      <c r="S48" s="7">
        <f>+[4]Resumen!S48*1000</f>
        <v>185537.81727999999</v>
      </c>
      <c r="T48" s="7">
        <f>+[4]Resumen!T48*1000</f>
        <v>180826.94816</v>
      </c>
      <c r="U48" s="7">
        <f>+[4]Resumen!U48*1000</f>
        <v>179353.15607999999</v>
      </c>
      <c r="V48" s="7">
        <f>+[4]Resumen!V48*1000</f>
        <v>177767.2928</v>
      </c>
      <c r="W48" s="7">
        <f>+[4]Resumen!W48*1000</f>
        <v>184575.57728</v>
      </c>
      <c r="X48" s="7">
        <f>+[4]Resumen!X48*1000</f>
        <v>199020.15375999999</v>
      </c>
      <c r="Y48" s="7">
        <f>+[4]Resumen!Y48*1000</f>
        <v>193303.166</v>
      </c>
      <c r="Z48" s="7">
        <f>+[4]Resumen!Z48*1000</f>
        <v>180348.76696000001</v>
      </c>
      <c r="AA48" s="7">
        <f>+[4]Resumen!AA48*1000</f>
        <v>162561.47288000002</v>
      </c>
      <c r="AB48" s="7">
        <f>+[4]Resumen!AB48*1000</f>
        <v>141659.28640000001</v>
      </c>
      <c r="AC48" s="7">
        <f>+[4]Resumen!AC48*1000</f>
        <v>121614.43344000001</v>
      </c>
      <c r="AD48" s="65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+[4]Resumen!F49*1000</f>
        <v>112760.53832000001</v>
      </c>
      <c r="G49" s="7">
        <f>+[4]Resumen!G49*1000</f>
        <v>101702.72424</v>
      </c>
      <c r="H49" s="7">
        <f>+[4]Resumen!H49*1000</f>
        <v>93897.251600000003</v>
      </c>
      <c r="I49" s="7">
        <f>+[4]Resumen!I49*1000</f>
        <v>90426.082399999999</v>
      </c>
      <c r="J49" s="7">
        <f>+[4]Resumen!J49*1000</f>
        <v>91701.618320000009</v>
      </c>
      <c r="K49" s="7">
        <f>+[4]Resumen!K49*1000</f>
        <v>95773.592320000011</v>
      </c>
      <c r="L49" s="7">
        <f>+[4]Resumen!L49*1000</f>
        <v>103123.02272000001</v>
      </c>
      <c r="M49" s="7">
        <f>+[4]Resumen!M49*1000</f>
        <v>104688.37392</v>
      </c>
      <c r="N49" s="7">
        <f>+[4]Resumen!N49*1000</f>
        <v>119810.04991999999</v>
      </c>
      <c r="O49" s="7">
        <f>+[4]Resumen!O49*1000</f>
        <v>132998.63783999998</v>
      </c>
      <c r="P49" s="7">
        <f>+[4]Resumen!P49*1000</f>
        <v>144493.90407999998</v>
      </c>
      <c r="Q49" s="7">
        <f>+[4]Resumen!Q49*1000</f>
        <v>155996.13911999998</v>
      </c>
      <c r="R49" s="7">
        <f>+[4]Resumen!R49*1000</f>
        <v>162680.87247999999</v>
      </c>
      <c r="S49" s="7">
        <f>+[4]Resumen!S49*1000</f>
        <v>163948.35335999998</v>
      </c>
      <c r="T49" s="7">
        <f>+[4]Resumen!T49*1000</f>
        <v>160623.73976</v>
      </c>
      <c r="U49" s="7">
        <f>+[4]Resumen!U49*1000</f>
        <v>158758.02088000003</v>
      </c>
      <c r="V49" s="7">
        <f>+[4]Resumen!V49*1000</f>
        <v>157116.98256</v>
      </c>
      <c r="W49" s="7">
        <f>+[4]Resumen!W49*1000</f>
        <v>166047.15752000001</v>
      </c>
      <c r="X49" s="7">
        <f>+[4]Resumen!X49*1000</f>
        <v>181545.42152</v>
      </c>
      <c r="Y49" s="7">
        <f>+[4]Resumen!Y49*1000</f>
        <v>178979.81688</v>
      </c>
      <c r="Z49" s="7">
        <f>+[4]Resumen!Z49*1000</f>
        <v>167727.29303999999</v>
      </c>
      <c r="AA49" s="7">
        <f>+[4]Resumen!AA49*1000</f>
        <v>152078.67408</v>
      </c>
      <c r="AB49" s="7">
        <f>+[4]Resumen!AB49*1000</f>
        <v>131415.53479999999</v>
      </c>
      <c r="AC49" s="7">
        <f>+[4]Resumen!AC49*1000</f>
        <v>111439.04552</v>
      </c>
      <c r="AD49" s="65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+[4]Resumen!F50*1000</f>
        <v>105474.99272000001</v>
      </c>
      <c r="G50" s="7">
        <f>+[4]Resumen!G50*1000</f>
        <v>94671.986239999998</v>
      </c>
      <c r="H50" s="7">
        <f>+[4]Resumen!H50*1000</f>
        <v>88602.783919999987</v>
      </c>
      <c r="I50" s="7">
        <f>+[4]Resumen!I50*1000</f>
        <v>85667.899839999998</v>
      </c>
      <c r="J50" s="7">
        <f>+[4]Resumen!J50*1000</f>
        <v>88774.943039999998</v>
      </c>
      <c r="K50" s="7">
        <f>+[4]Resumen!K50*1000</f>
        <v>93859.01</v>
      </c>
      <c r="L50" s="7">
        <f>+[4]Resumen!L50*1000</f>
        <v>100096.5324</v>
      </c>
      <c r="M50" s="7">
        <f>+[4]Resumen!M50*1000</f>
        <v>102020.79415999999</v>
      </c>
      <c r="N50" s="7">
        <f>+[4]Resumen!N50*1000</f>
        <v>118086.70784</v>
      </c>
      <c r="O50" s="7">
        <f>+[4]Resumen!O50*1000</f>
        <v>132008.82768000002</v>
      </c>
      <c r="P50" s="7">
        <f>+[4]Resumen!P50*1000</f>
        <v>144989.58911999999</v>
      </c>
      <c r="Q50" s="7">
        <f>+[4]Resumen!Q50*1000</f>
        <v>159332.92703999998</v>
      </c>
      <c r="R50" s="7">
        <f>+[4]Resumen!R50*1000</f>
        <v>168915.16840000002</v>
      </c>
      <c r="S50" s="7">
        <f>+[4]Resumen!S50*1000</f>
        <v>168778.36911999999</v>
      </c>
      <c r="T50" s="7">
        <f>+[4]Resumen!T50*1000</f>
        <v>164048.68176000001</v>
      </c>
      <c r="U50" s="7">
        <f>+[4]Resumen!U50*1000</f>
        <v>161565.11799999999</v>
      </c>
      <c r="V50" s="7">
        <f>+[4]Resumen!V50*1000</f>
        <v>159062.364</v>
      </c>
      <c r="W50" s="7">
        <f>+[4]Resumen!W50*1000</f>
        <v>166973.88392000002</v>
      </c>
      <c r="X50" s="7">
        <f>+[4]Resumen!X50*1000</f>
        <v>185457.96127999999</v>
      </c>
      <c r="Y50" s="7">
        <f>+[4]Resumen!Y50*1000</f>
        <v>183333.52383999998</v>
      </c>
      <c r="Z50" s="7">
        <f>+[4]Resumen!Z50*1000</f>
        <v>171032.04679999998</v>
      </c>
      <c r="AA50" s="7">
        <f>+[4]Resumen!AA50*1000</f>
        <v>152100.46088</v>
      </c>
      <c r="AB50" s="7">
        <f>+[4]Resumen!AB50*1000</f>
        <v>129140.82424</v>
      </c>
      <c r="AC50" s="7">
        <f>+[4]Resumen!AC50*1000</f>
        <v>107375.57544</v>
      </c>
      <c r="AD50" s="66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21</v>
      </c>
      <c r="F51" s="7">
        <f>+[4]Resumen!F51*1000</f>
        <v>121941.848</v>
      </c>
      <c r="G51" s="7">
        <f>+[4]Resumen!G51*1000</f>
        <v>110855.92064</v>
      </c>
      <c r="H51" s="7">
        <f>+[4]Resumen!H51*1000</f>
        <v>104779.38248</v>
      </c>
      <c r="I51" s="7">
        <f>+[4]Resumen!I51*1000</f>
        <v>103754.9788</v>
      </c>
      <c r="J51" s="7">
        <f>+[4]Resumen!J51*1000</f>
        <v>116355.05032000001</v>
      </c>
      <c r="K51" s="7">
        <f>+[4]Resumen!K51*1000</f>
        <v>133928.00047999999</v>
      </c>
      <c r="L51" s="7">
        <f>+[4]Resumen!L51*1000</f>
        <v>155482.29303999999</v>
      </c>
      <c r="M51" s="7">
        <f>+[4]Resumen!M51*1000</f>
        <v>163707.01216000001</v>
      </c>
      <c r="N51" s="7">
        <f>+[4]Resumen!N51*1000</f>
        <v>180501.01416000002</v>
      </c>
      <c r="O51" s="7">
        <f>+[4]Resumen!O51*1000</f>
        <v>191490.26864000002</v>
      </c>
      <c r="P51" s="7">
        <f>+[4]Resumen!P51*1000</f>
        <v>203674.38959999999</v>
      </c>
      <c r="Q51" s="7">
        <f>+[4]Resumen!Q51*1000</f>
        <v>214574.30207999999</v>
      </c>
      <c r="R51" s="7">
        <f>+[4]Resumen!R51*1000</f>
        <v>219311.90064000001</v>
      </c>
      <c r="S51" s="7">
        <f>+[4]Resumen!S51*1000</f>
        <v>216900.07335999998</v>
      </c>
      <c r="T51" s="7">
        <f>+[4]Resumen!T51*1000</f>
        <v>217709.13615999999</v>
      </c>
      <c r="U51" s="7">
        <f>+[4]Resumen!U51*1000</f>
        <v>218036.93264000001</v>
      </c>
      <c r="V51" s="7">
        <f>+[4]Resumen!V51*1000</f>
        <v>213603.4044</v>
      </c>
      <c r="W51" s="7">
        <f>+[4]Resumen!W51*1000</f>
        <v>212137.03744000001</v>
      </c>
      <c r="X51" s="7">
        <f>+[4]Resumen!X51*1000</f>
        <v>234224.22495999999</v>
      </c>
      <c r="Y51" s="7">
        <f>+[4]Resumen!Y51*1000</f>
        <v>230428.81064000001</v>
      </c>
      <c r="Z51" s="7">
        <f>+[4]Resumen!Z51*1000</f>
        <v>216143.04592</v>
      </c>
      <c r="AA51" s="7">
        <f>+[4]Resumen!AA51*1000</f>
        <v>189789.28623999999</v>
      </c>
      <c r="AB51" s="7">
        <f>+[4]Resumen!AB51*1000</f>
        <v>163714.34304000001</v>
      </c>
      <c r="AC51" s="7">
        <f>+[4]Resumen!AC51*1000</f>
        <v>136482.83696000002</v>
      </c>
      <c r="AD51" s="64">
        <f t="shared" ref="AD51" si="7">SUM(F51:AC51)*E51+SUM(F52:AC52)*E52+SUM(F53:AC53)*E53+SUM(F54:AC54)*E54</f>
        <v>126912684.03264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+[4]Resumen!F52*1000</f>
        <v>129560.74527999999</v>
      </c>
      <c r="G52" s="7">
        <f>+[4]Resumen!G52*1000</f>
        <v>116914.61023999999</v>
      </c>
      <c r="H52" s="7">
        <f>+[4]Resumen!H52*1000</f>
        <v>109767.32712</v>
      </c>
      <c r="I52" s="7">
        <f>+[4]Resumen!I52*1000</f>
        <v>107590.97584</v>
      </c>
      <c r="J52" s="7">
        <f>+[4]Resumen!J52*1000</f>
        <v>111938.40096</v>
      </c>
      <c r="K52" s="7">
        <f>+[4]Resumen!K52*1000</f>
        <v>126036.08992</v>
      </c>
      <c r="L52" s="7">
        <f>+[4]Resumen!L52*1000</f>
        <v>140556.8768</v>
      </c>
      <c r="M52" s="7">
        <f>+[4]Resumen!M52*1000</f>
        <v>149049.07384</v>
      </c>
      <c r="N52" s="7">
        <f>+[4]Resumen!N52*1000</f>
        <v>168875.93976000001</v>
      </c>
      <c r="O52" s="7">
        <f>+[4]Resumen!O52*1000</f>
        <v>181582.53224</v>
      </c>
      <c r="P52" s="7">
        <f>+[4]Resumen!P52*1000</f>
        <v>193491.04335999998</v>
      </c>
      <c r="Q52" s="7">
        <f>+[4]Resumen!Q52*1000</f>
        <v>201252.60016</v>
      </c>
      <c r="R52" s="7">
        <f>+[4]Resumen!R52*1000</f>
        <v>204162.78591999999</v>
      </c>
      <c r="S52" s="7">
        <f>+[4]Resumen!S52*1000</f>
        <v>199835.72407999999</v>
      </c>
      <c r="T52" s="7">
        <f>+[4]Resumen!T52*1000</f>
        <v>195585.73071999999</v>
      </c>
      <c r="U52" s="7">
        <f>+[4]Resumen!U52*1000</f>
        <v>194002.72192000001</v>
      </c>
      <c r="V52" s="7">
        <f>+[4]Resumen!V52*1000</f>
        <v>192489.98144</v>
      </c>
      <c r="W52" s="7">
        <f>+[4]Resumen!W52*1000</f>
        <v>196036.89231999998</v>
      </c>
      <c r="X52" s="7">
        <f>+[4]Resumen!X52*1000</f>
        <v>214270.46240000002</v>
      </c>
      <c r="Y52" s="7">
        <f>+[4]Resumen!Y52*1000</f>
        <v>211133.43104</v>
      </c>
      <c r="Z52" s="7">
        <f>+[4]Resumen!Z52*1000</f>
        <v>197994.11327999999</v>
      </c>
      <c r="AA52" s="7">
        <f>+[4]Resumen!AA52*1000</f>
        <v>180426.82496</v>
      </c>
      <c r="AB52" s="7">
        <f>+[4]Resumen!AB52*1000</f>
        <v>160545.15599999999</v>
      </c>
      <c r="AC52" s="7">
        <f>+[4]Resumen!AC52*1000</f>
        <v>140174.88488000003</v>
      </c>
      <c r="AD52" s="65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+[4]Resumen!F53*1000</f>
        <v>130223.39879999998</v>
      </c>
      <c r="G53" s="7">
        <f>+[4]Resumen!G53*1000</f>
        <v>117641.99920000001</v>
      </c>
      <c r="H53" s="7">
        <f>+[4]Resumen!H53*1000</f>
        <v>109309.038</v>
      </c>
      <c r="I53" s="7">
        <f>+[4]Resumen!I53*1000</f>
        <v>105284.78416</v>
      </c>
      <c r="J53" s="7">
        <f>+[4]Resumen!J53*1000</f>
        <v>106098.27872</v>
      </c>
      <c r="K53" s="7">
        <f>+[4]Resumen!K53*1000</f>
        <v>110659.17727999999</v>
      </c>
      <c r="L53" s="7">
        <f>+[4]Resumen!L53*1000</f>
        <v>117125.43255999999</v>
      </c>
      <c r="M53" s="7">
        <f>+[4]Resumen!M53*1000</f>
        <v>118673.74863999999</v>
      </c>
      <c r="N53" s="7">
        <f>+[4]Resumen!N53*1000</f>
        <v>134662.37064000001</v>
      </c>
      <c r="O53" s="7">
        <f>+[4]Resumen!O53*1000</f>
        <v>148524.658</v>
      </c>
      <c r="P53" s="7">
        <f>+[4]Resumen!P53*1000</f>
        <v>160073.27896</v>
      </c>
      <c r="Q53" s="7">
        <f>+[4]Resumen!Q53*1000</f>
        <v>170309.23592000001</v>
      </c>
      <c r="R53" s="7">
        <f>+[4]Resumen!R53*1000</f>
        <v>177087.39088000002</v>
      </c>
      <c r="S53" s="7">
        <f>+[4]Resumen!S53*1000</f>
        <v>178587.85783999998</v>
      </c>
      <c r="T53" s="7">
        <f>+[4]Resumen!T53*1000</f>
        <v>176909.95679999999</v>
      </c>
      <c r="U53" s="7">
        <f>+[4]Resumen!U53*1000</f>
        <v>175897.26120000001</v>
      </c>
      <c r="V53" s="7">
        <f>+[4]Resumen!V53*1000</f>
        <v>173563.44975999999</v>
      </c>
      <c r="W53" s="7">
        <f>+[4]Resumen!W53*1000</f>
        <v>174929.15848000001</v>
      </c>
      <c r="X53" s="7">
        <f>+[4]Resumen!X53*1000</f>
        <v>194074.01199999999</v>
      </c>
      <c r="Y53" s="7">
        <f>+[4]Resumen!Y53*1000</f>
        <v>193827.05359999998</v>
      </c>
      <c r="Z53" s="7">
        <f>+[4]Resumen!Z53*1000</f>
        <v>182772.69911999998</v>
      </c>
      <c r="AA53" s="7">
        <f>+[4]Resumen!AA53*1000</f>
        <v>167766.38032</v>
      </c>
      <c r="AB53" s="7">
        <f>+[4]Resumen!AB53*1000</f>
        <v>149562.78847999999</v>
      </c>
      <c r="AC53" s="7">
        <f>+[4]Resumen!AC53*1000</f>
        <v>130518.07735999998</v>
      </c>
      <c r="AD53" s="65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+[4]Resumen!F54*1000</f>
        <v>128610.16871999999</v>
      </c>
      <c r="G54" s="7">
        <f>+[4]Resumen!G54*1000</f>
        <v>118707.12696000001</v>
      </c>
      <c r="H54" s="7">
        <f>+[4]Resumen!H54*1000</f>
        <v>110273.44551999999</v>
      </c>
      <c r="I54" s="7">
        <f>+[4]Resumen!I54*1000</f>
        <v>104994.91679999999</v>
      </c>
      <c r="J54" s="7">
        <f>+[4]Resumen!J54*1000</f>
        <v>104359.5904</v>
      </c>
      <c r="K54" s="7">
        <f>+[4]Resumen!K54*1000</f>
        <v>106331.71120000001</v>
      </c>
      <c r="L54" s="7">
        <f>+[4]Resumen!L54*1000</f>
        <v>107673.4532</v>
      </c>
      <c r="M54" s="7">
        <f>+[4]Resumen!M54*1000</f>
        <v>103244.49560000001</v>
      </c>
      <c r="N54" s="7">
        <f>+[4]Resumen!N54*1000</f>
        <v>114111.20088</v>
      </c>
      <c r="O54" s="7">
        <f>+[4]Resumen!O54*1000</f>
        <v>127207.23767999999</v>
      </c>
      <c r="P54" s="7">
        <f>+[4]Resumen!P54*1000</f>
        <v>139536.06168000001</v>
      </c>
      <c r="Q54" s="7">
        <f>+[4]Resumen!Q54*1000</f>
        <v>152234.72064000001</v>
      </c>
      <c r="R54" s="7">
        <f>+[4]Resumen!R54*1000</f>
        <v>163185.26728</v>
      </c>
      <c r="S54" s="7">
        <f>+[4]Resumen!S54*1000</f>
        <v>165675.04344000001</v>
      </c>
      <c r="T54" s="7">
        <f>+[4]Resumen!T54*1000</f>
        <v>163732.514</v>
      </c>
      <c r="U54" s="7">
        <f>+[4]Resumen!U54*1000</f>
        <v>164212.47088000001</v>
      </c>
      <c r="V54" s="7">
        <f>+[4]Resumen!V54*1000</f>
        <v>162840.91431999998</v>
      </c>
      <c r="W54" s="7">
        <f>+[4]Resumen!W54*1000</f>
        <v>166601.72520000002</v>
      </c>
      <c r="X54" s="7">
        <f>+[4]Resumen!X54*1000</f>
        <v>185356.06304000001</v>
      </c>
      <c r="Y54" s="7">
        <f>+[4]Resumen!Y54*1000</f>
        <v>185840.81623999999</v>
      </c>
      <c r="Z54" s="7">
        <f>+[4]Resumen!Z54*1000</f>
        <v>174824.51736</v>
      </c>
      <c r="AA54" s="7">
        <f>+[4]Resumen!AA54*1000</f>
        <v>159188.07024</v>
      </c>
      <c r="AB54" s="7">
        <f>+[4]Resumen!AB54*1000</f>
        <v>140879.08583999999</v>
      </c>
      <c r="AC54" s="7">
        <f>+[4]Resumen!AC54*1000</f>
        <v>121990.90239999999</v>
      </c>
      <c r="AD54" s="66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49" t="s">
        <v>46</v>
      </c>
      <c r="AA55" s="52"/>
      <c r="AB55" s="50"/>
      <c r="AC55" s="51"/>
      <c r="AD55" s="60">
        <f>SUM(AD7:AD54)</f>
        <v>1440156055.2714398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7"/>
    </row>
  </sheetData>
  <mergeCells count="15"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  <ignoredErrors>
    <ignoredError sqref="F7:AD54 F55:Y55 AB55:AD5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AC33-BC25-405B-98E2-35CB285C504D}">
  <dimension ref="C1:BD58"/>
  <sheetViews>
    <sheetView showGridLines="0" topLeftCell="C1" zoomScale="66" zoomScaleNormal="66" workbookViewId="0">
      <selection activeCell="C4" sqref="C4:AD4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54296875" style="1" customWidth="1"/>
    <col min="5" max="5" width="9.453125" style="1" customWidth="1"/>
    <col min="6" max="12" width="8.54296875" style="1" bestFit="1" customWidth="1"/>
    <col min="13" max="22" width="11.54296875" style="1" customWidth="1"/>
    <col min="23" max="25" width="9" style="1" bestFit="1" customWidth="1"/>
    <col min="26" max="26" width="11" style="1" customWidth="1"/>
    <col min="27" max="27" width="9" style="1" bestFit="1" customWidth="1"/>
    <col min="28" max="29" width="8.54296875" style="1" bestFit="1" customWidth="1"/>
    <col min="30" max="30" width="19.54296875" style="1" bestFit="1" customWidth="1"/>
    <col min="31" max="31" width="2.8164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7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 spans="3:56" ht="18.649999999999999" customHeight="1">
      <c r="C3" s="67" t="s">
        <v>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3:56" ht="18.649999999999999" customHeight="1">
      <c r="C4" s="67">
        <v>2031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21</v>
      </c>
      <c r="F7" s="7">
        <f>+[5]Resumen!F7*1000</f>
        <v>144552.3989</v>
      </c>
      <c r="G7" s="7">
        <f>+[5]Resumen!G7*1000</f>
        <v>135430.065225</v>
      </c>
      <c r="H7" s="7">
        <f>+[5]Resumen!H7*1000</f>
        <v>130225.37255</v>
      </c>
      <c r="I7" s="7">
        <f>+[5]Resumen!I7*1000</f>
        <v>129662.49660000003</v>
      </c>
      <c r="J7" s="7">
        <f>+[5]Resumen!J7*1000</f>
        <v>144336.99734999999</v>
      </c>
      <c r="K7" s="7">
        <f>+[5]Resumen!K7*1000</f>
        <v>165712.06925</v>
      </c>
      <c r="L7" s="7">
        <f>+[5]Resumen!L7*1000</f>
        <v>189242.03252500002</v>
      </c>
      <c r="M7" s="7">
        <f>+[5]Resumen!M7*1000</f>
        <v>190923.589675</v>
      </c>
      <c r="N7" s="7">
        <f>+[5]Resumen!N7*1000</f>
        <v>206322.76209999999</v>
      </c>
      <c r="O7" s="7">
        <f>+[5]Resumen!O7*1000</f>
        <v>216495.33587499999</v>
      </c>
      <c r="P7" s="7">
        <f>+[5]Resumen!P7*1000</f>
        <v>230079.99105000001</v>
      </c>
      <c r="Q7" s="7">
        <f>+[5]Resumen!Q7*1000</f>
        <v>241851.78062500001</v>
      </c>
      <c r="R7" s="7">
        <f>+[5]Resumen!R7*1000</f>
        <v>246216.94597500001</v>
      </c>
      <c r="S7" s="7">
        <f>+[5]Resumen!S7*1000</f>
        <v>243147.27027499999</v>
      </c>
      <c r="T7" s="7">
        <f>+[5]Resumen!T7*1000</f>
        <v>244481.99685</v>
      </c>
      <c r="U7" s="7">
        <f>+[5]Resumen!U7*1000</f>
        <v>244043.738575</v>
      </c>
      <c r="V7" s="7">
        <f>+[5]Resumen!V7*1000</f>
        <v>238469.80885</v>
      </c>
      <c r="W7" s="7">
        <f>+[5]Resumen!W7*1000</f>
        <v>235578.42490000001</v>
      </c>
      <c r="X7" s="7">
        <f>+[5]Resumen!X7*1000</f>
        <v>255285.79212500004</v>
      </c>
      <c r="Y7" s="7">
        <f>+[5]Resumen!Y7*1000</f>
        <v>258535.43170000002</v>
      </c>
      <c r="Z7" s="7">
        <f>+[5]Resumen!Z7*1000</f>
        <v>244209.23345</v>
      </c>
      <c r="AA7" s="7">
        <f>+[5]Resumen!AA7*1000</f>
        <v>214612.8075</v>
      </c>
      <c r="AB7" s="7">
        <f>+[5]Resumen!AB7*1000</f>
        <v>187090.27382500001</v>
      </c>
      <c r="AC7" s="7">
        <f>+[5]Resumen!AC7*1000</f>
        <v>158240.10930000001</v>
      </c>
      <c r="AD7" s="64">
        <f>SUM(F7:AC7)*E7+SUM(F8:AC8)*E8+SUM(F9:AC9)*E9+SUM(F10:AC10)*E10</f>
        <v>146182394.60825002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+[5]Resumen!F8*1000</f>
        <v>156091.62205000001</v>
      </c>
      <c r="G8" s="7">
        <f>+[5]Resumen!G8*1000</f>
        <v>144875.07580000002</v>
      </c>
      <c r="H8" s="7">
        <f>+[5]Resumen!H8*1000</f>
        <v>138448.74680000002</v>
      </c>
      <c r="I8" s="7">
        <f>+[5]Resumen!I8*1000</f>
        <v>136033.731925</v>
      </c>
      <c r="J8" s="7">
        <f>+[5]Resumen!J8*1000</f>
        <v>141143.18400000001</v>
      </c>
      <c r="K8" s="7">
        <f>+[5]Resumen!K8*1000</f>
        <v>152019.86799999999</v>
      </c>
      <c r="L8" s="7">
        <f>+[5]Resumen!L8*1000</f>
        <v>168697.46529999998</v>
      </c>
      <c r="M8" s="7">
        <f>+[5]Resumen!M8*1000</f>
        <v>172263.94412500001</v>
      </c>
      <c r="N8" s="7">
        <f>+[5]Resumen!N8*1000</f>
        <v>191612.78955000002</v>
      </c>
      <c r="O8" s="7">
        <f>+[5]Resumen!O8*1000</f>
        <v>205561.46520000001</v>
      </c>
      <c r="P8" s="7">
        <f>+[5]Resumen!P8*1000</f>
        <v>217945.54372500003</v>
      </c>
      <c r="Q8" s="7">
        <f>+[5]Resumen!Q8*1000</f>
        <v>226487.326975</v>
      </c>
      <c r="R8" s="7">
        <f>+[5]Resumen!R8*1000</f>
        <v>228721.56580000001</v>
      </c>
      <c r="S8" s="7">
        <f>+[5]Resumen!S8*1000</f>
        <v>224850.47357500001</v>
      </c>
      <c r="T8" s="7">
        <f>+[5]Resumen!T8*1000</f>
        <v>219163.80850000001</v>
      </c>
      <c r="U8" s="7">
        <f>+[5]Resumen!U8*1000</f>
        <v>217138.76274999999</v>
      </c>
      <c r="V8" s="7">
        <f>+[5]Resumen!V8*1000</f>
        <v>215688.35015000001</v>
      </c>
      <c r="W8" s="7">
        <f>+[5]Resumen!W8*1000</f>
        <v>220434.28907500001</v>
      </c>
      <c r="X8" s="7">
        <f>+[5]Resumen!X8*1000</f>
        <v>234695.959225</v>
      </c>
      <c r="Y8" s="7">
        <f>+[5]Resumen!Y8*1000</f>
        <v>236246.42860000001</v>
      </c>
      <c r="Z8" s="7">
        <f>+[5]Resumen!Z8*1000</f>
        <v>223328.82390000002</v>
      </c>
      <c r="AA8" s="7">
        <f>+[5]Resumen!AA8*1000</f>
        <v>205239.42984999999</v>
      </c>
      <c r="AB8" s="7">
        <f>+[5]Resumen!AB8*1000</f>
        <v>185643.79242500002</v>
      </c>
      <c r="AC8" s="7">
        <f>+[5]Resumen!AC8*1000</f>
        <v>165756.42947499998</v>
      </c>
      <c r="AD8" s="6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+[5]Resumen!F9*1000</f>
        <v>155021.2573</v>
      </c>
      <c r="G9" s="7">
        <f>+[5]Resumen!G9*1000</f>
        <v>143229.948225</v>
      </c>
      <c r="H9" s="7">
        <f>+[5]Resumen!H9*1000</f>
        <v>135631.37542500001</v>
      </c>
      <c r="I9" s="7">
        <f>+[5]Resumen!I9*1000</f>
        <v>131908.39025</v>
      </c>
      <c r="J9" s="7">
        <f>+[5]Resumen!J9*1000</f>
        <v>132808.23237499999</v>
      </c>
      <c r="K9" s="7">
        <f>+[5]Resumen!K9*1000</f>
        <v>137416.981975</v>
      </c>
      <c r="L9" s="7">
        <f>+[5]Resumen!L9*1000</f>
        <v>144433.57337500001</v>
      </c>
      <c r="M9" s="7">
        <f>+[5]Resumen!M9*1000</f>
        <v>141791.70915000001</v>
      </c>
      <c r="N9" s="7">
        <f>+[5]Resumen!N9*1000</f>
        <v>156682.40770000001</v>
      </c>
      <c r="O9" s="7">
        <f>+[5]Resumen!O9*1000</f>
        <v>169770.62375</v>
      </c>
      <c r="P9" s="7">
        <f>+[5]Resumen!P9*1000</f>
        <v>181143.09850000002</v>
      </c>
      <c r="Q9" s="7">
        <f>+[5]Resumen!Q9*1000</f>
        <v>193979.210425</v>
      </c>
      <c r="R9" s="7">
        <f>+[5]Resumen!R9*1000</f>
        <v>203849.889425</v>
      </c>
      <c r="S9" s="7">
        <f>+[5]Resumen!S9*1000</f>
        <v>205352.62247500001</v>
      </c>
      <c r="T9" s="7">
        <f>+[5]Resumen!T9*1000</f>
        <v>201776.08815</v>
      </c>
      <c r="U9" s="7">
        <f>+[5]Resumen!U9*1000</f>
        <v>198197.17190000002</v>
      </c>
      <c r="V9" s="7">
        <f>+[5]Resumen!V9*1000</f>
        <v>195052.705575</v>
      </c>
      <c r="W9" s="7">
        <f>+[5]Resumen!W9*1000</f>
        <v>198989.86379999999</v>
      </c>
      <c r="X9" s="7">
        <f>+[5]Resumen!X9*1000</f>
        <v>216044.87904999999</v>
      </c>
      <c r="Y9" s="7">
        <f>+[5]Resumen!Y9*1000</f>
        <v>221694.27734999999</v>
      </c>
      <c r="Z9" s="7">
        <f>+[5]Resumen!Z9*1000</f>
        <v>211817.21242500001</v>
      </c>
      <c r="AA9" s="7">
        <f>+[5]Resumen!AA9*1000</f>
        <v>196495.88595000003</v>
      </c>
      <c r="AB9" s="7">
        <f>+[5]Resumen!AB9*1000</f>
        <v>175872.56505</v>
      </c>
      <c r="AC9" s="7">
        <f>+[5]Resumen!AC9*1000</f>
        <v>155124.424</v>
      </c>
      <c r="AD9" s="6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+[5]Resumen!F10*1000</f>
        <v>157700.08117500003</v>
      </c>
      <c r="G10" s="7">
        <f>+[5]Resumen!G10*1000</f>
        <v>149136.38285000002</v>
      </c>
      <c r="H10" s="7">
        <f>+[5]Resumen!H10*1000</f>
        <v>142315.029675</v>
      </c>
      <c r="I10" s="7">
        <f>+[5]Resumen!I10*1000</f>
        <v>136552.23172499999</v>
      </c>
      <c r="J10" s="7">
        <f>+[5]Resumen!J10*1000</f>
        <v>136314.77405000001</v>
      </c>
      <c r="K10" s="7">
        <f>+[5]Resumen!K10*1000</f>
        <v>138292.47705000002</v>
      </c>
      <c r="L10" s="7">
        <f>+[5]Resumen!L10*1000</f>
        <v>141205.25964999999</v>
      </c>
      <c r="M10" s="7">
        <f>+[5]Resumen!M10*1000</f>
        <v>133241.94065</v>
      </c>
      <c r="N10" s="7">
        <f>+[5]Resumen!N10*1000</f>
        <v>143469.47160000002</v>
      </c>
      <c r="O10" s="7">
        <f>+[5]Resumen!O10*1000</f>
        <v>154809.26825000002</v>
      </c>
      <c r="P10" s="7">
        <f>+[5]Resumen!P10*1000</f>
        <v>166684.31779999999</v>
      </c>
      <c r="Q10" s="7">
        <f>+[5]Resumen!Q10*1000</f>
        <v>179218.94445000001</v>
      </c>
      <c r="R10" s="7">
        <f>+[5]Resumen!R10*1000</f>
        <v>188845.3658</v>
      </c>
      <c r="S10" s="7">
        <f>+[5]Resumen!S10*1000</f>
        <v>189920.81290000002</v>
      </c>
      <c r="T10" s="7">
        <f>+[5]Resumen!T10*1000</f>
        <v>186943.28835000002</v>
      </c>
      <c r="U10" s="7">
        <f>+[5]Resumen!U10*1000</f>
        <v>186910.248525</v>
      </c>
      <c r="V10" s="7">
        <f>+[5]Resumen!V10*1000</f>
        <v>185784.81285000002</v>
      </c>
      <c r="W10" s="7">
        <f>+[5]Resumen!W10*1000</f>
        <v>189722.64447500001</v>
      </c>
      <c r="X10" s="7">
        <f>+[5]Resumen!X10*1000</f>
        <v>208033.11165000001</v>
      </c>
      <c r="Y10" s="7">
        <f>+[5]Resumen!Y10*1000</f>
        <v>211949.64927500003</v>
      </c>
      <c r="Z10" s="7">
        <f>+[5]Resumen!Z10*1000</f>
        <v>201531.61892500002</v>
      </c>
      <c r="AA10" s="7">
        <f>+[5]Resumen!AA10*1000</f>
        <v>186746.9877</v>
      </c>
      <c r="AB10" s="7">
        <f>+[5]Resumen!AB10*1000</f>
        <v>167697.691525</v>
      </c>
      <c r="AC10" s="7">
        <f>+[5]Resumen!AC10*1000</f>
        <v>148983.73944999999</v>
      </c>
      <c r="AD10" s="66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+[5]Resumen!F11*1000</f>
        <v>151051.51652499998</v>
      </c>
      <c r="G11" s="7">
        <f>+[5]Resumen!G11*1000</f>
        <v>141464.962275</v>
      </c>
      <c r="H11" s="7">
        <f>+[5]Resumen!H11*1000</f>
        <v>136770.7432</v>
      </c>
      <c r="I11" s="7">
        <f>+[5]Resumen!I11*1000</f>
        <v>136769.67850000001</v>
      </c>
      <c r="J11" s="7">
        <f>+[5]Resumen!J11*1000</f>
        <v>155593.13769999999</v>
      </c>
      <c r="K11" s="7">
        <f>+[5]Resumen!K11*1000</f>
        <v>187137.79402500001</v>
      </c>
      <c r="L11" s="7">
        <f>+[5]Resumen!L11*1000</f>
        <v>211943.37710000001</v>
      </c>
      <c r="M11" s="7">
        <f>+[5]Resumen!M11*1000</f>
        <v>209257.09805000003</v>
      </c>
      <c r="N11" s="7">
        <f>+[5]Resumen!N11*1000</f>
        <v>223189.42327500001</v>
      </c>
      <c r="O11" s="7">
        <f>+[5]Resumen!O11*1000</f>
        <v>232455.91460000002</v>
      </c>
      <c r="P11" s="7">
        <f>+[5]Resumen!P11*1000</f>
        <v>246707.66802500002</v>
      </c>
      <c r="Q11" s="7">
        <f>+[5]Resumen!Q11*1000</f>
        <v>258252.67877500004</v>
      </c>
      <c r="R11" s="7">
        <f>+[5]Resumen!R11*1000</f>
        <v>258922.04065000004</v>
      </c>
      <c r="S11" s="7">
        <f>+[5]Resumen!S11*1000</f>
        <v>255604.08965000001</v>
      </c>
      <c r="T11" s="7">
        <f>+[5]Resumen!T11*1000</f>
        <v>257660.40299999996</v>
      </c>
      <c r="U11" s="7">
        <f>+[5]Resumen!U11*1000</f>
        <v>257964.61145</v>
      </c>
      <c r="V11" s="7">
        <f>+[5]Resumen!V11*1000</f>
        <v>252476.87465000001</v>
      </c>
      <c r="W11" s="7">
        <f>+[5]Resumen!W11*1000</f>
        <v>247212.95917500003</v>
      </c>
      <c r="X11" s="7">
        <f>+[5]Resumen!X11*1000</f>
        <v>264650.72725</v>
      </c>
      <c r="Y11" s="7">
        <f>+[5]Resumen!Y11*1000</f>
        <v>272491.05747499998</v>
      </c>
      <c r="Z11" s="7">
        <f>+[5]Resumen!Z11*1000</f>
        <v>258130.54767500001</v>
      </c>
      <c r="AA11" s="7">
        <f>+[5]Resumen!AA11*1000</f>
        <v>226734.01205000002</v>
      </c>
      <c r="AB11" s="7">
        <f>+[5]Resumen!AB11*1000</f>
        <v>196180.65285000001</v>
      </c>
      <c r="AC11" s="7">
        <f>+[5]Resumen!AC11*1000</f>
        <v>164561.57444999999</v>
      </c>
      <c r="AD11" s="64">
        <f>SUM(F11:AC11)*E11+SUM(F12:AC12)*E12+SUM(F13:AC13)*E13+SUM(F14:AC14)*E14</f>
        <v>141848786.57949999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+[5]Resumen!F12*1000</f>
        <v>166202.37497500001</v>
      </c>
      <c r="G12" s="7">
        <f>+[5]Resumen!G12*1000</f>
        <v>154753.13262500003</v>
      </c>
      <c r="H12" s="7">
        <f>+[5]Resumen!H12*1000</f>
        <v>147763.47722500001</v>
      </c>
      <c r="I12" s="7">
        <f>+[5]Resumen!I12*1000</f>
        <v>146272.69930000001</v>
      </c>
      <c r="J12" s="7">
        <f>+[5]Resumen!J12*1000</f>
        <v>152834.25202500002</v>
      </c>
      <c r="K12" s="7">
        <f>+[5]Resumen!K12*1000</f>
        <v>165152.59669999999</v>
      </c>
      <c r="L12" s="7">
        <f>+[5]Resumen!L12*1000</f>
        <v>186152.132075</v>
      </c>
      <c r="M12" s="7">
        <f>+[5]Resumen!M12*1000</f>
        <v>191997.72637500003</v>
      </c>
      <c r="N12" s="7">
        <f>+[5]Resumen!N12*1000</f>
        <v>213569.86105000001</v>
      </c>
      <c r="O12" s="7">
        <f>+[5]Resumen!O12*1000</f>
        <v>227236.643725</v>
      </c>
      <c r="P12" s="7">
        <f>+[5]Resumen!P12*1000</f>
        <v>239961.60825000002</v>
      </c>
      <c r="Q12" s="7">
        <f>+[5]Resumen!Q12*1000</f>
        <v>247683.24945000003</v>
      </c>
      <c r="R12" s="7">
        <f>+[5]Resumen!R12*1000</f>
        <v>247851.51754999999</v>
      </c>
      <c r="S12" s="7">
        <f>+[5]Resumen!S12*1000</f>
        <v>241149.93174999999</v>
      </c>
      <c r="T12" s="7">
        <f>+[5]Resumen!T12*1000</f>
        <v>234658.44902500001</v>
      </c>
      <c r="U12" s="7">
        <f>+[5]Resumen!U12*1000</f>
        <v>232157.52560000002</v>
      </c>
      <c r="V12" s="7">
        <f>+[5]Resumen!V12*1000</f>
        <v>229104.591625</v>
      </c>
      <c r="W12" s="7">
        <f>+[5]Resumen!W12*1000</f>
        <v>230299.5331</v>
      </c>
      <c r="X12" s="7">
        <f>+[5]Resumen!X12*1000</f>
        <v>243287.61730000004</v>
      </c>
      <c r="Y12" s="7">
        <f>+[5]Resumen!Y12*1000</f>
        <v>248907.78639999998</v>
      </c>
      <c r="Z12" s="7">
        <f>+[5]Resumen!Z12*1000</f>
        <v>236646.68299999999</v>
      </c>
      <c r="AA12" s="7">
        <f>+[5]Resumen!AA12*1000</f>
        <v>217564.94987499999</v>
      </c>
      <c r="AB12" s="7">
        <f>+[5]Resumen!AB12*1000</f>
        <v>195287.56292500001</v>
      </c>
      <c r="AC12" s="7">
        <f>+[5]Resumen!AC12*1000</f>
        <v>173603.56649999999</v>
      </c>
      <c r="AD12" s="6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+[5]Resumen!F13*1000</f>
        <v>163277.166325</v>
      </c>
      <c r="G13" s="7">
        <f>+[5]Resumen!G13*1000</f>
        <v>151133.02522499999</v>
      </c>
      <c r="H13" s="7">
        <f>+[5]Resumen!H13*1000</f>
        <v>143424.12174999999</v>
      </c>
      <c r="I13" s="7">
        <f>+[5]Resumen!I13*1000</f>
        <v>139546.91432500002</v>
      </c>
      <c r="J13" s="7">
        <f>+[5]Resumen!J13*1000</f>
        <v>141115.91584999999</v>
      </c>
      <c r="K13" s="7">
        <f>+[5]Resumen!K13*1000</f>
        <v>146000.74124999999</v>
      </c>
      <c r="L13" s="7">
        <f>+[5]Resumen!L13*1000</f>
        <v>155554.87220000001</v>
      </c>
      <c r="M13" s="7">
        <f>+[5]Resumen!M13*1000</f>
        <v>154616.43242500001</v>
      </c>
      <c r="N13" s="7">
        <f>+[5]Resumen!N13*1000</f>
        <v>171320.58807500001</v>
      </c>
      <c r="O13" s="7">
        <f>+[5]Resumen!O13*1000</f>
        <v>185492.58455</v>
      </c>
      <c r="P13" s="7">
        <f>+[5]Resumen!P13*1000</f>
        <v>197472.93247500001</v>
      </c>
      <c r="Q13" s="7">
        <f>+[5]Resumen!Q13*1000</f>
        <v>210387.93457500002</v>
      </c>
      <c r="R13" s="7">
        <f>+[5]Resumen!R13*1000</f>
        <v>218274.31762500003</v>
      </c>
      <c r="S13" s="7">
        <f>+[5]Resumen!S13*1000</f>
        <v>218678.13922499999</v>
      </c>
      <c r="T13" s="7">
        <f>+[5]Resumen!T13*1000</f>
        <v>214411.79305000001</v>
      </c>
      <c r="U13" s="7">
        <f>+[5]Resumen!U13*1000</f>
        <v>210974.47507499999</v>
      </c>
      <c r="V13" s="7">
        <f>+[5]Resumen!V13*1000</f>
        <v>207417.171325</v>
      </c>
      <c r="W13" s="7">
        <f>+[5]Resumen!W13*1000</f>
        <v>209653.37120000002</v>
      </c>
      <c r="X13" s="7">
        <f>+[5]Resumen!X13*1000</f>
        <v>224419.19500000001</v>
      </c>
      <c r="Y13" s="7">
        <f>+[5]Resumen!Y13*1000</f>
        <v>234582.63920000001</v>
      </c>
      <c r="Z13" s="7">
        <f>+[5]Resumen!Z13*1000</f>
        <v>225328.98569999999</v>
      </c>
      <c r="AA13" s="7">
        <f>+[5]Resumen!AA13*1000</f>
        <v>208271.49752500001</v>
      </c>
      <c r="AB13" s="7">
        <f>+[5]Resumen!AB13*1000</f>
        <v>184360.35117500002</v>
      </c>
      <c r="AC13" s="7">
        <f>+[5]Resumen!AC13*1000</f>
        <v>160464.29944999999</v>
      </c>
      <c r="AD13" s="65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+[5]Resumen!F14*1000</f>
        <v>0</v>
      </c>
      <c r="G14" s="7">
        <f>+[5]Resumen!G14*1000</f>
        <v>0</v>
      </c>
      <c r="H14" s="7">
        <f>+[5]Resumen!H14*1000</f>
        <v>0</v>
      </c>
      <c r="I14" s="7">
        <f>+[5]Resumen!I14*1000</f>
        <v>0</v>
      </c>
      <c r="J14" s="7">
        <f>+[5]Resumen!J14*1000</f>
        <v>0</v>
      </c>
      <c r="K14" s="7">
        <f>+[5]Resumen!K14*1000</f>
        <v>0</v>
      </c>
      <c r="L14" s="7">
        <f>+[5]Resumen!L14*1000</f>
        <v>0</v>
      </c>
      <c r="M14" s="7">
        <f>+[5]Resumen!M14*1000</f>
        <v>0</v>
      </c>
      <c r="N14" s="7">
        <f>+[5]Resumen!N14*1000</f>
        <v>0</v>
      </c>
      <c r="O14" s="7">
        <f>+[5]Resumen!O14*1000</f>
        <v>0</v>
      </c>
      <c r="P14" s="7">
        <f>+[5]Resumen!P14*1000</f>
        <v>0</v>
      </c>
      <c r="Q14" s="7">
        <f>+[5]Resumen!Q14*1000</f>
        <v>0</v>
      </c>
      <c r="R14" s="7">
        <f>+[5]Resumen!R14*1000</f>
        <v>0</v>
      </c>
      <c r="S14" s="7">
        <f>+[5]Resumen!S14*1000</f>
        <v>0</v>
      </c>
      <c r="T14" s="7">
        <f>+[5]Resumen!T14*1000</f>
        <v>0</v>
      </c>
      <c r="U14" s="7">
        <f>+[5]Resumen!U14*1000</f>
        <v>0</v>
      </c>
      <c r="V14" s="7">
        <f>+[5]Resumen!V14*1000</f>
        <v>0</v>
      </c>
      <c r="W14" s="7">
        <f>+[5]Resumen!W14*1000</f>
        <v>0</v>
      </c>
      <c r="X14" s="7">
        <f>+[5]Resumen!X14*1000</f>
        <v>0</v>
      </c>
      <c r="Y14" s="7">
        <f>+[5]Resumen!Y14*1000</f>
        <v>0</v>
      </c>
      <c r="Z14" s="7">
        <f>+[5]Resumen!Z14*1000</f>
        <v>0</v>
      </c>
      <c r="AA14" s="7">
        <f>+[5]Resumen!AA14*1000</f>
        <v>0</v>
      </c>
      <c r="AB14" s="7">
        <f>+[5]Resumen!AB14*1000</f>
        <v>0</v>
      </c>
      <c r="AC14" s="7">
        <f>+[5]Resumen!AC14*1000</f>
        <v>0</v>
      </c>
      <c r="AD14" s="66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+[5]Resumen!F15*1000</f>
        <v>148033.34455000001</v>
      </c>
      <c r="G15" s="7">
        <f>+[5]Resumen!G15*1000</f>
        <v>138987.35305000001</v>
      </c>
      <c r="H15" s="7">
        <f>+[5]Resumen!H15*1000</f>
        <v>134354.9571</v>
      </c>
      <c r="I15" s="7">
        <f>+[5]Resumen!I15*1000</f>
        <v>134556.542575</v>
      </c>
      <c r="J15" s="7">
        <f>+[5]Resumen!J15*1000</f>
        <v>153145.87925</v>
      </c>
      <c r="K15" s="7">
        <f>+[5]Resumen!K15*1000</f>
        <v>183452.53062500001</v>
      </c>
      <c r="L15" s="7">
        <f>+[5]Resumen!L15*1000</f>
        <v>207039.02992500001</v>
      </c>
      <c r="M15" s="7">
        <f>+[5]Resumen!M15*1000</f>
        <v>206119.36345</v>
      </c>
      <c r="N15" s="7">
        <f>+[5]Resumen!N15*1000</f>
        <v>219668.76522500001</v>
      </c>
      <c r="O15" s="7">
        <f>+[5]Resumen!O15*1000</f>
        <v>228715.62350000002</v>
      </c>
      <c r="P15" s="7">
        <f>+[5]Resumen!P15*1000</f>
        <v>242731.75745</v>
      </c>
      <c r="Q15" s="7">
        <f>+[5]Resumen!Q15*1000</f>
        <v>254091.73107500002</v>
      </c>
      <c r="R15" s="7">
        <f>+[5]Resumen!R15*1000</f>
        <v>255276.7763</v>
      </c>
      <c r="S15" s="7">
        <f>+[5]Resumen!S15*1000</f>
        <v>251962.440275</v>
      </c>
      <c r="T15" s="7">
        <f>+[5]Resumen!T15*1000</f>
        <v>253808.74382500001</v>
      </c>
      <c r="U15" s="7">
        <f>+[5]Resumen!U15*1000</f>
        <v>253332.24507500001</v>
      </c>
      <c r="V15" s="7">
        <f>+[5]Resumen!V15*1000</f>
        <v>248094.31464999999</v>
      </c>
      <c r="W15" s="7">
        <f>+[5]Resumen!W15*1000</f>
        <v>243610.66047500004</v>
      </c>
      <c r="X15" s="7">
        <f>+[5]Resumen!X15*1000</f>
        <v>260469.252225</v>
      </c>
      <c r="Y15" s="7">
        <f>+[5]Resumen!Y15*1000</f>
        <v>267418.10777499998</v>
      </c>
      <c r="Z15" s="7">
        <f>+[5]Resumen!Z15*1000</f>
        <v>252929.16967500001</v>
      </c>
      <c r="AA15" s="7">
        <f>+[5]Resumen!AA15*1000</f>
        <v>221782.91362499999</v>
      </c>
      <c r="AB15" s="7">
        <f>+[5]Resumen!AB15*1000</f>
        <v>192289.24032500002</v>
      </c>
      <c r="AC15" s="7">
        <f>+[5]Resumen!AC15*1000</f>
        <v>161168.92837499999</v>
      </c>
      <c r="AD15" s="64">
        <f t="shared" ref="AD15" si="0">SUM(F15:AC15)*E15+SUM(F16:AC16)*E16+SUM(F17:AC17)*E17+SUM(F18:AC18)*E18</f>
        <v>153020642.22672501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5</v>
      </c>
      <c r="F16" s="7">
        <f>+[5]Resumen!F16*1000</f>
        <v>158746.84735</v>
      </c>
      <c r="G16" s="7">
        <f>+[5]Resumen!G16*1000</f>
        <v>148005.78065</v>
      </c>
      <c r="H16" s="7">
        <f>+[5]Resumen!H16*1000</f>
        <v>141662.35492500002</v>
      </c>
      <c r="I16" s="7">
        <f>+[5]Resumen!I16*1000</f>
        <v>140337.385825</v>
      </c>
      <c r="J16" s="7">
        <f>+[5]Resumen!J16*1000</f>
        <v>147365.8732</v>
      </c>
      <c r="K16" s="7">
        <f>+[5]Resumen!K16*1000</f>
        <v>160792.39085</v>
      </c>
      <c r="L16" s="7">
        <f>+[5]Resumen!L16*1000</f>
        <v>180988.32115000003</v>
      </c>
      <c r="M16" s="7">
        <f>+[5]Resumen!M16*1000</f>
        <v>189192.68095000001</v>
      </c>
      <c r="N16" s="7">
        <f>+[5]Resumen!N16*1000</f>
        <v>209203.21695</v>
      </c>
      <c r="O16" s="7">
        <f>+[5]Resumen!O16*1000</f>
        <v>222078.57944999999</v>
      </c>
      <c r="P16" s="7">
        <f>+[5]Resumen!P16*1000</f>
        <v>234303.72192499999</v>
      </c>
      <c r="Q16" s="7">
        <f>+[5]Resumen!Q16*1000</f>
        <v>243521.01865000001</v>
      </c>
      <c r="R16" s="7">
        <f>+[5]Resumen!R16*1000</f>
        <v>244213.062275</v>
      </c>
      <c r="S16" s="7">
        <f>+[5]Resumen!S16*1000</f>
        <v>238728.01679999998</v>
      </c>
      <c r="T16" s="7">
        <f>+[5]Resumen!T16*1000</f>
        <v>233127.11240000001</v>
      </c>
      <c r="U16" s="7">
        <f>+[5]Resumen!U16*1000</f>
        <v>229476.67470000003</v>
      </c>
      <c r="V16" s="7">
        <f>+[5]Resumen!V16*1000</f>
        <v>226037.73920000001</v>
      </c>
      <c r="W16" s="7">
        <f>+[5]Resumen!W16*1000</f>
        <v>228257.00852500001</v>
      </c>
      <c r="X16" s="7">
        <f>+[5]Resumen!X16*1000</f>
        <v>239219.51235000003</v>
      </c>
      <c r="Y16" s="7">
        <f>+[5]Resumen!Y16*1000</f>
        <v>244658.29570000002</v>
      </c>
      <c r="Z16" s="7">
        <f>+[5]Resumen!Z16*1000</f>
        <v>232040.84312500001</v>
      </c>
      <c r="AA16" s="7">
        <f>+[5]Resumen!AA16*1000</f>
        <v>213888.36105000001</v>
      </c>
      <c r="AB16" s="7">
        <f>+[5]Resumen!AB16*1000</f>
        <v>192193.26717499999</v>
      </c>
      <c r="AC16" s="7">
        <f>+[5]Resumen!AC16*1000</f>
        <v>171471.26360000001</v>
      </c>
      <c r="AD16" s="65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5</v>
      </c>
      <c r="F17" s="7">
        <f>+[5]Resumen!F17*1000</f>
        <v>158909.917075</v>
      </c>
      <c r="G17" s="7">
        <f>+[5]Resumen!G17*1000</f>
        <v>147011.7831</v>
      </c>
      <c r="H17" s="7">
        <f>+[5]Resumen!H17*1000</f>
        <v>139480.152175</v>
      </c>
      <c r="I17" s="7">
        <f>+[5]Resumen!I17*1000</f>
        <v>135689.87022499999</v>
      </c>
      <c r="J17" s="7">
        <f>+[5]Resumen!J17*1000</f>
        <v>136820.73177500002</v>
      </c>
      <c r="K17" s="7">
        <f>+[5]Resumen!K17*1000</f>
        <v>141697.08052500003</v>
      </c>
      <c r="L17" s="7">
        <f>+[5]Resumen!L17*1000</f>
        <v>149729.125</v>
      </c>
      <c r="M17" s="7">
        <f>+[5]Resumen!M17*1000</f>
        <v>151344.395475</v>
      </c>
      <c r="N17" s="7">
        <f>+[5]Resumen!N17*1000</f>
        <v>168039.15765000001</v>
      </c>
      <c r="O17" s="7">
        <f>+[5]Resumen!O17*1000</f>
        <v>180919.22257499999</v>
      </c>
      <c r="P17" s="7">
        <f>+[5]Resumen!P17*1000</f>
        <v>192153.16347500001</v>
      </c>
      <c r="Q17" s="7">
        <f>+[5]Resumen!Q17*1000</f>
        <v>203924.52990000002</v>
      </c>
      <c r="R17" s="7">
        <f>+[5]Resumen!R17*1000</f>
        <v>211439.516925</v>
      </c>
      <c r="S17" s="7">
        <f>+[5]Resumen!S17*1000</f>
        <v>211912.926225</v>
      </c>
      <c r="T17" s="7">
        <f>+[5]Resumen!T17*1000</f>
        <v>208126.19100000002</v>
      </c>
      <c r="U17" s="7">
        <f>+[5]Resumen!U17*1000</f>
        <v>205405.8461</v>
      </c>
      <c r="V17" s="7">
        <f>+[5]Resumen!V17*1000</f>
        <v>202375.91237499999</v>
      </c>
      <c r="W17" s="7">
        <f>+[5]Resumen!W17*1000</f>
        <v>205056.15585000001</v>
      </c>
      <c r="X17" s="7">
        <f>+[5]Resumen!X17*1000</f>
        <v>219587.1496</v>
      </c>
      <c r="Y17" s="7">
        <f>+[5]Resumen!Y17*1000</f>
        <v>229510.36517500001</v>
      </c>
      <c r="Z17" s="7">
        <f>+[5]Resumen!Z17*1000</f>
        <v>220573.364375</v>
      </c>
      <c r="AA17" s="7">
        <f>+[5]Resumen!AA17*1000</f>
        <v>203990.82112499999</v>
      </c>
      <c r="AB17" s="7">
        <f>+[5]Resumen!AB17*1000</f>
        <v>181756.176875</v>
      </c>
      <c r="AC17" s="7">
        <f>+[5]Resumen!AC17*1000</f>
        <v>158692.26782500002</v>
      </c>
      <c r="AD17" s="65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+[5]Resumen!F18*1000</f>
        <v>163591.12997500002</v>
      </c>
      <c r="G18" s="7">
        <f>+[5]Resumen!G18*1000</f>
        <v>151982.9584</v>
      </c>
      <c r="H18" s="7">
        <f>+[5]Resumen!H18*1000</f>
        <v>144849.60262500003</v>
      </c>
      <c r="I18" s="7">
        <f>+[5]Resumen!I18*1000</f>
        <v>141766.09265000001</v>
      </c>
      <c r="J18" s="7">
        <f>+[5]Resumen!J18*1000</f>
        <v>144221.29084999999</v>
      </c>
      <c r="K18" s="7">
        <f>+[5]Resumen!K18*1000</f>
        <v>149404.40060000002</v>
      </c>
      <c r="L18" s="7">
        <f>+[5]Resumen!L18*1000</f>
        <v>156701.711075</v>
      </c>
      <c r="M18" s="7">
        <f>+[5]Resumen!M18*1000</f>
        <v>158086.05085</v>
      </c>
      <c r="N18" s="7">
        <f>+[5]Resumen!N18*1000</f>
        <v>174412.43137500001</v>
      </c>
      <c r="O18" s="7">
        <f>+[5]Resumen!O18*1000</f>
        <v>189075.3137</v>
      </c>
      <c r="P18" s="7">
        <f>+[5]Resumen!P18*1000</f>
        <v>202762.817075</v>
      </c>
      <c r="Q18" s="7">
        <f>+[5]Resumen!Q18*1000</f>
        <v>218183.93187500001</v>
      </c>
      <c r="R18" s="7">
        <f>+[5]Resumen!R18*1000</f>
        <v>226172.18715000001</v>
      </c>
      <c r="S18" s="7">
        <f>+[5]Resumen!S18*1000</f>
        <v>223642.42810000002</v>
      </c>
      <c r="T18" s="7">
        <f>+[5]Resumen!T18*1000</f>
        <v>218292.04897500001</v>
      </c>
      <c r="U18" s="7">
        <f>+[5]Resumen!U18*1000</f>
        <v>215014.63620000001</v>
      </c>
      <c r="V18" s="7">
        <f>+[5]Resumen!V18*1000</f>
        <v>213043.89242500003</v>
      </c>
      <c r="W18" s="7">
        <f>+[5]Resumen!W18*1000</f>
        <v>216167.16029999999</v>
      </c>
      <c r="X18" s="7">
        <f>+[5]Resumen!X18*1000</f>
        <v>232641.56370000003</v>
      </c>
      <c r="Y18" s="7">
        <f>+[5]Resumen!Y18*1000</f>
        <v>245903.66482500001</v>
      </c>
      <c r="Z18" s="7">
        <f>+[5]Resumen!Z18*1000</f>
        <v>234064.63990000001</v>
      </c>
      <c r="AA18" s="7">
        <f>+[5]Resumen!AA18*1000</f>
        <v>214954.44880000001</v>
      </c>
      <c r="AB18" s="7">
        <f>+[5]Resumen!AB18*1000</f>
        <v>190373.47875000001</v>
      </c>
      <c r="AC18" s="7">
        <f>+[5]Resumen!AC18*1000</f>
        <v>166265.18317500001</v>
      </c>
      <c r="AD18" s="66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20</v>
      </c>
      <c r="F19" s="7">
        <f>+[5]Resumen!F19*1000</f>
        <v>148118.66615</v>
      </c>
      <c r="G19" s="7">
        <f>+[5]Resumen!G19*1000</f>
        <v>138807.28225000002</v>
      </c>
      <c r="H19" s="7">
        <f>+[5]Resumen!H19*1000</f>
        <v>134151.53797499998</v>
      </c>
      <c r="I19" s="7">
        <f>+[5]Resumen!I19*1000</f>
        <v>134336.71160000001</v>
      </c>
      <c r="J19" s="7">
        <f>+[5]Resumen!J19*1000</f>
        <v>152054.82565000001</v>
      </c>
      <c r="K19" s="7">
        <f>+[5]Resumen!K19*1000</f>
        <v>178889.267375</v>
      </c>
      <c r="L19" s="7">
        <f>+[5]Resumen!L19*1000</f>
        <v>202369.23069999999</v>
      </c>
      <c r="M19" s="7">
        <f>+[5]Resumen!M19*1000</f>
        <v>203859.29882500001</v>
      </c>
      <c r="N19" s="7">
        <f>+[5]Resumen!N19*1000</f>
        <v>218086.065925</v>
      </c>
      <c r="O19" s="7">
        <f>+[5]Resumen!O19*1000</f>
        <v>227886.93654999998</v>
      </c>
      <c r="P19" s="7">
        <f>+[5]Resumen!P19*1000</f>
        <v>241880.90290000002</v>
      </c>
      <c r="Q19" s="7">
        <f>+[5]Resumen!Q19*1000</f>
        <v>253848.23782499999</v>
      </c>
      <c r="R19" s="7">
        <f>+[5]Resumen!R19*1000</f>
        <v>256026.7346</v>
      </c>
      <c r="S19" s="7">
        <f>+[5]Resumen!S19*1000</f>
        <v>252556.71349999998</v>
      </c>
      <c r="T19" s="7">
        <f>+[5]Resumen!T19*1000</f>
        <v>254181.68002500004</v>
      </c>
      <c r="U19" s="7">
        <f>+[5]Resumen!U19*1000</f>
        <v>253948.40152499999</v>
      </c>
      <c r="V19" s="7">
        <f>+[5]Resumen!V19*1000</f>
        <v>248207.60282499998</v>
      </c>
      <c r="W19" s="7">
        <f>+[5]Resumen!W19*1000</f>
        <v>244393.18312500001</v>
      </c>
      <c r="X19" s="7">
        <f>+[5]Resumen!X19*1000</f>
        <v>263115.31610000005</v>
      </c>
      <c r="Y19" s="7">
        <f>+[5]Resumen!Y19*1000</f>
        <v>267620.53045000002</v>
      </c>
      <c r="Z19" s="7">
        <f>+[5]Resumen!Z19*1000</f>
        <v>253117.43275000004</v>
      </c>
      <c r="AA19" s="7">
        <f>+[5]Resumen!AA19*1000</f>
        <v>222601.13102500001</v>
      </c>
      <c r="AB19" s="7">
        <f>+[5]Resumen!AB19*1000</f>
        <v>194096.682325</v>
      </c>
      <c r="AC19" s="7">
        <f>+[5]Resumen!AC19*1000</f>
        <v>162209.4656</v>
      </c>
      <c r="AD19" s="64">
        <f t="shared" ref="AD19" si="1">SUM(F19:AC19)*E19+SUM(F20:AC20)*E20+SUM(F21:AC21)*E21+SUM(F22:AC22)*E22</f>
        <v>147478786.65975001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+[5]Resumen!F20*1000</f>
        <v>157134.76415</v>
      </c>
      <c r="G20" s="7">
        <f>+[5]Resumen!G20*1000</f>
        <v>145752.48415</v>
      </c>
      <c r="H20" s="7">
        <f>+[5]Resumen!H20*1000</f>
        <v>139357.13837500001</v>
      </c>
      <c r="I20" s="7">
        <f>+[5]Resumen!I20*1000</f>
        <v>137949.93484999999</v>
      </c>
      <c r="J20" s="7">
        <f>+[5]Resumen!J20*1000</f>
        <v>144111.79965</v>
      </c>
      <c r="K20" s="7">
        <f>+[5]Resumen!K20*1000</f>
        <v>155032.38205000001</v>
      </c>
      <c r="L20" s="7">
        <f>+[5]Resumen!L20*1000</f>
        <v>173121.009425</v>
      </c>
      <c r="M20" s="7">
        <f>+[5]Resumen!M20*1000</f>
        <v>180522.38295</v>
      </c>
      <c r="N20" s="7">
        <f>+[5]Resumen!N20*1000</f>
        <v>200009.21395</v>
      </c>
      <c r="O20" s="7">
        <f>+[5]Resumen!O20*1000</f>
        <v>213391.85367500002</v>
      </c>
      <c r="P20" s="7">
        <f>+[5]Resumen!P20*1000</f>
        <v>225220.20430000001</v>
      </c>
      <c r="Q20" s="7">
        <f>+[5]Resumen!Q20*1000</f>
        <v>234020.00895000002</v>
      </c>
      <c r="R20" s="7">
        <f>+[5]Resumen!R20*1000</f>
        <v>236174.34977500001</v>
      </c>
      <c r="S20" s="7">
        <f>+[5]Resumen!S20*1000</f>
        <v>232243.15887500002</v>
      </c>
      <c r="T20" s="7">
        <f>+[5]Resumen!T20*1000</f>
        <v>227389.87407500003</v>
      </c>
      <c r="U20" s="7">
        <f>+[5]Resumen!U20*1000</f>
        <v>225920.39470000003</v>
      </c>
      <c r="V20" s="7">
        <f>+[5]Resumen!V20*1000</f>
        <v>223849.83075000002</v>
      </c>
      <c r="W20" s="7">
        <f>+[5]Resumen!W20*1000</f>
        <v>226462.17685000002</v>
      </c>
      <c r="X20" s="7">
        <f>+[5]Resumen!X20*1000</f>
        <v>239005.0208</v>
      </c>
      <c r="Y20" s="7">
        <f>+[5]Resumen!Y20*1000</f>
        <v>242798.88132500002</v>
      </c>
      <c r="Z20" s="7">
        <f>+[5]Resumen!Z20*1000</f>
        <v>229768.98035000003</v>
      </c>
      <c r="AA20" s="7">
        <f>+[5]Resumen!AA20*1000</f>
        <v>211648.35737499999</v>
      </c>
      <c r="AB20" s="7">
        <f>+[5]Resumen!AB20*1000</f>
        <v>191354.80000000002</v>
      </c>
      <c r="AC20" s="7">
        <f>+[5]Resumen!AC20*1000</f>
        <v>170715.87032500003</v>
      </c>
      <c r="AD20" s="65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+[5]Resumen!F21*1000</f>
        <v>160161.71307500001</v>
      </c>
      <c r="G21" s="7">
        <f>+[5]Resumen!G21*1000</f>
        <v>148176.73097500001</v>
      </c>
      <c r="H21" s="7">
        <f>+[5]Resumen!H21*1000</f>
        <v>140535.10152500001</v>
      </c>
      <c r="I21" s="7">
        <f>+[5]Resumen!I21*1000</f>
        <v>137080.12272499999</v>
      </c>
      <c r="J21" s="7">
        <f>+[5]Resumen!J21*1000</f>
        <v>138410.53817499999</v>
      </c>
      <c r="K21" s="7">
        <f>+[5]Resumen!K21*1000</f>
        <v>141830.641225</v>
      </c>
      <c r="L21" s="7">
        <f>+[5]Resumen!L21*1000</f>
        <v>151029.50135000001</v>
      </c>
      <c r="M21" s="7">
        <f>+[5]Resumen!M21*1000</f>
        <v>153272.480725</v>
      </c>
      <c r="N21" s="7">
        <f>+[5]Resumen!N21*1000</f>
        <v>170158.731925</v>
      </c>
      <c r="O21" s="7">
        <f>+[5]Resumen!O21*1000</f>
        <v>184226.49472500003</v>
      </c>
      <c r="P21" s="7">
        <f>+[5]Resumen!P21*1000</f>
        <v>194524.94197499999</v>
      </c>
      <c r="Q21" s="7">
        <f>+[5]Resumen!Q21*1000</f>
        <v>204529.11342499999</v>
      </c>
      <c r="R21" s="7">
        <f>+[5]Resumen!R21*1000</f>
        <v>211582.482475</v>
      </c>
      <c r="S21" s="7">
        <f>+[5]Resumen!S21*1000</f>
        <v>212673.58385</v>
      </c>
      <c r="T21" s="7">
        <f>+[5]Resumen!T21*1000</f>
        <v>210347.78992500002</v>
      </c>
      <c r="U21" s="7">
        <f>+[5]Resumen!U21*1000</f>
        <v>207713.41045</v>
      </c>
      <c r="V21" s="7">
        <f>+[5]Resumen!V21*1000</f>
        <v>204706.968375</v>
      </c>
      <c r="W21" s="7">
        <f>+[5]Resumen!W21*1000</f>
        <v>208378.28602500001</v>
      </c>
      <c r="X21" s="7">
        <f>+[5]Resumen!X21*1000</f>
        <v>223373.74832500002</v>
      </c>
      <c r="Y21" s="7">
        <f>+[5]Resumen!Y21*1000</f>
        <v>231048.78387500002</v>
      </c>
      <c r="Z21" s="7">
        <f>+[5]Resumen!Z21*1000</f>
        <v>221300.90482500001</v>
      </c>
      <c r="AA21" s="7">
        <f>+[5]Resumen!AA21*1000</f>
        <v>204140.68447499999</v>
      </c>
      <c r="AB21" s="7">
        <f>+[5]Resumen!AB21*1000</f>
        <v>181042.44112499998</v>
      </c>
      <c r="AC21" s="7">
        <f>+[5]Resumen!AC21*1000</f>
        <v>157681.58997500001</v>
      </c>
      <c r="AD21" s="65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+[5]Resumen!F22*1000</f>
        <v>165025.10797499999</v>
      </c>
      <c r="G22" s="7">
        <f>+[5]Resumen!G22*1000</f>
        <v>152542.77447499998</v>
      </c>
      <c r="H22" s="7">
        <f>+[5]Resumen!H22*1000</f>
        <v>144868.451</v>
      </c>
      <c r="I22" s="7">
        <f>+[5]Resumen!I22*1000</f>
        <v>141388.77935</v>
      </c>
      <c r="J22" s="7">
        <f>+[5]Resumen!J22*1000</f>
        <v>143234.480025</v>
      </c>
      <c r="K22" s="7">
        <f>+[5]Resumen!K22*1000</f>
        <v>147011.09604999999</v>
      </c>
      <c r="L22" s="7">
        <f>+[5]Resumen!L22*1000</f>
        <v>154260.15604999999</v>
      </c>
      <c r="M22" s="7">
        <f>+[5]Resumen!M22*1000</f>
        <v>154656.831875</v>
      </c>
      <c r="N22" s="7">
        <f>+[5]Resumen!N22*1000</f>
        <v>169692.87562500002</v>
      </c>
      <c r="O22" s="7">
        <f>+[5]Resumen!O22*1000</f>
        <v>178647.2415</v>
      </c>
      <c r="P22" s="7">
        <f>+[5]Resumen!P22*1000</f>
        <v>183843.10035000002</v>
      </c>
      <c r="Q22" s="7">
        <f>+[5]Resumen!Q22*1000</f>
        <v>195692.27405000001</v>
      </c>
      <c r="R22" s="7">
        <f>+[5]Resumen!R22*1000</f>
        <v>206207.24669999999</v>
      </c>
      <c r="S22" s="7">
        <f>+[5]Resumen!S22*1000</f>
        <v>205244.53495</v>
      </c>
      <c r="T22" s="7">
        <f>+[5]Resumen!T22*1000</f>
        <v>200961.367425</v>
      </c>
      <c r="U22" s="7">
        <f>+[5]Resumen!U22*1000</f>
        <v>198215.970225</v>
      </c>
      <c r="V22" s="7">
        <f>+[5]Resumen!V22*1000</f>
        <v>197973.88292500001</v>
      </c>
      <c r="W22" s="7">
        <f>+[5]Resumen!W22*1000</f>
        <v>202781.15812500002</v>
      </c>
      <c r="X22" s="7">
        <f>+[5]Resumen!X22*1000</f>
        <v>218675.08390000003</v>
      </c>
      <c r="Y22" s="7">
        <f>+[5]Resumen!Y22*1000</f>
        <v>224166.55170000001</v>
      </c>
      <c r="Z22" s="7">
        <f>+[5]Resumen!Z22*1000</f>
        <v>212570.60597500001</v>
      </c>
      <c r="AA22" s="7">
        <f>+[5]Resumen!AA22*1000</f>
        <v>200837.73027500001</v>
      </c>
      <c r="AB22" s="7">
        <f>+[5]Resumen!AB22*1000</f>
        <v>187328.45267500001</v>
      </c>
      <c r="AC22" s="7">
        <f>+[5]Resumen!AC22*1000</f>
        <v>168165.88652500001</v>
      </c>
      <c r="AD22" s="66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20</v>
      </c>
      <c r="F23" s="7">
        <f>+[5]Resumen!F23*1000</f>
        <v>147505.68105000001</v>
      </c>
      <c r="G23" s="7">
        <f>+[5]Resumen!G23*1000</f>
        <v>138046.69287500001</v>
      </c>
      <c r="H23" s="7">
        <f>+[5]Resumen!H23*1000</f>
        <v>133284.039525</v>
      </c>
      <c r="I23" s="7">
        <f>+[5]Resumen!I23*1000</f>
        <v>133544.18577500002</v>
      </c>
      <c r="J23" s="7">
        <f>+[5]Resumen!J23*1000</f>
        <v>151222.46230000001</v>
      </c>
      <c r="K23" s="7">
        <f>+[5]Resumen!K23*1000</f>
        <v>177885.71255</v>
      </c>
      <c r="L23" s="7">
        <f>+[5]Resumen!L23*1000</f>
        <v>202548.54165</v>
      </c>
      <c r="M23" s="7">
        <f>+[5]Resumen!M23*1000</f>
        <v>204519.69265000001</v>
      </c>
      <c r="N23" s="7">
        <f>+[5]Resumen!N23*1000</f>
        <v>218168.64842499999</v>
      </c>
      <c r="O23" s="7">
        <f>+[5]Resumen!O23*1000</f>
        <v>228154.94292500001</v>
      </c>
      <c r="P23" s="7">
        <f>+[5]Resumen!P23*1000</f>
        <v>242377.16457499997</v>
      </c>
      <c r="Q23" s="7">
        <f>+[5]Resumen!Q23*1000</f>
        <v>254027.13700000002</v>
      </c>
      <c r="R23" s="7">
        <f>+[5]Resumen!R23*1000</f>
        <v>254924.73370000001</v>
      </c>
      <c r="S23" s="7">
        <f>+[5]Resumen!S23*1000</f>
        <v>250851.61465</v>
      </c>
      <c r="T23" s="7">
        <f>+[5]Resumen!T23*1000</f>
        <v>251858.10650000002</v>
      </c>
      <c r="U23" s="7">
        <f>+[5]Resumen!U23*1000</f>
        <v>251867.463575</v>
      </c>
      <c r="V23" s="7">
        <f>+[5]Resumen!V23*1000</f>
        <v>246312.56877500002</v>
      </c>
      <c r="W23" s="7">
        <f>+[5]Resumen!W23*1000</f>
        <v>242243.658475</v>
      </c>
      <c r="X23" s="7">
        <f>+[5]Resumen!X23*1000</f>
        <v>260988.46637500002</v>
      </c>
      <c r="Y23" s="7">
        <f>+[5]Resumen!Y23*1000</f>
        <v>267170.65375</v>
      </c>
      <c r="Z23" s="7">
        <f>+[5]Resumen!Z23*1000</f>
        <v>252533.5085</v>
      </c>
      <c r="AA23" s="7">
        <f>+[5]Resumen!AA23*1000</f>
        <v>222005.11287500002</v>
      </c>
      <c r="AB23" s="7">
        <f>+[5]Resumen!AB23*1000</f>
        <v>193010.21285000001</v>
      </c>
      <c r="AC23" s="7">
        <f>+[5]Resumen!AC23*1000</f>
        <v>161314.72630000001</v>
      </c>
      <c r="AD23" s="64">
        <f t="shared" ref="AD23" si="2">SUM(F23:AC23)*E23+SUM(F24:AC24)*E24+SUM(F25:AC25)*E25+SUM(F26:AC26)*E26</f>
        <v>152108760.01229998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5</v>
      </c>
      <c r="F24" s="7">
        <f>+[5]Resumen!F24*1000</f>
        <v>159032.92177500002</v>
      </c>
      <c r="G24" s="7">
        <f>+[5]Resumen!G24*1000</f>
        <v>147807.02527499999</v>
      </c>
      <c r="H24" s="7">
        <f>+[5]Resumen!H24*1000</f>
        <v>141783.999175</v>
      </c>
      <c r="I24" s="7">
        <f>+[5]Resumen!I24*1000</f>
        <v>140099.225175</v>
      </c>
      <c r="J24" s="7">
        <f>+[5]Resumen!J24*1000</f>
        <v>146612.38182500002</v>
      </c>
      <c r="K24" s="7">
        <f>+[5]Resumen!K24*1000</f>
        <v>157526.27572499998</v>
      </c>
      <c r="L24" s="7">
        <f>+[5]Resumen!L24*1000</f>
        <v>177725.909725</v>
      </c>
      <c r="M24" s="7">
        <f>+[5]Resumen!M24*1000</f>
        <v>186302.70522500001</v>
      </c>
      <c r="N24" s="7">
        <f>+[5]Resumen!N24*1000</f>
        <v>206692.64752500001</v>
      </c>
      <c r="O24" s="7">
        <f>+[5]Resumen!O24*1000</f>
        <v>220160.73852500002</v>
      </c>
      <c r="P24" s="7">
        <f>+[5]Resumen!P24*1000</f>
        <v>232480.68935</v>
      </c>
      <c r="Q24" s="7">
        <f>+[5]Resumen!Q24*1000</f>
        <v>241078.28290000002</v>
      </c>
      <c r="R24" s="7">
        <f>+[5]Resumen!R24*1000</f>
        <v>241229.12677500001</v>
      </c>
      <c r="S24" s="7">
        <f>+[5]Resumen!S24*1000</f>
        <v>235156.87422500001</v>
      </c>
      <c r="T24" s="7">
        <f>+[5]Resumen!T24*1000</f>
        <v>229425.83072500001</v>
      </c>
      <c r="U24" s="7">
        <f>+[5]Resumen!U24*1000</f>
        <v>226983.97085000001</v>
      </c>
      <c r="V24" s="7">
        <f>+[5]Resumen!V24*1000</f>
        <v>224031.14825000003</v>
      </c>
      <c r="W24" s="7">
        <f>+[5]Resumen!W24*1000</f>
        <v>226523.08997500001</v>
      </c>
      <c r="X24" s="7">
        <f>+[5]Resumen!X24*1000</f>
        <v>237808.75982500002</v>
      </c>
      <c r="Y24" s="7">
        <f>+[5]Resumen!Y24*1000</f>
        <v>242666.97682500002</v>
      </c>
      <c r="Z24" s="7">
        <f>+[5]Resumen!Z24*1000</f>
        <v>230720.78575000001</v>
      </c>
      <c r="AA24" s="7">
        <f>+[5]Resumen!AA24*1000</f>
        <v>212315.828725</v>
      </c>
      <c r="AB24" s="7">
        <f>+[5]Resumen!AB24*1000</f>
        <v>191293.15660000002</v>
      </c>
      <c r="AC24" s="7">
        <f>+[5]Resumen!AC24*1000</f>
        <v>169949.68672500001</v>
      </c>
      <c r="AD24" s="65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+[5]Resumen!F25*1000</f>
        <v>157358.93355000002</v>
      </c>
      <c r="G25" s="7">
        <f>+[5]Resumen!G25*1000</f>
        <v>145889.8714</v>
      </c>
      <c r="H25" s="7">
        <f>+[5]Resumen!H25*1000</f>
        <v>138208.77069999999</v>
      </c>
      <c r="I25" s="7">
        <f>+[5]Resumen!I25*1000</f>
        <v>134627.12672500001</v>
      </c>
      <c r="J25" s="7">
        <f>+[5]Resumen!J25*1000</f>
        <v>135331.87850000002</v>
      </c>
      <c r="K25" s="7">
        <f>+[5]Resumen!K25*1000</f>
        <v>138097.50955000002</v>
      </c>
      <c r="L25" s="7">
        <f>+[5]Resumen!L25*1000</f>
        <v>147806.22220000002</v>
      </c>
      <c r="M25" s="7">
        <f>+[5]Resumen!M25*1000</f>
        <v>150528.562275</v>
      </c>
      <c r="N25" s="7">
        <f>+[5]Resumen!N25*1000</f>
        <v>168204.89595000001</v>
      </c>
      <c r="O25" s="7">
        <f>+[5]Resumen!O25*1000</f>
        <v>182946.029175</v>
      </c>
      <c r="P25" s="7">
        <f>+[5]Resumen!P25*1000</f>
        <v>194676.32274999999</v>
      </c>
      <c r="Q25" s="7">
        <f>+[5]Resumen!Q25*1000</f>
        <v>206516.92652499999</v>
      </c>
      <c r="R25" s="7">
        <f>+[5]Resumen!R25*1000</f>
        <v>212133.28727500001</v>
      </c>
      <c r="S25" s="7">
        <f>+[5]Resumen!S25*1000</f>
        <v>210875.76509999999</v>
      </c>
      <c r="T25" s="7">
        <f>+[5]Resumen!T25*1000</f>
        <v>204991.52992500001</v>
      </c>
      <c r="U25" s="7">
        <f>+[5]Resumen!U25*1000</f>
        <v>203016.9596</v>
      </c>
      <c r="V25" s="7">
        <f>+[5]Resumen!V25*1000</f>
        <v>200217.19445000001</v>
      </c>
      <c r="W25" s="7">
        <f>+[5]Resumen!W25*1000</f>
        <v>204260.91367500002</v>
      </c>
      <c r="X25" s="7">
        <f>+[5]Resumen!X25*1000</f>
        <v>218794.97867500002</v>
      </c>
      <c r="Y25" s="7">
        <f>+[5]Resumen!Y25*1000</f>
        <v>227166.79212500001</v>
      </c>
      <c r="Z25" s="7">
        <f>+[5]Resumen!Z25*1000</f>
        <v>218171.93807500001</v>
      </c>
      <c r="AA25" s="7">
        <f>+[5]Resumen!AA25*1000</f>
        <v>201960.33129999999</v>
      </c>
      <c r="AB25" s="7">
        <f>+[5]Resumen!AB25*1000</f>
        <v>179522.22470000002</v>
      </c>
      <c r="AC25" s="7">
        <f>+[5]Resumen!AC25*1000</f>
        <v>156151.70707500001</v>
      </c>
      <c r="AD25" s="65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+[5]Resumen!F26*1000</f>
        <v>151737.142375</v>
      </c>
      <c r="G26" s="7">
        <f>+[5]Resumen!G26*1000</f>
        <v>140736.10005000001</v>
      </c>
      <c r="H26" s="7">
        <f>+[5]Resumen!H26*1000</f>
        <v>134321.81490000003</v>
      </c>
      <c r="I26" s="7">
        <f>+[5]Resumen!I26*1000</f>
        <v>132198.88500000001</v>
      </c>
      <c r="J26" s="7">
        <f>+[5]Resumen!J26*1000</f>
        <v>137220.52435000002</v>
      </c>
      <c r="K26" s="7">
        <f>+[5]Resumen!K26*1000</f>
        <v>144925.61037500002</v>
      </c>
      <c r="L26" s="7">
        <f>+[5]Resumen!L26*1000</f>
        <v>155170.74072499998</v>
      </c>
      <c r="M26" s="7">
        <f>+[5]Resumen!M26*1000</f>
        <v>157964.66595000002</v>
      </c>
      <c r="N26" s="7">
        <f>+[5]Resumen!N26*1000</f>
        <v>174731.59567499999</v>
      </c>
      <c r="O26" s="7">
        <f>+[5]Resumen!O26*1000</f>
        <v>188450.70335</v>
      </c>
      <c r="P26" s="7">
        <f>+[5]Resumen!P26*1000</f>
        <v>203382.222225</v>
      </c>
      <c r="Q26" s="7">
        <f>+[5]Resumen!Q26*1000</f>
        <v>215842.069625</v>
      </c>
      <c r="R26" s="7">
        <f>+[5]Resumen!R26*1000</f>
        <v>225574.81765000001</v>
      </c>
      <c r="S26" s="7">
        <f>+[5]Resumen!S26*1000</f>
        <v>222027.749125</v>
      </c>
      <c r="T26" s="7">
        <f>+[5]Resumen!T26*1000</f>
        <v>215592.684125</v>
      </c>
      <c r="U26" s="7">
        <f>+[5]Resumen!U26*1000</f>
        <v>209180.03242500001</v>
      </c>
      <c r="V26" s="7">
        <f>+[5]Resumen!V26*1000</f>
        <v>206962.49665000002</v>
      </c>
      <c r="W26" s="7">
        <f>+[5]Resumen!W26*1000</f>
        <v>214121.76240000001</v>
      </c>
      <c r="X26" s="7">
        <f>+[5]Resumen!X26*1000</f>
        <v>228212.231975</v>
      </c>
      <c r="Y26" s="7">
        <f>+[5]Resumen!Y26*1000</f>
        <v>233832.65359999999</v>
      </c>
      <c r="Z26" s="7">
        <f>+[5]Resumen!Z26*1000</f>
        <v>221664.29057500002</v>
      </c>
      <c r="AA26" s="7">
        <f>+[5]Resumen!AA26*1000</f>
        <v>203081.97682500002</v>
      </c>
      <c r="AB26" s="7">
        <f>+[5]Resumen!AB26*1000</f>
        <v>179576.09215000001</v>
      </c>
      <c r="AC26" s="7">
        <f>+[5]Resumen!AC26*1000</f>
        <v>155780.431625</v>
      </c>
      <c r="AD26" s="66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18</v>
      </c>
      <c r="F27" s="7">
        <f>+[5]Resumen!F27*1000</f>
        <v>146557.25175</v>
      </c>
      <c r="G27" s="7">
        <f>+[5]Resumen!G27*1000</f>
        <v>136906.89740000002</v>
      </c>
      <c r="H27" s="7">
        <f>+[5]Resumen!H27*1000</f>
        <v>131960.18745</v>
      </c>
      <c r="I27" s="7">
        <f>+[5]Resumen!I27*1000</f>
        <v>131938.818375</v>
      </c>
      <c r="J27" s="7">
        <f>+[5]Resumen!J27*1000</f>
        <v>147863.0062</v>
      </c>
      <c r="K27" s="7">
        <f>+[5]Resumen!K27*1000</f>
        <v>169268.40839999999</v>
      </c>
      <c r="L27" s="7">
        <f>+[5]Resumen!L27*1000</f>
        <v>193844.22330000001</v>
      </c>
      <c r="M27" s="7">
        <f>+[5]Resumen!M27*1000</f>
        <v>199564.28537500001</v>
      </c>
      <c r="N27" s="7">
        <f>+[5]Resumen!N27*1000</f>
        <v>214909.36740000002</v>
      </c>
      <c r="O27" s="7">
        <f>+[5]Resumen!O27*1000</f>
        <v>225330.76930000001</v>
      </c>
      <c r="P27" s="7">
        <f>+[5]Resumen!P27*1000</f>
        <v>238925.26612499999</v>
      </c>
      <c r="Q27" s="7">
        <f>+[5]Resumen!Q27*1000</f>
        <v>251354.31912499998</v>
      </c>
      <c r="R27" s="7">
        <f>+[5]Resumen!R27*1000</f>
        <v>254300.59200000003</v>
      </c>
      <c r="S27" s="7">
        <f>+[5]Resumen!S27*1000</f>
        <v>250844.52575000003</v>
      </c>
      <c r="T27" s="7">
        <f>+[5]Resumen!T27*1000</f>
        <v>252062.87925</v>
      </c>
      <c r="U27" s="7">
        <f>+[5]Resumen!U27*1000</f>
        <v>251983.019925</v>
      </c>
      <c r="V27" s="7">
        <f>+[5]Resumen!V27*1000</f>
        <v>246400.77507500001</v>
      </c>
      <c r="W27" s="7">
        <f>+[5]Resumen!W27*1000</f>
        <v>241532.516225</v>
      </c>
      <c r="X27" s="7">
        <f>+[5]Resumen!X27*1000</f>
        <v>255810.12957499997</v>
      </c>
      <c r="Y27" s="7">
        <f>+[5]Resumen!Y27*1000</f>
        <v>262877.24872500001</v>
      </c>
      <c r="Z27" s="7">
        <f>+[5]Resumen!Z27*1000</f>
        <v>248272.53360000002</v>
      </c>
      <c r="AA27" s="7">
        <f>+[5]Resumen!AA27*1000</f>
        <v>218699.674375</v>
      </c>
      <c r="AB27" s="7">
        <f>+[5]Resumen!AB27*1000</f>
        <v>189955.154025</v>
      </c>
      <c r="AC27" s="7">
        <f>+[5]Resumen!AC27*1000</f>
        <v>159718.8775</v>
      </c>
      <c r="AD27" s="64">
        <f t="shared" ref="AD27:AD35" si="3">SUM(F27:AC27)*E27+SUM(F28:AC28)*E28+SUM(F29:AC29)*E29+SUM(F30:AC30)*E30</f>
        <v>143633016.93195003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+[5]Resumen!F28*1000</f>
        <v>157250.072525</v>
      </c>
      <c r="G28" s="7">
        <f>+[5]Resumen!G28*1000</f>
        <v>145916.52075000003</v>
      </c>
      <c r="H28" s="7">
        <f>+[5]Resumen!H28*1000</f>
        <v>139030.42107499999</v>
      </c>
      <c r="I28" s="7">
        <f>+[5]Resumen!I28*1000</f>
        <v>137174.9834</v>
      </c>
      <c r="J28" s="7">
        <f>+[5]Resumen!J28*1000</f>
        <v>143238.04722500002</v>
      </c>
      <c r="K28" s="7">
        <f>+[5]Resumen!K28*1000</f>
        <v>153411.40815</v>
      </c>
      <c r="L28" s="7">
        <f>+[5]Resumen!L28*1000</f>
        <v>173157.14780000001</v>
      </c>
      <c r="M28" s="7">
        <f>+[5]Resumen!M28*1000</f>
        <v>181717.41315000001</v>
      </c>
      <c r="N28" s="7">
        <f>+[5]Resumen!N28*1000</f>
        <v>201392.31385000001</v>
      </c>
      <c r="O28" s="7">
        <f>+[5]Resumen!O28*1000</f>
        <v>214542.5919</v>
      </c>
      <c r="P28" s="7">
        <f>+[5]Resumen!P28*1000</f>
        <v>227119.66777500001</v>
      </c>
      <c r="Q28" s="7">
        <f>+[5]Resumen!Q28*1000</f>
        <v>236011.07075000001</v>
      </c>
      <c r="R28" s="7">
        <f>+[5]Resumen!R28*1000</f>
        <v>237161.886325</v>
      </c>
      <c r="S28" s="7">
        <f>+[5]Resumen!S28*1000</f>
        <v>231189.3584</v>
      </c>
      <c r="T28" s="7">
        <f>+[5]Resumen!T28*1000</f>
        <v>226052.93165000001</v>
      </c>
      <c r="U28" s="7">
        <f>+[5]Resumen!U28*1000</f>
        <v>224397.15480000002</v>
      </c>
      <c r="V28" s="7">
        <f>+[5]Resumen!V28*1000</f>
        <v>220812.494175</v>
      </c>
      <c r="W28" s="7">
        <f>+[5]Resumen!W28*1000</f>
        <v>222973.06622500002</v>
      </c>
      <c r="X28" s="7">
        <f>+[5]Resumen!X28*1000</f>
        <v>231700.21192500001</v>
      </c>
      <c r="Y28" s="7">
        <f>+[5]Resumen!Y28*1000</f>
        <v>239129.388225</v>
      </c>
      <c r="Z28" s="7">
        <f>+[5]Resumen!Z28*1000</f>
        <v>226871.17180000001</v>
      </c>
      <c r="AA28" s="7">
        <f>+[5]Resumen!AA28*1000</f>
        <v>209070.75507499999</v>
      </c>
      <c r="AB28" s="7">
        <f>+[5]Resumen!AB28*1000</f>
        <v>188777.76417500002</v>
      </c>
      <c r="AC28" s="7">
        <f>+[5]Resumen!AC28*1000</f>
        <v>168299.583725</v>
      </c>
      <c r="AD28" s="65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5</v>
      </c>
      <c r="F29" s="7">
        <f>+[5]Resumen!F29*1000</f>
        <v>158349.748375</v>
      </c>
      <c r="G29" s="7">
        <f>+[5]Resumen!G29*1000</f>
        <v>146939.80892500002</v>
      </c>
      <c r="H29" s="7">
        <f>+[5]Resumen!H29*1000</f>
        <v>139220.86132500001</v>
      </c>
      <c r="I29" s="7">
        <f>+[5]Resumen!I29*1000</f>
        <v>135820.92387500001</v>
      </c>
      <c r="J29" s="7">
        <f>+[5]Resumen!J29*1000</f>
        <v>136771.141325</v>
      </c>
      <c r="K29" s="7">
        <f>+[5]Resumen!K29*1000</f>
        <v>139493.42680000002</v>
      </c>
      <c r="L29" s="7">
        <f>+[5]Resumen!L29*1000</f>
        <v>147435.13557500002</v>
      </c>
      <c r="M29" s="7">
        <f>+[5]Resumen!M29*1000</f>
        <v>148231.43562500001</v>
      </c>
      <c r="N29" s="7">
        <f>+[5]Resumen!N29*1000</f>
        <v>163721.9584</v>
      </c>
      <c r="O29" s="7">
        <f>+[5]Resumen!O29*1000</f>
        <v>177203.15794999999</v>
      </c>
      <c r="P29" s="7">
        <f>+[5]Resumen!P29*1000</f>
        <v>186969.63057500002</v>
      </c>
      <c r="Q29" s="7">
        <f>+[5]Resumen!Q29*1000</f>
        <v>198589.2727</v>
      </c>
      <c r="R29" s="7">
        <f>+[5]Resumen!R29*1000</f>
        <v>205990.12525000001</v>
      </c>
      <c r="S29" s="7">
        <f>+[5]Resumen!S29*1000</f>
        <v>206364.59935</v>
      </c>
      <c r="T29" s="7">
        <f>+[5]Resumen!T29*1000</f>
        <v>202524.27650000001</v>
      </c>
      <c r="U29" s="7">
        <f>+[5]Resumen!U29*1000</f>
        <v>200257.28450000001</v>
      </c>
      <c r="V29" s="7">
        <f>+[5]Resumen!V29*1000</f>
        <v>197377.06625</v>
      </c>
      <c r="W29" s="7">
        <f>+[5]Resumen!W29*1000</f>
        <v>200360.16682500002</v>
      </c>
      <c r="X29" s="7">
        <f>+[5]Resumen!X29*1000</f>
        <v>211179.37067500001</v>
      </c>
      <c r="Y29" s="7">
        <f>+[5]Resumen!Y29*1000</f>
        <v>221441.36332500001</v>
      </c>
      <c r="Z29" s="7">
        <f>+[5]Resumen!Z29*1000</f>
        <v>213009.44437500002</v>
      </c>
      <c r="AA29" s="7">
        <f>+[5]Resumen!AA29*1000</f>
        <v>199512.51775</v>
      </c>
      <c r="AB29" s="7">
        <f>+[5]Resumen!AB29*1000</f>
        <v>179863.70447500001</v>
      </c>
      <c r="AC29" s="7">
        <f>+[5]Resumen!AC29*1000</f>
        <v>159178.125925</v>
      </c>
      <c r="AD29" s="65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3</v>
      </c>
      <c r="F30" s="7">
        <f>+[5]Resumen!F30*1000</f>
        <v>151946.39915000001</v>
      </c>
      <c r="G30" s="7">
        <f>+[5]Resumen!G30*1000</f>
        <v>141083.367425</v>
      </c>
      <c r="H30" s="7">
        <f>+[5]Resumen!H30*1000</f>
        <v>134333.79504999999</v>
      </c>
      <c r="I30" s="7">
        <f>+[5]Resumen!I30*1000</f>
        <v>131657.34627499999</v>
      </c>
      <c r="J30" s="7">
        <f>+[5]Resumen!J30*1000</f>
        <v>133821.21025</v>
      </c>
      <c r="K30" s="7">
        <f>+[5]Resumen!K30*1000</f>
        <v>137840.059175</v>
      </c>
      <c r="L30" s="7">
        <f>+[5]Resumen!L30*1000</f>
        <v>145674.22414999999</v>
      </c>
      <c r="M30" s="7">
        <f>+[5]Resumen!M30*1000</f>
        <v>146178.157125</v>
      </c>
      <c r="N30" s="7">
        <f>+[5]Resumen!N30*1000</f>
        <v>162018.00842500001</v>
      </c>
      <c r="O30" s="7">
        <f>+[5]Resumen!O30*1000</f>
        <v>176048.84797500001</v>
      </c>
      <c r="P30" s="7">
        <f>+[5]Resumen!P30*1000</f>
        <v>190340.87572499999</v>
      </c>
      <c r="Q30" s="7">
        <f>+[5]Resumen!Q30*1000</f>
        <v>205074.16930000001</v>
      </c>
      <c r="R30" s="7">
        <f>+[5]Resumen!R30*1000</f>
        <v>213711.44339999999</v>
      </c>
      <c r="S30" s="7">
        <f>+[5]Resumen!S30*1000</f>
        <v>211998.41845000003</v>
      </c>
      <c r="T30" s="7">
        <f>+[5]Resumen!T30*1000</f>
        <v>206081.08657500002</v>
      </c>
      <c r="U30" s="7">
        <f>+[5]Resumen!U30*1000</f>
        <v>203107.96415000001</v>
      </c>
      <c r="V30" s="7">
        <f>+[5]Resumen!V30*1000</f>
        <v>200461.079</v>
      </c>
      <c r="W30" s="7">
        <f>+[5]Resumen!W30*1000</f>
        <v>204380.11230000001</v>
      </c>
      <c r="X30" s="7">
        <f>+[5]Resumen!X30*1000</f>
        <v>217367.143175</v>
      </c>
      <c r="Y30" s="7">
        <f>+[5]Resumen!Y30*1000</f>
        <v>232065.13102500001</v>
      </c>
      <c r="Z30" s="7">
        <f>+[5]Resumen!Z30*1000</f>
        <v>221970.73535</v>
      </c>
      <c r="AA30" s="7">
        <f>+[5]Resumen!AA30*1000</f>
        <v>204942.48319999999</v>
      </c>
      <c r="AB30" s="7">
        <f>+[5]Resumen!AB30*1000</f>
        <v>181228.90695</v>
      </c>
      <c r="AC30" s="7">
        <f>+[5]Resumen!AC30*1000</f>
        <v>157519.51215</v>
      </c>
      <c r="AD30" s="66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23</v>
      </c>
      <c r="F31" s="7">
        <f>+[5]Resumen!F31*1000</f>
        <v>149695.70297499999</v>
      </c>
      <c r="G31" s="7">
        <f>+[5]Resumen!G31*1000</f>
        <v>139849.25044999999</v>
      </c>
      <c r="H31" s="7">
        <f>+[5]Resumen!H31*1000</f>
        <v>134496.22322499999</v>
      </c>
      <c r="I31" s="7">
        <f>+[5]Resumen!I31*1000</f>
        <v>134197.62720000002</v>
      </c>
      <c r="J31" s="7">
        <f>+[5]Resumen!J31*1000</f>
        <v>150428.83310000002</v>
      </c>
      <c r="K31" s="7">
        <f>+[5]Resumen!K31*1000</f>
        <v>175045.982475</v>
      </c>
      <c r="L31" s="7">
        <f>+[5]Resumen!L31*1000</f>
        <v>199001.200125</v>
      </c>
      <c r="M31" s="7">
        <f>+[5]Resumen!M31*1000</f>
        <v>201863.09325000001</v>
      </c>
      <c r="N31" s="7">
        <f>+[5]Resumen!N31*1000</f>
        <v>216573.48895</v>
      </c>
      <c r="O31" s="7">
        <f>+[5]Resumen!O31*1000</f>
        <v>226667.46375</v>
      </c>
      <c r="P31" s="7">
        <f>+[5]Resumen!P31*1000</f>
        <v>240640.71394999998</v>
      </c>
      <c r="Q31" s="7">
        <f>+[5]Resumen!Q31*1000</f>
        <v>252552.17032499998</v>
      </c>
      <c r="R31" s="7">
        <f>+[5]Resumen!R31*1000</f>
        <v>254620.80962500002</v>
      </c>
      <c r="S31" s="7">
        <f>+[5]Resumen!S31*1000</f>
        <v>251825.37607500001</v>
      </c>
      <c r="T31" s="7">
        <f>+[5]Resumen!T31*1000</f>
        <v>254433.02202499998</v>
      </c>
      <c r="U31" s="7">
        <f>+[5]Resumen!U31*1000</f>
        <v>254933.40372499998</v>
      </c>
      <c r="V31" s="7">
        <f>+[5]Resumen!V31*1000</f>
        <v>249053.44782499998</v>
      </c>
      <c r="W31" s="7">
        <f>+[5]Resumen!W31*1000</f>
        <v>242402.66505000001</v>
      </c>
      <c r="X31" s="7">
        <f>+[5]Resumen!X31*1000</f>
        <v>255539.43415000002</v>
      </c>
      <c r="Y31" s="7">
        <f>+[5]Resumen!Y31*1000</f>
        <v>267655.07632500003</v>
      </c>
      <c r="Z31" s="7">
        <f>+[5]Resumen!Z31*1000</f>
        <v>254205.96337500002</v>
      </c>
      <c r="AA31" s="7">
        <f>+[5]Resumen!AA31*1000</f>
        <v>224604.08652499999</v>
      </c>
      <c r="AB31" s="7">
        <f>+[5]Resumen!AB31*1000</f>
        <v>194773.41292500001</v>
      </c>
      <c r="AC31" s="7">
        <f>+[5]Resumen!AC31*1000</f>
        <v>163397.31135</v>
      </c>
      <c r="AD31" s="64">
        <f t="shared" si="3"/>
        <v>152973733.89025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4</v>
      </c>
      <c r="F32" s="7">
        <f>+[5]Resumen!F32*1000</f>
        <v>159560.67627500001</v>
      </c>
      <c r="G32" s="7">
        <f>+[5]Resumen!G32*1000</f>
        <v>148391.2066</v>
      </c>
      <c r="H32" s="7">
        <f>+[5]Resumen!H32*1000</f>
        <v>141699.1121</v>
      </c>
      <c r="I32" s="7">
        <f>+[5]Resumen!I32*1000</f>
        <v>139367.87637500002</v>
      </c>
      <c r="J32" s="7">
        <f>+[5]Resumen!J32*1000</f>
        <v>145077.77147500002</v>
      </c>
      <c r="K32" s="7">
        <f>+[5]Resumen!K32*1000</f>
        <v>155662.19305</v>
      </c>
      <c r="L32" s="7">
        <f>+[5]Resumen!L32*1000</f>
        <v>174667.595375</v>
      </c>
      <c r="M32" s="7">
        <f>+[5]Resumen!M32*1000</f>
        <v>183210.86420000001</v>
      </c>
      <c r="N32" s="7">
        <f>+[5]Resumen!N32*1000</f>
        <v>202930.31622500002</v>
      </c>
      <c r="O32" s="7">
        <f>+[5]Resumen!O32*1000</f>
        <v>216223.13895000002</v>
      </c>
      <c r="P32" s="7">
        <f>+[5]Resumen!P32*1000</f>
        <v>228846.00375</v>
      </c>
      <c r="Q32" s="7">
        <f>+[5]Resumen!Q32*1000</f>
        <v>238437.93382499999</v>
      </c>
      <c r="R32" s="7">
        <f>+[5]Resumen!R32*1000</f>
        <v>238819.85855000003</v>
      </c>
      <c r="S32" s="7">
        <f>+[5]Resumen!S32*1000</f>
        <v>231711.74162500002</v>
      </c>
      <c r="T32" s="7">
        <f>+[5]Resumen!T32*1000</f>
        <v>225158.62915000002</v>
      </c>
      <c r="U32" s="7">
        <f>+[5]Resumen!U32*1000</f>
        <v>223043.673125</v>
      </c>
      <c r="V32" s="7">
        <f>+[5]Resumen!V32*1000</f>
        <v>221195.36757500001</v>
      </c>
      <c r="W32" s="7">
        <f>+[5]Resumen!W32*1000</f>
        <v>223228.175625</v>
      </c>
      <c r="X32" s="7">
        <f>+[5]Resumen!X32*1000</f>
        <v>231858.956875</v>
      </c>
      <c r="Y32" s="7">
        <f>+[5]Resumen!Y32*1000</f>
        <v>239989.34049999999</v>
      </c>
      <c r="Z32" s="7">
        <f>+[5]Resumen!Z32*1000</f>
        <v>227257.91725</v>
      </c>
      <c r="AA32" s="7">
        <f>+[5]Resumen!AA32*1000</f>
        <v>208656.12267500002</v>
      </c>
      <c r="AB32" s="7">
        <f>+[5]Resumen!AB32*1000</f>
        <v>187955.50637500003</v>
      </c>
      <c r="AC32" s="7">
        <f>+[5]Resumen!AC32*1000</f>
        <v>167456.58702500002</v>
      </c>
      <c r="AD32" s="65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+[5]Resumen!F33*1000</f>
        <v>154317.56795</v>
      </c>
      <c r="G33" s="7">
        <f>+[5]Resumen!G33*1000</f>
        <v>142614.9179</v>
      </c>
      <c r="H33" s="7">
        <f>+[5]Resumen!H33*1000</f>
        <v>134938.28757499999</v>
      </c>
      <c r="I33" s="7">
        <f>+[5]Resumen!I33*1000</f>
        <v>131067.28634999999</v>
      </c>
      <c r="J33" s="7">
        <f>+[5]Resumen!J33*1000</f>
        <v>132437.55980000002</v>
      </c>
      <c r="K33" s="7">
        <f>+[5]Resumen!K33*1000</f>
        <v>135511.80142500001</v>
      </c>
      <c r="L33" s="7">
        <f>+[5]Resumen!L33*1000</f>
        <v>144413.3964</v>
      </c>
      <c r="M33" s="7">
        <f>+[5]Resumen!M33*1000</f>
        <v>145253.59940000001</v>
      </c>
      <c r="N33" s="7">
        <f>+[5]Resumen!N33*1000</f>
        <v>160817.067775</v>
      </c>
      <c r="O33" s="7">
        <f>+[5]Resumen!O33*1000</f>
        <v>174657.90160000001</v>
      </c>
      <c r="P33" s="7">
        <f>+[5]Resumen!P33*1000</f>
        <v>185379.11665000001</v>
      </c>
      <c r="Q33" s="7">
        <f>+[5]Resumen!Q33*1000</f>
        <v>197471.25580000001</v>
      </c>
      <c r="R33" s="7">
        <f>+[5]Resumen!R33*1000</f>
        <v>204888.68400000001</v>
      </c>
      <c r="S33" s="7">
        <f>+[5]Resumen!S33*1000</f>
        <v>204982.621025</v>
      </c>
      <c r="T33" s="7">
        <f>+[5]Resumen!T33*1000</f>
        <v>200706.13972500002</v>
      </c>
      <c r="U33" s="7">
        <f>+[5]Resumen!U33*1000</f>
        <v>198493.67492500003</v>
      </c>
      <c r="V33" s="7">
        <f>+[5]Resumen!V33*1000</f>
        <v>195826.719725</v>
      </c>
      <c r="W33" s="7">
        <f>+[5]Resumen!W33*1000</f>
        <v>198827.43562500001</v>
      </c>
      <c r="X33" s="7">
        <f>+[5]Resumen!X33*1000</f>
        <v>210583.343425</v>
      </c>
      <c r="Y33" s="7">
        <f>+[5]Resumen!Y33*1000</f>
        <v>225276.89047499999</v>
      </c>
      <c r="Z33" s="7">
        <f>+[5]Resumen!Z33*1000</f>
        <v>216337.70112499999</v>
      </c>
      <c r="AA33" s="7">
        <f>+[5]Resumen!AA33*1000</f>
        <v>199395.1778</v>
      </c>
      <c r="AB33" s="7">
        <f>+[5]Resumen!AB33*1000</f>
        <v>176026.52340000001</v>
      </c>
      <c r="AC33" s="7">
        <f>+[5]Resumen!AC33*1000</f>
        <v>154181.62532500003</v>
      </c>
      <c r="AD33" s="65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0</v>
      </c>
      <c r="F34" s="7">
        <f>+[5]Resumen!F34*1000</f>
        <v>164150.40687500002</v>
      </c>
      <c r="G34" s="7">
        <f>+[5]Resumen!G34*1000</f>
        <v>151769.49060000002</v>
      </c>
      <c r="H34" s="7">
        <f>+[5]Resumen!H34*1000</f>
        <v>143823.16584999999</v>
      </c>
      <c r="I34" s="7">
        <f>+[5]Resumen!I34*1000</f>
        <v>139875.96805000002</v>
      </c>
      <c r="J34" s="7">
        <f>+[5]Resumen!J34*1000</f>
        <v>140351.98905</v>
      </c>
      <c r="K34" s="7">
        <f>+[5]Resumen!K34*1000</f>
        <v>141818.89085</v>
      </c>
      <c r="L34" s="7">
        <f>+[5]Resumen!L34*1000</f>
        <v>150391.18867500001</v>
      </c>
      <c r="M34" s="7">
        <f>+[5]Resumen!M34*1000</f>
        <v>151776.71145</v>
      </c>
      <c r="N34" s="7">
        <f>+[5]Resumen!N34*1000</f>
        <v>167226.10677500002</v>
      </c>
      <c r="O34" s="7">
        <f>+[5]Resumen!O34*1000</f>
        <v>180221.94645000002</v>
      </c>
      <c r="P34" s="7">
        <f>+[5]Resumen!P34*1000</f>
        <v>191128.19634999998</v>
      </c>
      <c r="Q34" s="7">
        <f>+[5]Resumen!Q34*1000</f>
        <v>203862.29955000003</v>
      </c>
      <c r="R34" s="7">
        <f>+[5]Resumen!R34*1000</f>
        <v>209739.05452500001</v>
      </c>
      <c r="S34" s="7">
        <f>+[5]Resumen!S34*1000</f>
        <v>210163.46032500002</v>
      </c>
      <c r="T34" s="7">
        <f>+[5]Resumen!T34*1000</f>
        <v>207009.30932500001</v>
      </c>
      <c r="U34" s="7">
        <f>+[5]Resumen!U34*1000</f>
        <v>205162.01842499999</v>
      </c>
      <c r="V34" s="7">
        <f>+[5]Resumen!V34*1000</f>
        <v>202656.66785000003</v>
      </c>
      <c r="W34" s="7">
        <f>+[5]Resumen!W34*1000</f>
        <v>205895.71502500001</v>
      </c>
      <c r="X34" s="7">
        <f>+[5]Resumen!X34*1000</f>
        <v>217125.60415</v>
      </c>
      <c r="Y34" s="7">
        <f>+[5]Resumen!Y34*1000</f>
        <v>231008.46859999999</v>
      </c>
      <c r="Z34" s="7">
        <f>+[5]Resumen!Z34*1000</f>
        <v>224621.76782500002</v>
      </c>
      <c r="AA34" s="7">
        <f>+[5]Resumen!AA34*1000</f>
        <v>211283.43372500001</v>
      </c>
      <c r="AB34" s="7">
        <f>+[5]Resumen!AB34*1000</f>
        <v>188438.91657500001</v>
      </c>
      <c r="AC34" s="7">
        <f>+[5]Resumen!AC34*1000</f>
        <v>165394.35867500002</v>
      </c>
      <c r="AD34" s="66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19</v>
      </c>
      <c r="F35" s="7">
        <f>+[5]Resumen!F35*1000</f>
        <v>151048.3793</v>
      </c>
      <c r="G35" s="7">
        <f>+[5]Resumen!G35*1000</f>
        <v>141048.600875</v>
      </c>
      <c r="H35" s="7">
        <f>+[5]Resumen!H35*1000</f>
        <v>135769.381475</v>
      </c>
      <c r="I35" s="7">
        <f>+[5]Resumen!I35*1000</f>
        <v>135539.752075</v>
      </c>
      <c r="J35" s="7">
        <f>+[5]Resumen!J35*1000</f>
        <v>153038.95652499999</v>
      </c>
      <c r="K35" s="7">
        <f>+[5]Resumen!K35*1000</f>
        <v>180140.87682500001</v>
      </c>
      <c r="L35" s="7">
        <f>+[5]Resumen!L35*1000</f>
        <v>205132.80060000002</v>
      </c>
      <c r="M35" s="7">
        <f>+[5]Resumen!M35*1000</f>
        <v>206514.68109999999</v>
      </c>
      <c r="N35" s="7">
        <f>+[5]Resumen!N35*1000</f>
        <v>220436.60047500001</v>
      </c>
      <c r="O35" s="7">
        <f>+[5]Resumen!O35*1000</f>
        <v>229929.17447500001</v>
      </c>
      <c r="P35" s="7">
        <f>+[5]Resumen!P35*1000</f>
        <v>243949.89937500001</v>
      </c>
      <c r="Q35" s="7">
        <f>+[5]Resumen!Q35*1000</f>
        <v>256098.63597500004</v>
      </c>
      <c r="R35" s="7">
        <f>+[5]Resumen!R35*1000</f>
        <v>257914.63880000004</v>
      </c>
      <c r="S35" s="7">
        <f>+[5]Resumen!S35*1000</f>
        <v>254435.83165000001</v>
      </c>
      <c r="T35" s="7">
        <f>+[5]Resumen!T35*1000</f>
        <v>256993.13639999996</v>
      </c>
      <c r="U35" s="7">
        <f>+[5]Resumen!U35*1000</f>
        <v>257040.16747499997</v>
      </c>
      <c r="V35" s="7">
        <f>+[5]Resumen!V35*1000</f>
        <v>251559.151025</v>
      </c>
      <c r="W35" s="7">
        <f>+[5]Resumen!W35*1000</f>
        <v>246249.40567500002</v>
      </c>
      <c r="X35" s="7">
        <f>+[5]Resumen!X35*1000</f>
        <v>263951.5515</v>
      </c>
      <c r="Y35" s="7">
        <f>+[5]Resumen!Y35*1000</f>
        <v>272776.8407</v>
      </c>
      <c r="Z35" s="7">
        <f>+[5]Resumen!Z35*1000</f>
        <v>258552.16660000003</v>
      </c>
      <c r="AA35" s="7">
        <f>+[5]Resumen!AA35*1000</f>
        <v>227074.654625</v>
      </c>
      <c r="AB35" s="7">
        <f>+[5]Resumen!AB35*1000</f>
        <v>196890.12752500002</v>
      </c>
      <c r="AC35" s="7">
        <f>+[5]Resumen!AC35*1000</f>
        <v>165112.24730000002</v>
      </c>
      <c r="AD35" s="64">
        <f t="shared" si="3"/>
        <v>152664759.92039999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5</v>
      </c>
      <c r="F36" s="7">
        <f>+[5]Resumen!F36*1000</f>
        <v>161216.63512500003</v>
      </c>
      <c r="G36" s="7">
        <f>+[5]Resumen!G36*1000</f>
        <v>150051.69042500001</v>
      </c>
      <c r="H36" s="7">
        <f>+[5]Resumen!H36*1000</f>
        <v>143601.54217499998</v>
      </c>
      <c r="I36" s="7">
        <f>+[5]Resumen!I36*1000</f>
        <v>141338.20155</v>
      </c>
      <c r="J36" s="7">
        <f>+[5]Resumen!J36*1000</f>
        <v>147631.06995</v>
      </c>
      <c r="K36" s="7">
        <f>+[5]Resumen!K36*1000</f>
        <v>158117.37532500003</v>
      </c>
      <c r="L36" s="7">
        <f>+[5]Resumen!L36*1000</f>
        <v>177638.15387500002</v>
      </c>
      <c r="M36" s="7">
        <f>+[5]Resumen!M36*1000</f>
        <v>186712.70572500001</v>
      </c>
      <c r="N36" s="7">
        <f>+[5]Resumen!N36*1000</f>
        <v>206452.38250000001</v>
      </c>
      <c r="O36" s="7">
        <f>+[5]Resumen!O36*1000</f>
        <v>218083.10387500003</v>
      </c>
      <c r="P36" s="7">
        <f>+[5]Resumen!P36*1000</f>
        <v>229322.60032500001</v>
      </c>
      <c r="Q36" s="7">
        <f>+[5]Resumen!Q36*1000</f>
        <v>237088.00570000001</v>
      </c>
      <c r="R36" s="7">
        <f>+[5]Resumen!R36*1000</f>
        <v>238392.32462500001</v>
      </c>
      <c r="S36" s="7">
        <f>+[5]Resumen!S36*1000</f>
        <v>232968.04212500001</v>
      </c>
      <c r="T36" s="7">
        <f>+[5]Resumen!T36*1000</f>
        <v>227472.492975</v>
      </c>
      <c r="U36" s="7">
        <f>+[5]Resumen!U36*1000</f>
        <v>225043.42087500001</v>
      </c>
      <c r="V36" s="7">
        <f>+[5]Resumen!V36*1000</f>
        <v>222268.32127499999</v>
      </c>
      <c r="W36" s="7">
        <f>+[5]Resumen!W36*1000</f>
        <v>224929.77779999998</v>
      </c>
      <c r="X36" s="7">
        <f>+[5]Resumen!X36*1000</f>
        <v>236465.285875</v>
      </c>
      <c r="Y36" s="7">
        <f>+[5]Resumen!Y36*1000</f>
        <v>242332.28337500003</v>
      </c>
      <c r="Z36" s="7">
        <f>+[5]Resumen!Z36*1000</f>
        <v>228687.597775</v>
      </c>
      <c r="AA36" s="7">
        <f>+[5]Resumen!AA36*1000</f>
        <v>209913.810925</v>
      </c>
      <c r="AB36" s="7">
        <f>+[5]Resumen!AB36*1000</f>
        <v>188560.85884999999</v>
      </c>
      <c r="AC36" s="7">
        <f>+[5]Resumen!AC36*1000</f>
        <v>168253.792525</v>
      </c>
      <c r="AD36" s="65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5</v>
      </c>
      <c r="F37" s="7">
        <f>+[5]Resumen!F37*1000</f>
        <v>158126.302425</v>
      </c>
      <c r="G37" s="7">
        <f>+[5]Resumen!G37*1000</f>
        <v>146635.98267500001</v>
      </c>
      <c r="H37" s="7">
        <f>+[5]Resumen!H37*1000</f>
        <v>138677.80290000001</v>
      </c>
      <c r="I37" s="7">
        <f>+[5]Resumen!I37*1000</f>
        <v>135175.72477500001</v>
      </c>
      <c r="J37" s="7">
        <f>+[5]Resumen!J37*1000</f>
        <v>136617.93372500001</v>
      </c>
      <c r="K37" s="7">
        <f>+[5]Resumen!K37*1000</f>
        <v>141168.388725</v>
      </c>
      <c r="L37" s="7">
        <f>+[5]Resumen!L37*1000</f>
        <v>148179.71805000002</v>
      </c>
      <c r="M37" s="7">
        <f>+[5]Resumen!M37*1000</f>
        <v>149451.69330000001</v>
      </c>
      <c r="N37" s="7">
        <f>+[5]Resumen!N37*1000</f>
        <v>164861.981375</v>
      </c>
      <c r="O37" s="7">
        <f>+[5]Resumen!O37*1000</f>
        <v>178664.47917500001</v>
      </c>
      <c r="P37" s="7">
        <f>+[5]Resumen!P37*1000</f>
        <v>190106.5894</v>
      </c>
      <c r="Q37" s="7">
        <f>+[5]Resumen!Q37*1000</f>
        <v>201964.28297500001</v>
      </c>
      <c r="R37" s="7">
        <f>+[5]Resumen!R37*1000</f>
        <v>209576.892525</v>
      </c>
      <c r="S37" s="7">
        <f>+[5]Resumen!S37*1000</f>
        <v>210132.54535000003</v>
      </c>
      <c r="T37" s="7">
        <f>+[5]Resumen!T37*1000</f>
        <v>204943.67075000002</v>
      </c>
      <c r="U37" s="7">
        <f>+[5]Resumen!U37*1000</f>
        <v>202278.84950000001</v>
      </c>
      <c r="V37" s="7">
        <f>+[5]Resumen!V37*1000</f>
        <v>199118.97687499999</v>
      </c>
      <c r="W37" s="7">
        <f>+[5]Resumen!W37*1000</f>
        <v>203910.27930000002</v>
      </c>
      <c r="X37" s="7">
        <f>+[5]Resumen!X37*1000</f>
        <v>219577.03722500001</v>
      </c>
      <c r="Y37" s="7">
        <f>+[5]Resumen!Y37*1000</f>
        <v>229325.73300000001</v>
      </c>
      <c r="Z37" s="7">
        <f>+[5]Resumen!Z37*1000</f>
        <v>219554.56705000001</v>
      </c>
      <c r="AA37" s="7">
        <f>+[5]Resumen!AA37*1000</f>
        <v>203050.40210000001</v>
      </c>
      <c r="AB37" s="7">
        <f>+[5]Resumen!AB37*1000</f>
        <v>180425.74322499998</v>
      </c>
      <c r="AC37" s="7">
        <f>+[5]Resumen!AC37*1000</f>
        <v>158745.74625</v>
      </c>
      <c r="AD37" s="65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+[5]Resumen!F38*1000</f>
        <v>153727.29417500002</v>
      </c>
      <c r="G38" s="7">
        <f>+[5]Resumen!G38*1000</f>
        <v>142137.465925</v>
      </c>
      <c r="H38" s="7">
        <f>+[5]Resumen!H38*1000</f>
        <v>134492.70607499999</v>
      </c>
      <c r="I38" s="7">
        <f>+[5]Resumen!I38*1000</f>
        <v>132675.79552500002</v>
      </c>
      <c r="J38" s="7">
        <f>+[5]Resumen!J38*1000</f>
        <v>134871.88259999998</v>
      </c>
      <c r="K38" s="7">
        <f>+[5]Resumen!K38*1000</f>
        <v>141341.09080000001</v>
      </c>
      <c r="L38" s="7">
        <f>+[5]Resumen!L38*1000</f>
        <v>151001.89877500001</v>
      </c>
      <c r="M38" s="7">
        <f>+[5]Resumen!M38*1000</f>
        <v>151812.28335000001</v>
      </c>
      <c r="N38" s="7">
        <f>+[5]Resumen!N38*1000</f>
        <v>169388.91742500002</v>
      </c>
      <c r="O38" s="7">
        <f>+[5]Resumen!O38*1000</f>
        <v>183513.62575000001</v>
      </c>
      <c r="P38" s="7">
        <f>+[5]Resumen!P38*1000</f>
        <v>197316.8652</v>
      </c>
      <c r="Q38" s="7">
        <f>+[5]Resumen!Q38*1000</f>
        <v>211343.87137500002</v>
      </c>
      <c r="R38" s="7">
        <f>+[5]Resumen!R38*1000</f>
        <v>219313.17817500001</v>
      </c>
      <c r="S38" s="7">
        <f>+[5]Resumen!S38*1000</f>
        <v>218264.70802500003</v>
      </c>
      <c r="T38" s="7">
        <f>+[5]Resumen!T38*1000</f>
        <v>212752.9313</v>
      </c>
      <c r="U38" s="7">
        <f>+[5]Resumen!U38*1000</f>
        <v>208063.25312500002</v>
      </c>
      <c r="V38" s="7">
        <f>+[5]Resumen!V38*1000</f>
        <v>206446.18085</v>
      </c>
      <c r="W38" s="7">
        <f>+[5]Resumen!W38*1000</f>
        <v>209829.740575</v>
      </c>
      <c r="X38" s="7">
        <f>+[5]Resumen!X38*1000</f>
        <v>223981.31665000002</v>
      </c>
      <c r="Y38" s="7">
        <f>+[5]Resumen!Y38*1000</f>
        <v>237412.42069999999</v>
      </c>
      <c r="Z38" s="7">
        <f>+[5]Resumen!Z38*1000</f>
        <v>226051.664475</v>
      </c>
      <c r="AA38" s="7">
        <f>+[5]Resumen!AA38*1000</f>
        <v>206136.50330000001</v>
      </c>
      <c r="AB38" s="7">
        <f>+[5]Resumen!AB38*1000</f>
        <v>181690.08812500001</v>
      </c>
      <c r="AC38" s="7">
        <f>+[5]Resumen!AC38*1000</f>
        <v>158404.5281</v>
      </c>
      <c r="AD38" s="66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22</v>
      </c>
      <c r="F39" s="7">
        <f>+[5]Resumen!F39*1000</f>
        <v>149022.50317499999</v>
      </c>
      <c r="G39" s="7">
        <f>+[5]Resumen!G39*1000</f>
        <v>139597.54672499999</v>
      </c>
      <c r="H39" s="7">
        <f>+[5]Resumen!H39*1000</f>
        <v>134740.51045</v>
      </c>
      <c r="I39" s="7">
        <f>+[5]Resumen!I39*1000</f>
        <v>134606.12165000002</v>
      </c>
      <c r="J39" s="7">
        <f>+[5]Resumen!J39*1000</f>
        <v>152141.44855</v>
      </c>
      <c r="K39" s="7">
        <f>+[5]Resumen!K39*1000</f>
        <v>179395.413925</v>
      </c>
      <c r="L39" s="7">
        <f>+[5]Resumen!L39*1000</f>
        <v>203732.23552500003</v>
      </c>
      <c r="M39" s="7">
        <f>+[5]Resumen!M39*1000</f>
        <v>204071.82477500002</v>
      </c>
      <c r="N39" s="7">
        <f>+[5]Resumen!N39*1000</f>
        <v>217734.26220000003</v>
      </c>
      <c r="O39" s="7">
        <f>+[5]Resumen!O39*1000</f>
        <v>227214.46247500001</v>
      </c>
      <c r="P39" s="7">
        <f>+[5]Resumen!P39*1000</f>
        <v>241577.48387500001</v>
      </c>
      <c r="Q39" s="7">
        <f>+[5]Resumen!Q39*1000</f>
        <v>253755.895575</v>
      </c>
      <c r="R39" s="7">
        <f>+[5]Resumen!R39*1000</f>
        <v>254716.323225</v>
      </c>
      <c r="S39" s="7">
        <f>+[5]Resumen!S39*1000</f>
        <v>251457.68147500002</v>
      </c>
      <c r="T39" s="7">
        <f>+[5]Resumen!T39*1000</f>
        <v>253568.20352500002</v>
      </c>
      <c r="U39" s="7">
        <f>+[5]Resumen!U39*1000</f>
        <v>254036.72385000001</v>
      </c>
      <c r="V39" s="7">
        <f>+[5]Resumen!V39*1000</f>
        <v>248957.752225</v>
      </c>
      <c r="W39" s="7">
        <f>+[5]Resumen!W39*1000</f>
        <v>245797.45417500002</v>
      </c>
      <c r="X39" s="7">
        <f>+[5]Resumen!X39*1000</f>
        <v>268452.47975</v>
      </c>
      <c r="Y39" s="7">
        <f>+[5]Resumen!Y39*1000</f>
        <v>268955.96910000005</v>
      </c>
      <c r="Z39" s="7">
        <f>+[5]Resumen!Z39*1000</f>
        <v>253973.654025</v>
      </c>
      <c r="AA39" s="7">
        <f>+[5]Resumen!AA39*1000</f>
        <v>223049.50850000003</v>
      </c>
      <c r="AB39" s="7">
        <f>+[5]Resumen!AB39*1000</f>
        <v>192912.685875</v>
      </c>
      <c r="AC39" s="7">
        <f>+[5]Resumen!AC39*1000</f>
        <v>161831.61540000001</v>
      </c>
      <c r="AD39" s="64">
        <f t="shared" ref="AD39" si="4">SUM(F39:AC39)*E39+SUM(F40:AC40)*E40+SUM(F41:AC41)*E41+SUM(F42:AC42)*E42</f>
        <v>148950125.25575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+[5]Resumen!F40*1000</f>
        <v>158662.86345</v>
      </c>
      <c r="G40" s="7">
        <f>+[5]Resumen!G40*1000</f>
        <v>147933.99075000003</v>
      </c>
      <c r="H40" s="7">
        <f>+[5]Resumen!H40*1000</f>
        <v>141256.513125</v>
      </c>
      <c r="I40" s="7">
        <f>+[5]Resumen!I40*1000</f>
        <v>139517.42577500001</v>
      </c>
      <c r="J40" s="7">
        <f>+[5]Resumen!J40*1000</f>
        <v>146174.73552500003</v>
      </c>
      <c r="K40" s="7">
        <f>+[5]Resumen!K40*1000</f>
        <v>158095.92207500001</v>
      </c>
      <c r="L40" s="7">
        <f>+[5]Resumen!L40*1000</f>
        <v>176764.59255</v>
      </c>
      <c r="M40" s="7">
        <f>+[5]Resumen!M40*1000</f>
        <v>185309.644975</v>
      </c>
      <c r="N40" s="7">
        <f>+[5]Resumen!N40*1000</f>
        <v>204881.04455000002</v>
      </c>
      <c r="O40" s="7">
        <f>+[5]Resumen!O40*1000</f>
        <v>217108.51435000001</v>
      </c>
      <c r="P40" s="7">
        <f>+[5]Resumen!P40*1000</f>
        <v>230440.78330000001</v>
      </c>
      <c r="Q40" s="7">
        <f>+[5]Resumen!Q40*1000</f>
        <v>239703.05905000001</v>
      </c>
      <c r="R40" s="7">
        <f>+[5]Resumen!R40*1000</f>
        <v>240246.704425</v>
      </c>
      <c r="S40" s="7">
        <f>+[5]Resumen!S40*1000</f>
        <v>234717.22137500002</v>
      </c>
      <c r="T40" s="7">
        <f>+[5]Resumen!T40*1000</f>
        <v>228834.253375</v>
      </c>
      <c r="U40" s="7">
        <f>+[5]Resumen!U40*1000</f>
        <v>226461.7628</v>
      </c>
      <c r="V40" s="7">
        <f>+[5]Resumen!V40*1000</f>
        <v>223762.63227500001</v>
      </c>
      <c r="W40" s="7">
        <f>+[5]Resumen!W40*1000</f>
        <v>227743.67525</v>
      </c>
      <c r="X40" s="7">
        <f>+[5]Resumen!X40*1000</f>
        <v>243340.22667500004</v>
      </c>
      <c r="Y40" s="7">
        <f>+[5]Resumen!Y40*1000</f>
        <v>242019.85307500002</v>
      </c>
      <c r="Z40" s="7">
        <f>+[5]Resumen!Z40*1000</f>
        <v>228182.94135000001</v>
      </c>
      <c r="AA40" s="7">
        <f>+[5]Resumen!AA40*1000</f>
        <v>209144.47417500001</v>
      </c>
      <c r="AB40" s="7">
        <f>+[5]Resumen!AB40*1000</f>
        <v>188767.22410000002</v>
      </c>
      <c r="AC40" s="7">
        <f>+[5]Resumen!AC40*1000</f>
        <v>168874.981275</v>
      </c>
      <c r="AD40" s="65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+[5]Resumen!F41*1000</f>
        <v>158614.61752500001</v>
      </c>
      <c r="G41" s="7">
        <f>+[5]Resumen!G41*1000</f>
        <v>146217.191575</v>
      </c>
      <c r="H41" s="7">
        <f>+[5]Resumen!H41*1000</f>
        <v>138536.10907500001</v>
      </c>
      <c r="I41" s="7">
        <f>+[5]Resumen!I41*1000</f>
        <v>134558.20332500001</v>
      </c>
      <c r="J41" s="7">
        <f>+[5]Resumen!J41*1000</f>
        <v>135266.78847500001</v>
      </c>
      <c r="K41" s="7">
        <f>+[5]Resumen!K41*1000</f>
        <v>138596.30785000001</v>
      </c>
      <c r="L41" s="7">
        <f>+[5]Resumen!L41*1000</f>
        <v>146020.78855</v>
      </c>
      <c r="M41" s="7">
        <f>+[5]Resumen!M41*1000</f>
        <v>146625.26742500003</v>
      </c>
      <c r="N41" s="7">
        <f>+[5]Resumen!N41*1000</f>
        <v>161305.68090000001</v>
      </c>
      <c r="O41" s="7">
        <f>+[5]Resumen!O41*1000</f>
        <v>174543.889975</v>
      </c>
      <c r="P41" s="7">
        <f>+[5]Resumen!P41*1000</f>
        <v>187088.9111</v>
      </c>
      <c r="Q41" s="7">
        <f>+[5]Resumen!Q41*1000</f>
        <v>199402.14840000001</v>
      </c>
      <c r="R41" s="7">
        <f>+[5]Resumen!R41*1000</f>
        <v>206161.26212500001</v>
      </c>
      <c r="S41" s="7">
        <f>+[5]Resumen!S41*1000</f>
        <v>207154.24730000002</v>
      </c>
      <c r="T41" s="7">
        <f>+[5]Resumen!T41*1000</f>
        <v>203779.06867500002</v>
      </c>
      <c r="U41" s="7">
        <f>+[5]Resumen!U41*1000</f>
        <v>202046.68575</v>
      </c>
      <c r="V41" s="7">
        <f>+[5]Resumen!V41*1000</f>
        <v>200042.08087500001</v>
      </c>
      <c r="W41" s="7">
        <f>+[5]Resumen!W41*1000</f>
        <v>206206.73027500001</v>
      </c>
      <c r="X41" s="7">
        <f>+[5]Resumen!X41*1000</f>
        <v>224924.95935000002</v>
      </c>
      <c r="Y41" s="7">
        <f>+[5]Resumen!Y41*1000</f>
        <v>227995.81805000003</v>
      </c>
      <c r="Z41" s="7">
        <f>+[5]Resumen!Z41*1000</f>
        <v>217289.90465000001</v>
      </c>
      <c r="AA41" s="7">
        <f>+[5]Resumen!AA41*1000</f>
        <v>200274.50625000001</v>
      </c>
      <c r="AB41" s="7">
        <f>+[5]Resumen!AB41*1000</f>
        <v>177567.951925</v>
      </c>
      <c r="AC41" s="7">
        <f>+[5]Resumen!AC41*1000</f>
        <v>155218.47477500001</v>
      </c>
      <c r="AD41" s="65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+[5]Resumen!F42*1000</f>
        <v>0</v>
      </c>
      <c r="G42" s="7">
        <f>+[5]Resumen!G42*1000</f>
        <v>0</v>
      </c>
      <c r="H42" s="7">
        <f>+[5]Resumen!H42*1000</f>
        <v>0</v>
      </c>
      <c r="I42" s="7">
        <f>+[5]Resumen!I42*1000</f>
        <v>0</v>
      </c>
      <c r="J42" s="7">
        <f>+[5]Resumen!J42*1000</f>
        <v>0</v>
      </c>
      <c r="K42" s="7">
        <f>+[5]Resumen!K42*1000</f>
        <v>0</v>
      </c>
      <c r="L42" s="7">
        <f>+[5]Resumen!L42*1000</f>
        <v>0</v>
      </c>
      <c r="M42" s="7">
        <f>+[5]Resumen!M42*1000</f>
        <v>0</v>
      </c>
      <c r="N42" s="7">
        <f>+[5]Resumen!N42*1000</f>
        <v>0</v>
      </c>
      <c r="O42" s="7">
        <f>+[5]Resumen!O42*1000</f>
        <v>0</v>
      </c>
      <c r="P42" s="7">
        <f>+[5]Resumen!P42*1000</f>
        <v>0</v>
      </c>
      <c r="Q42" s="7">
        <f>+[5]Resumen!Q42*1000</f>
        <v>0</v>
      </c>
      <c r="R42" s="7">
        <f>+[5]Resumen!R42*1000</f>
        <v>0</v>
      </c>
      <c r="S42" s="7">
        <f>+[5]Resumen!S42*1000</f>
        <v>0</v>
      </c>
      <c r="T42" s="7">
        <f>+[5]Resumen!T42*1000</f>
        <v>0</v>
      </c>
      <c r="U42" s="7">
        <f>+[5]Resumen!U42*1000</f>
        <v>0</v>
      </c>
      <c r="V42" s="7">
        <f>+[5]Resumen!V42*1000</f>
        <v>0</v>
      </c>
      <c r="W42" s="7">
        <f>+[5]Resumen!W42*1000</f>
        <v>0</v>
      </c>
      <c r="X42" s="7">
        <f>+[5]Resumen!X42*1000</f>
        <v>0</v>
      </c>
      <c r="Y42" s="7">
        <f>+[5]Resumen!Y42*1000</f>
        <v>0</v>
      </c>
      <c r="Z42" s="7">
        <f>+[5]Resumen!Z42*1000</f>
        <v>0</v>
      </c>
      <c r="AA42" s="7">
        <f>+[5]Resumen!AA42*1000</f>
        <v>0</v>
      </c>
      <c r="AB42" s="7">
        <f>+[5]Resumen!AB42*1000</f>
        <v>0</v>
      </c>
      <c r="AC42" s="7">
        <f>+[5]Resumen!AC42*1000</f>
        <v>0</v>
      </c>
      <c r="AD42" s="66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22</v>
      </c>
      <c r="F43" s="7">
        <f>+[5]Resumen!F43*1000</f>
        <v>143568.01095000003</v>
      </c>
      <c r="G43" s="7">
        <f>+[5]Resumen!G43*1000</f>
        <v>134261.46142500002</v>
      </c>
      <c r="H43" s="7">
        <f>+[5]Resumen!H43*1000</f>
        <v>129879.970675</v>
      </c>
      <c r="I43" s="7">
        <f>+[5]Resumen!I43*1000</f>
        <v>129786.936825</v>
      </c>
      <c r="J43" s="7">
        <f>+[5]Resumen!J43*1000</f>
        <v>147220.55530000001</v>
      </c>
      <c r="K43" s="7">
        <f>+[5]Resumen!K43*1000</f>
        <v>172359.066425</v>
      </c>
      <c r="L43" s="7">
        <f>+[5]Resumen!L43*1000</f>
        <v>196531.50562500002</v>
      </c>
      <c r="M43" s="7">
        <f>+[5]Resumen!M43*1000</f>
        <v>198734.59970000002</v>
      </c>
      <c r="N43" s="7">
        <f>+[5]Resumen!N43*1000</f>
        <v>212342.02535000001</v>
      </c>
      <c r="O43" s="7">
        <f>+[5]Resumen!O43*1000</f>
        <v>221893.54232500002</v>
      </c>
      <c r="P43" s="7">
        <f>+[5]Resumen!P43*1000</f>
        <v>235825.15775000001</v>
      </c>
      <c r="Q43" s="7">
        <f>+[5]Resumen!Q43*1000</f>
        <v>248077.08835000001</v>
      </c>
      <c r="R43" s="7">
        <f>+[5]Resumen!R43*1000</f>
        <v>250272.86375000002</v>
      </c>
      <c r="S43" s="7">
        <f>+[5]Resumen!S43*1000</f>
        <v>246697.398675</v>
      </c>
      <c r="T43" s="7">
        <f>+[5]Resumen!T43*1000</f>
        <v>247988.28372499999</v>
      </c>
      <c r="U43" s="7">
        <f>+[5]Resumen!U43*1000</f>
        <v>248151.51269999999</v>
      </c>
      <c r="V43" s="7">
        <f>+[5]Resumen!V43*1000</f>
        <v>243064.32377500003</v>
      </c>
      <c r="W43" s="7">
        <f>+[5]Resumen!W43*1000</f>
        <v>244002.47007500002</v>
      </c>
      <c r="X43" s="7">
        <f>+[5]Resumen!X43*1000</f>
        <v>265978.97917500004</v>
      </c>
      <c r="Y43" s="7">
        <f>+[5]Resumen!Y43*1000</f>
        <v>261065.8596</v>
      </c>
      <c r="Z43" s="7">
        <f>+[5]Resumen!Z43*1000</f>
        <v>246078.98997499997</v>
      </c>
      <c r="AA43" s="7">
        <f>+[5]Resumen!AA43*1000</f>
        <v>215723.14172499999</v>
      </c>
      <c r="AB43" s="7">
        <f>+[5]Resumen!AB43*1000</f>
        <v>186669.46252500001</v>
      </c>
      <c r="AC43" s="7">
        <f>+[5]Resumen!AC43*1000</f>
        <v>156624.08352499999</v>
      </c>
      <c r="AD43" s="64">
        <f t="shared" ref="AD43" si="5">SUM(F43:AC43)*E43+SUM(F44:AC44)*E44+SUM(F45:AC45)*E45+SUM(F46:AC46)*E46</f>
        <v>149366551.07464999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+[5]Resumen!F44*1000</f>
        <v>153958.28857500001</v>
      </c>
      <c r="G44" s="7">
        <f>+[5]Resumen!G44*1000</f>
        <v>142823.85390000002</v>
      </c>
      <c r="H44" s="7">
        <f>+[5]Resumen!H44*1000</f>
        <v>136476.05335</v>
      </c>
      <c r="I44" s="7">
        <f>+[5]Resumen!I44*1000</f>
        <v>134579.11512500001</v>
      </c>
      <c r="J44" s="7">
        <f>+[5]Resumen!J44*1000</f>
        <v>141341.82107500001</v>
      </c>
      <c r="K44" s="7">
        <f>+[5]Resumen!K44*1000</f>
        <v>152539.50075000001</v>
      </c>
      <c r="L44" s="7">
        <f>+[5]Resumen!L44*1000</f>
        <v>170935.67627500001</v>
      </c>
      <c r="M44" s="7">
        <f>+[5]Resumen!M44*1000</f>
        <v>178574.92835</v>
      </c>
      <c r="N44" s="7">
        <f>+[5]Resumen!N44*1000</f>
        <v>198062.68982500001</v>
      </c>
      <c r="O44" s="7">
        <f>+[5]Resumen!O44*1000</f>
        <v>210897.94862499999</v>
      </c>
      <c r="P44" s="7">
        <f>+[5]Resumen!P44*1000</f>
        <v>222835.43100000001</v>
      </c>
      <c r="Q44" s="7">
        <f>+[5]Resumen!Q44*1000</f>
        <v>231503.5723</v>
      </c>
      <c r="R44" s="7">
        <f>+[5]Resumen!R44*1000</f>
        <v>232696.89170000001</v>
      </c>
      <c r="S44" s="7">
        <f>+[5]Resumen!S44*1000</f>
        <v>227357.67600000001</v>
      </c>
      <c r="T44" s="7">
        <f>+[5]Resumen!T44*1000</f>
        <v>223679.45827500001</v>
      </c>
      <c r="U44" s="7">
        <f>+[5]Resumen!U44*1000</f>
        <v>223527.37452500002</v>
      </c>
      <c r="V44" s="7">
        <f>+[5]Resumen!V44*1000</f>
        <v>220441.78975000003</v>
      </c>
      <c r="W44" s="7">
        <f>+[5]Resumen!W44*1000</f>
        <v>226952.93075000003</v>
      </c>
      <c r="X44" s="7">
        <f>+[5]Resumen!X44*1000</f>
        <v>241138.87070000003</v>
      </c>
      <c r="Y44" s="7">
        <f>+[5]Resumen!Y44*1000</f>
        <v>235448.00597500001</v>
      </c>
      <c r="Z44" s="7">
        <f>+[5]Resumen!Z44*1000</f>
        <v>222063.24822499999</v>
      </c>
      <c r="AA44" s="7">
        <f>+[5]Resumen!AA44*1000</f>
        <v>203458.40060000002</v>
      </c>
      <c r="AB44" s="7">
        <f>+[5]Resumen!AB44*1000</f>
        <v>182201.09180000002</v>
      </c>
      <c r="AC44" s="7">
        <f>+[5]Resumen!AC44*1000</f>
        <v>162146.22287500001</v>
      </c>
      <c r="AD44" s="65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+[5]Resumen!F45*1000</f>
        <v>152251.33332500001</v>
      </c>
      <c r="G45" s="7">
        <f>+[5]Resumen!G45*1000</f>
        <v>141777.77932500001</v>
      </c>
      <c r="H45" s="7">
        <f>+[5]Resumen!H45*1000</f>
        <v>134630.49145</v>
      </c>
      <c r="I45" s="7">
        <f>+[5]Resumen!I45*1000</f>
        <v>131007.67680000002</v>
      </c>
      <c r="J45" s="7">
        <f>+[5]Resumen!J45*1000</f>
        <v>132307.27282500002</v>
      </c>
      <c r="K45" s="7">
        <f>+[5]Resumen!K45*1000</f>
        <v>135921.33100000001</v>
      </c>
      <c r="L45" s="7">
        <f>+[5]Resumen!L45*1000</f>
        <v>143797.28089999998</v>
      </c>
      <c r="M45" s="7">
        <f>+[5]Resumen!M45*1000</f>
        <v>144956.73465</v>
      </c>
      <c r="N45" s="7">
        <f>+[5]Resumen!N45*1000</f>
        <v>159897.54235</v>
      </c>
      <c r="O45" s="7">
        <f>+[5]Resumen!O45*1000</f>
        <v>173580.8529</v>
      </c>
      <c r="P45" s="7">
        <f>+[5]Resumen!P45*1000</f>
        <v>185883.536475</v>
      </c>
      <c r="Q45" s="7">
        <f>+[5]Resumen!Q45*1000</f>
        <v>197462.34007499999</v>
      </c>
      <c r="R45" s="7">
        <f>+[5]Resumen!R45*1000</f>
        <v>204461.81665000002</v>
      </c>
      <c r="S45" s="7">
        <f>+[5]Resumen!S45*1000</f>
        <v>204777.23402500001</v>
      </c>
      <c r="T45" s="7">
        <f>+[5]Resumen!T45*1000</f>
        <v>200773.78002500001</v>
      </c>
      <c r="U45" s="7">
        <f>+[5]Resumen!U45*1000</f>
        <v>198180.25955000002</v>
      </c>
      <c r="V45" s="7">
        <f>+[5]Resumen!V45*1000</f>
        <v>196073.68234999999</v>
      </c>
      <c r="W45" s="7">
        <f>+[5]Resumen!W45*1000</f>
        <v>203793.93580000001</v>
      </c>
      <c r="X45" s="7">
        <f>+[5]Resumen!X45*1000</f>
        <v>223368.33609999999</v>
      </c>
      <c r="Y45" s="7">
        <f>+[5]Resumen!Y45*1000</f>
        <v>221709.74280000001</v>
      </c>
      <c r="Z45" s="7">
        <f>+[5]Resumen!Z45*1000</f>
        <v>211348.20069999999</v>
      </c>
      <c r="AA45" s="7">
        <f>+[5]Resumen!AA45*1000</f>
        <v>195123.64235000001</v>
      </c>
      <c r="AB45" s="7">
        <f>+[5]Resumen!AB45*1000</f>
        <v>173614.63437499999</v>
      </c>
      <c r="AC45" s="7">
        <f>+[5]Resumen!AC45*1000</f>
        <v>152454.85482499999</v>
      </c>
      <c r="AD45" s="65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+[5]Resumen!F46*1000</f>
        <v>144214.977725</v>
      </c>
      <c r="G46" s="7">
        <f>+[5]Resumen!G46*1000</f>
        <v>134008.44274999999</v>
      </c>
      <c r="H46" s="7">
        <f>+[5]Resumen!H46*1000</f>
        <v>127275.96472500001</v>
      </c>
      <c r="I46" s="7">
        <f>+[5]Resumen!I46*1000</f>
        <v>124522.72787500001</v>
      </c>
      <c r="J46" s="7">
        <f>+[5]Resumen!J46*1000</f>
        <v>127475.19102500001</v>
      </c>
      <c r="K46" s="7">
        <f>+[5]Resumen!K46*1000</f>
        <v>132572.3217</v>
      </c>
      <c r="L46" s="7">
        <f>+[5]Resumen!L46*1000</f>
        <v>140110.68207500002</v>
      </c>
      <c r="M46" s="7">
        <f>+[5]Resumen!M46*1000</f>
        <v>140826.51310000001</v>
      </c>
      <c r="N46" s="7">
        <f>+[5]Resumen!N46*1000</f>
        <v>157325.73220000003</v>
      </c>
      <c r="O46" s="7">
        <f>+[5]Resumen!O46*1000</f>
        <v>172309.22345000002</v>
      </c>
      <c r="P46" s="7">
        <f>+[5]Resumen!P46*1000</f>
        <v>184574.65617500001</v>
      </c>
      <c r="Q46" s="7">
        <f>+[5]Resumen!Q46*1000</f>
        <v>197675.08442500001</v>
      </c>
      <c r="R46" s="7">
        <f>+[5]Resumen!R46*1000</f>
        <v>208035.72335000001</v>
      </c>
      <c r="S46" s="7">
        <f>+[5]Resumen!S46*1000</f>
        <v>205546.41834999999</v>
      </c>
      <c r="T46" s="7">
        <f>+[5]Resumen!T46*1000</f>
        <v>199442.0246</v>
      </c>
      <c r="U46" s="7">
        <f>+[5]Resumen!U46*1000</f>
        <v>196843.62197499999</v>
      </c>
      <c r="V46" s="7">
        <f>+[5]Resumen!V46*1000</f>
        <v>195565.80907500003</v>
      </c>
      <c r="W46" s="7">
        <f>+[5]Resumen!W46*1000</f>
        <v>206341.6355</v>
      </c>
      <c r="X46" s="7">
        <f>+[5]Resumen!X46*1000</f>
        <v>226612.30637500001</v>
      </c>
      <c r="Y46" s="7">
        <f>+[5]Resumen!Y46*1000</f>
        <v>225437.69884999999</v>
      </c>
      <c r="Z46" s="7">
        <f>+[5]Resumen!Z46*1000</f>
        <v>212193.08110000001</v>
      </c>
      <c r="AA46" s="7">
        <f>+[5]Resumen!AA46*1000</f>
        <v>192072.67397500001</v>
      </c>
      <c r="AB46" s="7">
        <f>+[5]Resumen!AB46*1000</f>
        <v>168118.68027499999</v>
      </c>
      <c r="AC46" s="7">
        <f>+[5]Resumen!AC46*1000</f>
        <v>146728.97785000002</v>
      </c>
      <c r="AD46" s="66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18</v>
      </c>
      <c r="F47" s="7">
        <f>+[5]Resumen!F47*1000</f>
        <v>147557.494175</v>
      </c>
      <c r="G47" s="7">
        <f>+[5]Resumen!G47*1000</f>
        <v>138072.06367500001</v>
      </c>
      <c r="H47" s="7">
        <f>+[5]Resumen!H47*1000</f>
        <v>133021.26337500001</v>
      </c>
      <c r="I47" s="7">
        <f>+[5]Resumen!I47*1000</f>
        <v>132830.26802500003</v>
      </c>
      <c r="J47" s="7">
        <f>+[5]Resumen!J47*1000</f>
        <v>150376.84025000001</v>
      </c>
      <c r="K47" s="7">
        <f>+[5]Resumen!K47*1000</f>
        <v>175527.326975</v>
      </c>
      <c r="L47" s="7">
        <f>+[5]Resumen!L47*1000</f>
        <v>201566.51060000001</v>
      </c>
      <c r="M47" s="7">
        <f>+[5]Resumen!M47*1000</f>
        <v>204231.11572499998</v>
      </c>
      <c r="N47" s="7">
        <f>+[5]Resumen!N47*1000</f>
        <v>218087.60837500001</v>
      </c>
      <c r="O47" s="7">
        <f>+[5]Resumen!O47*1000</f>
        <v>227484.48222500001</v>
      </c>
      <c r="P47" s="7">
        <f>+[5]Resumen!P47*1000</f>
        <v>241799.88787499999</v>
      </c>
      <c r="Q47" s="7">
        <f>+[5]Resumen!Q47*1000</f>
        <v>253225.88882500003</v>
      </c>
      <c r="R47" s="7">
        <f>+[5]Resumen!R47*1000</f>
        <v>254904.86840000001</v>
      </c>
      <c r="S47" s="7">
        <f>+[5]Resumen!S47*1000</f>
        <v>252131.71392500002</v>
      </c>
      <c r="T47" s="7">
        <f>+[5]Resumen!T47*1000</f>
        <v>254199.22482500001</v>
      </c>
      <c r="U47" s="7">
        <f>+[5]Resumen!U47*1000</f>
        <v>254601.1741</v>
      </c>
      <c r="V47" s="7">
        <f>+[5]Resumen!V47*1000</f>
        <v>249427.70125000001</v>
      </c>
      <c r="W47" s="7">
        <f>+[5]Resumen!W47*1000</f>
        <v>252061.15025000004</v>
      </c>
      <c r="X47" s="7">
        <f>+[5]Resumen!X47*1000</f>
        <v>272614.10767500004</v>
      </c>
      <c r="Y47" s="7">
        <f>+[5]Resumen!Y47*1000</f>
        <v>266802.34262500005</v>
      </c>
      <c r="Z47" s="7">
        <f>+[5]Resumen!Z47*1000</f>
        <v>251626.52742499998</v>
      </c>
      <c r="AA47" s="7">
        <f>+[5]Resumen!AA47*1000</f>
        <v>221347.16694999998</v>
      </c>
      <c r="AB47" s="7">
        <f>+[5]Resumen!AB47*1000</f>
        <v>191998.62272499999</v>
      </c>
      <c r="AC47" s="7">
        <f>+[5]Resumen!AC47*1000</f>
        <v>161208.8842</v>
      </c>
      <c r="AD47" s="64">
        <f t="shared" ref="AD47" si="6">SUM(F47:AC47)*E47+SUM(F48:AC48)*E48+SUM(F49:AC49)*E49+SUM(F50:AC50)*E50</f>
        <v>146596441.67804998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5</v>
      </c>
      <c r="F48" s="7">
        <f>+[5]Resumen!F48*1000</f>
        <v>157878.37975000002</v>
      </c>
      <c r="G48" s="7">
        <f>+[5]Resumen!G48*1000</f>
        <v>146197.91777500001</v>
      </c>
      <c r="H48" s="7">
        <f>+[5]Resumen!H48*1000</f>
        <v>139868.43779999999</v>
      </c>
      <c r="I48" s="7">
        <f>+[5]Resumen!I48*1000</f>
        <v>138460.7861</v>
      </c>
      <c r="J48" s="7">
        <f>+[5]Resumen!J48*1000</f>
        <v>145220.154625</v>
      </c>
      <c r="K48" s="7">
        <f>+[5]Resumen!K48*1000</f>
        <v>156567.508825</v>
      </c>
      <c r="L48" s="7">
        <f>+[5]Resumen!L48*1000</f>
        <v>176391.30827500002</v>
      </c>
      <c r="M48" s="7">
        <f>+[5]Resumen!M48*1000</f>
        <v>185049.82405</v>
      </c>
      <c r="N48" s="7">
        <f>+[5]Resumen!N48*1000</f>
        <v>204575.2254</v>
      </c>
      <c r="O48" s="7">
        <f>+[5]Resumen!O48*1000</f>
        <v>217440.575625</v>
      </c>
      <c r="P48" s="7">
        <f>+[5]Resumen!P48*1000</f>
        <v>230060.7309</v>
      </c>
      <c r="Q48" s="7">
        <f>+[5]Resumen!Q48*1000</f>
        <v>238633.06512500002</v>
      </c>
      <c r="R48" s="7">
        <f>+[5]Resumen!R48*1000</f>
        <v>239075.95985000001</v>
      </c>
      <c r="S48" s="7">
        <f>+[5]Resumen!S48*1000</f>
        <v>233573.55840000001</v>
      </c>
      <c r="T48" s="7">
        <f>+[5]Resumen!T48*1000</f>
        <v>228495.51725</v>
      </c>
      <c r="U48" s="7">
        <f>+[5]Resumen!U48*1000</f>
        <v>226819.372325</v>
      </c>
      <c r="V48" s="7">
        <f>+[5]Resumen!V48*1000</f>
        <v>224967.70887500001</v>
      </c>
      <c r="W48" s="7">
        <f>+[5]Resumen!W48*1000</f>
        <v>234154.140675</v>
      </c>
      <c r="X48" s="7">
        <f>+[5]Resumen!X48*1000</f>
        <v>248821.62987499998</v>
      </c>
      <c r="Y48" s="7">
        <f>+[5]Resumen!Y48*1000</f>
        <v>242954.05452499999</v>
      </c>
      <c r="Z48" s="7">
        <f>+[5]Resumen!Z48*1000</f>
        <v>229628.98367500002</v>
      </c>
      <c r="AA48" s="7">
        <f>+[5]Resumen!AA48*1000</f>
        <v>211323.20754999999</v>
      </c>
      <c r="AB48" s="7">
        <f>+[5]Resumen!AB48*1000</f>
        <v>189875.88165</v>
      </c>
      <c r="AC48" s="7">
        <f>+[5]Resumen!AC48*1000</f>
        <v>169332.21987499998</v>
      </c>
      <c r="AD48" s="65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5</v>
      </c>
      <c r="F49" s="7">
        <f>+[5]Resumen!F49*1000</f>
        <v>159050.90565</v>
      </c>
      <c r="G49" s="7">
        <f>+[5]Resumen!G49*1000</f>
        <v>147741.10715</v>
      </c>
      <c r="H49" s="7">
        <f>+[5]Resumen!H49*1000</f>
        <v>139808.13210000002</v>
      </c>
      <c r="I49" s="7">
        <f>+[5]Resumen!I49*1000</f>
        <v>136294.74950000001</v>
      </c>
      <c r="J49" s="7">
        <f>+[5]Resumen!J49*1000</f>
        <v>137666.20140000002</v>
      </c>
      <c r="K49" s="7">
        <f>+[5]Resumen!K49*1000</f>
        <v>141849.22797499999</v>
      </c>
      <c r="L49" s="7">
        <f>+[5]Resumen!L49*1000</f>
        <v>149621.542525</v>
      </c>
      <c r="M49" s="7">
        <f>+[5]Resumen!M49*1000</f>
        <v>150558.31017500002</v>
      </c>
      <c r="N49" s="7">
        <f>+[5]Resumen!N49*1000</f>
        <v>166272.86129999999</v>
      </c>
      <c r="O49" s="7">
        <f>+[5]Resumen!O49*1000</f>
        <v>179963.66342500001</v>
      </c>
      <c r="P49" s="7">
        <f>+[5]Resumen!P49*1000</f>
        <v>191747.81990000003</v>
      </c>
      <c r="Q49" s="7">
        <f>+[5]Resumen!Q49*1000</f>
        <v>203503.81187500001</v>
      </c>
      <c r="R49" s="7">
        <f>+[5]Resumen!R49*1000</f>
        <v>210309.701875</v>
      </c>
      <c r="S49" s="7">
        <f>+[5]Resumen!S49*1000</f>
        <v>211409.86230000001</v>
      </c>
      <c r="T49" s="7">
        <f>+[5]Resumen!T49*1000</f>
        <v>207690.95392500001</v>
      </c>
      <c r="U49" s="7">
        <f>+[5]Resumen!U49*1000</f>
        <v>205496.35470000003</v>
      </c>
      <c r="V49" s="7">
        <f>+[5]Resumen!V49*1000</f>
        <v>203495.77657500003</v>
      </c>
      <c r="W49" s="7">
        <f>+[5]Resumen!W49*1000</f>
        <v>214884.098975</v>
      </c>
      <c r="X49" s="7">
        <f>+[5]Resumen!X49*1000</f>
        <v>230702.392375</v>
      </c>
      <c r="Y49" s="7">
        <f>+[5]Resumen!Y49*1000</f>
        <v>228156.59912500001</v>
      </c>
      <c r="Z49" s="7">
        <f>+[5]Resumen!Z49*1000</f>
        <v>216642.59207500002</v>
      </c>
      <c r="AA49" s="7">
        <f>+[5]Resumen!AA49*1000</f>
        <v>200568.41122500002</v>
      </c>
      <c r="AB49" s="7">
        <f>+[5]Resumen!AB49*1000</f>
        <v>179441.15507499999</v>
      </c>
      <c r="AC49" s="7">
        <f>+[5]Resumen!AC49*1000</f>
        <v>159025.79647500001</v>
      </c>
      <c r="AD49" s="65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+[5]Resumen!F50*1000</f>
        <v>151736.468975</v>
      </c>
      <c r="G50" s="7">
        <f>+[5]Resumen!G50*1000</f>
        <v>140726.60647500001</v>
      </c>
      <c r="H50" s="7">
        <f>+[5]Resumen!H50*1000</f>
        <v>134503.921825</v>
      </c>
      <c r="I50" s="7">
        <f>+[5]Resumen!I50*1000</f>
        <v>131544.46305000002</v>
      </c>
      <c r="J50" s="7">
        <f>+[5]Resumen!J50*1000</f>
        <v>134756.48095000003</v>
      </c>
      <c r="K50" s="7">
        <f>+[5]Resumen!K50*1000</f>
        <v>139917.43220000001</v>
      </c>
      <c r="L50" s="7">
        <f>+[5]Resumen!L50*1000</f>
        <v>146635.83025</v>
      </c>
      <c r="M50" s="7">
        <f>+[5]Resumen!M50*1000</f>
        <v>147929.0631</v>
      </c>
      <c r="N50" s="7">
        <f>+[5]Resumen!N50*1000</f>
        <v>164628.73245000001</v>
      </c>
      <c r="O50" s="7">
        <f>+[5]Resumen!O50*1000</f>
        <v>179182.046225</v>
      </c>
      <c r="P50" s="7">
        <f>+[5]Resumen!P50*1000</f>
        <v>192656.80525</v>
      </c>
      <c r="Q50" s="7">
        <f>+[5]Resumen!Q50*1000</f>
        <v>207350.56387500002</v>
      </c>
      <c r="R50" s="7">
        <f>+[5]Resumen!R50*1000</f>
        <v>217055.42722500002</v>
      </c>
      <c r="S50" s="7">
        <f>+[5]Resumen!S50*1000</f>
        <v>216592.282725</v>
      </c>
      <c r="T50" s="7">
        <f>+[5]Resumen!T50*1000</f>
        <v>211462.51035000003</v>
      </c>
      <c r="U50" s="7">
        <f>+[5]Resumen!U50*1000</f>
        <v>208706.7892</v>
      </c>
      <c r="V50" s="7">
        <f>+[5]Resumen!V50*1000</f>
        <v>206053.77747500001</v>
      </c>
      <c r="W50" s="7">
        <f>+[5]Resumen!W50*1000</f>
        <v>216311.44080000001</v>
      </c>
      <c r="X50" s="7">
        <f>+[5]Resumen!X50*1000</f>
        <v>235196.19532500001</v>
      </c>
      <c r="Y50" s="7">
        <f>+[5]Resumen!Y50*1000</f>
        <v>233089.37925</v>
      </c>
      <c r="Z50" s="7">
        <f>+[5]Resumen!Z50*1000</f>
        <v>220376.46085</v>
      </c>
      <c r="AA50" s="7">
        <f>+[5]Resumen!AA50*1000</f>
        <v>200913.50142500002</v>
      </c>
      <c r="AB50" s="7">
        <f>+[5]Resumen!AB50*1000</f>
        <v>177308.39717499999</v>
      </c>
      <c r="AC50" s="7">
        <f>+[5]Resumen!AC50*1000</f>
        <v>155077.71142500002</v>
      </c>
      <c r="AD50" s="66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21</v>
      </c>
      <c r="F51" s="7">
        <f>+[5]Resumen!F51*1000</f>
        <v>153839.24919999999</v>
      </c>
      <c r="G51" s="7">
        <f>+[5]Resumen!G51*1000</f>
        <v>142632.97229999999</v>
      </c>
      <c r="H51" s="7">
        <f>+[5]Resumen!H51*1000</f>
        <v>136503.41705000002</v>
      </c>
      <c r="I51" s="7">
        <f>+[5]Resumen!I51*1000</f>
        <v>135480.48832500001</v>
      </c>
      <c r="J51" s="7">
        <f>+[5]Resumen!J51*1000</f>
        <v>149664.03270000001</v>
      </c>
      <c r="K51" s="7">
        <f>+[5]Resumen!K51*1000</f>
        <v>167413.30970000001</v>
      </c>
      <c r="L51" s="7">
        <f>+[5]Resumen!L51*1000</f>
        <v>189360.578225</v>
      </c>
      <c r="M51" s="7">
        <f>+[5]Resumen!M51*1000</f>
        <v>196858.20017500001</v>
      </c>
      <c r="N51" s="7">
        <f>+[5]Resumen!N51*1000</f>
        <v>214131.92482499999</v>
      </c>
      <c r="O51" s="7">
        <f>+[5]Resumen!O51*1000</f>
        <v>225648.516275</v>
      </c>
      <c r="P51" s="7">
        <f>+[5]Resumen!P51*1000</f>
        <v>238146.78160000002</v>
      </c>
      <c r="Q51" s="7">
        <f>+[5]Resumen!Q51*1000</f>
        <v>249365.61422500003</v>
      </c>
      <c r="R51" s="7">
        <f>+[5]Resumen!R51*1000</f>
        <v>254219.66115000003</v>
      </c>
      <c r="S51" s="7">
        <f>+[5]Resumen!S51*1000</f>
        <v>251623.85657499998</v>
      </c>
      <c r="T51" s="7">
        <f>+[5]Resumen!T51*1000</f>
        <v>252279.05885</v>
      </c>
      <c r="U51" s="7">
        <f>+[5]Resumen!U51*1000</f>
        <v>252387.29879999999</v>
      </c>
      <c r="V51" s="7">
        <f>+[5]Resumen!V51*1000</f>
        <v>247708.16752500003</v>
      </c>
      <c r="W51" s="7">
        <f>+[5]Resumen!W51*1000</f>
        <v>248391.62757500002</v>
      </c>
      <c r="X51" s="7">
        <f>+[5]Resumen!X51*1000</f>
        <v>272093.72872499999</v>
      </c>
      <c r="Y51" s="7">
        <f>+[5]Resumen!Y51*1000</f>
        <v>268303.21244999999</v>
      </c>
      <c r="Z51" s="7">
        <f>+[5]Resumen!Z51*1000</f>
        <v>253771.59990000003</v>
      </c>
      <c r="AA51" s="7">
        <f>+[5]Resumen!AA51*1000</f>
        <v>225515.24450000003</v>
      </c>
      <c r="AB51" s="7">
        <f>+[5]Resumen!AB51*1000</f>
        <v>198996.09729999999</v>
      </c>
      <c r="AC51" s="7">
        <f>+[5]Resumen!AC51*1000</f>
        <v>169560.92107499999</v>
      </c>
      <c r="AD51" s="64">
        <f t="shared" ref="AD51" si="7">SUM(F51:AC51)*E51+SUM(F52:AC52)*E52+SUM(F53:AC53)*E53+SUM(F54:AC54)*E54</f>
        <v>152535526.68672502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+[5]Resumen!F52*1000</f>
        <v>163062.347175</v>
      </c>
      <c r="G52" s="7">
        <f>+[5]Resumen!G52*1000</f>
        <v>150254.96622500001</v>
      </c>
      <c r="H52" s="7">
        <f>+[5]Resumen!H52*1000</f>
        <v>143045.87115000002</v>
      </c>
      <c r="I52" s="7">
        <f>+[5]Resumen!I52*1000</f>
        <v>140856.95259999999</v>
      </c>
      <c r="J52" s="7">
        <f>+[5]Resumen!J52*1000</f>
        <v>145529.27935</v>
      </c>
      <c r="K52" s="7">
        <f>+[5]Resumen!K52*1000</f>
        <v>159753.91477500001</v>
      </c>
      <c r="L52" s="7">
        <f>+[5]Resumen!L52*1000</f>
        <v>174909.0889</v>
      </c>
      <c r="M52" s="7">
        <f>+[5]Resumen!M52*1000</f>
        <v>182601.40990000003</v>
      </c>
      <c r="N52" s="7">
        <f>+[5]Resumen!N52*1000</f>
        <v>202775.70267500001</v>
      </c>
      <c r="O52" s="7">
        <f>+[5]Resumen!O52*1000</f>
        <v>215732.28950000001</v>
      </c>
      <c r="P52" s="7">
        <f>+[5]Resumen!P52*1000</f>
        <v>227886.70905</v>
      </c>
      <c r="Q52" s="7">
        <f>+[5]Resumen!Q52*1000</f>
        <v>235886.21192500001</v>
      </c>
      <c r="R52" s="7">
        <f>+[5]Resumen!R52*1000</f>
        <v>238797.71825000001</v>
      </c>
      <c r="S52" s="7">
        <f>+[5]Resumen!S52*1000</f>
        <v>234270.78447499999</v>
      </c>
      <c r="T52" s="7">
        <f>+[5]Resumen!T52*1000</f>
        <v>229872.649825</v>
      </c>
      <c r="U52" s="7">
        <f>+[5]Resumen!U52*1000</f>
        <v>228151.19145000001</v>
      </c>
      <c r="V52" s="7">
        <f>+[5]Resumen!V52*1000</f>
        <v>226422.26879999999</v>
      </c>
      <c r="W52" s="7">
        <f>+[5]Resumen!W52*1000</f>
        <v>232226.023575</v>
      </c>
      <c r="X52" s="7">
        <f>+[5]Resumen!X52*1000</f>
        <v>250633.95629999999</v>
      </c>
      <c r="Y52" s="7">
        <f>+[5]Resumen!Y52*1000</f>
        <v>247367.90487500001</v>
      </c>
      <c r="Z52" s="7">
        <f>+[5]Resumen!Z52*1000</f>
        <v>233980.735625</v>
      </c>
      <c r="AA52" s="7">
        <f>+[5]Resumen!AA52*1000</f>
        <v>216108.33107499999</v>
      </c>
      <c r="AB52" s="7">
        <f>+[5]Resumen!AB52*1000</f>
        <v>195837.6875</v>
      </c>
      <c r="AC52" s="7">
        <f>+[5]Resumen!AC52*1000</f>
        <v>175089.398575</v>
      </c>
      <c r="AD52" s="65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+[5]Resumen!F53*1000</f>
        <v>163726.73817500001</v>
      </c>
      <c r="G53" s="7">
        <f>+[5]Resumen!G53*1000</f>
        <v>150994.34577500002</v>
      </c>
      <c r="H53" s="7">
        <f>+[5]Resumen!H53*1000</f>
        <v>142618.41685000001</v>
      </c>
      <c r="I53" s="7">
        <f>+[5]Resumen!I53*1000</f>
        <v>138578.1306</v>
      </c>
      <c r="J53" s="7">
        <f>+[5]Resumen!J53*1000</f>
        <v>139780.13367500002</v>
      </c>
      <c r="K53" s="7">
        <f>+[5]Resumen!K53*1000</f>
        <v>144744.083575</v>
      </c>
      <c r="L53" s="7">
        <f>+[5]Resumen!L53*1000</f>
        <v>152028.05345000001</v>
      </c>
      <c r="M53" s="7">
        <f>+[5]Resumen!M53*1000</f>
        <v>153025.06082499999</v>
      </c>
      <c r="N53" s="7">
        <f>+[5]Resumen!N53*1000</f>
        <v>169535.427425</v>
      </c>
      <c r="O53" s="7">
        <f>+[5]Resumen!O53*1000</f>
        <v>183652.9786</v>
      </c>
      <c r="P53" s="7">
        <f>+[5]Resumen!P53*1000</f>
        <v>195437.66742500002</v>
      </c>
      <c r="Q53" s="7">
        <f>+[5]Resumen!Q53*1000</f>
        <v>205804.98120000001</v>
      </c>
      <c r="R53" s="7">
        <f>+[5]Resumen!R53*1000</f>
        <v>212429.91770000002</v>
      </c>
      <c r="S53" s="7">
        <f>+[5]Resumen!S53*1000</f>
        <v>213419.85892500001</v>
      </c>
      <c r="T53" s="7">
        <f>+[5]Resumen!T53*1000</f>
        <v>211298.45782500002</v>
      </c>
      <c r="U53" s="7">
        <f>+[5]Resumen!U53*1000</f>
        <v>210094.97372500002</v>
      </c>
      <c r="V53" s="7">
        <f>+[5]Resumen!V53*1000</f>
        <v>207611.88630000001</v>
      </c>
      <c r="W53" s="7">
        <f>+[5]Resumen!W53*1000</f>
        <v>211506.93427500001</v>
      </c>
      <c r="X53" s="7">
        <f>+[5]Resumen!X53*1000</f>
        <v>230933.35720000003</v>
      </c>
      <c r="Y53" s="7">
        <f>+[5]Resumen!Y53*1000</f>
        <v>230494.29584999999</v>
      </c>
      <c r="Z53" s="7">
        <f>+[5]Resumen!Z53*1000</f>
        <v>219129.18755</v>
      </c>
      <c r="AA53" s="7">
        <f>+[5]Resumen!AA53*1000</f>
        <v>203708.675625</v>
      </c>
      <c r="AB53" s="7">
        <f>+[5]Resumen!AB53*1000</f>
        <v>185058.18922500001</v>
      </c>
      <c r="AC53" s="7">
        <f>+[5]Resumen!AC53*1000</f>
        <v>165628.25597500001</v>
      </c>
      <c r="AD53" s="65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+[5]Resumen!F54*1000</f>
        <v>162615.56675</v>
      </c>
      <c r="G54" s="7">
        <f>+[5]Resumen!G54*1000</f>
        <v>152470.93452500002</v>
      </c>
      <c r="H54" s="7">
        <f>+[5]Resumen!H54*1000</f>
        <v>143924.38742500002</v>
      </c>
      <c r="I54" s="7">
        <f>+[5]Resumen!I54*1000</f>
        <v>138581.44072499999</v>
      </c>
      <c r="J54" s="7">
        <f>+[5]Resumen!J54*1000</f>
        <v>138007.86772499999</v>
      </c>
      <c r="K54" s="7">
        <f>+[5]Resumen!K54*1000</f>
        <v>140053.17235000001</v>
      </c>
      <c r="L54" s="7">
        <f>+[5]Resumen!L54*1000</f>
        <v>141685.97852500001</v>
      </c>
      <c r="M54" s="7">
        <f>+[5]Resumen!M54*1000</f>
        <v>136466.79182500002</v>
      </c>
      <c r="N54" s="7">
        <f>+[5]Resumen!N54*1000</f>
        <v>147836.35685000001</v>
      </c>
      <c r="O54" s="7">
        <f>+[5]Resumen!O54*1000</f>
        <v>161173.43742500001</v>
      </c>
      <c r="P54" s="7">
        <f>+[5]Resumen!P54*1000</f>
        <v>173783.27785000001</v>
      </c>
      <c r="Q54" s="7">
        <f>+[5]Resumen!Q54*1000</f>
        <v>186682.18887500002</v>
      </c>
      <c r="R54" s="7">
        <f>+[5]Resumen!R54*1000</f>
        <v>197543.36420000001</v>
      </c>
      <c r="S54" s="7">
        <f>+[5]Resumen!S54*1000</f>
        <v>199871.37625</v>
      </c>
      <c r="T54" s="7">
        <f>+[5]Resumen!T54*1000</f>
        <v>197668.323125</v>
      </c>
      <c r="U54" s="7">
        <f>+[5]Resumen!U54*1000</f>
        <v>197872.636325</v>
      </c>
      <c r="V54" s="7">
        <f>+[5]Resumen!V54*1000</f>
        <v>196301.87395000001</v>
      </c>
      <c r="W54" s="7">
        <f>+[5]Resumen!W54*1000</f>
        <v>202387.27372500001</v>
      </c>
      <c r="X54" s="7">
        <f>+[5]Resumen!X54*1000</f>
        <v>221486.70180000001</v>
      </c>
      <c r="Y54" s="7">
        <f>+[5]Resumen!Y54*1000</f>
        <v>221847.44399999999</v>
      </c>
      <c r="Z54" s="7">
        <f>+[5]Resumen!Z54*1000</f>
        <v>210665.26845000003</v>
      </c>
      <c r="AA54" s="7">
        <f>+[5]Resumen!AA54*1000</f>
        <v>194839.49257500001</v>
      </c>
      <c r="AB54" s="7">
        <f>+[5]Resumen!AB54*1000</f>
        <v>176333.677975</v>
      </c>
      <c r="AC54" s="7">
        <f>+[5]Resumen!AC54*1000</f>
        <v>157174.33777499999</v>
      </c>
      <c r="AD54" s="66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49" t="s">
        <v>46</v>
      </c>
      <c r="AA55" s="52"/>
      <c r="AB55" s="50"/>
      <c r="AC55" s="51"/>
      <c r="AD55" s="60">
        <f>SUM(AD7:AD54)</f>
        <v>1787359525.5243001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7"/>
    </row>
    <row r="58" spans="3:56">
      <c r="AD58" s="10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B84F-54E7-47F1-AFA4-0F1E9FEE2802}">
  <dimension ref="C1:BD58"/>
  <sheetViews>
    <sheetView showGridLines="0" topLeftCell="C1" zoomScale="66" zoomScaleNormal="66" workbookViewId="0">
      <selection activeCell="L23" sqref="L23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54296875" style="1" customWidth="1"/>
    <col min="5" max="5" width="9.453125" style="1" customWidth="1"/>
    <col min="6" max="12" width="8.54296875" style="1" bestFit="1" customWidth="1"/>
    <col min="13" max="22" width="11.54296875" style="1" customWidth="1"/>
    <col min="23" max="25" width="9" style="1" bestFit="1" customWidth="1"/>
    <col min="26" max="26" width="11" style="1" customWidth="1"/>
    <col min="27" max="27" width="9" style="1" bestFit="1" customWidth="1"/>
    <col min="28" max="29" width="8.54296875" style="1" bestFit="1" customWidth="1"/>
    <col min="30" max="30" width="19.54296875" style="1" bestFit="1" customWidth="1"/>
    <col min="31" max="31" width="2.8164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7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 spans="3:56" ht="18.649999999999999" customHeight="1">
      <c r="C3" s="67" t="s">
        <v>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3:56" ht="18.649999999999999" customHeight="1">
      <c r="C4" s="67">
        <v>2032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20</v>
      </c>
      <c r="F7" s="7">
        <f>[6]Resumen!F7*1000</f>
        <v>152438.47641</v>
      </c>
      <c r="G7" s="7">
        <f>[6]Resumen!G7*1000</f>
        <v>142850.959902</v>
      </c>
      <c r="H7" s="7">
        <f>[6]Resumen!H7*1000</f>
        <v>137380.855128</v>
      </c>
      <c r="I7" s="7">
        <f>[6]Resumen!I7*1000</f>
        <v>136789.279488</v>
      </c>
      <c r="J7" s="7">
        <f>[6]Resumen!J7*1000</f>
        <v>152223.59903400001</v>
      </c>
      <c r="K7" s="7">
        <f>[6]Resumen!K7*1000</f>
        <v>174687.97092600001</v>
      </c>
      <c r="L7" s="7">
        <f>[6]Resumen!L7*1000</f>
        <v>199417.04635799999</v>
      </c>
      <c r="M7" s="7">
        <f>[6]Resumen!M7*1000</f>
        <v>189393.393942</v>
      </c>
      <c r="N7" s="7">
        <f>[6]Resumen!N7*1000</f>
        <v>204480.38627999998</v>
      </c>
      <c r="O7" s="7">
        <f>[6]Resumen!O7*1000</f>
        <v>214447.18012199999</v>
      </c>
      <c r="P7" s="7">
        <f>[6]Resumen!P7*1000</f>
        <v>227772.01179599998</v>
      </c>
      <c r="Q7" s="7">
        <f>[6]Resumen!Q7*1000</f>
        <v>239320.036956</v>
      </c>
      <c r="R7" s="7">
        <f>[6]Resumen!R7*1000</f>
        <v>243626.04055800001</v>
      </c>
      <c r="S7" s="7">
        <f>[6]Resumen!S7*1000</f>
        <v>240564.735816</v>
      </c>
      <c r="T7" s="7">
        <f>[6]Resumen!T7*1000</f>
        <v>241852.72337399999</v>
      </c>
      <c r="U7" s="7">
        <f>[6]Resumen!U7*1000</f>
        <v>241413.31986600001</v>
      </c>
      <c r="V7" s="7">
        <f>[6]Resumen!V7*1000</f>
        <v>235945.61210999999</v>
      </c>
      <c r="W7" s="7">
        <f>[6]Resumen!W7*1000</f>
        <v>248292.36007799997</v>
      </c>
      <c r="X7" s="7">
        <f>[6]Resumen!X7*1000</f>
        <v>269025.29608200002</v>
      </c>
      <c r="Y7" s="7">
        <f>[6]Resumen!Y7*1000</f>
        <v>272440.53792000003</v>
      </c>
      <c r="Z7" s="7">
        <f>[6]Resumen!Z7*1000</f>
        <v>257384.26335600001</v>
      </c>
      <c r="AA7" s="7">
        <f>[6]Resumen!AA7*1000</f>
        <v>226258.3101</v>
      </c>
      <c r="AB7" s="7">
        <f>[6]Resumen!AB7*1000</f>
        <v>197333.19980999999</v>
      </c>
      <c r="AC7" s="7">
        <f>[6]Resumen!AC7*1000</f>
        <v>166996.31127000001</v>
      </c>
      <c r="AD7" s="64">
        <f>SUM(F7:AC7)*E7+SUM(F8:AC8)*E8+SUM(F9:AC9)*E9+SUM(F10:AC10)*E10</f>
        <v>149551460.01144603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5</v>
      </c>
      <c r="F8" s="7">
        <f>[6]Resumen!F8*1000</f>
        <v>164577.250974</v>
      </c>
      <c r="G8" s="7">
        <f>[6]Resumen!G8*1000</f>
        <v>152789.09922599999</v>
      </c>
      <c r="H8" s="7">
        <f>[6]Resumen!H8*1000</f>
        <v>146035.27578</v>
      </c>
      <c r="I8" s="7">
        <f>[6]Resumen!I8*1000</f>
        <v>143497.19082000002</v>
      </c>
      <c r="J8" s="7">
        <f>[6]Resumen!J8*1000</f>
        <v>148867.02462000001</v>
      </c>
      <c r="K8" s="7">
        <f>[6]Resumen!K8*1000</f>
        <v>160297.99967999998</v>
      </c>
      <c r="L8" s="7">
        <f>[6]Resumen!L8*1000</f>
        <v>177825.50410799999</v>
      </c>
      <c r="M8" s="7">
        <f>[6]Resumen!M8*1000</f>
        <v>171009.82032599999</v>
      </c>
      <c r="N8" s="7">
        <f>[6]Resumen!N8*1000</f>
        <v>190067.91994200001</v>
      </c>
      <c r="O8" s="7">
        <f>[6]Resumen!O8*1000</f>
        <v>203786.070294</v>
      </c>
      <c r="P8" s="7">
        <f>[6]Resumen!P8*1000</f>
        <v>215988.48136800001</v>
      </c>
      <c r="Q8" s="7">
        <f>[6]Resumen!Q8*1000</f>
        <v>224291.154216</v>
      </c>
      <c r="R8" s="7">
        <f>[6]Resumen!R8*1000</f>
        <v>226491.94349999999</v>
      </c>
      <c r="S8" s="7">
        <f>[6]Resumen!S8*1000</f>
        <v>222733.20221399999</v>
      </c>
      <c r="T8" s="7">
        <f>[6]Resumen!T8*1000</f>
        <v>217127.954172</v>
      </c>
      <c r="U8" s="7">
        <f>[6]Resumen!U8*1000</f>
        <v>215191.77280199999</v>
      </c>
      <c r="V8" s="7">
        <f>[6]Resumen!V8*1000</f>
        <v>213875.08404599997</v>
      </c>
      <c r="W8" s="7">
        <f>[6]Resumen!W8*1000</f>
        <v>232376.46397800001</v>
      </c>
      <c r="X8" s="7">
        <f>[6]Resumen!X8*1000</f>
        <v>247364.924172</v>
      </c>
      <c r="Y8" s="7">
        <f>[6]Resumen!Y8*1000</f>
        <v>248994.40627200002</v>
      </c>
      <c r="Z8" s="7">
        <f>[6]Resumen!Z8*1000</f>
        <v>235418.50621799999</v>
      </c>
      <c r="AA8" s="7">
        <f>[6]Resumen!AA8*1000</f>
        <v>216407.25464999999</v>
      </c>
      <c r="AB8" s="7">
        <f>[6]Resumen!AB8*1000</f>
        <v>195813.00726000001</v>
      </c>
      <c r="AC8" s="7">
        <f>[6]Resumen!AC8*1000</f>
        <v>174912.158628</v>
      </c>
      <c r="AD8" s="6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[6]Resumen!F9*1000</f>
        <v>163452.339996</v>
      </c>
      <c r="G9" s="7">
        <f>[6]Resumen!G9*1000</f>
        <v>151060.135044</v>
      </c>
      <c r="H9" s="7">
        <f>[6]Resumen!H9*1000</f>
        <v>143074.32837</v>
      </c>
      <c r="I9" s="7">
        <f>[6]Resumen!I9*1000</f>
        <v>139161.617772</v>
      </c>
      <c r="J9" s="7">
        <f>[6]Resumen!J9*1000</f>
        <v>140107.31489400001</v>
      </c>
      <c r="K9" s="7">
        <f>[6]Resumen!K9*1000</f>
        <v>144950.93438999998</v>
      </c>
      <c r="L9" s="7">
        <f>[6]Resumen!L9*1000</f>
        <v>152325.09769200001</v>
      </c>
      <c r="M9" s="7">
        <f>[6]Resumen!M9*1000</f>
        <v>141007.66472999999</v>
      </c>
      <c r="N9" s="7">
        <f>[6]Resumen!N9*1000</f>
        <v>155654.70040200002</v>
      </c>
      <c r="O9" s="7">
        <f>[6]Resumen!O9*1000</f>
        <v>168488.99763</v>
      </c>
      <c r="P9" s="7">
        <f>[6]Resumen!P9*1000</f>
        <v>179715.11050799998</v>
      </c>
      <c r="Q9" s="7">
        <f>[6]Resumen!Q9*1000</f>
        <v>192377.82139200001</v>
      </c>
      <c r="R9" s="7">
        <f>[6]Resumen!R9*1000</f>
        <v>202215.23227800001</v>
      </c>
      <c r="S9" s="7">
        <f>[6]Resumen!S9*1000</f>
        <v>203682.77912399999</v>
      </c>
      <c r="T9" s="7">
        <f>[6]Resumen!T9*1000</f>
        <v>200170.40787600001</v>
      </c>
      <c r="U9" s="7">
        <f>[6]Resumen!U9*1000</f>
        <v>196627.71563399999</v>
      </c>
      <c r="V9" s="7">
        <f>[6]Resumen!V9*1000</f>
        <v>193529.28161999999</v>
      </c>
      <c r="W9" s="7">
        <f>[6]Resumen!W9*1000</f>
        <v>209839.20360000001</v>
      </c>
      <c r="X9" s="7">
        <f>[6]Resumen!X9*1000</f>
        <v>227763.36432600001</v>
      </c>
      <c r="Y9" s="7">
        <f>[6]Resumen!Y9*1000</f>
        <v>233700.66121200001</v>
      </c>
      <c r="Z9" s="7">
        <f>[6]Resumen!Z9*1000</f>
        <v>223320.252228</v>
      </c>
      <c r="AA9" s="7">
        <f>[6]Resumen!AA9*1000</f>
        <v>207218.130936</v>
      </c>
      <c r="AB9" s="7">
        <f>[6]Resumen!AB9*1000</f>
        <v>185543.82504599998</v>
      </c>
      <c r="AC9" s="7">
        <f>[6]Resumen!AC9*1000</f>
        <v>163738.33435200001</v>
      </c>
      <c r="AD9" s="6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[6]Resumen!F10*1000</f>
        <v>166267.67848199999</v>
      </c>
      <c r="G10" s="7">
        <f>[6]Resumen!G10*1000</f>
        <v>157267.56675599999</v>
      </c>
      <c r="H10" s="7">
        <f>[6]Resumen!H10*1000</f>
        <v>150098.58772800001</v>
      </c>
      <c r="I10" s="7">
        <f>[6]Resumen!I10*1000</f>
        <v>144042.11446800001</v>
      </c>
      <c r="J10" s="7">
        <f>[6]Resumen!J10*1000</f>
        <v>143792.55385200001</v>
      </c>
      <c r="K10" s="7">
        <f>[6]Resumen!K10*1000</f>
        <v>145871.04386999999</v>
      </c>
      <c r="L10" s="7">
        <f>[6]Resumen!L10*1000</f>
        <v>148932.26458799999</v>
      </c>
      <c r="M10" s="7">
        <f>[6]Resumen!M10*1000</f>
        <v>133058.744592</v>
      </c>
      <c r="N10" s="7">
        <f>[6]Resumen!N10*1000</f>
        <v>143084.910726</v>
      </c>
      <c r="O10" s="7">
        <f>[6]Resumen!O10*1000</f>
        <v>154239.346464</v>
      </c>
      <c r="P10" s="7">
        <f>[6]Resumen!P10*1000</f>
        <v>165905.46502199999</v>
      </c>
      <c r="Q10" s="7">
        <f>[6]Resumen!Q10*1000</f>
        <v>178212.56066399999</v>
      </c>
      <c r="R10" s="7">
        <f>[6]Resumen!R10*1000</f>
        <v>187696.788336</v>
      </c>
      <c r="S10" s="7">
        <f>[6]Resumen!S10*1000</f>
        <v>188736.99378600001</v>
      </c>
      <c r="T10" s="7">
        <f>[6]Resumen!T10*1000</f>
        <v>185815.78039199999</v>
      </c>
      <c r="U10" s="7">
        <f>[6]Resumen!U10*1000</f>
        <v>185990.50363200001</v>
      </c>
      <c r="V10" s="7">
        <f>[6]Resumen!V10*1000</f>
        <v>184956.42493199999</v>
      </c>
      <c r="W10" s="7">
        <f>[6]Resumen!W10*1000</f>
        <v>200099.71801800001</v>
      </c>
      <c r="X10" s="7">
        <f>[6]Resumen!X10*1000</f>
        <v>219343.30528199999</v>
      </c>
      <c r="Y10" s="7">
        <f>[6]Resumen!Y10*1000</f>
        <v>223459.43565</v>
      </c>
      <c r="Z10" s="7">
        <f>[6]Resumen!Z10*1000</f>
        <v>212510.49227399999</v>
      </c>
      <c r="AA10" s="7">
        <f>[6]Resumen!AA10*1000</f>
        <v>196972.41942600001</v>
      </c>
      <c r="AB10" s="7">
        <f>[6]Resumen!AB10*1000</f>
        <v>176952.35003999999</v>
      </c>
      <c r="AC10" s="7">
        <f>[6]Resumen!AC10*1000</f>
        <v>157284.71465400001</v>
      </c>
      <c r="AD10" s="66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[6]Resumen!F11*1000</f>
        <v>153460.579356</v>
      </c>
      <c r="G11" s="7">
        <f>[6]Resumen!G11*1000</f>
        <v>143709.675846</v>
      </c>
      <c r="H11" s="7">
        <f>[6]Resumen!H11*1000</f>
        <v>138934.97937000002</v>
      </c>
      <c r="I11" s="7">
        <f>[6]Resumen!I11*1000</f>
        <v>138933.89639400001</v>
      </c>
      <c r="J11" s="7">
        <f>[6]Resumen!J11*1000</f>
        <v>158076.08302799999</v>
      </c>
      <c r="K11" s="7">
        <f>[6]Resumen!K11*1000</f>
        <v>190161.88911600001</v>
      </c>
      <c r="L11" s="7">
        <f>[6]Resumen!L11*1000</f>
        <v>215393.01494999998</v>
      </c>
      <c r="M11" s="7">
        <f>[6]Resumen!M11*1000</f>
        <v>199215.26972399998</v>
      </c>
      <c r="N11" s="7">
        <f>[6]Resumen!N11*1000</f>
        <v>212456.61888600001</v>
      </c>
      <c r="O11" s="7">
        <f>[6]Resumen!O11*1000</f>
        <v>221263.53842999999</v>
      </c>
      <c r="P11" s="7">
        <f>[6]Resumen!P11*1000</f>
        <v>234808.47097199998</v>
      </c>
      <c r="Q11" s="7">
        <f>[6]Resumen!Q11*1000</f>
        <v>245780.90372400003</v>
      </c>
      <c r="R11" s="7">
        <f>[6]Resumen!R11*1000</f>
        <v>246417.0681</v>
      </c>
      <c r="S11" s="7">
        <f>[6]Resumen!S11*1000</f>
        <v>243263.67071999999</v>
      </c>
      <c r="T11" s="7">
        <f>[6]Resumen!T11*1000</f>
        <v>245218.00594199996</v>
      </c>
      <c r="U11" s="7">
        <f>[6]Resumen!U11*1000</f>
        <v>245507.12319000001</v>
      </c>
      <c r="V11" s="7">
        <f>[6]Resumen!V11*1000</f>
        <v>240291.55278600001</v>
      </c>
      <c r="W11" s="7">
        <f>[6]Resumen!W11*1000</f>
        <v>251205.36245999997</v>
      </c>
      <c r="X11" s="7">
        <f>[6]Resumen!X11*1000</f>
        <v>268934.82090600004</v>
      </c>
      <c r="Y11" s="7">
        <f>[6]Resumen!Y11*1000</f>
        <v>276909.65077799995</v>
      </c>
      <c r="Z11" s="7">
        <f>[6]Resumen!Z11*1000</f>
        <v>262302.78791399999</v>
      </c>
      <c r="AA11" s="7">
        <f>[6]Resumen!AA11*1000</f>
        <v>230375.096322</v>
      </c>
      <c r="AB11" s="7">
        <f>[6]Resumen!AB11*1000</f>
        <v>199297.59223799998</v>
      </c>
      <c r="AC11" s="7">
        <f>[6]Resumen!AC11*1000</f>
        <v>167141.88284999999</v>
      </c>
      <c r="AD11" s="64">
        <f>SUM(F11:AC11)*E11+SUM(F12:AC12)*E12+SUM(F13:AC13)*E13+SUM(F14:AC14)*E14</f>
        <v>144290973.03080398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[6]Resumen!F12*1000</f>
        <v>168867.31802400001</v>
      </c>
      <c r="G12" s="7">
        <f>[6]Resumen!G12*1000</f>
        <v>157221.663978</v>
      </c>
      <c r="H12" s="7">
        <f>[6]Resumen!H12*1000</f>
        <v>150112.099254</v>
      </c>
      <c r="I12" s="7">
        <f>[6]Resumen!I12*1000</f>
        <v>148595.74846800001</v>
      </c>
      <c r="J12" s="7">
        <f>[6]Resumen!J12*1000</f>
        <v>155269.86814799998</v>
      </c>
      <c r="K12" s="7">
        <f>[6]Resumen!K12*1000</f>
        <v>167799.53402999998</v>
      </c>
      <c r="L12" s="7">
        <f>[6]Resumen!L12*1000</f>
        <v>189159.31941599998</v>
      </c>
      <c r="M12" s="7">
        <f>[6]Resumen!M12*1000</f>
        <v>182811.885048</v>
      </c>
      <c r="N12" s="7">
        <f>[6]Resumen!N12*1000</f>
        <v>203314.14249599999</v>
      </c>
      <c r="O12" s="7">
        <f>[6]Resumen!O12*1000</f>
        <v>216303.11623799999</v>
      </c>
      <c r="P12" s="7">
        <f>[6]Resumen!P12*1000</f>
        <v>228396.98697599999</v>
      </c>
      <c r="Q12" s="7">
        <f>[6]Resumen!Q12*1000</f>
        <v>235735.67114399999</v>
      </c>
      <c r="R12" s="7">
        <f>[6]Resumen!R12*1000</f>
        <v>235895.592156</v>
      </c>
      <c r="S12" s="7">
        <f>[6]Resumen!S12*1000</f>
        <v>229526.37223199999</v>
      </c>
      <c r="T12" s="7">
        <f>[6]Resumen!T12*1000</f>
        <v>223356.840012</v>
      </c>
      <c r="U12" s="7">
        <f>[6]Resumen!U12*1000</f>
        <v>220979.94576</v>
      </c>
      <c r="V12" s="7">
        <f>[6]Resumen!V12*1000</f>
        <v>218078.42432399999</v>
      </c>
      <c r="W12" s="7">
        <f>[6]Resumen!W12*1000</f>
        <v>234001.784556</v>
      </c>
      <c r="X12" s="7">
        <f>[6]Resumen!X12*1000</f>
        <v>247212.68202000001</v>
      </c>
      <c r="Y12" s="7">
        <f>[6]Resumen!Y12*1000</f>
        <v>252929.26186199998</v>
      </c>
      <c r="Z12" s="7">
        <f>[6]Resumen!Z12*1000</f>
        <v>240457.81994400002</v>
      </c>
      <c r="AA12" s="7">
        <f>[6]Resumen!AA12*1000</f>
        <v>221048.73807600001</v>
      </c>
      <c r="AB12" s="7">
        <f>[6]Resumen!AB12*1000</f>
        <v>198389.180766</v>
      </c>
      <c r="AC12" s="7">
        <f>[6]Resumen!AC12*1000</f>
        <v>176333.191188</v>
      </c>
      <c r="AD12" s="6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5</v>
      </c>
      <c r="F13" s="7">
        <f>[6]Resumen!F13*1000</f>
        <v>165891.927822</v>
      </c>
      <c r="G13" s="7">
        <f>[6]Resumen!G13*1000</f>
        <v>153539.45221799999</v>
      </c>
      <c r="H13" s="7">
        <f>[6]Resumen!H13*1000</f>
        <v>145698.30219599998</v>
      </c>
      <c r="I13" s="7">
        <f>[6]Resumen!I13*1000</f>
        <v>141754.58207400001</v>
      </c>
      <c r="J13" s="7">
        <f>[6]Resumen!J13*1000</f>
        <v>143350.50358799999</v>
      </c>
      <c r="K13" s="7">
        <f>[6]Resumen!K13*1000</f>
        <v>148319.125122</v>
      </c>
      <c r="L13" s="7">
        <f>[6]Resumen!L13*1000</f>
        <v>158037.15891</v>
      </c>
      <c r="M13" s="7">
        <f>[6]Resumen!M13*1000</f>
        <v>147284.52827399998</v>
      </c>
      <c r="N13" s="7">
        <f>[6]Resumen!N13*1000</f>
        <v>163160.23289400002</v>
      </c>
      <c r="O13" s="7">
        <f>[6]Resumen!O13*1000</f>
        <v>176629.36878600001</v>
      </c>
      <c r="P13" s="7">
        <f>[6]Resumen!P13*1000</f>
        <v>188015.547384</v>
      </c>
      <c r="Q13" s="7">
        <f>[6]Resumen!Q13*1000</f>
        <v>200290.02770999999</v>
      </c>
      <c r="R13" s="7">
        <f>[6]Resumen!R13*1000</f>
        <v>207785.27893199999</v>
      </c>
      <c r="S13" s="7">
        <f>[6]Resumen!S13*1000</f>
        <v>208169.072556</v>
      </c>
      <c r="T13" s="7">
        <f>[6]Resumen!T13*1000</f>
        <v>204114.317052</v>
      </c>
      <c r="U13" s="7">
        <f>[6]Resumen!U13*1000</f>
        <v>200847.473268</v>
      </c>
      <c r="V13" s="7">
        <f>[6]Resumen!V13*1000</f>
        <v>197466.59724599999</v>
      </c>
      <c r="W13" s="7">
        <f>[6]Resumen!W13*1000</f>
        <v>213001.43517000001</v>
      </c>
      <c r="X13" s="7">
        <f>[6]Resumen!X13*1000</f>
        <v>228020.56879200001</v>
      </c>
      <c r="Y13" s="7">
        <f>[6]Resumen!Y13*1000</f>
        <v>238358.36593799997</v>
      </c>
      <c r="Z13" s="7">
        <f>[6]Resumen!Z13*1000</f>
        <v>228945.96711599999</v>
      </c>
      <c r="AA13" s="7">
        <f>[6]Resumen!AA13*1000</f>
        <v>211595.85602400001</v>
      </c>
      <c r="AB13" s="7">
        <f>[6]Resumen!AB13*1000</f>
        <v>187274.51172000001</v>
      </c>
      <c r="AC13" s="7">
        <f>[6]Resumen!AC13*1000</f>
        <v>162968.520468</v>
      </c>
      <c r="AD13" s="65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[6]Resumen!F14*1000</f>
        <v>0</v>
      </c>
      <c r="G14" s="7">
        <f>[6]Resumen!G14*1000</f>
        <v>0</v>
      </c>
      <c r="H14" s="7">
        <f>[6]Resumen!H14*1000</f>
        <v>0</v>
      </c>
      <c r="I14" s="7">
        <f>[6]Resumen!I14*1000</f>
        <v>0</v>
      </c>
      <c r="J14" s="7">
        <f>[6]Resumen!J14*1000</f>
        <v>0</v>
      </c>
      <c r="K14" s="7">
        <f>[6]Resumen!K14*1000</f>
        <v>0</v>
      </c>
      <c r="L14" s="7">
        <f>[6]Resumen!L14*1000</f>
        <v>0</v>
      </c>
      <c r="M14" s="7">
        <f>[6]Resumen!M14*1000</f>
        <v>0</v>
      </c>
      <c r="N14" s="7">
        <f>[6]Resumen!N14*1000</f>
        <v>0</v>
      </c>
      <c r="O14" s="7">
        <f>[6]Resumen!O14*1000</f>
        <v>0</v>
      </c>
      <c r="P14" s="7">
        <f>[6]Resumen!P14*1000</f>
        <v>0</v>
      </c>
      <c r="Q14" s="7">
        <f>[6]Resumen!Q14*1000</f>
        <v>0</v>
      </c>
      <c r="R14" s="7">
        <f>[6]Resumen!R14*1000</f>
        <v>0</v>
      </c>
      <c r="S14" s="7">
        <f>[6]Resumen!S14*1000</f>
        <v>0</v>
      </c>
      <c r="T14" s="7">
        <f>[6]Resumen!T14*1000</f>
        <v>0</v>
      </c>
      <c r="U14" s="7">
        <f>[6]Resumen!U14*1000</f>
        <v>0</v>
      </c>
      <c r="V14" s="7">
        <f>[6]Resumen!V14*1000</f>
        <v>0</v>
      </c>
      <c r="W14" s="7">
        <f>[6]Resumen!W14*1000</f>
        <v>0</v>
      </c>
      <c r="X14" s="7">
        <f>[6]Resumen!X14*1000</f>
        <v>0</v>
      </c>
      <c r="Y14" s="7">
        <f>[6]Resumen!Y14*1000</f>
        <v>0</v>
      </c>
      <c r="Z14" s="7">
        <f>[6]Resumen!Z14*1000</f>
        <v>0</v>
      </c>
      <c r="AA14" s="7">
        <f>[6]Resumen!AA14*1000</f>
        <v>0</v>
      </c>
      <c r="AB14" s="7">
        <f>[6]Resumen!AB14*1000</f>
        <v>0</v>
      </c>
      <c r="AC14" s="7">
        <f>[6]Resumen!AC14*1000</f>
        <v>0</v>
      </c>
      <c r="AD14" s="66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[6]Resumen!F15*1000</f>
        <v>155843.90144400002</v>
      </c>
      <c r="G15" s="7">
        <f>[6]Resumen!G15*1000</f>
        <v>146350.19306399999</v>
      </c>
      <c r="H15" s="7">
        <f>[6]Resumen!H15*1000</f>
        <v>141488.52941399999</v>
      </c>
      <c r="I15" s="7">
        <f>[6]Resumen!I15*1000</f>
        <v>141700.090176</v>
      </c>
      <c r="J15" s="7">
        <f>[6]Resumen!J15*1000</f>
        <v>161220.14674200001</v>
      </c>
      <c r="K15" s="7">
        <f>[6]Resumen!K15*1000</f>
        <v>193025.85182399998</v>
      </c>
      <c r="L15" s="7">
        <f>[6]Resumen!L15*1000</f>
        <v>217779.0048</v>
      </c>
      <c r="M15" s="7">
        <f>[6]Resumen!M15*1000</f>
        <v>204503.847648</v>
      </c>
      <c r="N15" s="7">
        <f>[6]Resumen!N15*1000</f>
        <v>217851.069384</v>
      </c>
      <c r="O15" s="7">
        <f>[6]Resumen!O15*1000</f>
        <v>226762.93257</v>
      </c>
      <c r="P15" s="7">
        <f>[6]Resumen!P15*1000</f>
        <v>240569.91962999999</v>
      </c>
      <c r="Q15" s="7">
        <f>[6]Resumen!Q15*1000</f>
        <v>251760.37599000003</v>
      </c>
      <c r="R15" s="7">
        <f>[6]Resumen!R15*1000</f>
        <v>252927.74242799997</v>
      </c>
      <c r="S15" s="7">
        <f>[6]Resumen!S15*1000</f>
        <v>249662.861538</v>
      </c>
      <c r="T15" s="7">
        <f>[6]Resumen!T15*1000</f>
        <v>251481.61470000001</v>
      </c>
      <c r="U15" s="7">
        <f>[6]Resumen!U15*1000</f>
        <v>251012.22629399996</v>
      </c>
      <c r="V15" s="7">
        <f>[6]Resumen!V15*1000</f>
        <v>245852.45015999998</v>
      </c>
      <c r="W15" s="7">
        <f>[6]Resumen!W15*1000</f>
        <v>256326.51089399998</v>
      </c>
      <c r="X15" s="7">
        <f>[6]Resumen!X15*1000</f>
        <v>274038.95914799999</v>
      </c>
      <c r="Y15" s="7">
        <f>[6]Resumen!Y15*1000</f>
        <v>281331.52814399998</v>
      </c>
      <c r="Z15" s="7">
        <f>[6]Resumen!Z15*1000</f>
        <v>266125.92426</v>
      </c>
      <c r="AA15" s="7">
        <f>[6]Resumen!AA15*1000</f>
        <v>233419.09912199999</v>
      </c>
      <c r="AB15" s="7">
        <f>[6]Resumen!AB15*1000</f>
        <v>202466.585406</v>
      </c>
      <c r="AC15" s="7">
        <f>[6]Resumen!AC15*1000</f>
        <v>169791.41864400002</v>
      </c>
      <c r="AD15" s="64">
        <f t="shared" ref="AD15" si="0">SUM(F15:AC15)*E15+SUM(F16:AC16)*E16+SUM(F17:AC17)*E17+SUM(F18:AC18)*E18</f>
        <v>156656912.98132798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[6]Resumen!F16*1000</f>
        <v>167098.15302600001</v>
      </c>
      <c r="G16" s="7">
        <f>[6]Resumen!G16*1000</f>
        <v>155825.801274</v>
      </c>
      <c r="H16" s="7">
        <f>[6]Resumen!H16*1000</f>
        <v>149168.61242999998</v>
      </c>
      <c r="I16" s="7">
        <f>[6]Resumen!I16*1000</f>
        <v>147778.106256</v>
      </c>
      <c r="J16" s="7">
        <f>[6]Resumen!J16*1000</f>
        <v>155154.24412199997</v>
      </c>
      <c r="K16" s="7">
        <f>[6]Resumen!K16*1000</f>
        <v>169244.87520000001</v>
      </c>
      <c r="L16" s="7">
        <f>[6]Resumen!L16*1000</f>
        <v>190439.75414999999</v>
      </c>
      <c r="M16" s="7">
        <f>[6]Resumen!M16*1000</f>
        <v>187829.74698</v>
      </c>
      <c r="N16" s="7">
        <f>[6]Resumen!N16*1000</f>
        <v>207541.686354</v>
      </c>
      <c r="O16" s="7">
        <f>[6]Resumen!O16*1000</f>
        <v>220224.92243400001</v>
      </c>
      <c r="P16" s="7">
        <f>[6]Resumen!P16*1000</f>
        <v>232267.64356200001</v>
      </c>
      <c r="Q16" s="7">
        <f>[6]Resumen!Q16*1000</f>
        <v>241347.400704</v>
      </c>
      <c r="R16" s="7">
        <f>[6]Resumen!R16*1000</f>
        <v>242029.120092</v>
      </c>
      <c r="S16" s="7">
        <f>[6]Resumen!S16*1000</f>
        <v>236625.92176200001</v>
      </c>
      <c r="T16" s="7">
        <f>[6]Resumen!T16*1000</f>
        <v>231108.59083199999</v>
      </c>
      <c r="U16" s="7">
        <f>[6]Resumen!U16*1000</f>
        <v>227512.627374</v>
      </c>
      <c r="V16" s="7">
        <f>[6]Resumen!V16*1000</f>
        <v>224125.006092</v>
      </c>
      <c r="W16" s="7">
        <f>[6]Resumen!W16*1000</f>
        <v>240213.42213600001</v>
      </c>
      <c r="X16" s="7">
        <f>[6]Resumen!X16*1000</f>
        <v>251718.16326599999</v>
      </c>
      <c r="Y16" s="7">
        <f>[6]Resumen!Y16*1000</f>
        <v>257425.9626</v>
      </c>
      <c r="Z16" s="7">
        <f>[6]Resumen!Z16*1000</f>
        <v>244184.415048</v>
      </c>
      <c r="AA16" s="7">
        <f>[6]Resumen!AA16*1000</f>
        <v>225134.06197800001</v>
      </c>
      <c r="AB16" s="7">
        <f>[6]Resumen!AB16*1000</f>
        <v>202365.866304</v>
      </c>
      <c r="AC16" s="7">
        <f>[6]Resumen!AC16*1000</f>
        <v>180618.891324</v>
      </c>
      <c r="AD16" s="65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[6]Resumen!F17*1000</f>
        <v>167269.28890799999</v>
      </c>
      <c r="G17" s="7">
        <f>[6]Resumen!G17*1000</f>
        <v>154782.63864599998</v>
      </c>
      <c r="H17" s="7">
        <f>[6]Resumen!H17*1000</f>
        <v>146878.472958</v>
      </c>
      <c r="I17" s="7">
        <f>[6]Resumen!I17*1000</f>
        <v>142900.71144599997</v>
      </c>
      <c r="J17" s="7">
        <f>[6]Resumen!J17*1000</f>
        <v>144087.51076800001</v>
      </c>
      <c r="K17" s="7">
        <f>[6]Resumen!K17*1000</f>
        <v>149205.05783999999</v>
      </c>
      <c r="L17" s="7">
        <f>[6]Resumen!L17*1000</f>
        <v>157634.38753199999</v>
      </c>
      <c r="M17" s="7">
        <f>[6]Resumen!M17*1000</f>
        <v>150546.23025599998</v>
      </c>
      <c r="N17" s="7">
        <f>[6]Resumen!N17*1000</f>
        <v>166991.869668</v>
      </c>
      <c r="O17" s="7">
        <f>[6]Resumen!O17*1000</f>
        <v>179679.74107199998</v>
      </c>
      <c r="P17" s="7">
        <f>[6]Resumen!P17*1000</f>
        <v>190746.05430599998</v>
      </c>
      <c r="Q17" s="7">
        <f>[6]Resumen!Q17*1000</f>
        <v>202341.76542000001</v>
      </c>
      <c r="R17" s="7">
        <f>[6]Resumen!R17*1000</f>
        <v>209744.61825</v>
      </c>
      <c r="S17" s="7">
        <f>[6]Resumen!S17*1000</f>
        <v>210210.96078600001</v>
      </c>
      <c r="T17" s="7">
        <f>[6]Resumen!T17*1000</f>
        <v>206480.733978</v>
      </c>
      <c r="U17" s="7">
        <f>[6]Resumen!U17*1000</f>
        <v>203800.98222000001</v>
      </c>
      <c r="V17" s="7">
        <f>[6]Resumen!V17*1000</f>
        <v>200816.258352</v>
      </c>
      <c r="W17" s="7">
        <f>[6]Resumen!W17*1000</f>
        <v>215864.989428</v>
      </c>
      <c r="X17" s="7">
        <f>[6]Resumen!X17*1000</f>
        <v>231114.726918</v>
      </c>
      <c r="Y17" s="7">
        <f>[6]Resumen!Y17*1000</f>
        <v>241528.77351</v>
      </c>
      <c r="Z17" s="7">
        <f>[6]Resumen!Z17*1000</f>
        <v>232149.72287999999</v>
      </c>
      <c r="AA17" s="7">
        <f>[6]Resumen!AA17*1000</f>
        <v>214746.96141600001</v>
      </c>
      <c r="AB17" s="7">
        <f>[6]Resumen!AB17*1000</f>
        <v>191412.52800599998</v>
      </c>
      <c r="AC17" s="7">
        <f>[6]Resumen!AC17*1000</f>
        <v>167207.81134799999</v>
      </c>
      <c r="AD17" s="65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3</v>
      </c>
      <c r="F18" s="7">
        <f>[6]Resumen!F18*1000</f>
        <v>172182.04848600001</v>
      </c>
      <c r="G18" s="7">
        <f>[6]Resumen!G18*1000</f>
        <v>159999.70281000002</v>
      </c>
      <c r="H18" s="7">
        <f>[6]Resumen!H18*1000</f>
        <v>152513.51217599999</v>
      </c>
      <c r="I18" s="7">
        <f>[6]Resumen!I18*1000</f>
        <v>149277.47952600001</v>
      </c>
      <c r="J18" s="7">
        <f>[6]Resumen!J18*1000</f>
        <v>151854.12216599999</v>
      </c>
      <c r="K18" s="7">
        <f>[6]Resumen!K18*1000</f>
        <v>157293.60485999999</v>
      </c>
      <c r="L18" s="7">
        <f>[6]Resumen!L18*1000</f>
        <v>164951.85797399998</v>
      </c>
      <c r="M18" s="7">
        <f>[6]Resumen!M18*1000</f>
        <v>157187.28182400001</v>
      </c>
      <c r="N18" s="7">
        <f>[6]Resumen!N18*1000</f>
        <v>173270.04492000001</v>
      </c>
      <c r="O18" s="7">
        <f>[6]Resumen!O18*1000</f>
        <v>187714.12995599999</v>
      </c>
      <c r="P18" s="7">
        <f>[6]Resumen!P18*1000</f>
        <v>201197.39121599999</v>
      </c>
      <c r="Q18" s="7">
        <f>[6]Resumen!Q18*1000</f>
        <v>216388.39126200002</v>
      </c>
      <c r="R18" s="7">
        <f>[6]Resumen!R18*1000</f>
        <v>224257.44892199998</v>
      </c>
      <c r="S18" s="7">
        <f>[6]Resumen!S18*1000</f>
        <v>221765.43712199997</v>
      </c>
      <c r="T18" s="7">
        <f>[6]Resumen!T18*1000</f>
        <v>216494.89635</v>
      </c>
      <c r="U18" s="7">
        <f>[6]Resumen!U18*1000</f>
        <v>213266.39085</v>
      </c>
      <c r="V18" s="7">
        <f>[6]Resumen!V18*1000</f>
        <v>211325.04900599999</v>
      </c>
      <c r="W18" s="7">
        <f>[6]Resumen!W18*1000</f>
        <v>227525.57640599998</v>
      </c>
      <c r="X18" s="7">
        <f>[6]Resumen!X18*1000</f>
        <v>244814.851788</v>
      </c>
      <c r="Y18" s="7">
        <f>[6]Resumen!Y18*1000</f>
        <v>258732.93258000002</v>
      </c>
      <c r="Z18" s="7">
        <f>[6]Resumen!Z18*1000</f>
        <v>246308.31303600001</v>
      </c>
      <c r="AA18" s="7">
        <f>[6]Resumen!AA18*1000</f>
        <v>226252.88121599998</v>
      </c>
      <c r="AB18" s="7">
        <f>[6]Resumen!AB18*1000</f>
        <v>200456.06613600001</v>
      </c>
      <c r="AC18" s="7">
        <f>[6]Resumen!AC18*1000</f>
        <v>175155.30541200002</v>
      </c>
      <c r="AD18" s="66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22</v>
      </c>
      <c r="F19" s="7">
        <f>[6]Resumen!F19*1000</f>
        <v>154376.541318</v>
      </c>
      <c r="G19" s="7">
        <f>[6]Resumen!G19*1000</f>
        <v>144690.254598</v>
      </c>
      <c r="H19" s="7">
        <f>[6]Resumen!H19*1000</f>
        <v>139847.05989</v>
      </c>
      <c r="I19" s="7">
        <f>[6]Resumen!I19*1000</f>
        <v>140039.687244</v>
      </c>
      <c r="J19" s="7">
        <f>[6]Resumen!J19*1000</f>
        <v>158477.68740599998</v>
      </c>
      <c r="K19" s="7">
        <f>[6]Resumen!K19*1000</f>
        <v>186392.04499200001</v>
      </c>
      <c r="L19" s="7">
        <f>[6]Resumen!L19*1000</f>
        <v>210816.925536</v>
      </c>
      <c r="M19" s="7">
        <f>[6]Resumen!M19*1000</f>
        <v>199771.89137999999</v>
      </c>
      <c r="N19" s="7">
        <f>[6]Resumen!N19*1000</f>
        <v>213635.49194400001</v>
      </c>
      <c r="O19" s="7">
        <f>[6]Resumen!O19*1000</f>
        <v>223186.17793199999</v>
      </c>
      <c r="P19" s="7">
        <f>[6]Resumen!P19*1000</f>
        <v>236822.92303199999</v>
      </c>
      <c r="Q19" s="7">
        <f>[6]Resumen!Q19*1000</f>
        <v>248484.772704</v>
      </c>
      <c r="R19" s="7">
        <f>[6]Resumen!R19*1000</f>
        <v>250607.66707200001</v>
      </c>
      <c r="S19" s="7">
        <f>[6]Resumen!S19*1000</f>
        <v>247226.22155400002</v>
      </c>
      <c r="T19" s="7">
        <f>[6]Resumen!T19*1000</f>
        <v>248809.70284799999</v>
      </c>
      <c r="U19" s="7">
        <f>[6]Resumen!U19*1000</f>
        <v>248582.380584</v>
      </c>
      <c r="V19" s="7">
        <f>[6]Resumen!V19*1000</f>
        <v>242988.12101399997</v>
      </c>
      <c r="W19" s="7">
        <f>[6]Resumen!W19*1000</f>
        <v>254633.60000999997</v>
      </c>
      <c r="X19" s="7">
        <f>[6]Resumen!X19*1000</f>
        <v>274121.33534399996</v>
      </c>
      <c r="Y19" s="7">
        <f>[6]Resumen!Y19*1000</f>
        <v>278807.85563399998</v>
      </c>
      <c r="Z19" s="7">
        <f>[6]Resumen!Z19*1000</f>
        <v>263721.101364</v>
      </c>
      <c r="AA19" s="7">
        <f>[6]Resumen!AA19*1000</f>
        <v>231964.561992</v>
      </c>
      <c r="AB19" s="7">
        <f>[6]Resumen!AB19*1000</f>
        <v>202312.9872</v>
      </c>
      <c r="AC19" s="7">
        <f>[6]Resumen!AC19*1000</f>
        <v>169133.06492999999</v>
      </c>
      <c r="AD19" s="64">
        <f t="shared" ref="AD19" si="1">SUM(F19:AC19)*E19+SUM(F20:AC20)*E20+SUM(F21:AC21)*E21+SUM(F22:AC22)*E22</f>
        <v>150882664.06515598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[6]Resumen!F20*1000</f>
        <v>163762.06179599999</v>
      </c>
      <c r="G20" s="7">
        <f>[6]Resumen!G20*1000</f>
        <v>151921.71713999999</v>
      </c>
      <c r="H20" s="7">
        <f>[6]Resumen!H20*1000</f>
        <v>145269.00023999999</v>
      </c>
      <c r="I20" s="7">
        <f>[6]Resumen!I20*1000</f>
        <v>143805.16212000002</v>
      </c>
      <c r="J20" s="7">
        <f>[6]Resumen!J20*1000</f>
        <v>150215.00531399998</v>
      </c>
      <c r="K20" s="7">
        <f>[6]Resumen!K20*1000</f>
        <v>161575.07112000001</v>
      </c>
      <c r="L20" s="7">
        <f>[6]Resumen!L20*1000</f>
        <v>180391.64841599998</v>
      </c>
      <c r="M20" s="7">
        <f>[6]Resumen!M20*1000</f>
        <v>177030.68841599999</v>
      </c>
      <c r="N20" s="7">
        <f>[6]Resumen!N20*1000</f>
        <v>196020.07973999999</v>
      </c>
      <c r="O20" s="7">
        <f>[6]Resumen!O20*1000</f>
        <v>209061.10634999999</v>
      </c>
      <c r="P20" s="7">
        <f>[6]Resumen!P20*1000</f>
        <v>220587.52100400001</v>
      </c>
      <c r="Q20" s="7">
        <f>[6]Resumen!Q20*1000</f>
        <v>229162.69068600002</v>
      </c>
      <c r="R20" s="7">
        <f>[6]Resumen!R20*1000</f>
        <v>231262.04199599999</v>
      </c>
      <c r="S20" s="7">
        <f>[6]Resumen!S20*1000</f>
        <v>227431.20345</v>
      </c>
      <c r="T20" s="7">
        <f>[6]Resumen!T20*1000</f>
        <v>222701.80291200001</v>
      </c>
      <c r="U20" s="7">
        <f>[6]Resumen!U20*1000</f>
        <v>221269.83789599998</v>
      </c>
      <c r="V20" s="7">
        <f>[6]Resumen!V20*1000</f>
        <v>219252.12290400002</v>
      </c>
      <c r="W20" s="7">
        <f>[6]Resumen!W20*1000</f>
        <v>235980.98621399998</v>
      </c>
      <c r="X20" s="7">
        <f>[6]Resumen!X20*1000</f>
        <v>249028.59937200003</v>
      </c>
      <c r="Y20" s="7">
        <f>[6]Resumen!Y20*1000</f>
        <v>252975.14129999999</v>
      </c>
      <c r="Z20" s="7">
        <f>[6]Resumen!Z20*1000</f>
        <v>239420.86809</v>
      </c>
      <c r="AA20" s="7">
        <f>[6]Resumen!AA20*1000</f>
        <v>220571.007954</v>
      </c>
      <c r="AB20" s="7">
        <f>[6]Resumen!AB20*1000</f>
        <v>199460.76451200002</v>
      </c>
      <c r="AC20" s="7">
        <f>[6]Resumen!AC20*1000</f>
        <v>177991.24378200001</v>
      </c>
      <c r="AD20" s="65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[6]Resumen!F21*1000</f>
        <v>166910.82618600002</v>
      </c>
      <c r="G21" s="7">
        <f>[6]Resumen!G21*1000</f>
        <v>154443.52478400001</v>
      </c>
      <c r="H21" s="7">
        <f>[6]Resumen!H21*1000</f>
        <v>146494.36891200001</v>
      </c>
      <c r="I21" s="7">
        <f>[6]Resumen!I21*1000</f>
        <v>142900.34734199999</v>
      </c>
      <c r="J21" s="7">
        <f>[6]Resumen!J21*1000</f>
        <v>144284.30431200002</v>
      </c>
      <c r="K21" s="7">
        <f>[6]Resumen!K21*1000</f>
        <v>147842.043852</v>
      </c>
      <c r="L21" s="7">
        <f>[6]Resumen!L21*1000</f>
        <v>157411.09841999999</v>
      </c>
      <c r="M21" s="7">
        <f>[6]Resumen!M21*1000</f>
        <v>150476.38530599998</v>
      </c>
      <c r="N21" s="7">
        <f>[6]Resumen!N21*1000</f>
        <v>166931.58711600001</v>
      </c>
      <c r="O21" s="7">
        <f>[6]Resumen!O21*1000</f>
        <v>180640.24508999998</v>
      </c>
      <c r="P21" s="7">
        <f>[6]Resumen!P21*1000</f>
        <v>190675.81024200001</v>
      </c>
      <c r="Q21" s="7">
        <f>[6]Resumen!Q21*1000</f>
        <v>200424.60615000001</v>
      </c>
      <c r="R21" s="7">
        <f>[6]Resumen!R21*1000</f>
        <v>207297.925728</v>
      </c>
      <c r="S21" s="7">
        <f>[6]Resumen!S21*1000</f>
        <v>208361.172426</v>
      </c>
      <c r="T21" s="7">
        <f>[6]Resumen!T21*1000</f>
        <v>206094.74872800001</v>
      </c>
      <c r="U21" s="7">
        <f>[6]Resumen!U21*1000</f>
        <v>203527.61947199999</v>
      </c>
      <c r="V21" s="7">
        <f>[6]Resumen!V21*1000</f>
        <v>200597.91732000001</v>
      </c>
      <c r="W21" s="7">
        <f>[6]Resumen!W21*1000</f>
        <v>217169.33365799999</v>
      </c>
      <c r="X21" s="7">
        <f>[6]Resumen!X21*1000</f>
        <v>232768.26788999999</v>
      </c>
      <c r="Y21" s="7">
        <f>[6]Resumen!Y21*1000</f>
        <v>240752.17468799997</v>
      </c>
      <c r="Z21" s="7">
        <f>[6]Resumen!Z21*1000</f>
        <v>230612.006658</v>
      </c>
      <c r="AA21" s="7">
        <f>[6]Resumen!AA21*1000</f>
        <v>212761.19654999999</v>
      </c>
      <c r="AB21" s="7">
        <f>[6]Resumen!AB21*1000</f>
        <v>188733.397092</v>
      </c>
      <c r="AC21" s="7">
        <f>[6]Resumen!AC21*1000</f>
        <v>164432.419272</v>
      </c>
      <c r="AD21" s="65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0</v>
      </c>
      <c r="F22" s="7">
        <f>[6]Resumen!F22*1000</f>
        <v>171969.94156800001</v>
      </c>
      <c r="G22" s="7">
        <f>[6]Resumen!G22*1000</f>
        <v>158985.27172199998</v>
      </c>
      <c r="H22" s="7">
        <f>[6]Resumen!H22*1000</f>
        <v>151002.10480200002</v>
      </c>
      <c r="I22" s="7">
        <f>[6]Resumen!I22*1000</f>
        <v>147382.39989599999</v>
      </c>
      <c r="J22" s="7">
        <f>[6]Resumen!J22*1000</f>
        <v>149302.376304</v>
      </c>
      <c r="K22" s="7">
        <f>[6]Resumen!K22*1000</f>
        <v>153230.979108</v>
      </c>
      <c r="L22" s="7">
        <f>[6]Resumen!L22*1000</f>
        <v>160771.769004</v>
      </c>
      <c r="M22" s="7">
        <f>[6]Resumen!M22*1000</f>
        <v>161423.95862399999</v>
      </c>
      <c r="N22" s="7">
        <f>[6]Resumen!N22*1000</f>
        <v>177073.346934</v>
      </c>
      <c r="O22" s="7">
        <f>[6]Resumen!O22*1000</f>
        <v>186392.97159</v>
      </c>
      <c r="P22" s="7">
        <f>[6]Resumen!P22*1000</f>
        <v>191800.77957000001</v>
      </c>
      <c r="Q22" s="7">
        <f>[6]Resumen!Q22*1000</f>
        <v>204133.299474</v>
      </c>
      <c r="R22" s="7">
        <f>[6]Resumen!R22*1000</f>
        <v>215077.19440799998</v>
      </c>
      <c r="S22" s="7">
        <f>[6]Resumen!S22*1000</f>
        <v>214075.21287600001</v>
      </c>
      <c r="T22" s="7">
        <f>[6]Resumen!T22*1000</f>
        <v>209617.32889199999</v>
      </c>
      <c r="U22" s="7">
        <f>[6]Resumen!U22*1000</f>
        <v>206759.94572999998</v>
      </c>
      <c r="V22" s="7">
        <f>[6]Resumen!V22*1000</f>
        <v>206507.97642600001</v>
      </c>
      <c r="W22" s="7">
        <f>[6]Resumen!W22*1000</f>
        <v>211346.95826399999</v>
      </c>
      <c r="X22" s="7">
        <f>[6]Resumen!X22*1000</f>
        <v>227880.51245400001</v>
      </c>
      <c r="Y22" s="7">
        <f>[6]Resumen!Y22*1000</f>
        <v>233592.97745400001</v>
      </c>
      <c r="Z22" s="7">
        <f>[6]Resumen!Z22*1000</f>
        <v>221530.36831200001</v>
      </c>
      <c r="AA22" s="7">
        <f>[6]Resumen!AA22*1000</f>
        <v>209325.32215200001</v>
      </c>
      <c r="AB22" s="7">
        <f>[6]Resumen!AB22*1000</f>
        <v>195272.38050599999</v>
      </c>
      <c r="AC22" s="7">
        <f>[6]Resumen!AC22*1000</f>
        <v>175338.63877799999</v>
      </c>
      <c r="AD22" s="66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19</v>
      </c>
      <c r="F23" s="7">
        <f>[6]Resumen!F23*1000</f>
        <v>156446.407206</v>
      </c>
      <c r="G23" s="7">
        <f>[6]Resumen!G23*1000</f>
        <v>146454.17043</v>
      </c>
      <c r="H23" s="7">
        <f>[6]Resumen!H23*1000</f>
        <v>141423.025704</v>
      </c>
      <c r="I23" s="7">
        <f>[6]Resumen!I23*1000</f>
        <v>141697.83786599999</v>
      </c>
      <c r="J23" s="7">
        <f>[6]Resumen!J23*1000</f>
        <v>160386.54697199998</v>
      </c>
      <c r="K23" s="7">
        <f>[6]Resumen!K23*1000</f>
        <v>188551.85623799998</v>
      </c>
      <c r="L23" s="7">
        <f>[6]Resumen!L23*1000</f>
        <v>214604.055264</v>
      </c>
      <c r="M23" s="7">
        <f>[6]Resumen!M23*1000</f>
        <v>204451.913814</v>
      </c>
      <c r="N23" s="7">
        <f>[6]Resumen!N23*1000</f>
        <v>217984.98963600001</v>
      </c>
      <c r="O23" s="7">
        <f>[6]Resumen!O23*1000</f>
        <v>227886.49449599997</v>
      </c>
      <c r="P23" s="7">
        <f>[6]Resumen!P23*1000</f>
        <v>241987.969338</v>
      </c>
      <c r="Q23" s="7">
        <f>[6]Resumen!Q23*1000</f>
        <v>253539.02636399999</v>
      </c>
      <c r="R23" s="7">
        <f>[6]Resumen!R23*1000</f>
        <v>254429.00857200002</v>
      </c>
      <c r="S23" s="7">
        <f>[6]Resumen!S23*1000</f>
        <v>250390.467366</v>
      </c>
      <c r="T23" s="7">
        <f>[6]Resumen!T23*1000</f>
        <v>251388.41107799998</v>
      </c>
      <c r="U23" s="7">
        <f>[6]Resumen!U23*1000</f>
        <v>251397.69572999998</v>
      </c>
      <c r="V23" s="7">
        <f>[6]Resumen!V23*1000</f>
        <v>245889.95987400002</v>
      </c>
      <c r="W23" s="7">
        <f>[6]Resumen!W23*1000</f>
        <v>256751.06549399998</v>
      </c>
      <c r="X23" s="7">
        <f>[6]Resumen!X23*1000</f>
        <v>276577.676622</v>
      </c>
      <c r="Y23" s="7">
        <f>[6]Resumen!Y23*1000</f>
        <v>283108.136268</v>
      </c>
      <c r="Z23" s="7">
        <f>[6]Resumen!Z23*1000</f>
        <v>267646.41322799999</v>
      </c>
      <c r="AA23" s="7">
        <f>[6]Resumen!AA23*1000</f>
        <v>235372.39337999999</v>
      </c>
      <c r="AB23" s="7">
        <f>[6]Resumen!AB23*1000</f>
        <v>204744.07926599999</v>
      </c>
      <c r="AC23" s="7">
        <f>[6]Resumen!AC23*1000</f>
        <v>171242.97292199999</v>
      </c>
      <c r="AD23" s="64">
        <f t="shared" ref="AD23" si="2">SUM(F23:AC23)*E23+SUM(F24:AC24)*E24+SUM(F25:AC25)*E25+SUM(F26:AC26)*E26</f>
        <v>155775327.27064201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[6]Resumen!F24*1000</f>
        <v>168636.99890400001</v>
      </c>
      <c r="G24" s="7">
        <f>[6]Resumen!G24*1000</f>
        <v>156778.69878599999</v>
      </c>
      <c r="H24" s="7">
        <f>[6]Resumen!H24*1000</f>
        <v>150416.36882999999</v>
      </c>
      <c r="I24" s="7">
        <f>[6]Resumen!I24*1000</f>
        <v>148636.68449400002</v>
      </c>
      <c r="J24" s="7">
        <f>[6]Resumen!J24*1000</f>
        <v>155516.75633400001</v>
      </c>
      <c r="K24" s="7">
        <f>[6]Resumen!K24*1000</f>
        <v>167045.48164799999</v>
      </c>
      <c r="L24" s="7">
        <f>[6]Resumen!L24*1000</f>
        <v>188383.05202199999</v>
      </c>
      <c r="M24" s="7">
        <f>[6]Resumen!M24*1000</f>
        <v>186389.591958</v>
      </c>
      <c r="N24" s="7">
        <f>[6]Resumen!N24*1000</f>
        <v>206606.41987800002</v>
      </c>
      <c r="O24" s="7">
        <f>[6]Resumen!O24*1000</f>
        <v>219960.16281000001</v>
      </c>
      <c r="P24" s="7">
        <f>[6]Resumen!P24*1000</f>
        <v>232175.51358</v>
      </c>
      <c r="Q24" s="7">
        <f>[6]Resumen!Q24*1000</f>
        <v>240700.11248400001</v>
      </c>
      <c r="R24" s="7">
        <f>[6]Resumen!R24*1000</f>
        <v>240849.67753799999</v>
      </c>
      <c r="S24" s="7">
        <f>[6]Resumen!S24*1000</f>
        <v>234828.97983</v>
      </c>
      <c r="T24" s="7">
        <f>[6]Resumen!T24*1000</f>
        <v>229146.59308799999</v>
      </c>
      <c r="U24" s="7">
        <f>[6]Resumen!U24*1000</f>
        <v>226725.46953600002</v>
      </c>
      <c r="V24" s="7">
        <f>[6]Resumen!V24*1000</f>
        <v>223797.71393999999</v>
      </c>
      <c r="W24" s="7">
        <f>[6]Resumen!W24*1000</f>
        <v>240144.88656000001</v>
      </c>
      <c r="X24" s="7">
        <f>[6]Resumen!X24*1000</f>
        <v>252066.33071399998</v>
      </c>
      <c r="Y24" s="7">
        <f>[6]Resumen!Y24*1000</f>
        <v>257198.23188599997</v>
      </c>
      <c r="Z24" s="7">
        <f>[6]Resumen!Z24*1000</f>
        <v>244579.05710400001</v>
      </c>
      <c r="AA24" s="7">
        <f>[6]Resumen!AA24*1000</f>
        <v>225137.26889400001</v>
      </c>
      <c r="AB24" s="7">
        <f>[6]Resumen!AB24*1000</f>
        <v>202930.29285599999</v>
      </c>
      <c r="AC24" s="7">
        <f>[6]Resumen!AC24*1000</f>
        <v>180384.45036000002</v>
      </c>
      <c r="AD24" s="65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5</v>
      </c>
      <c r="F25" s="7">
        <f>[6]Resumen!F25*1000</f>
        <v>166868.70682199998</v>
      </c>
      <c r="G25" s="7">
        <f>[6]Resumen!G25*1000</f>
        <v>154753.54300199999</v>
      </c>
      <c r="H25" s="7">
        <f>[6]Resumen!H25*1000</f>
        <v>146639.732766</v>
      </c>
      <c r="I25" s="7">
        <f>[6]Resumen!I25*1000</f>
        <v>142856.31643199999</v>
      </c>
      <c r="J25" s="7">
        <f>[6]Resumen!J25*1000</f>
        <v>143600.77374</v>
      </c>
      <c r="K25" s="7">
        <f>[6]Resumen!K25*1000</f>
        <v>146522.20419599998</v>
      </c>
      <c r="L25" s="7">
        <f>[6]Resumen!L25*1000</f>
        <v>156777.851544</v>
      </c>
      <c r="M25" s="7">
        <f>[6]Resumen!M25*1000</f>
        <v>150919.17778199998</v>
      </c>
      <c r="N25" s="7">
        <f>[6]Resumen!N25*1000</f>
        <v>168445.43585400001</v>
      </c>
      <c r="O25" s="7">
        <f>[6]Resumen!O25*1000</f>
        <v>183061.412988</v>
      </c>
      <c r="P25" s="7">
        <f>[6]Resumen!P25*1000</f>
        <v>194692.12009799998</v>
      </c>
      <c r="Q25" s="7">
        <f>[6]Resumen!Q25*1000</f>
        <v>206432.18911200002</v>
      </c>
      <c r="R25" s="7">
        <f>[6]Resumen!R25*1000</f>
        <v>212000.865708</v>
      </c>
      <c r="S25" s="7">
        <f>[6]Resumen!S25*1000</f>
        <v>210754.02190200001</v>
      </c>
      <c r="T25" s="7">
        <f>[6]Resumen!T25*1000</f>
        <v>204919.747776</v>
      </c>
      <c r="U25" s="7">
        <f>[6]Resumen!U25*1000</f>
        <v>202961.94189599997</v>
      </c>
      <c r="V25" s="7">
        <f>[6]Resumen!V25*1000</f>
        <v>200185.94297999999</v>
      </c>
      <c r="W25" s="7">
        <f>[6]Resumen!W25*1000</f>
        <v>216628.58320200001</v>
      </c>
      <c r="X25" s="7">
        <f>[6]Resumen!X25*1000</f>
        <v>231981.41813999999</v>
      </c>
      <c r="Y25" s="7">
        <f>[6]Resumen!Y25*1000</f>
        <v>240824.853114</v>
      </c>
      <c r="Z25" s="7">
        <f>[6]Resumen!Z25*1000</f>
        <v>231323.27915400002</v>
      </c>
      <c r="AA25" s="7">
        <f>[6]Resumen!AA25*1000</f>
        <v>214198.39906200001</v>
      </c>
      <c r="AB25" s="7">
        <f>[6]Resumen!AB25*1000</f>
        <v>190496.25095400002</v>
      </c>
      <c r="AC25" s="7">
        <f>[6]Resumen!AC25*1000</f>
        <v>165809.166516</v>
      </c>
      <c r="AD25" s="65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3</v>
      </c>
      <c r="F26" s="7">
        <f>[6]Resumen!F26*1000</f>
        <v>160930.21726200002</v>
      </c>
      <c r="G26" s="7">
        <f>[6]Resumen!G26*1000</f>
        <v>149309.43432</v>
      </c>
      <c r="H26" s="7">
        <f>[6]Resumen!H26*1000</f>
        <v>142533.80664599998</v>
      </c>
      <c r="I26" s="7">
        <f>[6]Resumen!I26*1000</f>
        <v>140291.283108</v>
      </c>
      <c r="J26" s="7">
        <f>[6]Resumen!J26*1000</f>
        <v>145595.81625599999</v>
      </c>
      <c r="K26" s="7">
        <f>[6]Resumen!K26*1000</f>
        <v>153734.96206200001</v>
      </c>
      <c r="L26" s="7">
        <f>[6]Resumen!L26*1000</f>
        <v>164557.24626000001</v>
      </c>
      <c r="M26" s="7">
        <f>[6]Resumen!M26*1000</f>
        <v>158292.14840999999</v>
      </c>
      <c r="N26" s="7">
        <f>[6]Resumen!N26*1000</f>
        <v>174916.72626599998</v>
      </c>
      <c r="O26" s="7">
        <f>[6]Resumen!O26*1000</f>
        <v>188519.35528799999</v>
      </c>
      <c r="P26" s="7">
        <f>[6]Resumen!P26*1000</f>
        <v>203324.10167400001</v>
      </c>
      <c r="Q26" s="7">
        <f>[6]Resumen!Q26*1000</f>
        <v>215678.16673199998</v>
      </c>
      <c r="R26" s="7">
        <f>[6]Resumen!R26*1000</f>
        <v>225328.274118</v>
      </c>
      <c r="S26" s="7">
        <f>[6]Resumen!S26*1000</f>
        <v>221811.32589599999</v>
      </c>
      <c r="T26" s="7">
        <f>[6]Resumen!T26*1000</f>
        <v>215430.89110199999</v>
      </c>
      <c r="U26" s="7">
        <f>[6]Resumen!U26*1000</f>
        <v>209072.689992</v>
      </c>
      <c r="V26" s="7">
        <f>[6]Resumen!V26*1000</f>
        <v>206873.97796799999</v>
      </c>
      <c r="W26" s="7">
        <f>[6]Resumen!W26*1000</f>
        <v>227044.93578600002</v>
      </c>
      <c r="X26" s="7">
        <f>[6]Resumen!X26*1000</f>
        <v>241929.18754799999</v>
      </c>
      <c r="Y26" s="7">
        <f>[6]Resumen!Y26*1000</f>
        <v>247866.23236199998</v>
      </c>
      <c r="Z26" s="7">
        <f>[6]Resumen!Z26*1000</f>
        <v>235012.36921200002</v>
      </c>
      <c r="AA26" s="7">
        <f>[6]Resumen!AA26*1000</f>
        <v>215383.233156</v>
      </c>
      <c r="AB26" s="7">
        <f>[6]Resumen!AB26*1000</f>
        <v>190553.15387399998</v>
      </c>
      <c r="AC26" s="7">
        <f>[6]Resumen!AC26*1000</f>
        <v>165416.97516</v>
      </c>
      <c r="AD26" s="66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21</v>
      </c>
      <c r="F27" s="7">
        <f>[6]Resumen!F27*1000</f>
        <v>151993.415286</v>
      </c>
      <c r="G27" s="7">
        <f>[6]Resumen!G27*1000</f>
        <v>141998.345034</v>
      </c>
      <c r="H27" s="7">
        <f>[6]Resumen!H27*1000</f>
        <v>136874.93262000001</v>
      </c>
      <c r="I27" s="7">
        <f>[6]Resumen!I27*1000</f>
        <v>136852.80163199999</v>
      </c>
      <c r="J27" s="7">
        <f>[6]Resumen!J27*1000</f>
        <v>153350.29085400002</v>
      </c>
      <c r="K27" s="7">
        <f>[6]Resumen!K27*1000</f>
        <v>175520.03492400001</v>
      </c>
      <c r="L27" s="7">
        <f>[6]Resumen!L27*1000</f>
        <v>200973.40423799999</v>
      </c>
      <c r="M27" s="7">
        <f>[6]Resumen!M27*1000</f>
        <v>194159.87007</v>
      </c>
      <c r="N27" s="7">
        <f>[6]Resumen!N27*1000</f>
        <v>209018.84461200002</v>
      </c>
      <c r="O27" s="7">
        <f>[6]Resumen!O27*1000</f>
        <v>219109.93562400001</v>
      </c>
      <c r="P27" s="7">
        <f>[6]Resumen!P27*1000</f>
        <v>232273.75630799998</v>
      </c>
      <c r="Q27" s="7">
        <f>[6]Resumen!Q27*1000</f>
        <v>244309.438092</v>
      </c>
      <c r="R27" s="7">
        <f>[6]Resumen!R27*1000</f>
        <v>247163.10319199998</v>
      </c>
      <c r="S27" s="7">
        <f>[6]Resumen!S27*1000</f>
        <v>243815.71773599999</v>
      </c>
      <c r="T27" s="7">
        <f>[6]Resumen!T27*1000</f>
        <v>244995.83715000001</v>
      </c>
      <c r="U27" s="7">
        <f>[6]Resumen!U27*1000</f>
        <v>244920.15953400001</v>
      </c>
      <c r="V27" s="7">
        <f>[6]Resumen!V27*1000</f>
        <v>239518.062852</v>
      </c>
      <c r="W27" s="7">
        <f>[6]Resumen!W27*1000</f>
        <v>250433.898438</v>
      </c>
      <c r="X27" s="7">
        <f>[6]Resumen!X27*1000</f>
        <v>265229.64258600003</v>
      </c>
      <c r="Y27" s="7">
        <f>[6]Resumen!Y27*1000</f>
        <v>272549.113266</v>
      </c>
      <c r="Z27" s="7">
        <f>[6]Resumen!Z27*1000</f>
        <v>257422.89105600002</v>
      </c>
      <c r="AA27" s="7">
        <f>[6]Resumen!AA27*1000</f>
        <v>226785.74275199999</v>
      </c>
      <c r="AB27" s="7">
        <f>[6]Resumen!AB27*1000</f>
        <v>197014.81186799999</v>
      </c>
      <c r="AC27" s="7">
        <f>[6]Resumen!AC27*1000</f>
        <v>165692.40816600001</v>
      </c>
      <c r="AD27" s="64">
        <f t="shared" ref="AD27:AD35" si="3">SUM(F27:AC27)*E27+SUM(F28:AC28)*E28+SUM(F29:AC29)*E29+SUM(F30:AC30)*E30</f>
        <v>146774537.81405997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[6]Resumen!F28*1000</f>
        <v>163072.54918199999</v>
      </c>
      <c r="G28" s="7">
        <f>[6]Resumen!G28*1000</f>
        <v>151334.298354</v>
      </c>
      <c r="H28" s="7">
        <f>[6]Resumen!H28*1000</f>
        <v>144202.31089200001</v>
      </c>
      <c r="I28" s="7">
        <f>[6]Resumen!I28*1000</f>
        <v>142280.61899400002</v>
      </c>
      <c r="J28" s="7">
        <f>[6]Resumen!J28*1000</f>
        <v>148560.18064199999</v>
      </c>
      <c r="K28" s="7">
        <f>[6]Resumen!K28*1000</f>
        <v>159096.813582</v>
      </c>
      <c r="L28" s="7">
        <f>[6]Resumen!L28*1000</f>
        <v>179547.63433799997</v>
      </c>
      <c r="M28" s="7">
        <f>[6]Resumen!M28*1000</f>
        <v>176876.03524200001</v>
      </c>
      <c r="N28" s="7">
        <f>[6]Resumen!N28*1000</f>
        <v>195927.8634</v>
      </c>
      <c r="O28" s="7">
        <f>[6]Resumen!O28*1000</f>
        <v>208667.43290400002</v>
      </c>
      <c r="P28" s="7">
        <f>[6]Resumen!P28*1000</f>
        <v>220842.37746600001</v>
      </c>
      <c r="Q28" s="7">
        <f>[6]Resumen!Q28*1000</f>
        <v>229451.49051</v>
      </c>
      <c r="R28" s="7">
        <f>[6]Resumen!R28*1000</f>
        <v>230567.66532599999</v>
      </c>
      <c r="S28" s="7">
        <f>[6]Resumen!S28*1000</f>
        <v>224783.39948399999</v>
      </c>
      <c r="T28" s="7">
        <f>[6]Resumen!T28*1000</f>
        <v>219809.19268799998</v>
      </c>
      <c r="U28" s="7">
        <f>[6]Resumen!U28*1000</f>
        <v>218205.66</v>
      </c>
      <c r="V28" s="7">
        <f>[6]Resumen!V28*1000</f>
        <v>214733.62960799999</v>
      </c>
      <c r="W28" s="7">
        <f>[6]Resumen!W28*1000</f>
        <v>231211.727958</v>
      </c>
      <c r="X28" s="7">
        <f>[6]Resumen!X28*1000</f>
        <v>240250.50239400001</v>
      </c>
      <c r="Y28" s="7">
        <f>[6]Resumen!Y28*1000</f>
        <v>247944.965184</v>
      </c>
      <c r="Z28" s="7">
        <f>[6]Resumen!Z28*1000</f>
        <v>235249.02981000001</v>
      </c>
      <c r="AA28" s="7">
        <f>[6]Resumen!AA28*1000</f>
        <v>216812.99487600001</v>
      </c>
      <c r="AB28" s="7">
        <f>[6]Resumen!AB28*1000</f>
        <v>195795.378558</v>
      </c>
      <c r="AC28" s="7">
        <f>[6]Resumen!AC28*1000</f>
        <v>174585.963456</v>
      </c>
      <c r="AD28" s="65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[6]Resumen!F29*1000</f>
        <v>164211.492168</v>
      </c>
      <c r="G29" s="7">
        <f>[6]Resumen!G29*1000</f>
        <v>152394.125742</v>
      </c>
      <c r="H29" s="7">
        <f>[6]Resumen!H29*1000</f>
        <v>144399.55022999999</v>
      </c>
      <c r="I29" s="7">
        <f>[6]Resumen!I29*1000</f>
        <v>140878.20942</v>
      </c>
      <c r="J29" s="7">
        <f>[6]Resumen!J29*1000</f>
        <v>141862.35452399999</v>
      </c>
      <c r="K29" s="7">
        <f>[6]Resumen!K29*1000</f>
        <v>144681.84753</v>
      </c>
      <c r="L29" s="7">
        <f>[6]Resumen!L29*1000</f>
        <v>152907.13894199999</v>
      </c>
      <c r="M29" s="7">
        <f>[6]Resumen!M29*1000</f>
        <v>144452.186598</v>
      </c>
      <c r="N29" s="7">
        <f>[6]Resumen!N29*1000</f>
        <v>159453.619164</v>
      </c>
      <c r="O29" s="7">
        <f>[6]Resumen!O29*1000</f>
        <v>172513.390128</v>
      </c>
      <c r="P29" s="7">
        <f>[6]Resumen!P29*1000</f>
        <v>181964.337294</v>
      </c>
      <c r="Q29" s="7">
        <f>[6]Resumen!Q29*1000</f>
        <v>193215.14622600001</v>
      </c>
      <c r="R29" s="7">
        <f>[6]Resumen!R29*1000</f>
        <v>200381.80992599999</v>
      </c>
      <c r="S29" s="7">
        <f>[6]Resumen!S29*1000</f>
        <v>200744.35481399999</v>
      </c>
      <c r="T29" s="7">
        <f>[6]Resumen!T29*1000</f>
        <v>197025.74899200001</v>
      </c>
      <c r="U29" s="7">
        <f>[6]Resumen!U29*1000</f>
        <v>194830.542636</v>
      </c>
      <c r="V29" s="7">
        <f>[6]Resumen!V29*1000</f>
        <v>192041.30993999998</v>
      </c>
      <c r="W29" s="7">
        <f>[6]Resumen!W29*1000</f>
        <v>207791.36600400001</v>
      </c>
      <c r="X29" s="7">
        <f>[6]Resumen!X29*1000</f>
        <v>218996.90467199998</v>
      </c>
      <c r="Y29" s="7">
        <f>[6]Resumen!Y29*1000</f>
        <v>229625.333832</v>
      </c>
      <c r="Z29" s="7">
        <f>[6]Resumen!Z29*1000</f>
        <v>220892.32740000001</v>
      </c>
      <c r="AA29" s="7">
        <f>[6]Resumen!AA29*1000</f>
        <v>206913.450576</v>
      </c>
      <c r="AB29" s="7">
        <f>[6]Resumen!AB29*1000</f>
        <v>186563.017494</v>
      </c>
      <c r="AC29" s="7">
        <f>[6]Resumen!AC29*1000</f>
        <v>165138.795036</v>
      </c>
      <c r="AD29" s="65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1</v>
      </c>
      <c r="F30" s="7">
        <f>[6]Resumen!F30*1000</f>
        <v>157579.49185200001</v>
      </c>
      <c r="G30" s="7">
        <f>[6]Resumen!G30*1000</f>
        <v>146328.56388600002</v>
      </c>
      <c r="H30" s="7">
        <f>[6]Resumen!H30*1000</f>
        <v>139337.97714599999</v>
      </c>
      <c r="I30" s="7">
        <f>[6]Resumen!I30*1000</f>
        <v>136565.9577</v>
      </c>
      <c r="J30" s="7">
        <f>[6]Resumen!J30*1000</f>
        <v>138807.09017399998</v>
      </c>
      <c r="K30" s="7">
        <f>[6]Resumen!K30*1000</f>
        <v>142969.44074399999</v>
      </c>
      <c r="L30" s="7">
        <f>[6]Resumen!L30*1000</f>
        <v>151083.34900799999</v>
      </c>
      <c r="M30" s="7">
        <f>[6]Resumen!M30*1000</f>
        <v>142463.18914199999</v>
      </c>
      <c r="N30" s="7">
        <f>[6]Resumen!N30*1000</f>
        <v>157802.47521</v>
      </c>
      <c r="O30" s="7">
        <f>[6]Resumen!O30*1000</f>
        <v>171389.35440000001</v>
      </c>
      <c r="P30" s="7">
        <f>[6]Resumen!P30*1000</f>
        <v>185227.182936</v>
      </c>
      <c r="Q30" s="7">
        <f>[6]Resumen!Q30*1000</f>
        <v>199492.08212400001</v>
      </c>
      <c r="R30" s="7">
        <f>[6]Resumen!R30*1000</f>
        <v>207856.24887000001</v>
      </c>
      <c r="S30" s="7">
        <f>[6]Resumen!S30*1000</f>
        <v>206196.49945800001</v>
      </c>
      <c r="T30" s="7">
        <f>[6]Resumen!T30*1000</f>
        <v>200468.51802600001</v>
      </c>
      <c r="U30" s="7">
        <f>[6]Resumen!U30*1000</f>
        <v>197589.66673199998</v>
      </c>
      <c r="V30" s="7">
        <f>[6]Resumen!V30*1000</f>
        <v>195025.03719</v>
      </c>
      <c r="W30" s="7">
        <f>[6]Resumen!W30*1000</f>
        <v>211954.85556599998</v>
      </c>
      <c r="X30" s="7">
        <f>[6]Resumen!X30*1000</f>
        <v>225405.62987999999</v>
      </c>
      <c r="Y30" s="7">
        <f>[6]Resumen!Y30*1000</f>
        <v>240628.454016</v>
      </c>
      <c r="Z30" s="7">
        <f>[6]Resumen!Z30*1000</f>
        <v>230173.60677000001</v>
      </c>
      <c r="AA30" s="7">
        <f>[6]Resumen!AA30*1000</f>
        <v>212537.3076</v>
      </c>
      <c r="AB30" s="7">
        <f>[6]Resumen!AB30*1000</f>
        <v>187976.96869799998</v>
      </c>
      <c r="AC30" s="7">
        <f>[6]Resumen!AC30*1000</f>
        <v>163420.95469799999</v>
      </c>
      <c r="AD30" s="66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20</v>
      </c>
      <c r="F31" s="7">
        <f>[6]Resumen!F31*1000</f>
        <v>159323.26293</v>
      </c>
      <c r="G31" s="7">
        <f>[6]Resumen!G31*1000</f>
        <v>148889.155608</v>
      </c>
      <c r="H31" s="7">
        <f>[6]Resumen!H31*1000</f>
        <v>143216.64868799999</v>
      </c>
      <c r="I31" s="7">
        <f>[6]Resumen!I31*1000</f>
        <v>142900.23530999999</v>
      </c>
      <c r="J31" s="7">
        <f>[6]Resumen!J31*1000</f>
        <v>160115.61625200001</v>
      </c>
      <c r="K31" s="7">
        <f>[6]Resumen!K31*1000</f>
        <v>186200.93473799998</v>
      </c>
      <c r="L31" s="7">
        <f>[6]Resumen!L31*1000</f>
        <v>211584.84654599999</v>
      </c>
      <c r="M31" s="7">
        <f>[6]Resumen!M31*1000</f>
        <v>202525.78964999999</v>
      </c>
      <c r="N31" s="7">
        <f>[6]Resumen!N31*1000</f>
        <v>217084.47875400001</v>
      </c>
      <c r="O31" s="7">
        <f>[6]Resumen!O31*1000</f>
        <v>227042.46641399999</v>
      </c>
      <c r="P31" s="7">
        <f>[6]Resumen!P31*1000</f>
        <v>240873.939468</v>
      </c>
      <c r="Q31" s="7">
        <f>[6]Resumen!Q31*1000</f>
        <v>252714.86995800002</v>
      </c>
      <c r="R31" s="7">
        <f>[6]Resumen!R31*1000</f>
        <v>254809.777332</v>
      </c>
      <c r="S31" s="7">
        <f>[6]Resumen!S31*1000</f>
        <v>252103.77974399997</v>
      </c>
      <c r="T31" s="7">
        <f>[6]Resumen!T31*1000</f>
        <v>254729.023266</v>
      </c>
      <c r="U31" s="7">
        <f>[6]Resumen!U31*1000</f>
        <v>255285.14311199999</v>
      </c>
      <c r="V31" s="7">
        <f>[6]Resumen!V31*1000</f>
        <v>249487.37974799998</v>
      </c>
      <c r="W31" s="7">
        <f>[6]Resumen!W31*1000</f>
        <v>257813.929416</v>
      </c>
      <c r="X31" s="7">
        <f>[6]Resumen!X31*1000</f>
        <v>271762.80733799998</v>
      </c>
      <c r="Y31" s="7">
        <f>[6]Resumen!Y31*1000</f>
        <v>284601.02802000003</v>
      </c>
      <c r="Z31" s="7">
        <f>[6]Resumen!Z31*1000</f>
        <v>270349.81074000004</v>
      </c>
      <c r="AA31" s="7">
        <f>[6]Resumen!AA31*1000</f>
        <v>238953.839358</v>
      </c>
      <c r="AB31" s="7">
        <f>[6]Resumen!AB31*1000</f>
        <v>207344.059572</v>
      </c>
      <c r="AC31" s="7">
        <f>[6]Resumen!AC31*1000</f>
        <v>174074.488362</v>
      </c>
      <c r="AD31" s="64">
        <f t="shared" si="3"/>
        <v>156573368.64166799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5</v>
      </c>
      <c r="F32" s="7">
        <f>[6]Resumen!F32*1000</f>
        <v>169792.08383399999</v>
      </c>
      <c r="G32" s="7">
        <f>[6]Resumen!G32*1000</f>
        <v>157956.46319400001</v>
      </c>
      <c r="H32" s="7">
        <f>[6]Resumen!H32*1000</f>
        <v>150865.253046</v>
      </c>
      <c r="I32" s="7">
        <f>[6]Resumen!I32*1000</f>
        <v>148394.98012199998</v>
      </c>
      <c r="J32" s="7">
        <f>[6]Resumen!J32*1000</f>
        <v>154445.41765799999</v>
      </c>
      <c r="K32" s="7">
        <f>[6]Resumen!K32*1000</f>
        <v>165661.09288799998</v>
      </c>
      <c r="L32" s="7">
        <f>[6]Resumen!L32*1000</f>
        <v>185799.981546</v>
      </c>
      <c r="M32" s="7">
        <f>[6]Resumen!M32*1000</f>
        <v>184079.32640400002</v>
      </c>
      <c r="N32" s="7">
        <f>[6]Resumen!N32*1000</f>
        <v>203592.05654399999</v>
      </c>
      <c r="O32" s="7">
        <f>[6]Resumen!O32*1000</f>
        <v>216771.99116399998</v>
      </c>
      <c r="P32" s="7">
        <f>[6]Resumen!P32*1000</f>
        <v>229263.13204200001</v>
      </c>
      <c r="Q32" s="7">
        <f>[6]Resumen!Q32*1000</f>
        <v>238791.780402</v>
      </c>
      <c r="R32" s="7">
        <f>[6]Resumen!R32*1000</f>
        <v>239186.618514</v>
      </c>
      <c r="S32" s="7">
        <f>[6]Resumen!S32*1000</f>
        <v>232088.12862</v>
      </c>
      <c r="T32" s="7">
        <f>[6]Resumen!T32*1000</f>
        <v>225528.97944599998</v>
      </c>
      <c r="U32" s="7">
        <f>[6]Resumen!U32*1000</f>
        <v>223454.72797199999</v>
      </c>
      <c r="V32" s="7">
        <f>[6]Resumen!V32*1000</f>
        <v>221702.722542</v>
      </c>
      <c r="W32" s="7">
        <f>[6]Resumen!W32*1000</f>
        <v>237495.86891399999</v>
      </c>
      <c r="X32" s="7">
        <f>[6]Resumen!X32*1000</f>
        <v>246641.39117400002</v>
      </c>
      <c r="Y32" s="7">
        <f>[6]Resumen!Y32*1000</f>
        <v>255256.67297999997</v>
      </c>
      <c r="Z32" s="7">
        <f>[6]Resumen!Z32*1000</f>
        <v>241765.94758799998</v>
      </c>
      <c r="AA32" s="7">
        <f>[6]Resumen!AA32*1000</f>
        <v>222054.73642199999</v>
      </c>
      <c r="AB32" s="7">
        <f>[6]Resumen!AB32*1000</f>
        <v>200119.53134400002</v>
      </c>
      <c r="AC32" s="7">
        <f>[6]Resumen!AC32*1000</f>
        <v>178398.05297999998</v>
      </c>
      <c r="AD32" s="65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[6]Resumen!F33*1000</f>
        <v>164236.27458</v>
      </c>
      <c r="G33" s="7">
        <f>[6]Resumen!G33*1000</f>
        <v>151835.67656399999</v>
      </c>
      <c r="H33" s="7">
        <f>[6]Resumen!H33*1000</f>
        <v>143701.21042800002</v>
      </c>
      <c r="I33" s="7">
        <f>[6]Resumen!I33*1000</f>
        <v>139599.343134</v>
      </c>
      <c r="J33" s="7">
        <f>[6]Resumen!J33*1000</f>
        <v>141051.33853799998</v>
      </c>
      <c r="K33" s="7">
        <f>[6]Resumen!K33*1000</f>
        <v>144308.92801200002</v>
      </c>
      <c r="L33" s="7">
        <f>[6]Resumen!L33*1000</f>
        <v>153741.41790599999</v>
      </c>
      <c r="M33" s="7">
        <f>[6]Resumen!M33*1000</f>
        <v>145992.58458600001</v>
      </c>
      <c r="N33" s="7">
        <f>[6]Resumen!N33*1000</f>
        <v>161384.85012000002</v>
      </c>
      <c r="O33" s="7">
        <f>[6]Resumen!O33*1000</f>
        <v>175101.87781800001</v>
      </c>
      <c r="P33" s="7">
        <f>[6]Resumen!P33*1000</f>
        <v>185651.79822</v>
      </c>
      <c r="Q33" s="7">
        <f>[6]Resumen!Q33*1000</f>
        <v>197643.60080400002</v>
      </c>
      <c r="R33" s="7">
        <f>[6]Resumen!R33*1000</f>
        <v>205039.16688599999</v>
      </c>
      <c r="S33" s="7">
        <f>[6]Resumen!S33*1000</f>
        <v>205123.468632</v>
      </c>
      <c r="T33" s="7">
        <f>[6]Resumen!T33*1000</f>
        <v>200861.474934</v>
      </c>
      <c r="U33" s="7">
        <f>[6]Resumen!U33*1000</f>
        <v>198717.007404</v>
      </c>
      <c r="V33" s="7">
        <f>[6]Resumen!V33*1000</f>
        <v>196080.29227199999</v>
      </c>
      <c r="W33" s="7">
        <f>[6]Resumen!W33*1000</f>
        <v>211639.86359399999</v>
      </c>
      <c r="X33" s="7">
        <f>[6]Resumen!X33*1000</f>
        <v>224096.89773</v>
      </c>
      <c r="Y33" s="7">
        <f>[6]Resumen!Y33*1000</f>
        <v>239666.76899400001</v>
      </c>
      <c r="Z33" s="7">
        <f>[6]Resumen!Z33*1000</f>
        <v>230194.44705599998</v>
      </c>
      <c r="AA33" s="7">
        <f>[6]Resumen!AA33*1000</f>
        <v>212241.46843199999</v>
      </c>
      <c r="AB33" s="7">
        <f>[6]Resumen!AB33*1000</f>
        <v>187479.10315799998</v>
      </c>
      <c r="AC33" s="7">
        <f>[6]Resumen!AC33*1000</f>
        <v>164331.37107600001</v>
      </c>
      <c r="AD33" s="65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[6]Resumen!F34*1000</f>
        <v>174655.54699800001</v>
      </c>
      <c r="G34" s="7">
        <f>[6]Resumen!G34*1000</f>
        <v>161536.23102599999</v>
      </c>
      <c r="H34" s="7">
        <f>[6]Resumen!H34*1000</f>
        <v>153115.985262</v>
      </c>
      <c r="I34" s="7">
        <f>[6]Resumen!I34*1000</f>
        <v>148933.373238</v>
      </c>
      <c r="J34" s="7">
        <f>[6]Resumen!J34*1000</f>
        <v>149437.78564799999</v>
      </c>
      <c r="K34" s="7">
        <f>[6]Resumen!K34*1000</f>
        <v>150992.17363199999</v>
      </c>
      <c r="L34" s="7">
        <f>[6]Resumen!L34*1000</f>
        <v>160075.72585799999</v>
      </c>
      <c r="M34" s="7">
        <f>[6]Resumen!M34*1000</f>
        <v>152605.97125200002</v>
      </c>
      <c r="N34" s="7">
        <f>[6]Resumen!N34*1000</f>
        <v>167794.45057800002</v>
      </c>
      <c r="O34" s="7">
        <f>[6]Resumen!O34*1000</f>
        <v>180566.64940200001</v>
      </c>
      <c r="P34" s="7">
        <f>[6]Resumen!P34*1000</f>
        <v>191205.882648</v>
      </c>
      <c r="Q34" s="7">
        <f>[6]Resumen!Q34*1000</f>
        <v>203830.16889</v>
      </c>
      <c r="R34" s="7">
        <f>[6]Resumen!R34*1000</f>
        <v>209620.47745800001</v>
      </c>
      <c r="S34" s="7">
        <f>[6]Resumen!S34*1000</f>
        <v>210191.32017600001</v>
      </c>
      <c r="T34" s="7">
        <f>[6]Resumen!T34*1000</f>
        <v>207151.69596000001</v>
      </c>
      <c r="U34" s="7">
        <f>[6]Resumen!U34*1000</f>
        <v>205320.48390599998</v>
      </c>
      <c r="V34" s="7">
        <f>[6]Resumen!V34*1000</f>
        <v>203014.35186599998</v>
      </c>
      <c r="W34" s="7">
        <f>[6]Resumen!W34*1000</f>
        <v>219129.697602</v>
      </c>
      <c r="X34" s="7">
        <f>[6]Resumen!X34*1000</f>
        <v>231029.33986200002</v>
      </c>
      <c r="Y34" s="7">
        <f>[6]Resumen!Y34*1000</f>
        <v>245740.18009199997</v>
      </c>
      <c r="Z34" s="7">
        <f>[6]Resumen!Z34*1000</f>
        <v>238972.574376</v>
      </c>
      <c r="AA34" s="7">
        <f>[6]Resumen!AA34*1000</f>
        <v>224838.74095800001</v>
      </c>
      <c r="AB34" s="7">
        <f>[6]Resumen!AB34*1000</f>
        <v>200631.77198999998</v>
      </c>
      <c r="AC34" s="7">
        <f>[6]Resumen!AC34*1000</f>
        <v>176212.83381000001</v>
      </c>
      <c r="AD34" s="66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[6]Resumen!F35*1000</f>
        <v>158187.291126</v>
      </c>
      <c r="G35" s="7">
        <f>[6]Resumen!G35*1000</f>
        <v>147740.42616</v>
      </c>
      <c r="H35" s="7">
        <f>[6]Resumen!H35*1000</f>
        <v>142225.17482399999</v>
      </c>
      <c r="I35" s="7">
        <f>[6]Resumen!I35*1000</f>
        <v>141985.28397000002</v>
      </c>
      <c r="J35" s="7">
        <f>[6]Resumen!J35*1000</f>
        <v>160275.42989999999</v>
      </c>
      <c r="K35" s="7">
        <f>[6]Resumen!K35*1000</f>
        <v>188588.40434400001</v>
      </c>
      <c r="L35" s="7">
        <f>[6]Resumen!L35*1000</f>
        <v>214697.104842</v>
      </c>
      <c r="M35" s="7">
        <f>[6]Resumen!M35*1000</f>
        <v>203705.811036</v>
      </c>
      <c r="N35" s="7">
        <f>[6]Resumen!N35*1000</f>
        <v>217291.854654</v>
      </c>
      <c r="O35" s="7">
        <f>[6]Resumen!O35*1000</f>
        <v>226486.05015</v>
      </c>
      <c r="P35" s="7">
        <f>[6]Resumen!P35*1000</f>
        <v>240167.73175199999</v>
      </c>
      <c r="Q35" s="7">
        <f>[6]Resumen!Q35*1000</f>
        <v>252090.60197999998</v>
      </c>
      <c r="R35" s="7">
        <f>[6]Resumen!R35*1000</f>
        <v>253917.82522799997</v>
      </c>
      <c r="S35" s="7">
        <f>[6]Resumen!S35*1000</f>
        <v>250500.51313199999</v>
      </c>
      <c r="T35" s="7">
        <f>[6]Resumen!T35*1000</f>
        <v>253037.21169599998</v>
      </c>
      <c r="U35" s="7">
        <f>[6]Resumen!U35*1000</f>
        <v>253112.33382</v>
      </c>
      <c r="V35" s="7">
        <f>[6]Resumen!V35*1000</f>
        <v>247816.83091799999</v>
      </c>
      <c r="W35" s="7">
        <f>[6]Resumen!W35*1000</f>
        <v>257784.058884</v>
      </c>
      <c r="X35" s="7">
        <f>[6]Resumen!X35*1000</f>
        <v>276293.15968799999</v>
      </c>
      <c r="Y35" s="7">
        <f>[6]Resumen!Y35*1000</f>
        <v>285512.80978800001</v>
      </c>
      <c r="Z35" s="7">
        <f>[6]Resumen!Z35*1000</f>
        <v>270652.50253200001</v>
      </c>
      <c r="AA35" s="7">
        <f>[6]Resumen!AA35*1000</f>
        <v>237752.47821</v>
      </c>
      <c r="AB35" s="7">
        <f>[6]Resumen!AB35*1000</f>
        <v>206219.14626000001</v>
      </c>
      <c r="AC35" s="7">
        <f>[6]Resumen!AC35*1000</f>
        <v>173008.89366</v>
      </c>
      <c r="AD35" s="64">
        <f t="shared" si="3"/>
        <v>156199608.11811596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3</v>
      </c>
      <c r="F36" s="7">
        <f>[6]Resumen!F36*1000</f>
        <v>168818.52808799999</v>
      </c>
      <c r="G36" s="7">
        <f>[6]Resumen!G36*1000</f>
        <v>157154.67350999999</v>
      </c>
      <c r="H36" s="7">
        <f>[6]Resumen!H36*1000</f>
        <v>150416.29647599999</v>
      </c>
      <c r="I36" s="7">
        <f>[6]Resumen!I36*1000</f>
        <v>148051.82143799998</v>
      </c>
      <c r="J36" s="7">
        <f>[6]Resumen!J36*1000</f>
        <v>154625.88720599998</v>
      </c>
      <c r="K36" s="7">
        <f>[6]Resumen!K36*1000</f>
        <v>165580.77294599998</v>
      </c>
      <c r="L36" s="7">
        <f>[6]Resumen!L36*1000</f>
        <v>185973.84820800001</v>
      </c>
      <c r="M36" s="7">
        <f>[6]Resumen!M36*1000</f>
        <v>184222.72502999997</v>
      </c>
      <c r="N36" s="7">
        <f>[6]Resumen!N36*1000</f>
        <v>203516.58898799997</v>
      </c>
      <c r="O36" s="7">
        <f>[6]Resumen!O36*1000</f>
        <v>214761.09378600001</v>
      </c>
      <c r="P36" s="7">
        <f>[6]Resumen!P36*1000</f>
        <v>225670.102422</v>
      </c>
      <c r="Q36" s="7">
        <f>[6]Resumen!Q36*1000</f>
        <v>233205.883554</v>
      </c>
      <c r="R36" s="7">
        <f>[6]Resumen!R36*1000</f>
        <v>234557.34424199999</v>
      </c>
      <c r="S36" s="7">
        <f>[6]Resumen!S36*1000</f>
        <v>229292.652474</v>
      </c>
      <c r="T36" s="7">
        <f>[6]Resumen!T36*1000</f>
        <v>223963.81771800001</v>
      </c>
      <c r="U36" s="7">
        <f>[6]Resumen!U36*1000</f>
        <v>221649.58202999999</v>
      </c>
      <c r="V36" s="7">
        <f>[6]Resumen!V36*1000</f>
        <v>218954.404866</v>
      </c>
      <c r="W36" s="7">
        <f>[6]Resumen!W36*1000</f>
        <v>235511.75418600001</v>
      </c>
      <c r="X36" s="7">
        <f>[6]Resumen!X36*1000</f>
        <v>247562.73300600002</v>
      </c>
      <c r="Y36" s="7">
        <f>[6]Resumen!Y36*1000</f>
        <v>253691.89869599999</v>
      </c>
      <c r="Z36" s="7">
        <f>[6]Resumen!Z36*1000</f>
        <v>239437.49784</v>
      </c>
      <c r="AA36" s="7">
        <f>[6]Resumen!AA36*1000</f>
        <v>219824.79547800001</v>
      </c>
      <c r="AB36" s="7">
        <f>[6]Resumen!AB36*1000</f>
        <v>197517.68150400001</v>
      </c>
      <c r="AC36" s="7">
        <f>[6]Resumen!AC36*1000</f>
        <v>176303.18528400001</v>
      </c>
      <c r="AD36" s="65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5</v>
      </c>
      <c r="F37" s="7">
        <f>[6]Resumen!F37*1000</f>
        <v>165590.10427800001</v>
      </c>
      <c r="G37" s="7">
        <f>[6]Resumen!G37*1000</f>
        <v>153586.33294200001</v>
      </c>
      <c r="H37" s="7">
        <f>[6]Resumen!H37*1000</f>
        <v>145272.53858399999</v>
      </c>
      <c r="I37" s="7">
        <f>[6]Resumen!I37*1000</f>
        <v>141613.970244</v>
      </c>
      <c r="J37" s="7">
        <f>[6]Resumen!J37*1000</f>
        <v>143120.62559400001</v>
      </c>
      <c r="K37" s="7">
        <f>[6]Resumen!K37*1000</f>
        <v>147874.416432</v>
      </c>
      <c r="L37" s="7">
        <f>[6]Resumen!L37*1000</f>
        <v>155199.05225400001</v>
      </c>
      <c r="M37" s="7">
        <f>[6]Resumen!M37*1000</f>
        <v>147726.97531800001</v>
      </c>
      <c r="N37" s="7">
        <f>[6]Resumen!N37*1000</f>
        <v>162727.00515000001</v>
      </c>
      <c r="O37" s="7">
        <f>[6]Resumen!O37*1000</f>
        <v>176212.850148</v>
      </c>
      <c r="P37" s="7">
        <f>[6]Resumen!P37*1000</f>
        <v>187437.41791799999</v>
      </c>
      <c r="Q37" s="7">
        <f>[6]Resumen!Q37*1000</f>
        <v>199069.88719799998</v>
      </c>
      <c r="R37" s="7">
        <f>[6]Resumen!R37*1000</f>
        <v>206556.605316</v>
      </c>
      <c r="S37" s="7">
        <f>[6]Resumen!S37*1000</f>
        <v>207112.781178</v>
      </c>
      <c r="T37" s="7">
        <f>[6]Resumen!T37*1000</f>
        <v>202065.11873399999</v>
      </c>
      <c r="U37" s="7">
        <f>[6]Resumen!U37*1000</f>
        <v>199469.86477800002</v>
      </c>
      <c r="V37" s="7">
        <f>[6]Resumen!V37*1000</f>
        <v>196433.68787999998</v>
      </c>
      <c r="W37" s="7">
        <f>[6]Resumen!W37*1000</f>
        <v>213552.99437999999</v>
      </c>
      <c r="X37" s="7">
        <f>[6]Resumen!X37*1000</f>
        <v>229919.82628199999</v>
      </c>
      <c r="Y37" s="7">
        <f>[6]Resumen!Y37*1000</f>
        <v>240104.14892399998</v>
      </c>
      <c r="Z37" s="7">
        <f>[6]Resumen!Z37*1000</f>
        <v>229896.353244</v>
      </c>
      <c r="AA37" s="7">
        <f>[6]Resumen!AA37*1000</f>
        <v>212654.69379599998</v>
      </c>
      <c r="AB37" s="7">
        <f>[6]Resumen!AB37*1000</f>
        <v>189019.04368199999</v>
      </c>
      <c r="AC37" s="7">
        <f>[6]Resumen!AC37*1000</f>
        <v>166370.26945200001</v>
      </c>
      <c r="AD37" s="65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[6]Resumen!F38*1000</f>
        <v>160994.52362999998</v>
      </c>
      <c r="G38" s="7">
        <f>[6]Resumen!G38*1000</f>
        <v>148886.79826800001</v>
      </c>
      <c r="H38" s="7">
        <f>[6]Resumen!H38*1000</f>
        <v>140900.42910000001</v>
      </c>
      <c r="I38" s="7">
        <f>[6]Resumen!I38*1000</f>
        <v>139002.33160800001</v>
      </c>
      <c r="J38" s="7">
        <f>[6]Resumen!J38*1000</f>
        <v>141296.55091200001</v>
      </c>
      <c r="K38" s="7">
        <f>[6]Resumen!K38*1000</f>
        <v>148054.836966</v>
      </c>
      <c r="L38" s="7">
        <f>[6]Resumen!L38*1000</f>
        <v>158147.342382</v>
      </c>
      <c r="M38" s="7">
        <f>[6]Resumen!M38*1000</f>
        <v>149726.47110599998</v>
      </c>
      <c r="N38" s="7">
        <f>[6]Resumen!N38*1000</f>
        <v>166979.20071599999</v>
      </c>
      <c r="O38" s="7">
        <f>[6]Resumen!O38*1000</f>
        <v>180850.30508999998</v>
      </c>
      <c r="P38" s="7">
        <f>[6]Resumen!P38*1000</f>
        <v>194316.36477000001</v>
      </c>
      <c r="Q38" s="7">
        <f>[6]Resumen!Q38*1000</f>
        <v>208028.99754599997</v>
      </c>
      <c r="R38" s="7">
        <f>[6]Resumen!R38*1000</f>
        <v>215780.617662</v>
      </c>
      <c r="S38" s="7">
        <f>[6]Resumen!S38*1000</f>
        <v>214955.30825999999</v>
      </c>
      <c r="T38" s="7">
        <f>[6]Resumen!T38*1000</f>
        <v>209671.51270200001</v>
      </c>
      <c r="U38" s="7">
        <f>[6]Resumen!U38*1000</f>
        <v>205017.59372400001</v>
      </c>
      <c r="V38" s="7">
        <f>[6]Resumen!V38*1000</f>
        <v>203590.126326</v>
      </c>
      <c r="W38" s="7">
        <f>[6]Resumen!W38*1000</f>
        <v>219736.96705800001</v>
      </c>
      <c r="X38" s="7">
        <f>[6]Resumen!X38*1000</f>
        <v>234520.91516999999</v>
      </c>
      <c r="Y38" s="7">
        <f>[6]Resumen!Y38*1000</f>
        <v>248552.19262799999</v>
      </c>
      <c r="Z38" s="7">
        <f>[6]Resumen!Z38*1000</f>
        <v>236683.776954</v>
      </c>
      <c r="AA38" s="7">
        <f>[6]Resumen!AA38*1000</f>
        <v>215878.69701</v>
      </c>
      <c r="AB38" s="7">
        <f>[6]Resumen!AB38*1000</f>
        <v>190339.884624</v>
      </c>
      <c r="AC38" s="7">
        <f>[6]Resumen!AC38*1000</f>
        <v>166013.80230000001</v>
      </c>
      <c r="AD38" s="66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22</v>
      </c>
      <c r="F39" s="7">
        <f>[6]Resumen!F39*1000</f>
        <v>156795.51525599998</v>
      </c>
      <c r="G39" s="7">
        <f>[6]Resumen!G39*1000</f>
        <v>146908.88497800002</v>
      </c>
      <c r="H39" s="7">
        <f>[6]Resumen!H39*1000</f>
        <v>141813.92869199999</v>
      </c>
      <c r="I39" s="7">
        <f>[6]Resumen!I39*1000</f>
        <v>141672.95742600001</v>
      </c>
      <c r="J39" s="7">
        <f>[6]Resumen!J39*1000</f>
        <v>160077.70275599998</v>
      </c>
      <c r="K39" s="7">
        <f>[6]Resumen!K39*1000</f>
        <v>188665.84179599999</v>
      </c>
      <c r="L39" s="7">
        <f>[6]Resumen!L39*1000</f>
        <v>214194.032148</v>
      </c>
      <c r="M39" s="7">
        <f>[6]Resumen!M39*1000</f>
        <v>201771.79328399998</v>
      </c>
      <c r="N39" s="7">
        <f>[6]Resumen!N39*1000</f>
        <v>215127.153678</v>
      </c>
      <c r="O39" s="7">
        <f>[6]Resumen!O39*1000</f>
        <v>224352.13463399999</v>
      </c>
      <c r="P39" s="7">
        <f>[6]Resumen!P39*1000</f>
        <v>238423.49387400001</v>
      </c>
      <c r="Q39" s="7">
        <f>[6]Resumen!Q39*1000</f>
        <v>250372.87134000001</v>
      </c>
      <c r="R39" s="7">
        <f>[6]Resumen!R39*1000</f>
        <v>251251.26057000001</v>
      </c>
      <c r="S39" s="7">
        <f>[6]Resumen!S39*1000</f>
        <v>248057.179236</v>
      </c>
      <c r="T39" s="7">
        <f>[6]Resumen!T39*1000</f>
        <v>250176.62628600001</v>
      </c>
      <c r="U39" s="7">
        <f>[6]Resumen!U39*1000</f>
        <v>250665.46624799998</v>
      </c>
      <c r="V39" s="7">
        <f>[6]Resumen!V39*1000</f>
        <v>245742.60978600002</v>
      </c>
      <c r="W39" s="7">
        <f>[6]Resumen!W39*1000</f>
        <v>258481.80351600001</v>
      </c>
      <c r="X39" s="7">
        <f>[6]Resumen!X39*1000</f>
        <v>282265.41989399999</v>
      </c>
      <c r="Y39" s="7">
        <f>[6]Resumen!Y39*1000</f>
        <v>282793.559748</v>
      </c>
      <c r="Z39" s="7">
        <f>[6]Resumen!Z39*1000</f>
        <v>267077.80648199999</v>
      </c>
      <c r="AA39" s="7">
        <f>[6]Resumen!AA39*1000</f>
        <v>234620.268882</v>
      </c>
      <c r="AB39" s="7">
        <f>[6]Resumen!AB39*1000</f>
        <v>203008.15042799999</v>
      </c>
      <c r="AC39" s="7">
        <f>[6]Resumen!AC39*1000</f>
        <v>170390.33004599999</v>
      </c>
      <c r="AD39" s="64">
        <f t="shared" ref="AD39" si="4">SUM(F39:AC39)*E39+SUM(F40:AC40)*E40+SUM(F41:AC41)*E41+SUM(F42:AC42)*E42</f>
        <v>152202198.28924799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[6]Resumen!F40*1000</f>
        <v>166918.36267199999</v>
      </c>
      <c r="G40" s="7">
        <f>[6]Resumen!G40*1000</f>
        <v>155664.27680400002</v>
      </c>
      <c r="H40" s="7">
        <f>[6]Resumen!H40*1000</f>
        <v>148659.91246200001</v>
      </c>
      <c r="I40" s="7">
        <f>[6]Resumen!I40*1000</f>
        <v>146835.69073799998</v>
      </c>
      <c r="J40" s="7">
        <f>[6]Resumen!J40*1000</f>
        <v>153818.902038</v>
      </c>
      <c r="K40" s="7">
        <f>[6]Resumen!K40*1000</f>
        <v>166323.666474</v>
      </c>
      <c r="L40" s="7">
        <f>[6]Resumen!L40*1000</f>
        <v>185906.23222800001</v>
      </c>
      <c r="M40" s="7">
        <f>[6]Resumen!M40*1000</f>
        <v>183283.79183999999</v>
      </c>
      <c r="N40" s="7">
        <f>[6]Resumen!N40*1000</f>
        <v>202419.80971200002</v>
      </c>
      <c r="O40" s="7">
        <f>[6]Resumen!O40*1000</f>
        <v>214289.35970999999</v>
      </c>
      <c r="P40" s="7">
        <f>[6]Resumen!P40*1000</f>
        <v>227384.34373199998</v>
      </c>
      <c r="Q40" s="7">
        <f>[6]Resumen!Q40*1000</f>
        <v>236485.064862</v>
      </c>
      <c r="R40" s="7">
        <f>[6]Resumen!R40*1000</f>
        <v>237029.60573400001</v>
      </c>
      <c r="S40" s="7">
        <f>[6]Resumen!S40*1000</f>
        <v>231740.056866</v>
      </c>
      <c r="T40" s="7">
        <f>[6]Resumen!T40*1000</f>
        <v>226112.34640799998</v>
      </c>
      <c r="U40" s="7">
        <f>[6]Resumen!U40*1000</f>
        <v>223884.65544</v>
      </c>
      <c r="V40" s="7">
        <f>[6]Resumen!V40*1000</f>
        <v>221331.60954</v>
      </c>
      <c r="W40" s="7">
        <f>[6]Resumen!W40*1000</f>
        <v>239544.23165999999</v>
      </c>
      <c r="X40" s="7">
        <f>[6]Resumen!X40*1000</f>
        <v>255904.28562599997</v>
      </c>
      <c r="Y40" s="7">
        <f>[6]Resumen!Y40*1000</f>
        <v>254519.28069000001</v>
      </c>
      <c r="Z40" s="7">
        <f>[6]Resumen!Z40*1000</f>
        <v>240005.000604</v>
      </c>
      <c r="AA40" s="7">
        <f>[6]Resumen!AA40*1000</f>
        <v>220034.538054</v>
      </c>
      <c r="AB40" s="7">
        <f>[6]Resumen!AB40*1000</f>
        <v>198659.754384</v>
      </c>
      <c r="AC40" s="7">
        <f>[6]Resumen!AC40*1000</f>
        <v>177793.72202999998</v>
      </c>
      <c r="AD40" s="65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[6]Resumen!F41*1000</f>
        <v>166867.75454999998</v>
      </c>
      <c r="G41" s="7">
        <f>[6]Resumen!G41*1000</f>
        <v>153863.43475799999</v>
      </c>
      <c r="H41" s="7">
        <f>[6]Resumen!H41*1000</f>
        <v>145806.33605400001</v>
      </c>
      <c r="I41" s="7">
        <f>[6]Resumen!I41*1000</f>
        <v>141633.697212</v>
      </c>
      <c r="J41" s="7">
        <f>[6]Resumen!J41*1000</f>
        <v>142376.973516</v>
      </c>
      <c r="K41" s="7">
        <f>[6]Resumen!K41*1000</f>
        <v>145869.48009</v>
      </c>
      <c r="L41" s="7">
        <f>[6]Resumen!L41*1000</f>
        <v>153657.417246</v>
      </c>
      <c r="M41" s="7">
        <f>[6]Resumen!M41*1000</f>
        <v>145309.45779599997</v>
      </c>
      <c r="N41" s="7">
        <f>[6]Resumen!N41*1000</f>
        <v>159597.86970000001</v>
      </c>
      <c r="O41" s="7">
        <f>[6]Resumen!O41*1000</f>
        <v>172550.850828</v>
      </c>
      <c r="P41" s="7">
        <f>[6]Resumen!P41*1000</f>
        <v>184886.24388600001</v>
      </c>
      <c r="Q41" s="7">
        <f>[6]Resumen!Q41*1000</f>
        <v>197015.680116</v>
      </c>
      <c r="R41" s="7">
        <f>[6]Resumen!R41*1000</f>
        <v>203623.08473999999</v>
      </c>
      <c r="S41" s="7">
        <f>[6]Resumen!S41*1000</f>
        <v>204719.20582800001</v>
      </c>
      <c r="T41" s="7">
        <f>[6]Resumen!T41*1000</f>
        <v>201515.42905800001</v>
      </c>
      <c r="U41" s="7">
        <f>[6]Resumen!U41*1000</f>
        <v>199856.27014799998</v>
      </c>
      <c r="V41" s="7">
        <f>[6]Resumen!V41*1000</f>
        <v>197925.31460400001</v>
      </c>
      <c r="W41" s="7">
        <f>[6]Resumen!W41*1000</f>
        <v>216952.98119399999</v>
      </c>
      <c r="X41" s="7">
        <f>[6]Resumen!X41*1000</f>
        <v>236587.52979599999</v>
      </c>
      <c r="Y41" s="7">
        <f>[6]Resumen!Y41*1000</f>
        <v>239808.72053999998</v>
      </c>
      <c r="Z41" s="7">
        <f>[6]Resumen!Z41*1000</f>
        <v>228578.71221599999</v>
      </c>
      <c r="AA41" s="7">
        <f>[6]Resumen!AA41*1000</f>
        <v>210730.35514199999</v>
      </c>
      <c r="AB41" s="7">
        <f>[6]Resumen!AB41*1000</f>
        <v>186912.23991</v>
      </c>
      <c r="AC41" s="7">
        <f>[6]Resumen!AC41*1000</f>
        <v>163468.68266399999</v>
      </c>
      <c r="AD41" s="65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[6]Resumen!F42*1000</f>
        <v>0</v>
      </c>
      <c r="G42" s="7">
        <f>[6]Resumen!G42*1000</f>
        <v>0</v>
      </c>
      <c r="H42" s="7">
        <f>[6]Resumen!H42*1000</f>
        <v>0</v>
      </c>
      <c r="I42" s="7">
        <f>[6]Resumen!I42*1000</f>
        <v>0</v>
      </c>
      <c r="J42" s="7">
        <f>[6]Resumen!J42*1000</f>
        <v>0</v>
      </c>
      <c r="K42" s="7">
        <f>[6]Resumen!K42*1000</f>
        <v>0</v>
      </c>
      <c r="L42" s="7">
        <f>[6]Resumen!L42*1000</f>
        <v>0</v>
      </c>
      <c r="M42" s="7">
        <f>[6]Resumen!M42*1000</f>
        <v>0</v>
      </c>
      <c r="N42" s="7">
        <f>[6]Resumen!N42*1000</f>
        <v>0</v>
      </c>
      <c r="O42" s="7">
        <f>[6]Resumen!O42*1000</f>
        <v>0</v>
      </c>
      <c r="P42" s="7">
        <f>[6]Resumen!P42*1000</f>
        <v>0</v>
      </c>
      <c r="Q42" s="7">
        <f>[6]Resumen!Q42*1000</f>
        <v>0</v>
      </c>
      <c r="R42" s="7">
        <f>[6]Resumen!R42*1000</f>
        <v>0</v>
      </c>
      <c r="S42" s="7">
        <f>[6]Resumen!S42*1000</f>
        <v>0</v>
      </c>
      <c r="T42" s="7">
        <f>[6]Resumen!T42*1000</f>
        <v>0</v>
      </c>
      <c r="U42" s="7">
        <f>[6]Resumen!U42*1000</f>
        <v>0</v>
      </c>
      <c r="V42" s="7">
        <f>[6]Resumen!V42*1000</f>
        <v>0</v>
      </c>
      <c r="W42" s="7">
        <f>[6]Resumen!W42*1000</f>
        <v>0</v>
      </c>
      <c r="X42" s="7">
        <f>[6]Resumen!X42*1000</f>
        <v>0</v>
      </c>
      <c r="Y42" s="7">
        <f>[6]Resumen!Y42*1000</f>
        <v>0</v>
      </c>
      <c r="Z42" s="7">
        <f>[6]Resumen!Z42*1000</f>
        <v>0</v>
      </c>
      <c r="AA42" s="7">
        <f>[6]Resumen!AA42*1000</f>
        <v>0</v>
      </c>
      <c r="AB42" s="7">
        <f>[6]Resumen!AB42*1000</f>
        <v>0</v>
      </c>
      <c r="AC42" s="7">
        <f>[6]Resumen!AC42*1000</f>
        <v>0</v>
      </c>
      <c r="AD42" s="66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20</v>
      </c>
      <c r="F43" s="7">
        <f>[6]Resumen!F43*1000</f>
        <v>152167.64838600002</v>
      </c>
      <c r="G43" s="7">
        <f>[6]Resumen!G43*1000</f>
        <v>142343.172528</v>
      </c>
      <c r="H43" s="7">
        <f>[6]Resumen!H43*1000</f>
        <v>137717.84738399999</v>
      </c>
      <c r="I43" s="7">
        <f>[6]Resumen!I43*1000</f>
        <v>137619.639666</v>
      </c>
      <c r="J43" s="7">
        <f>[6]Resumen!J43*1000</f>
        <v>156036.90223799998</v>
      </c>
      <c r="K43" s="7">
        <f>[6]Resumen!K43*1000</f>
        <v>182573.32690799999</v>
      </c>
      <c r="L43" s="7">
        <f>[6]Resumen!L43*1000</f>
        <v>208089.95929199998</v>
      </c>
      <c r="M43" s="7">
        <f>[6]Resumen!M43*1000</f>
        <v>198079.65035400001</v>
      </c>
      <c r="N43" s="7">
        <f>[6]Resumen!N43*1000</f>
        <v>211445.653788</v>
      </c>
      <c r="O43" s="7">
        <f>[6]Resumen!O43*1000</f>
        <v>220839.70970400001</v>
      </c>
      <c r="P43" s="7">
        <f>[6]Resumen!P43*1000</f>
        <v>234624.593784</v>
      </c>
      <c r="Q43" s="7">
        <f>[6]Resumen!Q43*1000</f>
        <v>246739.84162799997</v>
      </c>
      <c r="R43" s="7">
        <f>[6]Resumen!R43*1000</f>
        <v>248890.837356</v>
      </c>
      <c r="S43" s="7">
        <f>[6]Resumen!S43*1000</f>
        <v>245358.70179599998</v>
      </c>
      <c r="T43" s="7">
        <f>[6]Resumen!T43*1000</f>
        <v>246631.98048600001</v>
      </c>
      <c r="U43" s="7">
        <f>[6]Resumen!U43*1000</f>
        <v>246832.91454599999</v>
      </c>
      <c r="V43" s="7">
        <f>[6]Resumen!V43*1000</f>
        <v>241856.50445400001</v>
      </c>
      <c r="W43" s="7">
        <f>[6]Resumen!W43*1000</f>
        <v>258411.25369799999</v>
      </c>
      <c r="X43" s="7">
        <f>[6]Resumen!X43*1000</f>
        <v>281635.04850600002</v>
      </c>
      <c r="Y43" s="7">
        <f>[6]Resumen!Y43*1000</f>
        <v>276448.71845400002</v>
      </c>
      <c r="Z43" s="7">
        <f>[6]Resumen!Z43*1000</f>
        <v>260628.45100200002</v>
      </c>
      <c r="AA43" s="7">
        <f>[6]Resumen!AA43*1000</f>
        <v>228559.35168600001</v>
      </c>
      <c r="AB43" s="7">
        <f>[6]Resumen!AB43*1000</f>
        <v>197890.04319599998</v>
      </c>
      <c r="AC43" s="7">
        <f>[6]Resumen!AC43*1000</f>
        <v>166154.24141399999</v>
      </c>
      <c r="AD43" s="64">
        <f t="shared" ref="AD43" si="5">SUM(F43:AC43)*E43+SUM(F44:AC44)*E44+SUM(F45:AC45)*E45+SUM(F46:AC46)*E46</f>
        <v>152676074.84187597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5</v>
      </c>
      <c r="F44" s="7">
        <f>[6]Resumen!F44*1000</f>
        <v>163149.30977399999</v>
      </c>
      <c r="G44" s="7">
        <f>[6]Resumen!G44*1000</f>
        <v>151395.70355999999</v>
      </c>
      <c r="H44" s="7">
        <f>[6]Resumen!H44*1000</f>
        <v>144694.91326200002</v>
      </c>
      <c r="I44" s="7">
        <f>[6]Resumen!I44*1000</f>
        <v>142692.49063799999</v>
      </c>
      <c r="J44" s="7">
        <f>[6]Resumen!J44*1000</f>
        <v>149831.26070400001</v>
      </c>
      <c r="K44" s="7">
        <f>[6]Resumen!K44*1000</f>
        <v>161651.62632000001</v>
      </c>
      <c r="L44" s="7">
        <f>[6]Resumen!L44*1000</f>
        <v>181070.781732</v>
      </c>
      <c r="M44" s="7">
        <f>[6]Resumen!M44*1000</f>
        <v>177916.56978600001</v>
      </c>
      <c r="N44" s="7">
        <f>[6]Resumen!N44*1000</f>
        <v>197142.98114399999</v>
      </c>
      <c r="O44" s="7">
        <f>[6]Resumen!O44*1000</f>
        <v>209767.03632000001</v>
      </c>
      <c r="P44" s="7">
        <f>[6]Resumen!P44*1000</f>
        <v>221480.85717</v>
      </c>
      <c r="Q44" s="7">
        <f>[6]Resumen!Q44*1000</f>
        <v>230019.161322</v>
      </c>
      <c r="R44" s="7">
        <f>[6]Resumen!R44*1000</f>
        <v>231217.376238</v>
      </c>
      <c r="S44" s="7">
        <f>[6]Resumen!S44*1000</f>
        <v>225993.42444</v>
      </c>
      <c r="T44" s="7">
        <f>[6]Resumen!T44*1000</f>
        <v>222534.47845200001</v>
      </c>
      <c r="U44" s="7">
        <f>[6]Resumen!U44*1000</f>
        <v>222546.227808</v>
      </c>
      <c r="V44" s="7">
        <f>[6]Resumen!V44*1000</f>
        <v>219483.02085599999</v>
      </c>
      <c r="W44" s="7">
        <f>[6]Resumen!W44*1000</f>
        <v>240413.613984</v>
      </c>
      <c r="X44" s="7">
        <f>[6]Resumen!X44*1000</f>
        <v>255388.41094199996</v>
      </c>
      <c r="Y44" s="7">
        <f>[6]Resumen!Y44*1000</f>
        <v>249381.087054</v>
      </c>
      <c r="Z44" s="7">
        <f>[6]Resumen!Z44*1000</f>
        <v>235252.024332</v>
      </c>
      <c r="AA44" s="7">
        <f>[6]Resumen!AA44*1000</f>
        <v>215612.58600000001</v>
      </c>
      <c r="AB44" s="7">
        <f>[6]Resumen!AB44*1000</f>
        <v>193173.192576</v>
      </c>
      <c r="AC44" s="7">
        <f>[6]Resumen!AC44*1000</f>
        <v>172003.100706</v>
      </c>
      <c r="AD44" s="65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5</v>
      </c>
      <c r="F45" s="7">
        <f>[6]Resumen!F45*1000</f>
        <v>161347.43143199998</v>
      </c>
      <c r="G45" s="7">
        <f>[6]Resumen!G45*1000</f>
        <v>150291.457818</v>
      </c>
      <c r="H45" s="7">
        <f>[6]Resumen!H45*1000</f>
        <v>142746.72346200002</v>
      </c>
      <c r="I45" s="7">
        <f>[6]Resumen!I45*1000</f>
        <v>138922.45045800001</v>
      </c>
      <c r="J45" s="7">
        <f>[6]Resumen!J45*1000</f>
        <v>140294.31497400001</v>
      </c>
      <c r="K45" s="7">
        <f>[6]Resumen!K45*1000</f>
        <v>144109.34533799998</v>
      </c>
      <c r="L45" s="7">
        <f>[6]Resumen!L45*1000</f>
        <v>152423.26339799998</v>
      </c>
      <c r="M45" s="7">
        <f>[6]Resumen!M45*1000</f>
        <v>144620.74107600001</v>
      </c>
      <c r="N45" s="7">
        <f>[6]Resumen!N45*1000</f>
        <v>159290.60326800001</v>
      </c>
      <c r="O45" s="7">
        <f>[6]Resumen!O45*1000</f>
        <v>172824.65703600002</v>
      </c>
      <c r="P45" s="7">
        <f>[6]Resumen!P45*1000</f>
        <v>185016.41573400001</v>
      </c>
      <c r="Q45" s="7">
        <f>[6]Resumen!Q45*1000</f>
        <v>196406.70684</v>
      </c>
      <c r="R45" s="7">
        <f>[6]Resumen!R45*1000</f>
        <v>203348.347266</v>
      </c>
      <c r="S45" s="7">
        <f>[6]Resumen!S45*1000</f>
        <v>203781.41863199999</v>
      </c>
      <c r="T45" s="7">
        <f>[6]Resumen!T45*1000</f>
        <v>199892.507832</v>
      </c>
      <c r="U45" s="7">
        <f>[6]Resumen!U45*1000</f>
        <v>197359.36628399999</v>
      </c>
      <c r="V45" s="7">
        <f>[6]Resumen!V45*1000</f>
        <v>195392.68653599999</v>
      </c>
      <c r="W45" s="7">
        <f>[6]Resumen!W45*1000</f>
        <v>215966.78450400001</v>
      </c>
      <c r="X45" s="7">
        <f>[6]Resumen!X45*1000</f>
        <v>236629.68650400001</v>
      </c>
      <c r="Y45" s="7">
        <f>[6]Resumen!Y45*1000</f>
        <v>234878.85974400002</v>
      </c>
      <c r="Z45" s="7">
        <f>[6]Resumen!Z45*1000</f>
        <v>223941.13123799997</v>
      </c>
      <c r="AA45" s="7">
        <f>[6]Resumen!AA45*1000</f>
        <v>206814.34660200001</v>
      </c>
      <c r="AB45" s="7">
        <f>[6]Resumen!AB45*1000</f>
        <v>184109.255286</v>
      </c>
      <c r="AC45" s="7">
        <f>[6]Resumen!AC45*1000</f>
        <v>161772.80993399999</v>
      </c>
      <c r="AD45" s="65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[6]Resumen!F46*1000</f>
        <v>152864.188674</v>
      </c>
      <c r="G46" s="7">
        <f>[6]Resumen!G46*1000</f>
        <v>142090.08057000002</v>
      </c>
      <c r="H46" s="7">
        <f>[6]Resumen!H46*1000</f>
        <v>134983.22328599999</v>
      </c>
      <c r="I46" s="7">
        <f>[6]Resumen!I46*1000</f>
        <v>132076.88214</v>
      </c>
      <c r="J46" s="7">
        <f>[6]Resumen!J46*1000</f>
        <v>135193.52602199998</v>
      </c>
      <c r="K46" s="7">
        <f>[6]Resumen!K46*1000</f>
        <v>140574.10322399999</v>
      </c>
      <c r="L46" s="7">
        <f>[6]Resumen!L46*1000</f>
        <v>148531.659162</v>
      </c>
      <c r="M46" s="7">
        <f>[6]Resumen!M46*1000</f>
        <v>140388.77895599999</v>
      </c>
      <c r="N46" s="7">
        <f>[6]Resumen!N46*1000</f>
        <v>156704.07147</v>
      </c>
      <c r="O46" s="7">
        <f>[6]Resumen!O46*1000</f>
        <v>171696.77954400002</v>
      </c>
      <c r="P46" s="7">
        <f>[6]Resumen!P46*1000</f>
        <v>183777.30913799998</v>
      </c>
      <c r="Q46" s="7">
        <f>[6]Resumen!Q46*1000</f>
        <v>196540.30499999999</v>
      </c>
      <c r="R46" s="7">
        <f>[6]Resumen!R46*1000</f>
        <v>206799.13825799999</v>
      </c>
      <c r="S46" s="7">
        <f>[6]Resumen!S46*1000</f>
        <v>204190.739214</v>
      </c>
      <c r="T46" s="7">
        <f>[6]Resumen!T46*1000</f>
        <v>198210.03692999997</v>
      </c>
      <c r="U46" s="7">
        <f>[6]Resumen!U46*1000</f>
        <v>195606.368904</v>
      </c>
      <c r="V46" s="7">
        <f>[6]Resumen!V46*1000</f>
        <v>194377.82832599999</v>
      </c>
      <c r="W46" s="7">
        <f>[6]Resumen!W46*1000</f>
        <v>218656.15701</v>
      </c>
      <c r="X46" s="7">
        <f>[6]Resumen!X46*1000</f>
        <v>240054.04961399999</v>
      </c>
      <c r="Y46" s="7">
        <f>[6]Resumen!Y46*1000</f>
        <v>238814.12145000001</v>
      </c>
      <c r="Z46" s="7">
        <f>[6]Resumen!Z46*1000</f>
        <v>224832.99231599999</v>
      </c>
      <c r="AA46" s="7">
        <f>[6]Resumen!AA46*1000</f>
        <v>203593.718352</v>
      </c>
      <c r="AB46" s="7">
        <f>[6]Resumen!AB46*1000</f>
        <v>178307.68049999999</v>
      </c>
      <c r="AC46" s="7">
        <f>[6]Resumen!AC46*1000</f>
        <v>155728.527156</v>
      </c>
      <c r="AD46" s="66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[6]Resumen!F47*1000</f>
        <v>154206.710142</v>
      </c>
      <c r="G47" s="7">
        <f>[6]Resumen!G47*1000</f>
        <v>144316.002366</v>
      </c>
      <c r="H47" s="7">
        <f>[6]Resumen!H47*1000</f>
        <v>139049.40138600001</v>
      </c>
      <c r="I47" s="7">
        <f>[6]Resumen!I47*1000</f>
        <v>138850.25050200001</v>
      </c>
      <c r="J47" s="7">
        <f>[6]Resumen!J47*1000</f>
        <v>157154.134356</v>
      </c>
      <c r="K47" s="7">
        <f>[6]Resumen!K47*1000</f>
        <v>183378.61525800001</v>
      </c>
      <c r="L47" s="7">
        <f>[6]Resumen!L47*1000</f>
        <v>210529.74083999998</v>
      </c>
      <c r="M47" s="7">
        <f>[6]Resumen!M47*1000</f>
        <v>200176.16585400002</v>
      </c>
      <c r="N47" s="7">
        <f>[6]Resumen!N47*1000</f>
        <v>213618.640464</v>
      </c>
      <c r="O47" s="7">
        <f>[6]Resumen!O47*1000</f>
        <v>222739.258944</v>
      </c>
      <c r="P47" s="7">
        <f>[6]Resumen!P47*1000</f>
        <v>236748.04131</v>
      </c>
      <c r="Q47" s="7">
        <f>[6]Resumen!Q47*1000</f>
        <v>247820.913084</v>
      </c>
      <c r="R47" s="7">
        <f>[6]Resumen!R47*1000</f>
        <v>249373.36851599999</v>
      </c>
      <c r="S47" s="7">
        <f>[6]Resumen!S47*1000</f>
        <v>246765.667338</v>
      </c>
      <c r="T47" s="7">
        <f>[6]Resumen!T47*1000</f>
        <v>248893.379082</v>
      </c>
      <c r="U47" s="7">
        <f>[6]Resumen!U47*1000</f>
        <v>249341.78949599998</v>
      </c>
      <c r="V47" s="7">
        <f>[6]Resumen!V47*1000</f>
        <v>244278.63396000001</v>
      </c>
      <c r="W47" s="7">
        <f>[6]Resumen!W47*1000</f>
        <v>263299.60897200002</v>
      </c>
      <c r="X47" s="7">
        <f>[6]Resumen!X47*1000</f>
        <v>284744.48032799998</v>
      </c>
      <c r="Y47" s="7">
        <f>[6]Resumen!Y47*1000</f>
        <v>278684.53407599998</v>
      </c>
      <c r="Z47" s="7">
        <f>[6]Resumen!Z47*1000</f>
        <v>262860.67226399999</v>
      </c>
      <c r="AA47" s="7">
        <f>[6]Resumen!AA47*1000</f>
        <v>231274.05976200002</v>
      </c>
      <c r="AB47" s="7">
        <f>[6]Resumen!AB47*1000</f>
        <v>200672.252886</v>
      </c>
      <c r="AC47" s="7">
        <f>[6]Resumen!AC47*1000</f>
        <v>168556.62294599999</v>
      </c>
      <c r="AD47" s="64">
        <f t="shared" ref="AD47" si="6">SUM(F47:AC47)*E47+SUM(F48:AC48)*E48+SUM(F49:AC49)*E49+SUM(F50:AC50)*E50</f>
        <v>149756484.43678802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[6]Resumen!F48*1000</f>
        <v>164976.01020599998</v>
      </c>
      <c r="G48" s="7">
        <f>[6]Resumen!G48*1000</f>
        <v>152796.76174799999</v>
      </c>
      <c r="H48" s="7">
        <f>[6]Resumen!H48*1000</f>
        <v>146196.993972</v>
      </c>
      <c r="I48" s="7">
        <f>[6]Resumen!I48*1000</f>
        <v>144729.23473199998</v>
      </c>
      <c r="J48" s="7">
        <f>[6]Resumen!J48*1000</f>
        <v>151777.244874</v>
      </c>
      <c r="K48" s="7">
        <f>[6]Resumen!K48*1000</f>
        <v>163609.161456</v>
      </c>
      <c r="L48" s="7">
        <f>[6]Resumen!L48*1000</f>
        <v>184279.49024400002</v>
      </c>
      <c r="M48" s="7">
        <f>[6]Resumen!M48*1000</f>
        <v>181405.48199999999</v>
      </c>
      <c r="N48" s="7">
        <f>[6]Resumen!N48*1000</f>
        <v>200349.16426799999</v>
      </c>
      <c r="O48" s="7">
        <f>[6]Resumen!O48*1000</f>
        <v>212894.099178</v>
      </c>
      <c r="P48" s="7">
        <f>[6]Resumen!P48*1000</f>
        <v>225255.02852999998</v>
      </c>
      <c r="Q48" s="7">
        <f>[6]Resumen!Q48*1000</f>
        <v>233625.49240799999</v>
      </c>
      <c r="R48" s="7">
        <f>[6]Resumen!R48*1000</f>
        <v>234025.61936399998</v>
      </c>
      <c r="S48" s="7">
        <f>[6]Resumen!S48*1000</f>
        <v>228725.07735599999</v>
      </c>
      <c r="T48" s="7">
        <f>[6]Resumen!T48*1000</f>
        <v>223870.43437800001</v>
      </c>
      <c r="U48" s="7">
        <f>[6]Resumen!U48*1000</f>
        <v>222350.03877000001</v>
      </c>
      <c r="V48" s="7">
        <f>[6]Resumen!V48*1000</f>
        <v>220628.93083199998</v>
      </c>
      <c r="W48" s="7">
        <f>[6]Resumen!W48*1000</f>
        <v>244627.92406200001</v>
      </c>
      <c r="X48" s="7">
        <f>[6]Resumen!X48*1000</f>
        <v>259921.75314599994</v>
      </c>
      <c r="Y48" s="7">
        <f>[6]Resumen!Y48*1000</f>
        <v>253803.61794000003</v>
      </c>
      <c r="Z48" s="7">
        <f>[6]Resumen!Z48*1000</f>
        <v>239909.53300200001</v>
      </c>
      <c r="AA48" s="7">
        <f>[6]Resumen!AA48*1000</f>
        <v>220822.04832599999</v>
      </c>
      <c r="AB48" s="7">
        <f>[6]Resumen!AB48*1000</f>
        <v>198458.86467000001</v>
      </c>
      <c r="AC48" s="7">
        <f>[6]Resumen!AC48*1000</f>
        <v>177037.93081799999</v>
      </c>
      <c r="AD48" s="65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[6]Resumen!F49*1000</f>
        <v>166198.60608600001</v>
      </c>
      <c r="G49" s="7">
        <f>[6]Resumen!G49*1000</f>
        <v>154405.847022</v>
      </c>
      <c r="H49" s="7">
        <f>[6]Resumen!H49*1000</f>
        <v>146134.111344</v>
      </c>
      <c r="I49" s="7">
        <f>[6]Resumen!I49*1000</f>
        <v>142470.69995400001</v>
      </c>
      <c r="J49" s="7">
        <f>[6]Resumen!J49*1000</f>
        <v>143900.71607999998</v>
      </c>
      <c r="K49" s="7">
        <f>[6]Resumen!K49*1000</f>
        <v>148262.369244</v>
      </c>
      <c r="L49" s="7">
        <f>[6]Resumen!L49*1000</f>
        <v>156366.58440599998</v>
      </c>
      <c r="M49" s="7">
        <f>[6]Resumen!M49*1000</f>
        <v>147975.97577399999</v>
      </c>
      <c r="N49" s="7">
        <f>[6]Resumen!N49*1000</f>
        <v>163199.92022999999</v>
      </c>
      <c r="O49" s="7">
        <f>[6]Resumen!O49*1000</f>
        <v>176494.74599999998</v>
      </c>
      <c r="P49" s="7">
        <f>[6]Resumen!P49*1000</f>
        <v>188022.12226200002</v>
      </c>
      <c r="Q49" s="7">
        <f>[6]Resumen!Q49*1000</f>
        <v>199520.28851399999</v>
      </c>
      <c r="R49" s="7">
        <f>[6]Resumen!R49*1000</f>
        <v>206112.50579999998</v>
      </c>
      <c r="S49" s="7">
        <f>[6]Resumen!S49*1000</f>
        <v>207203.704482</v>
      </c>
      <c r="T49" s="7">
        <f>[6]Resumen!T49*1000</f>
        <v>203640.97951800001</v>
      </c>
      <c r="U49" s="7">
        <f>[6]Resumen!U49*1000</f>
        <v>201640.965582</v>
      </c>
      <c r="V49" s="7">
        <f>[6]Resumen!V49*1000</f>
        <v>199825.60838999998</v>
      </c>
      <c r="W49" s="7">
        <f>[6]Resumen!W49*1000</f>
        <v>224534.99886599998</v>
      </c>
      <c r="X49" s="7">
        <f>[6]Resumen!X49*1000</f>
        <v>241028.77469399999</v>
      </c>
      <c r="Y49" s="7">
        <f>[6]Resumen!Y49*1000</f>
        <v>238374.269814</v>
      </c>
      <c r="Z49" s="7">
        <f>[6]Resumen!Z49*1000</f>
        <v>226368.58693200001</v>
      </c>
      <c r="AA49" s="7">
        <f>[6]Resumen!AA49*1000</f>
        <v>209607.995226</v>
      </c>
      <c r="AB49" s="7">
        <f>[6]Resumen!AB49*1000</f>
        <v>187578.54556200001</v>
      </c>
      <c r="AC49" s="7">
        <f>[6]Resumen!AC49*1000</f>
        <v>166291.39658999999</v>
      </c>
      <c r="AD49" s="65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[6]Resumen!F50*1000</f>
        <v>158571.82229400001</v>
      </c>
      <c r="G50" s="7">
        <f>[6]Resumen!G50*1000</f>
        <v>147091.80989400001</v>
      </c>
      <c r="H50" s="7">
        <f>[6]Resumen!H50*1000</f>
        <v>140603.39725799998</v>
      </c>
      <c r="I50" s="7">
        <f>[6]Resumen!I50*1000</f>
        <v>137517.56451</v>
      </c>
      <c r="J50" s="7">
        <f>[6]Resumen!J50*1000</f>
        <v>140866.742478</v>
      </c>
      <c r="K50" s="7">
        <f>[6]Resumen!K50*1000</f>
        <v>146248.080564</v>
      </c>
      <c r="L50" s="7">
        <f>[6]Resumen!L50*1000</f>
        <v>153253.373838</v>
      </c>
      <c r="M50" s="7">
        <f>[6]Resumen!M50*1000</f>
        <v>145474.84270199999</v>
      </c>
      <c r="N50" s="7">
        <f>[6]Resumen!N50*1000</f>
        <v>161705.94550200002</v>
      </c>
      <c r="O50" s="7">
        <f>[6]Resumen!O50*1000</f>
        <v>175926.314304</v>
      </c>
      <c r="P50" s="7">
        <f>[6]Resumen!P50*1000</f>
        <v>188974.73736</v>
      </c>
      <c r="Q50" s="7">
        <f>[6]Resumen!Q50*1000</f>
        <v>203334.105198</v>
      </c>
      <c r="R50" s="7">
        <f>[6]Resumen!R50*1000</f>
        <v>212824.48295999999</v>
      </c>
      <c r="S50" s="7">
        <f>[6]Resumen!S50*1000</f>
        <v>212371.997382</v>
      </c>
      <c r="T50" s="7">
        <f>[6]Resumen!T50*1000</f>
        <v>207466.77662399999</v>
      </c>
      <c r="U50" s="7">
        <f>[6]Resumen!U50*1000</f>
        <v>204909.62988600001</v>
      </c>
      <c r="V50" s="7">
        <f>[6]Resumen!V50*1000</f>
        <v>202284.02459400002</v>
      </c>
      <c r="W50" s="7">
        <f>[6]Resumen!W50*1000</f>
        <v>226023.29263799998</v>
      </c>
      <c r="X50" s="7">
        <f>[6]Resumen!X50*1000</f>
        <v>245714.478084</v>
      </c>
      <c r="Y50" s="7">
        <f>[6]Resumen!Y50*1000</f>
        <v>243517.693944</v>
      </c>
      <c r="Z50" s="7">
        <f>[6]Resumen!Z50*1000</f>
        <v>230261.90198999998</v>
      </c>
      <c r="AA50" s="7">
        <f>[6]Resumen!AA50*1000</f>
        <v>209967.821004</v>
      </c>
      <c r="AB50" s="7">
        <f>[6]Resumen!AB50*1000</f>
        <v>185354.71502999999</v>
      </c>
      <c r="AC50" s="7">
        <f>[6]Resumen!AC50*1000</f>
        <v>162174.71773199999</v>
      </c>
      <c r="AD50" s="66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22</v>
      </c>
      <c r="F51" s="7">
        <f>[6]Resumen!F51*1000</f>
        <v>161630.45460599998</v>
      </c>
      <c r="G51" s="7">
        <f>[6]Resumen!G51*1000</f>
        <v>149889.26760599998</v>
      </c>
      <c r="H51" s="7">
        <f>[6]Resumen!H51*1000</f>
        <v>143467.12656599999</v>
      </c>
      <c r="I51" s="7">
        <f>[6]Resumen!I51*1000</f>
        <v>142395.370104</v>
      </c>
      <c r="J51" s="7">
        <f>[6]Resumen!J51*1000</f>
        <v>157266.047322</v>
      </c>
      <c r="K51" s="7">
        <f>[6]Resumen!K51*1000</f>
        <v>175862.089626</v>
      </c>
      <c r="L51" s="7">
        <f>[6]Resumen!L51*1000</f>
        <v>198856.398552</v>
      </c>
      <c r="M51" s="7">
        <f>[6]Resumen!M51*1000</f>
        <v>194776.2678</v>
      </c>
      <c r="N51" s="7">
        <f>[6]Resumen!N51*1000</f>
        <v>211645.775616</v>
      </c>
      <c r="O51" s="7">
        <f>[6]Resumen!O51*1000</f>
        <v>222964.94040599998</v>
      </c>
      <c r="P51" s="7">
        <f>[6]Resumen!P51*1000</f>
        <v>235210.474464</v>
      </c>
      <c r="Q51" s="7">
        <f>[6]Resumen!Q51*1000</f>
        <v>246158.302188</v>
      </c>
      <c r="R51" s="7">
        <f>[6]Resumen!R51*1000</f>
        <v>250917.87667799997</v>
      </c>
      <c r="S51" s="7">
        <f>[6]Resumen!S51*1000</f>
        <v>248416.657248</v>
      </c>
      <c r="T51" s="7">
        <f>[6]Resumen!T51*1000</f>
        <v>249097.95885</v>
      </c>
      <c r="U51" s="7">
        <f>[6]Resumen!U51*1000</f>
        <v>249273.92611199999</v>
      </c>
      <c r="V51" s="7">
        <f>[6]Resumen!V51*1000</f>
        <v>244734.186414</v>
      </c>
      <c r="W51" s="7">
        <f>[6]Resumen!W51*1000</f>
        <v>260858.12360400002</v>
      </c>
      <c r="X51" s="7">
        <f>[6]Resumen!X51*1000</f>
        <v>285709.47262799996</v>
      </c>
      <c r="Y51" s="7">
        <f>[6]Resumen!Y51*1000</f>
        <v>281738.12728199997</v>
      </c>
      <c r="Z51" s="7">
        <f>[6]Resumen!Z51*1000</f>
        <v>266513.25389399996</v>
      </c>
      <c r="AA51" s="7">
        <f>[6]Resumen!AA51*1000</f>
        <v>236890.37563199998</v>
      </c>
      <c r="AB51" s="7">
        <f>[6]Resumen!AB51*1000</f>
        <v>209106.07552800002</v>
      </c>
      <c r="AC51" s="7">
        <f>[6]Resumen!AC51*1000</f>
        <v>178252.36236599999</v>
      </c>
      <c r="AD51" s="64">
        <f t="shared" ref="AD51" si="7">SUM(F51:AC51)*E51+SUM(F52:AC52)*E52+SUM(F53:AC53)*E53+SUM(F54:AC54)*E54</f>
        <v>156101233.82720402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3</v>
      </c>
      <c r="F52" s="7">
        <f>[6]Resumen!F52*1000</f>
        <v>171303.55422600001</v>
      </c>
      <c r="G52" s="7">
        <f>[6]Resumen!G52*1000</f>
        <v>157885.17349799999</v>
      </c>
      <c r="H52" s="7">
        <f>[6]Resumen!H52*1000</f>
        <v>150332.15110799999</v>
      </c>
      <c r="I52" s="7">
        <f>[6]Resumen!I52*1000</f>
        <v>148038.80472000001</v>
      </c>
      <c r="J52" s="7">
        <f>[6]Resumen!J52*1000</f>
        <v>152934.03595799999</v>
      </c>
      <c r="K52" s="7">
        <f>[6]Resumen!K52*1000</f>
        <v>167837.28647999998</v>
      </c>
      <c r="L52" s="7">
        <f>[6]Resumen!L52*1000</f>
        <v>183715.47214199998</v>
      </c>
      <c r="M52" s="7">
        <f>[6]Resumen!M52*1000</f>
        <v>180649.08394799998</v>
      </c>
      <c r="N52" s="7">
        <f>[6]Resumen!N52*1000</f>
        <v>200429.183124</v>
      </c>
      <c r="O52" s="7">
        <f>[6]Resumen!O52*1000</f>
        <v>213094.25134799999</v>
      </c>
      <c r="P52" s="7">
        <f>[6]Resumen!P52*1000</f>
        <v>225095.04683400001</v>
      </c>
      <c r="Q52" s="7">
        <f>[6]Resumen!Q52*1000</f>
        <v>232949.08987199998</v>
      </c>
      <c r="R52" s="7">
        <f>[6]Resumen!R52*1000</f>
        <v>235896.46273799997</v>
      </c>
      <c r="S52" s="7">
        <f>[6]Resumen!S52*1000</f>
        <v>231476.966052</v>
      </c>
      <c r="T52" s="7">
        <f>[6]Resumen!T52*1000</f>
        <v>227232.76910400001</v>
      </c>
      <c r="U52" s="7">
        <f>[6]Resumen!U52*1000</f>
        <v>225688.18158599999</v>
      </c>
      <c r="V52" s="7">
        <f>[6]Resumen!V52*1000</f>
        <v>224139.38353199998</v>
      </c>
      <c r="W52" s="7">
        <f>[6]Resumen!W52*1000</f>
        <v>243921.30556199999</v>
      </c>
      <c r="X52" s="7">
        <f>[6]Resumen!X52*1000</f>
        <v>263207.42764199997</v>
      </c>
      <c r="Y52" s="7">
        <f>[6]Resumen!Y52*1000</f>
        <v>259785.561912</v>
      </c>
      <c r="Z52" s="7">
        <f>[6]Resumen!Z52*1000</f>
        <v>245759.73200999998</v>
      </c>
      <c r="AA52" s="7">
        <f>[6]Resumen!AA52*1000</f>
        <v>227034.68719199998</v>
      </c>
      <c r="AB52" s="7">
        <f>[6]Resumen!AB52*1000</f>
        <v>205796.98867799999</v>
      </c>
      <c r="AC52" s="7">
        <f>[6]Resumen!AC52*1000</f>
        <v>184058.859558</v>
      </c>
      <c r="AD52" s="65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[6]Resumen!F53*1000</f>
        <v>171999.63938400001</v>
      </c>
      <c r="G53" s="7">
        <f>[6]Resumen!G53*1000</f>
        <v>158659.828098</v>
      </c>
      <c r="H53" s="7">
        <f>[6]Resumen!H53*1000</f>
        <v>149884.30318799999</v>
      </c>
      <c r="I53" s="7">
        <f>[6]Resumen!I53*1000</f>
        <v>145651.265094</v>
      </c>
      <c r="J53" s="7">
        <f>[6]Resumen!J53*1000</f>
        <v>146910.61680599998</v>
      </c>
      <c r="K53" s="7">
        <f>[6]Resumen!K53*1000</f>
        <v>152111.38031399998</v>
      </c>
      <c r="L53" s="7">
        <f>[6]Resumen!L53*1000</f>
        <v>159742.848444</v>
      </c>
      <c r="M53" s="7">
        <f>[6]Resumen!M53*1000</f>
        <v>151744.48251599999</v>
      </c>
      <c r="N53" s="7">
        <f>[6]Resumen!N53*1000</f>
        <v>167916.11032800001</v>
      </c>
      <c r="O53" s="7">
        <f>[6]Resumen!O53*1000</f>
        <v>181764.43486199999</v>
      </c>
      <c r="P53" s="7">
        <f>[6]Resumen!P53*1000</f>
        <v>193338.794544</v>
      </c>
      <c r="Q53" s="7">
        <f>[6]Resumen!Q53*1000</f>
        <v>203485.80586200001</v>
      </c>
      <c r="R53" s="7">
        <f>[6]Resumen!R53*1000</f>
        <v>209988.925032</v>
      </c>
      <c r="S53" s="7">
        <f>[6]Resumen!S53*1000</f>
        <v>210994.001448</v>
      </c>
      <c r="T53" s="7">
        <f>[6]Resumen!T53*1000</f>
        <v>209047.48746</v>
      </c>
      <c r="U53" s="7">
        <f>[6]Resumen!U53*1000</f>
        <v>207938.80945200002</v>
      </c>
      <c r="V53" s="7">
        <f>[6]Resumen!V53*1000</f>
        <v>205537.08143999998</v>
      </c>
      <c r="W53" s="7">
        <f>[6]Resumen!W53*1000</f>
        <v>222213.77051399997</v>
      </c>
      <c r="X53" s="7">
        <f>[6]Resumen!X53*1000</f>
        <v>242566.96938600001</v>
      </c>
      <c r="Y53" s="7">
        <f>[6]Resumen!Y53*1000</f>
        <v>242106.96366000001</v>
      </c>
      <c r="Z53" s="7">
        <f>[6]Resumen!Z53*1000</f>
        <v>230199.66121200001</v>
      </c>
      <c r="AA53" s="7">
        <f>[6]Resumen!AA53*1000</f>
        <v>214043.47981200001</v>
      </c>
      <c r="AB53" s="7">
        <f>[6]Resumen!AB53*1000</f>
        <v>194503.23181200001</v>
      </c>
      <c r="AC53" s="7">
        <f>[6]Resumen!AC53*1000</f>
        <v>174146.35455599998</v>
      </c>
      <c r="AD53" s="65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[6]Resumen!F54*1000</f>
        <v>170835.45885599998</v>
      </c>
      <c r="G54" s="7">
        <f>[6]Resumen!G54*1000</f>
        <v>160206.859314</v>
      </c>
      <c r="H54" s="7">
        <f>[6]Resumen!H54*1000</f>
        <v>151252.57801200001</v>
      </c>
      <c r="I54" s="7">
        <f>[6]Resumen!I54*1000</f>
        <v>145654.73341799999</v>
      </c>
      <c r="J54" s="7">
        <f>[6]Resumen!J54*1000</f>
        <v>145053.80077199999</v>
      </c>
      <c r="K54" s="7">
        <f>[6]Resumen!K54*1000</f>
        <v>147196.681182</v>
      </c>
      <c r="L54" s="7">
        <f>[6]Resumen!L54*1000</f>
        <v>148907.38414799998</v>
      </c>
      <c r="M54" s="7">
        <f>[6]Resumen!M54*1000</f>
        <v>135419.19581399998</v>
      </c>
      <c r="N54" s="7">
        <f>[6]Resumen!N54*1000</f>
        <v>146484.552108</v>
      </c>
      <c r="O54" s="7">
        <f>[6]Resumen!O54*1000</f>
        <v>159607.803204</v>
      </c>
      <c r="P54" s="7">
        <f>[6]Resumen!P54*1000</f>
        <v>172002.07841399999</v>
      </c>
      <c r="Q54" s="7">
        <f>[6]Resumen!Q54*1000</f>
        <v>184738.53436200001</v>
      </c>
      <c r="R54" s="7">
        <f>[6]Resumen!R54*1000</f>
        <v>195531.45450599998</v>
      </c>
      <c r="S54" s="7">
        <f>[6]Resumen!S54*1000</f>
        <v>197886.64489200001</v>
      </c>
      <c r="T54" s="7">
        <f>[6]Resumen!T54*1000</f>
        <v>195802.49959200001</v>
      </c>
      <c r="U54" s="7">
        <f>[6]Resumen!U54*1000</f>
        <v>196075.00576200002</v>
      </c>
      <c r="V54" s="7">
        <f>[6]Resumen!V54*1000</f>
        <v>194525.92996199999</v>
      </c>
      <c r="W54" s="7">
        <f>[6]Resumen!W54*1000</f>
        <v>212659.03737000001</v>
      </c>
      <c r="X54" s="7">
        <f>[6]Resumen!X54*1000</f>
        <v>232669.64238599999</v>
      </c>
      <c r="Y54" s="7">
        <f>[6]Resumen!Y54*1000</f>
        <v>233047.59400799999</v>
      </c>
      <c r="Z54" s="7">
        <f>[6]Resumen!Z54*1000</f>
        <v>221331.950304</v>
      </c>
      <c r="AA54" s="7">
        <f>[6]Resumen!AA54*1000</f>
        <v>204751.172292</v>
      </c>
      <c r="AB54" s="7">
        <f>[6]Resumen!AB54*1000</f>
        <v>185362.49892000001</v>
      </c>
      <c r="AC54" s="7">
        <f>[6]Resumen!AC54*1000</f>
        <v>165289.12330800001</v>
      </c>
      <c r="AD54" s="66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49" t="s">
        <v>46</v>
      </c>
      <c r="AA55" s="52"/>
      <c r="AB55" s="50"/>
      <c r="AC55" s="51"/>
      <c r="AD55" s="60">
        <f>SUM(AD7:AD54)</f>
        <v>1827440843.328336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7"/>
    </row>
    <row r="58" spans="3:56">
      <c r="AD58" s="10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20B4-37FE-479A-A93F-66F6F3BB6B0E}">
  <sheetPr codeName="Hoja9"/>
  <dimension ref="A1:Y30"/>
  <sheetViews>
    <sheetView showGridLines="0" tabSelected="1" zoomScale="91" zoomScaleNormal="91" workbookViewId="0">
      <selection activeCell="I9" sqref="I9"/>
    </sheetView>
  </sheetViews>
  <sheetFormatPr baseColWidth="10" defaultColWidth="11.453125" defaultRowHeight="12.5"/>
  <cols>
    <col min="1" max="1" width="11.453125" style="18"/>
    <col min="2" max="2" width="13.81640625" style="18" customWidth="1"/>
    <col min="3" max="3" width="20.453125" style="18" customWidth="1"/>
    <col min="4" max="4" width="15.453125" style="18" bestFit="1" customWidth="1"/>
    <col min="5" max="5" width="14.54296875" style="18" customWidth="1"/>
    <col min="6" max="6" width="12.453125" style="18" customWidth="1"/>
    <col min="7" max="7" width="16.54296875" style="18" bestFit="1" customWidth="1"/>
    <col min="8" max="8" width="12.453125" style="18" customWidth="1"/>
    <col min="9" max="20" width="14.54296875" style="18" customWidth="1"/>
    <col min="21" max="24" width="17" style="18" customWidth="1"/>
    <col min="25" max="16384" width="11.453125" style="18"/>
  </cols>
  <sheetData>
    <row r="1" spans="2:25" ht="15" customHeight="1"/>
    <row r="2" spans="2:25" ht="13">
      <c r="B2" s="71" t="s">
        <v>47</v>
      </c>
      <c r="C2" s="71"/>
      <c r="D2" s="71"/>
      <c r="E2" s="71"/>
      <c r="F2" s="71"/>
      <c r="G2" s="19"/>
      <c r="H2" s="19"/>
      <c r="I2" s="19"/>
    </row>
    <row r="3" spans="2:25" ht="13">
      <c r="B3" s="72" t="s">
        <v>48</v>
      </c>
      <c r="C3" s="72"/>
      <c r="D3" s="72"/>
      <c r="E3" s="72"/>
      <c r="F3" s="72"/>
      <c r="G3" s="19"/>
      <c r="H3" s="19"/>
      <c r="I3" s="19"/>
    </row>
    <row r="4" spans="2:25" ht="13">
      <c r="B4" s="72" t="s">
        <v>67</v>
      </c>
      <c r="C4" s="72"/>
      <c r="D4" s="72"/>
      <c r="E4" s="72"/>
      <c r="F4" s="72"/>
      <c r="G4" s="19"/>
      <c r="H4" s="19"/>
      <c r="I4" s="19"/>
    </row>
    <row r="5" spans="2:25" ht="13.5" thickBot="1">
      <c r="B5" s="20"/>
      <c r="C5" s="20"/>
      <c r="D5" s="20"/>
      <c r="E5" s="20"/>
      <c r="F5" s="20"/>
      <c r="G5" s="19"/>
      <c r="H5" s="21"/>
      <c r="I5" s="21"/>
      <c r="Y5" s="21"/>
    </row>
    <row r="6" spans="2:25" ht="18" customHeight="1" thickBot="1">
      <c r="B6" s="73" t="s">
        <v>62</v>
      </c>
      <c r="C6" s="74"/>
      <c r="D6" s="74"/>
      <c r="E6" s="74"/>
      <c r="F6" s="75"/>
      <c r="G6" s="19"/>
      <c r="H6" s="21"/>
      <c r="I6" s="21"/>
      <c r="Y6" s="21"/>
    </row>
    <row r="7" spans="2:25" ht="18.75" customHeight="1" thickBot="1">
      <c r="B7" s="76" t="s">
        <v>49</v>
      </c>
      <c r="C7" s="78" t="s">
        <v>58</v>
      </c>
      <c r="D7" s="78"/>
      <c r="E7" s="78"/>
      <c r="F7" s="79"/>
      <c r="G7" s="21"/>
      <c r="H7" s="21"/>
      <c r="I7" s="21"/>
      <c r="Y7" s="21"/>
    </row>
    <row r="8" spans="2:25" ht="26.5" thickBot="1">
      <c r="B8" s="77"/>
      <c r="C8" s="45" t="s">
        <v>50</v>
      </c>
      <c r="D8" s="22" t="s">
        <v>51</v>
      </c>
      <c r="E8" s="23" t="s">
        <v>52</v>
      </c>
      <c r="F8" s="25" t="s">
        <v>53</v>
      </c>
      <c r="G8" s="21"/>
      <c r="H8" s="21"/>
      <c r="I8" s="21"/>
      <c r="Y8" s="21"/>
    </row>
    <row r="9" spans="2:25" s="26" customFormat="1" ht="18" customHeight="1">
      <c r="B9" s="55">
        <v>46388</v>
      </c>
      <c r="C9" s="53">
        <f>+'Cantidades 2027'!AD7</f>
        <v>40268590.081285998</v>
      </c>
      <c r="D9" s="80" t="s">
        <v>51</v>
      </c>
      <c r="E9" s="40"/>
      <c r="F9" s="68" t="s">
        <v>54</v>
      </c>
      <c r="G9" s="8"/>
    </row>
    <row r="10" spans="2:25" s="26" customFormat="1" ht="18" customHeight="1">
      <c r="B10" s="56">
        <v>46419</v>
      </c>
      <c r="C10" s="53">
        <f>+'Cantidades 2027'!AD11</f>
        <v>42743658.370000005</v>
      </c>
      <c r="D10" s="81"/>
      <c r="E10" s="41"/>
      <c r="F10" s="69"/>
      <c r="G10" s="8"/>
    </row>
    <row r="11" spans="2:25" s="26" customFormat="1" ht="18" customHeight="1">
      <c r="B11" s="56">
        <v>46447</v>
      </c>
      <c r="C11" s="53">
        <f>+'Cantidades 2027'!AD15</f>
        <v>43700782.191373996</v>
      </c>
      <c r="D11" s="81"/>
      <c r="E11" s="41"/>
      <c r="F11" s="69"/>
      <c r="G11" s="8"/>
    </row>
    <row r="12" spans="2:25" s="26" customFormat="1" ht="18" customHeight="1">
      <c r="B12" s="56">
        <v>46478</v>
      </c>
      <c r="C12" s="53">
        <f>+'Cantidades 2027'!AD19</f>
        <v>41482287.876931995</v>
      </c>
      <c r="D12" s="81"/>
      <c r="E12" s="41"/>
      <c r="F12" s="69"/>
      <c r="G12" s="8"/>
    </row>
    <row r="13" spans="2:25" s="26" customFormat="1" ht="18" customHeight="1">
      <c r="B13" s="56">
        <v>46508</v>
      </c>
      <c r="C13" s="53">
        <f>+'Cantidades 2027'!AD23</f>
        <v>34680250.754785992</v>
      </c>
      <c r="D13" s="81"/>
      <c r="E13" s="41"/>
      <c r="F13" s="69"/>
      <c r="G13" s="8"/>
    </row>
    <row r="14" spans="2:25" s="26" customFormat="1" ht="18" customHeight="1">
      <c r="B14" s="56">
        <v>46539</v>
      </c>
      <c r="C14" s="53">
        <f>+'Cantidades 2027'!AD27</f>
        <v>27234709.256019998</v>
      </c>
      <c r="D14" s="81"/>
      <c r="E14" s="41"/>
      <c r="F14" s="69"/>
      <c r="G14" s="8"/>
    </row>
    <row r="15" spans="2:25" s="26" customFormat="1" ht="18" customHeight="1">
      <c r="B15" s="56">
        <v>46569</v>
      </c>
      <c r="C15" s="53">
        <f>+'Cantidades 2027'!AD31</f>
        <v>34154192.795673996</v>
      </c>
      <c r="D15" s="81"/>
      <c r="E15" s="41"/>
      <c r="F15" s="69"/>
      <c r="G15" s="8"/>
    </row>
    <row r="16" spans="2:25" s="26" customFormat="1" ht="18" customHeight="1">
      <c r="B16" s="56">
        <v>46600</v>
      </c>
      <c r="C16" s="53">
        <f>+'Cantidades 2027'!AD35</f>
        <v>33336328.849096</v>
      </c>
      <c r="D16" s="81"/>
      <c r="E16" s="41"/>
      <c r="F16" s="69"/>
      <c r="G16" s="8"/>
    </row>
    <row r="17" spans="1:7" s="26" customFormat="1" ht="18" customHeight="1">
      <c r="B17" s="56">
        <v>46631</v>
      </c>
      <c r="C17" s="53">
        <f>+'Cantidades 2027'!AD39</f>
        <v>40506337.824035995</v>
      </c>
      <c r="D17" s="81"/>
      <c r="E17" s="41"/>
      <c r="F17" s="69"/>
      <c r="G17" s="8"/>
    </row>
    <row r="18" spans="1:7" s="26" customFormat="1" ht="18" customHeight="1">
      <c r="B18" s="56">
        <v>46661</v>
      </c>
      <c r="C18" s="53">
        <f>+'Cantidades 2027'!AD43</f>
        <v>38955128.019317992</v>
      </c>
      <c r="D18" s="81"/>
      <c r="E18" s="41"/>
      <c r="F18" s="69"/>
      <c r="G18" s="8"/>
    </row>
    <row r="19" spans="1:7" s="26" customFormat="1" ht="18" customHeight="1">
      <c r="B19" s="56">
        <v>46692</v>
      </c>
      <c r="C19" s="53">
        <f>+'Cantidades 2027'!AD47</f>
        <v>39641632.117527992</v>
      </c>
      <c r="D19" s="81"/>
      <c r="E19" s="41"/>
      <c r="F19" s="69"/>
      <c r="G19" s="8"/>
    </row>
    <row r="20" spans="1:7" s="26" customFormat="1" ht="18" customHeight="1">
      <c r="B20" s="56">
        <v>46722</v>
      </c>
      <c r="C20" s="53">
        <f>+'Cantidades 2027'!AD51</f>
        <v>44711422.895510003</v>
      </c>
      <c r="D20" s="81"/>
      <c r="E20" s="41"/>
      <c r="F20" s="69"/>
      <c r="G20" s="8"/>
    </row>
    <row r="21" spans="1:7" s="26" customFormat="1" ht="18" customHeight="1" thickBot="1">
      <c r="B21" s="57" t="s">
        <v>55</v>
      </c>
      <c r="C21" s="54">
        <f>SUM(C9:C20)</f>
        <v>461415321.03156</v>
      </c>
      <c r="D21" s="82"/>
      <c r="E21" s="42"/>
      <c r="F21" s="70"/>
      <c r="G21" s="8"/>
    </row>
    <row r="22" spans="1:7">
      <c r="B22" s="26"/>
      <c r="C22" s="2"/>
      <c r="D22" s="26"/>
      <c r="E22" s="26"/>
      <c r="F22" s="26"/>
    </row>
    <row r="23" spans="1:7">
      <c r="B23" s="26"/>
      <c r="C23" s="2">
        <f>+C21/1000</f>
        <v>461415.32103156002</v>
      </c>
      <c r="D23" s="32"/>
      <c r="E23" s="32"/>
      <c r="F23" s="26"/>
    </row>
    <row r="24" spans="1:7" ht="14.5">
      <c r="A24" s="33" t="s">
        <v>56</v>
      </c>
      <c r="B24" s="26"/>
      <c r="C24" s="26"/>
      <c r="D24" s="2"/>
      <c r="E24" s="34"/>
      <c r="F24" s="26"/>
    </row>
    <row r="25" spans="1:7" ht="14.5">
      <c r="A25" s="35" t="s">
        <v>64</v>
      </c>
      <c r="B25" s="26"/>
      <c r="C25" s="26"/>
      <c r="D25" s="26"/>
      <c r="E25" s="26"/>
      <c r="F25" s="26"/>
    </row>
    <row r="26" spans="1:7" ht="14.5">
      <c r="A26" s="35" t="s">
        <v>57</v>
      </c>
      <c r="B26" s="26"/>
      <c r="C26" s="26"/>
      <c r="D26" s="26"/>
      <c r="E26" s="26"/>
      <c r="F26" s="26"/>
    </row>
    <row r="27" spans="1:7" ht="14.5">
      <c r="A27" s="35" t="s">
        <v>70</v>
      </c>
      <c r="B27" s="26"/>
      <c r="C27" s="26"/>
      <c r="D27" s="26"/>
      <c r="E27" s="26"/>
      <c r="F27" s="26"/>
    </row>
    <row r="28" spans="1:7" ht="14.5">
      <c r="A28" s="35" t="s">
        <v>65</v>
      </c>
      <c r="B28" s="26"/>
      <c r="C28" s="26"/>
      <c r="D28" s="26"/>
      <c r="E28" s="26"/>
      <c r="F28" s="26"/>
    </row>
    <row r="30" spans="1:7">
      <c r="C30" s="36"/>
    </row>
  </sheetData>
  <mergeCells count="8">
    <mergeCell ref="F9:F21"/>
    <mergeCell ref="B2:F2"/>
    <mergeCell ref="B3:F3"/>
    <mergeCell ref="B4:F4"/>
    <mergeCell ref="B6:F6"/>
    <mergeCell ref="B7:B8"/>
    <mergeCell ref="C7:F7"/>
    <mergeCell ref="D9:D21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  <ignoredErrors>
    <ignoredError sqref="C9:C11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145D-97BE-414C-88E3-AD6C05BAF144}">
  <sheetPr codeName="Hoja11"/>
  <dimension ref="A1:Y30"/>
  <sheetViews>
    <sheetView showGridLines="0" zoomScale="91" zoomScaleNormal="91" workbookViewId="0">
      <selection activeCell="C23" sqref="C23"/>
    </sheetView>
  </sheetViews>
  <sheetFormatPr baseColWidth="10" defaultColWidth="11.453125" defaultRowHeight="12.5"/>
  <cols>
    <col min="1" max="1" width="11.453125" style="18"/>
    <col min="2" max="2" width="13.81640625" style="18" customWidth="1"/>
    <col min="3" max="3" width="20.453125" style="18" customWidth="1"/>
    <col min="4" max="4" width="15.453125" style="18" bestFit="1" customWidth="1"/>
    <col min="5" max="5" width="14.54296875" style="18" customWidth="1"/>
    <col min="6" max="6" width="12.453125" style="18" customWidth="1"/>
    <col min="7" max="7" width="16.54296875" style="18" bestFit="1" customWidth="1"/>
    <col min="8" max="8" width="12.453125" style="18" customWidth="1"/>
    <col min="9" max="20" width="14.54296875" style="18" customWidth="1"/>
    <col min="21" max="24" width="17" style="18" customWidth="1"/>
    <col min="25" max="16384" width="11.453125" style="18"/>
  </cols>
  <sheetData>
    <row r="1" spans="2:25" ht="15" customHeight="1"/>
    <row r="2" spans="2:25" ht="13">
      <c r="B2" s="71" t="s">
        <v>47</v>
      </c>
      <c r="C2" s="71"/>
      <c r="D2" s="71"/>
      <c r="E2" s="71"/>
      <c r="F2" s="71"/>
      <c r="G2" s="19"/>
      <c r="H2" s="19"/>
      <c r="I2" s="19"/>
    </row>
    <row r="3" spans="2:25" ht="13">
      <c r="B3" s="72" t="s">
        <v>48</v>
      </c>
      <c r="C3" s="72"/>
      <c r="D3" s="72"/>
      <c r="E3" s="72"/>
      <c r="F3" s="72"/>
      <c r="G3" s="19"/>
      <c r="H3" s="19"/>
      <c r="I3" s="19"/>
    </row>
    <row r="4" spans="2:25" ht="13">
      <c r="B4" s="72" t="s">
        <v>67</v>
      </c>
      <c r="C4" s="72"/>
      <c r="D4" s="72"/>
      <c r="E4" s="72"/>
      <c r="F4" s="72"/>
      <c r="G4" s="19"/>
      <c r="H4" s="19"/>
      <c r="I4" s="19"/>
    </row>
    <row r="5" spans="2:25" ht="13.5" thickBot="1">
      <c r="B5" s="20"/>
      <c r="C5" s="20"/>
      <c r="D5" s="20"/>
      <c r="E5" s="20"/>
      <c r="F5" s="20"/>
      <c r="G5" s="19"/>
      <c r="H5" s="21"/>
      <c r="I5" s="21"/>
      <c r="Y5" s="21"/>
    </row>
    <row r="6" spans="2:25" ht="18" customHeight="1" thickBot="1">
      <c r="B6" s="73" t="s">
        <v>62</v>
      </c>
      <c r="C6" s="74"/>
      <c r="D6" s="74"/>
      <c r="E6" s="74"/>
      <c r="F6" s="75"/>
      <c r="G6" s="19"/>
      <c r="H6" s="21"/>
      <c r="I6" s="21"/>
      <c r="Y6" s="21"/>
    </row>
    <row r="7" spans="2:25" ht="18.75" customHeight="1" thickBot="1">
      <c r="B7" s="76" t="s">
        <v>49</v>
      </c>
      <c r="C7" s="78" t="s">
        <v>59</v>
      </c>
      <c r="D7" s="78"/>
      <c r="E7" s="78"/>
      <c r="F7" s="79"/>
      <c r="G7" s="21"/>
      <c r="H7" s="21"/>
      <c r="I7" s="21"/>
      <c r="Y7" s="21"/>
    </row>
    <row r="8" spans="2:25" ht="26.5" thickBot="1">
      <c r="B8" s="77"/>
      <c r="C8" s="22" t="s">
        <v>50</v>
      </c>
      <c r="D8" s="23" t="s">
        <v>51</v>
      </c>
      <c r="E8" s="24" t="s">
        <v>52</v>
      </c>
      <c r="F8" s="25" t="s">
        <v>53</v>
      </c>
      <c r="G8" s="21"/>
      <c r="H8" s="21"/>
      <c r="I8" s="21"/>
      <c r="Y8" s="21"/>
    </row>
    <row r="9" spans="2:25" s="26" customFormat="1" ht="18" customHeight="1">
      <c r="B9" s="37">
        <v>46753</v>
      </c>
      <c r="C9" s="28">
        <f>+'Cantidades 2028'!AD7</f>
        <v>93960931.741194025</v>
      </c>
      <c r="D9" s="83" t="s">
        <v>51</v>
      </c>
      <c r="E9" s="38"/>
      <c r="F9" s="68" t="s">
        <v>54</v>
      </c>
      <c r="G9" s="8"/>
    </row>
    <row r="10" spans="2:25" s="26" customFormat="1" ht="18" customHeight="1">
      <c r="B10" s="27">
        <v>46784</v>
      </c>
      <c r="C10" s="28">
        <f>+'Cantidades 2028'!AD11</f>
        <v>92294495.254389003</v>
      </c>
      <c r="D10" s="84"/>
      <c r="E10" s="29"/>
      <c r="F10" s="69"/>
      <c r="G10" s="8"/>
    </row>
    <row r="11" spans="2:25" s="26" customFormat="1" ht="18" customHeight="1">
      <c r="B11" s="27">
        <v>46813</v>
      </c>
      <c r="C11" s="28">
        <f>+'Cantidades 2028'!AD15</f>
        <v>101314283.70617102</v>
      </c>
      <c r="D11" s="84"/>
      <c r="E11" s="29"/>
      <c r="F11" s="69"/>
      <c r="G11" s="8"/>
    </row>
    <row r="12" spans="2:25" s="26" customFormat="1" ht="18" customHeight="1">
      <c r="B12" s="27">
        <v>46844</v>
      </c>
      <c r="C12" s="28">
        <f>+'Cantidades 2028'!AD19</f>
        <v>95730393.221432999</v>
      </c>
      <c r="D12" s="84"/>
      <c r="E12" s="29"/>
      <c r="F12" s="69"/>
      <c r="G12" s="8"/>
    </row>
    <row r="13" spans="2:25" s="26" customFormat="1" ht="18" customHeight="1">
      <c r="B13" s="27">
        <v>46874</v>
      </c>
      <c r="C13" s="28">
        <f>+'Cantidades 2028'!AD23</f>
        <v>99950640.285885021</v>
      </c>
      <c r="D13" s="84"/>
      <c r="E13" s="29"/>
      <c r="F13" s="69"/>
      <c r="G13" s="8"/>
    </row>
    <row r="14" spans="2:25" s="26" customFormat="1" ht="18" customHeight="1">
      <c r="B14" s="27">
        <v>46905</v>
      </c>
      <c r="C14" s="28">
        <f>+'Cantidades 2028'!AD27</f>
        <v>88752436.954572007</v>
      </c>
      <c r="D14" s="84"/>
      <c r="E14" s="29"/>
      <c r="F14" s="69"/>
      <c r="G14" s="8"/>
    </row>
    <row r="15" spans="2:25" s="26" customFormat="1" ht="18" customHeight="1">
      <c r="B15" s="27">
        <v>46935</v>
      </c>
      <c r="C15" s="28">
        <f>+'Cantidades 2028'!AD31</f>
        <v>88100349.823653027</v>
      </c>
      <c r="D15" s="84"/>
      <c r="E15" s="29"/>
      <c r="F15" s="69"/>
      <c r="G15" s="8"/>
    </row>
    <row r="16" spans="2:25" s="26" customFormat="1" ht="18" customHeight="1">
      <c r="B16" s="27">
        <v>46966</v>
      </c>
      <c r="C16" s="28">
        <f>+'Cantidades 2028'!AD35</f>
        <v>89084306.124087006</v>
      </c>
      <c r="D16" s="84"/>
      <c r="E16" s="29"/>
      <c r="F16" s="69"/>
      <c r="G16" s="8"/>
    </row>
    <row r="17" spans="1:7" s="26" customFormat="1" ht="18" customHeight="1">
      <c r="B17" s="27">
        <v>46997</v>
      </c>
      <c r="C17" s="28">
        <f>+'Cantidades 2028'!AD39</f>
        <v>85827980.334309027</v>
      </c>
      <c r="D17" s="84"/>
      <c r="E17" s="29"/>
      <c r="F17" s="69"/>
      <c r="G17" s="8"/>
    </row>
    <row r="18" spans="1:7" s="26" customFormat="1" ht="18" customHeight="1">
      <c r="B18" s="27">
        <v>47027</v>
      </c>
      <c r="C18" s="28">
        <f>+'Cantidades 2028'!AD43</f>
        <v>83618191.636085987</v>
      </c>
      <c r="D18" s="84"/>
      <c r="E18" s="29"/>
      <c r="F18" s="69"/>
      <c r="G18" s="8"/>
    </row>
    <row r="19" spans="1:7" s="26" customFormat="1" ht="18" customHeight="1">
      <c r="B19" s="27">
        <v>47058</v>
      </c>
      <c r="C19" s="28">
        <f>+'Cantidades 2028'!AD47</f>
        <v>84749471.518325984</v>
      </c>
      <c r="D19" s="84"/>
      <c r="E19" s="29"/>
      <c r="F19" s="69"/>
      <c r="G19" s="8"/>
    </row>
    <row r="20" spans="1:7" s="26" customFormat="1" ht="18" customHeight="1">
      <c r="B20" s="27">
        <v>47088</v>
      </c>
      <c r="C20" s="28">
        <f>+'Cantidades 2028'!AD51</f>
        <v>91594946.395314008</v>
      </c>
      <c r="D20" s="84"/>
      <c r="E20" s="29"/>
      <c r="F20" s="69"/>
      <c r="G20" s="8"/>
    </row>
    <row r="21" spans="1:7" s="26" customFormat="1" ht="18" customHeight="1" thickBot="1">
      <c r="B21" s="30" t="s">
        <v>55</v>
      </c>
      <c r="C21" s="48">
        <f>SUM(C9:C20)</f>
        <v>1094978426.995419</v>
      </c>
      <c r="D21" s="85"/>
      <c r="E21" s="31"/>
      <c r="F21" s="70"/>
      <c r="G21" s="8"/>
    </row>
    <row r="22" spans="1:7">
      <c r="B22" s="26"/>
      <c r="C22" s="2"/>
      <c r="D22" s="26"/>
      <c r="E22" s="26"/>
      <c r="F22" s="26"/>
    </row>
    <row r="23" spans="1:7">
      <c r="B23" s="26"/>
      <c r="C23" s="2">
        <f>+C21/1000</f>
        <v>1094978.426995419</v>
      </c>
      <c r="D23" s="32"/>
      <c r="E23" s="32"/>
      <c r="F23" s="26"/>
    </row>
    <row r="24" spans="1:7" ht="14.5">
      <c r="A24" s="33" t="s">
        <v>56</v>
      </c>
      <c r="B24" s="26"/>
      <c r="C24" s="26"/>
      <c r="D24" s="2"/>
      <c r="E24" s="34"/>
      <c r="F24" s="26"/>
    </row>
    <row r="25" spans="1:7" ht="14.5">
      <c r="A25" s="35" t="s">
        <v>64</v>
      </c>
      <c r="B25" s="26"/>
      <c r="C25" s="26"/>
      <c r="D25" s="26"/>
      <c r="E25" s="26"/>
      <c r="F25" s="26"/>
    </row>
    <row r="26" spans="1:7" ht="14.5">
      <c r="A26" s="35" t="s">
        <v>57</v>
      </c>
      <c r="B26" s="26"/>
      <c r="C26" s="26"/>
      <c r="D26" s="26"/>
      <c r="E26" s="26"/>
      <c r="F26" s="26"/>
    </row>
    <row r="27" spans="1:7" ht="14.5">
      <c r="A27" s="35" t="s">
        <v>70</v>
      </c>
      <c r="B27" s="26"/>
      <c r="C27" s="26"/>
      <c r="D27" s="26"/>
      <c r="E27" s="26"/>
      <c r="F27" s="26"/>
    </row>
    <row r="28" spans="1:7" ht="14.5">
      <c r="A28" s="35" t="s">
        <v>63</v>
      </c>
      <c r="B28" s="26"/>
      <c r="C28" s="26"/>
      <c r="D28" s="26"/>
      <c r="E28" s="26"/>
      <c r="F28" s="26"/>
    </row>
    <row r="30" spans="1:7">
      <c r="C30" s="36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ADC6-57AF-448D-8F62-AAA7AF0E5263}">
  <dimension ref="A1:Y30"/>
  <sheetViews>
    <sheetView showGridLines="0" zoomScale="91" zoomScaleNormal="91" workbookViewId="0">
      <selection activeCell="C23" sqref="C23"/>
    </sheetView>
  </sheetViews>
  <sheetFormatPr baseColWidth="10" defaultColWidth="11.453125" defaultRowHeight="12.5"/>
  <cols>
    <col min="1" max="1" width="11.453125" style="18"/>
    <col min="2" max="2" width="13.81640625" style="18" customWidth="1"/>
    <col min="3" max="3" width="20.453125" style="18" customWidth="1"/>
    <col min="4" max="4" width="15.453125" style="18" bestFit="1" customWidth="1"/>
    <col min="5" max="5" width="14.54296875" style="18" customWidth="1"/>
    <col min="6" max="6" width="12.453125" style="18" customWidth="1"/>
    <col min="7" max="7" width="16.54296875" style="18" bestFit="1" customWidth="1"/>
    <col min="8" max="8" width="18.54296875" style="18" bestFit="1" customWidth="1"/>
    <col min="9" max="20" width="14.54296875" style="18" customWidth="1"/>
    <col min="21" max="24" width="17" style="18" customWidth="1"/>
    <col min="25" max="16384" width="11.453125" style="18"/>
  </cols>
  <sheetData>
    <row r="1" spans="2:25" ht="15" customHeight="1"/>
    <row r="2" spans="2:25" ht="13">
      <c r="B2" s="71" t="s">
        <v>47</v>
      </c>
      <c r="C2" s="71"/>
      <c r="D2" s="71"/>
      <c r="E2" s="71"/>
      <c r="F2" s="71"/>
      <c r="G2" s="19"/>
      <c r="H2" s="19"/>
      <c r="I2" s="19"/>
    </row>
    <row r="3" spans="2:25" ht="13">
      <c r="B3" s="72" t="s">
        <v>48</v>
      </c>
      <c r="C3" s="72"/>
      <c r="D3" s="72"/>
      <c r="E3" s="72"/>
      <c r="F3" s="72"/>
      <c r="G3" s="19"/>
      <c r="H3" s="19"/>
      <c r="I3" s="19"/>
    </row>
    <row r="4" spans="2:25" ht="13">
      <c r="B4" s="72" t="s">
        <v>67</v>
      </c>
      <c r="C4" s="72"/>
      <c r="D4" s="72"/>
      <c r="E4" s="72"/>
      <c r="F4" s="72"/>
      <c r="G4" s="19"/>
      <c r="H4" s="19"/>
      <c r="I4" s="19"/>
    </row>
    <row r="5" spans="2:25" ht="13.5" thickBot="1">
      <c r="B5" s="20"/>
      <c r="C5" s="20"/>
      <c r="D5" s="20"/>
      <c r="E5" s="20"/>
      <c r="F5" s="20"/>
      <c r="G5" s="19"/>
      <c r="H5" s="21"/>
      <c r="I5" s="21"/>
      <c r="Y5" s="21"/>
    </row>
    <row r="6" spans="2:25" ht="18" customHeight="1" thickBot="1">
      <c r="B6" s="73" t="s">
        <v>74</v>
      </c>
      <c r="C6" s="74"/>
      <c r="D6" s="74"/>
      <c r="E6" s="74"/>
      <c r="F6" s="75"/>
      <c r="G6" s="19"/>
      <c r="H6" s="21"/>
      <c r="I6" s="21"/>
      <c r="Y6" s="21"/>
    </row>
    <row r="7" spans="2:25" ht="18.75" customHeight="1" thickBot="1">
      <c r="B7" s="76" t="s">
        <v>49</v>
      </c>
      <c r="C7" s="78" t="s">
        <v>60</v>
      </c>
      <c r="D7" s="78"/>
      <c r="E7" s="78"/>
      <c r="F7" s="79"/>
      <c r="G7" s="21"/>
      <c r="H7" s="21"/>
      <c r="I7" s="21"/>
      <c r="Y7" s="21"/>
    </row>
    <row r="8" spans="2:25" ht="26.5" thickBot="1">
      <c r="B8" s="86"/>
      <c r="C8" s="45" t="s">
        <v>50</v>
      </c>
      <c r="D8" s="22" t="s">
        <v>51</v>
      </c>
      <c r="E8" s="23" t="s">
        <v>52</v>
      </c>
      <c r="F8" s="25" t="s">
        <v>53</v>
      </c>
      <c r="G8" s="21"/>
      <c r="H8" s="21"/>
      <c r="I8" s="21"/>
      <c r="Y8" s="21"/>
    </row>
    <row r="9" spans="2:25" s="26" customFormat="1" ht="18" customHeight="1">
      <c r="B9" s="37">
        <v>47119</v>
      </c>
      <c r="C9" s="43">
        <f>+'Cantidades 2029'!AD7</f>
        <v>125500184.36591898</v>
      </c>
      <c r="D9" s="83" t="s">
        <v>51</v>
      </c>
      <c r="E9" s="40"/>
      <c r="F9" s="68" t="s">
        <v>54</v>
      </c>
      <c r="G9" s="8"/>
    </row>
    <row r="10" spans="2:25" s="26" customFormat="1" ht="18" customHeight="1">
      <c r="B10" s="27">
        <v>47150</v>
      </c>
      <c r="C10" s="43">
        <f>+'Cantidades 2029'!AD11</f>
        <v>125772481.26526</v>
      </c>
      <c r="D10" s="84"/>
      <c r="E10" s="41"/>
      <c r="F10" s="69"/>
      <c r="G10" s="8"/>
    </row>
    <row r="11" spans="2:25" s="26" customFormat="1" ht="18" customHeight="1">
      <c r="B11" s="27">
        <v>47178</v>
      </c>
      <c r="C11" s="43">
        <f>+'Cantidades 2029'!AD15</f>
        <v>134319314.520877</v>
      </c>
      <c r="D11" s="84"/>
      <c r="E11" s="41"/>
      <c r="F11" s="69"/>
      <c r="G11" s="8"/>
    </row>
    <row r="12" spans="2:25" s="26" customFormat="1" ht="18" customHeight="1">
      <c r="B12" s="27">
        <v>47209</v>
      </c>
      <c r="C12" s="44">
        <f>+'Cantidades 2029'!AD19</f>
        <v>128167190.866339</v>
      </c>
      <c r="D12" s="84"/>
      <c r="E12" s="41"/>
      <c r="F12" s="69"/>
      <c r="G12" s="8"/>
    </row>
    <row r="13" spans="2:25" s="26" customFormat="1" ht="18" customHeight="1">
      <c r="B13" s="27">
        <v>47239</v>
      </c>
      <c r="C13" s="43">
        <f>+'Cantidades 2029'!AD23</f>
        <v>132829544.73819903</v>
      </c>
      <c r="D13" s="84"/>
      <c r="E13" s="41"/>
      <c r="F13" s="69"/>
      <c r="G13" s="8"/>
    </row>
    <row r="14" spans="2:25" s="26" customFormat="1" ht="18" customHeight="1">
      <c r="B14" s="27">
        <v>47270</v>
      </c>
      <c r="C14" s="43">
        <f>+'Cantidades 2029'!AD27</f>
        <v>122359069.313492</v>
      </c>
      <c r="D14" s="84"/>
      <c r="E14" s="41"/>
      <c r="F14" s="69"/>
      <c r="G14" s="8"/>
    </row>
    <row r="15" spans="2:25" s="26" customFormat="1" ht="18" customHeight="1">
      <c r="B15" s="27">
        <v>47300</v>
      </c>
      <c r="C15" s="43">
        <f>+'Cantidades 2029'!AD31</f>
        <v>133667530.751414</v>
      </c>
      <c r="D15" s="84"/>
      <c r="E15" s="41"/>
      <c r="F15" s="69"/>
      <c r="G15" s="8"/>
      <c r="H15" s="46"/>
    </row>
    <row r="16" spans="2:25" s="26" customFormat="1" ht="18" customHeight="1">
      <c r="B16" s="27">
        <v>47331</v>
      </c>
      <c r="C16" s="43">
        <f>+'Cantidades 2029'!AD35</f>
        <v>133909879.49144503</v>
      </c>
      <c r="D16" s="84"/>
      <c r="E16" s="41"/>
      <c r="F16" s="69"/>
      <c r="G16" s="8"/>
      <c r="H16" s="17"/>
    </row>
    <row r="17" spans="1:7" s="26" customFormat="1" ht="18" customHeight="1">
      <c r="B17" s="27">
        <v>47362</v>
      </c>
      <c r="C17" s="43">
        <f>+'Cantidades 2029'!AD39</f>
        <v>130382327.61377499</v>
      </c>
      <c r="D17" s="84"/>
      <c r="E17" s="41"/>
      <c r="F17" s="69"/>
      <c r="G17" s="8"/>
    </row>
    <row r="18" spans="1:7" s="26" customFormat="1" ht="18" customHeight="1">
      <c r="B18" s="27">
        <v>47392</v>
      </c>
      <c r="C18" s="43">
        <f>+'Cantidades 2029'!AD43</f>
        <v>128264037.72923599</v>
      </c>
      <c r="D18" s="84"/>
      <c r="E18" s="41"/>
      <c r="F18" s="69"/>
      <c r="G18" s="8"/>
    </row>
    <row r="19" spans="1:7" s="26" customFormat="1" ht="18" customHeight="1">
      <c r="B19" s="27">
        <v>47423</v>
      </c>
      <c r="C19" s="43">
        <f>+'Cantidades 2029'!AD47</f>
        <v>126928773.87315802</v>
      </c>
      <c r="D19" s="84"/>
      <c r="E19" s="41"/>
      <c r="F19" s="69"/>
      <c r="G19" s="8"/>
    </row>
    <row r="20" spans="1:7" s="26" customFormat="1" ht="18" customHeight="1">
      <c r="B20" s="27">
        <v>47453</v>
      </c>
      <c r="C20" s="43">
        <f>+'Cantidades 2029'!AD51</f>
        <v>133418152.96179201</v>
      </c>
      <c r="D20" s="84"/>
      <c r="E20" s="41"/>
      <c r="F20" s="69"/>
      <c r="G20" s="8"/>
    </row>
    <row r="21" spans="1:7" s="26" customFormat="1" ht="18" customHeight="1" thickBot="1">
      <c r="B21" s="30" t="s">
        <v>55</v>
      </c>
      <c r="C21" s="47">
        <f>SUM(C9:C20)</f>
        <v>1555518487.490906</v>
      </c>
      <c r="D21" s="85"/>
      <c r="E21" s="42"/>
      <c r="F21" s="70"/>
      <c r="G21" s="8"/>
    </row>
    <row r="22" spans="1:7">
      <c r="B22" s="26"/>
      <c r="C22" s="2"/>
      <c r="D22" s="26"/>
      <c r="E22" s="26"/>
      <c r="F22" s="26"/>
    </row>
    <row r="23" spans="1:7">
      <c r="B23" s="26"/>
      <c r="C23" s="2">
        <f>+C21/1000</f>
        <v>1555518.4874909059</v>
      </c>
      <c r="D23" s="32"/>
      <c r="E23" s="32"/>
      <c r="F23" s="26"/>
    </row>
    <row r="24" spans="1:7" ht="14.5">
      <c r="A24" s="33" t="s">
        <v>56</v>
      </c>
      <c r="B24" s="26"/>
      <c r="C24" s="26"/>
      <c r="D24" s="2"/>
      <c r="E24" s="34"/>
      <c r="F24" s="26"/>
    </row>
    <row r="25" spans="1:7" ht="14.5">
      <c r="A25" s="35" t="s">
        <v>64</v>
      </c>
      <c r="B25" s="26"/>
      <c r="C25" s="26"/>
      <c r="D25" s="26"/>
      <c r="E25" s="26"/>
      <c r="F25" s="26"/>
    </row>
    <row r="26" spans="1:7" ht="14.5">
      <c r="A26" s="35" t="s">
        <v>57</v>
      </c>
      <c r="B26" s="26"/>
      <c r="C26" s="26"/>
      <c r="D26" s="26"/>
      <c r="E26" s="26"/>
      <c r="F26" s="26"/>
    </row>
    <row r="27" spans="1:7" ht="14.5">
      <c r="A27" s="35" t="s">
        <v>70</v>
      </c>
      <c r="B27" s="26"/>
      <c r="C27" s="26"/>
      <c r="D27" s="26"/>
      <c r="E27" s="26"/>
      <c r="F27" s="26"/>
    </row>
    <row r="28" spans="1:7" ht="14.5">
      <c r="A28" s="35" t="s">
        <v>63</v>
      </c>
      <c r="B28" s="26"/>
      <c r="C28" s="26"/>
      <c r="D28" s="26"/>
      <c r="E28" s="26"/>
      <c r="F28" s="26"/>
    </row>
    <row r="29" spans="1:7" ht="14.5">
      <c r="A29" s="35"/>
    </row>
    <row r="30" spans="1:7">
      <c r="C30" s="36"/>
    </row>
  </sheetData>
  <mergeCells count="8">
    <mergeCell ref="F9:F21"/>
    <mergeCell ref="B2:F2"/>
    <mergeCell ref="B3:F3"/>
    <mergeCell ref="B4:F4"/>
    <mergeCell ref="B6:F6"/>
    <mergeCell ref="B7:B8"/>
    <mergeCell ref="C7:F7"/>
    <mergeCell ref="D9:D21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9DD6-90C1-45E7-8D8C-D18A7F715AFB}">
  <dimension ref="A1:Y30"/>
  <sheetViews>
    <sheetView showGridLines="0" zoomScale="91" zoomScaleNormal="91" workbookViewId="0">
      <selection activeCell="B6" sqref="B6:F21"/>
    </sheetView>
  </sheetViews>
  <sheetFormatPr baseColWidth="10" defaultColWidth="11.453125" defaultRowHeight="12.5"/>
  <cols>
    <col min="1" max="1" width="11.453125" style="18"/>
    <col min="2" max="2" width="13.81640625" style="18" customWidth="1"/>
    <col min="3" max="3" width="20.453125" style="18" customWidth="1"/>
    <col min="4" max="4" width="15.453125" style="18" bestFit="1" customWidth="1"/>
    <col min="5" max="5" width="14.54296875" style="18" customWidth="1"/>
    <col min="6" max="6" width="12.453125" style="18" customWidth="1"/>
    <col min="7" max="7" width="16.54296875" style="18" bestFit="1" customWidth="1"/>
    <col min="8" max="8" width="18.54296875" style="18" bestFit="1" customWidth="1"/>
    <col min="9" max="20" width="14.54296875" style="18" customWidth="1"/>
    <col min="21" max="24" width="17" style="18" customWidth="1"/>
    <col min="25" max="16384" width="11.453125" style="18"/>
  </cols>
  <sheetData>
    <row r="1" spans="2:25" ht="15" customHeight="1"/>
    <row r="2" spans="2:25" ht="13">
      <c r="B2" s="71" t="s">
        <v>47</v>
      </c>
      <c r="C2" s="71"/>
      <c r="D2" s="71"/>
      <c r="E2" s="71"/>
      <c r="F2" s="71"/>
      <c r="G2" s="19"/>
      <c r="H2" s="19"/>
      <c r="I2" s="19"/>
    </row>
    <row r="3" spans="2:25" ht="13">
      <c r="B3" s="72" t="s">
        <v>48</v>
      </c>
      <c r="C3" s="72"/>
      <c r="D3" s="72"/>
      <c r="E3" s="72"/>
      <c r="F3" s="72"/>
      <c r="G3" s="19"/>
      <c r="H3" s="19"/>
      <c r="I3" s="19"/>
    </row>
    <row r="4" spans="2:25" ht="13">
      <c r="B4" s="72" t="s">
        <v>67</v>
      </c>
      <c r="C4" s="72"/>
      <c r="D4" s="72"/>
      <c r="E4" s="72"/>
      <c r="F4" s="72"/>
      <c r="G4" s="19"/>
      <c r="H4" s="19"/>
      <c r="I4" s="19"/>
    </row>
    <row r="5" spans="2:25" ht="13.5" thickBot="1">
      <c r="B5" s="20"/>
      <c r="C5" s="20"/>
      <c r="D5" s="20"/>
      <c r="E5" s="20"/>
      <c r="F5" s="20"/>
      <c r="G5" s="19"/>
      <c r="H5" s="21"/>
      <c r="I5" s="21"/>
      <c r="Y5" s="21"/>
    </row>
    <row r="6" spans="2:25" ht="18" customHeight="1" thickBot="1">
      <c r="B6" s="73" t="s">
        <v>66</v>
      </c>
      <c r="C6" s="74"/>
      <c r="D6" s="74"/>
      <c r="E6" s="74"/>
      <c r="F6" s="75"/>
      <c r="G6" s="19"/>
      <c r="H6" s="21"/>
      <c r="I6" s="21"/>
      <c r="Y6" s="21"/>
    </row>
    <row r="7" spans="2:25" ht="18.75" customHeight="1" thickBot="1">
      <c r="B7" s="76" t="s">
        <v>49</v>
      </c>
      <c r="C7" s="78" t="s">
        <v>61</v>
      </c>
      <c r="D7" s="78"/>
      <c r="E7" s="78"/>
      <c r="F7" s="79"/>
      <c r="G7" s="21"/>
      <c r="H7" s="21"/>
      <c r="I7" s="21"/>
      <c r="Y7" s="21"/>
    </row>
    <row r="8" spans="2:25" ht="26.5" thickBot="1">
      <c r="B8" s="86"/>
      <c r="C8" s="45" t="s">
        <v>50</v>
      </c>
      <c r="D8" s="22" t="s">
        <v>51</v>
      </c>
      <c r="E8" s="23" t="s">
        <v>52</v>
      </c>
      <c r="F8" s="25" t="s">
        <v>53</v>
      </c>
      <c r="G8" s="21"/>
      <c r="H8" s="21"/>
      <c r="I8" s="21"/>
      <c r="Y8" s="21"/>
    </row>
    <row r="9" spans="2:25" s="26" customFormat="1" ht="18" customHeight="1">
      <c r="B9" s="37">
        <v>47484</v>
      </c>
      <c r="C9" s="43">
        <f>+'Cantidades 2030'!AD7</f>
        <v>120775959.32799999</v>
      </c>
      <c r="D9" s="83" t="s">
        <v>51</v>
      </c>
      <c r="E9" s="40"/>
      <c r="F9" s="68" t="s">
        <v>54</v>
      </c>
      <c r="G9" s="8"/>
    </row>
    <row r="10" spans="2:25" s="26" customFormat="1" ht="18" customHeight="1">
      <c r="B10" s="27">
        <v>47515</v>
      </c>
      <c r="C10" s="43">
        <f>+'Cantidades 2030'!AD11</f>
        <v>118607369.52543999</v>
      </c>
      <c r="D10" s="84"/>
      <c r="E10" s="41"/>
      <c r="F10" s="69"/>
      <c r="G10" s="8"/>
    </row>
    <row r="11" spans="2:25" s="26" customFormat="1" ht="18" customHeight="1">
      <c r="B11" s="27">
        <v>47543</v>
      </c>
      <c r="C11" s="43">
        <f>+'Cantidades 2030'!AD15</f>
        <v>127404007.99512</v>
      </c>
      <c r="D11" s="84"/>
      <c r="E11" s="41"/>
      <c r="F11" s="69"/>
      <c r="G11" s="8"/>
    </row>
    <row r="12" spans="2:25" s="26" customFormat="1" ht="18" customHeight="1">
      <c r="B12" s="27">
        <v>47574</v>
      </c>
      <c r="C12" s="44">
        <f>+'Cantidades 2030'!AD19</f>
        <v>122434373.26703998</v>
      </c>
      <c r="D12" s="84"/>
      <c r="E12" s="41"/>
      <c r="F12" s="69"/>
      <c r="G12" s="8"/>
    </row>
    <row r="13" spans="2:25" s="26" customFormat="1" ht="18" customHeight="1">
      <c r="B13" s="27">
        <v>47604</v>
      </c>
      <c r="C13" s="43">
        <f>+'Cantidades 2030'!AD23</f>
        <v>120435795.40544</v>
      </c>
      <c r="D13" s="84"/>
      <c r="E13" s="41"/>
      <c r="F13" s="69"/>
      <c r="G13" s="8"/>
    </row>
    <row r="14" spans="2:25" s="26" customFormat="1" ht="18" customHeight="1">
      <c r="B14" s="27">
        <v>47635</v>
      </c>
      <c r="C14" s="43">
        <f>+'Cantidades 2030'!AD27</f>
        <v>112601226.36384</v>
      </c>
      <c r="D14" s="84"/>
      <c r="E14" s="41"/>
      <c r="F14" s="69"/>
      <c r="G14" s="8"/>
    </row>
    <row r="15" spans="2:25" s="26" customFormat="1" ht="18" customHeight="1">
      <c r="B15" s="27">
        <v>47665</v>
      </c>
      <c r="C15" s="43">
        <f>+'Cantidades 2030'!AD31</f>
        <v>124136669.25360002</v>
      </c>
      <c r="D15" s="84"/>
      <c r="E15" s="41"/>
      <c r="F15" s="69"/>
      <c r="G15" s="8"/>
      <c r="H15" s="46"/>
    </row>
    <row r="16" spans="2:25" s="26" customFormat="1" ht="18" customHeight="1">
      <c r="B16" s="27">
        <v>47696</v>
      </c>
      <c r="C16" s="43">
        <f>+'Cantidades 2030'!AD35</f>
        <v>124135638.10928002</v>
      </c>
      <c r="D16" s="84"/>
      <c r="E16" s="41"/>
      <c r="F16" s="69"/>
      <c r="G16" s="8"/>
      <c r="H16" s="17"/>
    </row>
    <row r="17" spans="1:8" s="26" customFormat="1" ht="18" customHeight="1">
      <c r="B17" s="27">
        <v>47727</v>
      </c>
      <c r="C17" s="43">
        <f>+'Cantidades 2030'!AD39</f>
        <v>115307354.82472</v>
      </c>
      <c r="D17" s="84"/>
      <c r="E17" s="41"/>
      <c r="F17" s="69"/>
      <c r="G17" s="8"/>
    </row>
    <row r="18" spans="1:8" s="26" customFormat="1" ht="18" customHeight="1">
      <c r="B18" s="27">
        <v>47757</v>
      </c>
      <c r="C18" s="43">
        <f>+'Cantidades 2030'!AD43</f>
        <v>114507728.43216</v>
      </c>
      <c r="D18" s="84"/>
      <c r="E18" s="41"/>
      <c r="F18" s="69"/>
      <c r="G18" s="8"/>
    </row>
    <row r="19" spans="1:8" s="26" customFormat="1" ht="18" customHeight="1">
      <c r="B19" s="27">
        <v>47788</v>
      </c>
      <c r="C19" s="43">
        <f>+'Cantidades 2030'!AD47</f>
        <v>112897248.73416001</v>
      </c>
      <c r="D19" s="84"/>
      <c r="E19" s="41"/>
      <c r="F19" s="69"/>
      <c r="G19" s="8"/>
    </row>
    <row r="20" spans="1:8" s="26" customFormat="1" ht="18" customHeight="1">
      <c r="B20" s="27">
        <v>47818</v>
      </c>
      <c r="C20" s="43">
        <f>+'Cantidades 2030'!AD51</f>
        <v>126912684.03264</v>
      </c>
      <c r="D20" s="84"/>
      <c r="E20" s="41"/>
      <c r="F20" s="69"/>
      <c r="G20" s="8"/>
    </row>
    <row r="21" spans="1:8" s="26" customFormat="1" ht="18" customHeight="1" thickBot="1">
      <c r="B21" s="30" t="s">
        <v>55</v>
      </c>
      <c r="C21" s="47">
        <f>SUM(C9:C20)</f>
        <v>1440156055.2714398</v>
      </c>
      <c r="D21" s="85"/>
      <c r="E21" s="42"/>
      <c r="F21" s="70"/>
      <c r="G21" s="8"/>
      <c r="H21" s="58"/>
    </row>
    <row r="22" spans="1:8">
      <c r="B22" s="26"/>
      <c r="C22" s="2"/>
      <c r="D22" s="26"/>
      <c r="E22" s="26"/>
      <c r="F22" s="26"/>
    </row>
    <row r="23" spans="1:8">
      <c r="B23" s="26"/>
      <c r="C23" s="2">
        <f>+C21/1000</f>
        <v>1440156.0552714397</v>
      </c>
      <c r="D23" s="32"/>
      <c r="E23" s="32"/>
      <c r="F23" s="26"/>
    </row>
    <row r="24" spans="1:8" ht="14.5">
      <c r="A24" s="33" t="s">
        <v>56</v>
      </c>
      <c r="B24" s="26"/>
      <c r="C24" s="26"/>
      <c r="D24" s="2"/>
      <c r="E24" s="34"/>
      <c r="F24" s="26"/>
    </row>
    <row r="25" spans="1:8" ht="14.5">
      <c r="A25" s="35" t="s">
        <v>64</v>
      </c>
      <c r="B25" s="26"/>
      <c r="C25" s="26"/>
      <c r="D25" s="26"/>
      <c r="E25" s="26"/>
      <c r="F25" s="26"/>
    </row>
    <row r="26" spans="1:8" ht="14.5">
      <c r="A26" s="35" t="s">
        <v>57</v>
      </c>
      <c r="B26" s="26"/>
      <c r="C26" s="26"/>
      <c r="D26" s="26"/>
      <c r="E26" s="26"/>
      <c r="F26" s="26"/>
    </row>
    <row r="27" spans="1:8" ht="14.5">
      <c r="A27" s="35" t="s">
        <v>70</v>
      </c>
      <c r="B27" s="26"/>
      <c r="C27" s="26"/>
      <c r="D27" s="26"/>
      <c r="E27" s="26"/>
      <c r="F27" s="26"/>
    </row>
    <row r="28" spans="1:8" ht="14.5">
      <c r="A28" s="35" t="s">
        <v>63</v>
      </c>
      <c r="B28" s="26"/>
      <c r="C28" s="26"/>
      <c r="D28" s="26"/>
      <c r="E28" s="26"/>
      <c r="F28" s="26"/>
    </row>
    <row r="29" spans="1:8" ht="14.5">
      <c r="A29" s="35" t="s">
        <v>71</v>
      </c>
    </row>
    <row r="30" spans="1:8">
      <c r="C30" s="36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B0BF-AF7E-4ACF-A084-17AA79AFA974}">
  <dimension ref="A1:Y30"/>
  <sheetViews>
    <sheetView showGridLines="0" zoomScale="91" zoomScaleNormal="91" workbookViewId="0">
      <selection activeCell="H21" sqref="H21"/>
    </sheetView>
  </sheetViews>
  <sheetFormatPr baseColWidth="10" defaultColWidth="11.453125" defaultRowHeight="12.5"/>
  <cols>
    <col min="1" max="1" width="11.453125" style="18"/>
    <col min="2" max="2" width="13.81640625" style="18" customWidth="1"/>
    <col min="3" max="3" width="20.453125" style="18" customWidth="1"/>
    <col min="4" max="4" width="15.453125" style="18" bestFit="1" customWidth="1"/>
    <col min="5" max="5" width="14.54296875" style="18" customWidth="1"/>
    <col min="6" max="6" width="12.453125" style="18" customWidth="1"/>
    <col min="7" max="7" width="16.54296875" style="18" bestFit="1" customWidth="1"/>
    <col min="8" max="8" width="18.54296875" style="18" bestFit="1" customWidth="1"/>
    <col min="9" max="20" width="14.54296875" style="18" customWidth="1"/>
    <col min="21" max="24" width="17" style="18" customWidth="1"/>
    <col min="25" max="16384" width="11.453125" style="18"/>
  </cols>
  <sheetData>
    <row r="1" spans="2:25" ht="15" customHeight="1"/>
    <row r="2" spans="2:25" ht="13">
      <c r="B2" s="71" t="s">
        <v>47</v>
      </c>
      <c r="C2" s="71"/>
      <c r="D2" s="71"/>
      <c r="E2" s="71"/>
      <c r="F2" s="71"/>
      <c r="G2" s="19"/>
      <c r="H2" s="19"/>
      <c r="I2" s="19"/>
    </row>
    <row r="3" spans="2:25" ht="13">
      <c r="B3" s="72" t="s">
        <v>48</v>
      </c>
      <c r="C3" s="72"/>
      <c r="D3" s="72"/>
      <c r="E3" s="72"/>
      <c r="F3" s="72"/>
      <c r="G3" s="19"/>
      <c r="H3" s="19"/>
      <c r="I3" s="19"/>
    </row>
    <row r="4" spans="2:25" ht="13">
      <c r="B4" s="72" t="s">
        <v>67</v>
      </c>
      <c r="C4" s="72"/>
      <c r="D4" s="72"/>
      <c r="E4" s="72"/>
      <c r="F4" s="72"/>
      <c r="G4" s="19"/>
      <c r="H4" s="19"/>
      <c r="I4" s="19"/>
    </row>
    <row r="5" spans="2:25" ht="13.5" thickBot="1">
      <c r="B5" s="59"/>
      <c r="C5" s="59"/>
      <c r="D5" s="59"/>
      <c r="E5" s="59"/>
      <c r="F5" s="59"/>
      <c r="G5" s="19"/>
      <c r="H5" s="21"/>
      <c r="I5" s="21"/>
      <c r="Y5" s="21"/>
    </row>
    <row r="6" spans="2:25" ht="18" customHeight="1" thickBot="1">
      <c r="B6" s="73" t="s">
        <v>66</v>
      </c>
      <c r="C6" s="74"/>
      <c r="D6" s="74"/>
      <c r="E6" s="74"/>
      <c r="F6" s="75"/>
      <c r="G6" s="19"/>
      <c r="H6" s="21"/>
      <c r="I6" s="21"/>
      <c r="Y6" s="21"/>
    </row>
    <row r="7" spans="2:25" ht="18.75" customHeight="1" thickBot="1">
      <c r="B7" s="76" t="s">
        <v>49</v>
      </c>
      <c r="C7" s="78" t="s">
        <v>69</v>
      </c>
      <c r="D7" s="78"/>
      <c r="E7" s="78"/>
      <c r="F7" s="79"/>
      <c r="G7" s="21"/>
      <c r="H7" s="21"/>
      <c r="I7" s="21"/>
      <c r="Y7" s="21"/>
    </row>
    <row r="8" spans="2:25" ht="26.5" thickBot="1">
      <c r="B8" s="86"/>
      <c r="C8" s="45" t="s">
        <v>50</v>
      </c>
      <c r="D8" s="22" t="s">
        <v>51</v>
      </c>
      <c r="E8" s="23" t="s">
        <v>52</v>
      </c>
      <c r="F8" s="25" t="s">
        <v>53</v>
      </c>
      <c r="G8" s="21"/>
      <c r="H8" s="21"/>
      <c r="I8" s="21"/>
      <c r="Y8" s="21"/>
    </row>
    <row r="9" spans="2:25" s="26" customFormat="1" ht="18" customHeight="1">
      <c r="B9" s="37">
        <v>47849</v>
      </c>
      <c r="C9" s="43">
        <f>+'Cantidades 2031'!AD7</f>
        <v>146182394.60825002</v>
      </c>
      <c r="D9" s="83" t="s">
        <v>51</v>
      </c>
      <c r="E9" s="40"/>
      <c r="F9" s="68" t="s">
        <v>54</v>
      </c>
      <c r="G9" s="8"/>
    </row>
    <row r="10" spans="2:25" s="26" customFormat="1" ht="18" customHeight="1">
      <c r="B10" s="27">
        <v>47880</v>
      </c>
      <c r="C10" s="43">
        <f>+'Cantidades 2031'!AD11</f>
        <v>141848786.57949999</v>
      </c>
      <c r="D10" s="84"/>
      <c r="E10" s="41"/>
      <c r="F10" s="69"/>
      <c r="G10" s="8"/>
    </row>
    <row r="11" spans="2:25" s="26" customFormat="1" ht="18" customHeight="1">
      <c r="B11" s="27">
        <v>47908</v>
      </c>
      <c r="C11" s="43">
        <f>+'Cantidades 2031'!AD15</f>
        <v>153020642.22672501</v>
      </c>
      <c r="D11" s="84"/>
      <c r="E11" s="41"/>
      <c r="F11" s="69"/>
      <c r="G11" s="8"/>
    </row>
    <row r="12" spans="2:25" s="26" customFormat="1" ht="18" customHeight="1">
      <c r="B12" s="27">
        <v>47939</v>
      </c>
      <c r="C12" s="44">
        <f>+'Cantidades 2031'!AD19</f>
        <v>147478786.65975001</v>
      </c>
      <c r="D12" s="84"/>
      <c r="E12" s="41"/>
      <c r="F12" s="69"/>
      <c r="G12" s="8"/>
    </row>
    <row r="13" spans="2:25" s="26" customFormat="1" ht="18" customHeight="1">
      <c r="B13" s="27">
        <v>47969</v>
      </c>
      <c r="C13" s="43">
        <f>+'Cantidades 2031'!AD23</f>
        <v>152108760.01229998</v>
      </c>
      <c r="D13" s="84"/>
      <c r="E13" s="41"/>
      <c r="F13" s="69"/>
      <c r="G13" s="8"/>
    </row>
    <row r="14" spans="2:25" s="26" customFormat="1" ht="18" customHeight="1">
      <c r="B14" s="27">
        <v>48000</v>
      </c>
      <c r="C14" s="43">
        <f>+'Cantidades 2031'!AD27</f>
        <v>143633016.93195003</v>
      </c>
      <c r="D14" s="84"/>
      <c r="E14" s="41"/>
      <c r="F14" s="69"/>
      <c r="G14" s="8"/>
    </row>
    <row r="15" spans="2:25" s="26" customFormat="1" ht="18" customHeight="1">
      <c r="B15" s="27">
        <v>48030</v>
      </c>
      <c r="C15" s="43">
        <f>+'Cantidades 2031'!AD31</f>
        <v>152973733.89025</v>
      </c>
      <c r="D15" s="84"/>
      <c r="E15" s="41"/>
      <c r="F15" s="69"/>
      <c r="G15" s="8"/>
      <c r="H15" s="46"/>
    </row>
    <row r="16" spans="2:25" s="26" customFormat="1" ht="18" customHeight="1">
      <c r="B16" s="27">
        <v>48061</v>
      </c>
      <c r="C16" s="43">
        <f>+'Cantidades 2031'!AD35</f>
        <v>152664759.92039999</v>
      </c>
      <c r="D16" s="84"/>
      <c r="E16" s="41"/>
      <c r="F16" s="69"/>
      <c r="G16" s="8"/>
      <c r="H16" s="17"/>
    </row>
    <row r="17" spans="1:8" s="26" customFormat="1" ht="18" customHeight="1">
      <c r="B17" s="27">
        <v>48092</v>
      </c>
      <c r="C17" s="43">
        <f>+'Cantidades 2031'!AD39</f>
        <v>148950125.25575</v>
      </c>
      <c r="D17" s="84"/>
      <c r="E17" s="41"/>
      <c r="F17" s="69"/>
      <c r="G17" s="8"/>
    </row>
    <row r="18" spans="1:8" s="26" customFormat="1" ht="18" customHeight="1">
      <c r="B18" s="27">
        <v>48122</v>
      </c>
      <c r="C18" s="43">
        <f>+'Cantidades 2031'!AD43</f>
        <v>149366551.07464999</v>
      </c>
      <c r="D18" s="84"/>
      <c r="E18" s="41"/>
      <c r="F18" s="69"/>
      <c r="G18" s="8"/>
    </row>
    <row r="19" spans="1:8" s="26" customFormat="1" ht="18" customHeight="1">
      <c r="B19" s="27">
        <v>48153</v>
      </c>
      <c r="C19" s="43">
        <f>+'Cantidades 2031'!AD47</f>
        <v>146596441.67804998</v>
      </c>
      <c r="D19" s="84"/>
      <c r="E19" s="41"/>
      <c r="F19" s="69"/>
      <c r="G19" s="8"/>
    </row>
    <row r="20" spans="1:8" s="26" customFormat="1" ht="18" customHeight="1">
      <c r="B20" s="27">
        <v>48183</v>
      </c>
      <c r="C20" s="43">
        <f>+'Cantidades 2031'!AD51</f>
        <v>152535526.68672502</v>
      </c>
      <c r="D20" s="84"/>
      <c r="E20" s="41"/>
      <c r="F20" s="69"/>
      <c r="G20" s="8"/>
    </row>
    <row r="21" spans="1:8" s="26" customFormat="1" ht="18" customHeight="1" thickBot="1">
      <c r="B21" s="30" t="s">
        <v>55</v>
      </c>
      <c r="C21" s="47">
        <f>SUM(C9:C20)</f>
        <v>1787359525.5243001</v>
      </c>
      <c r="D21" s="85"/>
      <c r="E21" s="42"/>
      <c r="F21" s="70"/>
      <c r="G21" s="8"/>
      <c r="H21" s="58"/>
    </row>
    <row r="22" spans="1:8">
      <c r="B22" s="26"/>
      <c r="C22" s="2"/>
      <c r="D22" s="26"/>
      <c r="E22" s="26"/>
      <c r="F22" s="26"/>
    </row>
    <row r="23" spans="1:8">
      <c r="B23" s="26"/>
      <c r="C23" s="2">
        <f>+C21/1000</f>
        <v>1787359.5255243001</v>
      </c>
      <c r="D23" s="32"/>
      <c r="E23" s="32"/>
      <c r="F23" s="26"/>
    </row>
    <row r="24" spans="1:8" ht="14.5">
      <c r="A24" s="33" t="s">
        <v>56</v>
      </c>
      <c r="B24" s="26"/>
      <c r="C24" s="26"/>
      <c r="D24" s="2"/>
      <c r="E24" s="34"/>
      <c r="F24" s="26"/>
    </row>
    <row r="25" spans="1:8" ht="14.5">
      <c r="A25" s="35" t="s">
        <v>64</v>
      </c>
      <c r="B25" s="26"/>
      <c r="C25" s="26"/>
      <c r="D25" s="26"/>
      <c r="E25" s="26"/>
      <c r="F25" s="26"/>
    </row>
    <row r="26" spans="1:8" ht="14.5">
      <c r="A26" s="35" t="s">
        <v>57</v>
      </c>
      <c r="B26" s="26"/>
      <c r="C26" s="26"/>
      <c r="D26" s="26"/>
      <c r="E26" s="26"/>
      <c r="F26" s="26"/>
    </row>
    <row r="27" spans="1:8" ht="14.5">
      <c r="A27" s="35" t="s">
        <v>70</v>
      </c>
      <c r="B27" s="26"/>
      <c r="C27" s="26"/>
      <c r="D27" s="26"/>
      <c r="E27" s="26"/>
      <c r="F27" s="26"/>
    </row>
    <row r="28" spans="1:8" ht="14.5">
      <c r="A28" s="35" t="s">
        <v>63</v>
      </c>
      <c r="B28" s="26"/>
      <c r="C28" s="26"/>
      <c r="D28" s="26"/>
      <c r="E28" s="26"/>
      <c r="F28" s="26"/>
    </row>
    <row r="29" spans="1:8" ht="14.5">
      <c r="A29" s="35" t="s">
        <v>72</v>
      </c>
    </row>
    <row r="30" spans="1:8">
      <c r="C30" s="36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6049-39F0-4936-9806-DAACA14A95FE}">
  <dimension ref="A1:Y30"/>
  <sheetViews>
    <sheetView showGridLines="0" zoomScale="91" zoomScaleNormal="91" workbookViewId="0">
      <selection activeCell="H21" sqref="H21"/>
    </sheetView>
  </sheetViews>
  <sheetFormatPr baseColWidth="10" defaultColWidth="11.453125" defaultRowHeight="12.5"/>
  <cols>
    <col min="1" max="1" width="11.453125" style="18"/>
    <col min="2" max="2" width="13.81640625" style="18" customWidth="1"/>
    <col min="3" max="3" width="20.453125" style="18" customWidth="1"/>
    <col min="4" max="4" width="15.453125" style="18" bestFit="1" customWidth="1"/>
    <col min="5" max="5" width="14.54296875" style="18" customWidth="1"/>
    <col min="6" max="6" width="12.453125" style="18" customWidth="1"/>
    <col min="7" max="7" width="16.54296875" style="18" bestFit="1" customWidth="1"/>
    <col min="8" max="8" width="18.54296875" style="18" bestFit="1" customWidth="1"/>
    <col min="9" max="20" width="14.54296875" style="18" customWidth="1"/>
    <col min="21" max="24" width="17" style="18" customWidth="1"/>
    <col min="25" max="16384" width="11.453125" style="18"/>
  </cols>
  <sheetData>
    <row r="1" spans="2:25" ht="15" customHeight="1"/>
    <row r="2" spans="2:25" ht="13">
      <c r="B2" s="71" t="s">
        <v>47</v>
      </c>
      <c r="C2" s="71"/>
      <c r="D2" s="71"/>
      <c r="E2" s="71"/>
      <c r="F2" s="71"/>
      <c r="G2" s="19"/>
      <c r="H2" s="19"/>
      <c r="I2" s="19"/>
    </row>
    <row r="3" spans="2:25" ht="13">
      <c r="B3" s="72" t="s">
        <v>48</v>
      </c>
      <c r="C3" s="72"/>
      <c r="D3" s="72"/>
      <c r="E3" s="72"/>
      <c r="F3" s="72"/>
      <c r="G3" s="19"/>
      <c r="H3" s="19"/>
      <c r="I3" s="19"/>
    </row>
    <row r="4" spans="2:25" ht="13">
      <c r="B4" s="72" t="s">
        <v>67</v>
      </c>
      <c r="C4" s="72"/>
      <c r="D4" s="72"/>
      <c r="E4" s="72"/>
      <c r="F4" s="72"/>
      <c r="G4" s="19"/>
      <c r="H4" s="19"/>
      <c r="I4" s="19"/>
    </row>
    <row r="5" spans="2:25" ht="13.5" thickBot="1">
      <c r="B5" s="59"/>
      <c r="C5" s="59"/>
      <c r="D5" s="59"/>
      <c r="E5" s="59"/>
      <c r="F5" s="59"/>
      <c r="G5" s="19"/>
      <c r="H5" s="21"/>
      <c r="I5" s="21"/>
      <c r="Y5" s="21"/>
    </row>
    <row r="6" spans="2:25" ht="18" customHeight="1" thickBot="1">
      <c r="B6" s="73" t="s">
        <v>66</v>
      </c>
      <c r="C6" s="74"/>
      <c r="D6" s="74"/>
      <c r="E6" s="74"/>
      <c r="F6" s="75"/>
      <c r="G6" s="19"/>
      <c r="H6" s="21"/>
      <c r="I6" s="21"/>
      <c r="Y6" s="21"/>
    </row>
    <row r="7" spans="2:25" ht="18.75" customHeight="1" thickBot="1">
      <c r="B7" s="76" t="s">
        <v>49</v>
      </c>
      <c r="C7" s="78" t="s">
        <v>68</v>
      </c>
      <c r="D7" s="78"/>
      <c r="E7" s="78"/>
      <c r="F7" s="79"/>
      <c r="G7" s="21"/>
      <c r="H7" s="21"/>
      <c r="I7" s="21"/>
      <c r="Y7" s="21"/>
    </row>
    <row r="8" spans="2:25" ht="26.5" thickBot="1">
      <c r="B8" s="86"/>
      <c r="C8" s="45" t="s">
        <v>50</v>
      </c>
      <c r="D8" s="22" t="s">
        <v>51</v>
      </c>
      <c r="E8" s="23" t="s">
        <v>52</v>
      </c>
      <c r="F8" s="25" t="s">
        <v>53</v>
      </c>
      <c r="G8" s="21"/>
      <c r="H8" s="21"/>
      <c r="I8" s="21"/>
      <c r="Y8" s="21"/>
    </row>
    <row r="9" spans="2:25" s="26" customFormat="1" ht="18" customHeight="1">
      <c r="B9" s="37">
        <v>48214</v>
      </c>
      <c r="C9" s="43">
        <f>+'Cantidades 2032'!AD7</f>
        <v>149551460.01144603</v>
      </c>
      <c r="D9" s="83" t="s">
        <v>51</v>
      </c>
      <c r="E9" s="40"/>
      <c r="F9" s="68" t="s">
        <v>54</v>
      </c>
      <c r="G9" s="8"/>
    </row>
    <row r="10" spans="2:25" s="26" customFormat="1" ht="18" customHeight="1">
      <c r="B10" s="27">
        <v>48245</v>
      </c>
      <c r="C10" s="43">
        <f>+'Cantidades 2032'!AD11</f>
        <v>144290973.03080398</v>
      </c>
      <c r="D10" s="84"/>
      <c r="E10" s="41"/>
      <c r="F10" s="69"/>
      <c r="G10" s="8"/>
    </row>
    <row r="11" spans="2:25" s="26" customFormat="1" ht="18" customHeight="1">
      <c r="B11" s="27">
        <v>48274</v>
      </c>
      <c r="C11" s="43">
        <f>+'Cantidades 2032'!AD15</f>
        <v>156656912.98132798</v>
      </c>
      <c r="D11" s="84"/>
      <c r="E11" s="41"/>
      <c r="F11" s="69"/>
      <c r="G11" s="8"/>
    </row>
    <row r="12" spans="2:25" s="26" customFormat="1" ht="18" customHeight="1">
      <c r="B12" s="27">
        <v>48305</v>
      </c>
      <c r="C12" s="44">
        <f>+'Cantidades 2032'!AD19</f>
        <v>150882664.06515598</v>
      </c>
      <c r="D12" s="84"/>
      <c r="E12" s="41"/>
      <c r="F12" s="69"/>
      <c r="G12" s="8"/>
    </row>
    <row r="13" spans="2:25" s="26" customFormat="1" ht="18" customHeight="1">
      <c r="B13" s="27">
        <v>48335</v>
      </c>
      <c r="C13" s="43">
        <f>+'Cantidades 2032'!AD23</f>
        <v>155775327.27064201</v>
      </c>
      <c r="D13" s="84"/>
      <c r="E13" s="41"/>
      <c r="F13" s="69"/>
      <c r="G13" s="8"/>
    </row>
    <row r="14" spans="2:25" s="26" customFormat="1" ht="18" customHeight="1">
      <c r="B14" s="27">
        <v>48366</v>
      </c>
      <c r="C14" s="43">
        <f>+'Cantidades 2032'!AD27</f>
        <v>146774537.81405997</v>
      </c>
      <c r="D14" s="84"/>
      <c r="E14" s="41"/>
      <c r="F14" s="69"/>
      <c r="G14" s="8"/>
    </row>
    <row r="15" spans="2:25" s="26" customFormat="1" ht="18" customHeight="1">
      <c r="B15" s="27">
        <v>48396</v>
      </c>
      <c r="C15" s="43">
        <f>+'Cantidades 2032'!AD31</f>
        <v>156573368.64166799</v>
      </c>
      <c r="D15" s="84"/>
      <c r="E15" s="41"/>
      <c r="F15" s="69"/>
      <c r="G15" s="8"/>
      <c r="H15" s="46"/>
    </row>
    <row r="16" spans="2:25" s="26" customFormat="1" ht="18" customHeight="1">
      <c r="B16" s="27">
        <v>48427</v>
      </c>
      <c r="C16" s="43">
        <f>+'Cantidades 2032'!AD35</f>
        <v>156199608.11811596</v>
      </c>
      <c r="D16" s="84"/>
      <c r="E16" s="41"/>
      <c r="F16" s="69"/>
      <c r="G16" s="8"/>
      <c r="H16" s="17"/>
    </row>
    <row r="17" spans="1:8" s="26" customFormat="1" ht="18" customHeight="1">
      <c r="B17" s="27">
        <v>48458</v>
      </c>
      <c r="C17" s="43">
        <f>+'Cantidades 2032'!AD39</f>
        <v>152202198.28924799</v>
      </c>
      <c r="D17" s="84"/>
      <c r="E17" s="41"/>
      <c r="F17" s="69"/>
      <c r="G17" s="8"/>
    </row>
    <row r="18" spans="1:8" s="26" customFormat="1" ht="18" customHeight="1">
      <c r="B18" s="27">
        <v>48488</v>
      </c>
      <c r="C18" s="43">
        <f>+'Cantidades 2032'!AD43</f>
        <v>152676074.84187597</v>
      </c>
      <c r="D18" s="84"/>
      <c r="E18" s="41"/>
      <c r="F18" s="69"/>
      <c r="G18" s="8"/>
    </row>
    <row r="19" spans="1:8" s="26" customFormat="1" ht="18" customHeight="1">
      <c r="B19" s="27">
        <v>48519</v>
      </c>
      <c r="C19" s="43">
        <f>+'Cantidades 2032'!AD47</f>
        <v>149756484.43678802</v>
      </c>
      <c r="D19" s="84"/>
      <c r="E19" s="41"/>
      <c r="F19" s="69"/>
      <c r="G19" s="8"/>
    </row>
    <row r="20" spans="1:8" s="26" customFormat="1" ht="18" customHeight="1">
      <c r="B20" s="27">
        <v>48549</v>
      </c>
      <c r="C20" s="43">
        <f>+'Cantidades 2032'!AD51</f>
        <v>156101233.82720402</v>
      </c>
      <c r="D20" s="84"/>
      <c r="E20" s="41"/>
      <c r="F20" s="69"/>
      <c r="G20" s="8"/>
    </row>
    <row r="21" spans="1:8" s="26" customFormat="1" ht="18" customHeight="1" thickBot="1">
      <c r="B21" s="30" t="s">
        <v>55</v>
      </c>
      <c r="C21" s="47">
        <f>SUM(C9:C20)</f>
        <v>1827440843.328336</v>
      </c>
      <c r="D21" s="85"/>
      <c r="E21" s="42"/>
      <c r="F21" s="70"/>
      <c r="G21" s="8"/>
      <c r="H21" s="58"/>
    </row>
    <row r="22" spans="1:8">
      <c r="B22" s="26"/>
      <c r="C22" s="2"/>
      <c r="D22" s="26"/>
      <c r="E22" s="26"/>
      <c r="F22" s="26"/>
    </row>
    <row r="23" spans="1:8">
      <c r="B23" s="26"/>
      <c r="C23" s="2">
        <f>+C21/1000</f>
        <v>1827440.843328336</v>
      </c>
      <c r="D23" s="32"/>
      <c r="E23" s="32"/>
      <c r="F23" s="26"/>
    </row>
    <row r="24" spans="1:8" ht="14.5">
      <c r="A24" s="33" t="s">
        <v>56</v>
      </c>
      <c r="B24" s="26"/>
      <c r="C24" s="26"/>
      <c r="D24" s="2"/>
      <c r="E24" s="34"/>
      <c r="F24" s="26"/>
    </row>
    <row r="25" spans="1:8" ht="14.5">
      <c r="A25" s="35" t="s">
        <v>64</v>
      </c>
      <c r="B25" s="26"/>
      <c r="C25" s="26"/>
      <c r="D25" s="26"/>
      <c r="E25" s="26"/>
      <c r="F25" s="26"/>
    </row>
    <row r="26" spans="1:8" ht="14.5">
      <c r="A26" s="35" t="s">
        <v>57</v>
      </c>
      <c r="B26" s="26"/>
      <c r="C26" s="26"/>
      <c r="D26" s="26"/>
      <c r="E26" s="26"/>
      <c r="F26" s="26"/>
    </row>
    <row r="27" spans="1:8" ht="14.5">
      <c r="A27" s="35" t="s">
        <v>70</v>
      </c>
      <c r="B27" s="26"/>
      <c r="C27" s="26"/>
      <c r="D27" s="26"/>
      <c r="E27" s="26"/>
      <c r="F27" s="26"/>
    </row>
    <row r="28" spans="1:8" ht="14.5">
      <c r="A28" s="35" t="s">
        <v>63</v>
      </c>
      <c r="B28" s="26"/>
      <c r="C28" s="26"/>
      <c r="D28" s="26"/>
      <c r="E28" s="26"/>
      <c r="F28" s="26"/>
    </row>
    <row r="29" spans="1:8" ht="14.5">
      <c r="A29" s="35" t="s">
        <v>73</v>
      </c>
    </row>
    <row r="30" spans="1:8">
      <c r="C30" s="36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A101-19D7-4454-8824-90C5A134004E}">
  <sheetPr codeName="Hoja13"/>
  <dimension ref="C1:AD56"/>
  <sheetViews>
    <sheetView showGridLines="0" zoomScale="57" zoomScaleNormal="57" workbookViewId="0">
      <selection activeCell="C2" sqref="C2:AD2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54296875" style="1" customWidth="1"/>
    <col min="5" max="5" width="9.453125" style="1" customWidth="1"/>
    <col min="6" max="7" width="10.81640625" style="1" bestFit="1" customWidth="1"/>
    <col min="8" max="8" width="10.54296875" style="1" bestFit="1" customWidth="1"/>
    <col min="9" max="12" width="10.81640625" style="1" bestFit="1" customWidth="1"/>
    <col min="13" max="28" width="11.453125" style="1" bestFit="1" customWidth="1"/>
    <col min="29" max="29" width="10.81640625" style="1" bestFit="1" customWidth="1"/>
    <col min="30" max="30" width="19.54296875" style="1" bestFit="1" customWidth="1"/>
    <col min="31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30" ht="18.649999999999999" customHeight="1"/>
    <row r="2" spans="3:30" ht="18.649999999999999" customHeight="1">
      <c r="C2" s="67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 spans="3:30" ht="18.649999999999999" customHeight="1">
      <c r="C3" s="67" t="s">
        <v>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3:30" ht="18.649999999999999" customHeight="1">
      <c r="C4" s="67" t="s">
        <v>75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3:30" ht="18.649999999999999" customHeight="1" thickBot="1"/>
    <row r="6" spans="3:30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30" ht="18.649999999999999" customHeight="1">
      <c r="C7" s="14" t="s">
        <v>30</v>
      </c>
      <c r="D7" s="5" t="s">
        <v>31</v>
      </c>
      <c r="E7" s="6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64">
        <f>SUM(F7:AC7)*E7+SUM(F8:AC8)*E8+SUM(F9:AC9)*E9+SUM(F10:AC10)*E10</f>
        <v>0</v>
      </c>
    </row>
    <row r="8" spans="3:30" ht="18.649999999999999" customHeight="1">
      <c r="C8" s="15"/>
      <c r="D8" s="5" t="s">
        <v>32</v>
      </c>
      <c r="E8" s="6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65"/>
    </row>
    <row r="9" spans="3:30" ht="18.649999999999999" customHeight="1">
      <c r="C9" s="15"/>
      <c r="D9" s="5" t="s">
        <v>33</v>
      </c>
      <c r="E9" s="6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65"/>
    </row>
    <row r="10" spans="3:30" ht="18.649999999999999" customHeight="1">
      <c r="C10" s="16"/>
      <c r="D10" s="5" t="s">
        <v>34</v>
      </c>
      <c r="E10" s="6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66"/>
    </row>
    <row r="11" spans="3:30" ht="18.649999999999999" customHeight="1">
      <c r="C11" s="14" t="s">
        <v>35</v>
      </c>
      <c r="D11" s="5" t="s">
        <v>31</v>
      </c>
      <c r="E11" s="6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64">
        <f>SUM(F11:AC11)*E11+SUM(F12:AC12)*E12+SUM(F13:AC13)*E13+SUM(F14:AC14)*E14</f>
        <v>0</v>
      </c>
    </row>
    <row r="12" spans="3:30" ht="18.649999999999999" customHeight="1">
      <c r="C12" s="15"/>
      <c r="D12" s="5" t="s">
        <v>32</v>
      </c>
      <c r="E12" s="6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65"/>
    </row>
    <row r="13" spans="3:30" ht="18.649999999999999" customHeight="1">
      <c r="C13" s="15"/>
      <c r="D13" s="5" t="s">
        <v>33</v>
      </c>
      <c r="E13" s="6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65"/>
    </row>
    <row r="14" spans="3:30" ht="18.649999999999999" customHeight="1">
      <c r="C14" s="16"/>
      <c r="D14" s="5" t="s">
        <v>34</v>
      </c>
      <c r="E14" s="6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66"/>
    </row>
    <row r="15" spans="3:30" ht="18.649999999999999" customHeight="1">
      <c r="C15" s="14" t="s">
        <v>36</v>
      </c>
      <c r="D15" s="5" t="s">
        <v>31</v>
      </c>
      <c r="E15" s="6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64">
        <f t="shared" ref="AD15" si="0">SUM(F15:AC15)*E15+SUM(F16:AC16)*E16+SUM(F17:AC17)*E17+SUM(F18:AC18)*E18</f>
        <v>0</v>
      </c>
    </row>
    <row r="16" spans="3:30" ht="18.649999999999999" customHeight="1">
      <c r="C16" s="15"/>
      <c r="D16" s="5" t="s">
        <v>32</v>
      </c>
      <c r="E16" s="6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65"/>
    </row>
    <row r="17" spans="3:30" ht="18.649999999999999" customHeight="1">
      <c r="C17" s="15"/>
      <c r="D17" s="5" t="s">
        <v>33</v>
      </c>
      <c r="E17" s="6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65"/>
    </row>
    <row r="18" spans="3:30" ht="18.649999999999999" customHeight="1">
      <c r="C18" s="16"/>
      <c r="D18" s="5" t="s">
        <v>34</v>
      </c>
      <c r="E18" s="6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66"/>
    </row>
    <row r="19" spans="3:30" ht="18.649999999999999" customHeight="1">
      <c r="C19" s="14" t="s">
        <v>37</v>
      </c>
      <c r="D19" s="5" t="s">
        <v>31</v>
      </c>
      <c r="E19" s="6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64">
        <f t="shared" ref="AD19" si="1">SUM(F19:AC19)*E19+SUM(F20:AC20)*E20+SUM(F21:AC21)*E21+SUM(F22:AC22)*E22</f>
        <v>0</v>
      </c>
    </row>
    <row r="20" spans="3:30" ht="18.649999999999999" customHeight="1">
      <c r="C20" s="15"/>
      <c r="D20" s="5" t="s">
        <v>32</v>
      </c>
      <c r="E20" s="6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65"/>
    </row>
    <row r="21" spans="3:30" ht="18.649999999999999" customHeight="1">
      <c r="C21" s="15"/>
      <c r="D21" s="5" t="s">
        <v>33</v>
      </c>
      <c r="E21" s="6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65"/>
    </row>
    <row r="22" spans="3:30" ht="18.649999999999999" customHeight="1">
      <c r="C22" s="16"/>
      <c r="D22" s="5" t="s">
        <v>34</v>
      </c>
      <c r="E22" s="6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66"/>
    </row>
    <row r="23" spans="3:30" ht="18.649999999999999" customHeight="1">
      <c r="C23" s="14" t="s">
        <v>38</v>
      </c>
      <c r="D23" s="5" t="s">
        <v>31</v>
      </c>
      <c r="E23" s="6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64">
        <f t="shared" ref="AD23" si="2">SUM(F23:AC23)*E23+SUM(F24:AC24)*E24+SUM(F25:AC25)*E25+SUM(F26:AC26)*E26</f>
        <v>0</v>
      </c>
    </row>
    <row r="24" spans="3:30" ht="18.649999999999999" customHeight="1">
      <c r="C24" s="15"/>
      <c r="D24" s="5" t="s">
        <v>32</v>
      </c>
      <c r="E24" s="6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65"/>
    </row>
    <row r="25" spans="3:30" ht="18.649999999999999" customHeight="1">
      <c r="C25" s="15"/>
      <c r="D25" s="5" t="s">
        <v>33</v>
      </c>
      <c r="E25" s="6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65"/>
    </row>
    <row r="26" spans="3:30" ht="18.649999999999999" customHeight="1">
      <c r="C26" s="16"/>
      <c r="D26" s="5" t="s">
        <v>34</v>
      </c>
      <c r="E26" s="6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66"/>
    </row>
    <row r="27" spans="3:30" ht="18.649999999999999" customHeight="1">
      <c r="C27" s="14" t="s">
        <v>39</v>
      </c>
      <c r="D27" s="5" t="s">
        <v>31</v>
      </c>
      <c r="E27" s="6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64">
        <f t="shared" ref="AD27" si="3">SUM(F27:AC27)*E27+SUM(F28:AC28)*E28+SUM(F29:AC29)*E29+SUM(F30:AC30)*E30</f>
        <v>0</v>
      </c>
    </row>
    <row r="28" spans="3:30" ht="18.649999999999999" customHeight="1">
      <c r="C28" s="15"/>
      <c r="D28" s="5" t="s">
        <v>32</v>
      </c>
      <c r="E28" s="6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65"/>
    </row>
    <row r="29" spans="3:30" ht="18.649999999999999" customHeight="1">
      <c r="C29" s="15"/>
      <c r="D29" s="5" t="s">
        <v>33</v>
      </c>
      <c r="E29" s="6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65"/>
    </row>
    <row r="30" spans="3:30" ht="18.649999999999999" customHeight="1">
      <c r="C30" s="16"/>
      <c r="D30" s="5" t="s">
        <v>34</v>
      </c>
      <c r="E30" s="6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66"/>
    </row>
    <row r="31" spans="3:30" ht="18.649999999999999" customHeight="1">
      <c r="C31" s="14" t="s">
        <v>40</v>
      </c>
      <c r="D31" s="5" t="s">
        <v>31</v>
      </c>
      <c r="E31" s="6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64">
        <f t="shared" ref="AD31" si="4">SUM(F31:AC31)*E31+SUM(F32:AC32)*E32+SUM(F33:AC33)*E33+SUM(F34:AC34)*E34</f>
        <v>0</v>
      </c>
    </row>
    <row r="32" spans="3:30" ht="18.649999999999999" customHeight="1">
      <c r="C32" s="15"/>
      <c r="D32" s="5" t="s">
        <v>32</v>
      </c>
      <c r="E32" s="6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65"/>
    </row>
    <row r="33" spans="3:30" ht="18.649999999999999" customHeight="1">
      <c r="C33" s="15"/>
      <c r="D33" s="5" t="s">
        <v>33</v>
      </c>
      <c r="E33" s="6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65"/>
    </row>
    <row r="34" spans="3:30" ht="18.649999999999999" customHeight="1">
      <c r="C34" s="16"/>
      <c r="D34" s="5" t="s">
        <v>34</v>
      </c>
      <c r="E34" s="6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66"/>
    </row>
    <row r="35" spans="3:30" ht="18.649999999999999" customHeight="1">
      <c r="C35" s="14" t="s">
        <v>41</v>
      </c>
      <c r="D35" s="5" t="s">
        <v>31</v>
      </c>
      <c r="E35" s="6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64">
        <f t="shared" ref="AD35" si="5">SUM(F35:AC35)*E35+SUM(F36:AC36)*E36+SUM(F37:AC37)*E37+SUM(F38:AC38)*E38</f>
        <v>0</v>
      </c>
    </row>
    <row r="36" spans="3:30" ht="18.649999999999999" customHeight="1">
      <c r="C36" s="15"/>
      <c r="D36" s="5" t="s">
        <v>32</v>
      </c>
      <c r="E36" s="6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65"/>
    </row>
    <row r="37" spans="3:30" ht="18.649999999999999" customHeight="1">
      <c r="C37" s="15"/>
      <c r="D37" s="5" t="s">
        <v>33</v>
      </c>
      <c r="E37" s="6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65"/>
    </row>
    <row r="38" spans="3:30" ht="18.649999999999999" customHeight="1">
      <c r="C38" s="16"/>
      <c r="D38" s="5" t="s">
        <v>34</v>
      </c>
      <c r="E38" s="6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66"/>
    </row>
    <row r="39" spans="3:30" ht="18.649999999999999" customHeight="1">
      <c r="C39" s="14" t="s">
        <v>42</v>
      </c>
      <c r="D39" s="5" t="s">
        <v>31</v>
      </c>
      <c r="E39" s="6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64">
        <f t="shared" ref="AD39" si="6">SUM(F39:AC39)*E39+SUM(F40:AC40)*E40+SUM(F41:AC41)*E41+SUM(F42:AC42)*E42</f>
        <v>0</v>
      </c>
    </row>
    <row r="40" spans="3:30" ht="18.649999999999999" customHeight="1">
      <c r="C40" s="15"/>
      <c r="D40" s="5" t="s">
        <v>32</v>
      </c>
      <c r="E40" s="6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65"/>
    </row>
    <row r="41" spans="3:30" ht="18.649999999999999" customHeight="1">
      <c r="C41" s="15"/>
      <c r="D41" s="5" t="s">
        <v>33</v>
      </c>
      <c r="E41" s="6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65"/>
    </row>
    <row r="42" spans="3:30" ht="18.649999999999999" customHeight="1">
      <c r="C42" s="16"/>
      <c r="D42" s="5" t="s">
        <v>34</v>
      </c>
      <c r="E42" s="6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66"/>
    </row>
    <row r="43" spans="3:30" ht="18.649999999999999" customHeight="1">
      <c r="C43" s="14" t="s">
        <v>43</v>
      </c>
      <c r="D43" s="5" t="s">
        <v>31</v>
      </c>
      <c r="E43" s="6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64">
        <f t="shared" ref="AD43" si="7">SUM(F43:AC43)*E43+SUM(F44:AC44)*E44+SUM(F45:AC45)*E45+SUM(F46:AC46)*E46</f>
        <v>0</v>
      </c>
    </row>
    <row r="44" spans="3:30" ht="18.649999999999999" customHeight="1">
      <c r="C44" s="15"/>
      <c r="D44" s="5" t="s">
        <v>32</v>
      </c>
      <c r="E44" s="6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65"/>
    </row>
    <row r="45" spans="3:30" ht="18.649999999999999" customHeight="1">
      <c r="C45" s="15"/>
      <c r="D45" s="5" t="s">
        <v>33</v>
      </c>
      <c r="E45" s="6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65"/>
    </row>
    <row r="46" spans="3:30" ht="18.649999999999999" customHeight="1">
      <c r="C46" s="16"/>
      <c r="D46" s="5" t="s">
        <v>34</v>
      </c>
      <c r="E46" s="6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66"/>
    </row>
    <row r="47" spans="3:30" ht="18.649999999999999" customHeight="1">
      <c r="C47" s="14" t="s">
        <v>44</v>
      </c>
      <c r="D47" s="5" t="s">
        <v>31</v>
      </c>
      <c r="E47" s="6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64">
        <f t="shared" ref="AD47" si="8">SUM(F47:AC47)*E47+SUM(F48:AC48)*E48+SUM(F49:AC49)*E49+SUM(F50:AC50)*E50</f>
        <v>0</v>
      </c>
    </row>
    <row r="48" spans="3:30" ht="18.649999999999999" customHeight="1">
      <c r="C48" s="15"/>
      <c r="D48" s="5" t="s">
        <v>32</v>
      </c>
      <c r="E48" s="6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65"/>
    </row>
    <row r="49" spans="3:30" ht="18.649999999999999" customHeight="1">
      <c r="C49" s="15"/>
      <c r="D49" s="5" t="s">
        <v>33</v>
      </c>
      <c r="E49" s="6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65"/>
    </row>
    <row r="50" spans="3:30" ht="18.649999999999999" customHeight="1">
      <c r="C50" s="16"/>
      <c r="D50" s="5" t="s">
        <v>34</v>
      </c>
      <c r="E50" s="6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66"/>
    </row>
    <row r="51" spans="3:30" ht="18.649999999999999" customHeight="1">
      <c r="C51" s="14" t="s">
        <v>45</v>
      </c>
      <c r="D51" s="5" t="s">
        <v>31</v>
      </c>
      <c r="E51" s="6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64">
        <f t="shared" ref="AD51" si="9">SUM(F51:AC51)*E51+SUM(F52:AC52)*E52+SUM(F53:AC53)*E53+SUM(F54:AC54)*E54</f>
        <v>0</v>
      </c>
    </row>
    <row r="52" spans="3:30" ht="18.649999999999999" customHeight="1">
      <c r="C52" s="15"/>
      <c r="D52" s="5" t="s">
        <v>32</v>
      </c>
      <c r="E52" s="6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65"/>
    </row>
    <row r="53" spans="3:30" ht="18.649999999999999" customHeight="1">
      <c r="C53" s="15"/>
      <c r="D53" s="5" t="s">
        <v>33</v>
      </c>
      <c r="E53" s="6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65"/>
    </row>
    <row r="54" spans="3:30" ht="18.649999999999999" customHeight="1">
      <c r="C54" s="16"/>
      <c r="D54" s="5" t="s">
        <v>34</v>
      </c>
      <c r="E54" s="6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66"/>
    </row>
    <row r="55" spans="3:30" ht="18.649999999999999" customHeight="1">
      <c r="AA55" s="61" t="s">
        <v>46</v>
      </c>
      <c r="AB55" s="62"/>
      <c r="AC55" s="63"/>
      <c r="AD55" s="9">
        <f>SUM(AD7:AD54)</f>
        <v>0</v>
      </c>
    </row>
    <row r="56" spans="3:30" ht="18.649999999999999" customHeight="1"/>
  </sheetData>
  <mergeCells count="16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9E6A8F4FD75D4F983864B74DB84392" ma:contentTypeVersion="19" ma:contentTypeDescription="Crear nuevo documento." ma:contentTypeScope="" ma:versionID="8c69bbed8bb0eee39c5c0dde9267d4b1">
  <xsd:schema xmlns:xsd="http://www.w3.org/2001/XMLSchema" xmlns:xs="http://www.w3.org/2001/XMLSchema" xmlns:p="http://schemas.microsoft.com/office/2006/metadata/properties" xmlns:ns2="20f209a7-1359-40c6-86fe-9091c8270b74" xmlns:ns3="82abe3a3-6e4b-4543-a779-2a3e3746bbb7" xmlns:ns4="fde91536-cb6a-48c8-a1c9-f59bb520eba1" targetNamespace="http://schemas.microsoft.com/office/2006/metadata/properties" ma:root="true" ma:fieldsID="09317b3418a53e7664a8e589b48897b7" ns2:_="" ns3:_="" ns4:_="">
    <xsd:import namespace="20f209a7-1359-40c6-86fe-9091c8270b74"/>
    <xsd:import namespace="82abe3a3-6e4b-4543-a779-2a3e3746bbb7"/>
    <xsd:import namespace="fde91536-cb6a-48c8-a1c9-f59bb520eb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209a7-1359-40c6-86fe-9091c8270b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ca7b523-58f5-4d52-b53c-05f253e3d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be3a3-6e4b-4543-a779-2a3e3746bbb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91536-cb6a-48c8-a1c9-f59bb520eba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694ff3e-b4a5-4b34-b281-d10abf799c64}" ma:internalName="TaxCatchAll" ma:showField="CatchAllData" ma:web="82abe3a3-6e4b-4543-a779-2a3e3746b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f209a7-1359-40c6-86fe-9091c8270b74">
      <Terms xmlns="http://schemas.microsoft.com/office/infopath/2007/PartnerControls"/>
    </lcf76f155ced4ddcb4097134ff3c332f>
    <TaxCatchAll xmlns="fde91536-cb6a-48c8-a1c9-f59bb520eba1" xsi:nil="true"/>
  </documentManagement>
</p:properties>
</file>

<file path=customXml/itemProps1.xml><?xml version="1.0" encoding="utf-8"?>
<ds:datastoreItem xmlns:ds="http://schemas.openxmlformats.org/officeDocument/2006/customXml" ds:itemID="{27E0A1FB-D788-4744-96DB-0168C5E344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6DAE64-E037-473E-8703-3A96E3FDA0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209a7-1359-40c6-86fe-9091c8270b74"/>
    <ds:schemaRef ds:uri="82abe3a3-6e4b-4543-a779-2a3e3746bbb7"/>
    <ds:schemaRef ds:uri="fde91536-cb6a-48c8-a1c9-f59bb520eb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335DA5-68F1-4BD9-9A62-5CA5F5498C57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20f209a7-1359-40c6-86fe-9091c8270b74"/>
    <ds:schemaRef ds:uri="82abe3a3-6e4b-4543-a779-2a3e3746bbb7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fde91536-cb6a-48c8-a1c9-f59bb520eba1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Cantidades 2027</vt:lpstr>
      <vt:lpstr>Cantidades 2028</vt:lpstr>
      <vt:lpstr>Cantidades 2029</vt:lpstr>
      <vt:lpstr>Cantidades 2030</vt:lpstr>
      <vt:lpstr>Cantidades 2031</vt:lpstr>
      <vt:lpstr>Cantidades 2032</vt:lpstr>
      <vt:lpstr>Oferta 2027</vt:lpstr>
      <vt:lpstr>Oferta 2028</vt:lpstr>
      <vt:lpstr>Oferta 2029</vt:lpstr>
      <vt:lpstr>Oferta 2030</vt:lpstr>
      <vt:lpstr>Oferta 2031</vt:lpstr>
      <vt:lpstr>Oferta 2032</vt:lpstr>
      <vt:lpstr>Oferta Horaria 2027-2032</vt:lpstr>
      <vt:lpstr>'Oferta 2027'!Área_de_impresión</vt:lpstr>
      <vt:lpstr>'Oferta 2028'!Área_de_impresión</vt:lpstr>
      <vt:lpstr>'Oferta 2029'!Área_de_impresión</vt:lpstr>
      <vt:lpstr>'Oferta 2030'!Área_de_impresión</vt:lpstr>
      <vt:lpstr>'Oferta 2031'!Área_de_impresión</vt:lpstr>
      <vt:lpstr>'Oferta 2032'!Área_de_impresión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 DARIO PUERTA LEON</dc:creator>
  <cp:keywords/>
  <dc:description/>
  <cp:lastModifiedBy>ANGELA MARIA ROLDAN ARANGO</cp:lastModifiedBy>
  <cp:revision/>
  <dcterms:created xsi:type="dcterms:W3CDTF">2020-05-05T11:47:09Z</dcterms:created>
  <dcterms:modified xsi:type="dcterms:W3CDTF">2026-03-25T17:17:37Z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0x010100C49E6A8F4FD75D4F983864B74DB84392</vt:lpwstr>
  </property>
  <property fmtid="{D5CDD505-2E9C-101B-9397-08002B2CF9AE}" pid="5" name="MSIP_Label_666bb131-2344-48ed-84db-fe1e84a9fae2_Enabled">
    <vt:lpwstr>true</vt:lpwstr>
  </property>
  <property fmtid="{D5CDD505-2E9C-101B-9397-08002B2CF9AE}" pid="6" name="MSIP_Label_666bb131-2344-48ed-84db-fe1e84a9fae2_SetDate">
    <vt:lpwstr>2021-05-14T12:22:19Z</vt:lpwstr>
  </property>
  <property fmtid="{D5CDD505-2E9C-101B-9397-08002B2CF9AE}" pid="7" name="MSIP_Label_666bb131-2344-48ed-84db-fe1e84a9fae2_Method">
    <vt:lpwstr>Standard</vt:lpwstr>
  </property>
  <property fmtid="{D5CDD505-2E9C-101B-9397-08002B2CF9AE}" pid="8" name="MSIP_Label_666bb131-2344-48ed-84db-fe1e84a9fae2_Name">
    <vt:lpwstr>666bb131-2344-48ed-84db-fe1e84a9fae2</vt:lpwstr>
  </property>
  <property fmtid="{D5CDD505-2E9C-101B-9397-08002B2CF9AE}" pid="9" name="MSIP_Label_666bb131-2344-48ed-84db-fe1e84a9fae2_SiteId">
    <vt:lpwstr>bf1ce8b5-5d39-4bc5-ad6e-07b3e4d7d67a</vt:lpwstr>
  </property>
  <property fmtid="{D5CDD505-2E9C-101B-9397-08002B2CF9AE}" pid="10" name="MSIP_Label_666bb131-2344-48ed-84db-fe1e84a9fae2_ActionId">
    <vt:lpwstr>17af050d-f21b-4d5c-ade0-0a837a2dd3df</vt:lpwstr>
  </property>
  <property fmtid="{D5CDD505-2E9C-101B-9397-08002B2CF9AE}" pid="11" name="MSIP_Label_666bb131-2344-48ed-84db-fe1e84a9fae2_ContentBits">
    <vt:lpwstr>0</vt:lpwstr>
  </property>
  <property fmtid="{D5CDD505-2E9C-101B-9397-08002B2CF9AE}" pid="12" name="MediaServiceImageTags">
    <vt:lpwstr/>
  </property>
</Properties>
</file>