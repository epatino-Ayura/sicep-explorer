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. Requeridas Producto 1" sheetId="1" r:id="rId4"/>
    <sheet state="visible" name="Oferta Producto 1" sheetId="2" r:id="rId5"/>
  </sheets>
  <definedNames/>
  <calcPr/>
  <extLst>
    <ext uri="GoogleSheetsCustomDataVersion2">
      <go:sheetsCustomData xmlns:go="http://customooxmlschemas.google.com/" r:id="rId6" roundtripDataChecksum="egt/CjAOyrgln5Cv4TmMNAln5Ir3k9t1CHGfrgsVrss="/>
    </ext>
  </extLst>
</workbook>
</file>

<file path=xl/sharedStrings.xml><?xml version="1.0" encoding="utf-8"?>
<sst xmlns="http://schemas.openxmlformats.org/spreadsheetml/2006/main" count="165" uniqueCount="52">
  <si>
    <t>ANEXO 3 - CANTIDADES DE  ENERGÍA SOLICITADA EN kWh</t>
  </si>
  <si>
    <t>PRODUCTO 1 - PAGUE LO CONTRATADO</t>
  </si>
  <si>
    <t>Periodo: 1 de enero 2026 a 31 diciembre de 2026</t>
  </si>
  <si>
    <t>CONVOCATORIA PÚBLICA N° CP-BIAC2025-005 - BIA ENERGY S.A.S. E.S.P.</t>
  </si>
  <si>
    <t>Mes</t>
  </si>
  <si>
    <t>Tipo de 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</si>
  <si>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</si>
  <si>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</si>
  <si>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</si>
  <si>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</si>
  <si>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</si>
  <si>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</si>
  <si>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</si>
  <si>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</si>
  <si>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</si>
  <si>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</si>
  <si>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</si>
  <si>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</si>
  <si>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</si>
  <si>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</si>
  <si>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</si>
  <si>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</si>
  <si>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</si>
  <si>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</si>
  <si>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</si>
  <si>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</si>
  <si>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</si>
  <si>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</si>
  <si>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</si>
  <si>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</si>
  <si>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</si>
  <si>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</si>
  <si>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</t>
  </si>
  <si>
    <t>TOTAL MES</t>
  </si>
  <si>
    <t>Ordinario</t>
  </si>
  <si>
    <t>Sábado</t>
  </si>
  <si>
    <t>-</t>
  </si>
  <si>
    <t>Festivo</t>
  </si>
  <si>
    <t>ANEXO 4. FORMATO DE OFERTA - PRODUCTO 1</t>
  </si>
  <si>
    <t xml:space="preserve">NOMBRE DEL OFERENTE                                        
</t>
  </si>
  <si>
    <t>Precios y cantidades de la energía ofertada</t>
  </si>
  <si>
    <t>En pesos de septiembre de 2025</t>
  </si>
  <si>
    <t>OPCIÓN 24 HORAS</t>
  </si>
  <si>
    <t>E. Solicitada
[kWh-mes]</t>
  </si>
  <si>
    <t>% E. Ofertada</t>
  </si>
  <si>
    <t>E. Ofertada
[kWh-mes]</t>
  </si>
  <si>
    <t>$/kWh</t>
  </si>
  <si>
    <t>El oferente debe indicar si acepta adjudicaciones parciales o no</t>
  </si>
  <si>
    <t>• Para el año 2026, se debe presentar oferta con un único porcentaje.</t>
  </si>
  <si>
    <t>• El precio ofertado debe ser único para el año del producto, expresado en $/kWh, con hasta dos (2) decimales.</t>
  </si>
  <si>
    <t>Leonardo Velasquez</t>
  </si>
  <si>
    <t>BIA ENERGY S.A.S. E.S.P.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</si>
</sst>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</numFmts>
  <fonts count="1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/>
    <font>
      <color theme="1"/>
      <name val="Calibri"/>
    </font>
    <font>
      <b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Din-regular"/>
    </font>
    <font>
      <b/>
      <sz val="10.0"/>
      <color rgb="FF000000"/>
      <name val="Arial"/>
    </font>
    <font>
      <color theme="1"/>
      <name val="Din-regula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3" numFmtId="17" xfId="0" applyBorder="1" applyFont="1" applyNumberFormat="1"/>
    <xf borderId="1" fillId="0" fontId="3" numFmtId="4" xfId="0" applyBorder="1" applyFont="1" applyNumberFormat="1"/>
    <xf borderId="1" fillId="0" fontId="3" numFmtId="164" xfId="0" applyBorder="1" applyFont="1" applyNumberFormat="1"/>
    <xf borderId="2" fillId="0" fontId="3" numFmtId="164" xfId="0" applyBorder="1" applyFont="1" applyNumberFormat="1"/>
    <xf borderId="3" fillId="0" fontId="3" numFmtId="164" xfId="0" applyAlignment="1" applyBorder="1" applyFont="1" applyNumberFormat="1">
      <alignment vertical="center"/>
    </xf>
    <xf borderId="1" fillId="0" fontId="3" numFmtId="0" xfId="0" applyBorder="1" applyFont="1"/>
    <xf borderId="4" fillId="0" fontId="4" numFmtId="0" xfId="0" applyBorder="1" applyFont="1"/>
    <xf borderId="2" fillId="0" fontId="4" numFmtId="0" xfId="0" applyBorder="1" applyFont="1"/>
    <xf borderId="1" fillId="0" fontId="5" numFmtId="4" xfId="0" applyBorder="1" applyFont="1" applyNumberFormat="1"/>
    <xf borderId="1" fillId="0" fontId="5" numFmtId="0" xfId="0" applyBorder="1" applyFont="1"/>
    <xf borderId="1" fillId="0" fontId="6" numFmtId="0" xfId="0" applyAlignment="1" applyBorder="1" applyFont="1">
      <alignment horizontal="center"/>
    </xf>
    <xf borderId="1" fillId="0" fontId="5" numFmtId="164" xfId="0" applyBorder="1" applyFont="1" applyNumberFormat="1"/>
    <xf borderId="0" fillId="0" fontId="7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5" fillId="0" fontId="9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0" fontId="7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17" xfId="0" applyAlignment="1" applyBorder="1" applyFont="1" applyNumberFormat="1">
      <alignment horizontal="center" vertical="center"/>
    </xf>
    <xf borderId="12" fillId="0" fontId="11" numFmtId="165" xfId="0" applyAlignment="1" applyBorder="1" applyFont="1" applyNumberFormat="1">
      <alignment horizontal="center"/>
    </xf>
    <xf borderId="13" fillId="0" fontId="8" numFmtId="10" xfId="0" applyAlignment="1" applyBorder="1" applyFont="1" applyNumberFormat="1">
      <alignment horizontal="center" vertical="center"/>
    </xf>
    <xf borderId="12" fillId="0" fontId="12" numFmtId="165" xfId="0" applyAlignment="1" applyBorder="1" applyFont="1" applyNumberFormat="1">
      <alignment horizontal="center"/>
    </xf>
    <xf borderId="13" fillId="0" fontId="8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0" fontId="9" numFmtId="17" xfId="0" applyAlignment="1" applyBorder="1" applyFont="1" applyNumberFormat="1">
      <alignment horizontal="left" vertical="center"/>
    </xf>
    <xf borderId="16" fillId="0" fontId="9" numFmtId="166" xfId="0" applyAlignment="1" applyBorder="1" applyFont="1" applyNumberFormat="1">
      <alignment horizontal="center" vertical="center"/>
    </xf>
    <xf borderId="16" fillId="0" fontId="8" numFmtId="0" xfId="0" applyBorder="1" applyFont="1"/>
    <xf borderId="0" fillId="0" fontId="9" numFmtId="4" xfId="0" applyAlignment="1" applyFont="1" applyNumberFormat="1">
      <alignment horizontal="center"/>
    </xf>
    <xf borderId="0" fillId="0" fontId="5" numFmtId="4" xfId="0" applyFont="1" applyNumberFormat="1"/>
    <xf borderId="0" fillId="0" fontId="3" numFmtId="0" xfId="0" applyAlignment="1" applyFont="1">
      <alignment horizontal="left" shrinkToFit="0" wrapText="1"/>
    </xf>
    <xf borderId="17" fillId="0" fontId="3" numFmtId="0" xfId="0" applyBorder="1" applyFont="1"/>
    <xf borderId="0" fillId="0" fontId="3" numFmtId="0" xfId="0" applyAlignment="1" applyFont="1">
      <alignment shrinkToFit="0" wrapText="1"/>
    </xf>
    <xf borderId="18" fillId="0" fontId="3" numFmtId="0" xfId="0" applyBorder="1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1" t="s">
        <v>1</v>
      </c>
      <c r="AD2" s="1"/>
    </row>
    <row r="3" ht="14.25" customHeight="1">
      <c r="A3" s="1" t="s">
        <v>2</v>
      </c>
      <c r="AD3" s="1"/>
    </row>
    <row r="4" ht="14.25" customHeight="1">
      <c r="A4" s="1" t="s">
        <v>3</v>
      </c>
      <c r="AD4" s="1"/>
    </row>
    <row r="5" ht="14.25" customHeight="1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  <c r="AB5" s="4"/>
    </row>
    <row r="6" ht="14.25" customHeight="1">
      <c r="A6" s="2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/>
      <c r="X6" s="4"/>
      <c r="Y6" s="4"/>
      <c r="Z6" s="4"/>
      <c r="AA6" s="4"/>
      <c r="AB6" s="4"/>
    </row>
    <row r="7" ht="14.25" customHeight="1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.25" customHeight="1">
      <c r="A8" s="2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  <c r="AC9" s="6" t="s">
        <v>32</v>
      </c>
      <c r="AD9" s="6" t="s">
        <v>33</v>
      </c>
    </row>
    <row r="10" ht="14.25" customHeight="1">
      <c r="A10" s="7">
        <v>46023.0</v>
      </c>
      <c r="B10" s="8" t="s">
        <v>34</v>
      </c>
      <c r="C10" s="8">
        <v>6863.24</v>
      </c>
      <c r="D10" s="8">
        <v>6198.6</v>
      </c>
      <c r="E10" s="8">
        <v>5803.18</v>
      </c>
      <c r="F10" s="8">
        <v>5692.31</v>
      </c>
      <c r="G10" s="8">
        <v>5857.02</v>
      </c>
      <c r="H10" s="8">
        <v>6896.02</v>
      </c>
      <c r="I10" s="8">
        <v>10673.31</v>
      </c>
      <c r="J10" s="8">
        <v>2478.95</v>
      </c>
      <c r="K10" s="8">
        <v>6783.71</v>
      </c>
      <c r="L10" s="8">
        <v>9556.91</v>
      </c>
      <c r="M10" s="8">
        <v>11972.37</v>
      </c>
      <c r="N10" s="8">
        <v>13232.57</v>
      </c>
      <c r="O10" s="8">
        <v>12531.4</v>
      </c>
      <c r="P10" s="8">
        <v>12389.89</v>
      </c>
      <c r="Q10" s="8">
        <v>13186.77</v>
      </c>
      <c r="R10" s="8">
        <v>12935.39</v>
      </c>
      <c r="S10" s="8">
        <v>11462.3</v>
      </c>
      <c r="T10" s="8">
        <v>22404.51</v>
      </c>
      <c r="U10" s="8">
        <v>20417.82</v>
      </c>
      <c r="V10" s="8">
        <v>18588.3</v>
      </c>
      <c r="W10" s="8">
        <v>16228.4</v>
      </c>
      <c r="X10" s="8">
        <v>13408.92</v>
      </c>
      <c r="Y10" s="8">
        <v>10307.68</v>
      </c>
      <c r="Z10" s="8">
        <v>8333.59</v>
      </c>
      <c r="AA10" s="9">
        <f t="shared" ref="AA10:AA27" si="1">SUM(C10:Z10)</f>
        <v>264203.16</v>
      </c>
      <c r="AB10" s="10">
        <v>20.0</v>
      </c>
      <c r="AC10" s="9">
        <f t="shared" ref="AC10:AC27" si="2">AA10*AB10</f>
        <v>5284063.2</v>
      </c>
      <c r="AD10" s="11">
        <f>sum(AC10:AC12)</f>
        <v>6670669.51</v>
      </c>
    </row>
    <row r="11" ht="14.25" customHeight="1">
      <c r="A11" s="7">
        <v>46023.0</v>
      </c>
      <c r="B11" s="8" t="s">
        <v>35</v>
      </c>
      <c r="C11" s="8">
        <v>7358.35</v>
      </c>
      <c r="D11" s="8">
        <v>6643.22</v>
      </c>
      <c r="E11" s="8">
        <v>6137.79</v>
      </c>
      <c r="F11" s="8">
        <v>5784.66</v>
      </c>
      <c r="G11" s="8">
        <v>5654.91</v>
      </c>
      <c r="H11" s="8">
        <v>5707.33</v>
      </c>
      <c r="I11" s="8">
        <v>7788.19</v>
      </c>
      <c r="J11" s="12" t="s">
        <v>36</v>
      </c>
      <c r="K11" s="8">
        <v>2283.07</v>
      </c>
      <c r="L11" s="8">
        <v>5181.23</v>
      </c>
      <c r="M11" s="8">
        <v>7186.04</v>
      </c>
      <c r="N11" s="8">
        <v>7598.8</v>
      </c>
      <c r="O11" s="8">
        <v>6534.46</v>
      </c>
      <c r="P11" s="8">
        <v>5041.1</v>
      </c>
      <c r="Q11" s="8">
        <v>4279.41</v>
      </c>
      <c r="R11" s="8">
        <v>4198.61</v>
      </c>
      <c r="S11" s="8">
        <v>3685.47</v>
      </c>
      <c r="T11" s="8">
        <v>16532.05</v>
      </c>
      <c r="U11" s="8">
        <v>15925.77</v>
      </c>
      <c r="V11" s="8">
        <v>14357.02</v>
      </c>
      <c r="W11" s="8">
        <v>12398.34</v>
      </c>
      <c r="X11" s="8">
        <v>10200.86</v>
      </c>
      <c r="Y11" s="8">
        <v>7928.81</v>
      </c>
      <c r="Z11" s="8">
        <v>6108.04</v>
      </c>
      <c r="AA11" s="9">
        <f t="shared" si="1"/>
        <v>174513.53</v>
      </c>
      <c r="AB11" s="9">
        <v>5.0</v>
      </c>
      <c r="AC11" s="9">
        <f t="shared" si="2"/>
        <v>872567.65</v>
      </c>
      <c r="AD11" s="13"/>
    </row>
    <row r="12" ht="14.25" customHeight="1">
      <c r="A12" s="7">
        <v>46023.0</v>
      </c>
      <c r="B12" s="8" t="s">
        <v>37</v>
      </c>
      <c r="C12" s="8">
        <v>4833.52</v>
      </c>
      <c r="D12" s="8">
        <v>4010.99</v>
      </c>
      <c r="E12" s="8">
        <v>3531.99</v>
      </c>
      <c r="F12" s="8">
        <v>3271.86</v>
      </c>
      <c r="G12" s="8">
        <v>2916.94</v>
      </c>
      <c r="H12" s="8">
        <v>2591.72</v>
      </c>
      <c r="I12" s="8">
        <v>3156.89</v>
      </c>
      <c r="J12" s="12" t="s">
        <v>36</v>
      </c>
      <c r="K12" s="12" t="s">
        <v>36</v>
      </c>
      <c r="L12" s="12" t="s">
        <v>36</v>
      </c>
      <c r="M12" s="12" t="s">
        <v>36</v>
      </c>
      <c r="N12" s="12" t="s">
        <v>36</v>
      </c>
      <c r="O12" s="12" t="s">
        <v>36</v>
      </c>
      <c r="P12" s="12" t="s">
        <v>36</v>
      </c>
      <c r="Q12" s="12" t="s">
        <v>36</v>
      </c>
      <c r="R12" s="12" t="s">
        <v>36</v>
      </c>
      <c r="S12" s="12" t="s">
        <v>36</v>
      </c>
      <c r="T12" s="8">
        <v>11677.68</v>
      </c>
      <c r="U12" s="8">
        <v>11787.82</v>
      </c>
      <c r="V12" s="8">
        <v>11066.69</v>
      </c>
      <c r="W12" s="8">
        <v>9465.24</v>
      </c>
      <c r="X12" s="8">
        <v>7440.64</v>
      </c>
      <c r="Y12" s="8">
        <v>5629.59</v>
      </c>
      <c r="Z12" s="8">
        <v>4291.54</v>
      </c>
      <c r="AA12" s="9">
        <f t="shared" si="1"/>
        <v>85673.11</v>
      </c>
      <c r="AB12" s="9">
        <v>6.0</v>
      </c>
      <c r="AC12" s="9">
        <f t="shared" si="2"/>
        <v>514038.66</v>
      </c>
      <c r="AD12" s="14"/>
    </row>
    <row r="13" ht="14.25" customHeight="1">
      <c r="A13" s="7">
        <v>46054.0</v>
      </c>
      <c r="B13" s="8" t="s">
        <v>34</v>
      </c>
      <c r="C13" s="8">
        <v>6065.46</v>
      </c>
      <c r="D13" s="8">
        <v>5496.91</v>
      </c>
      <c r="E13" s="8">
        <v>5158.66</v>
      </c>
      <c r="F13" s="8">
        <v>5063.82</v>
      </c>
      <c r="G13" s="8">
        <v>5204.72</v>
      </c>
      <c r="H13" s="8">
        <v>6093.5</v>
      </c>
      <c r="I13" s="8">
        <v>9324.68</v>
      </c>
      <c r="J13" s="12">
        <v>387.38</v>
      </c>
      <c r="K13" s="8">
        <v>4069.77</v>
      </c>
      <c r="L13" s="8">
        <v>6442.02</v>
      </c>
      <c r="M13" s="8">
        <v>8508.26</v>
      </c>
      <c r="N13" s="8">
        <v>9586.26</v>
      </c>
      <c r="O13" s="8">
        <v>8986.47</v>
      </c>
      <c r="P13" s="8">
        <v>8865.41</v>
      </c>
      <c r="Q13" s="8">
        <v>9547.08</v>
      </c>
      <c r="R13" s="8">
        <v>9332.04</v>
      </c>
      <c r="S13" s="8">
        <v>8071.94</v>
      </c>
      <c r="T13" s="8">
        <v>19359.8</v>
      </c>
      <c r="U13" s="8">
        <v>17660.34</v>
      </c>
      <c r="V13" s="8">
        <v>16095.33</v>
      </c>
      <c r="W13" s="8">
        <v>14076.62</v>
      </c>
      <c r="X13" s="8">
        <v>11664.78</v>
      </c>
      <c r="Y13" s="8">
        <v>9011.91</v>
      </c>
      <c r="Z13" s="8">
        <v>7323.23</v>
      </c>
      <c r="AA13" s="9">
        <f t="shared" si="1"/>
        <v>211396.39</v>
      </c>
      <c r="AB13" s="9">
        <v>20.0</v>
      </c>
      <c r="AC13" s="9">
        <f t="shared" si="2"/>
        <v>4227927.8</v>
      </c>
      <c r="AD13" s="11">
        <f>sum(AC13:AC15)</f>
        <v>5077594.32</v>
      </c>
    </row>
    <row r="14" ht="14.25" customHeight="1">
      <c r="A14" s="7">
        <v>46054.0</v>
      </c>
      <c r="B14" s="8" t="s">
        <v>35</v>
      </c>
      <c r="C14" s="8">
        <v>6488.99</v>
      </c>
      <c r="D14" s="8">
        <v>5877.25</v>
      </c>
      <c r="E14" s="8">
        <v>5444.9</v>
      </c>
      <c r="F14" s="8">
        <v>5142.82</v>
      </c>
      <c r="G14" s="8">
        <v>5031.82</v>
      </c>
      <c r="H14" s="8">
        <v>5076.67</v>
      </c>
      <c r="I14" s="8">
        <v>6856.68</v>
      </c>
      <c r="J14" s="12" t="s">
        <v>36</v>
      </c>
      <c r="K14" s="12">
        <v>219.82</v>
      </c>
      <c r="L14" s="8">
        <v>2698.97</v>
      </c>
      <c r="M14" s="8">
        <v>4413.92</v>
      </c>
      <c r="N14" s="8">
        <v>4767.01</v>
      </c>
      <c r="O14" s="8">
        <v>3856.55</v>
      </c>
      <c r="P14" s="8">
        <v>2579.1</v>
      </c>
      <c r="Q14" s="8">
        <v>1927.53</v>
      </c>
      <c r="R14" s="8">
        <v>1858.41</v>
      </c>
      <c r="S14" s="8">
        <v>1419.46</v>
      </c>
      <c r="T14" s="8">
        <v>14336.37</v>
      </c>
      <c r="U14" s="8">
        <v>13817.74</v>
      </c>
      <c r="V14" s="8">
        <v>12475.81</v>
      </c>
      <c r="W14" s="8">
        <v>10800.3</v>
      </c>
      <c r="X14" s="8">
        <v>8920.53</v>
      </c>
      <c r="Y14" s="8">
        <v>6976.97</v>
      </c>
      <c r="Z14" s="8">
        <v>5419.44</v>
      </c>
      <c r="AA14" s="9">
        <f t="shared" si="1"/>
        <v>136407.06</v>
      </c>
      <c r="AB14" s="9">
        <v>4.0</v>
      </c>
      <c r="AC14" s="9">
        <f t="shared" si="2"/>
        <v>545628.24</v>
      </c>
      <c r="AD14" s="13"/>
    </row>
    <row r="15" ht="14.25" customHeight="1">
      <c r="A15" s="7">
        <v>46054.0</v>
      </c>
      <c r="B15" s="8" t="s">
        <v>37</v>
      </c>
      <c r="C15" s="8">
        <v>4329.19</v>
      </c>
      <c r="D15" s="8">
        <v>3625.58</v>
      </c>
      <c r="E15" s="8">
        <v>3215.84</v>
      </c>
      <c r="F15" s="8">
        <v>2993.32</v>
      </c>
      <c r="G15" s="8">
        <v>2689.71</v>
      </c>
      <c r="H15" s="8">
        <v>2411.51</v>
      </c>
      <c r="I15" s="8">
        <v>2894.97</v>
      </c>
      <c r="J15" s="12" t="s">
        <v>36</v>
      </c>
      <c r="K15" s="12" t="s">
        <v>36</v>
      </c>
      <c r="L15" s="12" t="s">
        <v>36</v>
      </c>
      <c r="M15" s="12" t="s">
        <v>36</v>
      </c>
      <c r="N15" s="12" t="s">
        <v>36</v>
      </c>
      <c r="O15" s="12" t="s">
        <v>36</v>
      </c>
      <c r="P15" s="12" t="s">
        <v>36</v>
      </c>
      <c r="Q15" s="12" t="s">
        <v>36</v>
      </c>
      <c r="R15" s="12" t="s">
        <v>36</v>
      </c>
      <c r="S15" s="12" t="s">
        <v>36</v>
      </c>
      <c r="T15" s="8">
        <v>10183.84</v>
      </c>
      <c r="U15" s="8">
        <v>10278.05</v>
      </c>
      <c r="V15" s="8">
        <v>9661.18</v>
      </c>
      <c r="W15" s="8">
        <v>8291.26</v>
      </c>
      <c r="X15" s="8">
        <v>6559.38</v>
      </c>
      <c r="Y15" s="8">
        <v>5010.17</v>
      </c>
      <c r="Z15" s="8">
        <v>3865.57</v>
      </c>
      <c r="AA15" s="9">
        <f t="shared" si="1"/>
        <v>76009.57</v>
      </c>
      <c r="AB15" s="9">
        <v>4.0</v>
      </c>
      <c r="AC15" s="9">
        <f t="shared" si="2"/>
        <v>304038.28</v>
      </c>
      <c r="AD15" s="14"/>
    </row>
    <row r="16" ht="14.25" customHeight="1">
      <c r="A16" s="7">
        <v>46082.0</v>
      </c>
      <c r="B16" s="8" t="s">
        <v>34</v>
      </c>
      <c r="C16" s="8">
        <v>4062.09</v>
      </c>
      <c r="D16" s="8">
        <v>3533.57</v>
      </c>
      <c r="E16" s="8">
        <v>3219.14</v>
      </c>
      <c r="F16" s="8">
        <v>3130.99</v>
      </c>
      <c r="G16" s="8">
        <v>3261.96</v>
      </c>
      <c r="H16" s="8">
        <v>4088.15</v>
      </c>
      <c r="I16" s="8">
        <v>7091.78</v>
      </c>
      <c r="J16" s="12" t="s">
        <v>36</v>
      </c>
      <c r="K16" s="8">
        <v>1267.99</v>
      </c>
      <c r="L16" s="8">
        <v>3473.18</v>
      </c>
      <c r="M16" s="8">
        <v>5393.91</v>
      </c>
      <c r="N16" s="8">
        <v>6396.0</v>
      </c>
      <c r="O16" s="8">
        <v>5838.44</v>
      </c>
      <c r="P16" s="8">
        <v>5725.91</v>
      </c>
      <c r="Q16" s="8">
        <v>6359.58</v>
      </c>
      <c r="R16" s="8">
        <v>6159.68</v>
      </c>
      <c r="S16" s="8">
        <v>4988.32</v>
      </c>
      <c r="T16" s="8">
        <v>16420.21</v>
      </c>
      <c r="U16" s="8">
        <v>14840.42</v>
      </c>
      <c r="V16" s="8">
        <v>13385.63</v>
      </c>
      <c r="W16" s="8">
        <v>11509.08</v>
      </c>
      <c r="X16" s="8">
        <v>9267.09</v>
      </c>
      <c r="Y16" s="8">
        <v>6801.04</v>
      </c>
      <c r="Z16" s="8">
        <v>5231.28</v>
      </c>
      <c r="AA16" s="9">
        <f t="shared" si="1"/>
        <v>151445.44</v>
      </c>
      <c r="AB16" s="9">
        <v>21.0</v>
      </c>
      <c r="AC16" s="9">
        <f t="shared" si="2"/>
        <v>3180354.24</v>
      </c>
      <c r="AD16" s="11">
        <f>sum(AC16:AC18)</f>
        <v>3820846.46</v>
      </c>
    </row>
    <row r="17" ht="14.25" customHeight="1">
      <c r="A17" s="7">
        <v>46082.0</v>
      </c>
      <c r="B17" s="8" t="s">
        <v>35</v>
      </c>
      <c r="C17" s="8">
        <v>4455.79</v>
      </c>
      <c r="D17" s="8">
        <v>3887.13</v>
      </c>
      <c r="E17" s="8">
        <v>3485.22</v>
      </c>
      <c r="F17" s="8">
        <v>3204.42</v>
      </c>
      <c r="G17" s="8">
        <v>3101.24</v>
      </c>
      <c r="H17" s="8">
        <v>3142.93</v>
      </c>
      <c r="I17" s="8">
        <v>4797.59</v>
      </c>
      <c r="J17" s="12" t="s">
        <v>36</v>
      </c>
      <c r="K17" s="12" t="s">
        <v>36</v>
      </c>
      <c r="L17" s="12" t="s">
        <v>36</v>
      </c>
      <c r="M17" s="8">
        <v>1587.91</v>
      </c>
      <c r="N17" s="8">
        <v>1916.14</v>
      </c>
      <c r="O17" s="8">
        <v>1069.79</v>
      </c>
      <c r="P17" s="12" t="s">
        <v>36</v>
      </c>
      <c r="Q17" s="12" t="s">
        <v>36</v>
      </c>
      <c r="R17" s="12" t="s">
        <v>36</v>
      </c>
      <c r="S17" s="12" t="s">
        <v>36</v>
      </c>
      <c r="T17" s="8">
        <v>11750.54</v>
      </c>
      <c r="U17" s="8">
        <v>11268.43</v>
      </c>
      <c r="V17" s="8">
        <v>10021.0</v>
      </c>
      <c r="W17" s="8">
        <v>8463.49</v>
      </c>
      <c r="X17" s="8">
        <v>6716.09</v>
      </c>
      <c r="Y17" s="8">
        <v>4909.4</v>
      </c>
      <c r="Z17" s="8">
        <v>3461.56</v>
      </c>
      <c r="AA17" s="9">
        <f t="shared" si="1"/>
        <v>87238.67</v>
      </c>
      <c r="AB17" s="9">
        <v>4.0</v>
      </c>
      <c r="AC17" s="9">
        <f t="shared" si="2"/>
        <v>348954.68</v>
      </c>
      <c r="AD17" s="13"/>
    </row>
    <row r="18" ht="14.25" customHeight="1">
      <c r="A18" s="7">
        <v>46082.0</v>
      </c>
      <c r="B18" s="8" t="s">
        <v>37</v>
      </c>
      <c r="C18" s="8">
        <v>2448.09</v>
      </c>
      <c r="D18" s="8">
        <v>1794.03</v>
      </c>
      <c r="E18" s="8">
        <v>1413.14</v>
      </c>
      <c r="F18" s="8">
        <v>1206.29</v>
      </c>
      <c r="G18" s="12">
        <v>924.07</v>
      </c>
      <c r="H18" s="12">
        <v>665.46</v>
      </c>
      <c r="I18" s="8">
        <v>1114.87</v>
      </c>
      <c r="J18" s="12" t="s">
        <v>36</v>
      </c>
      <c r="K18" s="12" t="s">
        <v>36</v>
      </c>
      <c r="L18" s="12" t="s">
        <v>36</v>
      </c>
      <c r="M18" s="12" t="s">
        <v>36</v>
      </c>
      <c r="N18" s="12" t="s">
        <v>36</v>
      </c>
      <c r="O18" s="12" t="s">
        <v>36</v>
      </c>
      <c r="P18" s="12" t="s">
        <v>36</v>
      </c>
      <c r="Q18" s="12" t="s">
        <v>36</v>
      </c>
      <c r="R18" s="12" t="s">
        <v>36</v>
      </c>
      <c r="S18" s="12" t="s">
        <v>36</v>
      </c>
      <c r="T18" s="8">
        <v>7890.44</v>
      </c>
      <c r="U18" s="8">
        <v>7978.01</v>
      </c>
      <c r="V18" s="8">
        <v>7404.59</v>
      </c>
      <c r="W18" s="8">
        <v>6131.14</v>
      </c>
      <c r="X18" s="8">
        <v>4521.23</v>
      </c>
      <c r="Y18" s="8">
        <v>3081.11</v>
      </c>
      <c r="Z18" s="8">
        <v>2017.12</v>
      </c>
      <c r="AA18" s="9">
        <f t="shared" si="1"/>
        <v>48589.59</v>
      </c>
      <c r="AB18" s="9">
        <v>6.0</v>
      </c>
      <c r="AC18" s="9">
        <f t="shared" si="2"/>
        <v>291537.54</v>
      </c>
      <c r="AD18" s="14"/>
    </row>
    <row r="19" ht="14.25" customHeight="1">
      <c r="A19" s="7">
        <v>46113.0</v>
      </c>
      <c r="B19" s="8" t="s">
        <v>34</v>
      </c>
      <c r="C19" s="8">
        <v>4941.56</v>
      </c>
      <c r="D19" s="8">
        <v>4397.03</v>
      </c>
      <c r="E19" s="8">
        <v>4073.07</v>
      </c>
      <c r="F19" s="8">
        <v>3982.24</v>
      </c>
      <c r="G19" s="8">
        <v>4117.18</v>
      </c>
      <c r="H19" s="8">
        <v>4968.41</v>
      </c>
      <c r="I19" s="8">
        <v>8063.06</v>
      </c>
      <c r="J19" s="12" t="s">
        <v>36</v>
      </c>
      <c r="K19" s="8">
        <v>2466.82</v>
      </c>
      <c r="L19" s="8">
        <v>4738.84</v>
      </c>
      <c r="M19" s="8">
        <v>6717.77</v>
      </c>
      <c r="N19" s="8">
        <v>7750.22</v>
      </c>
      <c r="O19" s="8">
        <v>7175.77</v>
      </c>
      <c r="P19" s="8">
        <v>7059.83</v>
      </c>
      <c r="Q19" s="8">
        <v>7712.7</v>
      </c>
      <c r="R19" s="8">
        <v>7506.75</v>
      </c>
      <c r="S19" s="8">
        <v>6299.89</v>
      </c>
      <c r="T19" s="8">
        <v>17674.17</v>
      </c>
      <c r="U19" s="8">
        <v>16046.51</v>
      </c>
      <c r="V19" s="8">
        <v>14547.63</v>
      </c>
      <c r="W19" s="8">
        <v>12614.22</v>
      </c>
      <c r="X19" s="8">
        <v>10304.29</v>
      </c>
      <c r="Y19" s="8">
        <v>7763.51</v>
      </c>
      <c r="Z19" s="8">
        <v>6146.18</v>
      </c>
      <c r="AA19" s="9">
        <f t="shared" si="1"/>
        <v>177067.65</v>
      </c>
      <c r="AB19" s="9">
        <v>20.0</v>
      </c>
      <c r="AC19" s="9">
        <f t="shared" si="2"/>
        <v>3541353</v>
      </c>
      <c r="AD19" s="11">
        <f>sum(AC19:AC21)</f>
        <v>4332900.44</v>
      </c>
    </row>
    <row r="20" ht="14.25" customHeight="1">
      <c r="A20" s="7">
        <v>46113.0</v>
      </c>
      <c r="B20" s="8" t="s">
        <v>35</v>
      </c>
      <c r="C20" s="8">
        <v>5347.19</v>
      </c>
      <c r="D20" s="8">
        <v>4761.3</v>
      </c>
      <c r="E20" s="8">
        <v>4347.21</v>
      </c>
      <c r="F20" s="8">
        <v>4057.9</v>
      </c>
      <c r="G20" s="8">
        <v>3951.6</v>
      </c>
      <c r="H20" s="8">
        <v>3994.55</v>
      </c>
      <c r="I20" s="8">
        <v>5699.35</v>
      </c>
      <c r="J20" s="12" t="s">
        <v>36</v>
      </c>
      <c r="K20" s="12" t="s">
        <v>36</v>
      </c>
      <c r="L20" s="8">
        <v>1153.95</v>
      </c>
      <c r="M20" s="8">
        <v>2796.44</v>
      </c>
      <c r="N20" s="8">
        <v>3134.61</v>
      </c>
      <c r="O20" s="8">
        <v>2262.62</v>
      </c>
      <c r="P20" s="8">
        <v>1039.14</v>
      </c>
      <c r="Q20" s="12">
        <v>415.11</v>
      </c>
      <c r="R20" s="12">
        <v>348.91</v>
      </c>
      <c r="S20" s="12" t="s">
        <v>36</v>
      </c>
      <c r="T20" s="8">
        <v>12862.99</v>
      </c>
      <c r="U20" s="8">
        <v>12366.28</v>
      </c>
      <c r="V20" s="8">
        <v>11081.04</v>
      </c>
      <c r="W20" s="8">
        <v>9476.34</v>
      </c>
      <c r="X20" s="8">
        <v>7675.99</v>
      </c>
      <c r="Y20" s="8">
        <v>5814.55</v>
      </c>
      <c r="Z20" s="8">
        <v>4322.84</v>
      </c>
      <c r="AA20" s="9">
        <f t="shared" si="1"/>
        <v>106909.91</v>
      </c>
      <c r="AB20" s="9">
        <v>4.0</v>
      </c>
      <c r="AC20" s="9">
        <f t="shared" si="2"/>
        <v>427639.64</v>
      </c>
      <c r="AD20" s="13"/>
    </row>
    <row r="21" ht="14.25" customHeight="1">
      <c r="A21" s="7">
        <v>46113.0</v>
      </c>
      <c r="B21" s="8" t="s">
        <v>37</v>
      </c>
      <c r="C21" s="8">
        <v>3278.66</v>
      </c>
      <c r="D21" s="8">
        <v>2604.78</v>
      </c>
      <c r="E21" s="8">
        <v>2212.34</v>
      </c>
      <c r="F21" s="8">
        <v>1999.22</v>
      </c>
      <c r="G21" s="8">
        <v>1708.45</v>
      </c>
      <c r="H21" s="8">
        <v>1442.0</v>
      </c>
      <c r="I21" s="8">
        <v>1905.03</v>
      </c>
      <c r="J21" s="12" t="s">
        <v>36</v>
      </c>
      <c r="K21" s="12" t="s">
        <v>36</v>
      </c>
      <c r="L21" s="12" t="s">
        <v>36</v>
      </c>
      <c r="M21" s="12" t="s">
        <v>36</v>
      </c>
      <c r="N21" s="12" t="s">
        <v>36</v>
      </c>
      <c r="O21" s="12" t="s">
        <v>36</v>
      </c>
      <c r="P21" s="12" t="s">
        <v>36</v>
      </c>
      <c r="Q21" s="12" t="s">
        <v>36</v>
      </c>
      <c r="R21" s="12" t="s">
        <v>36</v>
      </c>
      <c r="S21" s="12" t="s">
        <v>36</v>
      </c>
      <c r="T21" s="8">
        <v>8885.92</v>
      </c>
      <c r="U21" s="8">
        <v>8976.15</v>
      </c>
      <c r="V21" s="8">
        <v>8385.35</v>
      </c>
      <c r="W21" s="8">
        <v>7073.31</v>
      </c>
      <c r="X21" s="8">
        <v>5414.61</v>
      </c>
      <c r="Y21" s="8">
        <v>3930.86</v>
      </c>
      <c r="Z21" s="8">
        <v>2834.62</v>
      </c>
      <c r="AA21" s="9">
        <f t="shared" si="1"/>
        <v>60651.3</v>
      </c>
      <c r="AB21" s="9">
        <v>6.0</v>
      </c>
      <c r="AC21" s="9">
        <f t="shared" si="2"/>
        <v>363907.8</v>
      </c>
      <c r="AD21" s="14"/>
    </row>
    <row r="22" ht="14.25" customHeight="1">
      <c r="A22" s="7">
        <v>46327.0</v>
      </c>
      <c r="B22" s="8" t="s">
        <v>34</v>
      </c>
      <c r="C22" s="15">
        <v>2930.54</v>
      </c>
      <c r="D22" s="15">
        <v>2418.04</v>
      </c>
      <c r="E22" s="15">
        <v>2113.14</v>
      </c>
      <c r="F22" s="15">
        <v>2027.65</v>
      </c>
      <c r="G22" s="15">
        <v>2154.65</v>
      </c>
      <c r="H22" s="15">
        <v>2955.81</v>
      </c>
      <c r="I22" s="15">
        <v>5868.42</v>
      </c>
      <c r="J22" s="16" t="s">
        <v>36</v>
      </c>
      <c r="K22" s="16" t="s">
        <v>36</v>
      </c>
      <c r="L22" s="15">
        <v>1955.44</v>
      </c>
      <c r="M22" s="15">
        <v>3817.97</v>
      </c>
      <c r="N22" s="15">
        <v>4789.69</v>
      </c>
      <c r="O22" s="15">
        <v>4249.03</v>
      </c>
      <c r="P22" s="15">
        <v>4139.91</v>
      </c>
      <c r="Q22" s="15">
        <v>4754.38</v>
      </c>
      <c r="R22" s="15">
        <v>4560.54</v>
      </c>
      <c r="S22" s="15">
        <v>3424.67</v>
      </c>
      <c r="T22" s="15">
        <v>14914.17</v>
      </c>
      <c r="U22" s="15">
        <v>13382.26</v>
      </c>
      <c r="V22" s="15">
        <v>11971.54</v>
      </c>
      <c r="W22" s="15">
        <v>10151.86</v>
      </c>
      <c r="X22" s="15">
        <v>7977.81</v>
      </c>
      <c r="Y22" s="15">
        <v>5586.49</v>
      </c>
      <c r="Z22" s="15">
        <v>4064.3</v>
      </c>
      <c r="AA22" s="9">
        <f t="shared" si="1"/>
        <v>120208.31</v>
      </c>
      <c r="AB22" s="9">
        <v>19.0</v>
      </c>
      <c r="AC22" s="9">
        <f t="shared" si="2"/>
        <v>2283957.89</v>
      </c>
      <c r="AD22" s="11">
        <f>sum(AC22:AC24)</f>
        <v>2784735.44</v>
      </c>
    </row>
    <row r="23" ht="14.25" customHeight="1">
      <c r="A23" s="7">
        <v>46327.0</v>
      </c>
      <c r="B23" s="8" t="s">
        <v>35</v>
      </c>
      <c r="C23" s="15">
        <v>3312.3</v>
      </c>
      <c r="D23" s="15">
        <v>2760.88</v>
      </c>
      <c r="E23" s="15">
        <v>2371.15</v>
      </c>
      <c r="F23" s="15">
        <v>2098.86</v>
      </c>
      <c r="G23" s="15">
        <v>1998.81</v>
      </c>
      <c r="H23" s="15">
        <v>2039.23</v>
      </c>
      <c r="I23" s="15">
        <v>3643.75</v>
      </c>
      <c r="J23" s="16" t="s">
        <v>36</v>
      </c>
      <c r="K23" s="16" t="s">
        <v>36</v>
      </c>
      <c r="L23" s="16" t="s">
        <v>36</v>
      </c>
      <c r="M23" s="16">
        <v>127.3</v>
      </c>
      <c r="N23" s="16">
        <v>445.58</v>
      </c>
      <c r="O23" s="16" t="s">
        <v>36</v>
      </c>
      <c r="P23" s="16" t="s">
        <v>36</v>
      </c>
      <c r="Q23" s="16" t="s">
        <v>36</v>
      </c>
      <c r="R23" s="16" t="s">
        <v>36</v>
      </c>
      <c r="S23" s="16" t="s">
        <v>36</v>
      </c>
      <c r="T23" s="15">
        <v>10386.0</v>
      </c>
      <c r="U23" s="15">
        <v>9918.51</v>
      </c>
      <c r="V23" s="15">
        <v>8708.87</v>
      </c>
      <c r="W23" s="15">
        <v>7198.56</v>
      </c>
      <c r="X23" s="15">
        <v>5504.12</v>
      </c>
      <c r="Y23" s="15">
        <v>3752.18</v>
      </c>
      <c r="Z23" s="15">
        <v>2348.21</v>
      </c>
      <c r="AA23" s="9">
        <f t="shared" si="1"/>
        <v>66614.31</v>
      </c>
      <c r="AB23" s="9">
        <v>4.0</v>
      </c>
      <c r="AC23" s="9">
        <f t="shared" si="2"/>
        <v>266457.24</v>
      </c>
      <c r="AD23" s="13"/>
    </row>
    <row r="24" ht="14.25" customHeight="1">
      <c r="A24" s="7">
        <v>46327.0</v>
      </c>
      <c r="B24" s="8" t="s">
        <v>37</v>
      </c>
      <c r="C24" s="15">
        <v>1365.45</v>
      </c>
      <c r="D24" s="16">
        <v>731.21</v>
      </c>
      <c r="E24" s="16">
        <v>361.86</v>
      </c>
      <c r="F24" s="16">
        <v>161.28</v>
      </c>
      <c r="G24" s="16" t="s">
        <v>36</v>
      </c>
      <c r="H24" s="16" t="s">
        <v>36</v>
      </c>
      <c r="I24" s="16">
        <v>72.62</v>
      </c>
      <c r="J24" s="16" t="s">
        <v>36</v>
      </c>
      <c r="K24" s="16" t="s">
        <v>36</v>
      </c>
      <c r="L24" s="16" t="s">
        <v>36</v>
      </c>
      <c r="M24" s="16" t="s">
        <v>36</v>
      </c>
      <c r="N24" s="16" t="s">
        <v>36</v>
      </c>
      <c r="O24" s="16" t="s">
        <v>36</v>
      </c>
      <c r="P24" s="16" t="s">
        <v>36</v>
      </c>
      <c r="Q24" s="16" t="s">
        <v>36</v>
      </c>
      <c r="R24" s="16" t="s">
        <v>36</v>
      </c>
      <c r="S24" s="16" t="s">
        <v>36</v>
      </c>
      <c r="T24" s="15">
        <v>6642.88</v>
      </c>
      <c r="U24" s="15">
        <v>6727.8</v>
      </c>
      <c r="V24" s="15">
        <v>6171.75</v>
      </c>
      <c r="W24" s="15">
        <v>4936.89</v>
      </c>
      <c r="X24" s="15">
        <v>3375.76</v>
      </c>
      <c r="Y24" s="15">
        <v>1979.29</v>
      </c>
      <c r="Z24" s="16">
        <v>947.54</v>
      </c>
      <c r="AA24" s="9">
        <f t="shared" si="1"/>
        <v>33474.33</v>
      </c>
      <c r="AB24" s="9">
        <v>7.0</v>
      </c>
      <c r="AC24" s="9">
        <f t="shared" si="2"/>
        <v>234320.31</v>
      </c>
      <c r="AD24" s="14"/>
    </row>
    <row r="25" ht="14.25" customHeight="1">
      <c r="A25" s="7">
        <v>46357.0</v>
      </c>
      <c r="B25" s="8" t="s">
        <v>34</v>
      </c>
      <c r="C25" s="15">
        <v>3391.25</v>
      </c>
      <c r="D25" s="15">
        <v>2862.73</v>
      </c>
      <c r="E25" s="15">
        <v>2548.3</v>
      </c>
      <c r="F25" s="15">
        <v>2460.15</v>
      </c>
      <c r="G25" s="15">
        <v>2591.12</v>
      </c>
      <c r="H25" s="15">
        <v>3417.31</v>
      </c>
      <c r="I25" s="15">
        <v>6420.94</v>
      </c>
      <c r="J25" s="16" t="s">
        <v>36</v>
      </c>
      <c r="K25" s="16">
        <v>597.15</v>
      </c>
      <c r="L25" s="15">
        <v>2802.34</v>
      </c>
      <c r="M25" s="15">
        <v>4723.07</v>
      </c>
      <c r="N25" s="15">
        <v>5725.16</v>
      </c>
      <c r="O25" s="15">
        <v>5167.6</v>
      </c>
      <c r="P25" s="15">
        <v>5055.07</v>
      </c>
      <c r="Q25" s="15">
        <v>5688.74</v>
      </c>
      <c r="R25" s="15">
        <v>5488.84</v>
      </c>
      <c r="S25" s="15">
        <v>4317.48</v>
      </c>
      <c r="T25" s="15">
        <v>15749.37</v>
      </c>
      <c r="U25" s="15">
        <v>14169.58</v>
      </c>
      <c r="V25" s="15">
        <v>12714.79</v>
      </c>
      <c r="W25" s="15">
        <v>10838.24</v>
      </c>
      <c r="X25" s="15">
        <v>8596.25</v>
      </c>
      <c r="Y25" s="15">
        <v>6130.2</v>
      </c>
      <c r="Z25" s="15">
        <v>4560.44</v>
      </c>
      <c r="AA25" s="9">
        <f t="shared" si="1"/>
        <v>136016.12</v>
      </c>
      <c r="AB25" s="9">
        <v>21.0</v>
      </c>
      <c r="AC25" s="9">
        <f t="shared" si="2"/>
        <v>2856338.52</v>
      </c>
      <c r="AD25" s="11">
        <f>sum(AC25:AC27)</f>
        <v>3394895.34</v>
      </c>
    </row>
    <row r="26" ht="14.25" customHeight="1">
      <c r="A26" s="7">
        <v>46357.0</v>
      </c>
      <c r="B26" s="8" t="s">
        <v>35</v>
      </c>
      <c r="C26" s="15">
        <v>3784.95</v>
      </c>
      <c r="D26" s="15">
        <v>3216.29</v>
      </c>
      <c r="E26" s="15">
        <v>2814.38</v>
      </c>
      <c r="F26" s="15">
        <v>2533.58</v>
      </c>
      <c r="G26" s="15">
        <v>2430.4</v>
      </c>
      <c r="H26" s="15">
        <v>2472.09</v>
      </c>
      <c r="I26" s="15">
        <v>4126.75</v>
      </c>
      <c r="J26" s="16" t="s">
        <v>36</v>
      </c>
      <c r="K26" s="16" t="s">
        <v>36</v>
      </c>
      <c r="L26" s="16" t="s">
        <v>36</v>
      </c>
      <c r="M26" s="16">
        <v>917.07</v>
      </c>
      <c r="N26" s="15">
        <v>1245.3</v>
      </c>
      <c r="O26" s="16">
        <v>398.95</v>
      </c>
      <c r="P26" s="16" t="s">
        <v>36</v>
      </c>
      <c r="Q26" s="16" t="s">
        <v>36</v>
      </c>
      <c r="R26" s="16" t="s">
        <v>36</v>
      </c>
      <c r="S26" s="16" t="s">
        <v>36</v>
      </c>
      <c r="T26" s="15">
        <v>11079.7</v>
      </c>
      <c r="U26" s="15">
        <v>10597.59</v>
      </c>
      <c r="V26" s="15">
        <v>9350.16</v>
      </c>
      <c r="W26" s="15">
        <v>7792.65</v>
      </c>
      <c r="X26" s="15">
        <v>6045.25</v>
      </c>
      <c r="Y26" s="15">
        <v>4238.56</v>
      </c>
      <c r="Z26" s="15">
        <v>2790.72</v>
      </c>
      <c r="AA26" s="9">
        <f t="shared" si="1"/>
        <v>75834.39</v>
      </c>
      <c r="AB26" s="9">
        <v>4.0</v>
      </c>
      <c r="AC26" s="9">
        <f t="shared" si="2"/>
        <v>303337.56</v>
      </c>
      <c r="AD26" s="13"/>
    </row>
    <row r="27" ht="14.25" customHeight="1">
      <c r="A27" s="7">
        <v>46357.0</v>
      </c>
      <c r="B27" s="8" t="s">
        <v>37</v>
      </c>
      <c r="C27" s="15">
        <v>1777.25</v>
      </c>
      <c r="D27" s="15">
        <v>1123.19</v>
      </c>
      <c r="E27" s="16">
        <v>742.3</v>
      </c>
      <c r="F27" s="16">
        <v>535.45</v>
      </c>
      <c r="G27" s="16">
        <v>253.23</v>
      </c>
      <c r="H27" s="16" t="s">
        <v>36</v>
      </c>
      <c r="I27" s="16">
        <v>444.03</v>
      </c>
      <c r="J27" s="16" t="s">
        <v>36</v>
      </c>
      <c r="K27" s="16" t="s">
        <v>36</v>
      </c>
      <c r="L27" s="16" t="s">
        <v>36</v>
      </c>
      <c r="M27" s="16" t="s">
        <v>36</v>
      </c>
      <c r="N27" s="16" t="s">
        <v>36</v>
      </c>
      <c r="O27" s="16" t="s">
        <v>36</v>
      </c>
      <c r="P27" s="16" t="s">
        <v>36</v>
      </c>
      <c r="Q27" s="16" t="s">
        <v>36</v>
      </c>
      <c r="R27" s="16" t="s">
        <v>36</v>
      </c>
      <c r="S27" s="16" t="s">
        <v>36</v>
      </c>
      <c r="T27" s="15">
        <v>7219.6</v>
      </c>
      <c r="U27" s="15">
        <v>7307.17</v>
      </c>
      <c r="V27" s="15">
        <v>6733.75</v>
      </c>
      <c r="W27" s="15">
        <v>5460.3</v>
      </c>
      <c r="X27" s="15">
        <v>3850.39</v>
      </c>
      <c r="Y27" s="15">
        <v>2410.27</v>
      </c>
      <c r="Z27" s="15">
        <v>1346.28</v>
      </c>
      <c r="AA27" s="9">
        <f t="shared" si="1"/>
        <v>39203.21</v>
      </c>
      <c r="AB27" s="9">
        <v>6.0</v>
      </c>
      <c r="AC27" s="9">
        <f t="shared" si="2"/>
        <v>235219.26</v>
      </c>
      <c r="AD27" s="14"/>
    </row>
    <row r="28" ht="14.25" customHeight="1">
      <c r="AB28" s="17" t="s">
        <v>32</v>
      </c>
      <c r="AC28" s="18">
        <f t="shared" ref="AC28:AD28" si="3">SUM(AC10:AC27)</f>
        <v>26081641.51</v>
      </c>
      <c r="AD28" s="18">
        <f t="shared" si="3"/>
        <v>26081641.51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</sheetData>
  <mergeCells count="10">
    <mergeCell ref="AD19:AD21"/>
    <mergeCell ref="AD22:AD24"/>
    <mergeCell ref="AD25:AD27"/>
    <mergeCell ref="A1:AC1"/>
    <mergeCell ref="A2:AC2"/>
    <mergeCell ref="A3:AC3"/>
    <mergeCell ref="A4:AC4"/>
    <mergeCell ref="AD10:AD12"/>
    <mergeCell ref="AD13:AD15"/>
    <mergeCell ref="AD16:AD1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9" t="s">
        <v>3</v>
      </c>
    </row>
    <row r="5" ht="14.25" customHeight="1">
      <c r="A5" s="20"/>
      <c r="B5" s="21" t="s">
        <v>38</v>
      </c>
    </row>
    <row r="6" ht="14.25" customHeight="1">
      <c r="A6" s="20"/>
      <c r="B6" s="19" t="s">
        <v>39</v>
      </c>
    </row>
    <row r="7" ht="14.25" customHeight="1">
      <c r="A7" s="20"/>
      <c r="B7" s="21" t="s">
        <v>40</v>
      </c>
    </row>
    <row r="8" ht="14.25" customHeight="1">
      <c r="A8" s="20"/>
      <c r="B8" s="22" t="s">
        <v>41</v>
      </c>
    </row>
    <row r="9" ht="14.25" customHeight="1">
      <c r="A9" s="20"/>
      <c r="B9" s="21"/>
      <c r="C9" s="21"/>
      <c r="D9" s="21"/>
      <c r="E9" s="21"/>
    </row>
    <row r="10" ht="14.25" customHeight="1">
      <c r="A10" s="20"/>
      <c r="B10" s="23" t="s">
        <v>42</v>
      </c>
      <c r="C10" s="24"/>
      <c r="D10" s="24"/>
      <c r="E10" s="24"/>
      <c r="F10" s="25"/>
    </row>
    <row r="11">
      <c r="A11" s="20"/>
      <c r="B11" s="26" t="s">
        <v>4</v>
      </c>
      <c r="C11" s="27" t="s">
        <v>43</v>
      </c>
      <c r="D11" s="28" t="s">
        <v>44</v>
      </c>
      <c r="E11" s="28" t="s">
        <v>45</v>
      </c>
      <c r="F11" s="29" t="s">
        <v>46</v>
      </c>
    </row>
    <row r="12" ht="14.25" customHeight="1">
      <c r="A12" s="20"/>
      <c r="B12" s="30">
        <v>46023.0</v>
      </c>
      <c r="C12" s="31">
        <f>'Cant. Requeridas Producto 1'!AD10</f>
        <v>6670669.51</v>
      </c>
      <c r="D12" s="32"/>
      <c r="E12" s="33">
        <f t="shared" ref="E12:E23" si="1">C12*$D$12</f>
        <v>0</v>
      </c>
      <c r="F12" s="34"/>
    </row>
    <row r="13" ht="14.25" customHeight="1">
      <c r="A13" s="20"/>
      <c r="B13" s="30">
        <v>46054.0</v>
      </c>
      <c r="C13" s="31">
        <f>'Cant. Requeridas Producto 1'!AD13</f>
        <v>5077594.32</v>
      </c>
      <c r="D13" s="35"/>
      <c r="E13" s="33">
        <f t="shared" si="1"/>
        <v>0</v>
      </c>
      <c r="F13" s="35"/>
    </row>
    <row r="14" ht="14.25" customHeight="1">
      <c r="A14" s="20"/>
      <c r="B14" s="30">
        <v>46082.0</v>
      </c>
      <c r="C14" s="31">
        <f>'Cant. Requeridas Producto 1'!AD16</f>
        <v>3820846.46</v>
      </c>
      <c r="D14" s="35"/>
      <c r="E14" s="33">
        <f t="shared" si="1"/>
        <v>0</v>
      </c>
      <c r="F14" s="35"/>
    </row>
    <row r="15" ht="14.25" customHeight="1">
      <c r="A15" s="20"/>
      <c r="B15" s="30">
        <v>46113.0</v>
      </c>
      <c r="C15" s="31">
        <f>'Cant. Requeridas Producto 1'!AD19</f>
        <v>4332900.44</v>
      </c>
      <c r="D15" s="35"/>
      <c r="E15" s="33">
        <f t="shared" si="1"/>
        <v>0</v>
      </c>
      <c r="F15" s="35"/>
    </row>
    <row r="16" ht="14.25" customHeight="1">
      <c r="A16" s="20"/>
      <c r="B16" s="30">
        <v>46143.0</v>
      </c>
      <c r="C16" s="33">
        <v>0.0</v>
      </c>
      <c r="D16" s="35"/>
      <c r="E16" s="33">
        <f t="shared" si="1"/>
        <v>0</v>
      </c>
      <c r="F16" s="35"/>
    </row>
    <row r="17" ht="14.25" customHeight="1">
      <c r="A17" s="20"/>
      <c r="B17" s="30">
        <v>46174.0</v>
      </c>
      <c r="C17" s="33">
        <v>0.0</v>
      </c>
      <c r="D17" s="35"/>
      <c r="E17" s="33">
        <f t="shared" si="1"/>
        <v>0</v>
      </c>
      <c r="F17" s="35"/>
    </row>
    <row r="18" ht="14.25" customHeight="1">
      <c r="A18" s="20"/>
      <c r="B18" s="30">
        <v>46204.0</v>
      </c>
      <c r="C18" s="33">
        <v>0.0</v>
      </c>
      <c r="D18" s="35"/>
      <c r="E18" s="33">
        <f t="shared" si="1"/>
        <v>0</v>
      </c>
      <c r="F18" s="35"/>
    </row>
    <row r="19" ht="14.25" customHeight="1">
      <c r="A19" s="20"/>
      <c r="B19" s="30">
        <v>46235.0</v>
      </c>
      <c r="C19" s="33">
        <v>0.0</v>
      </c>
      <c r="D19" s="35"/>
      <c r="E19" s="33">
        <f t="shared" si="1"/>
        <v>0</v>
      </c>
      <c r="F19" s="35"/>
    </row>
    <row r="20" ht="14.25" customHeight="1">
      <c r="A20" s="20"/>
      <c r="B20" s="30">
        <v>46266.0</v>
      </c>
      <c r="C20" s="33">
        <v>0.0</v>
      </c>
      <c r="D20" s="35"/>
      <c r="E20" s="33">
        <f t="shared" si="1"/>
        <v>0</v>
      </c>
      <c r="F20" s="35"/>
    </row>
    <row r="21" ht="14.25" customHeight="1">
      <c r="A21" s="20"/>
      <c r="B21" s="30">
        <v>46296.0</v>
      </c>
      <c r="C21" s="33">
        <v>0.0</v>
      </c>
      <c r="D21" s="35"/>
      <c r="E21" s="33">
        <f t="shared" si="1"/>
        <v>0</v>
      </c>
      <c r="F21" s="35"/>
    </row>
    <row r="22" ht="14.25" customHeight="1">
      <c r="A22" s="20"/>
      <c r="B22" s="30">
        <v>46327.0</v>
      </c>
      <c r="C22" s="31">
        <f>'Cant. Requeridas Producto 1'!AD22</f>
        <v>2784735.44</v>
      </c>
      <c r="D22" s="35"/>
      <c r="E22" s="33">
        <f t="shared" si="1"/>
        <v>0</v>
      </c>
      <c r="F22" s="35"/>
    </row>
    <row r="23" ht="14.25" customHeight="1">
      <c r="A23" s="20"/>
      <c r="B23" s="30">
        <v>46357.0</v>
      </c>
      <c r="C23" s="31">
        <f>'Cant. Requeridas Producto 1'!AD25</f>
        <v>3394895.34</v>
      </c>
      <c r="D23" s="36"/>
      <c r="E23" s="33">
        <f t="shared" si="1"/>
        <v>0</v>
      </c>
      <c r="F23" s="36"/>
    </row>
    <row r="24" ht="14.25" customHeight="1">
      <c r="A24" s="20"/>
      <c r="B24" s="37" t="s">
        <v>32</v>
      </c>
      <c r="C24" s="38">
        <f>SUM(C12:C23)</f>
        <v>26081641.51</v>
      </c>
      <c r="D24" s="39"/>
      <c r="E24" s="38">
        <f>SUM(E12:E23)</f>
        <v>0</v>
      </c>
      <c r="F24" s="39"/>
    </row>
    <row r="25" ht="14.25" customHeight="1">
      <c r="A25" s="20"/>
      <c r="B25" s="21"/>
      <c r="C25" s="40"/>
      <c r="D25" s="21"/>
      <c r="E25" s="21"/>
    </row>
    <row r="26" ht="14.25" customHeight="1">
      <c r="C26" s="41"/>
    </row>
    <row r="27" ht="30.0" customHeight="1">
      <c r="B27" s="42" t="s">
        <v>47</v>
      </c>
      <c r="E27" s="43"/>
    </row>
    <row r="28" ht="38.25" customHeight="1">
      <c r="B28" s="42" t="s">
        <v>48</v>
      </c>
      <c r="I28" s="42"/>
    </row>
    <row r="29" ht="44.25" customHeight="1">
      <c r="B29" s="42" t="s">
        <v>49</v>
      </c>
      <c r="I29" s="42"/>
    </row>
    <row r="30" ht="14.25" customHeight="1">
      <c r="B30" s="44"/>
    </row>
    <row r="31" ht="14.25" customHeight="1"/>
    <row r="32" ht="14.25" customHeight="1"/>
    <row r="33" ht="14.25" customHeight="1">
      <c r="B33" s="45"/>
      <c r="C33" s="45"/>
    </row>
    <row r="34" ht="14.25" customHeight="1">
      <c r="B34" s="46" t="s">
        <v>50</v>
      </c>
    </row>
    <row r="35" ht="14.25" customHeight="1">
      <c r="B35" s="46" t="s">
        <v>51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D12:D23"/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2022-08-03T18:43:37Z</dcterms:created>
  <dc:creator>Head of trading BIA</dc:creator>
</cp:coreProperties>
</file>