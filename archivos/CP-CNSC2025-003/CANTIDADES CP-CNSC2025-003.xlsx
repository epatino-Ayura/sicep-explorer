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pmco-my.sharepoint.com/personal/jose_vargas_cens_com_co/Documents/AOC/Compras/MVCV/COMPRAS ENERGIA AÑO 2025/PROCESOS DE COMPRADE ENERGIA/PROCESO COMPRA ENERGÍA SICEP/AÑO 2025/CP CNSC2025-003/3. ADENDA Y PLIEGO DEFINITIVO/Felipe/"/>
    </mc:Choice>
  </mc:AlternateContent>
  <xr:revisionPtr revIDLastSave="199" documentId="13_ncr:1_{8A174209-1DE4-4390-BCAE-53DC00A07499}" xr6:coauthVersionLast="47" xr6:coauthVersionMax="47" xr10:uidLastSave="{A497BB11-7ADA-4B81-B465-69B4F5D23B06}"/>
  <bookViews>
    <workbookView xWindow="-110" yWindow="-110" windowWidth="19420" windowHeight="10300" tabRatio="598" xr2:uid="{D0603849-4D70-4D94-86F2-F3E2C6C23002}"/>
  </bookViews>
  <sheets>
    <sheet name="OF P1 " sheetId="14" r:id="rId1"/>
    <sheet name="CURVA P1" sheetId="15" r:id="rId2"/>
    <sheet name="OF P2" sheetId="16" r:id="rId3"/>
    <sheet name="CURVA P2" sheetId="17" r:id="rId4"/>
    <sheet name="OF P3" sheetId="21" r:id="rId5"/>
    <sheet name="CURVA P3" sheetId="22" r:id="rId6"/>
    <sheet name="Producto 4" sheetId="28" r:id="rId7"/>
    <sheet name="CURVA P4" sheetId="2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21" l="1"/>
  <c r="D20" i="16"/>
  <c r="J60" i="29"/>
  <c r="K60" i="29"/>
  <c r="L60" i="29"/>
  <c r="M60" i="29"/>
  <c r="N60" i="29"/>
  <c r="O60" i="29"/>
  <c r="P60" i="29"/>
  <c r="Q60" i="29"/>
  <c r="R60" i="29"/>
  <c r="S60" i="29"/>
  <c r="I60" i="29"/>
  <c r="B197" i="28"/>
  <c r="B198" i="28"/>
  <c r="B199" i="28"/>
  <c r="B200" i="28"/>
  <c r="B201" i="28"/>
  <c r="B202" i="28"/>
  <c r="B203" i="28"/>
  <c r="B204" i="28"/>
  <c r="B205" i="28"/>
  <c r="B206" i="28"/>
  <c r="B196" i="28"/>
  <c r="B195" i="28"/>
  <c r="B137" i="28"/>
  <c r="B138" i="28"/>
  <c r="B139" i="28"/>
  <c r="B140" i="28"/>
  <c r="B141" i="28"/>
  <c r="B142" i="28"/>
  <c r="B143" i="28"/>
  <c r="B144" i="28"/>
  <c r="B145" i="28"/>
  <c r="B146" i="28"/>
  <c r="B136" i="28"/>
  <c r="B135" i="28"/>
  <c r="B125" i="28"/>
  <c r="B126" i="28"/>
  <c r="B127" i="28"/>
  <c r="B128" i="28"/>
  <c r="B129" i="28"/>
  <c r="B130" i="28"/>
  <c r="B131" i="28"/>
  <c r="B132" i="28"/>
  <c r="B133" i="28"/>
  <c r="B134" i="28"/>
  <c r="B124" i="28"/>
  <c r="B123" i="28"/>
  <c r="B113" i="28"/>
  <c r="B114" i="28"/>
  <c r="B115" i="28"/>
  <c r="B116" i="28"/>
  <c r="B117" i="28"/>
  <c r="B119" i="28"/>
  <c r="B120" i="28"/>
  <c r="B121" i="28"/>
  <c r="B122" i="28"/>
  <c r="B112" i="28"/>
  <c r="B111" i="28"/>
  <c r="B101" i="28"/>
  <c r="B102" i="28"/>
  <c r="B103" i="28"/>
  <c r="B104" i="28"/>
  <c r="B105" i="28"/>
  <c r="B106" i="28"/>
  <c r="B107" i="28"/>
  <c r="B108" i="28"/>
  <c r="B109" i="28"/>
  <c r="B110" i="28"/>
  <c r="B100" i="28"/>
  <c r="B99" i="28"/>
  <c r="C195" i="28" l="1"/>
  <c r="C19" i="28" s="1"/>
  <c r="C123" i="28"/>
  <c r="C135" i="28"/>
  <c r="C99" i="28"/>
  <c r="AA8" i="29"/>
  <c r="AC8" i="29" s="1"/>
  <c r="AA9" i="29"/>
  <c r="AA10" i="29"/>
  <c r="AA11" i="29"/>
  <c r="AC11" i="29" s="1"/>
  <c r="AA12" i="29"/>
  <c r="AC12" i="29" s="1"/>
  <c r="AA13" i="29"/>
  <c r="AC13" i="29" s="1"/>
  <c r="AA14" i="29"/>
  <c r="AC14" i="29" s="1"/>
  <c r="AA15" i="29"/>
  <c r="AC15" i="29" s="1"/>
  <c r="AA16" i="29"/>
  <c r="AC16" i="29" s="1"/>
  <c r="AA17" i="29"/>
  <c r="AC17" i="29" s="1"/>
  <c r="AA18" i="29"/>
  <c r="AC18" i="29" s="1"/>
  <c r="AA19" i="29"/>
  <c r="AC19" i="29" s="1"/>
  <c r="AA20" i="29"/>
  <c r="AC20" i="29" s="1"/>
  <c r="AA21" i="29"/>
  <c r="AA22" i="29"/>
  <c r="AC22" i="29" s="1"/>
  <c r="AA23" i="29"/>
  <c r="AC23" i="29" s="1"/>
  <c r="AA24" i="29"/>
  <c r="AC24" i="29" s="1"/>
  <c r="AA25" i="29"/>
  <c r="AC25" i="29" s="1"/>
  <c r="AA26" i="29"/>
  <c r="AC26" i="29" s="1"/>
  <c r="AA27" i="29"/>
  <c r="AC27" i="29" s="1"/>
  <c r="AA28" i="29"/>
  <c r="AC28" i="29" s="1"/>
  <c r="AA29" i="29"/>
  <c r="AC29" i="29" s="1"/>
  <c r="AA30" i="29"/>
  <c r="AC30" i="29" s="1"/>
  <c r="AA31" i="29"/>
  <c r="AC31" i="29" s="1"/>
  <c r="AA32" i="29"/>
  <c r="AC32" i="29" s="1"/>
  <c r="AA33" i="29"/>
  <c r="AC33" i="29" s="1"/>
  <c r="AA34" i="29"/>
  <c r="AC34" i="29" s="1"/>
  <c r="AA35" i="29"/>
  <c r="AC35" i="29" s="1"/>
  <c r="AA36" i="29"/>
  <c r="AC36" i="29" s="1"/>
  <c r="AA37" i="29"/>
  <c r="AC37" i="29" s="1"/>
  <c r="AA38" i="29"/>
  <c r="AC38" i="29" s="1"/>
  <c r="AA39" i="29"/>
  <c r="AC39" i="29" s="1"/>
  <c r="AA40" i="29"/>
  <c r="AC40" i="29" s="1"/>
  <c r="AA41" i="29"/>
  <c r="AC41" i="29" s="1"/>
  <c r="AA42" i="29"/>
  <c r="AC42" i="29" s="1"/>
  <c r="AA43" i="29"/>
  <c r="AC43" i="29" s="1"/>
  <c r="AA44" i="29"/>
  <c r="AC44" i="29" s="1"/>
  <c r="AA45" i="29"/>
  <c r="AC45" i="29" s="1"/>
  <c r="AA46" i="29"/>
  <c r="AC46" i="29" s="1"/>
  <c r="AA47" i="29"/>
  <c r="AC47" i="29" s="1"/>
  <c r="AA48" i="29"/>
  <c r="AC48" i="29" s="1"/>
  <c r="AA49" i="29"/>
  <c r="AC49" i="29" s="1"/>
  <c r="AA50" i="29"/>
  <c r="AC50" i="29" s="1"/>
  <c r="AA51" i="29"/>
  <c r="AC51" i="29" s="1"/>
  <c r="AA52" i="29"/>
  <c r="AC52" i="29" s="1"/>
  <c r="AA53" i="29"/>
  <c r="AC53" i="29" s="1"/>
  <c r="AA54" i="29"/>
  <c r="AC54" i="29" s="1"/>
  <c r="AA7" i="29"/>
  <c r="AC7" i="29" s="1"/>
  <c r="AC21" i="29"/>
  <c r="AC10" i="29"/>
  <c r="AC9" i="29"/>
  <c r="C14" i="28" l="1"/>
  <c r="I14" i="28" s="1"/>
  <c r="C13" i="28"/>
  <c r="I13" i="28" s="1"/>
  <c r="C11" i="28"/>
  <c r="AD11" i="29"/>
  <c r="B28" i="28" s="1"/>
  <c r="AD19" i="29"/>
  <c r="B30" i="28" s="1"/>
  <c r="AD23" i="29"/>
  <c r="B31" i="28" s="1"/>
  <c r="AD7" i="29"/>
  <c r="B27" i="28" s="1"/>
  <c r="AD51" i="29"/>
  <c r="B38" i="28" s="1"/>
  <c r="AD39" i="29"/>
  <c r="B35" i="28" s="1"/>
  <c r="AD27" i="29"/>
  <c r="B32" i="28" s="1"/>
  <c r="AD31" i="29"/>
  <c r="B33" i="28" s="1"/>
  <c r="AD43" i="29"/>
  <c r="B36" i="28" s="1"/>
  <c r="AD47" i="29"/>
  <c r="B37" i="28" s="1"/>
  <c r="AD35" i="29"/>
  <c r="B34" i="28" s="1"/>
  <c r="AD15" i="29"/>
  <c r="B29" i="28" s="1"/>
  <c r="QV55" i="29"/>
  <c r="QU54" i="29"/>
  <c r="QW54" i="29" s="1"/>
  <c r="QU53" i="29"/>
  <c r="QW53" i="29" s="1"/>
  <c r="QU52" i="29"/>
  <c r="QW52" i="29" s="1"/>
  <c r="QU51" i="29"/>
  <c r="QW51" i="29" s="1"/>
  <c r="QU50" i="29"/>
  <c r="QW50" i="29" s="1"/>
  <c r="QU49" i="29"/>
  <c r="QW49" i="29" s="1"/>
  <c r="QU48" i="29"/>
  <c r="QW48" i="29" s="1"/>
  <c r="QU47" i="29"/>
  <c r="QW47" i="29" s="1"/>
  <c r="QU46" i="29"/>
  <c r="QW46" i="29" s="1"/>
  <c r="QU45" i="29"/>
  <c r="QW45" i="29" s="1"/>
  <c r="QU44" i="29"/>
  <c r="QW44" i="29" s="1"/>
  <c r="QU43" i="29"/>
  <c r="QW43" i="29" s="1"/>
  <c r="QU42" i="29"/>
  <c r="QW42" i="29" s="1"/>
  <c r="QU41" i="29"/>
  <c r="QW41" i="29" s="1"/>
  <c r="QU40" i="29"/>
  <c r="QW40" i="29" s="1"/>
  <c r="QU39" i="29"/>
  <c r="QW39" i="29" s="1"/>
  <c r="QU38" i="29"/>
  <c r="QW38" i="29" s="1"/>
  <c r="QU37" i="29"/>
  <c r="QW37" i="29" s="1"/>
  <c r="QU36" i="29"/>
  <c r="QW36" i="29" s="1"/>
  <c r="QU35" i="29"/>
  <c r="QW35" i="29" s="1"/>
  <c r="QU34" i="29"/>
  <c r="QW34" i="29" s="1"/>
  <c r="QU33" i="29"/>
  <c r="QW33" i="29" s="1"/>
  <c r="QU32" i="29"/>
  <c r="QW32" i="29" s="1"/>
  <c r="QU31" i="29"/>
  <c r="QW31" i="29" s="1"/>
  <c r="QU30" i="29"/>
  <c r="QW30" i="29" s="1"/>
  <c r="QU29" i="29"/>
  <c r="QW29" i="29" s="1"/>
  <c r="QU28" i="29"/>
  <c r="QW28" i="29" s="1"/>
  <c r="QU27" i="29"/>
  <c r="QW27" i="29" s="1"/>
  <c r="QU26" i="29"/>
  <c r="QW26" i="29" s="1"/>
  <c r="QU25" i="29"/>
  <c r="QW25" i="29" s="1"/>
  <c r="QU24" i="29"/>
  <c r="QW24" i="29" s="1"/>
  <c r="QU23" i="29"/>
  <c r="QW23" i="29" s="1"/>
  <c r="QU22" i="29"/>
  <c r="QW22" i="29" s="1"/>
  <c r="QU21" i="29"/>
  <c r="QW21" i="29" s="1"/>
  <c r="QU20" i="29"/>
  <c r="QW20" i="29" s="1"/>
  <c r="QU19" i="29"/>
  <c r="QW19" i="29" s="1"/>
  <c r="QU18" i="29"/>
  <c r="QW18" i="29" s="1"/>
  <c r="QU17" i="29"/>
  <c r="QW17" i="29" s="1"/>
  <c r="QU16" i="29"/>
  <c r="QW16" i="29" s="1"/>
  <c r="QU15" i="29"/>
  <c r="QW15" i="29" s="1"/>
  <c r="QU14" i="29"/>
  <c r="QW14" i="29" s="1"/>
  <c r="QU13" i="29"/>
  <c r="QW13" i="29" s="1"/>
  <c r="QU12" i="29"/>
  <c r="QW12" i="29" s="1"/>
  <c r="QU11" i="29"/>
  <c r="QW11" i="29" s="1"/>
  <c r="QU10" i="29"/>
  <c r="QW10" i="29" s="1"/>
  <c r="QU9" i="29"/>
  <c r="QW9" i="29" s="1"/>
  <c r="QU8" i="29"/>
  <c r="QW8" i="29" s="1"/>
  <c r="QU7" i="29"/>
  <c r="QW7" i="29" s="1"/>
  <c r="PQ55" i="29"/>
  <c r="OL55" i="29"/>
  <c r="NG55" i="29"/>
  <c r="MB55" i="29"/>
  <c r="KW55" i="29"/>
  <c r="JR55" i="29"/>
  <c r="IM55" i="29"/>
  <c r="HH55" i="29"/>
  <c r="GC55" i="29"/>
  <c r="EW55" i="29"/>
  <c r="DQ55" i="29"/>
  <c r="CL55" i="29"/>
  <c r="BG55" i="29"/>
  <c r="PP54" i="29"/>
  <c r="PR54" i="29" s="1"/>
  <c r="OK54" i="29"/>
  <c r="OM54" i="29" s="1"/>
  <c r="NF54" i="29"/>
  <c r="NH54" i="29" s="1"/>
  <c r="MA54" i="29"/>
  <c r="MC54" i="29" s="1"/>
  <c r="KV54" i="29"/>
  <c r="KX54" i="29" s="1"/>
  <c r="JQ54" i="29"/>
  <c r="JS54" i="29" s="1"/>
  <c r="IL54" i="29"/>
  <c r="IN54" i="29" s="1"/>
  <c r="HG54" i="29"/>
  <c r="HI54" i="29" s="1"/>
  <c r="GB54" i="29"/>
  <c r="GD54" i="29" s="1"/>
  <c r="EV54" i="29"/>
  <c r="EX54" i="29" s="1"/>
  <c r="DP54" i="29"/>
  <c r="DR54" i="29" s="1"/>
  <c r="CK54" i="29"/>
  <c r="CM54" i="29" s="1"/>
  <c r="BF54" i="29"/>
  <c r="BH54" i="29" s="1"/>
  <c r="PP53" i="29"/>
  <c r="PR53" i="29" s="1"/>
  <c r="OK53" i="29"/>
  <c r="OM53" i="29" s="1"/>
  <c r="NF53" i="29"/>
  <c r="NH53" i="29" s="1"/>
  <c r="MA53" i="29"/>
  <c r="MC53" i="29" s="1"/>
  <c r="KV53" i="29"/>
  <c r="KX53" i="29" s="1"/>
  <c r="JQ53" i="29"/>
  <c r="JS53" i="29" s="1"/>
  <c r="IL53" i="29"/>
  <c r="IN53" i="29" s="1"/>
  <c r="HG53" i="29"/>
  <c r="HI53" i="29" s="1"/>
  <c r="GB53" i="29"/>
  <c r="GD53" i="29" s="1"/>
  <c r="EV53" i="29"/>
  <c r="EX53" i="29" s="1"/>
  <c r="DP53" i="29"/>
  <c r="DR53" i="29" s="1"/>
  <c r="CK53" i="29"/>
  <c r="CM53" i="29" s="1"/>
  <c r="BF53" i="29"/>
  <c r="BH53" i="29" s="1"/>
  <c r="PP52" i="29"/>
  <c r="PR52" i="29" s="1"/>
  <c r="OK52" i="29"/>
  <c r="OM52" i="29" s="1"/>
  <c r="NF52" i="29"/>
  <c r="NH52" i="29" s="1"/>
  <c r="MA52" i="29"/>
  <c r="MC52" i="29" s="1"/>
  <c r="KV52" i="29"/>
  <c r="KX52" i="29" s="1"/>
  <c r="JQ52" i="29"/>
  <c r="JS52" i="29" s="1"/>
  <c r="IL52" i="29"/>
  <c r="IN52" i="29" s="1"/>
  <c r="HG52" i="29"/>
  <c r="HI52" i="29" s="1"/>
  <c r="GB52" i="29"/>
  <c r="GD52" i="29" s="1"/>
  <c r="EV52" i="29"/>
  <c r="EX52" i="29" s="1"/>
  <c r="DP52" i="29"/>
  <c r="DR52" i="29" s="1"/>
  <c r="CK52" i="29"/>
  <c r="CM52" i="29" s="1"/>
  <c r="BF52" i="29"/>
  <c r="BH52" i="29" s="1"/>
  <c r="PP51" i="29"/>
  <c r="PR51" i="29" s="1"/>
  <c r="OK51" i="29"/>
  <c r="OM51" i="29" s="1"/>
  <c r="NF51" i="29"/>
  <c r="NH51" i="29" s="1"/>
  <c r="MA51" i="29"/>
  <c r="MC51" i="29" s="1"/>
  <c r="KV51" i="29"/>
  <c r="KX51" i="29" s="1"/>
  <c r="JQ51" i="29"/>
  <c r="JS51" i="29" s="1"/>
  <c r="IL51" i="29"/>
  <c r="IN51" i="29" s="1"/>
  <c r="HG51" i="29"/>
  <c r="HI51" i="29" s="1"/>
  <c r="GB51" i="29"/>
  <c r="GD51" i="29" s="1"/>
  <c r="EV51" i="29"/>
  <c r="EX51" i="29" s="1"/>
  <c r="DP51" i="29"/>
  <c r="DR51" i="29" s="1"/>
  <c r="CK51" i="29"/>
  <c r="CM51" i="29" s="1"/>
  <c r="BF51" i="29"/>
  <c r="BH51" i="29" s="1"/>
  <c r="PP50" i="29"/>
  <c r="PR50" i="29" s="1"/>
  <c r="OK50" i="29"/>
  <c r="OM50" i="29" s="1"/>
  <c r="NF50" i="29"/>
  <c r="NH50" i="29" s="1"/>
  <c r="MA50" i="29"/>
  <c r="MC50" i="29" s="1"/>
  <c r="KV50" i="29"/>
  <c r="KX50" i="29" s="1"/>
  <c r="JQ50" i="29"/>
  <c r="JS50" i="29" s="1"/>
  <c r="IL50" i="29"/>
  <c r="IN50" i="29" s="1"/>
  <c r="HG50" i="29"/>
  <c r="HI50" i="29" s="1"/>
  <c r="GB50" i="29"/>
  <c r="GD50" i="29" s="1"/>
  <c r="EV50" i="29"/>
  <c r="EX50" i="29" s="1"/>
  <c r="DP50" i="29"/>
  <c r="DR50" i="29" s="1"/>
  <c r="CK50" i="29"/>
  <c r="CM50" i="29" s="1"/>
  <c r="BF50" i="29"/>
  <c r="BH50" i="29" s="1"/>
  <c r="PP49" i="29"/>
  <c r="PR49" i="29" s="1"/>
  <c r="OK49" i="29"/>
  <c r="OM49" i="29" s="1"/>
  <c r="NF49" i="29"/>
  <c r="NH49" i="29" s="1"/>
  <c r="MA49" i="29"/>
  <c r="MC49" i="29" s="1"/>
  <c r="KV49" i="29"/>
  <c r="KX49" i="29" s="1"/>
  <c r="JQ49" i="29"/>
  <c r="JS49" i="29" s="1"/>
  <c r="IL49" i="29"/>
  <c r="IN49" i="29" s="1"/>
  <c r="HG49" i="29"/>
  <c r="HI49" i="29" s="1"/>
  <c r="GB49" i="29"/>
  <c r="GD49" i="29" s="1"/>
  <c r="EV49" i="29"/>
  <c r="EX49" i="29" s="1"/>
  <c r="DP49" i="29"/>
  <c r="DR49" i="29" s="1"/>
  <c r="CK49" i="29"/>
  <c r="CM49" i="29" s="1"/>
  <c r="BF49" i="29"/>
  <c r="BH49" i="29" s="1"/>
  <c r="PP48" i="29"/>
  <c r="PR48" i="29" s="1"/>
  <c r="OK48" i="29"/>
  <c r="OM48" i="29" s="1"/>
  <c r="NF48" i="29"/>
  <c r="NH48" i="29" s="1"/>
  <c r="MA48" i="29"/>
  <c r="MC48" i="29" s="1"/>
  <c r="KV48" i="29"/>
  <c r="KX48" i="29" s="1"/>
  <c r="JQ48" i="29"/>
  <c r="JS48" i="29" s="1"/>
  <c r="IL48" i="29"/>
  <c r="IN48" i="29" s="1"/>
  <c r="HG48" i="29"/>
  <c r="HI48" i="29" s="1"/>
  <c r="GB48" i="29"/>
  <c r="GD48" i="29" s="1"/>
  <c r="EV48" i="29"/>
  <c r="EX48" i="29" s="1"/>
  <c r="DP48" i="29"/>
  <c r="DR48" i="29" s="1"/>
  <c r="CK48" i="29"/>
  <c r="CM48" i="29" s="1"/>
  <c r="BF48" i="29"/>
  <c r="BH48" i="29" s="1"/>
  <c r="PP47" i="29"/>
  <c r="PR47" i="29" s="1"/>
  <c r="OK47" i="29"/>
  <c r="OM47" i="29" s="1"/>
  <c r="NF47" i="29"/>
  <c r="NH47" i="29" s="1"/>
  <c r="MA47" i="29"/>
  <c r="MC47" i="29" s="1"/>
  <c r="KV47" i="29"/>
  <c r="KX47" i="29" s="1"/>
  <c r="JQ47" i="29"/>
  <c r="JS47" i="29" s="1"/>
  <c r="IL47" i="29"/>
  <c r="IN47" i="29" s="1"/>
  <c r="HG47" i="29"/>
  <c r="HI47" i="29" s="1"/>
  <c r="GB47" i="29"/>
  <c r="GD47" i="29" s="1"/>
  <c r="EV47" i="29"/>
  <c r="EX47" i="29" s="1"/>
  <c r="DP47" i="29"/>
  <c r="DR47" i="29" s="1"/>
  <c r="CK47" i="29"/>
  <c r="CM47" i="29" s="1"/>
  <c r="BF47" i="29"/>
  <c r="BH47" i="29" s="1"/>
  <c r="PP46" i="29"/>
  <c r="PR46" i="29" s="1"/>
  <c r="OK46" i="29"/>
  <c r="OM46" i="29" s="1"/>
  <c r="NF46" i="29"/>
  <c r="NH46" i="29" s="1"/>
  <c r="MA46" i="29"/>
  <c r="MC46" i="29" s="1"/>
  <c r="KV46" i="29"/>
  <c r="KX46" i="29" s="1"/>
  <c r="JQ46" i="29"/>
  <c r="JS46" i="29" s="1"/>
  <c r="IL46" i="29"/>
  <c r="IN46" i="29" s="1"/>
  <c r="HG46" i="29"/>
  <c r="HI46" i="29" s="1"/>
  <c r="GB46" i="29"/>
  <c r="GD46" i="29" s="1"/>
  <c r="EV46" i="29"/>
  <c r="EX46" i="29" s="1"/>
  <c r="DP46" i="29"/>
  <c r="DR46" i="29" s="1"/>
  <c r="CK46" i="29"/>
  <c r="CM46" i="29" s="1"/>
  <c r="BF46" i="29"/>
  <c r="BH46" i="29" s="1"/>
  <c r="PP45" i="29"/>
  <c r="PR45" i="29" s="1"/>
  <c r="OK45" i="29"/>
  <c r="OM45" i="29" s="1"/>
  <c r="NF45" i="29"/>
  <c r="NH45" i="29" s="1"/>
  <c r="MA45" i="29"/>
  <c r="MC45" i="29" s="1"/>
  <c r="KV45" i="29"/>
  <c r="KX45" i="29" s="1"/>
  <c r="JQ45" i="29"/>
  <c r="JS45" i="29" s="1"/>
  <c r="IL45" i="29"/>
  <c r="IN45" i="29" s="1"/>
  <c r="HG45" i="29"/>
  <c r="HI45" i="29" s="1"/>
  <c r="GB45" i="29"/>
  <c r="GD45" i="29" s="1"/>
  <c r="EV45" i="29"/>
  <c r="EX45" i="29" s="1"/>
  <c r="DP45" i="29"/>
  <c r="DR45" i="29" s="1"/>
  <c r="CK45" i="29"/>
  <c r="CM45" i="29" s="1"/>
  <c r="BF45" i="29"/>
  <c r="BH45" i="29" s="1"/>
  <c r="PP44" i="29"/>
  <c r="PR44" i="29" s="1"/>
  <c r="OK44" i="29"/>
  <c r="OM44" i="29" s="1"/>
  <c r="NF44" i="29"/>
  <c r="NH44" i="29" s="1"/>
  <c r="MA44" i="29"/>
  <c r="MC44" i="29" s="1"/>
  <c r="KV44" i="29"/>
  <c r="KX44" i="29" s="1"/>
  <c r="JQ44" i="29"/>
  <c r="JS44" i="29" s="1"/>
  <c r="IL44" i="29"/>
  <c r="IN44" i="29" s="1"/>
  <c r="HG44" i="29"/>
  <c r="HI44" i="29" s="1"/>
  <c r="GB44" i="29"/>
  <c r="GD44" i="29" s="1"/>
  <c r="EV44" i="29"/>
  <c r="EX44" i="29" s="1"/>
  <c r="DP44" i="29"/>
  <c r="DR44" i="29" s="1"/>
  <c r="CK44" i="29"/>
  <c r="CM44" i="29" s="1"/>
  <c r="BF44" i="29"/>
  <c r="BH44" i="29" s="1"/>
  <c r="PP43" i="29"/>
  <c r="PR43" i="29" s="1"/>
  <c r="OK43" i="29"/>
  <c r="OM43" i="29" s="1"/>
  <c r="NF43" i="29"/>
  <c r="NH43" i="29" s="1"/>
  <c r="MA43" i="29"/>
  <c r="MC43" i="29" s="1"/>
  <c r="KV43" i="29"/>
  <c r="KX43" i="29" s="1"/>
  <c r="JQ43" i="29"/>
  <c r="JS43" i="29" s="1"/>
  <c r="IL43" i="29"/>
  <c r="IN43" i="29" s="1"/>
  <c r="HG43" i="29"/>
  <c r="HI43" i="29" s="1"/>
  <c r="GB43" i="29"/>
  <c r="GD43" i="29" s="1"/>
  <c r="EV43" i="29"/>
  <c r="EX43" i="29" s="1"/>
  <c r="DP43" i="29"/>
  <c r="DR43" i="29" s="1"/>
  <c r="CK43" i="29"/>
  <c r="CM43" i="29" s="1"/>
  <c r="BF43" i="29"/>
  <c r="BH43" i="29" s="1"/>
  <c r="PP42" i="29"/>
  <c r="PR42" i="29" s="1"/>
  <c r="OK42" i="29"/>
  <c r="OM42" i="29" s="1"/>
  <c r="NF42" i="29"/>
  <c r="NH42" i="29" s="1"/>
  <c r="MA42" i="29"/>
  <c r="MC42" i="29" s="1"/>
  <c r="KV42" i="29"/>
  <c r="KX42" i="29" s="1"/>
  <c r="JQ42" i="29"/>
  <c r="JS42" i="29" s="1"/>
  <c r="IL42" i="29"/>
  <c r="IN42" i="29" s="1"/>
  <c r="HG42" i="29"/>
  <c r="HI42" i="29" s="1"/>
  <c r="GB42" i="29"/>
  <c r="GD42" i="29" s="1"/>
  <c r="EV42" i="29"/>
  <c r="EX42" i="29" s="1"/>
  <c r="DP42" i="29"/>
  <c r="DR42" i="29" s="1"/>
  <c r="CK42" i="29"/>
  <c r="CM42" i="29" s="1"/>
  <c r="BF42" i="29"/>
  <c r="BH42" i="29" s="1"/>
  <c r="PP41" i="29"/>
  <c r="PR41" i="29" s="1"/>
  <c r="OK41" i="29"/>
  <c r="OM41" i="29" s="1"/>
  <c r="NF41" i="29"/>
  <c r="NH41" i="29" s="1"/>
  <c r="MA41" i="29"/>
  <c r="MC41" i="29" s="1"/>
  <c r="KV41" i="29"/>
  <c r="KX41" i="29" s="1"/>
  <c r="JQ41" i="29"/>
  <c r="JS41" i="29" s="1"/>
  <c r="IL41" i="29"/>
  <c r="IN41" i="29" s="1"/>
  <c r="HG41" i="29"/>
  <c r="HI41" i="29" s="1"/>
  <c r="GB41" i="29"/>
  <c r="GD41" i="29" s="1"/>
  <c r="EV41" i="29"/>
  <c r="EX41" i="29" s="1"/>
  <c r="DP41" i="29"/>
  <c r="DR41" i="29" s="1"/>
  <c r="CK41" i="29"/>
  <c r="CM41" i="29" s="1"/>
  <c r="BF41" i="29"/>
  <c r="BH41" i="29" s="1"/>
  <c r="PP40" i="29"/>
  <c r="PR40" i="29" s="1"/>
  <c r="OK40" i="29"/>
  <c r="OM40" i="29" s="1"/>
  <c r="NF40" i="29"/>
  <c r="NH40" i="29" s="1"/>
  <c r="MA40" i="29"/>
  <c r="MC40" i="29" s="1"/>
  <c r="KV40" i="29"/>
  <c r="KX40" i="29" s="1"/>
  <c r="JQ40" i="29"/>
  <c r="JS40" i="29" s="1"/>
  <c r="IL40" i="29"/>
  <c r="IN40" i="29" s="1"/>
  <c r="HG40" i="29"/>
  <c r="HI40" i="29" s="1"/>
  <c r="GB40" i="29"/>
  <c r="GD40" i="29" s="1"/>
  <c r="EV40" i="29"/>
  <c r="EX40" i="29" s="1"/>
  <c r="DP40" i="29"/>
  <c r="DR40" i="29" s="1"/>
  <c r="CK40" i="29"/>
  <c r="CM40" i="29" s="1"/>
  <c r="BF40" i="29"/>
  <c r="BH40" i="29" s="1"/>
  <c r="PP39" i="29"/>
  <c r="PR39" i="29" s="1"/>
  <c r="OK39" i="29"/>
  <c r="OM39" i="29" s="1"/>
  <c r="NF39" i="29"/>
  <c r="NH39" i="29" s="1"/>
  <c r="MA39" i="29"/>
  <c r="MC39" i="29" s="1"/>
  <c r="KV39" i="29"/>
  <c r="KX39" i="29" s="1"/>
  <c r="JQ39" i="29"/>
  <c r="JS39" i="29" s="1"/>
  <c r="IL39" i="29"/>
  <c r="IN39" i="29" s="1"/>
  <c r="HG39" i="29"/>
  <c r="HI39" i="29" s="1"/>
  <c r="GB39" i="29"/>
  <c r="GD39" i="29" s="1"/>
  <c r="EV39" i="29"/>
  <c r="EX39" i="29" s="1"/>
  <c r="DP39" i="29"/>
  <c r="DR39" i="29" s="1"/>
  <c r="CK39" i="29"/>
  <c r="CM39" i="29" s="1"/>
  <c r="BF39" i="29"/>
  <c r="BH39" i="29" s="1"/>
  <c r="PP38" i="29"/>
  <c r="PR38" i="29" s="1"/>
  <c r="OK38" i="29"/>
  <c r="OM38" i="29" s="1"/>
  <c r="NF38" i="29"/>
  <c r="NH38" i="29" s="1"/>
  <c r="MA38" i="29"/>
  <c r="MC38" i="29" s="1"/>
  <c r="KV38" i="29"/>
  <c r="KX38" i="29" s="1"/>
  <c r="JQ38" i="29"/>
  <c r="JS38" i="29" s="1"/>
  <c r="IL38" i="29"/>
  <c r="IN38" i="29" s="1"/>
  <c r="HG38" i="29"/>
  <c r="HI38" i="29" s="1"/>
  <c r="GB38" i="29"/>
  <c r="GD38" i="29" s="1"/>
  <c r="EV38" i="29"/>
  <c r="EX38" i="29" s="1"/>
  <c r="DP38" i="29"/>
  <c r="DR38" i="29" s="1"/>
  <c r="CK38" i="29"/>
  <c r="CM38" i="29" s="1"/>
  <c r="BF38" i="29"/>
  <c r="BH38" i="29" s="1"/>
  <c r="PP37" i="29"/>
  <c r="PR37" i="29" s="1"/>
  <c r="OK37" i="29"/>
  <c r="OM37" i="29" s="1"/>
  <c r="NF37" i="29"/>
  <c r="NH37" i="29" s="1"/>
  <c r="MA37" i="29"/>
  <c r="MC37" i="29" s="1"/>
  <c r="KV37" i="29"/>
  <c r="KX37" i="29" s="1"/>
  <c r="JQ37" i="29"/>
  <c r="JS37" i="29" s="1"/>
  <c r="IL37" i="29"/>
  <c r="IN37" i="29" s="1"/>
  <c r="HG37" i="29"/>
  <c r="HI37" i="29" s="1"/>
  <c r="GB37" i="29"/>
  <c r="GD37" i="29" s="1"/>
  <c r="EV37" i="29"/>
  <c r="EX37" i="29" s="1"/>
  <c r="DP37" i="29"/>
  <c r="DR37" i="29" s="1"/>
  <c r="CK37" i="29"/>
  <c r="CM37" i="29" s="1"/>
  <c r="BF37" i="29"/>
  <c r="BH37" i="29" s="1"/>
  <c r="PP36" i="29"/>
  <c r="PR36" i="29" s="1"/>
  <c r="OK36" i="29"/>
  <c r="OM36" i="29" s="1"/>
  <c r="NF36" i="29"/>
  <c r="NH36" i="29" s="1"/>
  <c r="MA36" i="29"/>
  <c r="MC36" i="29" s="1"/>
  <c r="KV36" i="29"/>
  <c r="KX36" i="29" s="1"/>
  <c r="JQ36" i="29"/>
  <c r="JS36" i="29" s="1"/>
  <c r="IL36" i="29"/>
  <c r="IN36" i="29" s="1"/>
  <c r="HG36" i="29"/>
  <c r="HI36" i="29" s="1"/>
  <c r="GB36" i="29"/>
  <c r="GD36" i="29" s="1"/>
  <c r="EV36" i="29"/>
  <c r="EX36" i="29" s="1"/>
  <c r="DP36" i="29"/>
  <c r="DR36" i="29" s="1"/>
  <c r="CK36" i="29"/>
  <c r="CM36" i="29" s="1"/>
  <c r="BF36" i="29"/>
  <c r="BH36" i="29" s="1"/>
  <c r="PP35" i="29"/>
  <c r="PR35" i="29" s="1"/>
  <c r="OK35" i="29"/>
  <c r="OM35" i="29" s="1"/>
  <c r="NF35" i="29"/>
  <c r="NH35" i="29" s="1"/>
  <c r="MA35" i="29"/>
  <c r="MC35" i="29" s="1"/>
  <c r="KV35" i="29"/>
  <c r="KX35" i="29" s="1"/>
  <c r="JQ35" i="29"/>
  <c r="JS35" i="29" s="1"/>
  <c r="IL35" i="29"/>
  <c r="IN35" i="29" s="1"/>
  <c r="HG35" i="29"/>
  <c r="HI35" i="29" s="1"/>
  <c r="GB35" i="29"/>
  <c r="GD35" i="29" s="1"/>
  <c r="EV35" i="29"/>
  <c r="EX35" i="29" s="1"/>
  <c r="DP35" i="29"/>
  <c r="DR35" i="29" s="1"/>
  <c r="CK35" i="29"/>
  <c r="CM35" i="29" s="1"/>
  <c r="BF35" i="29"/>
  <c r="BH35" i="29" s="1"/>
  <c r="PP34" i="29"/>
  <c r="PR34" i="29" s="1"/>
  <c r="OK34" i="29"/>
  <c r="OM34" i="29" s="1"/>
  <c r="NF34" i="29"/>
  <c r="NH34" i="29" s="1"/>
  <c r="MA34" i="29"/>
  <c r="MC34" i="29" s="1"/>
  <c r="KV34" i="29"/>
  <c r="KX34" i="29" s="1"/>
  <c r="JQ34" i="29"/>
  <c r="JS34" i="29" s="1"/>
  <c r="IL34" i="29"/>
  <c r="IN34" i="29" s="1"/>
  <c r="HG34" i="29"/>
  <c r="HI34" i="29" s="1"/>
  <c r="GB34" i="29"/>
  <c r="GD34" i="29" s="1"/>
  <c r="EV34" i="29"/>
  <c r="EX34" i="29" s="1"/>
  <c r="DP34" i="29"/>
  <c r="DR34" i="29" s="1"/>
  <c r="CK34" i="29"/>
  <c r="CM34" i="29" s="1"/>
  <c r="BF34" i="29"/>
  <c r="BH34" i="29" s="1"/>
  <c r="PP33" i="29"/>
  <c r="PR33" i="29" s="1"/>
  <c r="OK33" i="29"/>
  <c r="OM33" i="29" s="1"/>
  <c r="NF33" i="29"/>
  <c r="NH33" i="29" s="1"/>
  <c r="MA33" i="29"/>
  <c r="MC33" i="29" s="1"/>
  <c r="KV33" i="29"/>
  <c r="KX33" i="29" s="1"/>
  <c r="JQ33" i="29"/>
  <c r="JS33" i="29" s="1"/>
  <c r="IL33" i="29"/>
  <c r="IN33" i="29" s="1"/>
  <c r="HG33" i="29"/>
  <c r="HI33" i="29" s="1"/>
  <c r="GB33" i="29"/>
  <c r="GD33" i="29" s="1"/>
  <c r="EV33" i="29"/>
  <c r="EX33" i="29" s="1"/>
  <c r="DP33" i="29"/>
  <c r="DR33" i="29" s="1"/>
  <c r="CK33" i="29"/>
  <c r="CM33" i="29" s="1"/>
  <c r="BF33" i="29"/>
  <c r="BH33" i="29" s="1"/>
  <c r="PP32" i="29"/>
  <c r="PR32" i="29" s="1"/>
  <c r="OK32" i="29"/>
  <c r="OM32" i="29" s="1"/>
  <c r="NF32" i="29"/>
  <c r="NH32" i="29" s="1"/>
  <c r="MA32" i="29"/>
  <c r="MC32" i="29" s="1"/>
  <c r="KV32" i="29"/>
  <c r="KX32" i="29" s="1"/>
  <c r="JQ32" i="29"/>
  <c r="JS32" i="29" s="1"/>
  <c r="IL32" i="29"/>
  <c r="IN32" i="29" s="1"/>
  <c r="HG32" i="29"/>
  <c r="HI32" i="29" s="1"/>
  <c r="GB32" i="29"/>
  <c r="GD32" i="29" s="1"/>
  <c r="EV32" i="29"/>
  <c r="EX32" i="29" s="1"/>
  <c r="DP32" i="29"/>
  <c r="DR32" i="29" s="1"/>
  <c r="CK32" i="29"/>
  <c r="CM32" i="29" s="1"/>
  <c r="BF32" i="29"/>
  <c r="BH32" i="29" s="1"/>
  <c r="PP31" i="29"/>
  <c r="PR31" i="29" s="1"/>
  <c r="OK31" i="29"/>
  <c r="OM31" i="29" s="1"/>
  <c r="NF31" i="29"/>
  <c r="NH31" i="29" s="1"/>
  <c r="MA31" i="29"/>
  <c r="MC31" i="29" s="1"/>
  <c r="KV31" i="29"/>
  <c r="KX31" i="29" s="1"/>
  <c r="JQ31" i="29"/>
  <c r="JS31" i="29" s="1"/>
  <c r="IL31" i="29"/>
  <c r="IN31" i="29" s="1"/>
  <c r="HG31" i="29"/>
  <c r="HI31" i="29" s="1"/>
  <c r="GB31" i="29"/>
  <c r="GD31" i="29" s="1"/>
  <c r="EV31" i="29"/>
  <c r="EX31" i="29" s="1"/>
  <c r="DP31" i="29"/>
  <c r="DR31" i="29" s="1"/>
  <c r="CK31" i="29"/>
  <c r="CM31" i="29" s="1"/>
  <c r="BF31" i="29"/>
  <c r="BH31" i="29" s="1"/>
  <c r="PP30" i="29"/>
  <c r="PR30" i="29" s="1"/>
  <c r="OK30" i="29"/>
  <c r="OM30" i="29" s="1"/>
  <c r="NF30" i="29"/>
  <c r="NH30" i="29" s="1"/>
  <c r="MA30" i="29"/>
  <c r="MC30" i="29" s="1"/>
  <c r="KV30" i="29"/>
  <c r="KX30" i="29" s="1"/>
  <c r="JQ30" i="29"/>
  <c r="JS30" i="29" s="1"/>
  <c r="IL30" i="29"/>
  <c r="IN30" i="29" s="1"/>
  <c r="HG30" i="29"/>
  <c r="HI30" i="29" s="1"/>
  <c r="GB30" i="29"/>
  <c r="GD30" i="29" s="1"/>
  <c r="EV30" i="29"/>
  <c r="EX30" i="29" s="1"/>
  <c r="DP30" i="29"/>
  <c r="DR30" i="29" s="1"/>
  <c r="CK30" i="29"/>
  <c r="CM30" i="29" s="1"/>
  <c r="BF30" i="29"/>
  <c r="BH30" i="29" s="1"/>
  <c r="PP29" i="29"/>
  <c r="PR29" i="29" s="1"/>
  <c r="OK29" i="29"/>
  <c r="OM29" i="29" s="1"/>
  <c r="NF29" i="29"/>
  <c r="NH29" i="29" s="1"/>
  <c r="MA29" i="29"/>
  <c r="MC29" i="29" s="1"/>
  <c r="KV29" i="29"/>
  <c r="KX29" i="29" s="1"/>
  <c r="JQ29" i="29"/>
  <c r="JS29" i="29" s="1"/>
  <c r="IL29" i="29"/>
  <c r="IN29" i="29" s="1"/>
  <c r="HG29" i="29"/>
  <c r="HI29" i="29" s="1"/>
  <c r="GB29" i="29"/>
  <c r="GD29" i="29" s="1"/>
  <c r="EV29" i="29"/>
  <c r="EX29" i="29" s="1"/>
  <c r="DP29" i="29"/>
  <c r="DR29" i="29" s="1"/>
  <c r="CK29" i="29"/>
  <c r="CM29" i="29" s="1"/>
  <c r="BF29" i="29"/>
  <c r="BH29" i="29" s="1"/>
  <c r="PP28" i="29"/>
  <c r="PR28" i="29" s="1"/>
  <c r="OK28" i="29"/>
  <c r="OM28" i="29" s="1"/>
  <c r="NF28" i="29"/>
  <c r="NH28" i="29" s="1"/>
  <c r="MA28" i="29"/>
  <c r="MC28" i="29" s="1"/>
  <c r="KV28" i="29"/>
  <c r="KX28" i="29" s="1"/>
  <c r="JQ28" i="29"/>
  <c r="JS28" i="29" s="1"/>
  <c r="IL28" i="29"/>
  <c r="IN28" i="29" s="1"/>
  <c r="HG28" i="29"/>
  <c r="HI28" i="29" s="1"/>
  <c r="GB28" i="29"/>
  <c r="GD28" i="29" s="1"/>
  <c r="EV28" i="29"/>
  <c r="EX28" i="29" s="1"/>
  <c r="DP28" i="29"/>
  <c r="DR28" i="29" s="1"/>
  <c r="CK28" i="29"/>
  <c r="CM28" i="29" s="1"/>
  <c r="BF28" i="29"/>
  <c r="BH28" i="29" s="1"/>
  <c r="PP27" i="29"/>
  <c r="PR27" i="29" s="1"/>
  <c r="OK27" i="29"/>
  <c r="OM27" i="29" s="1"/>
  <c r="NF27" i="29"/>
  <c r="NH27" i="29" s="1"/>
  <c r="MA27" i="29"/>
  <c r="MC27" i="29" s="1"/>
  <c r="KV27" i="29"/>
  <c r="KX27" i="29" s="1"/>
  <c r="JQ27" i="29"/>
  <c r="JS27" i="29" s="1"/>
  <c r="IL27" i="29"/>
  <c r="IN27" i="29" s="1"/>
  <c r="HG27" i="29"/>
  <c r="HI27" i="29" s="1"/>
  <c r="GB27" i="29"/>
  <c r="GD27" i="29" s="1"/>
  <c r="EV27" i="29"/>
  <c r="EX27" i="29" s="1"/>
  <c r="DP27" i="29"/>
  <c r="DR27" i="29" s="1"/>
  <c r="CK27" i="29"/>
  <c r="CM27" i="29" s="1"/>
  <c r="BF27" i="29"/>
  <c r="BH27" i="29" s="1"/>
  <c r="PP26" i="29"/>
  <c r="PR26" i="29" s="1"/>
  <c r="OK26" i="29"/>
  <c r="OM26" i="29" s="1"/>
  <c r="NF26" i="29"/>
  <c r="NH26" i="29" s="1"/>
  <c r="MA26" i="29"/>
  <c r="MC26" i="29" s="1"/>
  <c r="KV26" i="29"/>
  <c r="KX26" i="29" s="1"/>
  <c r="JQ26" i="29"/>
  <c r="JS26" i="29" s="1"/>
  <c r="IL26" i="29"/>
  <c r="IN26" i="29" s="1"/>
  <c r="HG26" i="29"/>
  <c r="HI26" i="29" s="1"/>
  <c r="GB26" i="29"/>
  <c r="GD26" i="29" s="1"/>
  <c r="EV26" i="29"/>
  <c r="EX26" i="29" s="1"/>
  <c r="DP26" i="29"/>
  <c r="DR26" i="29" s="1"/>
  <c r="CK26" i="29"/>
  <c r="CM26" i="29" s="1"/>
  <c r="BF26" i="29"/>
  <c r="BH26" i="29" s="1"/>
  <c r="PP25" i="29"/>
  <c r="PR25" i="29" s="1"/>
  <c r="OK25" i="29"/>
  <c r="OM25" i="29" s="1"/>
  <c r="NF25" i="29"/>
  <c r="NH25" i="29" s="1"/>
  <c r="MA25" i="29"/>
  <c r="MC25" i="29" s="1"/>
  <c r="KV25" i="29"/>
  <c r="KX25" i="29" s="1"/>
  <c r="JQ25" i="29"/>
  <c r="JS25" i="29" s="1"/>
  <c r="IL25" i="29"/>
  <c r="IN25" i="29" s="1"/>
  <c r="HG25" i="29"/>
  <c r="HI25" i="29" s="1"/>
  <c r="GB25" i="29"/>
  <c r="GD25" i="29" s="1"/>
  <c r="EV25" i="29"/>
  <c r="EX25" i="29" s="1"/>
  <c r="DP25" i="29"/>
  <c r="DR25" i="29" s="1"/>
  <c r="CK25" i="29"/>
  <c r="CM25" i="29" s="1"/>
  <c r="BF25" i="29"/>
  <c r="BH25" i="29" s="1"/>
  <c r="PP24" i="29"/>
  <c r="PR24" i="29" s="1"/>
  <c r="OK24" i="29"/>
  <c r="OM24" i="29" s="1"/>
  <c r="NF24" i="29"/>
  <c r="NH24" i="29" s="1"/>
  <c r="MA24" i="29"/>
  <c r="MC24" i="29" s="1"/>
  <c r="KV24" i="29"/>
  <c r="KX24" i="29" s="1"/>
  <c r="JQ24" i="29"/>
  <c r="JS24" i="29" s="1"/>
  <c r="IL24" i="29"/>
  <c r="IN24" i="29" s="1"/>
  <c r="HG24" i="29"/>
  <c r="HI24" i="29" s="1"/>
  <c r="GB24" i="29"/>
  <c r="GD24" i="29" s="1"/>
  <c r="EV24" i="29"/>
  <c r="EX24" i="29" s="1"/>
  <c r="DP24" i="29"/>
  <c r="DR24" i="29" s="1"/>
  <c r="CK24" i="29"/>
  <c r="CM24" i="29" s="1"/>
  <c r="BF24" i="29"/>
  <c r="BH24" i="29" s="1"/>
  <c r="PP23" i="29"/>
  <c r="PR23" i="29" s="1"/>
  <c r="OK23" i="29"/>
  <c r="OM23" i="29" s="1"/>
  <c r="NF23" i="29"/>
  <c r="NH23" i="29" s="1"/>
  <c r="MA23" i="29"/>
  <c r="MC23" i="29" s="1"/>
  <c r="KV23" i="29"/>
  <c r="KX23" i="29" s="1"/>
  <c r="JQ23" i="29"/>
  <c r="JS23" i="29" s="1"/>
  <c r="IL23" i="29"/>
  <c r="IN23" i="29" s="1"/>
  <c r="HG23" i="29"/>
  <c r="HI23" i="29" s="1"/>
  <c r="GB23" i="29"/>
  <c r="GD23" i="29" s="1"/>
  <c r="EV23" i="29"/>
  <c r="EX23" i="29" s="1"/>
  <c r="DP23" i="29"/>
  <c r="DR23" i="29" s="1"/>
  <c r="CK23" i="29"/>
  <c r="CM23" i="29" s="1"/>
  <c r="BF23" i="29"/>
  <c r="BH23" i="29" s="1"/>
  <c r="PP22" i="29"/>
  <c r="PR22" i="29" s="1"/>
  <c r="OK22" i="29"/>
  <c r="OM22" i="29" s="1"/>
  <c r="NF22" i="29"/>
  <c r="NH22" i="29" s="1"/>
  <c r="MA22" i="29"/>
  <c r="MC22" i="29" s="1"/>
  <c r="KV22" i="29"/>
  <c r="KX22" i="29" s="1"/>
  <c r="JQ22" i="29"/>
  <c r="JS22" i="29" s="1"/>
  <c r="IL22" i="29"/>
  <c r="IN22" i="29" s="1"/>
  <c r="HG22" i="29"/>
  <c r="HI22" i="29" s="1"/>
  <c r="GB22" i="29"/>
  <c r="GD22" i="29" s="1"/>
  <c r="EV22" i="29"/>
  <c r="EX22" i="29" s="1"/>
  <c r="DP22" i="29"/>
  <c r="DR22" i="29" s="1"/>
  <c r="CK22" i="29"/>
  <c r="CM22" i="29" s="1"/>
  <c r="BF22" i="29"/>
  <c r="BH22" i="29" s="1"/>
  <c r="PP21" i="29"/>
  <c r="PR21" i="29" s="1"/>
  <c r="OK21" i="29"/>
  <c r="OM21" i="29" s="1"/>
  <c r="NF21" i="29"/>
  <c r="NH21" i="29" s="1"/>
  <c r="MA21" i="29"/>
  <c r="MC21" i="29" s="1"/>
  <c r="KV21" i="29"/>
  <c r="KX21" i="29" s="1"/>
  <c r="JQ21" i="29"/>
  <c r="JS21" i="29" s="1"/>
  <c r="IL21" i="29"/>
  <c r="IN21" i="29" s="1"/>
  <c r="HG21" i="29"/>
  <c r="HI21" i="29" s="1"/>
  <c r="GB21" i="29"/>
  <c r="GD21" i="29" s="1"/>
  <c r="EV21" i="29"/>
  <c r="EX21" i="29" s="1"/>
  <c r="DP21" i="29"/>
  <c r="DR21" i="29" s="1"/>
  <c r="CK21" i="29"/>
  <c r="CM21" i="29" s="1"/>
  <c r="BF21" i="29"/>
  <c r="BH21" i="29" s="1"/>
  <c r="PP20" i="29"/>
  <c r="PR20" i="29" s="1"/>
  <c r="OK20" i="29"/>
  <c r="OM20" i="29" s="1"/>
  <c r="NF20" i="29"/>
  <c r="NH20" i="29" s="1"/>
  <c r="MA20" i="29"/>
  <c r="MC20" i="29" s="1"/>
  <c r="KV20" i="29"/>
  <c r="KX20" i="29" s="1"/>
  <c r="JQ20" i="29"/>
  <c r="JS20" i="29" s="1"/>
  <c r="IL20" i="29"/>
  <c r="IN20" i="29" s="1"/>
  <c r="HG20" i="29"/>
  <c r="HI20" i="29" s="1"/>
  <c r="GB20" i="29"/>
  <c r="GD20" i="29" s="1"/>
  <c r="EV20" i="29"/>
  <c r="EX20" i="29" s="1"/>
  <c r="DP20" i="29"/>
  <c r="DR20" i="29" s="1"/>
  <c r="CK20" i="29"/>
  <c r="CM20" i="29" s="1"/>
  <c r="BF20" i="29"/>
  <c r="BH20" i="29" s="1"/>
  <c r="PP19" i="29"/>
  <c r="PR19" i="29" s="1"/>
  <c r="OK19" i="29"/>
  <c r="OM19" i="29" s="1"/>
  <c r="NF19" i="29"/>
  <c r="NH19" i="29" s="1"/>
  <c r="MA19" i="29"/>
  <c r="MC19" i="29" s="1"/>
  <c r="KV19" i="29"/>
  <c r="KX19" i="29" s="1"/>
  <c r="JQ19" i="29"/>
  <c r="JS19" i="29" s="1"/>
  <c r="IL19" i="29"/>
  <c r="IN19" i="29" s="1"/>
  <c r="HG19" i="29"/>
  <c r="HI19" i="29" s="1"/>
  <c r="GB19" i="29"/>
  <c r="GD19" i="29" s="1"/>
  <c r="EV19" i="29"/>
  <c r="EX19" i="29" s="1"/>
  <c r="DP19" i="29"/>
  <c r="DR19" i="29" s="1"/>
  <c r="CK19" i="29"/>
  <c r="CM19" i="29" s="1"/>
  <c r="BF19" i="29"/>
  <c r="BH19" i="29" s="1"/>
  <c r="PP18" i="29"/>
  <c r="PR18" i="29" s="1"/>
  <c r="OK18" i="29"/>
  <c r="OM18" i="29" s="1"/>
  <c r="NF18" i="29"/>
  <c r="NH18" i="29" s="1"/>
  <c r="MA18" i="29"/>
  <c r="MC18" i="29" s="1"/>
  <c r="KV18" i="29"/>
  <c r="KX18" i="29" s="1"/>
  <c r="JQ18" i="29"/>
  <c r="JS18" i="29" s="1"/>
  <c r="IL18" i="29"/>
  <c r="IN18" i="29" s="1"/>
  <c r="HG18" i="29"/>
  <c r="HI18" i="29" s="1"/>
  <c r="GB18" i="29"/>
  <c r="GD18" i="29" s="1"/>
  <c r="EV18" i="29"/>
  <c r="EX18" i="29" s="1"/>
  <c r="DP18" i="29"/>
  <c r="DR18" i="29" s="1"/>
  <c r="CK18" i="29"/>
  <c r="CM18" i="29" s="1"/>
  <c r="BF18" i="29"/>
  <c r="BH18" i="29" s="1"/>
  <c r="PP17" i="29"/>
  <c r="PR17" i="29" s="1"/>
  <c r="OK17" i="29"/>
  <c r="OM17" i="29" s="1"/>
  <c r="NF17" i="29"/>
  <c r="NH17" i="29" s="1"/>
  <c r="MA17" i="29"/>
  <c r="MC17" i="29" s="1"/>
  <c r="KV17" i="29"/>
  <c r="KX17" i="29" s="1"/>
  <c r="JQ17" i="29"/>
  <c r="JS17" i="29" s="1"/>
  <c r="IL17" i="29"/>
  <c r="IN17" i="29" s="1"/>
  <c r="HG17" i="29"/>
  <c r="HI17" i="29" s="1"/>
  <c r="GB17" i="29"/>
  <c r="GD17" i="29" s="1"/>
  <c r="EV17" i="29"/>
  <c r="EX17" i="29" s="1"/>
  <c r="DP17" i="29"/>
  <c r="DR17" i="29" s="1"/>
  <c r="CK17" i="29"/>
  <c r="CM17" i="29" s="1"/>
  <c r="BF17" i="29"/>
  <c r="BH17" i="29" s="1"/>
  <c r="PP16" i="29"/>
  <c r="PR16" i="29" s="1"/>
  <c r="OK16" i="29"/>
  <c r="OM16" i="29" s="1"/>
  <c r="NF16" i="29"/>
  <c r="NH16" i="29" s="1"/>
  <c r="MA16" i="29"/>
  <c r="MC16" i="29" s="1"/>
  <c r="KV16" i="29"/>
  <c r="KX16" i="29" s="1"/>
  <c r="JQ16" i="29"/>
  <c r="JS16" i="29" s="1"/>
  <c r="IL16" i="29"/>
  <c r="IN16" i="29" s="1"/>
  <c r="HG16" i="29"/>
  <c r="HI16" i="29" s="1"/>
  <c r="GB16" i="29"/>
  <c r="GD16" i="29" s="1"/>
  <c r="EV16" i="29"/>
  <c r="EX16" i="29" s="1"/>
  <c r="DP16" i="29"/>
  <c r="DR16" i="29" s="1"/>
  <c r="CK16" i="29"/>
  <c r="CM16" i="29" s="1"/>
  <c r="BF16" i="29"/>
  <c r="BH16" i="29" s="1"/>
  <c r="PP15" i="29"/>
  <c r="PR15" i="29" s="1"/>
  <c r="OK15" i="29"/>
  <c r="OM15" i="29" s="1"/>
  <c r="NF15" i="29"/>
  <c r="NH15" i="29" s="1"/>
  <c r="MA15" i="29"/>
  <c r="MC15" i="29" s="1"/>
  <c r="KV15" i="29"/>
  <c r="KX15" i="29" s="1"/>
  <c r="JQ15" i="29"/>
  <c r="JS15" i="29" s="1"/>
  <c r="IL15" i="29"/>
  <c r="IN15" i="29" s="1"/>
  <c r="HG15" i="29"/>
  <c r="HI15" i="29" s="1"/>
  <c r="GB15" i="29"/>
  <c r="GD15" i="29" s="1"/>
  <c r="EV15" i="29"/>
  <c r="EX15" i="29" s="1"/>
  <c r="DP15" i="29"/>
  <c r="DR15" i="29" s="1"/>
  <c r="CK15" i="29"/>
  <c r="CM15" i="29" s="1"/>
  <c r="BF15" i="29"/>
  <c r="BH15" i="29" s="1"/>
  <c r="PP14" i="29"/>
  <c r="PR14" i="29" s="1"/>
  <c r="OK14" i="29"/>
  <c r="OM14" i="29" s="1"/>
  <c r="NF14" i="29"/>
  <c r="NH14" i="29" s="1"/>
  <c r="MA14" i="29"/>
  <c r="MC14" i="29" s="1"/>
  <c r="KV14" i="29"/>
  <c r="KX14" i="29" s="1"/>
  <c r="JQ14" i="29"/>
  <c r="JS14" i="29" s="1"/>
  <c r="IL14" i="29"/>
  <c r="IN14" i="29" s="1"/>
  <c r="HG14" i="29"/>
  <c r="HI14" i="29" s="1"/>
  <c r="GB14" i="29"/>
  <c r="GD14" i="29" s="1"/>
  <c r="EV14" i="29"/>
  <c r="EX14" i="29" s="1"/>
  <c r="DP14" i="29"/>
  <c r="DR14" i="29" s="1"/>
  <c r="CK14" i="29"/>
  <c r="CM14" i="29" s="1"/>
  <c r="BF14" i="29"/>
  <c r="BH14" i="29" s="1"/>
  <c r="PP13" i="29"/>
  <c r="PR13" i="29" s="1"/>
  <c r="OK13" i="29"/>
  <c r="OM13" i="29" s="1"/>
  <c r="NF13" i="29"/>
  <c r="NH13" i="29" s="1"/>
  <c r="MA13" i="29"/>
  <c r="MC13" i="29" s="1"/>
  <c r="KV13" i="29"/>
  <c r="KX13" i="29" s="1"/>
  <c r="JQ13" i="29"/>
  <c r="JS13" i="29" s="1"/>
  <c r="IL13" i="29"/>
  <c r="IN13" i="29" s="1"/>
  <c r="HG13" i="29"/>
  <c r="HI13" i="29" s="1"/>
  <c r="GB13" i="29"/>
  <c r="GD13" i="29" s="1"/>
  <c r="EV13" i="29"/>
  <c r="EX13" i="29" s="1"/>
  <c r="DP13" i="29"/>
  <c r="DR13" i="29" s="1"/>
  <c r="CK13" i="29"/>
  <c r="CM13" i="29" s="1"/>
  <c r="BF13" i="29"/>
  <c r="BH13" i="29" s="1"/>
  <c r="PP12" i="29"/>
  <c r="PR12" i="29" s="1"/>
  <c r="OK12" i="29"/>
  <c r="OM12" i="29" s="1"/>
  <c r="NF12" i="29"/>
  <c r="NH12" i="29" s="1"/>
  <c r="MA12" i="29"/>
  <c r="MC12" i="29" s="1"/>
  <c r="KV12" i="29"/>
  <c r="KX12" i="29" s="1"/>
  <c r="JQ12" i="29"/>
  <c r="JS12" i="29" s="1"/>
  <c r="IL12" i="29"/>
  <c r="IN12" i="29" s="1"/>
  <c r="HG12" i="29"/>
  <c r="HI12" i="29" s="1"/>
  <c r="GB12" i="29"/>
  <c r="GD12" i="29" s="1"/>
  <c r="EV12" i="29"/>
  <c r="EX12" i="29" s="1"/>
  <c r="DP12" i="29"/>
  <c r="DR12" i="29" s="1"/>
  <c r="CK12" i="29"/>
  <c r="CM12" i="29" s="1"/>
  <c r="BF12" i="29"/>
  <c r="BH12" i="29" s="1"/>
  <c r="PP11" i="29"/>
  <c r="PR11" i="29" s="1"/>
  <c r="OK11" i="29"/>
  <c r="OM11" i="29" s="1"/>
  <c r="NF11" i="29"/>
  <c r="NH11" i="29" s="1"/>
  <c r="MA11" i="29"/>
  <c r="MC11" i="29" s="1"/>
  <c r="KV11" i="29"/>
  <c r="KX11" i="29" s="1"/>
  <c r="JQ11" i="29"/>
  <c r="JS11" i="29" s="1"/>
  <c r="IL11" i="29"/>
  <c r="IN11" i="29" s="1"/>
  <c r="HG11" i="29"/>
  <c r="HI11" i="29" s="1"/>
  <c r="GB11" i="29"/>
  <c r="GD11" i="29" s="1"/>
  <c r="EV11" i="29"/>
  <c r="EX11" i="29" s="1"/>
  <c r="DP11" i="29"/>
  <c r="DR11" i="29" s="1"/>
  <c r="CK11" i="29"/>
  <c r="CM11" i="29" s="1"/>
  <c r="BF11" i="29"/>
  <c r="BH11" i="29" s="1"/>
  <c r="PP10" i="29"/>
  <c r="PR10" i="29" s="1"/>
  <c r="OK10" i="29"/>
  <c r="OM10" i="29" s="1"/>
  <c r="NF10" i="29"/>
  <c r="NH10" i="29" s="1"/>
  <c r="MA10" i="29"/>
  <c r="MC10" i="29" s="1"/>
  <c r="KV10" i="29"/>
  <c r="KX10" i="29" s="1"/>
  <c r="JQ10" i="29"/>
  <c r="JS10" i="29" s="1"/>
  <c r="IL10" i="29"/>
  <c r="IN10" i="29" s="1"/>
  <c r="HG10" i="29"/>
  <c r="HI10" i="29" s="1"/>
  <c r="GB10" i="29"/>
  <c r="GD10" i="29" s="1"/>
  <c r="EV10" i="29"/>
  <c r="EX10" i="29" s="1"/>
  <c r="DP10" i="29"/>
  <c r="DR10" i="29" s="1"/>
  <c r="CK10" i="29"/>
  <c r="CM10" i="29" s="1"/>
  <c r="BF10" i="29"/>
  <c r="BH10" i="29" s="1"/>
  <c r="PP9" i="29"/>
  <c r="PR9" i="29" s="1"/>
  <c r="OK9" i="29"/>
  <c r="OM9" i="29" s="1"/>
  <c r="NF9" i="29"/>
  <c r="NH9" i="29" s="1"/>
  <c r="MA9" i="29"/>
  <c r="MC9" i="29" s="1"/>
  <c r="KV9" i="29"/>
  <c r="KX9" i="29" s="1"/>
  <c r="JQ9" i="29"/>
  <c r="JS9" i="29" s="1"/>
  <c r="IL9" i="29"/>
  <c r="IN9" i="29" s="1"/>
  <c r="HG9" i="29"/>
  <c r="HI9" i="29" s="1"/>
  <c r="GB9" i="29"/>
  <c r="GD9" i="29" s="1"/>
  <c r="EV9" i="29"/>
  <c r="EX9" i="29" s="1"/>
  <c r="DP9" i="29"/>
  <c r="DR9" i="29" s="1"/>
  <c r="CK9" i="29"/>
  <c r="CM9" i="29" s="1"/>
  <c r="BF9" i="29"/>
  <c r="BH9" i="29" s="1"/>
  <c r="PP8" i="29"/>
  <c r="PR8" i="29" s="1"/>
  <c r="OK8" i="29"/>
  <c r="OM8" i="29" s="1"/>
  <c r="NF8" i="29"/>
  <c r="NH8" i="29" s="1"/>
  <c r="MA8" i="29"/>
  <c r="MC8" i="29" s="1"/>
  <c r="KV8" i="29"/>
  <c r="KX8" i="29" s="1"/>
  <c r="JQ8" i="29"/>
  <c r="JS8" i="29" s="1"/>
  <c r="IL8" i="29"/>
  <c r="IN8" i="29" s="1"/>
  <c r="HG8" i="29"/>
  <c r="HI8" i="29" s="1"/>
  <c r="GB8" i="29"/>
  <c r="GD8" i="29" s="1"/>
  <c r="EV8" i="29"/>
  <c r="EX8" i="29" s="1"/>
  <c r="DP8" i="29"/>
  <c r="DR8" i="29" s="1"/>
  <c r="CK8" i="29"/>
  <c r="CM8" i="29" s="1"/>
  <c r="BF8" i="29"/>
  <c r="BH8" i="29" s="1"/>
  <c r="PP7" i="29"/>
  <c r="PR7" i="29" s="1"/>
  <c r="OK7" i="29"/>
  <c r="OM7" i="29" s="1"/>
  <c r="NF7" i="29"/>
  <c r="NH7" i="29" s="1"/>
  <c r="MA7" i="29"/>
  <c r="MC7" i="29" s="1"/>
  <c r="KV7" i="29"/>
  <c r="KX7" i="29" s="1"/>
  <c r="JQ7" i="29"/>
  <c r="JS7" i="29" s="1"/>
  <c r="IL7" i="29"/>
  <c r="IN7" i="29" s="1"/>
  <c r="HG7" i="29"/>
  <c r="HI7" i="29" s="1"/>
  <c r="GB7" i="29"/>
  <c r="GD7" i="29" s="1"/>
  <c r="EV7" i="29"/>
  <c r="EX7" i="29" s="1"/>
  <c r="DP7" i="29"/>
  <c r="DR7" i="29" s="1"/>
  <c r="CK7" i="29"/>
  <c r="CM7" i="29" s="1"/>
  <c r="BF7" i="29"/>
  <c r="BH7" i="29" s="1"/>
  <c r="C27" i="28" l="1"/>
  <c r="C5" i="28" s="1"/>
  <c r="I5" i="28" s="1"/>
  <c r="AD55" i="29"/>
  <c r="C4" i="29" s="1"/>
  <c r="DS23" i="29"/>
  <c r="B67" i="28" s="1"/>
  <c r="BI35" i="29"/>
  <c r="B46" i="28" s="1"/>
  <c r="QX11" i="29"/>
  <c r="QX47" i="29"/>
  <c r="QX15" i="29"/>
  <c r="QX19" i="29"/>
  <c r="QX43" i="29"/>
  <c r="QX7" i="29"/>
  <c r="QX35" i="29"/>
  <c r="QX27" i="29"/>
  <c r="QX39" i="29"/>
  <c r="QX31" i="29"/>
  <c r="QX23" i="29"/>
  <c r="QX51" i="29"/>
  <c r="MD19" i="29"/>
  <c r="B150" i="28" s="1"/>
  <c r="EY39" i="29"/>
  <c r="B83" i="28" s="1"/>
  <c r="MD7" i="29"/>
  <c r="B147" i="28" s="1"/>
  <c r="PS35" i="29"/>
  <c r="B190" i="28" s="1"/>
  <c r="ON19" i="29"/>
  <c r="B174" i="28" s="1"/>
  <c r="JT43" i="29"/>
  <c r="PS11" i="29"/>
  <c r="B184" i="28" s="1"/>
  <c r="PS15" i="29"/>
  <c r="B185" i="28" s="1"/>
  <c r="EY19" i="29"/>
  <c r="B78" i="28" s="1"/>
  <c r="CN31" i="29"/>
  <c r="B57" i="28" s="1"/>
  <c r="CN7" i="29"/>
  <c r="B51" i="28" s="1"/>
  <c r="GE11" i="29"/>
  <c r="B88" i="28" s="1"/>
  <c r="IO27" i="29"/>
  <c r="ON23" i="29"/>
  <c r="B175" i="28" s="1"/>
  <c r="PS23" i="29"/>
  <c r="B187" i="28" s="1"/>
  <c r="HJ7" i="29"/>
  <c r="MD47" i="29"/>
  <c r="B157" i="28" s="1"/>
  <c r="CN51" i="29"/>
  <c r="B62" i="28" s="1"/>
  <c r="GE23" i="29"/>
  <c r="B91" i="28" s="1"/>
  <c r="NI27" i="29"/>
  <c r="B164" i="28" s="1"/>
  <c r="HJ31" i="29"/>
  <c r="IO31" i="29"/>
  <c r="DS27" i="29"/>
  <c r="B68" i="28" s="1"/>
  <c r="IO39" i="29"/>
  <c r="NI23" i="29"/>
  <c r="B163" i="28" s="1"/>
  <c r="KY51" i="29"/>
  <c r="HJ51" i="29"/>
  <c r="NI43" i="29"/>
  <c r="B168" i="28" s="1"/>
  <c r="NI47" i="29"/>
  <c r="B169" i="28" s="1"/>
  <c r="IO43" i="29"/>
  <c r="GE35" i="29"/>
  <c r="B94" i="28" s="1"/>
  <c r="JT7" i="29"/>
  <c r="KY35" i="29"/>
  <c r="HJ35" i="29"/>
  <c r="HJ47" i="29"/>
  <c r="DS47" i="29"/>
  <c r="B73" i="28" s="1"/>
  <c r="HJ39" i="29"/>
  <c r="JT27" i="29"/>
  <c r="MD31" i="29"/>
  <c r="B153" i="28" s="1"/>
  <c r="ON43" i="29"/>
  <c r="B180" i="28" s="1"/>
  <c r="NI51" i="29"/>
  <c r="B170" i="28" s="1"/>
  <c r="BI7" i="29"/>
  <c r="B39" i="28" s="1"/>
  <c r="KY7" i="29"/>
  <c r="HJ15" i="29"/>
  <c r="GE31" i="29"/>
  <c r="B93" i="28" s="1"/>
  <c r="EY35" i="29"/>
  <c r="B82" i="28" s="1"/>
  <c r="NI35" i="29"/>
  <c r="B166" i="28" s="1"/>
  <c r="GE43" i="29"/>
  <c r="B96" i="28" s="1"/>
  <c r="EY11" i="29"/>
  <c r="B76" i="28" s="1"/>
  <c r="PS19" i="29"/>
  <c r="B186" i="28" s="1"/>
  <c r="HJ27" i="29"/>
  <c r="BI39" i="29"/>
  <c r="B47" i="28" s="1"/>
  <c r="KY39" i="29"/>
  <c r="GE19" i="29"/>
  <c r="B90" i="28" s="1"/>
  <c r="DS7" i="29"/>
  <c r="B63" i="28" s="1"/>
  <c r="JT15" i="29"/>
  <c r="JT23" i="29"/>
  <c r="ON39" i="29"/>
  <c r="B179" i="28" s="1"/>
  <c r="NI7" i="29"/>
  <c r="B159" i="28" s="1"/>
  <c r="BI15" i="29"/>
  <c r="B41" i="28" s="1"/>
  <c r="KY15" i="29"/>
  <c r="DS15" i="29"/>
  <c r="B65" i="28" s="1"/>
  <c r="IO7" i="29"/>
  <c r="EY7" i="29"/>
  <c r="B75" i="28" s="1"/>
  <c r="ON7" i="29"/>
  <c r="B171" i="28" s="1"/>
  <c r="CN15" i="29"/>
  <c r="B53" i="28" s="1"/>
  <c r="CN19" i="29"/>
  <c r="B54" i="28" s="1"/>
  <c r="BI23" i="29"/>
  <c r="B43" i="28" s="1"/>
  <c r="KY23" i="29"/>
  <c r="IO35" i="29"/>
  <c r="B118" i="28" s="1"/>
  <c r="C111" i="28" s="1"/>
  <c r="C12" i="28" s="1"/>
  <c r="I12" i="28" s="1"/>
  <c r="MD39" i="29"/>
  <c r="B155" i="28" s="1"/>
  <c r="CN47" i="29"/>
  <c r="B61" i="28" s="1"/>
  <c r="ON51" i="29"/>
  <c r="B182" i="28" s="1"/>
  <c r="GE7" i="29"/>
  <c r="B87" i="28" s="1"/>
  <c r="PS7" i="29"/>
  <c r="B183" i="28" s="1"/>
  <c r="BI11" i="29"/>
  <c r="B40" i="28" s="1"/>
  <c r="NI15" i="29"/>
  <c r="B161" i="28" s="1"/>
  <c r="BI19" i="29"/>
  <c r="B42" i="28" s="1"/>
  <c r="JT19" i="29"/>
  <c r="ON27" i="29"/>
  <c r="B176" i="28" s="1"/>
  <c r="BI31" i="29"/>
  <c r="B45" i="28" s="1"/>
  <c r="MD35" i="29"/>
  <c r="B154" i="28" s="1"/>
  <c r="DS43" i="29"/>
  <c r="B72" i="28" s="1"/>
  <c r="BI51" i="29"/>
  <c r="B50" i="28" s="1"/>
  <c r="JT51" i="29"/>
  <c r="EY27" i="29"/>
  <c r="B80" i="28" s="1"/>
  <c r="PS31" i="29"/>
  <c r="B189" i="28" s="1"/>
  <c r="GE51" i="29"/>
  <c r="B98" i="28" s="1"/>
  <c r="KY19" i="29"/>
  <c r="KY31" i="29"/>
  <c r="CN35" i="29"/>
  <c r="B58" i="28" s="1"/>
  <c r="JT39" i="29"/>
  <c r="CN43" i="29"/>
  <c r="B60" i="28" s="1"/>
  <c r="MD27" i="29"/>
  <c r="B152" i="28" s="1"/>
  <c r="IO47" i="29"/>
  <c r="CN11" i="29"/>
  <c r="B52" i="28" s="1"/>
  <c r="MD11" i="29"/>
  <c r="B148" i="28" s="1"/>
  <c r="JT11" i="29"/>
  <c r="IO15" i="29"/>
  <c r="DS11" i="29"/>
  <c r="B64" i="28" s="1"/>
  <c r="NI11" i="29"/>
  <c r="B160" i="28" s="1"/>
  <c r="IO23" i="29"/>
  <c r="CN27" i="29"/>
  <c r="B56" i="28" s="1"/>
  <c r="KY11" i="29"/>
  <c r="ON11" i="29"/>
  <c r="B172" i="28" s="1"/>
  <c r="MD15" i="29"/>
  <c r="B149" i="28" s="1"/>
  <c r="HJ11" i="29"/>
  <c r="MD51" i="29"/>
  <c r="B158" i="28" s="1"/>
  <c r="IO11" i="29"/>
  <c r="HJ19" i="29"/>
  <c r="EY23" i="29"/>
  <c r="B79" i="28" s="1"/>
  <c r="GE15" i="29"/>
  <c r="B89" i="28" s="1"/>
  <c r="PS51" i="29"/>
  <c r="B194" i="28" s="1"/>
  <c r="JT31" i="29"/>
  <c r="BI47" i="29"/>
  <c r="B49" i="28" s="1"/>
  <c r="PS47" i="29"/>
  <c r="B193" i="28" s="1"/>
  <c r="MD23" i="29"/>
  <c r="B151" i="28" s="1"/>
  <c r="GE39" i="29"/>
  <c r="B95" i="28" s="1"/>
  <c r="PS39" i="29"/>
  <c r="B191" i="28" s="1"/>
  <c r="IO51" i="29"/>
  <c r="PS27" i="29"/>
  <c r="B188" i="28" s="1"/>
  <c r="DS35" i="29"/>
  <c r="B70" i="28" s="1"/>
  <c r="HJ43" i="29"/>
  <c r="EY43" i="29"/>
  <c r="B84" i="28" s="1"/>
  <c r="JT47" i="29"/>
  <c r="NI19" i="29"/>
  <c r="B162" i="28" s="1"/>
  <c r="KY27" i="29"/>
  <c r="EY31" i="29"/>
  <c r="B81" i="28" s="1"/>
  <c r="CN39" i="29"/>
  <c r="B59" i="28" s="1"/>
  <c r="BI43" i="29"/>
  <c r="B48" i="28" s="1"/>
  <c r="PS43" i="29"/>
  <c r="B192" i="28" s="1"/>
  <c r="KY47" i="29"/>
  <c r="ON15" i="29"/>
  <c r="B173" i="28" s="1"/>
  <c r="IO19" i="29"/>
  <c r="CN23" i="29"/>
  <c r="B55" i="28" s="1"/>
  <c r="ON35" i="29"/>
  <c r="B178" i="28" s="1"/>
  <c r="DS51" i="29"/>
  <c r="B74" i="28" s="1"/>
  <c r="HJ23" i="29"/>
  <c r="GE27" i="29"/>
  <c r="B92" i="28" s="1"/>
  <c r="DS31" i="29"/>
  <c r="B69" i="28" s="1"/>
  <c r="NI31" i="29"/>
  <c r="B165" i="28" s="1"/>
  <c r="DS39" i="29"/>
  <c r="B71" i="28" s="1"/>
  <c r="EY47" i="29"/>
  <c r="B85" i="28" s="1"/>
  <c r="EY15" i="29"/>
  <c r="B77" i="28" s="1"/>
  <c r="DS19" i="29"/>
  <c r="B66" i="28" s="1"/>
  <c r="EY51" i="29"/>
  <c r="B86" i="28" s="1"/>
  <c r="BI27" i="29"/>
  <c r="B44" i="28" s="1"/>
  <c r="ON31" i="29"/>
  <c r="B177" i="28" s="1"/>
  <c r="KY43" i="29"/>
  <c r="GE47" i="29"/>
  <c r="B97" i="28" s="1"/>
  <c r="JT35" i="29"/>
  <c r="NI39" i="29"/>
  <c r="B167" i="28" s="1"/>
  <c r="MD43" i="29"/>
  <c r="B156" i="28" s="1"/>
  <c r="ON47" i="29"/>
  <c r="B181" i="28" s="1"/>
  <c r="C183" i="28" l="1"/>
  <c r="C171" i="28"/>
  <c r="C159" i="28"/>
  <c r="C147" i="28"/>
  <c r="C15" i="28" s="1"/>
  <c r="I15" i="28" s="1"/>
  <c r="C63" i="28"/>
  <c r="C51" i="28"/>
  <c r="C39" i="28"/>
  <c r="C6" i="28" s="1"/>
  <c r="I6" i="28" s="1"/>
  <c r="C87" i="28"/>
  <c r="C10" i="28" s="1"/>
  <c r="C75" i="28"/>
  <c r="QX55" i="29"/>
  <c r="HJ55" i="29"/>
  <c r="JT55" i="29"/>
  <c r="NI55" i="29"/>
  <c r="GE55" i="29"/>
  <c r="DS55" i="29"/>
  <c r="PS55" i="29"/>
  <c r="EY55" i="29"/>
  <c r="IO55" i="29"/>
  <c r="MD55" i="29"/>
  <c r="CN55" i="29"/>
  <c r="KY55" i="29"/>
  <c r="BI55" i="29"/>
  <c r="ON55" i="29"/>
  <c r="C18" i="28" l="1"/>
  <c r="I18" i="28" s="1"/>
  <c r="I16" i="28"/>
  <c r="C16" i="28"/>
  <c r="C17" i="28"/>
  <c r="I17" i="28" s="1"/>
  <c r="C9" i="28"/>
  <c r="I9" i="28" s="1"/>
  <c r="C8" i="28"/>
  <c r="I8" i="28" s="1"/>
  <c r="I10" i="28"/>
  <c r="I11" i="28"/>
  <c r="C7" i="28"/>
  <c r="I7" i="28" s="1"/>
  <c r="CR4" i="29"/>
  <c r="MH4" i="29"/>
  <c r="GI4" i="29"/>
  <c r="BM4" i="29"/>
  <c r="OR4" i="29"/>
  <c r="FD4" i="29"/>
  <c r="IS4" i="29"/>
  <c r="NM4" i="29"/>
  <c r="AH4" i="29"/>
  <c r="PW4" i="29"/>
  <c r="JX4" i="29"/>
  <c r="LC4" i="29"/>
  <c r="HN4" i="29"/>
  <c r="DX4" i="29"/>
  <c r="AC54" i="15"/>
  <c r="AC53" i="15"/>
  <c r="AC52" i="15"/>
  <c r="AC51" i="15"/>
  <c r="AC50" i="15"/>
  <c r="AC49" i="15"/>
  <c r="AC48" i="15"/>
  <c r="AC47" i="15"/>
  <c r="AC46" i="15"/>
  <c r="AC45" i="15"/>
  <c r="AC44" i="15"/>
  <c r="AC43" i="15"/>
  <c r="AC42" i="15"/>
  <c r="AC41" i="15"/>
  <c r="AC40" i="15"/>
  <c r="AC39" i="15"/>
  <c r="AC38" i="15"/>
  <c r="AC37" i="15"/>
  <c r="AC36" i="15"/>
  <c r="AC35" i="15"/>
  <c r="AC34" i="15"/>
  <c r="AC33" i="15"/>
  <c r="AC32" i="15"/>
  <c r="AC31" i="15"/>
  <c r="AC30" i="15"/>
  <c r="AC29" i="15"/>
  <c r="AC28" i="15"/>
  <c r="AC27" i="15"/>
  <c r="AC26" i="15"/>
  <c r="AC25" i="15"/>
  <c r="AC24" i="15"/>
  <c r="AC23" i="15"/>
  <c r="AC22" i="15"/>
  <c r="AC21" i="15"/>
  <c r="AC20" i="15"/>
  <c r="AC19" i="15"/>
  <c r="AC18" i="15"/>
  <c r="AC17" i="15"/>
  <c r="AC16" i="15"/>
  <c r="AC15" i="15"/>
  <c r="AC14" i="15"/>
  <c r="AC13" i="15"/>
  <c r="AC12" i="15"/>
  <c r="AC11" i="15"/>
  <c r="AC10" i="15"/>
  <c r="AC9" i="15"/>
  <c r="AC8" i="15"/>
  <c r="AC7" i="15"/>
  <c r="AA54" i="22"/>
  <c r="AC54" i="22" s="1"/>
  <c r="AA53" i="22"/>
  <c r="AC53" i="22" s="1"/>
  <c r="AA52" i="22"/>
  <c r="AC52" i="22" s="1"/>
  <c r="AA51" i="22"/>
  <c r="AC51" i="22" s="1"/>
  <c r="AA50" i="22"/>
  <c r="AC50" i="22" s="1"/>
  <c r="AA49" i="22"/>
  <c r="AC49" i="22" s="1"/>
  <c r="AA48" i="22"/>
  <c r="AC48" i="22" s="1"/>
  <c r="AA47" i="22"/>
  <c r="AC47" i="22" s="1"/>
  <c r="AA46" i="22"/>
  <c r="AC46" i="22" s="1"/>
  <c r="AA45" i="22"/>
  <c r="AC45" i="22" s="1"/>
  <c r="AA44" i="22"/>
  <c r="AC44" i="22" s="1"/>
  <c r="AA43" i="22"/>
  <c r="AC43" i="22" s="1"/>
  <c r="AA42" i="22"/>
  <c r="AC42" i="22" s="1"/>
  <c r="AA41" i="22"/>
  <c r="AC41" i="22" s="1"/>
  <c r="AA40" i="22"/>
  <c r="AC40" i="22" s="1"/>
  <c r="AA39" i="22"/>
  <c r="AC39" i="22" s="1"/>
  <c r="AA38" i="22"/>
  <c r="AC38" i="22" s="1"/>
  <c r="AA37" i="22"/>
  <c r="AC37" i="22" s="1"/>
  <c r="AA36" i="22"/>
  <c r="AC36" i="22" s="1"/>
  <c r="AA35" i="22"/>
  <c r="AC35" i="22" s="1"/>
  <c r="AA34" i="22"/>
  <c r="AC34" i="22" s="1"/>
  <c r="AA33" i="22"/>
  <c r="AC33" i="22" s="1"/>
  <c r="AA32" i="22"/>
  <c r="AC32" i="22" s="1"/>
  <c r="AA31" i="22"/>
  <c r="AC31" i="22" s="1"/>
  <c r="AA30" i="22"/>
  <c r="AC30" i="22" s="1"/>
  <c r="AA29" i="22"/>
  <c r="AC29" i="22" s="1"/>
  <c r="AA28" i="22"/>
  <c r="AC28" i="22" s="1"/>
  <c r="AA27" i="22"/>
  <c r="AC27" i="22" s="1"/>
  <c r="AA26" i="22"/>
  <c r="AC26" i="22" s="1"/>
  <c r="AA25" i="22"/>
  <c r="AC25" i="22" s="1"/>
  <c r="AA24" i="22"/>
  <c r="AC24" i="22" s="1"/>
  <c r="AA23" i="22"/>
  <c r="AC23" i="22" s="1"/>
  <c r="AA22" i="22"/>
  <c r="AC22" i="22" s="1"/>
  <c r="AA21" i="22"/>
  <c r="AC21" i="22" s="1"/>
  <c r="AA20" i="22"/>
  <c r="AC20" i="22" s="1"/>
  <c r="AA19" i="22"/>
  <c r="AC19" i="22" s="1"/>
  <c r="AA18" i="22"/>
  <c r="AC18" i="22" s="1"/>
  <c r="AA17" i="22"/>
  <c r="AC17" i="22" s="1"/>
  <c r="AA16" i="22"/>
  <c r="AC16" i="22" s="1"/>
  <c r="AA15" i="22"/>
  <c r="AC15" i="22" s="1"/>
  <c r="AA14" i="22"/>
  <c r="AC14" i="22" s="1"/>
  <c r="AA13" i="22"/>
  <c r="AC13" i="22" s="1"/>
  <c r="AA12" i="22"/>
  <c r="AC12" i="22" s="1"/>
  <c r="AA11" i="22"/>
  <c r="AC11" i="22" s="1"/>
  <c r="AA10" i="22"/>
  <c r="AC10" i="22" s="1"/>
  <c r="AA9" i="22"/>
  <c r="AC9" i="22" s="1"/>
  <c r="AA8" i="22"/>
  <c r="AC8" i="22" s="1"/>
  <c r="AA7" i="22"/>
  <c r="AC7" i="22" s="1"/>
  <c r="C20" i="28" l="1"/>
  <c r="AD23" i="15"/>
  <c r="AD35" i="15"/>
  <c r="AD11" i="15"/>
  <c r="AD47" i="15"/>
  <c r="AD15" i="15"/>
  <c r="AD27" i="15"/>
  <c r="AD39" i="15"/>
  <c r="AD51" i="15"/>
  <c r="AD7" i="15"/>
  <c r="AD19" i="15"/>
  <c r="AD31" i="15"/>
  <c r="AD43" i="15"/>
  <c r="AD43" i="22"/>
  <c r="D15" i="21" s="1"/>
  <c r="AD31" i="22"/>
  <c r="D12" i="21" s="1"/>
  <c r="AD19" i="22"/>
  <c r="D9" i="21" s="1"/>
  <c r="AD11" i="22"/>
  <c r="D7" i="21" s="1"/>
  <c r="AD23" i="22"/>
  <c r="D10" i="21" s="1"/>
  <c r="AD27" i="22"/>
  <c r="D11" i="21" s="1"/>
  <c r="AD39" i="22"/>
  <c r="D14" i="21" s="1"/>
  <c r="AD47" i="22"/>
  <c r="D16" i="21" s="1"/>
  <c r="AD7" i="22"/>
  <c r="AD15" i="22"/>
  <c r="D8" i="21" s="1"/>
  <c r="AD51" i="22"/>
  <c r="D17" i="21" s="1"/>
  <c r="AD35" i="22"/>
  <c r="D13" i="21" s="1"/>
  <c r="AD55" i="15" l="1"/>
  <c r="C4" i="15" s="1"/>
  <c r="AD55" i="22"/>
  <c r="C4" i="22" s="1"/>
  <c r="D6" i="21"/>
  <c r="D18" i="21" s="1"/>
  <c r="AA54" i="17" l="1"/>
  <c r="AC54" i="17" s="1"/>
  <c r="AA53" i="17"/>
  <c r="AC53" i="17" s="1"/>
  <c r="AA52" i="17"/>
  <c r="AC52" i="17" s="1"/>
  <c r="AA51" i="17"/>
  <c r="AC51" i="17" s="1"/>
  <c r="AA50" i="17"/>
  <c r="AC50" i="17" s="1"/>
  <c r="AA49" i="17"/>
  <c r="AC49" i="17" s="1"/>
  <c r="AA48" i="17"/>
  <c r="AC48" i="17" s="1"/>
  <c r="AA47" i="17"/>
  <c r="AC47" i="17" s="1"/>
  <c r="AA46" i="17"/>
  <c r="AC46" i="17" s="1"/>
  <c r="AA45" i="17"/>
  <c r="AC45" i="17" s="1"/>
  <c r="AA44" i="17"/>
  <c r="AC44" i="17" s="1"/>
  <c r="AA43" i="17"/>
  <c r="AC43" i="17" s="1"/>
  <c r="AA42" i="17"/>
  <c r="AC42" i="17" s="1"/>
  <c r="AA41" i="17"/>
  <c r="AC41" i="17" s="1"/>
  <c r="AA40" i="17"/>
  <c r="AC40" i="17" s="1"/>
  <c r="AA39" i="17"/>
  <c r="AC39" i="17" s="1"/>
  <c r="AA38" i="17"/>
  <c r="AC38" i="17" s="1"/>
  <c r="AA37" i="17"/>
  <c r="AC37" i="17" s="1"/>
  <c r="AA36" i="17"/>
  <c r="AC36" i="17" s="1"/>
  <c r="AA35" i="17"/>
  <c r="AC35" i="17" s="1"/>
  <c r="AA34" i="17"/>
  <c r="AC34" i="17" s="1"/>
  <c r="AA33" i="17"/>
  <c r="AC33" i="17" s="1"/>
  <c r="AA32" i="17"/>
  <c r="AC32" i="17" s="1"/>
  <c r="AA31" i="17"/>
  <c r="AC31" i="17" s="1"/>
  <c r="AA30" i="17"/>
  <c r="AC30" i="17" s="1"/>
  <c r="AA29" i="17"/>
  <c r="AC29" i="17" s="1"/>
  <c r="AA28" i="17"/>
  <c r="AC28" i="17" s="1"/>
  <c r="AA27" i="17"/>
  <c r="AC27" i="17" s="1"/>
  <c r="AA26" i="17"/>
  <c r="AC26" i="17" s="1"/>
  <c r="AA25" i="17"/>
  <c r="AC25" i="17" s="1"/>
  <c r="AA24" i="17"/>
  <c r="AC24" i="17" s="1"/>
  <c r="AA23" i="17"/>
  <c r="AC23" i="17" s="1"/>
  <c r="AA22" i="17"/>
  <c r="AC22" i="17" s="1"/>
  <c r="AA21" i="17"/>
  <c r="AC21" i="17" s="1"/>
  <c r="AA20" i="17"/>
  <c r="AC20" i="17" s="1"/>
  <c r="AA19" i="17"/>
  <c r="AC19" i="17" s="1"/>
  <c r="AA18" i="17"/>
  <c r="AC18" i="17" s="1"/>
  <c r="AA17" i="17"/>
  <c r="AC17" i="17" s="1"/>
  <c r="AA16" i="17"/>
  <c r="AC16" i="17" s="1"/>
  <c r="AA15" i="17"/>
  <c r="AC15" i="17" s="1"/>
  <c r="AA14" i="17"/>
  <c r="AC14" i="17" s="1"/>
  <c r="AA13" i="17"/>
  <c r="AC13" i="17" s="1"/>
  <c r="AA12" i="17"/>
  <c r="AC12" i="17" s="1"/>
  <c r="AA11" i="17"/>
  <c r="AC11" i="17" s="1"/>
  <c r="AA10" i="17"/>
  <c r="AC10" i="17" s="1"/>
  <c r="AA9" i="17"/>
  <c r="AC9" i="17" s="1"/>
  <c r="AA8" i="17"/>
  <c r="AC8" i="17" s="1"/>
  <c r="AA7" i="17"/>
  <c r="AC7" i="17" s="1"/>
  <c r="AD35" i="17" l="1"/>
  <c r="D13" i="16" s="1"/>
  <c r="AD15" i="17"/>
  <c r="D8" i="16" s="1"/>
  <c r="AD27" i="17"/>
  <c r="D11" i="16" s="1"/>
  <c r="AD7" i="17"/>
  <c r="D6" i="16" s="1"/>
  <c r="AD51" i="17"/>
  <c r="D17" i="16" s="1"/>
  <c r="AD19" i="17"/>
  <c r="D9" i="16" s="1"/>
  <c r="AD43" i="17"/>
  <c r="D15" i="16" s="1"/>
  <c r="AD23" i="17"/>
  <c r="D10" i="16" s="1"/>
  <c r="AD47" i="17"/>
  <c r="D16" i="16" s="1"/>
  <c r="AD39" i="17"/>
  <c r="D14" i="16" s="1"/>
  <c r="AD11" i="17"/>
  <c r="D7" i="16" s="1"/>
  <c r="AD31" i="17"/>
  <c r="D12" i="16" s="1"/>
  <c r="D18" i="16" l="1"/>
  <c r="AD55" i="17"/>
  <c r="C4" i="17" s="1"/>
  <c r="C6" i="14" l="1"/>
  <c r="C8" i="14"/>
  <c r="C14" i="14"/>
  <c r="C16" i="14"/>
  <c r="C11" i="14"/>
  <c r="C17" i="14"/>
  <c r="C15" i="14"/>
  <c r="C9" i="14"/>
  <c r="C10" i="14"/>
  <c r="C7" i="14"/>
  <c r="C13" i="14"/>
  <c r="C12" i="14" l="1"/>
  <c r="C18" i="14" s="1"/>
</calcChain>
</file>

<file path=xl/sharedStrings.xml><?xml version="1.0" encoding="utf-8"?>
<sst xmlns="http://schemas.openxmlformats.org/spreadsheetml/2006/main" count="1533" uniqueCount="53">
  <si>
    <t>OFERTA PRODUCTO 1</t>
  </si>
  <si>
    <t>MES</t>
  </si>
  <si>
    <t>ENERGIA  SOLICITADA (kWh)</t>
  </si>
  <si>
    <t>%</t>
  </si>
  <si>
    <t>ENERGIA  OFERTADA (kWh)</t>
  </si>
  <si>
    <t>PRECIO $/kWh</t>
  </si>
  <si>
    <t>$/kWh</t>
  </si>
  <si>
    <t>OFERTA PRODUCTO 2</t>
  </si>
  <si>
    <t>ENERGIA  SOLICITADA (KWh)</t>
  </si>
  <si>
    <t>ENERGIA  OFERTADA (KWh)</t>
  </si>
  <si>
    <t xml:space="preserve">TOTAL </t>
  </si>
  <si>
    <t>DÍA</t>
  </si>
  <si>
    <t>HORA 01</t>
  </si>
  <si>
    <t>HORA 02</t>
  </si>
  <si>
    <t>HORA 03</t>
  </si>
  <si>
    <t>HORA 04</t>
  </si>
  <si>
    <t>HORA 05</t>
  </si>
  <si>
    <t>HORA 06</t>
  </si>
  <si>
    <t>HORA 07</t>
  </si>
  <si>
    <t>HORA 08</t>
  </si>
  <si>
    <t>HORA 09</t>
  </si>
  <si>
    <t>HORA 10</t>
  </si>
  <si>
    <t>HORA 11</t>
  </si>
  <si>
    <t>HORA 12</t>
  </si>
  <si>
    <t>HORA 13</t>
  </si>
  <si>
    <t>HORA 14</t>
  </si>
  <si>
    <t>HORA 15</t>
  </si>
  <si>
    <t>HORA 16</t>
  </si>
  <si>
    <t>HORA 17</t>
  </si>
  <si>
    <t>HORA 18</t>
  </si>
  <si>
    <t>HORA 19</t>
  </si>
  <si>
    <t>HORA 20</t>
  </si>
  <si>
    <t>HORA 21</t>
  </si>
  <si>
    <t>HORA 22</t>
  </si>
  <si>
    <t>HORA 23</t>
  </si>
  <si>
    <t>HORA 24</t>
  </si>
  <si>
    <t>TOTAL DÍA</t>
  </si>
  <si>
    <t>NUMERO DÍAS</t>
  </si>
  <si>
    <t>TOTAL DÍA MES</t>
  </si>
  <si>
    <t>TOTAL MES</t>
  </si>
  <si>
    <t>Hábil</t>
  </si>
  <si>
    <t>Sábado</t>
  </si>
  <si>
    <t>Domingo</t>
  </si>
  <si>
    <t>Festivo</t>
  </si>
  <si>
    <t>* La energia a ofertar debe ser expresada únicamente en kilovatio (kWh) redondeado a cero decimales</t>
  </si>
  <si>
    <t>AÑO</t>
  </si>
  <si>
    <t>DIAS DE SUMINISTRO</t>
  </si>
  <si>
    <t>ENERGIA DIARIA SOLICITADA (kWh-DIA)</t>
  </si>
  <si>
    <t xml:space="preserve">PRECIO $/kWh </t>
  </si>
  <si>
    <t>TOTAL ENERGIA</t>
  </si>
  <si>
    <t>OFERTA PRODUCTO 4</t>
  </si>
  <si>
    <t>OFERTA PRODUCTO 3</t>
  </si>
  <si>
    <t>Curva de distribucion en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</si>
</sst>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1" formatCode="_-* #,##0_-;\-* #,##0_-;_-* &quot;-&quot;_-;_-@_-"/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-* #,##0_-;\-* #,##0_-;_-* &quot;-&quot;??_-;_-@_-"/>
    <numFmt numFmtId="166" formatCode="_(* #,##0.00_);_(* \(#,##0.00\);_(* &quot;-&quot;??_);_(@_)"/>
    <numFmt numFmtId="167" formatCode="[$-C0A]mmm\-yy;@"/>
    <numFmt numFmtId="168" formatCode="_(* #,##0_);_(* \(#,##0\);_(* &quot;-&quot;??_);_(@_)"/>
    <numFmt numFmtId="169" formatCode="[$-C0A]dd\-mmm\-yy;@"/>
    <numFmt numFmtId="170" formatCode="0_);\(0\)"/>
    <numFmt numFmtId="171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8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6"/>
        </stop>
      </gradientFill>
    </fill>
    <fill>
      <patternFill patternType="solid">
        <fgColor theme="6" tint="0.79998168889431442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rgb="FFC5E0B3"/>
      </patternFill>
    </fill>
    <fill>
      <patternFill patternType="solid">
        <fgColor theme="0" tint="-0.249977111117893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DotDot">
        <color auto="1"/>
      </left>
      <right/>
      <top style="dashDotDot">
        <color auto="1"/>
      </top>
      <bottom style="dashDotDot">
        <color auto="1"/>
      </bottom>
      <diagonal/>
    </border>
    <border>
      <left/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dashDotDot">
        <color auto="1"/>
      </left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dashDotDot">
        <color indexed="64"/>
      </left>
      <right style="hair">
        <color indexed="64"/>
      </right>
      <top style="dashDotDot">
        <color indexed="64"/>
      </top>
      <bottom/>
      <diagonal/>
    </border>
    <border>
      <left style="hair">
        <color indexed="64"/>
      </left>
      <right style="hair">
        <color indexed="64"/>
      </right>
      <top style="dashDotDot">
        <color auto="1"/>
      </top>
      <bottom style="hair">
        <color indexed="64"/>
      </bottom>
      <diagonal/>
    </border>
    <border>
      <left style="hair">
        <color indexed="64"/>
      </left>
      <right style="dashDotDot">
        <color indexed="64"/>
      </right>
      <top style="dashDotDot">
        <color indexed="64"/>
      </top>
      <bottom style="hair">
        <color indexed="64"/>
      </bottom>
      <diagonal/>
    </border>
    <border>
      <left style="dashDotDot">
        <color indexed="64"/>
      </left>
      <right style="dashDotDot">
        <color indexed="64"/>
      </right>
      <top style="dashDotDot">
        <color indexed="64"/>
      </top>
      <bottom/>
      <diagonal/>
    </border>
    <border>
      <left style="dashDotDot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ashDotDot">
        <color auto="1"/>
      </left>
      <right style="dashDotDot">
        <color auto="1"/>
      </right>
      <top/>
      <bottom/>
      <diagonal/>
    </border>
    <border>
      <left style="dashDotDot">
        <color indexed="64"/>
      </left>
      <right style="hair">
        <color indexed="64"/>
      </right>
      <top/>
      <bottom style="dashDotDot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Dot">
        <color indexed="64"/>
      </bottom>
      <diagonal/>
    </border>
    <border>
      <left style="dashDotDot">
        <color indexed="64"/>
      </left>
      <right style="dashDotDot">
        <color indexed="64"/>
      </right>
      <top/>
      <bottom style="dashDot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dashDotDot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dashDotDot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dashDotDot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5" fillId="0" borderId="0"/>
    <xf numFmtId="0" fontId="5" fillId="0" borderId="0"/>
    <xf numFmtId="17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5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52">
    <xf numFmtId="0" fontId="0" fillId="0" borderId="0" xfId="0"/>
    <xf numFmtId="17" fontId="0" fillId="0" borderId="5" xfId="0" applyNumberFormat="1" applyBorder="1" applyAlignment="1">
      <alignment horizontal="left"/>
    </xf>
    <xf numFmtId="2" fontId="0" fillId="0" borderId="6" xfId="0" applyNumberFormat="1" applyBorder="1" applyAlignment="1">
      <alignment horizontal="center" vertical="center"/>
    </xf>
    <xf numFmtId="17" fontId="0" fillId="0" borderId="10" xfId="0" applyNumberFormat="1" applyBorder="1" applyAlignment="1">
      <alignment horizontal="left"/>
    </xf>
    <xf numFmtId="2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7" fontId="0" fillId="0" borderId="5" xfId="0" applyNumberFormat="1" applyBorder="1" applyAlignment="1">
      <alignment horizontal="center"/>
    </xf>
    <xf numFmtId="165" fontId="0" fillId="0" borderId="6" xfId="1" applyNumberFormat="1" applyFont="1" applyBorder="1"/>
    <xf numFmtId="17" fontId="0" fillId="0" borderId="10" xfId="0" applyNumberFormat="1" applyBorder="1" applyAlignment="1">
      <alignment horizontal="center"/>
    </xf>
    <xf numFmtId="165" fontId="0" fillId="0" borderId="11" xfId="1" applyNumberFormat="1" applyFont="1" applyBorder="1"/>
    <xf numFmtId="0" fontId="0" fillId="0" borderId="11" xfId="0" applyBorder="1"/>
    <xf numFmtId="165" fontId="0" fillId="0" borderId="0" xfId="0" applyNumberFormat="1"/>
    <xf numFmtId="167" fontId="3" fillId="4" borderId="18" xfId="2" applyNumberFormat="1" applyFont="1" applyFill="1" applyBorder="1" applyAlignment="1">
      <alignment horizontal="center" vertical="center" wrapText="1"/>
    </xf>
    <xf numFmtId="169" fontId="3" fillId="4" borderId="18" xfId="2" applyNumberFormat="1" applyFont="1" applyFill="1" applyBorder="1" applyAlignment="1">
      <alignment horizontal="center" vertical="center" wrapText="1"/>
    </xf>
    <xf numFmtId="167" fontId="3" fillId="0" borderId="18" xfId="2" applyNumberFormat="1" applyFont="1" applyFill="1" applyBorder="1" applyAlignment="1">
      <alignment horizontal="center" vertical="center" wrapText="1"/>
    </xf>
    <xf numFmtId="1" fontId="3" fillId="0" borderId="18" xfId="2" applyNumberFormat="1" applyFont="1" applyFill="1" applyBorder="1" applyAlignment="1">
      <alignment horizontal="center" vertical="center" wrapText="1"/>
    </xf>
    <xf numFmtId="169" fontId="4" fillId="0" borderId="20" xfId="2" applyNumberFormat="1" applyFont="1" applyBorder="1" applyAlignment="1">
      <alignment horizontal="center" vertical="center" wrapText="1"/>
    </xf>
    <xf numFmtId="168" fontId="4" fillId="0" borderId="20" xfId="2" applyNumberFormat="1" applyFont="1" applyBorder="1" applyAlignment="1">
      <alignment vertical="center" wrapText="1"/>
    </xf>
    <xf numFmtId="168" fontId="4" fillId="0" borderId="21" xfId="2" applyNumberFormat="1" applyFont="1" applyBorder="1" applyAlignment="1">
      <alignment vertical="center" wrapText="1"/>
    </xf>
    <xf numFmtId="170" fontId="4" fillId="0" borderId="21" xfId="2" applyNumberFormat="1" applyFont="1" applyBorder="1" applyAlignment="1">
      <alignment horizontal="center" vertical="center" wrapText="1"/>
    </xf>
    <xf numFmtId="169" fontId="4" fillId="0" borderId="24" xfId="2" applyNumberFormat="1" applyFont="1" applyBorder="1" applyAlignment="1">
      <alignment horizontal="center" vertical="center" wrapText="1"/>
    </xf>
    <xf numFmtId="169" fontId="4" fillId="0" borderId="27" xfId="2" applyNumberFormat="1" applyFont="1" applyBorder="1" applyAlignment="1">
      <alignment horizontal="center" vertical="center" wrapText="1"/>
    </xf>
    <xf numFmtId="43" fontId="0" fillId="0" borderId="0" xfId="1" applyFont="1"/>
    <xf numFmtId="43" fontId="0" fillId="0" borderId="0" xfId="0" applyNumberFormat="1"/>
    <xf numFmtId="0" fontId="0" fillId="6" borderId="0" xfId="0" applyFill="1"/>
    <xf numFmtId="165" fontId="0" fillId="0" borderId="0" xfId="1" applyNumberFormat="1" applyFont="1"/>
    <xf numFmtId="3" fontId="0" fillId="0" borderId="0" xfId="0" applyNumberFormat="1"/>
    <xf numFmtId="0" fontId="7" fillId="7" borderId="29" xfId="4" applyFont="1" applyFill="1" applyBorder="1" applyAlignment="1">
      <alignment horizontal="center" vertical="center" wrapText="1" readingOrder="1"/>
    </xf>
    <xf numFmtId="0" fontId="0" fillId="0" borderId="0" xfId="0" applyAlignment="1">
      <alignment wrapText="1"/>
    </xf>
    <xf numFmtId="168" fontId="2" fillId="3" borderId="0" xfId="0" applyNumberFormat="1" applyFont="1" applyFill="1"/>
    <xf numFmtId="166" fontId="0" fillId="0" borderId="0" xfId="0" applyNumberFormat="1"/>
    <xf numFmtId="168" fontId="3" fillId="5" borderId="16" xfId="2" applyNumberFormat="1" applyFont="1" applyFill="1" applyBorder="1" applyAlignment="1">
      <alignment horizontal="center" vertical="center" wrapText="1"/>
    </xf>
    <xf numFmtId="168" fontId="3" fillId="5" borderId="17" xfId="2" applyNumberFormat="1" applyFont="1" applyFill="1" applyBorder="1" applyAlignment="1">
      <alignment horizontal="center" vertical="center" wrapText="1"/>
    </xf>
    <xf numFmtId="168" fontId="0" fillId="0" borderId="0" xfId="0" applyNumberFormat="1"/>
    <xf numFmtId="0" fontId="0" fillId="0" borderId="6" xfId="1" applyNumberFormat="1" applyFont="1" applyBorder="1" applyAlignment="1">
      <alignment horizontal="center" vertical="center"/>
    </xf>
    <xf numFmtId="165" fontId="3" fillId="4" borderId="18" xfId="1" applyNumberFormat="1" applyFont="1" applyFill="1" applyBorder="1" applyAlignment="1">
      <alignment horizontal="center" vertical="center" wrapText="1"/>
    </xf>
    <xf numFmtId="170" fontId="4" fillId="0" borderId="32" xfId="2" applyNumberFormat="1" applyFont="1" applyBorder="1" applyAlignment="1">
      <alignment horizontal="center" vertical="center" wrapText="1"/>
    </xf>
    <xf numFmtId="170" fontId="4" fillId="0" borderId="33" xfId="2" applyNumberFormat="1" applyFont="1" applyBorder="1" applyAlignment="1">
      <alignment horizontal="center" vertical="center" wrapText="1"/>
    </xf>
    <xf numFmtId="170" fontId="4" fillId="0" borderId="34" xfId="2" applyNumberFormat="1" applyFont="1" applyBorder="1" applyAlignment="1">
      <alignment horizontal="center" vertical="center" wrapText="1"/>
    </xf>
    <xf numFmtId="170" fontId="4" fillId="0" borderId="35" xfId="2" applyNumberFormat="1" applyFont="1" applyBorder="1" applyAlignment="1">
      <alignment horizontal="center" vertical="center" wrapText="1"/>
    </xf>
    <xf numFmtId="170" fontId="4" fillId="0" borderId="36" xfId="2" applyNumberFormat="1" applyFont="1" applyBorder="1" applyAlignment="1">
      <alignment horizontal="center" vertical="center" wrapText="1"/>
    </xf>
    <xf numFmtId="170" fontId="4" fillId="0" borderId="0" xfId="2" applyNumberFormat="1" applyFont="1" applyBorder="1" applyAlignment="1">
      <alignment horizontal="center" vertical="center" wrapText="1"/>
    </xf>
    <xf numFmtId="170" fontId="0" fillId="0" borderId="0" xfId="0" applyNumberFormat="1"/>
    <xf numFmtId="0" fontId="7" fillId="7" borderId="37" xfId="4" applyFont="1" applyFill="1" applyBorder="1" applyAlignment="1">
      <alignment horizontal="center" vertical="center" wrapText="1" readingOrder="1"/>
    </xf>
    <xf numFmtId="0" fontId="4" fillId="0" borderId="33" xfId="2" applyNumberFormat="1" applyFont="1" applyBorder="1" applyAlignment="1">
      <alignment horizontal="center" vertical="center" wrapText="1"/>
    </xf>
    <xf numFmtId="0" fontId="4" fillId="0" borderId="32" xfId="2" applyNumberFormat="1" applyFont="1" applyBorder="1" applyAlignment="1">
      <alignment horizontal="center" vertical="center" wrapText="1"/>
    </xf>
    <xf numFmtId="0" fontId="4" fillId="0" borderId="34" xfId="2" applyNumberFormat="1" applyFont="1" applyBorder="1" applyAlignment="1">
      <alignment horizontal="center" vertical="center" wrapText="1"/>
    </xf>
    <xf numFmtId="3" fontId="4" fillId="0" borderId="32" xfId="2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1" applyNumberFormat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1" applyNumberFormat="1" applyFont="1" applyBorder="1" applyAlignment="1">
      <alignment horizontal="center" vertical="center"/>
    </xf>
    <xf numFmtId="165" fontId="2" fillId="3" borderId="14" xfId="0" applyNumberFormat="1" applyFont="1" applyFill="1" applyBorder="1"/>
    <xf numFmtId="43" fontId="2" fillId="0" borderId="4" xfId="1" applyFont="1" applyBorder="1" applyAlignment="1">
      <alignment horizontal="center" vertical="center"/>
    </xf>
    <xf numFmtId="43" fontId="2" fillId="0" borderId="30" xfId="1" applyFont="1" applyBorder="1" applyAlignment="1">
      <alignment horizontal="center" vertical="center"/>
    </xf>
    <xf numFmtId="43" fontId="2" fillId="0" borderId="31" xfId="1" applyFont="1" applyBorder="1" applyAlignment="1">
      <alignment horizontal="center" vertical="center"/>
    </xf>
    <xf numFmtId="165" fontId="0" fillId="0" borderId="15" xfId="1" applyNumberFormat="1" applyFont="1" applyBorder="1"/>
    <xf numFmtId="17" fontId="0" fillId="0" borderId="2" xfId="0" applyNumberFormat="1" applyBorder="1" applyAlignment="1">
      <alignment horizontal="left"/>
    </xf>
    <xf numFmtId="165" fontId="0" fillId="0" borderId="38" xfId="1" applyNumberFormat="1" applyFont="1" applyBorder="1"/>
    <xf numFmtId="0" fontId="0" fillId="6" borderId="0" xfId="0" applyFill="1" applyAlignment="1">
      <alignment horizontal="left"/>
    </xf>
    <xf numFmtId="167" fontId="3" fillId="4" borderId="18" xfId="2" applyNumberFormat="1" applyFont="1" applyFill="1" applyBorder="1" applyAlignment="1">
      <alignment horizontal="left" vertical="center" wrapText="1"/>
    </xf>
    <xf numFmtId="169" fontId="3" fillId="4" borderId="18" xfId="2" applyNumberFormat="1" applyFont="1" applyFill="1" applyBorder="1" applyAlignment="1">
      <alignment horizontal="left" vertical="center" wrapText="1"/>
    </xf>
    <xf numFmtId="167" fontId="3" fillId="6" borderId="18" xfId="2" applyNumberFormat="1" applyFont="1" applyFill="1" applyBorder="1" applyAlignment="1">
      <alignment horizontal="left" vertical="center" wrapText="1"/>
    </xf>
    <xf numFmtId="1" fontId="3" fillId="6" borderId="18" xfId="2" applyNumberFormat="1" applyFont="1" applyFill="1" applyBorder="1" applyAlignment="1">
      <alignment horizontal="left" vertical="center" wrapText="1"/>
    </xf>
    <xf numFmtId="169" fontId="4" fillId="6" borderId="20" xfId="2" applyNumberFormat="1" applyFont="1" applyFill="1" applyBorder="1" applyAlignment="1">
      <alignment horizontal="left" vertical="center" wrapText="1"/>
    </xf>
    <xf numFmtId="168" fontId="4" fillId="6" borderId="21" xfId="2" applyNumberFormat="1" applyFont="1" applyFill="1" applyBorder="1" applyAlignment="1">
      <alignment horizontal="left" vertical="center" wrapText="1"/>
    </xf>
    <xf numFmtId="170" fontId="4" fillId="6" borderId="21" xfId="2" applyNumberFormat="1" applyFont="1" applyFill="1" applyBorder="1" applyAlignment="1">
      <alignment horizontal="left" vertical="center" wrapText="1"/>
    </xf>
    <xf numFmtId="169" fontId="4" fillId="6" borderId="24" xfId="2" applyNumberFormat="1" applyFont="1" applyFill="1" applyBorder="1" applyAlignment="1">
      <alignment horizontal="left" vertical="center" wrapText="1"/>
    </xf>
    <xf numFmtId="169" fontId="4" fillId="6" borderId="27" xfId="2" applyNumberFormat="1" applyFont="1" applyFill="1" applyBorder="1" applyAlignment="1">
      <alignment horizontal="left" vertical="center" wrapText="1"/>
    </xf>
    <xf numFmtId="169" fontId="4" fillId="0" borderId="20" xfId="2" applyNumberFormat="1" applyFont="1" applyBorder="1" applyAlignment="1">
      <alignment horizontal="left" vertical="center" wrapText="1"/>
    </xf>
    <xf numFmtId="168" fontId="4" fillId="0" borderId="21" xfId="2" applyNumberFormat="1" applyFont="1" applyBorder="1" applyAlignment="1">
      <alignment horizontal="left" vertical="center" wrapText="1"/>
    </xf>
    <xf numFmtId="170" fontId="4" fillId="0" borderId="21" xfId="2" applyNumberFormat="1" applyFont="1" applyBorder="1" applyAlignment="1">
      <alignment horizontal="left" vertical="center" wrapText="1"/>
    </xf>
    <xf numFmtId="169" fontId="4" fillId="0" borderId="24" xfId="2" applyNumberFormat="1" applyFont="1" applyBorder="1" applyAlignment="1">
      <alignment horizontal="left" vertical="center" wrapText="1"/>
    </xf>
    <xf numFmtId="169" fontId="4" fillId="0" borderId="27" xfId="2" applyNumberFormat="1" applyFont="1" applyBorder="1" applyAlignment="1">
      <alignment horizontal="left" vertical="center" wrapText="1"/>
    </xf>
    <xf numFmtId="168" fontId="2" fillId="3" borderId="0" xfId="0" applyNumberFormat="1" applyFont="1" applyFill="1" applyAlignment="1">
      <alignment horizontal="left"/>
    </xf>
    <xf numFmtId="165" fontId="0" fillId="6" borderId="38" xfId="1" applyNumberFormat="1" applyFont="1" applyFill="1" applyBorder="1" applyAlignment="1">
      <alignment horizontal="left"/>
    </xf>
    <xf numFmtId="165" fontId="0" fillId="6" borderId="6" xfId="1" applyNumberFormat="1" applyFont="1" applyFill="1" applyBorder="1" applyAlignment="1">
      <alignment horizontal="left"/>
    </xf>
    <xf numFmtId="165" fontId="0" fillId="6" borderId="11" xfId="1" applyNumberFormat="1" applyFont="1" applyFill="1" applyBorder="1" applyAlignment="1">
      <alignment horizontal="left"/>
    </xf>
    <xf numFmtId="170" fontId="4" fillId="8" borderId="33" xfId="2" applyNumberFormat="1" applyFont="1" applyFill="1" applyBorder="1" applyAlignment="1">
      <alignment horizontal="center" vertical="center" wrapText="1"/>
    </xf>
    <xf numFmtId="170" fontId="4" fillId="8" borderId="34" xfId="2" applyNumberFormat="1" applyFont="1" applyFill="1" applyBorder="1" applyAlignment="1">
      <alignment horizontal="center" vertical="center" wrapText="1"/>
    </xf>
    <xf numFmtId="170" fontId="4" fillId="8" borderId="32" xfId="2" applyNumberFormat="1" applyFont="1" applyFill="1" applyBorder="1" applyAlignment="1">
      <alignment horizontal="center" vertical="center" wrapText="1"/>
    </xf>
    <xf numFmtId="43" fontId="0" fillId="0" borderId="8" xfId="1" applyFont="1" applyBorder="1" applyAlignment="1">
      <alignment horizontal="center" vertical="center"/>
    </xf>
    <xf numFmtId="43" fontId="0" fillId="0" borderId="12" xfId="1" applyFont="1" applyBorder="1" applyAlignment="1">
      <alignment horizontal="center" vertical="center"/>
    </xf>
    <xf numFmtId="165" fontId="0" fillId="0" borderId="38" xfId="1" applyNumberFormat="1" applyFont="1" applyBorder="1" applyAlignment="1">
      <alignment horizontal="center" vertical="center"/>
    </xf>
    <xf numFmtId="165" fontId="0" fillId="6" borderId="44" xfId="1" applyNumberFormat="1" applyFont="1" applyFill="1" applyBorder="1" applyAlignment="1">
      <alignment horizontal="center"/>
    </xf>
    <xf numFmtId="165" fontId="0" fillId="6" borderId="6" xfId="1" applyNumberFormat="1" applyFont="1" applyFill="1" applyBorder="1" applyAlignment="1">
      <alignment horizontal="center"/>
    </xf>
    <xf numFmtId="165" fontId="0" fillId="6" borderId="6" xfId="0" applyNumberFormat="1" applyFill="1" applyBorder="1"/>
    <xf numFmtId="165" fontId="2" fillId="0" borderId="0" xfId="0" applyNumberFormat="1" applyFont="1"/>
    <xf numFmtId="0" fontId="0" fillId="0" borderId="47" xfId="0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9" fontId="0" fillId="0" borderId="1" xfId="1" applyNumberFormat="1" applyFont="1" applyBorder="1" applyAlignment="1">
      <alignment horizontal="center" vertical="center"/>
    </xf>
    <xf numFmtId="43" fontId="0" fillId="0" borderId="8" xfId="1" applyFont="1" applyBorder="1" applyAlignment="1">
      <alignment horizontal="center" vertical="center"/>
    </xf>
    <xf numFmtId="43" fontId="0" fillId="0" borderId="12" xfId="1" applyFont="1" applyBorder="1" applyAlignment="1">
      <alignment horizontal="center" vertical="center"/>
    </xf>
    <xf numFmtId="43" fontId="0" fillId="0" borderId="7" xfId="1" applyFont="1" applyBorder="1" applyAlignment="1">
      <alignment horizontal="center" vertical="center"/>
    </xf>
    <xf numFmtId="43" fontId="0" fillId="0" borderId="9" xfId="1" applyFont="1" applyBorder="1" applyAlignment="1">
      <alignment horizontal="center" vertical="center"/>
    </xf>
    <xf numFmtId="43" fontId="0" fillId="0" borderId="13" xfId="1" applyFont="1" applyBorder="1" applyAlignment="1">
      <alignment horizontal="center" vertical="center"/>
    </xf>
    <xf numFmtId="0" fontId="0" fillId="0" borderId="0" xfId="0" applyAlignment="1">
      <alignment horizontal="justify" wrapText="1"/>
    </xf>
    <xf numFmtId="167" fontId="4" fillId="0" borderId="19" xfId="2" applyNumberFormat="1" applyFont="1" applyBorder="1" applyAlignment="1">
      <alignment horizontal="center" vertical="center" wrapText="1"/>
    </xf>
    <xf numFmtId="167" fontId="4" fillId="0" borderId="23" xfId="2" applyNumberFormat="1" applyFont="1" applyBorder="1" applyAlignment="1">
      <alignment horizontal="center" vertical="center" wrapText="1"/>
    </xf>
    <xf numFmtId="167" fontId="4" fillId="0" borderId="26" xfId="2" applyNumberFormat="1" applyFont="1" applyBorder="1" applyAlignment="1">
      <alignment horizontal="center" vertical="center" wrapText="1"/>
    </xf>
    <xf numFmtId="168" fontId="4" fillId="0" borderId="22" xfId="2" applyNumberFormat="1" applyFont="1" applyBorder="1" applyAlignment="1">
      <alignment horizontal="center" vertical="center" wrapText="1"/>
    </xf>
    <xf numFmtId="168" fontId="4" fillId="0" borderId="25" xfId="2" applyNumberFormat="1" applyFont="1" applyBorder="1" applyAlignment="1">
      <alignment horizontal="center" vertical="center" wrapText="1"/>
    </xf>
    <xf numFmtId="168" fontId="4" fillId="0" borderId="28" xfId="2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67" fontId="3" fillId="4" borderId="16" xfId="2" applyNumberFormat="1" applyFont="1" applyFill="1" applyBorder="1" applyAlignment="1">
      <alignment horizontal="center" vertical="center" wrapText="1"/>
    </xf>
    <xf numFmtId="167" fontId="3" fillId="4" borderId="17" xfId="2" applyNumberFormat="1" applyFont="1" applyFill="1" applyBorder="1" applyAlignment="1">
      <alignment horizontal="center" vertical="center" wrapText="1"/>
    </xf>
    <xf numFmtId="168" fontId="3" fillId="5" borderId="16" xfId="2" applyNumberFormat="1" applyFont="1" applyFill="1" applyBorder="1" applyAlignment="1">
      <alignment horizontal="center" vertical="center" wrapText="1"/>
    </xf>
    <xf numFmtId="168" fontId="3" fillId="5" borderId="17" xfId="2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43" fontId="0" fillId="0" borderId="1" xfId="1" applyFont="1" applyBorder="1" applyAlignment="1">
      <alignment horizontal="center" vertical="center"/>
    </xf>
    <xf numFmtId="167" fontId="3" fillId="4" borderId="18" xfId="2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67" fontId="4" fillId="0" borderId="19" xfId="2" applyNumberFormat="1" applyFont="1" applyBorder="1" applyAlignment="1">
      <alignment horizontal="left" vertical="center" wrapText="1"/>
    </xf>
    <xf numFmtId="167" fontId="4" fillId="0" borderId="23" xfId="2" applyNumberFormat="1" applyFont="1" applyBorder="1" applyAlignment="1">
      <alignment horizontal="left" vertical="center" wrapText="1"/>
    </xf>
    <xf numFmtId="167" fontId="4" fillId="0" borderId="26" xfId="2" applyNumberFormat="1" applyFont="1" applyBorder="1" applyAlignment="1">
      <alignment horizontal="left" vertical="center" wrapText="1"/>
    </xf>
    <xf numFmtId="168" fontId="4" fillId="0" borderId="22" xfId="2" applyNumberFormat="1" applyFont="1" applyBorder="1" applyAlignment="1">
      <alignment horizontal="left" vertical="center" wrapText="1"/>
    </xf>
    <xf numFmtId="168" fontId="4" fillId="0" borderId="25" xfId="2" applyNumberFormat="1" applyFont="1" applyBorder="1" applyAlignment="1">
      <alignment horizontal="left" vertical="center" wrapText="1"/>
    </xf>
    <xf numFmtId="168" fontId="4" fillId="0" borderId="28" xfId="2" applyNumberFormat="1" applyFont="1" applyBorder="1" applyAlignment="1">
      <alignment horizontal="left" vertical="center" wrapText="1"/>
    </xf>
    <xf numFmtId="167" fontId="4" fillId="6" borderId="19" xfId="2" applyNumberFormat="1" applyFont="1" applyFill="1" applyBorder="1" applyAlignment="1">
      <alignment horizontal="left" vertical="center" wrapText="1"/>
    </xf>
    <xf numFmtId="167" fontId="4" fillId="6" borderId="23" xfId="2" applyNumberFormat="1" applyFont="1" applyFill="1" applyBorder="1" applyAlignment="1">
      <alignment horizontal="left" vertical="center" wrapText="1"/>
    </xf>
    <xf numFmtId="167" fontId="4" fillId="6" borderId="26" xfId="2" applyNumberFormat="1" applyFont="1" applyFill="1" applyBorder="1" applyAlignment="1">
      <alignment horizontal="left" vertical="center" wrapText="1"/>
    </xf>
    <xf numFmtId="168" fontId="4" fillId="6" borderId="22" xfId="2" applyNumberFormat="1" applyFont="1" applyFill="1" applyBorder="1" applyAlignment="1">
      <alignment horizontal="left" vertical="center" wrapText="1"/>
    </xf>
    <xf numFmtId="168" fontId="4" fillId="6" borderId="25" xfId="2" applyNumberFormat="1" applyFont="1" applyFill="1" applyBorder="1" applyAlignment="1">
      <alignment horizontal="left" vertical="center" wrapText="1"/>
    </xf>
    <xf numFmtId="168" fontId="4" fillId="6" borderId="28" xfId="2" applyNumberFormat="1" applyFont="1" applyFill="1" applyBorder="1" applyAlignment="1">
      <alignment horizontal="left" vertical="center" wrapText="1"/>
    </xf>
    <xf numFmtId="0" fontId="2" fillId="6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167" fontId="3" fillId="4" borderId="18" xfId="2" applyNumberFormat="1" applyFont="1" applyFill="1" applyBorder="1" applyAlignment="1">
      <alignment horizontal="left" vertical="center" wrapText="1"/>
    </xf>
    <xf numFmtId="168" fontId="3" fillId="5" borderId="16" xfId="2" applyNumberFormat="1" applyFont="1" applyFill="1" applyBorder="1" applyAlignment="1">
      <alignment horizontal="left" vertical="center" wrapText="1"/>
    </xf>
    <xf numFmtId="168" fontId="3" fillId="5" borderId="17" xfId="2" applyNumberFormat="1" applyFont="1" applyFill="1" applyBorder="1" applyAlignment="1">
      <alignment horizontal="left" vertical="center" wrapText="1"/>
    </xf>
    <xf numFmtId="43" fontId="0" fillId="0" borderId="4" xfId="1" applyFont="1" applyBorder="1" applyAlignment="1">
      <alignment horizontal="center" vertical="center"/>
    </xf>
    <xf numFmtId="43" fontId="0" fillId="0" borderId="30" xfId="1" applyFont="1" applyBorder="1" applyAlignment="1">
      <alignment horizontal="center" vertical="center"/>
    </xf>
    <xf numFmtId="43" fontId="0" fillId="0" borderId="3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38" xfId="1" applyNumberFormat="1" applyFont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165" fontId="0" fillId="6" borderId="41" xfId="1" applyNumberFormat="1" applyFont="1" applyFill="1" applyBorder="1" applyAlignment="1">
      <alignment horizontal="center" vertical="center"/>
    </xf>
    <xf numFmtId="165" fontId="0" fillId="6" borderId="42" xfId="1" applyNumberFormat="1" applyFont="1" applyFill="1" applyBorder="1" applyAlignment="1">
      <alignment horizontal="center" vertical="center"/>
    </xf>
    <xf numFmtId="165" fontId="0" fillId="6" borderId="43" xfId="1" applyNumberFormat="1" applyFont="1" applyFill="1" applyBorder="1" applyAlignment="1">
      <alignment horizontal="center" vertical="center"/>
    </xf>
    <xf numFmtId="0" fontId="2" fillId="3" borderId="45" xfId="0" applyFont="1" applyFill="1" applyBorder="1" applyAlignment="1">
      <alignment horizontal="center"/>
    </xf>
    <xf numFmtId="0" fontId="2" fillId="3" borderId="46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165" fontId="0" fillId="0" borderId="8" xfId="1" applyNumberFormat="1" applyFont="1" applyBorder="1" applyAlignment="1">
      <alignment horizontal="center" vertical="center"/>
    </xf>
    <xf numFmtId="165" fontId="0" fillId="0" borderId="12" xfId="1" applyNumberFormat="1" applyFont="1" applyBorder="1" applyAlignment="1">
      <alignment horizontal="center" vertical="center"/>
    </xf>
    <xf numFmtId="0" fontId="0" fillId="6" borderId="0" xfId="0" applyFill="1"/>
  </cellXfs>
  <cellStyles count="14">
    <cellStyle name="Hipervínculo" xfId="9" xr:uid="{A6C1D0A9-8A59-4ED4-AB42-01F00E4DF0B0}"/>
    <cellStyle name="Millares" xfId="1" builtinId="3"/>
    <cellStyle name="Millares [0] 2" xfId="3" xr:uid="{9AA47B74-586C-4EB3-A64B-1CA2623FD25D}"/>
    <cellStyle name="Millares [0] 2 2" xfId="12" xr:uid="{D63F650E-BB92-42FD-BF7F-190BEE985254}"/>
    <cellStyle name="Millares [0] 3" xfId="10" xr:uid="{6D13AE8C-C3A9-471A-B305-80421A156E9D}"/>
    <cellStyle name="Millares 2" xfId="8" xr:uid="{519D4CAA-9C02-43A2-9BF2-3E79ADED5710}"/>
    <cellStyle name="Millares 2 2 2" xfId="2" xr:uid="{F3EF14F5-8C09-446A-8A64-95C276110155}"/>
    <cellStyle name="Millares 3" xfId="6" xr:uid="{90FBDCC2-E5A3-4509-8584-0E17DCCEF5AA}"/>
    <cellStyle name="Millares 4" xfId="11" xr:uid="{EC60B4E2-5804-476B-A910-8F2664BA5089}"/>
    <cellStyle name="Moneda 2" xfId="13" xr:uid="{6053A034-9304-4F93-8CE4-643170D794F5}"/>
    <cellStyle name="Normal" xfId="0" builtinId="0"/>
    <cellStyle name="Normal 2" xfId="4" xr:uid="{14FFD09C-F474-42A4-87A1-8E5B8BFBC77F}"/>
    <cellStyle name="Normal 2 2 3" xfId="5" xr:uid="{7A8B2A5B-3373-41DF-97EC-0414CC33D333}"/>
    <cellStyle name="Porcentaje 2" xfId="7" xr:uid="{B560073C-CEE0-45AC-B1AA-5081C21E2EB8}"/>
  </cellStyles>
  <dxfs count="6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86C5F6B4-4E91-41A3-94DD-2DFC918A35A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PERFIL</a:t>
            </a:r>
            <a:r>
              <a:rPr lang="es-CO" baseline="0"/>
              <a:t> SOLAR AÑO 2026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9404229459114243E-2"/>
          <c:y val="0.16374355065794821"/>
          <c:w val="0.89394434386602373"/>
          <c:h val="0.680106044864797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'CURVA P4'!$B$5:$Y$5</c:f>
              <c:strCache>
                <c:ptCount val="24"/>
                <c:pt idx="0">
                  <c:v>DÍA</c:v>
                </c:pt>
                <c:pt idx="1">
                  <c:v>HORA 01</c:v>
                </c:pt>
                <c:pt idx="2">
                  <c:v>HORA 02</c:v>
                </c:pt>
                <c:pt idx="3">
                  <c:v>HORA 03</c:v>
                </c:pt>
                <c:pt idx="4">
                  <c:v>HORA 04</c:v>
                </c:pt>
                <c:pt idx="5">
                  <c:v>HORA 05</c:v>
                </c:pt>
                <c:pt idx="6">
                  <c:v>HORA 06</c:v>
                </c:pt>
                <c:pt idx="7">
                  <c:v>HORA 07</c:v>
                </c:pt>
                <c:pt idx="8">
                  <c:v>HORA 08</c:v>
                </c:pt>
                <c:pt idx="9">
                  <c:v>HORA 09</c:v>
                </c:pt>
                <c:pt idx="10">
                  <c:v>HORA 10</c:v>
                </c:pt>
                <c:pt idx="11">
                  <c:v>HORA 11</c:v>
                </c:pt>
                <c:pt idx="12">
                  <c:v>HORA 12</c:v>
                </c:pt>
                <c:pt idx="13">
                  <c:v>HORA 13</c:v>
                </c:pt>
                <c:pt idx="14">
                  <c:v>HORA 14</c:v>
                </c:pt>
                <c:pt idx="15">
                  <c:v>HORA 15</c:v>
                </c:pt>
                <c:pt idx="16">
                  <c:v>HORA 16</c:v>
                </c:pt>
                <c:pt idx="17">
                  <c:v>HORA 17</c:v>
                </c:pt>
                <c:pt idx="18">
                  <c:v>HORA 18</c:v>
                </c:pt>
                <c:pt idx="19">
                  <c:v>HORA 19</c:v>
                </c:pt>
                <c:pt idx="20">
                  <c:v>HORA 20</c:v>
                </c:pt>
                <c:pt idx="21">
                  <c:v>HORA 21</c:v>
                </c:pt>
                <c:pt idx="22">
                  <c:v>HORA 22</c:v>
                </c:pt>
                <c:pt idx="23">
                  <c:v>HORA 23</c:v>
                </c:pt>
              </c:strCache>
            </c:strRef>
          </c:cat>
          <c:val>
            <c:numRef>
              <c:f>'CURVA P4'!$B$60:$Y$60</c:f>
              <c:numCache>
                <c:formatCode>General</c:formatCode>
                <c:ptCount val="24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_(* #,##0_);_(* \(#,##0\);_(* &quot;-&quot;??_);_(@_)">
                  <c:v>63020</c:v>
                </c:pt>
                <c:pt idx="8" formatCode="_(* #,##0_);_(* \(#,##0\);_(* &quot;-&quot;??_);_(@_)">
                  <c:v>252034</c:v>
                </c:pt>
                <c:pt idx="9" formatCode="_(* #,##0_);_(* \(#,##0\);_(* &quot;-&quot;??_);_(@_)">
                  <c:v>504114</c:v>
                </c:pt>
                <c:pt idx="10" formatCode="_(* #,##0_);_(* \(#,##0\);_(* &quot;-&quot;??_);_(@_)">
                  <c:v>756148</c:v>
                </c:pt>
                <c:pt idx="11" formatCode="_(* #,##0_);_(* \(#,##0\);_(* &quot;-&quot;??_);_(@_)">
                  <c:v>945208</c:v>
                </c:pt>
                <c:pt idx="12" formatCode="_(* #,##0_);_(* \(#,##0\);_(* &quot;-&quot;??_);_(@_)">
                  <c:v>1071248</c:v>
                </c:pt>
                <c:pt idx="13" formatCode="_(* #,##0_);_(* \(#,##0\);_(* &quot;-&quot;??_);_(@_)">
                  <c:v>1071248</c:v>
                </c:pt>
                <c:pt idx="14" formatCode="_(* #,##0_);_(* \(#,##0\);_(* &quot;-&quot;??_);_(@_)">
                  <c:v>819168</c:v>
                </c:pt>
                <c:pt idx="15" formatCode="_(* #,##0_);_(* \(#,##0\);_(* &quot;-&quot;??_);_(@_)">
                  <c:v>504114</c:v>
                </c:pt>
                <c:pt idx="16" formatCode="_(* #,##0_);_(* \(#,##0\);_(* &quot;-&quot;??_);_(@_)">
                  <c:v>252034</c:v>
                </c:pt>
                <c:pt idx="17" formatCode="_(* #,##0_);_(* \(#,##0\);_(* &quot;-&quot;??_);_(@_)">
                  <c:v>63020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D6-4AF3-8EF0-ED8D146AE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8418239"/>
        <c:axId val="388417279"/>
      </c:lineChart>
      <c:catAx>
        <c:axId val="38841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88417279"/>
        <c:crosses val="autoZero"/>
        <c:auto val="1"/>
        <c:lblAlgn val="ctr"/>
        <c:lblOffset val="100"/>
        <c:noMultiLvlLbl val="0"/>
      </c:catAx>
      <c:valAx>
        <c:axId val="38841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88418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194235</xdr:colOff>
      <xdr:row>62</xdr:row>
      <xdr:rowOff>122516</xdr:rowOff>
    </xdr:from>
    <xdr:to>
      <xdr:col>16</xdr:col>
      <xdr:colOff>253999</xdr:colOff>
      <xdr:row>79</xdr:row>
      <xdr:rowOff>134469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5A365F2-3858-57AA-CF29-AA9CE15E36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961F0-16FB-44F2-999C-74A724C4333F}">
  <dimension ref="B1:K21"/>
  <sheetViews>
    <sheetView showGridLines="0" tabSelected="1" topLeftCell="A3" zoomScaleNormal="100" workbookViewId="0">
      <selection activeCell="A3" sqref="A3"/>
    </sheetView>
  </sheetViews>
  <sheetFormatPr baseColWidth="10" defaultRowHeight="14.5" x14ac:dyDescent="0.35"/>
  <cols>
    <col min="1" max="1" width="5.54296875" customWidth="1"/>
    <col min="2" max="2" width="10.90625" style="5"/>
    <col min="3" max="3" width="15.1796875" style="12" customWidth="1"/>
    <col min="4" max="4" width="15.1796875" bestFit="1" customWidth="1"/>
    <col min="5" max="5" width="12.54296875" customWidth="1"/>
    <col min="6" max="6" width="8.81640625" style="6" customWidth="1"/>
    <col min="7" max="7" width="5" customWidth="1"/>
    <col min="8" max="8" width="11.7265625" customWidth="1"/>
  </cols>
  <sheetData>
    <row r="1" spans="2:11" ht="14.5" customHeight="1" x14ac:dyDescent="0.35">
      <c r="B1" s="98" t="s">
        <v>44</v>
      </c>
      <c r="C1" s="98"/>
      <c r="D1" s="98"/>
      <c r="E1" s="98"/>
      <c r="F1" s="98"/>
      <c r="G1" s="29"/>
      <c r="H1" s="29"/>
    </row>
    <row r="2" spans="2:11" x14ac:dyDescent="0.35">
      <c r="B2" s="98"/>
      <c r="C2" s="98"/>
      <c r="D2" s="98"/>
      <c r="E2" s="98"/>
      <c r="F2" s="98"/>
    </row>
    <row r="4" spans="2:11" ht="15" thickBot="1" x14ac:dyDescent="0.4">
      <c r="B4" s="91" t="s">
        <v>0</v>
      </c>
      <c r="C4" s="91"/>
      <c r="D4" s="91"/>
      <c r="E4" s="91"/>
      <c r="F4" s="91"/>
    </row>
    <row r="5" spans="2:11" ht="32" thickBot="1" x14ac:dyDescent="0.4">
      <c r="B5" s="28" t="s">
        <v>1</v>
      </c>
      <c r="C5" s="28" t="s">
        <v>2</v>
      </c>
      <c r="D5" s="28" t="s">
        <v>3</v>
      </c>
      <c r="E5" s="28" t="s">
        <v>4</v>
      </c>
      <c r="F5" s="28" t="s">
        <v>5</v>
      </c>
    </row>
    <row r="6" spans="2:11" x14ac:dyDescent="0.35">
      <c r="B6" s="1">
        <v>46023</v>
      </c>
      <c r="C6" s="8">
        <f>+VLOOKUP(B6,'CURVA P1'!$A$7:$AD$56,30,FALSE)</f>
        <v>31489590</v>
      </c>
      <c r="D6" s="92" t="s">
        <v>3</v>
      </c>
      <c r="E6" s="2"/>
      <c r="F6" s="95" t="s">
        <v>6</v>
      </c>
      <c r="K6" s="12"/>
    </row>
    <row r="7" spans="2:11" x14ac:dyDescent="0.35">
      <c r="B7" s="1">
        <v>46054</v>
      </c>
      <c r="C7" s="8">
        <f>+VLOOKUP(B7,'CURVA P1'!$A$7:$AD$56,30,FALSE)</f>
        <v>32887916</v>
      </c>
      <c r="D7" s="93"/>
      <c r="E7" s="2"/>
      <c r="F7" s="96"/>
      <c r="K7" s="12"/>
    </row>
    <row r="8" spans="2:11" x14ac:dyDescent="0.35">
      <c r="B8" s="1">
        <v>46082</v>
      </c>
      <c r="C8" s="8">
        <f>+VLOOKUP(B8,'CURVA P1'!$A$7:$AD$56,30,FALSE)</f>
        <v>31497080</v>
      </c>
      <c r="D8" s="93"/>
      <c r="E8" s="2"/>
      <c r="F8" s="96"/>
      <c r="K8" s="12"/>
    </row>
    <row r="9" spans="2:11" x14ac:dyDescent="0.35">
      <c r="B9" s="1">
        <v>46113</v>
      </c>
      <c r="C9" s="8">
        <f>+VLOOKUP(B9,'CURVA P1'!$A$7:$AD$56,30,FALSE)</f>
        <v>33072292</v>
      </c>
      <c r="D9" s="93"/>
      <c r="E9" s="2"/>
      <c r="F9" s="96"/>
      <c r="K9" s="12"/>
    </row>
    <row r="10" spans="2:11" x14ac:dyDescent="0.35">
      <c r="B10" s="1">
        <v>46143</v>
      </c>
      <c r="C10" s="8">
        <f>+VLOOKUP(B10,'CURVA P1'!$A$7:$AD$56,30,FALSE)</f>
        <v>16640411</v>
      </c>
      <c r="D10" s="93"/>
      <c r="E10" s="2"/>
      <c r="F10" s="96"/>
      <c r="K10" s="12"/>
    </row>
    <row r="11" spans="2:11" x14ac:dyDescent="0.35">
      <c r="B11" s="1">
        <v>46174</v>
      </c>
      <c r="C11" s="8">
        <f>+VLOOKUP(B11,'CURVA P1'!$A$7:$AD$56,30,FALSE)</f>
        <v>17037915</v>
      </c>
      <c r="D11" s="93"/>
      <c r="E11" s="2"/>
      <c r="F11" s="96"/>
      <c r="K11" s="12"/>
    </row>
    <row r="12" spans="2:11" x14ac:dyDescent="0.35">
      <c r="B12" s="1">
        <v>46204</v>
      </c>
      <c r="C12" s="8">
        <f>+VLOOKUP(B12,'CURVA P1'!$A$7:$AD$56,30,FALSE)</f>
        <v>16335944</v>
      </c>
      <c r="D12" s="93"/>
      <c r="E12" s="2"/>
      <c r="F12" s="96"/>
      <c r="K12" s="12"/>
    </row>
    <row r="13" spans="2:11" x14ac:dyDescent="0.35">
      <c r="B13" s="1">
        <v>46235</v>
      </c>
      <c r="C13" s="8">
        <f>+VLOOKUP(B13,'CURVA P1'!$A$7:$AD$56,30,FALSE)</f>
        <v>17146466</v>
      </c>
      <c r="D13" s="93"/>
      <c r="E13" s="2"/>
      <c r="F13" s="96"/>
      <c r="K13" s="12"/>
    </row>
    <row r="14" spans="2:11" x14ac:dyDescent="0.35">
      <c r="B14" s="1">
        <v>46266</v>
      </c>
      <c r="C14" s="8">
        <f>+VLOOKUP(B14,'CURVA P1'!$A$7:$AD$56,30,FALSE)</f>
        <v>26119312</v>
      </c>
      <c r="D14" s="93"/>
      <c r="E14" s="2"/>
      <c r="F14" s="96"/>
      <c r="K14" s="12"/>
    </row>
    <row r="15" spans="2:11" x14ac:dyDescent="0.35">
      <c r="B15" s="1">
        <v>46296</v>
      </c>
      <c r="C15" s="8">
        <f>+VLOOKUP(B15,'CURVA P1'!$A$7:$AD$56,30,FALSE)</f>
        <v>26450360</v>
      </c>
      <c r="D15" s="93"/>
      <c r="E15" s="2"/>
      <c r="F15" s="96"/>
      <c r="K15" s="12"/>
    </row>
    <row r="16" spans="2:11" x14ac:dyDescent="0.35">
      <c r="B16" s="1">
        <v>46327</v>
      </c>
      <c r="C16" s="8">
        <f>+VLOOKUP(B16,'CURVA P1'!$A$7:$AD$56,30,FALSE)</f>
        <v>26048507</v>
      </c>
      <c r="D16" s="93"/>
      <c r="E16" s="2"/>
      <c r="F16" s="96"/>
      <c r="K16" s="12"/>
    </row>
    <row r="17" spans="2:11" ht="15" thickBot="1" x14ac:dyDescent="0.4">
      <c r="B17" s="3">
        <v>46357</v>
      </c>
      <c r="C17" s="10">
        <f>+VLOOKUP(B17,'CURVA P1'!$A$7:$AD$56,30,FALSE)</f>
        <v>33274072</v>
      </c>
      <c r="D17" s="94"/>
      <c r="E17" s="4"/>
      <c r="F17" s="97"/>
      <c r="K17" s="12"/>
    </row>
    <row r="18" spans="2:11" ht="15" thickBot="1" x14ac:dyDescent="0.4">
      <c r="C18" s="54">
        <f>+SUM(C6:C17)</f>
        <v>307999865</v>
      </c>
    </row>
    <row r="20" spans="2:11" x14ac:dyDescent="0.35">
      <c r="C20" s="24"/>
    </row>
    <row r="21" spans="2:11" x14ac:dyDescent="0.35">
      <c r="C21" s="24"/>
    </row>
  </sheetData>
  <mergeCells count="4">
    <mergeCell ref="B4:F4"/>
    <mergeCell ref="D6:D17"/>
    <mergeCell ref="F6:F17"/>
    <mergeCell ref="B1:F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E5FE1-D095-476B-99B4-812D0AC11289}">
  <dimension ref="A1:AH55"/>
  <sheetViews>
    <sheetView showGridLines="0" zoomScale="55" zoomScaleNormal="55" workbookViewId="0">
      <selection activeCell="AD55" sqref="A1:AD55"/>
    </sheetView>
  </sheetViews>
  <sheetFormatPr baseColWidth="10" defaultRowHeight="14.5" x14ac:dyDescent="0.35"/>
  <cols>
    <col min="1" max="1" width="7.26953125" bestFit="1" customWidth="1"/>
    <col min="2" max="2" width="8" bestFit="1" customWidth="1"/>
    <col min="3" max="26" width="10.08984375" bestFit="1" customWidth="1"/>
    <col min="27" max="27" width="10.1796875" customWidth="1"/>
    <col min="28" max="28" width="10.453125" bestFit="1" customWidth="1"/>
    <col min="29" max="29" width="12.1796875" bestFit="1" customWidth="1"/>
    <col min="30" max="30" width="14.54296875" bestFit="1" customWidth="1"/>
    <col min="31" max="31" width="11.08984375" bestFit="1" customWidth="1"/>
    <col min="32" max="32" width="13.54296875" style="23" bestFit="1" customWidth="1"/>
  </cols>
  <sheetData>
    <row r="1" spans="1:30" x14ac:dyDescent="0.35">
      <c r="A1" s="105" t="s">
        <v>52</v>
      </c>
      <c r="B1" s="105"/>
      <c r="C1" s="105"/>
      <c r="D1" s="105"/>
    </row>
    <row r="2" spans="1:30" x14ac:dyDescent="0.35">
      <c r="A2" s="106" t="s">
        <v>44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</row>
    <row r="4" spans="1:30" ht="23" customHeight="1" x14ac:dyDescent="0.35">
      <c r="A4" s="107" t="s">
        <v>10</v>
      </c>
      <c r="B4" s="108"/>
      <c r="C4" s="109">
        <f>+AD55</f>
        <v>307999865</v>
      </c>
      <c r="D4" s="110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spans="1:30" x14ac:dyDescent="0.35">
      <c r="A5" s="13" t="s">
        <v>1</v>
      </c>
      <c r="B5" s="14" t="s">
        <v>11</v>
      </c>
      <c r="C5" s="13" t="s">
        <v>12</v>
      </c>
      <c r="D5" s="13" t="s">
        <v>13</v>
      </c>
      <c r="E5" s="13" t="s">
        <v>14</v>
      </c>
      <c r="F5" s="13" t="s">
        <v>15</v>
      </c>
      <c r="G5" s="13" t="s">
        <v>16</v>
      </c>
      <c r="H5" s="13" t="s">
        <v>17</v>
      </c>
      <c r="I5" s="13" t="s">
        <v>18</v>
      </c>
      <c r="J5" s="13" t="s">
        <v>19</v>
      </c>
      <c r="K5" s="13" t="s">
        <v>20</v>
      </c>
      <c r="L5" s="13" t="s">
        <v>21</v>
      </c>
      <c r="M5" s="13" t="s">
        <v>22</v>
      </c>
      <c r="N5" s="13" t="s">
        <v>23</v>
      </c>
      <c r="O5" s="13" t="s">
        <v>24</v>
      </c>
      <c r="P5" s="13" t="s">
        <v>25</v>
      </c>
      <c r="Q5" s="13" t="s">
        <v>26</v>
      </c>
      <c r="R5" s="13" t="s">
        <v>27</v>
      </c>
      <c r="S5" s="13" t="s">
        <v>28</v>
      </c>
      <c r="T5" s="13" t="s">
        <v>29</v>
      </c>
      <c r="U5" s="13" t="s">
        <v>30</v>
      </c>
      <c r="V5" s="13" t="s">
        <v>31</v>
      </c>
      <c r="W5" s="13" t="s">
        <v>32</v>
      </c>
      <c r="X5" s="13" t="s">
        <v>33</v>
      </c>
      <c r="Y5" s="13" t="s">
        <v>34</v>
      </c>
      <c r="Z5" s="13" t="s">
        <v>35</v>
      </c>
      <c r="AA5" s="13" t="s">
        <v>36</v>
      </c>
      <c r="AB5" s="13" t="s">
        <v>37</v>
      </c>
      <c r="AC5" s="13" t="s">
        <v>38</v>
      </c>
      <c r="AD5" s="13" t="s">
        <v>39</v>
      </c>
    </row>
    <row r="6" spans="1:30" x14ac:dyDescent="0.35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5"/>
      <c r="AB6" s="15"/>
      <c r="AC6" s="15"/>
      <c r="AD6" s="15"/>
    </row>
    <row r="7" spans="1:30" x14ac:dyDescent="0.35">
      <c r="A7" s="99">
        <v>46023</v>
      </c>
      <c r="B7" s="17" t="s">
        <v>40</v>
      </c>
      <c r="C7" s="18">
        <v>50359</v>
      </c>
      <c r="D7" s="18">
        <v>49257</v>
      </c>
      <c r="E7" s="18">
        <v>47138</v>
      </c>
      <c r="F7" s="18">
        <v>45557</v>
      </c>
      <c r="G7" s="18">
        <v>45046</v>
      </c>
      <c r="H7" s="18">
        <v>45878</v>
      </c>
      <c r="I7" s="18">
        <v>46181</v>
      </c>
      <c r="J7" s="18">
        <v>43708</v>
      </c>
      <c r="K7" s="18">
        <v>44338</v>
      </c>
      <c r="L7" s="18">
        <v>44046</v>
      </c>
      <c r="M7" s="18">
        <v>44177</v>
      </c>
      <c r="N7" s="18">
        <v>44147</v>
      </c>
      <c r="O7" s="18">
        <v>41142</v>
      </c>
      <c r="P7" s="18">
        <v>49488</v>
      </c>
      <c r="Q7" s="18">
        <v>60425</v>
      </c>
      <c r="R7" s="18">
        <v>65754</v>
      </c>
      <c r="S7" s="18">
        <v>67413</v>
      </c>
      <c r="T7" s="18">
        <v>41305</v>
      </c>
      <c r="U7" s="18">
        <v>41832</v>
      </c>
      <c r="V7" s="18">
        <v>40086</v>
      </c>
      <c r="W7" s="18">
        <v>38615</v>
      </c>
      <c r="X7" s="18">
        <v>37650</v>
      </c>
      <c r="Y7" s="18">
        <v>36028</v>
      </c>
      <c r="Z7" s="18">
        <v>33740</v>
      </c>
      <c r="AA7" s="18">
        <v>1062299</v>
      </c>
      <c r="AB7" s="20">
        <v>20</v>
      </c>
      <c r="AC7" s="19">
        <f>+AA7*AB7</f>
        <v>21245980</v>
      </c>
      <c r="AD7" s="102">
        <f>+SUM(AC7:AC10)</f>
        <v>31489590</v>
      </c>
    </row>
    <row r="8" spans="1:30" x14ac:dyDescent="0.35">
      <c r="A8" s="100">
        <v>46024</v>
      </c>
      <c r="B8" s="21" t="s">
        <v>41</v>
      </c>
      <c r="C8" s="18">
        <v>51639</v>
      </c>
      <c r="D8" s="18">
        <v>50006</v>
      </c>
      <c r="E8" s="18">
        <v>47519</v>
      </c>
      <c r="F8" s="18">
        <v>45761</v>
      </c>
      <c r="G8" s="18">
        <v>44924</v>
      </c>
      <c r="H8" s="18">
        <v>45146</v>
      </c>
      <c r="I8" s="18">
        <v>45044</v>
      </c>
      <c r="J8" s="18">
        <v>42861</v>
      </c>
      <c r="K8" s="18">
        <v>44330</v>
      </c>
      <c r="L8" s="18">
        <v>44412</v>
      </c>
      <c r="M8" s="18">
        <v>44354</v>
      </c>
      <c r="N8" s="18">
        <v>43634</v>
      </c>
      <c r="O8" s="18">
        <v>41565</v>
      </c>
      <c r="P8" s="18">
        <v>46453</v>
      </c>
      <c r="Q8" s="18">
        <v>54131</v>
      </c>
      <c r="R8" s="18">
        <v>58851</v>
      </c>
      <c r="S8" s="18">
        <v>60276</v>
      </c>
      <c r="T8" s="18">
        <v>38700</v>
      </c>
      <c r="U8" s="18">
        <v>40333</v>
      </c>
      <c r="V8" s="18">
        <v>38860</v>
      </c>
      <c r="W8" s="18">
        <v>37362</v>
      </c>
      <c r="X8" s="18">
        <v>36080</v>
      </c>
      <c r="Y8" s="18">
        <v>34779</v>
      </c>
      <c r="Z8" s="18">
        <v>32838</v>
      </c>
      <c r="AA8" s="18">
        <v>1030084</v>
      </c>
      <c r="AB8" s="20">
        <v>5</v>
      </c>
      <c r="AC8" s="19">
        <f t="shared" ref="AC8:AC54" si="0">+AA8*AB8</f>
        <v>5150420</v>
      </c>
      <c r="AD8" s="103"/>
    </row>
    <row r="9" spans="1:30" x14ac:dyDescent="0.35">
      <c r="A9" s="100">
        <v>46025</v>
      </c>
      <c r="B9" s="21" t="s">
        <v>42</v>
      </c>
      <c r="C9" s="18">
        <v>50635</v>
      </c>
      <c r="D9" s="18">
        <v>49278</v>
      </c>
      <c r="E9" s="18">
        <v>47010</v>
      </c>
      <c r="F9" s="18">
        <v>45252</v>
      </c>
      <c r="G9" s="18">
        <v>44213</v>
      </c>
      <c r="H9" s="18">
        <v>43643</v>
      </c>
      <c r="I9" s="18">
        <v>42608</v>
      </c>
      <c r="J9" s="18">
        <v>36482</v>
      </c>
      <c r="K9" s="18">
        <v>34016</v>
      </c>
      <c r="L9" s="18">
        <v>32285</v>
      </c>
      <c r="M9" s="18">
        <v>30781</v>
      </c>
      <c r="N9" s="18">
        <v>30063</v>
      </c>
      <c r="O9" s="18">
        <v>31038</v>
      </c>
      <c r="P9" s="18">
        <v>35546</v>
      </c>
      <c r="Q9" s="18">
        <v>41773</v>
      </c>
      <c r="R9" s="18">
        <v>46724</v>
      </c>
      <c r="S9" s="18">
        <v>49339</v>
      </c>
      <c r="T9" s="18">
        <v>31196</v>
      </c>
      <c r="U9" s="18">
        <v>33329</v>
      </c>
      <c r="V9" s="18">
        <v>33601</v>
      </c>
      <c r="W9" s="18">
        <v>33555</v>
      </c>
      <c r="X9" s="18">
        <v>33336</v>
      </c>
      <c r="Y9" s="18">
        <v>32194</v>
      </c>
      <c r="Z9" s="18">
        <v>29741</v>
      </c>
      <c r="AA9" s="18">
        <v>891802</v>
      </c>
      <c r="AB9" s="20">
        <v>4</v>
      </c>
      <c r="AC9" s="19">
        <f t="shared" si="0"/>
        <v>3567208</v>
      </c>
      <c r="AD9" s="103"/>
    </row>
    <row r="10" spans="1:30" x14ac:dyDescent="0.35">
      <c r="A10" s="101">
        <v>46026</v>
      </c>
      <c r="B10" s="22" t="s">
        <v>43</v>
      </c>
      <c r="C10" s="18">
        <v>41940</v>
      </c>
      <c r="D10" s="18">
        <v>40382</v>
      </c>
      <c r="E10" s="18">
        <v>39694</v>
      </c>
      <c r="F10" s="18">
        <v>38633</v>
      </c>
      <c r="G10" s="18">
        <v>38176</v>
      </c>
      <c r="H10" s="18">
        <v>37713</v>
      </c>
      <c r="I10" s="18">
        <v>36084</v>
      </c>
      <c r="J10" s="18">
        <v>29779</v>
      </c>
      <c r="K10" s="18">
        <v>27232</v>
      </c>
      <c r="L10" s="18">
        <v>25425</v>
      </c>
      <c r="M10" s="18">
        <v>24773</v>
      </c>
      <c r="N10" s="18">
        <v>24007</v>
      </c>
      <c r="O10" s="18">
        <v>24531</v>
      </c>
      <c r="P10" s="18">
        <v>29359</v>
      </c>
      <c r="Q10" s="18">
        <v>35614</v>
      </c>
      <c r="R10" s="18">
        <v>40433</v>
      </c>
      <c r="S10" s="18">
        <v>42659</v>
      </c>
      <c r="T10" s="18">
        <v>27053</v>
      </c>
      <c r="U10" s="18">
        <v>29324</v>
      </c>
      <c r="V10" s="18">
        <v>29377</v>
      </c>
      <c r="W10" s="18">
        <v>29326</v>
      </c>
      <c r="X10" s="18">
        <v>29088</v>
      </c>
      <c r="Y10" s="18">
        <v>28024</v>
      </c>
      <c r="Z10" s="18">
        <v>26386</v>
      </c>
      <c r="AA10" s="18">
        <v>762991</v>
      </c>
      <c r="AB10" s="20">
        <v>2</v>
      </c>
      <c r="AC10" s="19">
        <f t="shared" si="0"/>
        <v>1525982</v>
      </c>
      <c r="AD10" s="104"/>
    </row>
    <row r="11" spans="1:30" x14ac:dyDescent="0.35">
      <c r="A11" s="99">
        <v>46054</v>
      </c>
      <c r="B11" s="17" t="s">
        <v>40</v>
      </c>
      <c r="C11" s="18">
        <v>56491</v>
      </c>
      <c r="D11" s="18">
        <v>53516</v>
      </c>
      <c r="E11" s="18">
        <v>51338</v>
      </c>
      <c r="F11" s="18">
        <v>50001</v>
      </c>
      <c r="G11" s="18">
        <v>50159</v>
      </c>
      <c r="H11" s="18">
        <v>53594</v>
      </c>
      <c r="I11" s="18">
        <v>55210</v>
      </c>
      <c r="J11" s="18">
        <v>53862</v>
      </c>
      <c r="K11" s="18">
        <v>54701</v>
      </c>
      <c r="L11" s="18">
        <v>54401</v>
      </c>
      <c r="M11" s="18">
        <v>54865</v>
      </c>
      <c r="N11" s="18">
        <v>52964</v>
      </c>
      <c r="O11" s="18">
        <v>47294</v>
      </c>
      <c r="P11" s="18">
        <v>58250</v>
      </c>
      <c r="Q11" s="18">
        <v>70378</v>
      </c>
      <c r="R11" s="18">
        <v>75877</v>
      </c>
      <c r="S11" s="18">
        <v>77090</v>
      </c>
      <c r="T11" s="18">
        <v>46208</v>
      </c>
      <c r="U11" s="18">
        <v>46232</v>
      </c>
      <c r="V11" s="18">
        <v>45329</v>
      </c>
      <c r="W11" s="18">
        <v>44436</v>
      </c>
      <c r="X11" s="18">
        <v>42300</v>
      </c>
      <c r="Y11" s="18">
        <v>38247</v>
      </c>
      <c r="Z11" s="18">
        <v>34729</v>
      </c>
      <c r="AA11" s="18">
        <v>1214368</v>
      </c>
      <c r="AB11" s="20">
        <v>20</v>
      </c>
      <c r="AC11" s="19">
        <f t="shared" si="0"/>
        <v>24287360</v>
      </c>
      <c r="AD11" s="102">
        <f>+SUM(AC11:AC14)</f>
        <v>32887916</v>
      </c>
    </row>
    <row r="12" spans="1:30" x14ac:dyDescent="0.35">
      <c r="A12" s="100">
        <v>46055</v>
      </c>
      <c r="B12" s="21" t="s">
        <v>41</v>
      </c>
      <c r="C12" s="18">
        <v>53819</v>
      </c>
      <c r="D12" s="18">
        <v>51036</v>
      </c>
      <c r="E12" s="18">
        <v>48921</v>
      </c>
      <c r="F12" s="18">
        <v>47705</v>
      </c>
      <c r="G12" s="18">
        <v>47048</v>
      </c>
      <c r="H12" s="18">
        <v>48066</v>
      </c>
      <c r="I12" s="18">
        <v>49511</v>
      </c>
      <c r="J12" s="18">
        <v>49419</v>
      </c>
      <c r="K12" s="18">
        <v>50941</v>
      </c>
      <c r="L12" s="18">
        <v>51248</v>
      </c>
      <c r="M12" s="18">
        <v>51070</v>
      </c>
      <c r="N12" s="18">
        <v>50112</v>
      </c>
      <c r="O12" s="18">
        <v>47723</v>
      </c>
      <c r="P12" s="18">
        <v>51978</v>
      </c>
      <c r="Q12" s="18">
        <v>58887</v>
      </c>
      <c r="R12" s="18">
        <v>63702</v>
      </c>
      <c r="S12" s="18">
        <v>64870</v>
      </c>
      <c r="T12" s="18">
        <v>39745</v>
      </c>
      <c r="U12" s="18">
        <v>42002</v>
      </c>
      <c r="V12" s="18">
        <v>41964</v>
      </c>
      <c r="W12" s="18">
        <v>40466</v>
      </c>
      <c r="X12" s="18">
        <v>38848</v>
      </c>
      <c r="Y12" s="18">
        <v>36695</v>
      </c>
      <c r="Z12" s="18">
        <v>34328</v>
      </c>
      <c r="AA12" s="18">
        <v>1116466</v>
      </c>
      <c r="AB12" s="20">
        <v>4</v>
      </c>
      <c r="AC12" s="19">
        <f t="shared" si="0"/>
        <v>4465864</v>
      </c>
      <c r="AD12" s="103"/>
    </row>
    <row r="13" spans="1:30" x14ac:dyDescent="0.35">
      <c r="A13" s="100">
        <v>46056</v>
      </c>
      <c r="B13" s="21" t="s">
        <v>42</v>
      </c>
      <c r="C13" s="18">
        <v>55760</v>
      </c>
      <c r="D13" s="18">
        <v>52806</v>
      </c>
      <c r="E13" s="18">
        <v>50608</v>
      </c>
      <c r="F13" s="18">
        <v>48719</v>
      </c>
      <c r="G13" s="18">
        <v>47883</v>
      </c>
      <c r="H13" s="18">
        <v>47666</v>
      </c>
      <c r="I13" s="18">
        <v>47225</v>
      </c>
      <c r="J13" s="18">
        <v>42322</v>
      </c>
      <c r="K13" s="18">
        <v>40336</v>
      </c>
      <c r="L13" s="18">
        <v>39357</v>
      </c>
      <c r="M13" s="18">
        <v>38166</v>
      </c>
      <c r="N13" s="18">
        <v>37905</v>
      </c>
      <c r="O13" s="18">
        <v>38611</v>
      </c>
      <c r="P13" s="18">
        <v>42831</v>
      </c>
      <c r="Q13" s="18">
        <v>49581</v>
      </c>
      <c r="R13" s="18">
        <v>55346</v>
      </c>
      <c r="S13" s="18">
        <v>58247</v>
      </c>
      <c r="T13" s="18">
        <v>37442</v>
      </c>
      <c r="U13" s="18">
        <v>40447</v>
      </c>
      <c r="V13" s="18">
        <v>41737</v>
      </c>
      <c r="W13" s="18">
        <v>41867</v>
      </c>
      <c r="X13" s="18">
        <v>41526</v>
      </c>
      <c r="Y13" s="18">
        <v>39542</v>
      </c>
      <c r="Z13" s="18">
        <v>36273</v>
      </c>
      <c r="AA13" s="18">
        <v>1033673</v>
      </c>
      <c r="AB13" s="20">
        <v>4</v>
      </c>
      <c r="AC13" s="19">
        <f t="shared" si="0"/>
        <v>4134692</v>
      </c>
      <c r="AD13" s="103"/>
    </row>
    <row r="14" spans="1:30" x14ac:dyDescent="0.35">
      <c r="A14" s="101">
        <v>46057</v>
      </c>
      <c r="B14" s="22" t="s">
        <v>43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20">
        <v>0</v>
      </c>
      <c r="AC14" s="19">
        <f t="shared" si="0"/>
        <v>0</v>
      </c>
      <c r="AD14" s="104"/>
    </row>
    <row r="15" spans="1:30" x14ac:dyDescent="0.35">
      <c r="A15" s="99">
        <v>46082</v>
      </c>
      <c r="B15" s="17" t="s">
        <v>40</v>
      </c>
      <c r="C15" s="18">
        <v>51368</v>
      </c>
      <c r="D15" s="18">
        <v>48475</v>
      </c>
      <c r="E15" s="18">
        <v>46429</v>
      </c>
      <c r="F15" s="18">
        <v>44928</v>
      </c>
      <c r="G15" s="18">
        <v>44758</v>
      </c>
      <c r="H15" s="18">
        <v>46965</v>
      </c>
      <c r="I15" s="18">
        <v>46625</v>
      </c>
      <c r="J15" s="18">
        <v>44209</v>
      </c>
      <c r="K15" s="18">
        <v>44236</v>
      </c>
      <c r="L15" s="18">
        <v>43423</v>
      </c>
      <c r="M15" s="18">
        <v>43334</v>
      </c>
      <c r="N15" s="18">
        <v>41949</v>
      </c>
      <c r="O15" s="18">
        <v>37784</v>
      </c>
      <c r="P15" s="18">
        <v>48291</v>
      </c>
      <c r="Q15" s="18">
        <v>59929</v>
      </c>
      <c r="R15" s="18">
        <v>65148</v>
      </c>
      <c r="S15" s="18">
        <v>66621</v>
      </c>
      <c r="T15" s="18">
        <v>38917</v>
      </c>
      <c r="U15" s="18">
        <v>38899</v>
      </c>
      <c r="V15" s="18">
        <v>38786</v>
      </c>
      <c r="W15" s="18">
        <v>39093</v>
      </c>
      <c r="X15" s="18">
        <v>38522</v>
      </c>
      <c r="Y15" s="18">
        <v>35617</v>
      </c>
      <c r="Z15" s="18">
        <v>32690</v>
      </c>
      <c r="AA15" s="18">
        <v>1047634</v>
      </c>
      <c r="AB15" s="20">
        <v>21</v>
      </c>
      <c r="AC15" s="19">
        <f t="shared" si="0"/>
        <v>22000314</v>
      </c>
      <c r="AD15" s="102">
        <f>+SUM(AC15:AC18)</f>
        <v>31497080</v>
      </c>
    </row>
    <row r="16" spans="1:30" x14ac:dyDescent="0.35">
      <c r="A16" s="100"/>
      <c r="B16" s="21" t="s">
        <v>41</v>
      </c>
      <c r="C16" s="18">
        <v>53036</v>
      </c>
      <c r="D16" s="18">
        <v>50146</v>
      </c>
      <c r="E16" s="18">
        <v>47859</v>
      </c>
      <c r="F16" s="18">
        <v>45954</v>
      </c>
      <c r="G16" s="18">
        <v>44918</v>
      </c>
      <c r="H16" s="18">
        <v>44884</v>
      </c>
      <c r="I16" s="18">
        <v>44832</v>
      </c>
      <c r="J16" s="18">
        <v>43347</v>
      </c>
      <c r="K16" s="18">
        <v>44218</v>
      </c>
      <c r="L16" s="18">
        <v>44065</v>
      </c>
      <c r="M16" s="18">
        <v>43889</v>
      </c>
      <c r="N16" s="18">
        <v>42674</v>
      </c>
      <c r="O16" s="18">
        <v>40063</v>
      </c>
      <c r="P16" s="18">
        <v>45012</v>
      </c>
      <c r="Q16" s="18">
        <v>52878</v>
      </c>
      <c r="R16" s="18">
        <v>57708</v>
      </c>
      <c r="S16" s="18">
        <v>59237</v>
      </c>
      <c r="T16" s="18">
        <v>37206</v>
      </c>
      <c r="U16" s="18">
        <v>38596</v>
      </c>
      <c r="V16" s="18">
        <v>38362</v>
      </c>
      <c r="W16" s="18">
        <v>38045</v>
      </c>
      <c r="X16" s="18">
        <v>37918</v>
      </c>
      <c r="Y16" s="18">
        <v>37309</v>
      </c>
      <c r="Z16" s="18">
        <v>35447</v>
      </c>
      <c r="AA16" s="18">
        <v>1027397</v>
      </c>
      <c r="AB16" s="20">
        <v>4</v>
      </c>
      <c r="AC16" s="19">
        <f t="shared" si="0"/>
        <v>4109588</v>
      </c>
      <c r="AD16" s="103"/>
    </row>
    <row r="17" spans="1:34" x14ac:dyDescent="0.35">
      <c r="A17" s="100"/>
      <c r="B17" s="21" t="s">
        <v>42</v>
      </c>
      <c r="C17" s="18">
        <v>54307</v>
      </c>
      <c r="D17" s="18">
        <v>51304</v>
      </c>
      <c r="E17" s="18">
        <v>49166</v>
      </c>
      <c r="F17" s="18">
        <v>47423</v>
      </c>
      <c r="G17" s="18">
        <v>46228</v>
      </c>
      <c r="H17" s="18">
        <v>45273</v>
      </c>
      <c r="I17" s="18">
        <v>43741</v>
      </c>
      <c r="J17" s="18">
        <v>37516</v>
      </c>
      <c r="K17" s="18">
        <v>34391</v>
      </c>
      <c r="L17" s="18">
        <v>31852</v>
      </c>
      <c r="M17" s="18">
        <v>29688</v>
      </c>
      <c r="N17" s="18">
        <v>28741</v>
      </c>
      <c r="O17" s="18">
        <v>30088</v>
      </c>
      <c r="P17" s="18">
        <v>35021</v>
      </c>
      <c r="Q17" s="18">
        <v>41806</v>
      </c>
      <c r="R17" s="18">
        <v>47367</v>
      </c>
      <c r="S17" s="18">
        <v>50238</v>
      </c>
      <c r="T17" s="18">
        <v>31423</v>
      </c>
      <c r="U17" s="18">
        <v>33657</v>
      </c>
      <c r="V17" s="18">
        <v>35599</v>
      </c>
      <c r="W17" s="18">
        <v>36548</v>
      </c>
      <c r="X17" s="18">
        <v>36993</v>
      </c>
      <c r="Y17" s="18">
        <v>34610</v>
      </c>
      <c r="Z17" s="18">
        <v>31854</v>
      </c>
      <c r="AA17" s="18">
        <v>915452</v>
      </c>
      <c r="AB17" s="20">
        <v>5</v>
      </c>
      <c r="AC17" s="19">
        <f t="shared" si="0"/>
        <v>4577260</v>
      </c>
      <c r="AD17" s="103"/>
    </row>
    <row r="18" spans="1:34" x14ac:dyDescent="0.35">
      <c r="A18" s="101"/>
      <c r="B18" s="22" t="s">
        <v>43</v>
      </c>
      <c r="C18" s="18">
        <v>42361</v>
      </c>
      <c r="D18" s="18">
        <v>39395</v>
      </c>
      <c r="E18" s="18">
        <v>37594</v>
      </c>
      <c r="F18" s="18">
        <v>36348</v>
      </c>
      <c r="G18" s="18">
        <v>36025</v>
      </c>
      <c r="H18" s="18">
        <v>35604</v>
      </c>
      <c r="I18" s="18">
        <v>35443</v>
      </c>
      <c r="J18" s="18">
        <v>31786</v>
      </c>
      <c r="K18" s="18">
        <v>30422</v>
      </c>
      <c r="L18" s="18">
        <v>29569</v>
      </c>
      <c r="M18" s="18">
        <v>29717</v>
      </c>
      <c r="N18" s="18">
        <v>30038</v>
      </c>
      <c r="O18" s="18">
        <v>29873</v>
      </c>
      <c r="P18" s="18">
        <v>35332</v>
      </c>
      <c r="Q18" s="18">
        <v>41169</v>
      </c>
      <c r="R18" s="18">
        <v>44994</v>
      </c>
      <c r="S18" s="18">
        <v>47007</v>
      </c>
      <c r="T18" s="18">
        <v>27498</v>
      </c>
      <c r="U18" s="18">
        <v>30392</v>
      </c>
      <c r="V18" s="18">
        <v>32257</v>
      </c>
      <c r="W18" s="18">
        <v>32754</v>
      </c>
      <c r="X18" s="18">
        <v>32291</v>
      </c>
      <c r="Y18" s="18">
        <v>29247</v>
      </c>
      <c r="Z18" s="18">
        <v>26060</v>
      </c>
      <c r="AA18" s="18">
        <v>809918</v>
      </c>
      <c r="AB18" s="20">
        <v>1</v>
      </c>
      <c r="AC18" s="19">
        <f t="shared" si="0"/>
        <v>809918</v>
      </c>
      <c r="AD18" s="104"/>
    </row>
    <row r="19" spans="1:34" x14ac:dyDescent="0.35">
      <c r="A19" s="99">
        <v>46113</v>
      </c>
      <c r="B19" s="17" t="s">
        <v>40</v>
      </c>
      <c r="C19" s="18">
        <v>54112</v>
      </c>
      <c r="D19" s="18">
        <v>51100</v>
      </c>
      <c r="E19" s="18">
        <v>49042</v>
      </c>
      <c r="F19" s="18">
        <v>47561</v>
      </c>
      <c r="G19" s="18">
        <v>47598</v>
      </c>
      <c r="H19" s="18">
        <v>49302</v>
      </c>
      <c r="I19" s="18">
        <v>49891</v>
      </c>
      <c r="J19" s="18">
        <v>49194</v>
      </c>
      <c r="K19" s="18">
        <v>50572</v>
      </c>
      <c r="L19" s="18">
        <v>50204</v>
      </c>
      <c r="M19" s="18">
        <v>50970</v>
      </c>
      <c r="N19" s="18">
        <v>50042</v>
      </c>
      <c r="O19" s="18">
        <v>44855</v>
      </c>
      <c r="P19" s="18">
        <v>55383</v>
      </c>
      <c r="Q19" s="18">
        <v>68022</v>
      </c>
      <c r="R19" s="18">
        <v>73037</v>
      </c>
      <c r="S19" s="18">
        <v>73863</v>
      </c>
      <c r="T19" s="18">
        <v>43956</v>
      </c>
      <c r="U19" s="18">
        <v>44438</v>
      </c>
      <c r="V19" s="18">
        <v>43664</v>
      </c>
      <c r="W19" s="18">
        <v>43105</v>
      </c>
      <c r="X19" s="18">
        <v>42029</v>
      </c>
      <c r="Y19" s="18">
        <v>39045</v>
      </c>
      <c r="Z19" s="18">
        <v>35647</v>
      </c>
      <c r="AA19" s="18">
        <v>1157506</v>
      </c>
      <c r="AB19" s="20">
        <v>20</v>
      </c>
      <c r="AC19" s="19">
        <f t="shared" si="0"/>
        <v>23150120</v>
      </c>
      <c r="AD19" s="102">
        <f>+SUM(AC19:AC22)</f>
        <v>33072292</v>
      </c>
    </row>
    <row r="20" spans="1:34" x14ac:dyDescent="0.35">
      <c r="A20" s="100"/>
      <c r="B20" s="21" t="s">
        <v>41</v>
      </c>
      <c r="C20" s="18">
        <v>55623</v>
      </c>
      <c r="D20" s="18">
        <v>52812</v>
      </c>
      <c r="E20" s="18">
        <v>50701</v>
      </c>
      <c r="F20" s="18">
        <v>48709</v>
      </c>
      <c r="G20" s="18">
        <v>48019</v>
      </c>
      <c r="H20" s="18">
        <v>47476</v>
      </c>
      <c r="I20" s="18">
        <v>48345</v>
      </c>
      <c r="J20" s="18">
        <v>47163</v>
      </c>
      <c r="K20" s="18">
        <v>48995</v>
      </c>
      <c r="L20" s="18">
        <v>48726</v>
      </c>
      <c r="M20" s="18">
        <v>49194</v>
      </c>
      <c r="N20" s="18">
        <v>48527</v>
      </c>
      <c r="O20" s="18">
        <v>45874</v>
      </c>
      <c r="P20" s="18">
        <v>50440</v>
      </c>
      <c r="Q20" s="18">
        <v>57766</v>
      </c>
      <c r="R20" s="18">
        <v>62385</v>
      </c>
      <c r="S20" s="18">
        <v>63268</v>
      </c>
      <c r="T20" s="18">
        <v>40158</v>
      </c>
      <c r="U20" s="18">
        <v>41684</v>
      </c>
      <c r="V20" s="18">
        <v>40333</v>
      </c>
      <c r="W20" s="18">
        <v>39051</v>
      </c>
      <c r="X20" s="18">
        <v>37622</v>
      </c>
      <c r="Y20" s="18">
        <v>35985</v>
      </c>
      <c r="Z20" s="18">
        <v>34045</v>
      </c>
      <c r="AA20" s="18">
        <v>1097714</v>
      </c>
      <c r="AB20" s="20">
        <v>4</v>
      </c>
      <c r="AC20" s="19">
        <f t="shared" si="0"/>
        <v>4390856</v>
      </c>
      <c r="AD20" s="103"/>
    </row>
    <row r="21" spans="1:34" x14ac:dyDescent="0.35">
      <c r="A21" s="100"/>
      <c r="B21" s="21" t="s">
        <v>42</v>
      </c>
      <c r="C21" s="18">
        <v>55418</v>
      </c>
      <c r="D21" s="18">
        <v>52131</v>
      </c>
      <c r="E21" s="18">
        <v>49727</v>
      </c>
      <c r="F21" s="18">
        <v>47878</v>
      </c>
      <c r="G21" s="18">
        <v>46671</v>
      </c>
      <c r="H21" s="18">
        <v>45329</v>
      </c>
      <c r="I21" s="18">
        <v>44377</v>
      </c>
      <c r="J21" s="18">
        <v>39543</v>
      </c>
      <c r="K21" s="18">
        <v>37391</v>
      </c>
      <c r="L21" s="18">
        <v>35265</v>
      </c>
      <c r="M21" s="18">
        <v>33797</v>
      </c>
      <c r="N21" s="18">
        <v>34024</v>
      </c>
      <c r="O21" s="18">
        <v>34895</v>
      </c>
      <c r="P21" s="18">
        <v>39546</v>
      </c>
      <c r="Q21" s="18">
        <v>46346</v>
      </c>
      <c r="R21" s="18">
        <v>51534</v>
      </c>
      <c r="S21" s="18">
        <v>54115</v>
      </c>
      <c r="T21" s="18">
        <v>33689</v>
      </c>
      <c r="U21" s="18">
        <v>36377</v>
      </c>
      <c r="V21" s="18">
        <v>37463</v>
      </c>
      <c r="W21" s="18">
        <v>36460</v>
      </c>
      <c r="X21" s="18">
        <v>36295</v>
      </c>
      <c r="Y21" s="18">
        <v>34263</v>
      </c>
      <c r="Z21" s="18">
        <v>31107</v>
      </c>
      <c r="AA21" s="18">
        <v>962733</v>
      </c>
      <c r="AB21" s="20">
        <v>4</v>
      </c>
      <c r="AC21" s="19">
        <f t="shared" si="0"/>
        <v>3850932</v>
      </c>
      <c r="AD21" s="103"/>
    </row>
    <row r="22" spans="1:34" x14ac:dyDescent="0.35">
      <c r="A22" s="101"/>
      <c r="B22" s="22" t="s">
        <v>43</v>
      </c>
      <c r="C22" s="18">
        <v>52070</v>
      </c>
      <c r="D22" s="18">
        <v>49048</v>
      </c>
      <c r="E22" s="18">
        <v>46782</v>
      </c>
      <c r="F22" s="18">
        <v>45079</v>
      </c>
      <c r="G22" s="18">
        <v>43800</v>
      </c>
      <c r="H22" s="18">
        <v>42492</v>
      </c>
      <c r="I22" s="18">
        <v>41695</v>
      </c>
      <c r="J22" s="18">
        <v>35310</v>
      </c>
      <c r="K22" s="18">
        <v>31207</v>
      </c>
      <c r="L22" s="18">
        <v>27734</v>
      </c>
      <c r="M22" s="18">
        <v>25457</v>
      </c>
      <c r="N22" s="18">
        <v>25386</v>
      </c>
      <c r="O22" s="18">
        <v>26491</v>
      </c>
      <c r="P22" s="18">
        <v>31087</v>
      </c>
      <c r="Q22" s="18">
        <v>37855</v>
      </c>
      <c r="R22" s="18">
        <v>42510</v>
      </c>
      <c r="S22" s="18">
        <v>44890</v>
      </c>
      <c r="T22" s="18">
        <v>28285</v>
      </c>
      <c r="U22" s="18">
        <v>30975</v>
      </c>
      <c r="V22" s="18">
        <v>32104</v>
      </c>
      <c r="W22" s="18">
        <v>31476</v>
      </c>
      <c r="X22" s="18">
        <v>31425</v>
      </c>
      <c r="Y22" s="18">
        <v>30945</v>
      </c>
      <c r="Z22" s="18">
        <v>29421</v>
      </c>
      <c r="AA22" s="18">
        <v>840192</v>
      </c>
      <c r="AB22" s="20">
        <v>2</v>
      </c>
      <c r="AC22" s="19">
        <f t="shared" si="0"/>
        <v>1680384</v>
      </c>
      <c r="AD22" s="104"/>
    </row>
    <row r="23" spans="1:34" x14ac:dyDescent="0.35">
      <c r="A23" s="99">
        <v>46143</v>
      </c>
      <c r="B23" s="17" t="s">
        <v>40</v>
      </c>
      <c r="C23" s="18">
        <v>28720</v>
      </c>
      <c r="D23" s="18">
        <v>25771</v>
      </c>
      <c r="E23" s="18">
        <v>23445</v>
      </c>
      <c r="F23" s="18">
        <v>21787</v>
      </c>
      <c r="G23" s="18">
        <v>21279</v>
      </c>
      <c r="H23" s="18">
        <v>21378</v>
      </c>
      <c r="I23" s="18">
        <v>21748</v>
      </c>
      <c r="J23" s="18">
        <v>21050</v>
      </c>
      <c r="K23" s="18">
        <v>22666</v>
      </c>
      <c r="L23" s="18">
        <v>22622</v>
      </c>
      <c r="M23" s="18">
        <v>23165</v>
      </c>
      <c r="N23" s="18">
        <v>21980</v>
      </c>
      <c r="O23" s="18">
        <v>16957</v>
      </c>
      <c r="P23" s="18">
        <v>28078</v>
      </c>
      <c r="Q23" s="18">
        <v>40558</v>
      </c>
      <c r="R23" s="18">
        <v>45072</v>
      </c>
      <c r="S23" s="18">
        <v>45643</v>
      </c>
      <c r="T23" s="18">
        <v>17328</v>
      </c>
      <c r="U23" s="18">
        <v>15875</v>
      </c>
      <c r="V23" s="18">
        <v>15385</v>
      </c>
      <c r="W23" s="18">
        <v>15950</v>
      </c>
      <c r="X23" s="18">
        <v>15542</v>
      </c>
      <c r="Y23" s="18">
        <v>13042</v>
      </c>
      <c r="Z23" s="18">
        <v>9838</v>
      </c>
      <c r="AA23" s="18">
        <v>599078</v>
      </c>
      <c r="AB23" s="20">
        <v>19</v>
      </c>
      <c r="AC23" s="19">
        <f t="shared" si="0"/>
        <v>11382482</v>
      </c>
      <c r="AD23" s="102">
        <f>+SUM(AC23:AC26)</f>
        <v>16640411</v>
      </c>
    </row>
    <row r="24" spans="1:34" x14ac:dyDescent="0.35">
      <c r="A24" s="100"/>
      <c r="B24" s="21" t="s">
        <v>41</v>
      </c>
      <c r="C24" s="18">
        <v>29570</v>
      </c>
      <c r="D24" s="18">
        <v>26110</v>
      </c>
      <c r="E24" s="18">
        <v>23369</v>
      </c>
      <c r="F24" s="18">
        <v>21542</v>
      </c>
      <c r="G24" s="18">
        <v>20578</v>
      </c>
      <c r="H24" s="18">
        <v>19040</v>
      </c>
      <c r="I24" s="18">
        <v>20487</v>
      </c>
      <c r="J24" s="18">
        <v>19346</v>
      </c>
      <c r="K24" s="18">
        <v>21411</v>
      </c>
      <c r="L24" s="18">
        <v>21970</v>
      </c>
      <c r="M24" s="18">
        <v>22511</v>
      </c>
      <c r="N24" s="18">
        <v>21338</v>
      </c>
      <c r="O24" s="18">
        <v>18714</v>
      </c>
      <c r="P24" s="18">
        <v>23675</v>
      </c>
      <c r="Q24" s="18">
        <v>30947</v>
      </c>
      <c r="R24" s="18">
        <v>34302</v>
      </c>
      <c r="S24" s="18">
        <v>35033</v>
      </c>
      <c r="T24" s="18">
        <v>11024</v>
      </c>
      <c r="U24" s="18">
        <v>11981</v>
      </c>
      <c r="V24" s="18">
        <v>12005</v>
      </c>
      <c r="W24" s="18">
        <v>10833</v>
      </c>
      <c r="X24" s="18">
        <v>10146</v>
      </c>
      <c r="Y24" s="18">
        <v>9157</v>
      </c>
      <c r="Z24" s="18">
        <v>6813</v>
      </c>
      <c r="AA24" s="18">
        <v>533022</v>
      </c>
      <c r="AB24" s="20">
        <v>5</v>
      </c>
      <c r="AC24" s="19">
        <f t="shared" si="0"/>
        <v>2665110</v>
      </c>
      <c r="AD24" s="103"/>
    </row>
    <row r="25" spans="1:34" x14ac:dyDescent="0.35">
      <c r="A25" s="100"/>
      <c r="B25" s="21" t="s">
        <v>42</v>
      </c>
      <c r="C25" s="18">
        <v>27539</v>
      </c>
      <c r="D25" s="18">
        <v>24850</v>
      </c>
      <c r="E25" s="18">
        <v>22586</v>
      </c>
      <c r="F25" s="18">
        <v>20745</v>
      </c>
      <c r="G25" s="18">
        <v>19484</v>
      </c>
      <c r="H25" s="18">
        <v>17142</v>
      </c>
      <c r="I25" s="18">
        <v>16948</v>
      </c>
      <c r="J25" s="18">
        <v>12209</v>
      </c>
      <c r="K25" s="18">
        <v>9695</v>
      </c>
      <c r="L25" s="18">
        <v>7589</v>
      </c>
      <c r="M25" s="18">
        <v>6486</v>
      </c>
      <c r="N25" s="18">
        <v>5675</v>
      </c>
      <c r="O25" s="18">
        <v>5385</v>
      </c>
      <c r="P25" s="18">
        <v>9405</v>
      </c>
      <c r="Q25" s="18">
        <v>16518</v>
      </c>
      <c r="R25" s="18">
        <v>21482</v>
      </c>
      <c r="S25" s="18">
        <v>24193</v>
      </c>
      <c r="T25" s="18">
        <v>5506</v>
      </c>
      <c r="U25" s="18">
        <v>7589</v>
      </c>
      <c r="V25" s="18">
        <v>8555</v>
      </c>
      <c r="W25" s="18">
        <v>9223</v>
      </c>
      <c r="X25" s="18">
        <v>10180</v>
      </c>
      <c r="Y25" s="18">
        <v>9056</v>
      </c>
      <c r="Z25" s="18">
        <v>6550</v>
      </c>
      <c r="AA25" s="18">
        <v>388959</v>
      </c>
      <c r="AB25" s="20">
        <v>5</v>
      </c>
      <c r="AC25" s="19">
        <f t="shared" si="0"/>
        <v>1944795</v>
      </c>
      <c r="AD25" s="103"/>
    </row>
    <row r="26" spans="1:34" x14ac:dyDescent="0.35">
      <c r="A26" s="101"/>
      <c r="B26" s="22" t="s">
        <v>43</v>
      </c>
      <c r="C26" s="18">
        <v>20534</v>
      </c>
      <c r="D26" s="18">
        <v>17854</v>
      </c>
      <c r="E26" s="18">
        <v>15862</v>
      </c>
      <c r="F26" s="18">
        <v>14292</v>
      </c>
      <c r="G26" s="18">
        <v>13510</v>
      </c>
      <c r="H26" s="18">
        <v>11645</v>
      </c>
      <c r="I26" s="18">
        <v>12038</v>
      </c>
      <c r="J26" s="18">
        <v>7764</v>
      </c>
      <c r="K26" s="18">
        <v>6132</v>
      </c>
      <c r="L26" s="18">
        <v>4947</v>
      </c>
      <c r="M26" s="18">
        <v>4392</v>
      </c>
      <c r="N26" s="18">
        <v>4229</v>
      </c>
      <c r="O26" s="18">
        <v>4289</v>
      </c>
      <c r="P26" s="18">
        <v>9360</v>
      </c>
      <c r="Q26" s="18">
        <v>15871</v>
      </c>
      <c r="R26" s="18">
        <v>20681</v>
      </c>
      <c r="S26" s="18">
        <v>22536</v>
      </c>
      <c r="T26" s="18">
        <v>2557</v>
      </c>
      <c r="U26" s="18">
        <v>5406</v>
      </c>
      <c r="V26" s="18">
        <v>8205</v>
      </c>
      <c r="W26" s="18">
        <v>9294</v>
      </c>
      <c r="X26" s="18">
        <v>9601</v>
      </c>
      <c r="Y26" s="18">
        <v>7041</v>
      </c>
      <c r="Z26" s="18">
        <v>3392</v>
      </c>
      <c r="AA26" s="18">
        <v>324012</v>
      </c>
      <c r="AB26" s="20">
        <v>2</v>
      </c>
      <c r="AC26" s="19">
        <f t="shared" si="0"/>
        <v>648024</v>
      </c>
      <c r="AD26" s="104"/>
    </row>
    <row r="27" spans="1:34" x14ac:dyDescent="0.35">
      <c r="A27" s="99">
        <v>46174</v>
      </c>
      <c r="B27" s="17" t="s">
        <v>40</v>
      </c>
      <c r="C27" s="18">
        <v>30155</v>
      </c>
      <c r="D27" s="18">
        <v>27061</v>
      </c>
      <c r="E27" s="18">
        <v>24567</v>
      </c>
      <c r="F27" s="18">
        <v>22941</v>
      </c>
      <c r="G27" s="18">
        <v>22393</v>
      </c>
      <c r="H27" s="18">
        <v>22191</v>
      </c>
      <c r="I27" s="18">
        <v>23605</v>
      </c>
      <c r="J27" s="18">
        <v>23697</v>
      </c>
      <c r="K27" s="18">
        <v>25542</v>
      </c>
      <c r="L27" s="18">
        <v>25248</v>
      </c>
      <c r="M27" s="18">
        <v>25736</v>
      </c>
      <c r="N27" s="18">
        <v>25060</v>
      </c>
      <c r="O27" s="18">
        <v>19385</v>
      </c>
      <c r="P27" s="18">
        <v>29837</v>
      </c>
      <c r="Q27" s="18">
        <v>41545</v>
      </c>
      <c r="R27" s="18">
        <v>46380</v>
      </c>
      <c r="S27" s="18">
        <v>47344</v>
      </c>
      <c r="T27" s="18">
        <v>16434</v>
      </c>
      <c r="U27" s="18">
        <v>15740</v>
      </c>
      <c r="V27" s="18">
        <v>15457</v>
      </c>
      <c r="W27" s="18">
        <v>15522</v>
      </c>
      <c r="X27" s="18">
        <v>15062</v>
      </c>
      <c r="Y27" s="18">
        <v>12790</v>
      </c>
      <c r="Z27" s="18">
        <v>9634</v>
      </c>
      <c r="AA27" s="18">
        <v>628342</v>
      </c>
      <c r="AB27" s="20">
        <v>19</v>
      </c>
      <c r="AC27" s="19">
        <f t="shared" si="0"/>
        <v>11938498</v>
      </c>
      <c r="AD27" s="102">
        <f>+SUM(AC27:AC30)</f>
        <v>17037915</v>
      </c>
      <c r="AE27" s="23"/>
      <c r="AG27" s="23"/>
      <c r="AH27" s="24"/>
    </row>
    <row r="28" spans="1:34" x14ac:dyDescent="0.35">
      <c r="A28" s="100"/>
      <c r="B28" s="21" t="s">
        <v>41</v>
      </c>
      <c r="C28" s="18">
        <v>29736</v>
      </c>
      <c r="D28" s="18">
        <v>26725</v>
      </c>
      <c r="E28" s="18">
        <v>24348</v>
      </c>
      <c r="F28" s="18">
        <v>22491</v>
      </c>
      <c r="G28" s="18">
        <v>21847</v>
      </c>
      <c r="H28" s="18">
        <v>20448</v>
      </c>
      <c r="I28" s="18">
        <v>22012</v>
      </c>
      <c r="J28" s="18">
        <v>22070</v>
      </c>
      <c r="K28" s="18">
        <v>23696</v>
      </c>
      <c r="L28" s="18">
        <v>23491</v>
      </c>
      <c r="M28" s="18">
        <v>23355</v>
      </c>
      <c r="N28" s="18">
        <v>21985</v>
      </c>
      <c r="O28" s="18">
        <v>18635</v>
      </c>
      <c r="P28" s="18">
        <v>22978</v>
      </c>
      <c r="Q28" s="18">
        <v>31726</v>
      </c>
      <c r="R28" s="18">
        <v>36841</v>
      </c>
      <c r="S28" s="18">
        <v>37750</v>
      </c>
      <c r="T28" s="18">
        <v>12934</v>
      </c>
      <c r="U28" s="18">
        <v>14070</v>
      </c>
      <c r="V28" s="18">
        <v>13019</v>
      </c>
      <c r="W28" s="18">
        <v>12050</v>
      </c>
      <c r="X28" s="18">
        <v>11016</v>
      </c>
      <c r="Y28" s="18">
        <v>9724</v>
      </c>
      <c r="Z28" s="18">
        <v>7745</v>
      </c>
      <c r="AA28" s="18">
        <v>562162</v>
      </c>
      <c r="AB28" s="20">
        <v>4</v>
      </c>
      <c r="AC28" s="19">
        <f t="shared" si="0"/>
        <v>2248648</v>
      </c>
      <c r="AD28" s="103"/>
      <c r="AE28" s="23"/>
      <c r="AG28" s="23"/>
      <c r="AH28" s="24"/>
    </row>
    <row r="29" spans="1:34" x14ac:dyDescent="0.35">
      <c r="A29" s="100"/>
      <c r="B29" s="21" t="s">
        <v>42</v>
      </c>
      <c r="C29" s="18">
        <v>29560</v>
      </c>
      <c r="D29" s="18">
        <v>26961</v>
      </c>
      <c r="E29" s="18">
        <v>24720</v>
      </c>
      <c r="F29" s="18">
        <v>22727</v>
      </c>
      <c r="G29" s="18">
        <v>21641</v>
      </c>
      <c r="H29" s="18">
        <v>19230</v>
      </c>
      <c r="I29" s="18">
        <v>18875</v>
      </c>
      <c r="J29" s="18">
        <v>14302</v>
      </c>
      <c r="K29" s="18">
        <v>11168</v>
      </c>
      <c r="L29" s="18">
        <v>9753</v>
      </c>
      <c r="M29" s="18">
        <v>7425</v>
      </c>
      <c r="N29" s="18">
        <v>6667</v>
      </c>
      <c r="O29" s="18">
        <v>7437</v>
      </c>
      <c r="P29" s="18">
        <v>11925</v>
      </c>
      <c r="Q29" s="18">
        <v>18766</v>
      </c>
      <c r="R29" s="18">
        <v>24046</v>
      </c>
      <c r="S29" s="18">
        <v>27018</v>
      </c>
      <c r="T29" s="18">
        <v>5713</v>
      </c>
      <c r="U29" s="18">
        <v>8089</v>
      </c>
      <c r="V29" s="18">
        <v>9955</v>
      </c>
      <c r="W29" s="18">
        <v>10716</v>
      </c>
      <c r="X29" s="18">
        <v>12134</v>
      </c>
      <c r="Y29" s="18">
        <v>11415</v>
      </c>
      <c r="Z29" s="18">
        <v>9479</v>
      </c>
      <c r="AA29" s="18">
        <v>432004</v>
      </c>
      <c r="AB29" s="20">
        <v>4</v>
      </c>
      <c r="AC29" s="19">
        <f t="shared" si="0"/>
        <v>1728016</v>
      </c>
      <c r="AD29" s="103"/>
      <c r="AE29" s="23"/>
      <c r="AG29" s="23"/>
      <c r="AH29" s="24"/>
    </row>
    <row r="30" spans="1:34" x14ac:dyDescent="0.35">
      <c r="A30" s="101"/>
      <c r="B30" s="22" t="s">
        <v>43</v>
      </c>
      <c r="C30" s="18">
        <v>22959</v>
      </c>
      <c r="D30" s="18">
        <v>20371</v>
      </c>
      <c r="E30" s="18">
        <v>18424</v>
      </c>
      <c r="F30" s="18">
        <v>16785</v>
      </c>
      <c r="G30" s="18">
        <v>16041</v>
      </c>
      <c r="H30" s="18">
        <v>14313</v>
      </c>
      <c r="I30" s="18">
        <v>14679</v>
      </c>
      <c r="J30" s="18">
        <v>11793</v>
      </c>
      <c r="K30" s="18">
        <v>11295</v>
      </c>
      <c r="L30" s="18">
        <v>10920</v>
      </c>
      <c r="M30" s="18">
        <v>10244</v>
      </c>
      <c r="N30" s="18">
        <v>9377</v>
      </c>
      <c r="O30" s="18">
        <v>8513</v>
      </c>
      <c r="P30" s="18">
        <v>12798</v>
      </c>
      <c r="Q30" s="18">
        <v>19130</v>
      </c>
      <c r="R30" s="18">
        <v>23297</v>
      </c>
      <c r="S30" s="18">
        <v>24775</v>
      </c>
      <c r="T30" s="18">
        <v>2240</v>
      </c>
      <c r="U30" s="18">
        <v>4188</v>
      </c>
      <c r="V30" s="18">
        <v>7301</v>
      </c>
      <c r="W30" s="18">
        <v>7382</v>
      </c>
      <c r="X30" s="18">
        <v>7508</v>
      </c>
      <c r="Y30" s="18">
        <v>5741</v>
      </c>
      <c r="Z30" s="18">
        <v>2876</v>
      </c>
      <c r="AA30" s="18">
        <v>374251</v>
      </c>
      <c r="AB30" s="20">
        <v>3</v>
      </c>
      <c r="AC30" s="19">
        <f t="shared" si="0"/>
        <v>1122753</v>
      </c>
      <c r="AD30" s="104"/>
      <c r="AE30" s="23"/>
      <c r="AG30" s="23"/>
      <c r="AH30" s="24"/>
    </row>
    <row r="31" spans="1:34" x14ac:dyDescent="0.35">
      <c r="A31" s="99">
        <v>46204</v>
      </c>
      <c r="B31" s="17" t="s">
        <v>40</v>
      </c>
      <c r="C31" s="18">
        <v>28040</v>
      </c>
      <c r="D31" s="18">
        <v>25019</v>
      </c>
      <c r="E31" s="18">
        <v>22819</v>
      </c>
      <c r="F31" s="18">
        <v>21002</v>
      </c>
      <c r="G31" s="18">
        <v>20412</v>
      </c>
      <c r="H31" s="18">
        <v>20782</v>
      </c>
      <c r="I31" s="18">
        <v>21469</v>
      </c>
      <c r="J31" s="18">
        <v>20654</v>
      </c>
      <c r="K31" s="18">
        <v>22342</v>
      </c>
      <c r="L31" s="18">
        <v>22057</v>
      </c>
      <c r="M31" s="18">
        <v>22560</v>
      </c>
      <c r="N31" s="18">
        <v>20911</v>
      </c>
      <c r="O31" s="18">
        <v>15301</v>
      </c>
      <c r="P31" s="18">
        <v>25324</v>
      </c>
      <c r="Q31" s="18">
        <v>36832</v>
      </c>
      <c r="R31" s="18">
        <v>41523</v>
      </c>
      <c r="S31" s="18">
        <v>42090</v>
      </c>
      <c r="T31" s="18">
        <v>13706</v>
      </c>
      <c r="U31" s="18">
        <v>12877</v>
      </c>
      <c r="V31" s="18">
        <v>13167</v>
      </c>
      <c r="W31" s="18">
        <v>13758</v>
      </c>
      <c r="X31" s="18">
        <v>13354</v>
      </c>
      <c r="Y31" s="18">
        <v>11015</v>
      </c>
      <c r="Z31" s="18">
        <v>7884</v>
      </c>
      <c r="AA31" s="18">
        <v>562796</v>
      </c>
      <c r="AB31" s="20">
        <v>22</v>
      </c>
      <c r="AC31" s="19">
        <f t="shared" si="0"/>
        <v>12381512</v>
      </c>
      <c r="AD31" s="102">
        <f>+SUM(AC31:AC34)</f>
        <v>16335944</v>
      </c>
      <c r="AE31" s="23"/>
      <c r="AG31" s="23"/>
      <c r="AH31" s="24"/>
    </row>
    <row r="32" spans="1:34" x14ac:dyDescent="0.35">
      <c r="A32" s="100"/>
      <c r="B32" s="21" t="s">
        <v>41</v>
      </c>
      <c r="C32" s="18">
        <v>25967</v>
      </c>
      <c r="D32" s="18">
        <v>23374</v>
      </c>
      <c r="E32" s="18">
        <v>21323</v>
      </c>
      <c r="F32" s="18">
        <v>19697</v>
      </c>
      <c r="G32" s="18">
        <v>19233</v>
      </c>
      <c r="H32" s="18">
        <v>18113</v>
      </c>
      <c r="I32" s="18">
        <v>18852</v>
      </c>
      <c r="J32" s="18">
        <v>17597</v>
      </c>
      <c r="K32" s="18">
        <v>18728</v>
      </c>
      <c r="L32" s="18">
        <v>18570</v>
      </c>
      <c r="M32" s="18">
        <v>18118</v>
      </c>
      <c r="N32" s="18">
        <v>17482</v>
      </c>
      <c r="O32" s="18">
        <v>14778</v>
      </c>
      <c r="P32" s="18">
        <v>19819</v>
      </c>
      <c r="Q32" s="18">
        <v>27879</v>
      </c>
      <c r="R32" s="18">
        <v>31971</v>
      </c>
      <c r="S32" s="18">
        <v>32459</v>
      </c>
      <c r="T32" s="18">
        <v>7657</v>
      </c>
      <c r="U32" s="18">
        <v>9758</v>
      </c>
      <c r="V32" s="18">
        <v>11109</v>
      </c>
      <c r="W32" s="18">
        <v>10029</v>
      </c>
      <c r="X32" s="18">
        <v>9875</v>
      </c>
      <c r="Y32" s="18">
        <v>9479</v>
      </c>
      <c r="Z32" s="18">
        <v>8141</v>
      </c>
      <c r="AA32" s="18">
        <v>485743</v>
      </c>
      <c r="AB32" s="20">
        <v>4</v>
      </c>
      <c r="AC32" s="19">
        <f t="shared" si="0"/>
        <v>1942972</v>
      </c>
      <c r="AD32" s="103"/>
      <c r="AE32" s="23"/>
      <c r="AG32" s="23"/>
      <c r="AH32" s="24"/>
    </row>
    <row r="33" spans="1:34" x14ac:dyDescent="0.35">
      <c r="A33" s="100"/>
      <c r="B33" s="21" t="s">
        <v>42</v>
      </c>
      <c r="C33" s="18">
        <v>29638</v>
      </c>
      <c r="D33" s="18">
        <v>26914</v>
      </c>
      <c r="E33" s="18">
        <v>24398</v>
      </c>
      <c r="F33" s="18">
        <v>22532</v>
      </c>
      <c r="G33" s="18">
        <v>21237</v>
      </c>
      <c r="H33" s="18">
        <v>19202</v>
      </c>
      <c r="I33" s="18">
        <v>18729</v>
      </c>
      <c r="J33" s="18">
        <v>12340</v>
      </c>
      <c r="K33" s="18">
        <v>9613</v>
      </c>
      <c r="L33" s="18">
        <v>8146</v>
      </c>
      <c r="M33" s="18">
        <v>6210</v>
      </c>
      <c r="N33" s="18">
        <v>5022</v>
      </c>
      <c r="O33" s="18">
        <v>5817</v>
      </c>
      <c r="P33" s="18">
        <v>10588</v>
      </c>
      <c r="Q33" s="18">
        <v>16751</v>
      </c>
      <c r="R33" s="18">
        <v>22100</v>
      </c>
      <c r="S33" s="18">
        <v>24839</v>
      </c>
      <c r="T33" s="18">
        <v>7246</v>
      </c>
      <c r="U33" s="18">
        <v>9473</v>
      </c>
      <c r="V33" s="18">
        <v>11318</v>
      </c>
      <c r="W33" s="18">
        <v>11732</v>
      </c>
      <c r="X33" s="18">
        <v>12415</v>
      </c>
      <c r="Y33" s="18">
        <v>11356</v>
      </c>
      <c r="Z33" s="18">
        <v>9275</v>
      </c>
      <c r="AA33" s="18">
        <v>414825</v>
      </c>
      <c r="AB33" s="20">
        <v>4</v>
      </c>
      <c r="AC33" s="19">
        <f t="shared" si="0"/>
        <v>1659300</v>
      </c>
      <c r="AD33" s="103"/>
      <c r="AE33" s="23"/>
      <c r="AG33" s="23"/>
      <c r="AH33" s="24"/>
    </row>
    <row r="34" spans="1:34" x14ac:dyDescent="0.35">
      <c r="A34" s="101"/>
      <c r="B34" s="22" t="s">
        <v>43</v>
      </c>
      <c r="C34" s="18">
        <v>24697</v>
      </c>
      <c r="D34" s="18">
        <v>21848</v>
      </c>
      <c r="E34" s="18">
        <v>19529</v>
      </c>
      <c r="F34" s="18">
        <v>18132</v>
      </c>
      <c r="G34" s="18">
        <v>17280</v>
      </c>
      <c r="H34" s="18">
        <v>15884</v>
      </c>
      <c r="I34" s="18">
        <v>15510</v>
      </c>
      <c r="J34" s="18">
        <v>11197</v>
      </c>
      <c r="K34" s="18">
        <v>9466</v>
      </c>
      <c r="L34" s="18">
        <v>8099</v>
      </c>
      <c r="M34" s="18">
        <v>6954</v>
      </c>
      <c r="N34" s="18">
        <v>5741</v>
      </c>
      <c r="O34" s="18">
        <v>4842</v>
      </c>
      <c r="P34" s="18">
        <v>9967</v>
      </c>
      <c r="Q34" s="18">
        <v>16313</v>
      </c>
      <c r="R34" s="18">
        <v>21048</v>
      </c>
      <c r="S34" s="18">
        <v>22896</v>
      </c>
      <c r="T34" s="18">
        <v>1949</v>
      </c>
      <c r="U34" s="18">
        <v>4719</v>
      </c>
      <c r="V34" s="18">
        <v>6943</v>
      </c>
      <c r="W34" s="18">
        <v>7030</v>
      </c>
      <c r="X34" s="18">
        <v>6398</v>
      </c>
      <c r="Y34" s="18">
        <v>4241</v>
      </c>
      <c r="Z34" s="18">
        <v>1818</v>
      </c>
      <c r="AA34" s="18">
        <v>352160</v>
      </c>
      <c r="AB34" s="20">
        <v>1</v>
      </c>
      <c r="AC34" s="19">
        <f t="shared" si="0"/>
        <v>352160</v>
      </c>
      <c r="AD34" s="104"/>
      <c r="AE34" s="23"/>
      <c r="AG34" s="23"/>
      <c r="AH34" s="24"/>
    </row>
    <row r="35" spans="1:34" x14ac:dyDescent="0.35">
      <c r="A35" s="99">
        <v>46235</v>
      </c>
      <c r="B35" s="17" t="s">
        <v>40</v>
      </c>
      <c r="C35" s="18">
        <v>29623</v>
      </c>
      <c r="D35" s="18">
        <v>26363</v>
      </c>
      <c r="E35" s="18">
        <v>23978</v>
      </c>
      <c r="F35" s="18">
        <v>22087</v>
      </c>
      <c r="G35" s="18">
        <v>21394</v>
      </c>
      <c r="H35" s="18">
        <v>21423</v>
      </c>
      <c r="I35" s="18">
        <v>21851</v>
      </c>
      <c r="J35" s="18">
        <v>21455</v>
      </c>
      <c r="K35" s="18">
        <v>22655</v>
      </c>
      <c r="L35" s="18">
        <v>22959</v>
      </c>
      <c r="M35" s="18">
        <v>23358</v>
      </c>
      <c r="N35" s="18">
        <v>22277</v>
      </c>
      <c r="O35" s="18">
        <v>16599</v>
      </c>
      <c r="P35" s="18">
        <v>27701</v>
      </c>
      <c r="Q35" s="18">
        <v>40241</v>
      </c>
      <c r="R35" s="18">
        <v>45046</v>
      </c>
      <c r="S35" s="18">
        <v>45897</v>
      </c>
      <c r="T35" s="18">
        <v>15588</v>
      </c>
      <c r="U35" s="18">
        <v>14785</v>
      </c>
      <c r="V35" s="18">
        <v>15518</v>
      </c>
      <c r="W35" s="18">
        <v>16312</v>
      </c>
      <c r="X35" s="18">
        <v>16637</v>
      </c>
      <c r="Y35" s="18">
        <v>14135</v>
      </c>
      <c r="Z35" s="18">
        <v>11241</v>
      </c>
      <c r="AA35" s="18">
        <v>604568</v>
      </c>
      <c r="AB35" s="20">
        <v>19</v>
      </c>
      <c r="AC35" s="19">
        <f t="shared" si="0"/>
        <v>11486792</v>
      </c>
      <c r="AD35" s="102">
        <f>+SUM(AC35:AC38)</f>
        <v>17146466</v>
      </c>
      <c r="AE35" s="23"/>
      <c r="AG35" s="23"/>
      <c r="AH35" s="24"/>
    </row>
    <row r="36" spans="1:34" x14ac:dyDescent="0.35">
      <c r="A36" s="100"/>
      <c r="B36" s="21" t="s">
        <v>41</v>
      </c>
      <c r="C36" s="18">
        <v>34602</v>
      </c>
      <c r="D36" s="18">
        <v>31087</v>
      </c>
      <c r="E36" s="18">
        <v>28290</v>
      </c>
      <c r="F36" s="18">
        <v>26053</v>
      </c>
      <c r="G36" s="18">
        <v>24934</v>
      </c>
      <c r="H36" s="18">
        <v>23159</v>
      </c>
      <c r="I36" s="18">
        <v>23586</v>
      </c>
      <c r="J36" s="18">
        <v>23057</v>
      </c>
      <c r="K36" s="18">
        <v>23978</v>
      </c>
      <c r="L36" s="18">
        <v>24541</v>
      </c>
      <c r="M36" s="18">
        <v>23743</v>
      </c>
      <c r="N36" s="18">
        <v>23594</v>
      </c>
      <c r="O36" s="18">
        <v>19750</v>
      </c>
      <c r="P36" s="18">
        <v>24890</v>
      </c>
      <c r="Q36" s="18">
        <v>32604</v>
      </c>
      <c r="R36" s="18">
        <v>36656</v>
      </c>
      <c r="S36" s="18">
        <v>38011</v>
      </c>
      <c r="T36" s="18">
        <v>13100</v>
      </c>
      <c r="U36" s="18">
        <v>15058</v>
      </c>
      <c r="V36" s="18">
        <v>15151</v>
      </c>
      <c r="W36" s="18">
        <v>14189</v>
      </c>
      <c r="X36" s="18">
        <v>15006</v>
      </c>
      <c r="Y36" s="18">
        <v>14522</v>
      </c>
      <c r="Z36" s="18">
        <v>13069</v>
      </c>
      <c r="AA36" s="18">
        <v>604801</v>
      </c>
      <c r="AB36" s="20">
        <v>5</v>
      </c>
      <c r="AC36" s="19">
        <f t="shared" si="0"/>
        <v>3024005</v>
      </c>
      <c r="AD36" s="103"/>
      <c r="AE36" s="23"/>
      <c r="AG36" s="23"/>
      <c r="AH36" s="24"/>
    </row>
    <row r="37" spans="1:34" x14ac:dyDescent="0.35">
      <c r="A37" s="100"/>
      <c r="B37" s="21" t="s">
        <v>42</v>
      </c>
      <c r="C37" s="18">
        <v>31435</v>
      </c>
      <c r="D37" s="18">
        <v>28351</v>
      </c>
      <c r="E37" s="18">
        <v>25837</v>
      </c>
      <c r="F37" s="18">
        <v>23765</v>
      </c>
      <c r="G37" s="18">
        <v>22098</v>
      </c>
      <c r="H37" s="18">
        <v>19280</v>
      </c>
      <c r="I37" s="18">
        <v>18137</v>
      </c>
      <c r="J37" s="18">
        <v>12985</v>
      </c>
      <c r="K37" s="18">
        <v>9699</v>
      </c>
      <c r="L37" s="18">
        <v>6600</v>
      </c>
      <c r="M37" s="18">
        <v>5291</v>
      </c>
      <c r="N37" s="18">
        <v>3249</v>
      </c>
      <c r="O37" s="18">
        <v>4348</v>
      </c>
      <c r="P37" s="18">
        <v>10681</v>
      </c>
      <c r="Q37" s="18">
        <v>16774</v>
      </c>
      <c r="R37" s="18">
        <v>22095</v>
      </c>
      <c r="S37" s="18">
        <v>23223</v>
      </c>
      <c r="T37" s="18">
        <v>3399</v>
      </c>
      <c r="U37" s="18">
        <v>6469</v>
      </c>
      <c r="V37" s="18">
        <v>7505</v>
      </c>
      <c r="W37" s="18">
        <v>8002</v>
      </c>
      <c r="X37" s="18">
        <v>9292</v>
      </c>
      <c r="Y37" s="18">
        <v>8114</v>
      </c>
      <c r="Z37" s="18">
        <v>6036</v>
      </c>
      <c r="AA37" s="18">
        <v>397007</v>
      </c>
      <c r="AB37" s="20">
        <v>5</v>
      </c>
      <c r="AC37" s="19">
        <f t="shared" si="0"/>
        <v>1985035</v>
      </c>
      <c r="AD37" s="103"/>
      <c r="AE37" s="23"/>
      <c r="AG37" s="23"/>
      <c r="AH37" s="24"/>
    </row>
    <row r="38" spans="1:34" x14ac:dyDescent="0.35">
      <c r="A38" s="101"/>
      <c r="B38" s="22" t="s">
        <v>43</v>
      </c>
      <c r="C38" s="18">
        <v>19642</v>
      </c>
      <c r="D38" s="18">
        <v>17516</v>
      </c>
      <c r="E38" s="18">
        <v>15599</v>
      </c>
      <c r="F38" s="18">
        <v>14430</v>
      </c>
      <c r="G38" s="18">
        <v>13776</v>
      </c>
      <c r="H38" s="18">
        <v>12730</v>
      </c>
      <c r="I38" s="18">
        <v>11922</v>
      </c>
      <c r="J38" s="18">
        <v>7545</v>
      </c>
      <c r="K38" s="18">
        <v>5805</v>
      </c>
      <c r="L38" s="18">
        <v>5452</v>
      </c>
      <c r="M38" s="18">
        <v>4802</v>
      </c>
      <c r="N38" s="18">
        <v>4615</v>
      </c>
      <c r="O38" s="18">
        <v>4648</v>
      </c>
      <c r="P38" s="18">
        <v>9637</v>
      </c>
      <c r="Q38" s="18">
        <v>16130</v>
      </c>
      <c r="R38" s="18">
        <v>21128</v>
      </c>
      <c r="S38" s="18">
        <v>22898</v>
      </c>
      <c r="T38" s="18">
        <v>5</v>
      </c>
      <c r="U38" s="18">
        <v>3663</v>
      </c>
      <c r="V38" s="18">
        <v>6927</v>
      </c>
      <c r="W38" s="18">
        <v>7768</v>
      </c>
      <c r="X38" s="18">
        <v>9817</v>
      </c>
      <c r="Y38" s="18">
        <v>8328</v>
      </c>
      <c r="Z38" s="18">
        <v>3921</v>
      </c>
      <c r="AA38" s="18">
        <v>325317</v>
      </c>
      <c r="AB38" s="20">
        <v>2</v>
      </c>
      <c r="AC38" s="19">
        <f t="shared" si="0"/>
        <v>650634</v>
      </c>
      <c r="AD38" s="104"/>
      <c r="AE38" s="23"/>
      <c r="AG38" s="23"/>
      <c r="AH38" s="24"/>
    </row>
    <row r="39" spans="1:34" x14ac:dyDescent="0.35">
      <c r="A39" s="99">
        <v>46266</v>
      </c>
      <c r="B39" s="17" t="s">
        <v>40</v>
      </c>
      <c r="C39" s="18">
        <v>44214</v>
      </c>
      <c r="D39" s="18">
        <v>40633</v>
      </c>
      <c r="E39" s="18">
        <v>37941</v>
      </c>
      <c r="F39" s="18">
        <v>35826</v>
      </c>
      <c r="G39" s="18">
        <v>35002</v>
      </c>
      <c r="H39" s="18">
        <v>35112</v>
      </c>
      <c r="I39" s="18">
        <v>35828</v>
      </c>
      <c r="J39" s="18">
        <v>35722</v>
      </c>
      <c r="K39" s="18">
        <v>37056</v>
      </c>
      <c r="L39" s="18">
        <v>37470</v>
      </c>
      <c r="M39" s="18">
        <v>38196</v>
      </c>
      <c r="N39" s="18">
        <v>37109</v>
      </c>
      <c r="O39" s="18">
        <v>31802</v>
      </c>
      <c r="P39" s="18">
        <v>43449</v>
      </c>
      <c r="Q39" s="18">
        <v>55201</v>
      </c>
      <c r="R39" s="18">
        <v>59801</v>
      </c>
      <c r="S39" s="18">
        <v>59928</v>
      </c>
      <c r="T39" s="18">
        <v>29787</v>
      </c>
      <c r="U39" s="18">
        <v>29907</v>
      </c>
      <c r="V39" s="18">
        <v>29379</v>
      </c>
      <c r="W39" s="18">
        <v>30049</v>
      </c>
      <c r="X39" s="18">
        <v>30144</v>
      </c>
      <c r="Y39" s="18">
        <v>27761</v>
      </c>
      <c r="Z39" s="18">
        <v>23989</v>
      </c>
      <c r="AA39" s="18">
        <v>900874</v>
      </c>
      <c r="AB39" s="20">
        <v>22</v>
      </c>
      <c r="AC39" s="19">
        <f t="shared" si="0"/>
        <v>19819228</v>
      </c>
      <c r="AD39" s="102">
        <f>+SUM(AC39:AC42)</f>
        <v>26119312</v>
      </c>
      <c r="AE39" s="23"/>
      <c r="AG39" s="23"/>
      <c r="AH39" s="24"/>
    </row>
    <row r="40" spans="1:34" x14ac:dyDescent="0.35">
      <c r="A40" s="100"/>
      <c r="B40" s="21" t="s">
        <v>41</v>
      </c>
      <c r="C40" s="18">
        <v>44379</v>
      </c>
      <c r="D40" s="18">
        <v>41166</v>
      </c>
      <c r="E40" s="18">
        <v>38636</v>
      </c>
      <c r="F40" s="18">
        <v>36712</v>
      </c>
      <c r="G40" s="18">
        <v>35715</v>
      </c>
      <c r="H40" s="18">
        <v>33976</v>
      </c>
      <c r="I40" s="18">
        <v>35239</v>
      </c>
      <c r="J40" s="18">
        <v>35350</v>
      </c>
      <c r="K40" s="18">
        <v>37440</v>
      </c>
      <c r="L40" s="18">
        <v>37304</v>
      </c>
      <c r="M40" s="18">
        <v>37575</v>
      </c>
      <c r="N40" s="18">
        <v>37023</v>
      </c>
      <c r="O40" s="18">
        <v>33385</v>
      </c>
      <c r="P40" s="18">
        <v>39014</v>
      </c>
      <c r="Q40" s="18">
        <v>47217</v>
      </c>
      <c r="R40" s="18">
        <v>51532</v>
      </c>
      <c r="S40" s="18">
        <v>52231</v>
      </c>
      <c r="T40" s="18">
        <v>28209</v>
      </c>
      <c r="U40" s="18">
        <v>30145</v>
      </c>
      <c r="V40" s="18">
        <v>28678</v>
      </c>
      <c r="W40" s="18">
        <v>27332</v>
      </c>
      <c r="X40" s="18">
        <v>26955</v>
      </c>
      <c r="Y40" s="18">
        <v>25658</v>
      </c>
      <c r="Z40" s="18">
        <v>23942</v>
      </c>
      <c r="AA40" s="18">
        <v>866453</v>
      </c>
      <c r="AB40" s="20">
        <v>4</v>
      </c>
      <c r="AC40" s="19">
        <f t="shared" si="0"/>
        <v>3465812</v>
      </c>
      <c r="AD40" s="103"/>
      <c r="AE40" s="23"/>
      <c r="AG40" s="23"/>
      <c r="AH40" s="24"/>
    </row>
    <row r="41" spans="1:34" x14ac:dyDescent="0.35">
      <c r="A41" s="100"/>
      <c r="B41" s="21" t="s">
        <v>42</v>
      </c>
      <c r="C41" s="18">
        <v>43899</v>
      </c>
      <c r="D41" s="18">
        <v>40971</v>
      </c>
      <c r="E41" s="18">
        <v>38751</v>
      </c>
      <c r="F41" s="18">
        <v>36908</v>
      </c>
      <c r="G41" s="18">
        <v>35424</v>
      </c>
      <c r="H41" s="18">
        <v>33575</v>
      </c>
      <c r="I41" s="18">
        <v>33042</v>
      </c>
      <c r="J41" s="18">
        <v>27680</v>
      </c>
      <c r="K41" s="18">
        <v>24456</v>
      </c>
      <c r="L41" s="18">
        <v>21383</v>
      </c>
      <c r="M41" s="18">
        <v>20535</v>
      </c>
      <c r="N41" s="18">
        <v>20102</v>
      </c>
      <c r="O41" s="18">
        <v>19667</v>
      </c>
      <c r="P41" s="18">
        <v>25117</v>
      </c>
      <c r="Q41" s="18">
        <v>32964</v>
      </c>
      <c r="R41" s="18">
        <v>37863</v>
      </c>
      <c r="S41" s="18">
        <v>40063</v>
      </c>
      <c r="T41" s="18">
        <v>19684</v>
      </c>
      <c r="U41" s="18">
        <v>22427</v>
      </c>
      <c r="V41" s="18">
        <v>23761</v>
      </c>
      <c r="W41" s="18">
        <v>24386</v>
      </c>
      <c r="X41" s="18">
        <v>24933</v>
      </c>
      <c r="Y41" s="18">
        <v>23283</v>
      </c>
      <c r="Z41" s="18">
        <v>20723</v>
      </c>
      <c r="AA41" s="18">
        <v>708568</v>
      </c>
      <c r="AB41" s="20">
        <v>4</v>
      </c>
      <c r="AC41" s="19">
        <f t="shared" si="0"/>
        <v>2834272</v>
      </c>
      <c r="AD41" s="103"/>
      <c r="AE41" s="23"/>
      <c r="AG41" s="23"/>
      <c r="AH41" s="24"/>
    </row>
    <row r="42" spans="1:34" x14ac:dyDescent="0.35">
      <c r="A42" s="101"/>
      <c r="B42" s="22" t="s">
        <v>43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20">
        <v>0</v>
      </c>
      <c r="AC42" s="19">
        <f t="shared" si="0"/>
        <v>0</v>
      </c>
      <c r="AD42" s="104"/>
      <c r="AE42" s="23"/>
      <c r="AG42" s="23"/>
      <c r="AH42" s="24"/>
    </row>
    <row r="43" spans="1:34" x14ac:dyDescent="0.35">
      <c r="A43" s="99">
        <v>46296</v>
      </c>
      <c r="B43" s="17" t="s">
        <v>40</v>
      </c>
      <c r="C43" s="18">
        <v>42141</v>
      </c>
      <c r="D43" s="18">
        <v>39000</v>
      </c>
      <c r="E43" s="18">
        <v>36701</v>
      </c>
      <c r="F43" s="18">
        <v>35031</v>
      </c>
      <c r="G43" s="18">
        <v>34553</v>
      </c>
      <c r="H43" s="18">
        <v>34764</v>
      </c>
      <c r="I43" s="18">
        <v>35579</v>
      </c>
      <c r="J43" s="18">
        <v>35461</v>
      </c>
      <c r="K43" s="18">
        <v>37921</v>
      </c>
      <c r="L43" s="18">
        <v>38497</v>
      </c>
      <c r="M43" s="18">
        <v>39710</v>
      </c>
      <c r="N43" s="18">
        <v>39310</v>
      </c>
      <c r="O43" s="18">
        <v>34100</v>
      </c>
      <c r="P43" s="18">
        <v>44792</v>
      </c>
      <c r="Q43" s="18">
        <v>56889</v>
      </c>
      <c r="R43" s="18">
        <v>61007</v>
      </c>
      <c r="S43" s="18">
        <v>61215</v>
      </c>
      <c r="T43" s="18">
        <v>32610</v>
      </c>
      <c r="U43" s="18">
        <v>31418</v>
      </c>
      <c r="V43" s="18">
        <v>29776</v>
      </c>
      <c r="W43" s="18">
        <v>28975</v>
      </c>
      <c r="X43" s="18">
        <v>28184</v>
      </c>
      <c r="Y43" s="18">
        <v>25445</v>
      </c>
      <c r="Z43" s="18">
        <v>22087</v>
      </c>
      <c r="AA43" s="18">
        <v>901504</v>
      </c>
      <c r="AB43" s="20">
        <v>21</v>
      </c>
      <c r="AC43" s="19">
        <f t="shared" si="0"/>
        <v>18931584</v>
      </c>
      <c r="AD43" s="102">
        <f>+SUM(AC43:AC46)</f>
        <v>26450360</v>
      </c>
      <c r="AE43" s="23"/>
      <c r="AG43" s="23"/>
      <c r="AH43" s="24"/>
    </row>
    <row r="44" spans="1:34" x14ac:dyDescent="0.35">
      <c r="A44" s="100"/>
      <c r="B44" s="21" t="s">
        <v>41</v>
      </c>
      <c r="C44" s="18">
        <v>40084</v>
      </c>
      <c r="D44" s="18">
        <v>36919</v>
      </c>
      <c r="E44" s="18">
        <v>34605</v>
      </c>
      <c r="F44" s="18">
        <v>32799</v>
      </c>
      <c r="G44" s="18">
        <v>32066</v>
      </c>
      <c r="H44" s="18">
        <v>31186</v>
      </c>
      <c r="I44" s="18">
        <v>31858</v>
      </c>
      <c r="J44" s="18">
        <v>30777</v>
      </c>
      <c r="K44" s="18">
        <v>33261</v>
      </c>
      <c r="L44" s="18">
        <v>33889</v>
      </c>
      <c r="M44" s="18">
        <v>34148</v>
      </c>
      <c r="N44" s="18">
        <v>33791</v>
      </c>
      <c r="O44" s="18">
        <v>31389</v>
      </c>
      <c r="P44" s="18">
        <v>35460</v>
      </c>
      <c r="Q44" s="18">
        <v>42758</v>
      </c>
      <c r="R44" s="18">
        <v>47022</v>
      </c>
      <c r="S44" s="18">
        <v>48820</v>
      </c>
      <c r="T44" s="18">
        <v>25597</v>
      </c>
      <c r="U44" s="18">
        <v>27616</v>
      </c>
      <c r="V44" s="18">
        <v>26002</v>
      </c>
      <c r="W44" s="18">
        <v>24937</v>
      </c>
      <c r="X44" s="18">
        <v>23683</v>
      </c>
      <c r="Y44" s="18">
        <v>22161</v>
      </c>
      <c r="Z44" s="18">
        <v>20203</v>
      </c>
      <c r="AA44" s="18">
        <v>788082</v>
      </c>
      <c r="AB44" s="20">
        <v>5</v>
      </c>
      <c r="AC44" s="19">
        <f t="shared" si="0"/>
        <v>3940410</v>
      </c>
      <c r="AD44" s="103"/>
      <c r="AE44" s="23"/>
      <c r="AG44" s="23"/>
      <c r="AH44" s="24"/>
    </row>
    <row r="45" spans="1:34" x14ac:dyDescent="0.35">
      <c r="A45" s="100"/>
      <c r="B45" s="21" t="s">
        <v>42</v>
      </c>
      <c r="C45" s="18">
        <v>42515</v>
      </c>
      <c r="D45" s="18">
        <v>39654</v>
      </c>
      <c r="E45" s="18">
        <v>37405</v>
      </c>
      <c r="F45" s="18">
        <v>35589</v>
      </c>
      <c r="G45" s="18">
        <v>34264</v>
      </c>
      <c r="H45" s="18">
        <v>32420</v>
      </c>
      <c r="I45" s="18">
        <v>32115</v>
      </c>
      <c r="J45" s="18">
        <v>26422</v>
      </c>
      <c r="K45" s="18">
        <v>23731</v>
      </c>
      <c r="L45" s="18">
        <v>22116</v>
      </c>
      <c r="M45" s="18">
        <v>20632</v>
      </c>
      <c r="N45" s="18">
        <v>20655</v>
      </c>
      <c r="O45" s="18">
        <v>21183</v>
      </c>
      <c r="P45" s="18">
        <v>25986</v>
      </c>
      <c r="Q45" s="18">
        <v>32448</v>
      </c>
      <c r="R45" s="18">
        <v>38108</v>
      </c>
      <c r="S45" s="18">
        <v>40939</v>
      </c>
      <c r="T45" s="18">
        <v>21909</v>
      </c>
      <c r="U45" s="18">
        <v>24718</v>
      </c>
      <c r="V45" s="18">
        <v>25397</v>
      </c>
      <c r="W45" s="18">
        <v>25818</v>
      </c>
      <c r="X45" s="18">
        <v>26032</v>
      </c>
      <c r="Y45" s="18">
        <v>23964</v>
      </c>
      <c r="Z45" s="18">
        <v>21365</v>
      </c>
      <c r="AA45" s="18">
        <v>706976</v>
      </c>
      <c r="AB45" s="20">
        <v>4</v>
      </c>
      <c r="AC45" s="19">
        <f t="shared" si="0"/>
        <v>2827904</v>
      </c>
      <c r="AD45" s="103"/>
      <c r="AE45" s="23"/>
      <c r="AG45" s="23"/>
      <c r="AH45" s="24"/>
    </row>
    <row r="46" spans="1:34" x14ac:dyDescent="0.35">
      <c r="A46" s="101"/>
      <c r="B46" s="22" t="s">
        <v>43</v>
      </c>
      <c r="C46" s="18">
        <v>41220</v>
      </c>
      <c r="D46" s="18">
        <v>38338</v>
      </c>
      <c r="E46" s="18">
        <v>36472</v>
      </c>
      <c r="F46" s="18">
        <v>35417</v>
      </c>
      <c r="G46" s="18">
        <v>34810</v>
      </c>
      <c r="H46" s="18">
        <v>32937</v>
      </c>
      <c r="I46" s="18">
        <v>31933</v>
      </c>
      <c r="J46" s="18">
        <v>28902</v>
      </c>
      <c r="K46" s="18">
        <v>27997</v>
      </c>
      <c r="L46" s="18">
        <v>27893</v>
      </c>
      <c r="M46" s="18">
        <v>27282</v>
      </c>
      <c r="N46" s="18">
        <v>25511</v>
      </c>
      <c r="O46" s="18">
        <v>26850</v>
      </c>
      <c r="P46" s="18">
        <v>31833</v>
      </c>
      <c r="Q46" s="18">
        <v>39391</v>
      </c>
      <c r="R46" s="18">
        <v>43078</v>
      </c>
      <c r="S46" s="18">
        <v>45003</v>
      </c>
      <c r="T46" s="18">
        <v>23837</v>
      </c>
      <c r="U46" s="18">
        <v>25777</v>
      </c>
      <c r="V46" s="18">
        <v>25461</v>
      </c>
      <c r="W46" s="18">
        <v>25612</v>
      </c>
      <c r="X46" s="18">
        <v>24325</v>
      </c>
      <c r="Y46" s="18">
        <v>21432</v>
      </c>
      <c r="Z46" s="18">
        <v>18820</v>
      </c>
      <c r="AA46" s="18">
        <v>750462</v>
      </c>
      <c r="AB46" s="20">
        <v>1</v>
      </c>
      <c r="AC46" s="19">
        <f t="shared" si="0"/>
        <v>750462</v>
      </c>
      <c r="AD46" s="104"/>
      <c r="AE46" s="23"/>
      <c r="AG46" s="23"/>
      <c r="AH46" s="24"/>
    </row>
    <row r="47" spans="1:34" x14ac:dyDescent="0.35">
      <c r="A47" s="99">
        <v>46327</v>
      </c>
      <c r="B47" s="17" t="s">
        <v>40</v>
      </c>
      <c r="C47" s="18">
        <v>41977</v>
      </c>
      <c r="D47" s="18">
        <v>38871</v>
      </c>
      <c r="E47" s="18">
        <v>36756</v>
      </c>
      <c r="F47" s="18">
        <v>35343</v>
      </c>
      <c r="G47" s="18">
        <v>35255</v>
      </c>
      <c r="H47" s="18">
        <v>35939</v>
      </c>
      <c r="I47" s="18">
        <v>37444</v>
      </c>
      <c r="J47" s="18">
        <v>37760</v>
      </c>
      <c r="K47" s="18">
        <v>40031</v>
      </c>
      <c r="L47" s="18">
        <v>40245</v>
      </c>
      <c r="M47" s="18">
        <v>41020</v>
      </c>
      <c r="N47" s="18">
        <v>40464</v>
      </c>
      <c r="O47" s="18">
        <v>35127</v>
      </c>
      <c r="P47" s="18">
        <v>44765</v>
      </c>
      <c r="Q47" s="18">
        <v>56266</v>
      </c>
      <c r="R47" s="18">
        <v>61568</v>
      </c>
      <c r="S47" s="18">
        <v>62302</v>
      </c>
      <c r="T47" s="18">
        <v>34351</v>
      </c>
      <c r="U47" s="18">
        <v>33275</v>
      </c>
      <c r="V47" s="18">
        <v>30975</v>
      </c>
      <c r="W47" s="18">
        <v>30147</v>
      </c>
      <c r="X47" s="18">
        <v>28588</v>
      </c>
      <c r="Y47" s="18">
        <v>25491</v>
      </c>
      <c r="Z47" s="18">
        <v>21944</v>
      </c>
      <c r="AA47" s="18">
        <v>921054</v>
      </c>
      <c r="AB47" s="20">
        <v>19</v>
      </c>
      <c r="AC47" s="19">
        <f t="shared" si="0"/>
        <v>17500026</v>
      </c>
      <c r="AD47" s="102">
        <f>+SUM(AC47:AC50)</f>
        <v>26048507</v>
      </c>
      <c r="AE47" s="23"/>
      <c r="AG47" s="23"/>
      <c r="AH47" s="24"/>
    </row>
    <row r="48" spans="1:34" x14ac:dyDescent="0.35">
      <c r="A48" s="100"/>
      <c r="B48" s="21" t="s">
        <v>41</v>
      </c>
      <c r="C48" s="18">
        <v>42737</v>
      </c>
      <c r="D48" s="18">
        <v>39723</v>
      </c>
      <c r="E48" s="18">
        <v>37461</v>
      </c>
      <c r="F48" s="18">
        <v>35879</v>
      </c>
      <c r="G48" s="18">
        <v>35131</v>
      </c>
      <c r="H48" s="18">
        <v>34477</v>
      </c>
      <c r="I48" s="18">
        <v>35374</v>
      </c>
      <c r="J48" s="18">
        <v>35173</v>
      </c>
      <c r="K48" s="18">
        <v>37937</v>
      </c>
      <c r="L48" s="18">
        <v>38820</v>
      </c>
      <c r="M48" s="18">
        <v>38470</v>
      </c>
      <c r="N48" s="18">
        <v>37880</v>
      </c>
      <c r="O48" s="18">
        <v>34479</v>
      </c>
      <c r="P48" s="18">
        <v>38247</v>
      </c>
      <c r="Q48" s="18">
        <v>44984</v>
      </c>
      <c r="R48" s="18">
        <v>48761</v>
      </c>
      <c r="S48" s="18">
        <v>50145</v>
      </c>
      <c r="T48" s="18">
        <v>26730</v>
      </c>
      <c r="U48" s="18">
        <v>27709</v>
      </c>
      <c r="V48" s="18">
        <v>25959</v>
      </c>
      <c r="W48" s="18">
        <v>24378</v>
      </c>
      <c r="X48" s="18">
        <v>22543</v>
      </c>
      <c r="Y48" s="18">
        <v>21197</v>
      </c>
      <c r="Z48" s="18">
        <v>18904</v>
      </c>
      <c r="AA48" s="18">
        <v>837396</v>
      </c>
      <c r="AB48" s="20">
        <v>4</v>
      </c>
      <c r="AC48" s="19">
        <f t="shared" si="0"/>
        <v>3349584</v>
      </c>
      <c r="AD48" s="103"/>
      <c r="AE48" s="23"/>
      <c r="AG48" s="23"/>
      <c r="AH48" s="24"/>
    </row>
    <row r="49" spans="1:34" x14ac:dyDescent="0.35">
      <c r="A49" s="100"/>
      <c r="B49" s="21" t="s">
        <v>42</v>
      </c>
      <c r="C49" s="18">
        <v>40563</v>
      </c>
      <c r="D49" s="18">
        <v>37941</v>
      </c>
      <c r="E49" s="18">
        <v>36249</v>
      </c>
      <c r="F49" s="18">
        <v>34501</v>
      </c>
      <c r="G49" s="18">
        <v>33452</v>
      </c>
      <c r="H49" s="18">
        <v>32164</v>
      </c>
      <c r="I49" s="18">
        <v>31997</v>
      </c>
      <c r="J49" s="18">
        <v>27707</v>
      </c>
      <c r="K49" s="18">
        <v>26337</v>
      </c>
      <c r="L49" s="18">
        <v>25098</v>
      </c>
      <c r="M49" s="18">
        <v>24584</v>
      </c>
      <c r="N49" s="18">
        <v>24110</v>
      </c>
      <c r="O49" s="18">
        <v>24739</v>
      </c>
      <c r="P49" s="18">
        <v>28952</v>
      </c>
      <c r="Q49" s="18">
        <v>35007</v>
      </c>
      <c r="R49" s="18">
        <v>39096</v>
      </c>
      <c r="S49" s="18">
        <v>41505</v>
      </c>
      <c r="T49" s="18">
        <v>22974</v>
      </c>
      <c r="U49" s="18">
        <v>24422</v>
      </c>
      <c r="V49" s="18">
        <v>24303</v>
      </c>
      <c r="W49" s="18">
        <v>23594</v>
      </c>
      <c r="X49" s="18">
        <v>22968</v>
      </c>
      <c r="Y49" s="18">
        <v>21609</v>
      </c>
      <c r="Z49" s="18">
        <v>19148</v>
      </c>
      <c r="AA49" s="18">
        <v>717323</v>
      </c>
      <c r="AB49" s="20">
        <v>5</v>
      </c>
      <c r="AC49" s="19">
        <f t="shared" si="0"/>
        <v>3586615</v>
      </c>
      <c r="AD49" s="103"/>
      <c r="AE49" s="23"/>
      <c r="AG49" s="23"/>
      <c r="AH49" s="24"/>
    </row>
    <row r="50" spans="1:34" x14ac:dyDescent="0.35">
      <c r="A50" s="101"/>
      <c r="B50" s="22" t="s">
        <v>43</v>
      </c>
      <c r="C50" s="18">
        <v>41941</v>
      </c>
      <c r="D50" s="18">
        <v>39069</v>
      </c>
      <c r="E50" s="18">
        <v>36758</v>
      </c>
      <c r="F50" s="18">
        <v>35188</v>
      </c>
      <c r="G50" s="18">
        <v>34602</v>
      </c>
      <c r="H50" s="18">
        <v>33291</v>
      </c>
      <c r="I50" s="18">
        <v>32882</v>
      </c>
      <c r="J50" s="18">
        <v>30092</v>
      </c>
      <c r="K50" s="18">
        <v>29692</v>
      </c>
      <c r="L50" s="18">
        <v>29951</v>
      </c>
      <c r="M50" s="18">
        <v>30299</v>
      </c>
      <c r="N50" s="18">
        <v>30431</v>
      </c>
      <c r="O50" s="18">
        <v>30670</v>
      </c>
      <c r="P50" s="18">
        <v>36371</v>
      </c>
      <c r="Q50" s="18">
        <v>42608</v>
      </c>
      <c r="R50" s="18">
        <v>46774</v>
      </c>
      <c r="S50" s="18">
        <v>48809</v>
      </c>
      <c r="T50" s="18">
        <v>28564</v>
      </c>
      <c r="U50" s="18">
        <v>30221</v>
      </c>
      <c r="V50" s="18">
        <v>29966</v>
      </c>
      <c r="W50" s="18">
        <v>29350</v>
      </c>
      <c r="X50" s="18">
        <v>28184</v>
      </c>
      <c r="Y50" s="18">
        <v>25727</v>
      </c>
      <c r="Z50" s="18">
        <v>22844</v>
      </c>
      <c r="AA50" s="18">
        <v>806141</v>
      </c>
      <c r="AB50" s="20">
        <v>2</v>
      </c>
      <c r="AC50" s="19">
        <f t="shared" si="0"/>
        <v>1612282</v>
      </c>
      <c r="AD50" s="104"/>
      <c r="AE50" s="23"/>
      <c r="AG50" s="23"/>
      <c r="AH50" s="24"/>
    </row>
    <row r="51" spans="1:34" x14ac:dyDescent="0.35">
      <c r="A51" s="99">
        <v>46357</v>
      </c>
      <c r="B51" s="17" t="s">
        <v>40</v>
      </c>
      <c r="C51" s="18">
        <v>53838</v>
      </c>
      <c r="D51" s="18">
        <v>50875</v>
      </c>
      <c r="E51" s="18">
        <v>48805</v>
      </c>
      <c r="F51" s="18">
        <v>47294</v>
      </c>
      <c r="G51" s="18">
        <v>46738</v>
      </c>
      <c r="H51" s="18">
        <v>46707</v>
      </c>
      <c r="I51" s="18">
        <v>46964</v>
      </c>
      <c r="J51" s="18">
        <v>46415</v>
      </c>
      <c r="K51" s="18">
        <v>48006</v>
      </c>
      <c r="L51" s="18">
        <v>48397</v>
      </c>
      <c r="M51" s="18">
        <v>48735</v>
      </c>
      <c r="N51" s="18">
        <v>48352</v>
      </c>
      <c r="O51" s="18">
        <v>44644</v>
      </c>
      <c r="P51" s="18">
        <v>52102</v>
      </c>
      <c r="Q51" s="18">
        <v>63057</v>
      </c>
      <c r="R51" s="18">
        <v>68239</v>
      </c>
      <c r="S51" s="18">
        <v>69731</v>
      </c>
      <c r="T51" s="18">
        <v>42770</v>
      </c>
      <c r="U51" s="18">
        <v>43258</v>
      </c>
      <c r="V51" s="18">
        <v>41475</v>
      </c>
      <c r="W51" s="18">
        <v>40042</v>
      </c>
      <c r="X51" s="18">
        <v>39055</v>
      </c>
      <c r="Y51" s="18">
        <v>37290</v>
      </c>
      <c r="Z51" s="18">
        <v>34688</v>
      </c>
      <c r="AA51" s="18">
        <v>1112904</v>
      </c>
      <c r="AB51" s="20">
        <v>21</v>
      </c>
      <c r="AC51" s="19">
        <f t="shared" si="0"/>
        <v>23370984</v>
      </c>
      <c r="AD51" s="102">
        <f>+SUM(AC51:AC54)</f>
        <v>33274072</v>
      </c>
      <c r="AE51" s="23"/>
      <c r="AG51" s="23"/>
      <c r="AH51" s="24"/>
    </row>
    <row r="52" spans="1:34" x14ac:dyDescent="0.35">
      <c r="A52" s="100"/>
      <c r="B52" s="21" t="s">
        <v>41</v>
      </c>
      <c r="C52" s="18">
        <v>55984</v>
      </c>
      <c r="D52" s="18">
        <v>52654</v>
      </c>
      <c r="E52" s="18">
        <v>50298</v>
      </c>
      <c r="F52" s="18">
        <v>48446</v>
      </c>
      <c r="G52" s="18">
        <v>47481</v>
      </c>
      <c r="H52" s="18">
        <v>47205</v>
      </c>
      <c r="I52" s="18">
        <v>46995</v>
      </c>
      <c r="J52" s="18">
        <v>44382</v>
      </c>
      <c r="K52" s="18">
        <v>45388</v>
      </c>
      <c r="L52" s="18">
        <v>45228</v>
      </c>
      <c r="M52" s="18">
        <v>45294</v>
      </c>
      <c r="N52" s="18">
        <v>44754</v>
      </c>
      <c r="O52" s="18">
        <v>43735</v>
      </c>
      <c r="P52" s="18">
        <v>48642</v>
      </c>
      <c r="Q52" s="18">
        <v>56229</v>
      </c>
      <c r="R52" s="18">
        <v>60849</v>
      </c>
      <c r="S52" s="18">
        <v>62468</v>
      </c>
      <c r="T52" s="18">
        <v>40459</v>
      </c>
      <c r="U52" s="18">
        <v>43331</v>
      </c>
      <c r="V52" s="18">
        <v>42717</v>
      </c>
      <c r="W52" s="18">
        <v>40432</v>
      </c>
      <c r="X52" s="18">
        <v>38331</v>
      </c>
      <c r="Y52" s="18">
        <v>36925</v>
      </c>
      <c r="Z52" s="18">
        <v>35043</v>
      </c>
      <c r="AA52" s="18">
        <v>1080341</v>
      </c>
      <c r="AB52" s="20">
        <v>4</v>
      </c>
      <c r="AC52" s="19">
        <f t="shared" si="0"/>
        <v>4321364</v>
      </c>
      <c r="AD52" s="103"/>
      <c r="AE52" s="23"/>
      <c r="AG52" s="23"/>
      <c r="AH52" s="24"/>
    </row>
    <row r="53" spans="1:34" x14ac:dyDescent="0.35">
      <c r="A53" s="100"/>
      <c r="B53" s="21" t="s">
        <v>42</v>
      </c>
      <c r="C53" s="18">
        <v>57931</v>
      </c>
      <c r="D53" s="18">
        <v>54794</v>
      </c>
      <c r="E53" s="18">
        <v>52434</v>
      </c>
      <c r="F53" s="18">
        <v>50570</v>
      </c>
      <c r="G53" s="18">
        <v>49434</v>
      </c>
      <c r="H53" s="18">
        <v>47108</v>
      </c>
      <c r="I53" s="18">
        <v>45995</v>
      </c>
      <c r="J53" s="18">
        <v>40815</v>
      </c>
      <c r="K53" s="18">
        <v>38716</v>
      </c>
      <c r="L53" s="18">
        <v>37241</v>
      </c>
      <c r="M53" s="18">
        <v>36106</v>
      </c>
      <c r="N53" s="18">
        <v>35632</v>
      </c>
      <c r="O53" s="18">
        <v>35169</v>
      </c>
      <c r="P53" s="18">
        <v>39648</v>
      </c>
      <c r="Q53" s="18">
        <v>46422</v>
      </c>
      <c r="R53" s="18">
        <v>52543</v>
      </c>
      <c r="S53" s="18">
        <v>55331</v>
      </c>
      <c r="T53" s="18">
        <v>36844</v>
      </c>
      <c r="U53" s="18">
        <v>40380</v>
      </c>
      <c r="V53" s="18">
        <v>39568</v>
      </c>
      <c r="W53" s="18">
        <v>37547</v>
      </c>
      <c r="X53" s="18">
        <v>35356</v>
      </c>
      <c r="Y53" s="18">
        <v>32974</v>
      </c>
      <c r="Z53" s="18">
        <v>30937</v>
      </c>
      <c r="AA53" s="18">
        <v>993558</v>
      </c>
      <c r="AB53" s="20">
        <v>4</v>
      </c>
      <c r="AC53" s="19">
        <f t="shared" si="0"/>
        <v>3974232</v>
      </c>
      <c r="AD53" s="103"/>
      <c r="AE53" s="23"/>
      <c r="AG53" s="23"/>
      <c r="AH53" s="24"/>
    </row>
    <row r="54" spans="1:34" x14ac:dyDescent="0.35">
      <c r="A54" s="101"/>
      <c r="B54" s="22" t="s">
        <v>43</v>
      </c>
      <c r="C54" s="18">
        <v>44150</v>
      </c>
      <c r="D54" s="18">
        <v>42354</v>
      </c>
      <c r="E54" s="18">
        <v>40985</v>
      </c>
      <c r="F54" s="18">
        <v>39670</v>
      </c>
      <c r="G54" s="18">
        <v>38931</v>
      </c>
      <c r="H54" s="18">
        <v>38164</v>
      </c>
      <c r="I54" s="18">
        <v>36951</v>
      </c>
      <c r="J54" s="18">
        <v>32189</v>
      </c>
      <c r="K54" s="18">
        <v>29924</v>
      </c>
      <c r="L54" s="18">
        <v>28743</v>
      </c>
      <c r="M54" s="18">
        <v>27677</v>
      </c>
      <c r="N54" s="18">
        <v>26896</v>
      </c>
      <c r="O54" s="18">
        <v>27690</v>
      </c>
      <c r="P54" s="18">
        <v>32471</v>
      </c>
      <c r="Q54" s="18">
        <v>38480</v>
      </c>
      <c r="R54" s="18">
        <v>43295</v>
      </c>
      <c r="S54" s="18">
        <v>46025</v>
      </c>
      <c r="T54" s="18">
        <v>27255</v>
      </c>
      <c r="U54" s="18">
        <v>30636</v>
      </c>
      <c r="V54" s="18">
        <v>31096</v>
      </c>
      <c r="W54" s="18">
        <v>30105</v>
      </c>
      <c r="X54" s="18">
        <v>29195</v>
      </c>
      <c r="Y54" s="18">
        <v>27787</v>
      </c>
      <c r="Z54" s="18">
        <v>25237</v>
      </c>
      <c r="AA54" s="18">
        <v>803746</v>
      </c>
      <c r="AB54" s="20">
        <v>2</v>
      </c>
      <c r="AC54" s="19">
        <f t="shared" si="0"/>
        <v>1607492</v>
      </c>
      <c r="AD54" s="104"/>
      <c r="AE54" s="23"/>
      <c r="AG54" s="23"/>
      <c r="AH54" s="24"/>
    </row>
    <row r="55" spans="1:34" x14ac:dyDescent="0.35">
      <c r="AD55" s="30">
        <f>SUM(AD7:AD51)</f>
        <v>307999865</v>
      </c>
    </row>
  </sheetData>
  <mergeCells count="28">
    <mergeCell ref="AD7:AD10"/>
    <mergeCell ref="A1:D1"/>
    <mergeCell ref="A2:L2"/>
    <mergeCell ref="A4:B4"/>
    <mergeCell ref="C4:D4"/>
    <mergeCell ref="A7:A10"/>
    <mergeCell ref="A11:A14"/>
    <mergeCell ref="AD11:AD14"/>
    <mergeCell ref="A15:A18"/>
    <mergeCell ref="AD15:AD18"/>
    <mergeCell ref="A19:A22"/>
    <mergeCell ref="AD19:AD22"/>
    <mergeCell ref="A23:A26"/>
    <mergeCell ref="AD23:AD26"/>
    <mergeCell ref="A27:A30"/>
    <mergeCell ref="AD27:AD30"/>
    <mergeCell ref="A31:A34"/>
    <mergeCell ref="AD31:AD34"/>
    <mergeCell ref="A47:A50"/>
    <mergeCell ref="AD47:AD50"/>
    <mergeCell ref="A51:A54"/>
    <mergeCell ref="AD51:AD54"/>
    <mergeCell ref="A35:A38"/>
    <mergeCell ref="AD35:AD38"/>
    <mergeCell ref="A39:A42"/>
    <mergeCell ref="AD39:AD42"/>
    <mergeCell ref="A43:A46"/>
    <mergeCell ref="AD43:AD46"/>
  </mergeCells>
  <conditionalFormatting sqref="C56:Z56">
    <cfRule type="cellIs" dxfId="60" priority="4" operator="lessThan">
      <formula>0</formula>
    </cfRule>
  </conditionalFormatting>
  <conditionalFormatting sqref="C7:AA54">
    <cfRule type="cellIs" dxfId="59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DB2B0-F7D6-4041-A1F1-C02321A83719}">
  <dimension ref="C1:G20"/>
  <sheetViews>
    <sheetView showGridLines="0" topLeftCell="A2" zoomScaleNormal="100" workbookViewId="0">
      <selection activeCell="F5" sqref="F5"/>
    </sheetView>
  </sheetViews>
  <sheetFormatPr baseColWidth="10" defaultRowHeight="14.5" x14ac:dyDescent="0.35"/>
  <cols>
    <col min="2" max="2" width="2.54296875" customWidth="1"/>
    <col min="4" max="4" width="15.1796875" customWidth="1"/>
    <col min="5" max="5" width="15.1796875" bestFit="1" customWidth="1"/>
    <col min="6" max="6" width="12.54296875" customWidth="1"/>
    <col min="8" max="8" width="2" customWidth="1"/>
    <col min="9" max="9" width="14.1796875" bestFit="1" customWidth="1"/>
  </cols>
  <sheetData>
    <row r="1" spans="3:7" ht="14.5" customHeight="1" x14ac:dyDescent="0.35">
      <c r="C1" s="98" t="s">
        <v>44</v>
      </c>
      <c r="D1" s="98"/>
      <c r="E1" s="98"/>
      <c r="F1" s="98"/>
      <c r="G1" s="98"/>
    </row>
    <row r="2" spans="3:7" x14ac:dyDescent="0.35">
      <c r="C2" s="98"/>
      <c r="D2" s="98"/>
      <c r="E2" s="98"/>
      <c r="F2" s="98"/>
      <c r="G2" s="98"/>
    </row>
    <row r="3" spans="3:7" ht="15" thickBot="1" x14ac:dyDescent="0.4"/>
    <row r="4" spans="3:7" ht="15" thickBot="1" x14ac:dyDescent="0.4">
      <c r="C4" s="111" t="s">
        <v>7</v>
      </c>
      <c r="D4" s="112"/>
      <c r="E4" s="112"/>
      <c r="F4" s="112"/>
      <c r="G4" s="113"/>
    </row>
    <row r="5" spans="3:7" ht="32" thickBot="1" x14ac:dyDescent="0.4">
      <c r="C5" s="28" t="s">
        <v>1</v>
      </c>
      <c r="D5" s="28" t="s">
        <v>8</v>
      </c>
      <c r="E5" s="28" t="s">
        <v>3</v>
      </c>
      <c r="F5" s="28" t="s">
        <v>4</v>
      </c>
      <c r="G5" s="28" t="s">
        <v>5</v>
      </c>
    </row>
    <row r="6" spans="3:7" x14ac:dyDescent="0.35">
      <c r="C6" s="7">
        <v>46388</v>
      </c>
      <c r="D6" s="8">
        <f>+VLOOKUP(C6,'CURVA P2'!$A$4:$AD$55,30,FALSE)</f>
        <v>59963979</v>
      </c>
      <c r="E6" s="114" t="s">
        <v>3</v>
      </c>
      <c r="F6" s="2"/>
      <c r="G6" s="95" t="s">
        <v>6</v>
      </c>
    </row>
    <row r="7" spans="3:7" x14ac:dyDescent="0.35">
      <c r="C7" s="7">
        <v>46419</v>
      </c>
      <c r="D7" s="8">
        <f>+VLOOKUP(C7,'CURVA P2'!$A$4:$AD$55,30,FALSE)</f>
        <v>61532312</v>
      </c>
      <c r="E7" s="93"/>
      <c r="F7" s="2"/>
      <c r="G7" s="96"/>
    </row>
    <row r="8" spans="3:7" x14ac:dyDescent="0.35">
      <c r="C8" s="7">
        <v>46447</v>
      </c>
      <c r="D8" s="8">
        <f>+VLOOKUP(C8,'CURVA P2'!$A$4:$AD$55,30,FALSE)</f>
        <v>59946328</v>
      </c>
      <c r="E8" s="93"/>
      <c r="F8" s="2"/>
      <c r="G8" s="96"/>
    </row>
    <row r="9" spans="3:7" x14ac:dyDescent="0.35">
      <c r="C9" s="7">
        <v>46478</v>
      </c>
      <c r="D9" s="8">
        <f>+VLOOKUP(C9,'CURVA P2'!$A$4:$AD$55,30,FALSE)</f>
        <v>62364066</v>
      </c>
      <c r="E9" s="93"/>
      <c r="F9" s="2"/>
      <c r="G9" s="96"/>
    </row>
    <row r="10" spans="3:7" x14ac:dyDescent="0.35">
      <c r="C10" s="7">
        <v>46508</v>
      </c>
      <c r="D10" s="8">
        <f>+VLOOKUP(C10,'CURVA P2'!$A$4:$AD$55,30,FALSE)</f>
        <v>42259367</v>
      </c>
      <c r="E10" s="93"/>
      <c r="F10" s="2"/>
      <c r="G10" s="96"/>
    </row>
    <row r="11" spans="3:7" x14ac:dyDescent="0.35">
      <c r="C11" s="7">
        <v>46539</v>
      </c>
      <c r="D11" s="8">
        <f>+VLOOKUP(C11,'CURVA P2'!$A$4:$AD$55,30,FALSE)</f>
        <v>47145425</v>
      </c>
      <c r="E11" s="93"/>
      <c r="F11" s="2"/>
      <c r="G11" s="96"/>
    </row>
    <row r="12" spans="3:7" x14ac:dyDescent="0.35">
      <c r="C12" s="7">
        <v>46569</v>
      </c>
      <c r="D12" s="8">
        <f>+VLOOKUP(C12,'CURVA P2'!$A$4:$AD$55,30,FALSE)</f>
        <v>41796550</v>
      </c>
      <c r="E12" s="93"/>
      <c r="F12" s="2"/>
      <c r="G12" s="96"/>
    </row>
    <row r="13" spans="3:7" x14ac:dyDescent="0.35">
      <c r="C13" s="7">
        <v>46600</v>
      </c>
      <c r="D13" s="8">
        <f>+VLOOKUP(C13,'CURVA P2'!$A$4:$AD$55,30,FALSE)</f>
        <v>40054834</v>
      </c>
      <c r="E13" s="93"/>
      <c r="F13" s="2"/>
      <c r="G13" s="96"/>
    </row>
    <row r="14" spans="3:7" x14ac:dyDescent="0.35">
      <c r="C14" s="7">
        <v>46631</v>
      </c>
      <c r="D14" s="8">
        <f>+VLOOKUP(C14,'CURVA P2'!$A$4:$AD$55,30,FALSE)</f>
        <v>44476632</v>
      </c>
      <c r="E14" s="93"/>
      <c r="F14" s="2"/>
      <c r="G14" s="96"/>
    </row>
    <row r="15" spans="3:7" x14ac:dyDescent="0.35">
      <c r="C15" s="7">
        <v>46661</v>
      </c>
      <c r="D15" s="8">
        <f>+VLOOKUP(C15,'CURVA P2'!$A$4:$AD$55,30,FALSE)</f>
        <v>40797963</v>
      </c>
      <c r="E15" s="93"/>
      <c r="F15" s="2"/>
      <c r="G15" s="96"/>
    </row>
    <row r="16" spans="3:7" x14ac:dyDescent="0.35">
      <c r="C16" s="7">
        <v>46692</v>
      </c>
      <c r="D16" s="8">
        <f>+VLOOKUP(C16,'CURVA P2'!$A$4:$AD$55,30,FALSE)</f>
        <v>41250458</v>
      </c>
      <c r="E16" s="93"/>
      <c r="F16" s="2"/>
      <c r="G16" s="96"/>
    </row>
    <row r="17" spans="3:7" ht="15" thickBot="1" x14ac:dyDescent="0.4">
      <c r="C17" s="9">
        <v>46722</v>
      </c>
      <c r="D17" s="10">
        <f>+VLOOKUP(C17,'CURVA P2'!$A$4:$AD$55,30,FALSE)</f>
        <v>58412086</v>
      </c>
      <c r="E17" s="94"/>
      <c r="F17" s="11"/>
      <c r="G17" s="97"/>
    </row>
    <row r="18" spans="3:7" ht="15" thickBot="1" x14ac:dyDescent="0.4">
      <c r="D18" s="54">
        <f>SUM(D6:D17)</f>
        <v>600000000</v>
      </c>
    </row>
    <row r="19" spans="3:7" x14ac:dyDescent="0.35">
      <c r="D19" s="26"/>
    </row>
    <row r="20" spans="3:7" x14ac:dyDescent="0.35">
      <c r="D20" s="24">
        <f>D18/1000000</f>
        <v>600</v>
      </c>
    </row>
  </sheetData>
  <mergeCells count="4">
    <mergeCell ref="C4:G4"/>
    <mergeCell ref="E6:E17"/>
    <mergeCell ref="G6:G17"/>
    <mergeCell ref="C1:G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32752-BC92-4A3C-A7DF-65FA0A38A715}">
  <dimension ref="A1:AD55"/>
  <sheetViews>
    <sheetView showGridLines="0" zoomScale="84" zoomScaleNormal="84" workbookViewId="0">
      <selection activeCell="AD55" sqref="A1:AD55"/>
    </sheetView>
  </sheetViews>
  <sheetFormatPr baseColWidth="10" defaultRowHeight="14.5" x14ac:dyDescent="0.35"/>
  <cols>
    <col min="1" max="1" width="7.26953125" bestFit="1" customWidth="1"/>
    <col min="2" max="2" width="8" bestFit="1" customWidth="1"/>
    <col min="3" max="26" width="9" bestFit="1" customWidth="1"/>
    <col min="27" max="27" width="9.81640625" customWidth="1"/>
    <col min="28" max="28" width="10.453125" bestFit="1" customWidth="1"/>
    <col min="29" max="29" width="11" bestFit="1" customWidth="1"/>
    <col min="30" max="30" width="13.08984375" bestFit="1" customWidth="1"/>
  </cols>
  <sheetData>
    <row r="1" spans="1:30" x14ac:dyDescent="0.35">
      <c r="A1" s="105" t="s">
        <v>52</v>
      </c>
      <c r="B1" s="105"/>
      <c r="C1" s="105"/>
      <c r="D1" s="105"/>
    </row>
    <row r="2" spans="1:30" x14ac:dyDescent="0.35">
      <c r="A2" s="106" t="s">
        <v>44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</row>
    <row r="4" spans="1:30" x14ac:dyDescent="0.35">
      <c r="A4" s="115" t="s">
        <v>10</v>
      </c>
      <c r="B4" s="115"/>
      <c r="C4" s="109">
        <f>+AD55</f>
        <v>600000000</v>
      </c>
      <c r="D4" s="110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spans="1:30" x14ac:dyDescent="0.35">
      <c r="A5" s="13" t="s">
        <v>1</v>
      </c>
      <c r="B5" s="14" t="s">
        <v>11</v>
      </c>
      <c r="C5" s="13" t="s">
        <v>12</v>
      </c>
      <c r="D5" s="13" t="s">
        <v>13</v>
      </c>
      <c r="E5" s="13" t="s">
        <v>14</v>
      </c>
      <c r="F5" s="13" t="s">
        <v>15</v>
      </c>
      <c r="G5" s="13" t="s">
        <v>16</v>
      </c>
      <c r="H5" s="13" t="s">
        <v>17</v>
      </c>
      <c r="I5" s="13" t="s">
        <v>18</v>
      </c>
      <c r="J5" s="13" t="s">
        <v>19</v>
      </c>
      <c r="K5" s="13" t="s">
        <v>20</v>
      </c>
      <c r="L5" s="13" t="s">
        <v>21</v>
      </c>
      <c r="M5" s="13" t="s">
        <v>22</v>
      </c>
      <c r="N5" s="13" t="s">
        <v>23</v>
      </c>
      <c r="O5" s="13" t="s">
        <v>24</v>
      </c>
      <c r="P5" s="13" t="s">
        <v>25</v>
      </c>
      <c r="Q5" s="13" t="s">
        <v>26</v>
      </c>
      <c r="R5" s="13" t="s">
        <v>27</v>
      </c>
      <c r="S5" s="13" t="s">
        <v>28</v>
      </c>
      <c r="T5" s="13" t="s">
        <v>29</v>
      </c>
      <c r="U5" s="13" t="s">
        <v>30</v>
      </c>
      <c r="V5" s="13" t="s">
        <v>31</v>
      </c>
      <c r="W5" s="13" t="s">
        <v>32</v>
      </c>
      <c r="X5" s="13" t="s">
        <v>33</v>
      </c>
      <c r="Y5" s="13" t="s">
        <v>34</v>
      </c>
      <c r="Z5" s="13" t="s">
        <v>35</v>
      </c>
      <c r="AA5" s="13" t="s">
        <v>36</v>
      </c>
      <c r="AB5" s="13" t="s">
        <v>37</v>
      </c>
      <c r="AC5" s="13" t="s">
        <v>38</v>
      </c>
      <c r="AD5" s="13" t="s">
        <v>39</v>
      </c>
    </row>
    <row r="6" spans="1:30" hidden="1" x14ac:dyDescent="0.35">
      <c r="A6" s="15"/>
      <c r="B6" s="16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 spans="1:30" x14ac:dyDescent="0.35">
      <c r="A7" s="99">
        <v>46388</v>
      </c>
      <c r="B7" s="17" t="s">
        <v>40</v>
      </c>
      <c r="C7" s="18">
        <v>85475</v>
      </c>
      <c r="D7" s="18">
        <v>82464</v>
      </c>
      <c r="E7" s="18">
        <v>79295</v>
      </c>
      <c r="F7" s="18">
        <v>76963</v>
      </c>
      <c r="G7" s="18">
        <v>76233</v>
      </c>
      <c r="H7" s="18">
        <v>77616</v>
      </c>
      <c r="I7" s="18">
        <v>78575</v>
      </c>
      <c r="J7" s="18">
        <v>72426</v>
      </c>
      <c r="K7" s="18">
        <v>75399</v>
      </c>
      <c r="L7" s="18">
        <v>76442</v>
      </c>
      <c r="M7" s="18">
        <v>77860</v>
      </c>
      <c r="N7" s="18">
        <v>78462</v>
      </c>
      <c r="O7" s="18">
        <v>73684</v>
      </c>
      <c r="P7" s="18">
        <v>84405</v>
      </c>
      <c r="Q7" s="18">
        <v>98326</v>
      </c>
      <c r="R7" s="18">
        <v>104491</v>
      </c>
      <c r="S7" s="18">
        <v>105523</v>
      </c>
      <c r="T7" s="18">
        <v>91398</v>
      </c>
      <c r="U7" s="18">
        <v>93879</v>
      </c>
      <c r="V7" s="18">
        <v>91988</v>
      </c>
      <c r="W7" s="18">
        <v>90009</v>
      </c>
      <c r="X7" s="18">
        <v>87762</v>
      </c>
      <c r="Y7" s="18">
        <v>83491</v>
      </c>
      <c r="Z7" s="18">
        <v>77755</v>
      </c>
      <c r="AA7" s="19">
        <f>SUM(C7:Z7)</f>
        <v>2019921</v>
      </c>
      <c r="AB7" s="20">
        <v>19</v>
      </c>
      <c r="AC7" s="19">
        <f>+AA7*AB7</f>
        <v>38378499</v>
      </c>
      <c r="AD7" s="102">
        <f>+SUM(AC7:AC10)</f>
        <v>59963979</v>
      </c>
    </row>
    <row r="8" spans="1:30" x14ac:dyDescent="0.35">
      <c r="A8" s="100"/>
      <c r="B8" s="21" t="s">
        <v>41</v>
      </c>
      <c r="C8" s="18">
        <v>87557</v>
      </c>
      <c r="D8" s="18">
        <v>83976</v>
      </c>
      <c r="E8" s="18">
        <v>80369</v>
      </c>
      <c r="F8" s="18">
        <v>77752</v>
      </c>
      <c r="G8" s="18">
        <v>76635</v>
      </c>
      <c r="H8" s="18">
        <v>77073</v>
      </c>
      <c r="I8" s="18">
        <v>77239</v>
      </c>
      <c r="J8" s="18">
        <v>70681</v>
      </c>
      <c r="K8" s="18">
        <v>74205</v>
      </c>
      <c r="L8" s="18">
        <v>75424</v>
      </c>
      <c r="M8" s="18">
        <v>76295</v>
      </c>
      <c r="N8" s="18">
        <v>76098</v>
      </c>
      <c r="O8" s="18">
        <v>73115</v>
      </c>
      <c r="P8" s="18">
        <v>78888</v>
      </c>
      <c r="Q8" s="18">
        <v>87888</v>
      </c>
      <c r="R8" s="18">
        <v>93001</v>
      </c>
      <c r="S8" s="18">
        <v>93900</v>
      </c>
      <c r="T8" s="18">
        <v>84915</v>
      </c>
      <c r="U8" s="18">
        <v>90415</v>
      </c>
      <c r="V8" s="18">
        <v>89198</v>
      </c>
      <c r="W8" s="18">
        <v>86629</v>
      </c>
      <c r="X8" s="18">
        <v>84171</v>
      </c>
      <c r="Y8" s="18">
        <v>81080</v>
      </c>
      <c r="Z8" s="18">
        <v>76787</v>
      </c>
      <c r="AA8" s="19">
        <f t="shared" ref="AA8:AA54" si="0">SUM(C8:Z8)</f>
        <v>1953291</v>
      </c>
      <c r="AB8" s="20">
        <v>5</v>
      </c>
      <c r="AC8" s="19">
        <f t="shared" ref="AC8:AC54" si="1">+AA8*AB8</f>
        <v>9766455</v>
      </c>
      <c r="AD8" s="103"/>
    </row>
    <row r="9" spans="1:30" x14ac:dyDescent="0.35">
      <c r="A9" s="100"/>
      <c r="B9" s="21" t="s">
        <v>42</v>
      </c>
      <c r="C9" s="18">
        <v>86354</v>
      </c>
      <c r="D9" s="18">
        <v>83106</v>
      </c>
      <c r="E9" s="18">
        <v>79690</v>
      </c>
      <c r="F9" s="18">
        <v>77013</v>
      </c>
      <c r="G9" s="18">
        <v>75468</v>
      </c>
      <c r="H9" s="18">
        <v>74690</v>
      </c>
      <c r="I9" s="18">
        <v>73367</v>
      </c>
      <c r="J9" s="18">
        <v>61597</v>
      </c>
      <c r="K9" s="18">
        <v>59814</v>
      </c>
      <c r="L9" s="18">
        <v>58732</v>
      </c>
      <c r="M9" s="18">
        <v>57474</v>
      </c>
      <c r="N9" s="18">
        <v>57184</v>
      </c>
      <c r="O9" s="18">
        <v>58374</v>
      </c>
      <c r="P9" s="18">
        <v>63527</v>
      </c>
      <c r="Q9" s="18">
        <v>70740</v>
      </c>
      <c r="R9" s="18">
        <v>76473</v>
      </c>
      <c r="S9" s="18">
        <v>79162</v>
      </c>
      <c r="T9" s="18">
        <v>73792</v>
      </c>
      <c r="U9" s="18">
        <v>80498</v>
      </c>
      <c r="V9" s="18">
        <v>82146</v>
      </c>
      <c r="W9" s="18">
        <v>81890</v>
      </c>
      <c r="X9" s="18">
        <v>80936</v>
      </c>
      <c r="Y9" s="18">
        <v>77698</v>
      </c>
      <c r="Z9" s="18">
        <v>72616</v>
      </c>
      <c r="AA9" s="19">
        <f t="shared" si="0"/>
        <v>1742341</v>
      </c>
      <c r="AB9" s="20">
        <v>5</v>
      </c>
      <c r="AC9" s="19">
        <f t="shared" si="1"/>
        <v>8711705</v>
      </c>
      <c r="AD9" s="103"/>
    </row>
    <row r="10" spans="1:30" x14ac:dyDescent="0.35">
      <c r="A10" s="101"/>
      <c r="B10" s="22" t="s">
        <v>43</v>
      </c>
      <c r="C10" s="18">
        <v>74349</v>
      </c>
      <c r="D10" s="18">
        <v>72212</v>
      </c>
      <c r="E10" s="18">
        <v>70753</v>
      </c>
      <c r="F10" s="18">
        <v>69045</v>
      </c>
      <c r="G10" s="18">
        <v>68220</v>
      </c>
      <c r="H10" s="18">
        <v>67471</v>
      </c>
      <c r="I10" s="18">
        <v>65300</v>
      </c>
      <c r="J10" s="18">
        <v>53049</v>
      </c>
      <c r="K10" s="18">
        <v>50893</v>
      </c>
      <c r="L10" s="18">
        <v>49748</v>
      </c>
      <c r="M10" s="18">
        <v>49454</v>
      </c>
      <c r="N10" s="18">
        <v>49131</v>
      </c>
      <c r="O10" s="18">
        <v>50105</v>
      </c>
      <c r="P10" s="18">
        <v>55720</v>
      </c>
      <c r="Q10" s="18">
        <v>62801</v>
      </c>
      <c r="R10" s="18">
        <v>68239</v>
      </c>
      <c r="S10" s="18">
        <v>70332</v>
      </c>
      <c r="T10" s="18">
        <v>67824</v>
      </c>
      <c r="U10" s="18">
        <v>75022</v>
      </c>
      <c r="V10" s="18">
        <v>76102</v>
      </c>
      <c r="W10" s="18">
        <v>75471</v>
      </c>
      <c r="X10" s="18">
        <v>74076</v>
      </c>
      <c r="Y10" s="18">
        <v>71137</v>
      </c>
      <c r="Z10" s="18">
        <v>67206</v>
      </c>
      <c r="AA10" s="19">
        <f t="shared" si="0"/>
        <v>1553660</v>
      </c>
      <c r="AB10" s="20">
        <v>2</v>
      </c>
      <c r="AC10" s="19">
        <f t="shared" si="1"/>
        <v>3107320</v>
      </c>
      <c r="AD10" s="104"/>
    </row>
    <row r="11" spans="1:30" x14ac:dyDescent="0.35">
      <c r="A11" s="99">
        <v>46419</v>
      </c>
      <c r="B11" s="17" t="s">
        <v>40</v>
      </c>
      <c r="C11" s="18">
        <v>94094</v>
      </c>
      <c r="D11" s="18">
        <v>89437</v>
      </c>
      <c r="E11" s="18">
        <v>86116</v>
      </c>
      <c r="F11" s="18">
        <v>83963</v>
      </c>
      <c r="G11" s="18">
        <v>84020</v>
      </c>
      <c r="H11" s="18">
        <v>88475</v>
      </c>
      <c r="I11" s="18">
        <v>91088</v>
      </c>
      <c r="J11" s="18">
        <v>86080</v>
      </c>
      <c r="K11" s="18">
        <v>89226</v>
      </c>
      <c r="L11" s="18">
        <v>90248</v>
      </c>
      <c r="M11" s="18">
        <v>92009</v>
      </c>
      <c r="N11" s="18">
        <v>90489</v>
      </c>
      <c r="O11" s="18">
        <v>82218</v>
      </c>
      <c r="P11" s="18">
        <v>96330</v>
      </c>
      <c r="Q11" s="18">
        <v>112003</v>
      </c>
      <c r="R11" s="18">
        <v>118440</v>
      </c>
      <c r="S11" s="18">
        <v>118934</v>
      </c>
      <c r="T11" s="18">
        <v>100410</v>
      </c>
      <c r="U11" s="18">
        <v>101555</v>
      </c>
      <c r="V11" s="18">
        <v>100881</v>
      </c>
      <c r="W11" s="18">
        <v>99388</v>
      </c>
      <c r="X11" s="18">
        <v>96097</v>
      </c>
      <c r="Y11" s="18">
        <v>89394</v>
      </c>
      <c r="Z11" s="18">
        <v>82105</v>
      </c>
      <c r="AA11" s="19">
        <f t="shared" si="0"/>
        <v>2263000</v>
      </c>
      <c r="AB11" s="20">
        <v>20</v>
      </c>
      <c r="AC11" s="19">
        <f t="shared" si="1"/>
        <v>45260000</v>
      </c>
      <c r="AD11" s="102">
        <f>+SUM(AC11:AC14)</f>
        <v>61532312</v>
      </c>
    </row>
    <row r="12" spans="1:30" x14ac:dyDescent="0.35">
      <c r="A12" s="100"/>
      <c r="B12" s="21" t="s">
        <v>41</v>
      </c>
      <c r="C12" s="18">
        <v>91298</v>
      </c>
      <c r="D12" s="18">
        <v>86843</v>
      </c>
      <c r="E12" s="18">
        <v>83613</v>
      </c>
      <c r="F12" s="18">
        <v>81518</v>
      </c>
      <c r="G12" s="18">
        <v>80670</v>
      </c>
      <c r="H12" s="18">
        <v>82050</v>
      </c>
      <c r="I12" s="18">
        <v>84273</v>
      </c>
      <c r="J12" s="18">
        <v>80213</v>
      </c>
      <c r="K12" s="18">
        <v>84554</v>
      </c>
      <c r="L12" s="18">
        <v>86110</v>
      </c>
      <c r="M12" s="18">
        <v>86961</v>
      </c>
      <c r="N12" s="18">
        <v>86326</v>
      </c>
      <c r="O12" s="18">
        <v>82041</v>
      </c>
      <c r="P12" s="18">
        <v>87100</v>
      </c>
      <c r="Q12" s="18">
        <v>95839</v>
      </c>
      <c r="R12" s="18">
        <v>101027</v>
      </c>
      <c r="S12" s="18">
        <v>101548</v>
      </c>
      <c r="T12" s="18">
        <v>89405</v>
      </c>
      <c r="U12" s="18">
        <v>94811</v>
      </c>
      <c r="V12" s="18">
        <v>95227</v>
      </c>
      <c r="W12" s="18">
        <v>92586</v>
      </c>
      <c r="X12" s="18">
        <v>89735</v>
      </c>
      <c r="Y12" s="18">
        <v>86012</v>
      </c>
      <c r="Z12" s="18">
        <v>81185</v>
      </c>
      <c r="AA12" s="19">
        <f t="shared" si="0"/>
        <v>2110945</v>
      </c>
      <c r="AB12" s="20">
        <v>4</v>
      </c>
      <c r="AC12" s="19">
        <f t="shared" si="1"/>
        <v>8443780</v>
      </c>
      <c r="AD12" s="103"/>
    </row>
    <row r="13" spans="1:30" x14ac:dyDescent="0.35">
      <c r="A13" s="100"/>
      <c r="B13" s="21" t="s">
        <v>42</v>
      </c>
      <c r="C13" s="18">
        <v>93495</v>
      </c>
      <c r="D13" s="18">
        <v>88784</v>
      </c>
      <c r="E13" s="18">
        <v>85426</v>
      </c>
      <c r="F13" s="18">
        <v>82665</v>
      </c>
      <c r="G13" s="18">
        <v>81252</v>
      </c>
      <c r="H13" s="18">
        <v>80868</v>
      </c>
      <c r="I13" s="18">
        <v>80374</v>
      </c>
      <c r="J13" s="18">
        <v>69906</v>
      </c>
      <c r="K13" s="18">
        <v>68588</v>
      </c>
      <c r="L13" s="18">
        <v>68274</v>
      </c>
      <c r="M13" s="18">
        <v>67464</v>
      </c>
      <c r="N13" s="18">
        <v>67665</v>
      </c>
      <c r="O13" s="18">
        <v>68637</v>
      </c>
      <c r="P13" s="18">
        <v>73478</v>
      </c>
      <c r="Q13" s="18">
        <v>81278</v>
      </c>
      <c r="R13" s="18">
        <v>87744</v>
      </c>
      <c r="S13" s="18">
        <v>90702</v>
      </c>
      <c r="T13" s="18">
        <v>82684</v>
      </c>
      <c r="U13" s="18">
        <v>89503</v>
      </c>
      <c r="V13" s="18">
        <v>92867</v>
      </c>
      <c r="W13" s="18">
        <v>93238</v>
      </c>
      <c r="X13" s="18">
        <v>92504</v>
      </c>
      <c r="Y13" s="18">
        <v>88087</v>
      </c>
      <c r="Z13" s="18">
        <v>81650</v>
      </c>
      <c r="AA13" s="19">
        <f t="shared" si="0"/>
        <v>1957133</v>
      </c>
      <c r="AB13" s="20">
        <v>4</v>
      </c>
      <c r="AC13" s="19">
        <f t="shared" si="1"/>
        <v>7828532</v>
      </c>
      <c r="AD13" s="103"/>
    </row>
    <row r="14" spans="1:30" x14ac:dyDescent="0.35">
      <c r="A14" s="101"/>
      <c r="B14" s="22" t="s">
        <v>43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9">
        <f t="shared" si="0"/>
        <v>0</v>
      </c>
      <c r="AB14" s="20">
        <v>0</v>
      </c>
      <c r="AC14" s="19">
        <f t="shared" si="1"/>
        <v>0</v>
      </c>
      <c r="AD14" s="104"/>
    </row>
    <row r="15" spans="1:30" x14ac:dyDescent="0.35">
      <c r="A15" s="99">
        <v>46447</v>
      </c>
      <c r="B15" s="17" t="s">
        <v>40</v>
      </c>
      <c r="C15" s="18">
        <v>86183</v>
      </c>
      <c r="D15" s="18">
        <v>81752</v>
      </c>
      <c r="E15" s="18">
        <v>78670</v>
      </c>
      <c r="F15" s="18">
        <v>76436</v>
      </c>
      <c r="G15" s="18">
        <v>76217</v>
      </c>
      <c r="H15" s="18">
        <v>79183</v>
      </c>
      <c r="I15" s="18">
        <v>79682</v>
      </c>
      <c r="J15" s="18">
        <v>73703</v>
      </c>
      <c r="K15" s="18">
        <v>75886</v>
      </c>
      <c r="L15" s="18">
        <v>76108</v>
      </c>
      <c r="M15" s="18">
        <v>77105</v>
      </c>
      <c r="N15" s="18">
        <v>76071</v>
      </c>
      <c r="O15" s="18">
        <v>69649</v>
      </c>
      <c r="P15" s="18">
        <v>82898</v>
      </c>
      <c r="Q15" s="18">
        <v>97713</v>
      </c>
      <c r="R15" s="18">
        <v>103799</v>
      </c>
      <c r="S15" s="18">
        <v>104865</v>
      </c>
      <c r="T15" s="18">
        <v>89301</v>
      </c>
      <c r="U15" s="18">
        <v>90763</v>
      </c>
      <c r="V15" s="18">
        <v>90596</v>
      </c>
      <c r="W15" s="18">
        <v>90042</v>
      </c>
      <c r="X15" s="18">
        <v>88105</v>
      </c>
      <c r="Y15" s="18">
        <v>82827</v>
      </c>
      <c r="Z15" s="18">
        <v>76528</v>
      </c>
      <c r="AA15" s="19">
        <f t="shared" si="0"/>
        <v>2004082</v>
      </c>
      <c r="AB15" s="20">
        <v>20</v>
      </c>
      <c r="AC15" s="19">
        <f t="shared" si="1"/>
        <v>40081640</v>
      </c>
      <c r="AD15" s="102">
        <f>+SUM(AC15:AC18)</f>
        <v>59946328</v>
      </c>
    </row>
    <row r="16" spans="1:30" x14ac:dyDescent="0.35">
      <c r="A16" s="100"/>
      <c r="B16" s="21" t="s">
        <v>41</v>
      </c>
      <c r="C16" s="18">
        <v>88452</v>
      </c>
      <c r="D16" s="18">
        <v>83892</v>
      </c>
      <c r="E16" s="18">
        <v>80531</v>
      </c>
      <c r="F16" s="18">
        <v>77798</v>
      </c>
      <c r="G16" s="18">
        <v>76493</v>
      </c>
      <c r="H16" s="18">
        <v>76654</v>
      </c>
      <c r="I16" s="18">
        <v>77297</v>
      </c>
      <c r="J16" s="18">
        <v>72177</v>
      </c>
      <c r="K16" s="18">
        <v>75219</v>
      </c>
      <c r="L16" s="18">
        <v>75958</v>
      </c>
      <c r="M16" s="18">
        <v>76663</v>
      </c>
      <c r="N16" s="18">
        <v>75545</v>
      </c>
      <c r="O16" s="18">
        <v>71413</v>
      </c>
      <c r="P16" s="18">
        <v>77043</v>
      </c>
      <c r="Q16" s="18">
        <v>86220</v>
      </c>
      <c r="R16" s="18">
        <v>91537</v>
      </c>
      <c r="S16" s="18">
        <v>92699</v>
      </c>
      <c r="T16" s="18">
        <v>83221</v>
      </c>
      <c r="U16" s="18">
        <v>87965</v>
      </c>
      <c r="V16" s="18">
        <v>88110</v>
      </c>
      <c r="W16" s="18">
        <v>86555</v>
      </c>
      <c r="X16" s="18">
        <v>85076</v>
      </c>
      <c r="Y16" s="18">
        <v>82802</v>
      </c>
      <c r="Z16" s="18">
        <v>78831</v>
      </c>
      <c r="AA16" s="19">
        <f t="shared" si="0"/>
        <v>1948151</v>
      </c>
      <c r="AB16" s="20">
        <v>4</v>
      </c>
      <c r="AC16" s="19">
        <f t="shared" si="1"/>
        <v>7792604</v>
      </c>
      <c r="AD16" s="103"/>
    </row>
    <row r="17" spans="1:30" x14ac:dyDescent="0.35">
      <c r="A17" s="100"/>
      <c r="B17" s="21" t="s">
        <v>42</v>
      </c>
      <c r="C17" s="18">
        <v>89429</v>
      </c>
      <c r="D17" s="18">
        <v>84891</v>
      </c>
      <c r="E17" s="18">
        <v>81675</v>
      </c>
      <c r="F17" s="18">
        <v>79062</v>
      </c>
      <c r="G17" s="18">
        <v>77415</v>
      </c>
      <c r="H17" s="18">
        <v>76280</v>
      </c>
      <c r="I17" s="18">
        <v>74542</v>
      </c>
      <c r="J17" s="18">
        <v>62955</v>
      </c>
      <c r="K17" s="18">
        <v>60589</v>
      </c>
      <c r="L17" s="18">
        <v>58616</v>
      </c>
      <c r="M17" s="18">
        <v>56595</v>
      </c>
      <c r="N17" s="18">
        <v>56339</v>
      </c>
      <c r="O17" s="18">
        <v>57837</v>
      </c>
      <c r="P17" s="18">
        <v>63325</v>
      </c>
      <c r="Q17" s="18">
        <v>71241</v>
      </c>
      <c r="R17" s="18">
        <v>77442</v>
      </c>
      <c r="S17" s="18">
        <v>80428</v>
      </c>
      <c r="T17" s="18">
        <v>74326</v>
      </c>
      <c r="U17" s="18">
        <v>80421</v>
      </c>
      <c r="V17" s="18">
        <v>83984</v>
      </c>
      <c r="W17" s="18">
        <v>85011</v>
      </c>
      <c r="X17" s="18">
        <v>84937</v>
      </c>
      <c r="Y17" s="18">
        <v>80647</v>
      </c>
      <c r="Z17" s="18">
        <v>75100</v>
      </c>
      <c r="AA17" s="19">
        <f t="shared" si="0"/>
        <v>1773087</v>
      </c>
      <c r="AB17" s="20">
        <v>4</v>
      </c>
      <c r="AC17" s="19">
        <f t="shared" si="1"/>
        <v>7092348</v>
      </c>
      <c r="AD17" s="103"/>
    </row>
    <row r="18" spans="1:30" x14ac:dyDescent="0.35">
      <c r="A18" s="101"/>
      <c r="B18" s="22" t="s">
        <v>43</v>
      </c>
      <c r="C18" s="18">
        <v>76883</v>
      </c>
      <c r="D18" s="18">
        <v>72327</v>
      </c>
      <c r="E18" s="18">
        <v>69459</v>
      </c>
      <c r="F18" s="18">
        <v>67497</v>
      </c>
      <c r="G18" s="18">
        <v>66700</v>
      </c>
      <c r="H18" s="18">
        <v>66308</v>
      </c>
      <c r="I18" s="18">
        <v>66328</v>
      </c>
      <c r="J18" s="18">
        <v>57882</v>
      </c>
      <c r="K18" s="18">
        <v>57712</v>
      </c>
      <c r="L18" s="18">
        <v>57869</v>
      </c>
      <c r="M18" s="18">
        <v>58682</v>
      </c>
      <c r="N18" s="18">
        <v>59274</v>
      </c>
      <c r="O18" s="18">
        <v>58365</v>
      </c>
      <c r="P18" s="18">
        <v>64762</v>
      </c>
      <c r="Q18" s="18">
        <v>71718</v>
      </c>
      <c r="R18" s="18">
        <v>76072</v>
      </c>
      <c r="S18" s="18">
        <v>77697</v>
      </c>
      <c r="T18" s="18">
        <v>70875</v>
      </c>
      <c r="U18" s="18">
        <v>77938</v>
      </c>
      <c r="V18" s="18">
        <v>81408</v>
      </c>
      <c r="W18" s="18">
        <v>81677</v>
      </c>
      <c r="X18" s="18">
        <v>80040</v>
      </c>
      <c r="Y18" s="18">
        <v>74281</v>
      </c>
      <c r="Z18" s="18">
        <v>68158</v>
      </c>
      <c r="AA18" s="19">
        <f t="shared" si="0"/>
        <v>1659912</v>
      </c>
      <c r="AB18" s="20">
        <v>3</v>
      </c>
      <c r="AC18" s="19">
        <f t="shared" si="1"/>
        <v>4979736</v>
      </c>
      <c r="AD18" s="104"/>
    </row>
    <row r="19" spans="1:30" x14ac:dyDescent="0.35">
      <c r="A19" s="99">
        <v>46478</v>
      </c>
      <c r="B19" s="17" t="s">
        <v>40</v>
      </c>
      <c r="C19" s="18">
        <v>89307</v>
      </c>
      <c r="D19" s="18">
        <v>84677</v>
      </c>
      <c r="E19" s="18">
        <v>81513</v>
      </c>
      <c r="F19" s="18">
        <v>79277</v>
      </c>
      <c r="G19" s="18">
        <v>79158</v>
      </c>
      <c r="H19" s="18">
        <v>80883</v>
      </c>
      <c r="I19" s="18">
        <v>82380</v>
      </c>
      <c r="J19" s="18">
        <v>78147</v>
      </c>
      <c r="K19" s="18">
        <v>82029</v>
      </c>
      <c r="L19" s="18">
        <v>83045</v>
      </c>
      <c r="M19" s="18">
        <v>85065</v>
      </c>
      <c r="N19" s="18">
        <v>84666</v>
      </c>
      <c r="O19" s="18">
        <v>77170</v>
      </c>
      <c r="P19" s="18">
        <v>90582</v>
      </c>
      <c r="Q19" s="18">
        <v>106463</v>
      </c>
      <c r="R19" s="18">
        <v>112212</v>
      </c>
      <c r="S19" s="18">
        <v>112377</v>
      </c>
      <c r="T19" s="18">
        <v>95543</v>
      </c>
      <c r="U19" s="18">
        <v>96991</v>
      </c>
      <c r="V19" s="18">
        <v>96176</v>
      </c>
      <c r="W19" s="18">
        <v>95245</v>
      </c>
      <c r="X19" s="18">
        <v>92898</v>
      </c>
      <c r="Y19" s="18">
        <v>87412</v>
      </c>
      <c r="Z19" s="18">
        <v>80523</v>
      </c>
      <c r="AA19" s="19">
        <f t="shared" si="0"/>
        <v>2133739</v>
      </c>
      <c r="AB19" s="20">
        <v>22</v>
      </c>
      <c r="AC19" s="19">
        <f t="shared" si="1"/>
        <v>46942258</v>
      </c>
      <c r="AD19" s="102">
        <f>+SUM(AC19:AC22)</f>
        <v>62364066</v>
      </c>
    </row>
    <row r="20" spans="1:30" x14ac:dyDescent="0.35">
      <c r="A20" s="100"/>
      <c r="B20" s="21" t="s">
        <v>41</v>
      </c>
      <c r="C20" s="18">
        <v>90985</v>
      </c>
      <c r="D20" s="18">
        <v>86460</v>
      </c>
      <c r="E20" s="18">
        <v>83112</v>
      </c>
      <c r="F20" s="18">
        <v>80362</v>
      </c>
      <c r="G20" s="18">
        <v>79320</v>
      </c>
      <c r="H20" s="18">
        <v>78224</v>
      </c>
      <c r="I20" s="18">
        <v>79864</v>
      </c>
      <c r="J20" s="18">
        <v>74786</v>
      </c>
      <c r="K20" s="18">
        <v>79161</v>
      </c>
      <c r="L20" s="18">
        <v>80338</v>
      </c>
      <c r="M20" s="18">
        <v>81568</v>
      </c>
      <c r="N20" s="18">
        <v>81260</v>
      </c>
      <c r="O20" s="18">
        <v>77382</v>
      </c>
      <c r="P20" s="18">
        <v>82961</v>
      </c>
      <c r="Q20" s="18">
        <v>91901</v>
      </c>
      <c r="R20" s="18">
        <v>96827</v>
      </c>
      <c r="S20" s="18">
        <v>97077</v>
      </c>
      <c r="T20" s="18">
        <v>87217</v>
      </c>
      <c r="U20" s="18">
        <v>91720</v>
      </c>
      <c r="V20" s="18">
        <v>90449</v>
      </c>
      <c r="W20" s="18">
        <v>88216</v>
      </c>
      <c r="X20" s="18">
        <v>85770</v>
      </c>
      <c r="Y20" s="18">
        <v>82670</v>
      </c>
      <c r="Z20" s="18">
        <v>78635</v>
      </c>
      <c r="AA20" s="19">
        <f t="shared" si="0"/>
        <v>2026265</v>
      </c>
      <c r="AB20" s="20">
        <v>4</v>
      </c>
      <c r="AC20" s="19">
        <f t="shared" si="1"/>
        <v>8105060</v>
      </c>
      <c r="AD20" s="103"/>
    </row>
    <row r="21" spans="1:30" x14ac:dyDescent="0.35">
      <c r="A21" s="100"/>
      <c r="B21" s="21" t="s">
        <v>42</v>
      </c>
      <c r="C21" s="18">
        <v>91065</v>
      </c>
      <c r="D21" s="18">
        <v>86133</v>
      </c>
      <c r="E21" s="18">
        <v>82535</v>
      </c>
      <c r="F21" s="18">
        <v>79714</v>
      </c>
      <c r="G21" s="18">
        <v>78018</v>
      </c>
      <c r="H21" s="18">
        <v>75873</v>
      </c>
      <c r="I21" s="18">
        <v>75123</v>
      </c>
      <c r="J21" s="18">
        <v>64713</v>
      </c>
      <c r="K21" s="18">
        <v>63150</v>
      </c>
      <c r="L21" s="18">
        <v>61790</v>
      </c>
      <c r="M21" s="18">
        <v>60818</v>
      </c>
      <c r="N21" s="18">
        <v>61657</v>
      </c>
      <c r="O21" s="18">
        <v>62753</v>
      </c>
      <c r="P21" s="18">
        <v>68146</v>
      </c>
      <c r="Q21" s="18">
        <v>76129</v>
      </c>
      <c r="R21" s="18">
        <v>81965</v>
      </c>
      <c r="S21" s="18">
        <v>84402</v>
      </c>
      <c r="T21" s="18">
        <v>77434</v>
      </c>
      <c r="U21" s="18">
        <v>83697</v>
      </c>
      <c r="V21" s="18">
        <v>86236</v>
      </c>
      <c r="W21" s="18">
        <v>85568</v>
      </c>
      <c r="X21" s="18">
        <v>85215</v>
      </c>
      <c r="Y21" s="18">
        <v>81453</v>
      </c>
      <c r="Z21" s="18">
        <v>75600</v>
      </c>
      <c r="AA21" s="19">
        <f t="shared" si="0"/>
        <v>1829187</v>
      </c>
      <c r="AB21" s="20">
        <v>4</v>
      </c>
      <c r="AC21" s="19">
        <f t="shared" si="1"/>
        <v>7316748</v>
      </c>
      <c r="AD21" s="103"/>
    </row>
    <row r="22" spans="1:30" x14ac:dyDescent="0.35">
      <c r="A22" s="101"/>
      <c r="B22" s="22" t="s">
        <v>43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9">
        <f t="shared" si="0"/>
        <v>0</v>
      </c>
      <c r="AB22" s="20">
        <v>0</v>
      </c>
      <c r="AC22" s="19">
        <f t="shared" si="1"/>
        <v>0</v>
      </c>
      <c r="AD22" s="104"/>
    </row>
    <row r="23" spans="1:30" x14ac:dyDescent="0.35">
      <c r="A23" s="99">
        <v>46508</v>
      </c>
      <c r="B23" s="17" t="s">
        <v>40</v>
      </c>
      <c r="C23" s="18">
        <v>63217</v>
      </c>
      <c r="D23" s="18">
        <v>58717</v>
      </c>
      <c r="E23" s="18">
        <v>55316</v>
      </c>
      <c r="F23" s="18">
        <v>52913</v>
      </c>
      <c r="G23" s="18">
        <v>52252</v>
      </c>
      <c r="H23" s="18">
        <v>52012</v>
      </c>
      <c r="I23" s="18">
        <v>53652</v>
      </c>
      <c r="J23" s="18">
        <v>49895</v>
      </c>
      <c r="K23" s="18">
        <v>54325</v>
      </c>
      <c r="L23" s="18">
        <v>55745</v>
      </c>
      <c r="M23" s="18">
        <v>57516</v>
      </c>
      <c r="N23" s="18">
        <v>56758</v>
      </c>
      <c r="O23" s="18">
        <v>49410</v>
      </c>
      <c r="P23" s="18">
        <v>63179</v>
      </c>
      <c r="Q23" s="18">
        <v>78883</v>
      </c>
      <c r="R23" s="18">
        <v>83976</v>
      </c>
      <c r="S23" s="18">
        <v>83798</v>
      </c>
      <c r="T23" s="18">
        <v>67159</v>
      </c>
      <c r="U23" s="18">
        <v>67070</v>
      </c>
      <c r="V23" s="18">
        <v>66805</v>
      </c>
      <c r="W23" s="18">
        <v>66932</v>
      </c>
      <c r="X23" s="18">
        <v>65317</v>
      </c>
      <c r="Y23" s="18">
        <v>60299</v>
      </c>
      <c r="Z23" s="18">
        <v>53762</v>
      </c>
      <c r="AA23" s="19">
        <f t="shared" si="0"/>
        <v>1468908</v>
      </c>
      <c r="AB23" s="20">
        <v>19</v>
      </c>
      <c r="AC23" s="19">
        <f t="shared" si="1"/>
        <v>27909252</v>
      </c>
      <c r="AD23" s="102">
        <f>+SUM(AC23:AC26)</f>
        <v>42259367</v>
      </c>
    </row>
    <row r="24" spans="1:30" x14ac:dyDescent="0.35">
      <c r="A24" s="100"/>
      <c r="B24" s="21" t="s">
        <v>41</v>
      </c>
      <c r="C24" s="18">
        <v>65704</v>
      </c>
      <c r="D24" s="18">
        <v>60556</v>
      </c>
      <c r="E24" s="18">
        <v>56668</v>
      </c>
      <c r="F24" s="18">
        <v>53819</v>
      </c>
      <c r="G24" s="18">
        <v>52531</v>
      </c>
      <c r="H24" s="18">
        <v>50168</v>
      </c>
      <c r="I24" s="18">
        <v>52293</v>
      </c>
      <c r="J24" s="18">
        <v>47515</v>
      </c>
      <c r="K24" s="18">
        <v>52367</v>
      </c>
      <c r="L24" s="18">
        <v>54350</v>
      </c>
      <c r="M24" s="18">
        <v>55685</v>
      </c>
      <c r="N24" s="18">
        <v>54664</v>
      </c>
      <c r="O24" s="18">
        <v>50472</v>
      </c>
      <c r="P24" s="18">
        <v>56177</v>
      </c>
      <c r="Q24" s="18">
        <v>64772</v>
      </c>
      <c r="R24" s="18">
        <v>68922</v>
      </c>
      <c r="S24" s="18">
        <v>68933</v>
      </c>
      <c r="T24" s="18">
        <v>57269</v>
      </c>
      <c r="U24" s="18">
        <v>61140</v>
      </c>
      <c r="V24" s="18">
        <v>61628</v>
      </c>
      <c r="W24" s="18">
        <v>59728</v>
      </c>
      <c r="X24" s="18">
        <v>58099</v>
      </c>
      <c r="Y24" s="18">
        <v>55583</v>
      </c>
      <c r="Z24" s="18">
        <v>51299</v>
      </c>
      <c r="AA24" s="19">
        <f t="shared" si="0"/>
        <v>1370342</v>
      </c>
      <c r="AB24" s="20">
        <v>4</v>
      </c>
      <c r="AC24" s="19">
        <f t="shared" si="1"/>
        <v>5481368</v>
      </c>
      <c r="AD24" s="103"/>
    </row>
    <row r="25" spans="1:30" x14ac:dyDescent="0.35">
      <c r="A25" s="100"/>
      <c r="B25" s="21" t="s">
        <v>42</v>
      </c>
      <c r="C25" s="18">
        <v>62922</v>
      </c>
      <c r="D25" s="18">
        <v>58642</v>
      </c>
      <c r="E25" s="18">
        <v>55259</v>
      </c>
      <c r="F25" s="18">
        <v>52484</v>
      </c>
      <c r="G25" s="18">
        <v>50664</v>
      </c>
      <c r="H25" s="18">
        <v>47072</v>
      </c>
      <c r="I25" s="18">
        <v>47359</v>
      </c>
      <c r="J25" s="18">
        <v>36939</v>
      </c>
      <c r="K25" s="18">
        <v>35127</v>
      </c>
      <c r="L25" s="18">
        <v>33780</v>
      </c>
      <c r="M25" s="18">
        <v>33158</v>
      </c>
      <c r="N25" s="18">
        <v>32774</v>
      </c>
      <c r="O25" s="18">
        <v>32428</v>
      </c>
      <c r="P25" s="18">
        <v>37111</v>
      </c>
      <c r="Q25" s="18">
        <v>45482</v>
      </c>
      <c r="R25" s="18">
        <v>50987</v>
      </c>
      <c r="S25" s="18">
        <v>53578</v>
      </c>
      <c r="T25" s="18">
        <v>47354</v>
      </c>
      <c r="U25" s="18">
        <v>53100</v>
      </c>
      <c r="V25" s="18">
        <v>55827</v>
      </c>
      <c r="W25" s="18">
        <v>56663</v>
      </c>
      <c r="X25" s="18">
        <v>57333</v>
      </c>
      <c r="Y25" s="18">
        <v>54578</v>
      </c>
      <c r="Z25" s="18">
        <v>49484</v>
      </c>
      <c r="AA25" s="19">
        <f t="shared" si="0"/>
        <v>1140105</v>
      </c>
      <c r="AB25" s="20">
        <v>5</v>
      </c>
      <c r="AC25" s="19">
        <f t="shared" si="1"/>
        <v>5700525</v>
      </c>
      <c r="AD25" s="103"/>
    </row>
    <row r="26" spans="1:30" x14ac:dyDescent="0.35">
      <c r="A26" s="101"/>
      <c r="B26" s="22" t="s">
        <v>43</v>
      </c>
      <c r="C26" s="18">
        <v>53357</v>
      </c>
      <c r="D26" s="18">
        <v>49121</v>
      </c>
      <c r="E26" s="18">
        <v>46056</v>
      </c>
      <c r="F26" s="18">
        <v>43752</v>
      </c>
      <c r="G26" s="18">
        <v>42657</v>
      </c>
      <c r="H26" s="18">
        <v>40076</v>
      </c>
      <c r="I26" s="18">
        <v>41089</v>
      </c>
      <c r="J26" s="18">
        <v>31986</v>
      </c>
      <c r="K26" s="18">
        <v>31548</v>
      </c>
      <c r="L26" s="18">
        <v>31500</v>
      </c>
      <c r="M26" s="18">
        <v>31913</v>
      </c>
      <c r="N26" s="18">
        <v>32259</v>
      </c>
      <c r="O26" s="18">
        <v>31850</v>
      </c>
      <c r="P26" s="18">
        <v>37862</v>
      </c>
      <c r="Q26" s="18">
        <v>45765</v>
      </c>
      <c r="R26" s="18">
        <v>51051</v>
      </c>
      <c r="S26" s="18">
        <v>52500</v>
      </c>
      <c r="T26" s="18">
        <v>44783</v>
      </c>
      <c r="U26" s="18">
        <v>51254</v>
      </c>
      <c r="V26" s="18">
        <v>55656</v>
      </c>
      <c r="W26" s="18">
        <v>56659</v>
      </c>
      <c r="X26" s="18">
        <v>56190</v>
      </c>
      <c r="Y26" s="18">
        <v>51671</v>
      </c>
      <c r="Z26" s="18">
        <v>45519</v>
      </c>
      <c r="AA26" s="19">
        <f t="shared" si="0"/>
        <v>1056074</v>
      </c>
      <c r="AB26" s="20">
        <v>3</v>
      </c>
      <c r="AC26" s="19">
        <f t="shared" si="1"/>
        <v>3168222</v>
      </c>
      <c r="AD26" s="104"/>
    </row>
    <row r="27" spans="1:30" x14ac:dyDescent="0.35">
      <c r="A27" s="99">
        <v>46539</v>
      </c>
      <c r="B27" s="17" t="s">
        <v>40</v>
      </c>
      <c r="C27" s="18">
        <v>70543</v>
      </c>
      <c r="D27" s="18">
        <v>65819</v>
      </c>
      <c r="E27" s="18">
        <v>62215</v>
      </c>
      <c r="F27" s="18">
        <v>59792</v>
      </c>
      <c r="G27" s="18">
        <v>59104</v>
      </c>
      <c r="H27" s="18">
        <v>58503</v>
      </c>
      <c r="I27" s="18">
        <v>61361</v>
      </c>
      <c r="J27" s="18">
        <v>58465</v>
      </c>
      <c r="K27" s="18">
        <v>63121</v>
      </c>
      <c r="L27" s="18">
        <v>64242</v>
      </c>
      <c r="M27" s="18">
        <v>65917</v>
      </c>
      <c r="N27" s="18">
        <v>65697</v>
      </c>
      <c r="O27" s="18">
        <v>57538</v>
      </c>
      <c r="P27" s="18">
        <v>70651</v>
      </c>
      <c r="Q27" s="18">
        <v>85674</v>
      </c>
      <c r="R27" s="18">
        <v>91156</v>
      </c>
      <c r="S27" s="18">
        <v>91467</v>
      </c>
      <c r="T27" s="18">
        <v>73143</v>
      </c>
      <c r="U27" s="18">
        <v>72971</v>
      </c>
      <c r="V27" s="18">
        <v>73306</v>
      </c>
      <c r="W27" s="18">
        <v>72722</v>
      </c>
      <c r="X27" s="18">
        <v>70823</v>
      </c>
      <c r="Y27" s="18">
        <v>66064</v>
      </c>
      <c r="Z27" s="18">
        <v>59626</v>
      </c>
      <c r="AA27" s="19">
        <f t="shared" si="0"/>
        <v>1639920</v>
      </c>
      <c r="AB27" s="20">
        <v>21</v>
      </c>
      <c r="AC27" s="19">
        <f t="shared" si="1"/>
        <v>34438320</v>
      </c>
      <c r="AD27" s="102">
        <f>+SUM(AC27:AC30)</f>
        <v>47145425</v>
      </c>
    </row>
    <row r="28" spans="1:30" x14ac:dyDescent="0.35">
      <c r="A28" s="100"/>
      <c r="B28" s="21" t="s">
        <v>41</v>
      </c>
      <c r="C28" s="18">
        <v>71150</v>
      </c>
      <c r="D28" s="18">
        <v>66548</v>
      </c>
      <c r="E28" s="18">
        <v>63020</v>
      </c>
      <c r="F28" s="18">
        <v>60343</v>
      </c>
      <c r="G28" s="18">
        <v>59424</v>
      </c>
      <c r="H28" s="18">
        <v>57230</v>
      </c>
      <c r="I28" s="18">
        <v>59963</v>
      </c>
      <c r="J28" s="18">
        <v>56028</v>
      </c>
      <c r="K28" s="18">
        <v>60404</v>
      </c>
      <c r="L28" s="18">
        <v>61660</v>
      </c>
      <c r="M28" s="18">
        <v>62552</v>
      </c>
      <c r="N28" s="18">
        <v>61504</v>
      </c>
      <c r="O28" s="18">
        <v>56610</v>
      </c>
      <c r="P28" s="18">
        <v>61386</v>
      </c>
      <c r="Q28" s="18">
        <v>71379</v>
      </c>
      <c r="R28" s="18">
        <v>76897</v>
      </c>
      <c r="S28" s="18">
        <v>77228</v>
      </c>
      <c r="T28" s="18">
        <v>65422</v>
      </c>
      <c r="U28" s="18">
        <v>68804</v>
      </c>
      <c r="V28" s="18">
        <v>68925</v>
      </c>
      <c r="W28" s="18">
        <v>66934</v>
      </c>
      <c r="X28" s="18">
        <v>64820</v>
      </c>
      <c r="Y28" s="18">
        <v>62038</v>
      </c>
      <c r="Z28" s="18">
        <v>58030</v>
      </c>
      <c r="AA28" s="19">
        <f t="shared" si="0"/>
        <v>1538299</v>
      </c>
      <c r="AB28" s="20">
        <v>4</v>
      </c>
      <c r="AC28" s="19">
        <f t="shared" si="1"/>
        <v>6153196</v>
      </c>
      <c r="AD28" s="103"/>
    </row>
    <row r="29" spans="1:30" x14ac:dyDescent="0.35">
      <c r="A29" s="100"/>
      <c r="B29" s="21" t="s">
        <v>42</v>
      </c>
      <c r="C29" s="18">
        <v>70717</v>
      </c>
      <c r="D29" s="18">
        <v>66473</v>
      </c>
      <c r="E29" s="18">
        <v>63140</v>
      </c>
      <c r="F29" s="18">
        <v>60340</v>
      </c>
      <c r="G29" s="18">
        <v>58731</v>
      </c>
      <c r="H29" s="18">
        <v>55210</v>
      </c>
      <c r="I29" s="18">
        <v>55325</v>
      </c>
      <c r="J29" s="18">
        <v>45170</v>
      </c>
      <c r="K29" s="18">
        <v>42526</v>
      </c>
      <c r="L29" s="18">
        <v>41947</v>
      </c>
      <c r="M29" s="18">
        <v>39785</v>
      </c>
      <c r="N29" s="18">
        <v>39313</v>
      </c>
      <c r="O29" s="18">
        <v>40050</v>
      </c>
      <c r="P29" s="18">
        <v>45001</v>
      </c>
      <c r="Q29" s="18">
        <v>52816</v>
      </c>
      <c r="R29" s="18">
        <v>58586</v>
      </c>
      <c r="S29" s="18">
        <v>61724</v>
      </c>
      <c r="T29" s="18">
        <v>53453</v>
      </c>
      <c r="U29" s="18">
        <v>59115</v>
      </c>
      <c r="V29" s="18">
        <v>63448</v>
      </c>
      <c r="W29" s="18">
        <v>64165</v>
      </c>
      <c r="X29" s="18">
        <v>64868</v>
      </c>
      <c r="Y29" s="18">
        <v>62571</v>
      </c>
      <c r="Z29" s="18">
        <v>58177</v>
      </c>
      <c r="AA29" s="19">
        <f t="shared" si="0"/>
        <v>1322651</v>
      </c>
      <c r="AB29" s="20">
        <v>4</v>
      </c>
      <c r="AC29" s="19">
        <f t="shared" si="1"/>
        <v>5290604</v>
      </c>
      <c r="AD29" s="103"/>
    </row>
    <row r="30" spans="1:30" x14ac:dyDescent="0.35">
      <c r="A30" s="101"/>
      <c r="B30" s="22" t="s">
        <v>43</v>
      </c>
      <c r="C30" s="18">
        <v>62099</v>
      </c>
      <c r="D30" s="18">
        <v>57944</v>
      </c>
      <c r="E30" s="18">
        <v>54980</v>
      </c>
      <c r="F30" s="18">
        <v>52555</v>
      </c>
      <c r="G30" s="18">
        <v>51571</v>
      </c>
      <c r="H30" s="18">
        <v>49001</v>
      </c>
      <c r="I30" s="18">
        <v>50006</v>
      </c>
      <c r="J30" s="18">
        <v>42311</v>
      </c>
      <c r="K30" s="18">
        <v>43125</v>
      </c>
      <c r="L30" s="18">
        <v>43936</v>
      </c>
      <c r="M30" s="18">
        <v>44390</v>
      </c>
      <c r="N30" s="18">
        <v>44138</v>
      </c>
      <c r="O30" s="18">
        <v>42815</v>
      </c>
      <c r="P30" s="18">
        <v>48036</v>
      </c>
      <c r="Q30" s="18">
        <v>55424</v>
      </c>
      <c r="R30" s="18">
        <v>59819</v>
      </c>
      <c r="S30" s="18">
        <v>60802</v>
      </c>
      <c r="T30" s="18">
        <v>51261</v>
      </c>
      <c r="U30" s="18">
        <v>56493</v>
      </c>
      <c r="V30" s="18">
        <v>61944</v>
      </c>
      <c r="W30" s="18">
        <v>61782</v>
      </c>
      <c r="X30" s="18">
        <v>60859</v>
      </c>
      <c r="Y30" s="18">
        <v>56862</v>
      </c>
      <c r="Z30" s="18">
        <v>51152</v>
      </c>
      <c r="AA30" s="19">
        <f t="shared" si="0"/>
        <v>1263305</v>
      </c>
      <c r="AB30" s="20">
        <v>1</v>
      </c>
      <c r="AC30" s="19">
        <f t="shared" si="1"/>
        <v>1263305</v>
      </c>
      <c r="AD30" s="104"/>
    </row>
    <row r="31" spans="1:30" x14ac:dyDescent="0.35">
      <c r="A31" s="99">
        <v>46569</v>
      </c>
      <c r="B31" s="17" t="s">
        <v>40</v>
      </c>
      <c r="C31" s="18">
        <v>61438</v>
      </c>
      <c r="D31" s="18">
        <v>56819</v>
      </c>
      <c r="E31" s="18">
        <v>53492</v>
      </c>
      <c r="F31" s="18">
        <v>50865</v>
      </c>
      <c r="G31" s="18">
        <v>50051</v>
      </c>
      <c r="H31" s="18">
        <v>50259</v>
      </c>
      <c r="I31" s="18">
        <v>52230</v>
      </c>
      <c r="J31" s="18">
        <v>46407</v>
      </c>
      <c r="K31" s="18">
        <v>50780</v>
      </c>
      <c r="L31" s="18">
        <v>51901</v>
      </c>
      <c r="M31" s="18">
        <v>53535</v>
      </c>
      <c r="N31" s="18">
        <v>52172</v>
      </c>
      <c r="O31" s="18">
        <v>43928</v>
      </c>
      <c r="P31" s="18">
        <v>56743</v>
      </c>
      <c r="Q31" s="18">
        <v>71558</v>
      </c>
      <c r="R31" s="18">
        <v>77001</v>
      </c>
      <c r="S31" s="18">
        <v>76870</v>
      </c>
      <c r="T31" s="18">
        <v>68831</v>
      </c>
      <c r="U31" s="18">
        <v>68212</v>
      </c>
      <c r="V31" s="18">
        <v>69744</v>
      </c>
      <c r="W31" s="18">
        <v>69852</v>
      </c>
      <c r="X31" s="18">
        <v>68376</v>
      </c>
      <c r="Y31" s="18">
        <v>63811</v>
      </c>
      <c r="Z31" s="18">
        <v>57616</v>
      </c>
      <c r="AA31" s="19">
        <f t="shared" si="0"/>
        <v>1422491</v>
      </c>
      <c r="AB31" s="20">
        <v>20</v>
      </c>
      <c r="AC31" s="19">
        <f t="shared" si="1"/>
        <v>28449820</v>
      </c>
      <c r="AD31" s="102">
        <f>+SUM(AC31:AC34)</f>
        <v>41796550</v>
      </c>
    </row>
    <row r="32" spans="1:30" x14ac:dyDescent="0.35">
      <c r="A32" s="100"/>
      <c r="B32" s="21" t="s">
        <v>41</v>
      </c>
      <c r="C32" s="18">
        <v>59819</v>
      </c>
      <c r="D32" s="18">
        <v>55542</v>
      </c>
      <c r="E32" s="18">
        <v>52427</v>
      </c>
      <c r="F32" s="18">
        <v>49930</v>
      </c>
      <c r="G32" s="18">
        <v>49075</v>
      </c>
      <c r="H32" s="18">
        <v>47369</v>
      </c>
      <c r="I32" s="18">
        <v>49102</v>
      </c>
      <c r="J32" s="18">
        <v>42467</v>
      </c>
      <c r="K32" s="18">
        <v>46222</v>
      </c>
      <c r="L32" s="18">
        <v>47462</v>
      </c>
      <c r="M32" s="18">
        <v>47812</v>
      </c>
      <c r="N32" s="18">
        <v>47562</v>
      </c>
      <c r="O32" s="18">
        <v>43293</v>
      </c>
      <c r="P32" s="18">
        <v>48954</v>
      </c>
      <c r="Q32" s="18">
        <v>58451</v>
      </c>
      <c r="R32" s="18">
        <v>62897</v>
      </c>
      <c r="S32" s="18">
        <v>62841</v>
      </c>
      <c r="T32" s="18">
        <v>59418</v>
      </c>
      <c r="U32" s="18">
        <v>63487</v>
      </c>
      <c r="V32" s="18">
        <v>66085</v>
      </c>
      <c r="W32" s="18">
        <v>64047</v>
      </c>
      <c r="X32" s="18">
        <v>62726</v>
      </c>
      <c r="Y32" s="18">
        <v>60939</v>
      </c>
      <c r="Z32" s="18">
        <v>57671</v>
      </c>
      <c r="AA32" s="19">
        <f t="shared" si="0"/>
        <v>1305598</v>
      </c>
      <c r="AB32" s="20">
        <v>5</v>
      </c>
      <c r="AC32" s="19">
        <f t="shared" si="1"/>
        <v>6527990</v>
      </c>
      <c r="AD32" s="103"/>
    </row>
    <row r="33" spans="1:30" x14ac:dyDescent="0.35">
      <c r="A33" s="100"/>
      <c r="B33" s="21" t="s">
        <v>42</v>
      </c>
      <c r="C33" s="18">
        <v>63367</v>
      </c>
      <c r="D33" s="18">
        <v>58915</v>
      </c>
      <c r="E33" s="18">
        <v>55318</v>
      </c>
      <c r="F33" s="18">
        <v>52648</v>
      </c>
      <c r="G33" s="18">
        <v>50839</v>
      </c>
      <c r="H33" s="18">
        <v>47839</v>
      </c>
      <c r="I33" s="18">
        <v>47598</v>
      </c>
      <c r="J33" s="18">
        <v>33821</v>
      </c>
      <c r="K33" s="18">
        <v>31750</v>
      </c>
      <c r="L33" s="18">
        <v>30646</v>
      </c>
      <c r="M33" s="18">
        <v>28995</v>
      </c>
      <c r="N33" s="18">
        <v>28025</v>
      </c>
      <c r="O33" s="18">
        <v>29049</v>
      </c>
      <c r="P33" s="18">
        <v>34326</v>
      </c>
      <c r="Q33" s="18">
        <v>41511</v>
      </c>
      <c r="R33" s="18">
        <v>47714</v>
      </c>
      <c r="S33" s="18">
        <v>50340</v>
      </c>
      <c r="T33" s="18">
        <v>53698</v>
      </c>
      <c r="U33" s="18">
        <v>58540</v>
      </c>
      <c r="V33" s="18">
        <v>63038</v>
      </c>
      <c r="W33" s="18">
        <v>63835</v>
      </c>
      <c r="X33" s="18">
        <v>64213</v>
      </c>
      <c r="Y33" s="18">
        <v>61521</v>
      </c>
      <c r="Z33" s="18">
        <v>57011</v>
      </c>
      <c r="AA33" s="19">
        <f t="shared" si="0"/>
        <v>1154557</v>
      </c>
      <c r="AB33" s="20">
        <v>4</v>
      </c>
      <c r="AC33" s="19">
        <f t="shared" si="1"/>
        <v>4618228</v>
      </c>
      <c r="AD33" s="103"/>
    </row>
    <row r="34" spans="1:30" x14ac:dyDescent="0.35">
      <c r="A34" s="101"/>
      <c r="B34" s="22" t="s">
        <v>43</v>
      </c>
      <c r="C34" s="18">
        <v>57089</v>
      </c>
      <c r="D34" s="18">
        <v>52696</v>
      </c>
      <c r="E34" s="18">
        <v>49295</v>
      </c>
      <c r="F34" s="18">
        <v>47131</v>
      </c>
      <c r="G34" s="18">
        <v>45973</v>
      </c>
      <c r="H34" s="18">
        <v>43894</v>
      </c>
      <c r="I34" s="18">
        <v>44100</v>
      </c>
      <c r="J34" s="18">
        <v>33192</v>
      </c>
      <c r="K34" s="18">
        <v>32741</v>
      </c>
      <c r="L34" s="18">
        <v>32332</v>
      </c>
      <c r="M34" s="18">
        <v>31799</v>
      </c>
      <c r="N34" s="18">
        <v>30900</v>
      </c>
      <c r="O34" s="18">
        <v>29289</v>
      </c>
      <c r="P34" s="18">
        <v>35465</v>
      </c>
      <c r="Q34" s="18">
        <v>43086</v>
      </c>
      <c r="R34" s="18">
        <v>48489</v>
      </c>
      <c r="S34" s="18">
        <v>50010</v>
      </c>
      <c r="T34" s="18">
        <v>49755</v>
      </c>
      <c r="U34" s="18">
        <v>55360</v>
      </c>
      <c r="V34" s="18">
        <v>60823</v>
      </c>
      <c r="W34" s="18">
        <v>60906</v>
      </c>
      <c r="X34" s="18">
        <v>59777</v>
      </c>
      <c r="Y34" s="18">
        <v>55802</v>
      </c>
      <c r="Z34" s="18">
        <v>50352</v>
      </c>
      <c r="AA34" s="19">
        <f t="shared" si="0"/>
        <v>1100256</v>
      </c>
      <c r="AB34" s="20">
        <v>2</v>
      </c>
      <c r="AC34" s="19">
        <f t="shared" si="1"/>
        <v>2200512</v>
      </c>
      <c r="AD34" s="104"/>
    </row>
    <row r="35" spans="1:30" x14ac:dyDescent="0.35">
      <c r="A35" s="99">
        <v>46600</v>
      </c>
      <c r="B35" s="17" t="s">
        <v>40</v>
      </c>
      <c r="C35" s="18">
        <v>59270</v>
      </c>
      <c r="D35" s="18">
        <v>54463</v>
      </c>
      <c r="E35" s="18">
        <v>50879</v>
      </c>
      <c r="F35" s="18">
        <v>48120</v>
      </c>
      <c r="G35" s="18">
        <v>47167</v>
      </c>
      <c r="H35" s="18">
        <v>47194</v>
      </c>
      <c r="I35" s="18">
        <v>48542</v>
      </c>
      <c r="J35" s="18">
        <v>43396</v>
      </c>
      <c r="K35" s="18">
        <v>47289</v>
      </c>
      <c r="L35" s="18">
        <v>49150</v>
      </c>
      <c r="M35" s="18">
        <v>50864</v>
      </c>
      <c r="N35" s="18">
        <v>50195</v>
      </c>
      <c r="O35" s="18">
        <v>42035</v>
      </c>
      <c r="P35" s="18">
        <v>56196</v>
      </c>
      <c r="Q35" s="18">
        <v>72232</v>
      </c>
      <c r="R35" s="18">
        <v>77697</v>
      </c>
      <c r="S35" s="18">
        <v>77763</v>
      </c>
      <c r="T35" s="18">
        <v>66291</v>
      </c>
      <c r="U35" s="18">
        <v>66138</v>
      </c>
      <c r="V35" s="18">
        <v>67151</v>
      </c>
      <c r="W35" s="18">
        <v>67564</v>
      </c>
      <c r="X35" s="18">
        <v>66737</v>
      </c>
      <c r="Y35" s="18">
        <v>61873</v>
      </c>
      <c r="Z35" s="18">
        <v>55776</v>
      </c>
      <c r="AA35" s="19">
        <f t="shared" si="0"/>
        <v>1373982</v>
      </c>
      <c r="AB35" s="20">
        <v>21</v>
      </c>
      <c r="AC35" s="19">
        <f t="shared" si="1"/>
        <v>28853622</v>
      </c>
      <c r="AD35" s="102">
        <f>+SUM(AC35:AC38)</f>
        <v>40054834</v>
      </c>
    </row>
    <row r="36" spans="1:30" x14ac:dyDescent="0.35">
      <c r="A36" s="100"/>
      <c r="B36" s="21" t="s">
        <v>41</v>
      </c>
      <c r="C36" s="18">
        <v>65140</v>
      </c>
      <c r="D36" s="18">
        <v>59951</v>
      </c>
      <c r="E36" s="18">
        <v>55919</v>
      </c>
      <c r="F36" s="18">
        <v>52751</v>
      </c>
      <c r="G36" s="18">
        <v>51121</v>
      </c>
      <c r="H36" s="18">
        <v>48914</v>
      </c>
      <c r="I36" s="18">
        <v>50037</v>
      </c>
      <c r="J36" s="18">
        <v>44395</v>
      </c>
      <c r="K36" s="18">
        <v>47997</v>
      </c>
      <c r="L36" s="18">
        <v>49977</v>
      </c>
      <c r="M36" s="18">
        <v>50086</v>
      </c>
      <c r="N36" s="18">
        <v>50555</v>
      </c>
      <c r="O36" s="18">
        <v>45143</v>
      </c>
      <c r="P36" s="18">
        <v>51199</v>
      </c>
      <c r="Q36" s="18">
        <v>60391</v>
      </c>
      <c r="R36" s="18">
        <v>64921</v>
      </c>
      <c r="S36" s="18">
        <v>65533</v>
      </c>
      <c r="T36" s="18">
        <v>59789</v>
      </c>
      <c r="U36" s="18">
        <v>64285</v>
      </c>
      <c r="V36" s="18">
        <v>64793</v>
      </c>
      <c r="W36" s="18">
        <v>62743</v>
      </c>
      <c r="X36" s="18">
        <v>62548</v>
      </c>
      <c r="Y36" s="18">
        <v>60837</v>
      </c>
      <c r="Z36" s="18">
        <v>57281</v>
      </c>
      <c r="AA36" s="19">
        <f t="shared" si="0"/>
        <v>1346306</v>
      </c>
      <c r="AB36" s="20">
        <v>3</v>
      </c>
      <c r="AC36" s="19">
        <f t="shared" si="1"/>
        <v>4038918</v>
      </c>
      <c r="AD36" s="103"/>
    </row>
    <row r="37" spans="1:30" x14ac:dyDescent="0.35">
      <c r="A37" s="100"/>
      <c r="B37" s="21" t="s">
        <v>42</v>
      </c>
      <c r="C37" s="18">
        <v>61981</v>
      </c>
      <c r="D37" s="18">
        <v>57209</v>
      </c>
      <c r="E37" s="18">
        <v>53379</v>
      </c>
      <c r="F37" s="18">
        <v>50358</v>
      </c>
      <c r="G37" s="18">
        <v>48055</v>
      </c>
      <c r="H37" s="18">
        <v>44073</v>
      </c>
      <c r="I37" s="18">
        <v>42900</v>
      </c>
      <c r="J37" s="18">
        <v>30889</v>
      </c>
      <c r="K37" s="18">
        <v>28263</v>
      </c>
      <c r="L37" s="18">
        <v>25797</v>
      </c>
      <c r="M37" s="18">
        <v>24871</v>
      </c>
      <c r="N37" s="18">
        <v>23052</v>
      </c>
      <c r="O37" s="18">
        <v>24365</v>
      </c>
      <c r="P37" s="18">
        <v>31543</v>
      </c>
      <c r="Q37" s="18">
        <v>38729</v>
      </c>
      <c r="R37" s="18">
        <v>44769</v>
      </c>
      <c r="S37" s="18">
        <v>45606</v>
      </c>
      <c r="T37" s="18">
        <v>45042</v>
      </c>
      <c r="U37" s="18">
        <v>51385</v>
      </c>
      <c r="V37" s="18">
        <v>54472</v>
      </c>
      <c r="W37" s="18">
        <v>55432</v>
      </c>
      <c r="X37" s="18">
        <v>56436</v>
      </c>
      <c r="Y37" s="18">
        <v>53855</v>
      </c>
      <c r="Z37" s="18">
        <v>49225</v>
      </c>
      <c r="AA37" s="19">
        <f t="shared" si="0"/>
        <v>1041686</v>
      </c>
      <c r="AB37" s="20">
        <v>5</v>
      </c>
      <c r="AC37" s="19">
        <f t="shared" si="1"/>
        <v>5208430</v>
      </c>
      <c r="AD37" s="103"/>
    </row>
    <row r="38" spans="1:30" x14ac:dyDescent="0.35">
      <c r="A38" s="101"/>
      <c r="B38" s="22" t="s">
        <v>43</v>
      </c>
      <c r="C38" s="18">
        <v>48457</v>
      </c>
      <c r="D38" s="18">
        <v>44780</v>
      </c>
      <c r="E38" s="18">
        <v>41713</v>
      </c>
      <c r="F38" s="18">
        <v>39712</v>
      </c>
      <c r="G38" s="18">
        <v>38696</v>
      </c>
      <c r="H38" s="18">
        <v>36870</v>
      </c>
      <c r="I38" s="18">
        <v>36475</v>
      </c>
      <c r="J38" s="18">
        <v>25827</v>
      </c>
      <c r="K38" s="18">
        <v>25565</v>
      </c>
      <c r="L38" s="18">
        <v>26542</v>
      </c>
      <c r="M38" s="18">
        <v>26872</v>
      </c>
      <c r="N38" s="18">
        <v>27394</v>
      </c>
      <c r="O38" s="18">
        <v>26888</v>
      </c>
      <c r="P38" s="18">
        <v>32786</v>
      </c>
      <c r="Q38" s="18">
        <v>40636</v>
      </c>
      <c r="R38" s="18">
        <v>46466</v>
      </c>
      <c r="S38" s="18">
        <v>47692</v>
      </c>
      <c r="T38" s="18">
        <v>44044</v>
      </c>
      <c r="U38" s="18">
        <v>50845</v>
      </c>
      <c r="V38" s="18">
        <v>55292</v>
      </c>
      <c r="W38" s="18">
        <v>55712</v>
      </c>
      <c r="X38" s="18">
        <v>57042</v>
      </c>
      <c r="Y38" s="18">
        <v>53615</v>
      </c>
      <c r="Z38" s="18">
        <v>47011</v>
      </c>
      <c r="AA38" s="19">
        <f t="shared" si="0"/>
        <v>976932</v>
      </c>
      <c r="AB38" s="20">
        <v>2</v>
      </c>
      <c r="AC38" s="19">
        <f t="shared" si="1"/>
        <v>1953864</v>
      </c>
      <c r="AD38" s="104"/>
    </row>
    <row r="39" spans="1:30" x14ac:dyDescent="0.35">
      <c r="A39" s="99">
        <v>46631</v>
      </c>
      <c r="B39" s="17" t="s">
        <v>40</v>
      </c>
      <c r="C39" s="18">
        <v>66044</v>
      </c>
      <c r="D39" s="18">
        <v>60758</v>
      </c>
      <c r="E39" s="18">
        <v>56830</v>
      </c>
      <c r="F39" s="18">
        <v>53782</v>
      </c>
      <c r="G39" s="18">
        <v>52654</v>
      </c>
      <c r="H39" s="18">
        <v>52564</v>
      </c>
      <c r="I39" s="18">
        <v>54366</v>
      </c>
      <c r="J39" s="18">
        <v>49925</v>
      </c>
      <c r="K39" s="18">
        <v>54223</v>
      </c>
      <c r="L39" s="18">
        <v>56339</v>
      </c>
      <c r="M39" s="18">
        <v>58468</v>
      </c>
      <c r="N39" s="18">
        <v>57880</v>
      </c>
      <c r="O39" s="18">
        <v>50100</v>
      </c>
      <c r="P39" s="18">
        <v>64997</v>
      </c>
      <c r="Q39" s="18">
        <v>80349</v>
      </c>
      <c r="R39" s="18">
        <v>85498</v>
      </c>
      <c r="S39" s="18">
        <v>84587</v>
      </c>
      <c r="T39" s="18">
        <v>73233</v>
      </c>
      <c r="U39" s="18">
        <v>74253</v>
      </c>
      <c r="V39" s="18">
        <v>72825</v>
      </c>
      <c r="W39" s="18">
        <v>72960</v>
      </c>
      <c r="X39" s="18">
        <v>72080</v>
      </c>
      <c r="Y39" s="18">
        <v>67342</v>
      </c>
      <c r="Z39" s="18">
        <v>60273</v>
      </c>
      <c r="AA39" s="19">
        <f t="shared" si="0"/>
        <v>1532330</v>
      </c>
      <c r="AB39" s="20">
        <v>22</v>
      </c>
      <c r="AC39" s="19">
        <f t="shared" si="1"/>
        <v>33711260</v>
      </c>
      <c r="AD39" s="102">
        <f>+SUM(AC39:AC42)</f>
        <v>44476632</v>
      </c>
    </row>
    <row r="40" spans="1:30" x14ac:dyDescent="0.35">
      <c r="A40" s="100"/>
      <c r="B40" s="21" t="s">
        <v>41</v>
      </c>
      <c r="C40" s="18">
        <v>67427</v>
      </c>
      <c r="D40" s="18">
        <v>62594</v>
      </c>
      <c r="E40" s="18">
        <v>58780</v>
      </c>
      <c r="F40" s="18">
        <v>55684</v>
      </c>
      <c r="G40" s="18">
        <v>54151</v>
      </c>
      <c r="H40" s="18">
        <v>51785</v>
      </c>
      <c r="I40" s="18">
        <v>53725</v>
      </c>
      <c r="J40" s="18">
        <v>49068</v>
      </c>
      <c r="K40" s="18">
        <v>53981</v>
      </c>
      <c r="L40" s="18">
        <v>55440</v>
      </c>
      <c r="M40" s="18">
        <v>57016</v>
      </c>
      <c r="N40" s="18">
        <v>56858</v>
      </c>
      <c r="O40" s="18">
        <v>51848</v>
      </c>
      <c r="P40" s="18">
        <v>58341</v>
      </c>
      <c r="Q40" s="18">
        <v>68018</v>
      </c>
      <c r="R40" s="18">
        <v>72532</v>
      </c>
      <c r="S40" s="18">
        <v>72209</v>
      </c>
      <c r="T40" s="18">
        <v>67411</v>
      </c>
      <c r="U40" s="18">
        <v>72387</v>
      </c>
      <c r="V40" s="18">
        <v>70467</v>
      </c>
      <c r="W40" s="18">
        <v>67815</v>
      </c>
      <c r="X40" s="18">
        <v>66267</v>
      </c>
      <c r="Y40" s="18">
        <v>63909</v>
      </c>
      <c r="Z40" s="18">
        <v>60293</v>
      </c>
      <c r="AA40" s="19">
        <f t="shared" si="0"/>
        <v>1468006</v>
      </c>
      <c r="AB40" s="20">
        <v>4</v>
      </c>
      <c r="AC40" s="19">
        <f t="shared" si="1"/>
        <v>5872024</v>
      </c>
      <c r="AD40" s="103"/>
    </row>
    <row r="41" spans="1:30" x14ac:dyDescent="0.35">
      <c r="A41" s="100"/>
      <c r="B41" s="21" t="s">
        <v>42</v>
      </c>
      <c r="C41" s="18">
        <v>66425</v>
      </c>
      <c r="D41" s="18">
        <v>61855</v>
      </c>
      <c r="E41" s="18">
        <v>58368</v>
      </c>
      <c r="F41" s="18">
        <v>55543</v>
      </c>
      <c r="G41" s="18">
        <v>53471</v>
      </c>
      <c r="H41" s="18">
        <v>50590</v>
      </c>
      <c r="I41" s="18">
        <v>50249</v>
      </c>
      <c r="J41" s="18">
        <v>38056</v>
      </c>
      <c r="K41" s="18">
        <v>35389</v>
      </c>
      <c r="L41" s="18">
        <v>32990</v>
      </c>
      <c r="M41" s="18">
        <v>32560</v>
      </c>
      <c r="N41" s="18">
        <v>32833</v>
      </c>
      <c r="O41" s="18">
        <v>32541</v>
      </c>
      <c r="P41" s="18">
        <v>38987</v>
      </c>
      <c r="Q41" s="18">
        <v>48073</v>
      </c>
      <c r="R41" s="18">
        <v>53465</v>
      </c>
      <c r="S41" s="18">
        <v>55432</v>
      </c>
      <c r="T41" s="18">
        <v>54287</v>
      </c>
      <c r="U41" s="18">
        <v>61007</v>
      </c>
      <c r="V41" s="18">
        <v>63279</v>
      </c>
      <c r="W41" s="18">
        <v>64467</v>
      </c>
      <c r="X41" s="18">
        <v>65154</v>
      </c>
      <c r="Y41" s="18">
        <v>61904</v>
      </c>
      <c r="Z41" s="18">
        <v>56412</v>
      </c>
      <c r="AA41" s="19">
        <f t="shared" si="0"/>
        <v>1223337</v>
      </c>
      <c r="AB41" s="20">
        <v>4</v>
      </c>
      <c r="AC41" s="19">
        <f t="shared" si="1"/>
        <v>4893348</v>
      </c>
      <c r="AD41" s="103"/>
    </row>
    <row r="42" spans="1:30" x14ac:dyDescent="0.35">
      <c r="A42" s="101"/>
      <c r="B42" s="22" t="s">
        <v>43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9">
        <f t="shared" si="0"/>
        <v>0</v>
      </c>
      <c r="AB42" s="20">
        <v>0</v>
      </c>
      <c r="AC42" s="19">
        <f t="shared" si="1"/>
        <v>0</v>
      </c>
      <c r="AD42" s="104"/>
    </row>
    <row r="43" spans="1:30" x14ac:dyDescent="0.35">
      <c r="A43" s="99">
        <v>46661</v>
      </c>
      <c r="B43" s="17" t="s">
        <v>40</v>
      </c>
      <c r="C43" s="18">
        <v>58210</v>
      </c>
      <c r="D43" s="18">
        <v>53420</v>
      </c>
      <c r="E43" s="18">
        <v>49970</v>
      </c>
      <c r="F43" s="18">
        <v>47542</v>
      </c>
      <c r="G43" s="18">
        <v>46859</v>
      </c>
      <c r="H43" s="18">
        <v>46860</v>
      </c>
      <c r="I43" s="18">
        <v>48892</v>
      </c>
      <c r="J43" s="18">
        <v>44399</v>
      </c>
      <c r="K43" s="18">
        <v>49837</v>
      </c>
      <c r="L43" s="18">
        <v>52119</v>
      </c>
      <c r="M43" s="18">
        <v>54635</v>
      </c>
      <c r="N43" s="18">
        <v>54761</v>
      </c>
      <c r="O43" s="18">
        <v>47135</v>
      </c>
      <c r="P43" s="18">
        <v>61009</v>
      </c>
      <c r="Q43" s="18">
        <v>76514</v>
      </c>
      <c r="R43" s="18">
        <v>81095</v>
      </c>
      <c r="S43" s="18">
        <v>80420</v>
      </c>
      <c r="T43" s="18">
        <v>71943</v>
      </c>
      <c r="U43" s="18">
        <v>71231</v>
      </c>
      <c r="V43" s="18">
        <v>68030</v>
      </c>
      <c r="W43" s="18">
        <v>66275</v>
      </c>
      <c r="X43" s="18">
        <v>64119</v>
      </c>
      <c r="Y43" s="18">
        <v>58857</v>
      </c>
      <c r="Z43" s="18">
        <v>52312</v>
      </c>
      <c r="AA43" s="19">
        <f t="shared" si="0"/>
        <v>1406444</v>
      </c>
      <c r="AB43" s="20">
        <v>20</v>
      </c>
      <c r="AC43" s="19">
        <f t="shared" si="1"/>
        <v>28128880</v>
      </c>
      <c r="AD43" s="102">
        <f>+SUM(AC43:AC46)</f>
        <v>40797963</v>
      </c>
    </row>
    <row r="44" spans="1:30" x14ac:dyDescent="0.35">
      <c r="A44" s="100"/>
      <c r="B44" s="21" t="s">
        <v>41</v>
      </c>
      <c r="C44" s="18">
        <v>55954</v>
      </c>
      <c r="D44" s="18">
        <v>51152</v>
      </c>
      <c r="E44" s="18">
        <v>47750</v>
      </c>
      <c r="F44" s="18">
        <v>45050</v>
      </c>
      <c r="G44" s="18">
        <v>43962</v>
      </c>
      <c r="H44" s="18">
        <v>42485</v>
      </c>
      <c r="I44" s="18">
        <v>44114</v>
      </c>
      <c r="J44" s="18">
        <v>38220</v>
      </c>
      <c r="K44" s="18">
        <v>43716</v>
      </c>
      <c r="L44" s="18">
        <v>45987</v>
      </c>
      <c r="M44" s="18">
        <v>47484</v>
      </c>
      <c r="N44" s="18">
        <v>47609</v>
      </c>
      <c r="O44" s="18">
        <v>43794</v>
      </c>
      <c r="P44" s="18">
        <v>48578</v>
      </c>
      <c r="Q44" s="18">
        <v>57358</v>
      </c>
      <c r="R44" s="18">
        <v>61498</v>
      </c>
      <c r="S44" s="18">
        <v>62414</v>
      </c>
      <c r="T44" s="18">
        <v>59754</v>
      </c>
      <c r="U44" s="18">
        <v>63614</v>
      </c>
      <c r="V44" s="18">
        <v>60992</v>
      </c>
      <c r="W44" s="18">
        <v>58681</v>
      </c>
      <c r="X44" s="18">
        <v>56071</v>
      </c>
      <c r="Y44" s="18">
        <v>52877</v>
      </c>
      <c r="Z44" s="18">
        <v>48783</v>
      </c>
      <c r="AA44" s="19">
        <f t="shared" si="0"/>
        <v>1227897</v>
      </c>
      <c r="AB44" s="20">
        <v>5</v>
      </c>
      <c r="AC44" s="19">
        <f t="shared" si="1"/>
        <v>6139485</v>
      </c>
      <c r="AD44" s="103"/>
    </row>
    <row r="45" spans="1:30" x14ac:dyDescent="0.35">
      <c r="A45" s="100"/>
      <c r="B45" s="21" t="s">
        <v>42</v>
      </c>
      <c r="C45" s="18">
        <v>58247</v>
      </c>
      <c r="D45" s="18">
        <v>53857</v>
      </c>
      <c r="E45" s="18">
        <v>50470</v>
      </c>
      <c r="F45" s="18">
        <v>47625</v>
      </c>
      <c r="G45" s="18">
        <v>45728</v>
      </c>
      <c r="H45" s="18">
        <v>42975</v>
      </c>
      <c r="I45" s="18">
        <v>42913</v>
      </c>
      <c r="J45" s="18">
        <v>30266</v>
      </c>
      <c r="K45" s="18">
        <v>28324</v>
      </c>
      <c r="L45" s="18">
        <v>27700</v>
      </c>
      <c r="M45" s="18">
        <v>26783</v>
      </c>
      <c r="N45" s="18">
        <v>27514</v>
      </c>
      <c r="O45" s="18">
        <v>28172</v>
      </c>
      <c r="P45" s="18">
        <v>33598</v>
      </c>
      <c r="Q45" s="18">
        <v>41226</v>
      </c>
      <c r="R45" s="18">
        <v>47690</v>
      </c>
      <c r="S45" s="18">
        <v>50259</v>
      </c>
      <c r="T45" s="18">
        <v>51760</v>
      </c>
      <c r="U45" s="18">
        <v>57335</v>
      </c>
      <c r="V45" s="18">
        <v>58307</v>
      </c>
      <c r="W45" s="18">
        <v>58769</v>
      </c>
      <c r="X45" s="18">
        <v>58587</v>
      </c>
      <c r="Y45" s="18">
        <v>54893</v>
      </c>
      <c r="Z45" s="18">
        <v>49784</v>
      </c>
      <c r="AA45" s="19">
        <f t="shared" si="0"/>
        <v>1072782</v>
      </c>
      <c r="AB45" s="20">
        <v>5</v>
      </c>
      <c r="AC45" s="19">
        <f t="shared" si="1"/>
        <v>5363910</v>
      </c>
      <c r="AD45" s="103"/>
    </row>
    <row r="46" spans="1:30" x14ac:dyDescent="0.35">
      <c r="A46" s="101"/>
      <c r="B46" s="22" t="s">
        <v>43</v>
      </c>
      <c r="C46" s="18">
        <v>56858</v>
      </c>
      <c r="D46" s="18">
        <v>52411</v>
      </c>
      <c r="E46" s="18">
        <v>49328</v>
      </c>
      <c r="F46" s="18">
        <v>47226</v>
      </c>
      <c r="G46" s="18">
        <v>46194</v>
      </c>
      <c r="H46" s="18">
        <v>43123</v>
      </c>
      <c r="I46" s="18">
        <v>42806</v>
      </c>
      <c r="J46" s="18">
        <v>34030</v>
      </c>
      <c r="K46" s="18">
        <v>34774</v>
      </c>
      <c r="L46" s="18">
        <v>36172</v>
      </c>
      <c r="M46" s="18">
        <v>36585</v>
      </c>
      <c r="N46" s="18">
        <v>35270</v>
      </c>
      <c r="O46" s="18">
        <v>36527</v>
      </c>
      <c r="P46" s="18">
        <v>42697</v>
      </c>
      <c r="Q46" s="18">
        <v>51830</v>
      </c>
      <c r="R46" s="18">
        <v>55904</v>
      </c>
      <c r="S46" s="18">
        <v>57302</v>
      </c>
      <c r="T46" s="18">
        <v>56474</v>
      </c>
      <c r="U46" s="18">
        <v>61365</v>
      </c>
      <c r="V46" s="18">
        <v>62144</v>
      </c>
      <c r="W46" s="18">
        <v>62099</v>
      </c>
      <c r="X46" s="18">
        <v>60215</v>
      </c>
      <c r="Y46" s="18">
        <v>55170</v>
      </c>
      <c r="Z46" s="18">
        <v>49184</v>
      </c>
      <c r="AA46" s="19">
        <f t="shared" si="0"/>
        <v>1165688</v>
      </c>
      <c r="AB46" s="20">
        <v>1</v>
      </c>
      <c r="AC46" s="19">
        <f t="shared" si="1"/>
        <v>1165688</v>
      </c>
      <c r="AD46" s="104"/>
    </row>
    <row r="47" spans="1:30" x14ac:dyDescent="0.35">
      <c r="A47" s="99">
        <v>46692</v>
      </c>
      <c r="B47" s="17" t="s">
        <v>40</v>
      </c>
      <c r="C47" s="18">
        <v>58304</v>
      </c>
      <c r="D47" s="18">
        <v>53636</v>
      </c>
      <c r="E47" s="18">
        <v>50379</v>
      </c>
      <c r="F47" s="18">
        <v>48262</v>
      </c>
      <c r="G47" s="18">
        <v>48067</v>
      </c>
      <c r="H47" s="18">
        <v>48874</v>
      </c>
      <c r="I47" s="18">
        <v>51980</v>
      </c>
      <c r="J47" s="18">
        <v>47902</v>
      </c>
      <c r="K47" s="18">
        <v>53014</v>
      </c>
      <c r="L47" s="18">
        <v>54784</v>
      </c>
      <c r="M47" s="18">
        <v>56956</v>
      </c>
      <c r="N47" s="18">
        <v>57012</v>
      </c>
      <c r="O47" s="18">
        <v>49168</v>
      </c>
      <c r="P47" s="18">
        <v>61640</v>
      </c>
      <c r="Q47" s="18">
        <v>76470</v>
      </c>
      <c r="R47" s="18">
        <v>82344</v>
      </c>
      <c r="S47" s="18">
        <v>82246</v>
      </c>
      <c r="T47" s="18">
        <v>75560</v>
      </c>
      <c r="U47" s="18">
        <v>74743</v>
      </c>
      <c r="V47" s="18">
        <v>70746</v>
      </c>
      <c r="W47" s="18">
        <v>68613</v>
      </c>
      <c r="X47" s="18">
        <v>65270</v>
      </c>
      <c r="Y47" s="18">
        <v>59492</v>
      </c>
      <c r="Z47" s="18">
        <v>52633</v>
      </c>
      <c r="AA47" s="19">
        <f t="shared" si="0"/>
        <v>1448095</v>
      </c>
      <c r="AB47" s="20">
        <v>20</v>
      </c>
      <c r="AC47" s="19">
        <f t="shared" si="1"/>
        <v>28961900</v>
      </c>
      <c r="AD47" s="102">
        <f>+SUM(AC47:AC50)</f>
        <v>41250458</v>
      </c>
    </row>
    <row r="48" spans="1:30" x14ac:dyDescent="0.35">
      <c r="A48" s="100"/>
      <c r="B48" s="21" t="s">
        <v>41</v>
      </c>
      <c r="C48" s="18">
        <v>59830</v>
      </c>
      <c r="D48" s="18">
        <v>55183</v>
      </c>
      <c r="E48" s="18">
        <v>51798</v>
      </c>
      <c r="F48" s="18">
        <v>49225</v>
      </c>
      <c r="G48" s="18">
        <v>48173</v>
      </c>
      <c r="H48" s="18">
        <v>47056</v>
      </c>
      <c r="I48" s="18">
        <v>49097</v>
      </c>
      <c r="J48" s="18">
        <v>44324</v>
      </c>
      <c r="K48" s="18">
        <v>50219</v>
      </c>
      <c r="L48" s="18">
        <v>53051</v>
      </c>
      <c r="M48" s="18">
        <v>53804</v>
      </c>
      <c r="N48" s="18">
        <v>53659</v>
      </c>
      <c r="O48" s="18">
        <v>48690</v>
      </c>
      <c r="P48" s="18">
        <v>53238</v>
      </c>
      <c r="Q48" s="18">
        <v>61435</v>
      </c>
      <c r="R48" s="18">
        <v>65404</v>
      </c>
      <c r="S48" s="18">
        <v>66035</v>
      </c>
      <c r="T48" s="18">
        <v>64234</v>
      </c>
      <c r="U48" s="18">
        <v>66871</v>
      </c>
      <c r="V48" s="18">
        <v>63888</v>
      </c>
      <c r="W48" s="18">
        <v>60921</v>
      </c>
      <c r="X48" s="18">
        <v>57476</v>
      </c>
      <c r="Y48" s="18">
        <v>54243</v>
      </c>
      <c r="Z48" s="18">
        <v>49962</v>
      </c>
      <c r="AA48" s="19">
        <f t="shared" si="0"/>
        <v>1327816</v>
      </c>
      <c r="AB48" s="20">
        <v>4</v>
      </c>
      <c r="AC48" s="19">
        <f t="shared" si="1"/>
        <v>5311264</v>
      </c>
      <c r="AD48" s="103"/>
    </row>
    <row r="49" spans="1:30" x14ac:dyDescent="0.35">
      <c r="A49" s="100"/>
      <c r="B49" s="21" t="s">
        <v>42</v>
      </c>
      <c r="C49" s="18">
        <v>57871</v>
      </c>
      <c r="D49" s="18">
        <v>53642</v>
      </c>
      <c r="E49" s="18">
        <v>50598</v>
      </c>
      <c r="F49" s="18">
        <v>47955</v>
      </c>
      <c r="G49" s="18">
        <v>46327</v>
      </c>
      <c r="H49" s="18">
        <v>44251</v>
      </c>
      <c r="I49" s="18">
        <v>44536</v>
      </c>
      <c r="J49" s="18">
        <v>33652</v>
      </c>
      <c r="K49" s="18">
        <v>33301</v>
      </c>
      <c r="L49" s="18">
        <v>32947</v>
      </c>
      <c r="M49" s="18">
        <v>33202</v>
      </c>
      <c r="N49" s="18">
        <v>33206</v>
      </c>
      <c r="O49" s="18">
        <v>34087</v>
      </c>
      <c r="P49" s="18">
        <v>38900</v>
      </c>
      <c r="Q49" s="18">
        <v>45927</v>
      </c>
      <c r="R49" s="18">
        <v>50422</v>
      </c>
      <c r="S49" s="18">
        <v>52662</v>
      </c>
      <c r="T49" s="18">
        <v>55712</v>
      </c>
      <c r="U49" s="18">
        <v>59726</v>
      </c>
      <c r="V49" s="18">
        <v>59701</v>
      </c>
      <c r="W49" s="18">
        <v>58651</v>
      </c>
      <c r="X49" s="18">
        <v>57296</v>
      </c>
      <c r="Y49" s="18">
        <v>54179</v>
      </c>
      <c r="Z49" s="18">
        <v>49224</v>
      </c>
      <c r="AA49" s="19">
        <f t="shared" si="0"/>
        <v>1127975</v>
      </c>
      <c r="AB49" s="20">
        <v>4</v>
      </c>
      <c r="AC49" s="19">
        <f t="shared" si="1"/>
        <v>4511900</v>
      </c>
      <c r="AD49" s="103"/>
    </row>
    <row r="50" spans="1:30" x14ac:dyDescent="0.35">
      <c r="A50" s="101"/>
      <c r="B50" s="22" t="s">
        <v>43</v>
      </c>
      <c r="C50" s="18">
        <v>57080</v>
      </c>
      <c r="D50" s="18">
        <v>52567</v>
      </c>
      <c r="E50" s="18">
        <v>49359</v>
      </c>
      <c r="F50" s="18">
        <v>47107</v>
      </c>
      <c r="G50" s="18">
        <v>46248</v>
      </c>
      <c r="H50" s="18">
        <v>44393</v>
      </c>
      <c r="I50" s="18">
        <v>44667</v>
      </c>
      <c r="J50" s="18">
        <v>36134</v>
      </c>
      <c r="K50" s="18">
        <v>37323</v>
      </c>
      <c r="L50" s="18">
        <v>39119</v>
      </c>
      <c r="M50" s="18">
        <v>40664</v>
      </c>
      <c r="N50" s="18">
        <v>41491</v>
      </c>
      <c r="O50" s="18">
        <v>41062</v>
      </c>
      <c r="P50" s="18">
        <v>47935</v>
      </c>
      <c r="Q50" s="18">
        <v>55276</v>
      </c>
      <c r="R50" s="18">
        <v>59708</v>
      </c>
      <c r="S50" s="18">
        <v>61363</v>
      </c>
      <c r="T50" s="18">
        <v>62586</v>
      </c>
      <c r="U50" s="18">
        <v>66563</v>
      </c>
      <c r="V50" s="18">
        <v>66230</v>
      </c>
      <c r="W50" s="18">
        <v>64825</v>
      </c>
      <c r="X50" s="18">
        <v>62302</v>
      </c>
      <c r="Y50" s="18">
        <v>57257</v>
      </c>
      <c r="Z50" s="18">
        <v>51438</v>
      </c>
      <c r="AA50" s="19">
        <f t="shared" si="0"/>
        <v>1232697</v>
      </c>
      <c r="AB50" s="20">
        <v>2</v>
      </c>
      <c r="AC50" s="19">
        <f t="shared" si="1"/>
        <v>2465394</v>
      </c>
      <c r="AD50" s="104"/>
    </row>
    <row r="51" spans="1:30" x14ac:dyDescent="0.35">
      <c r="A51" s="99">
        <v>46722</v>
      </c>
      <c r="B51" s="17" t="s">
        <v>40</v>
      </c>
      <c r="C51" s="18">
        <v>82618</v>
      </c>
      <c r="D51" s="18">
        <v>78058</v>
      </c>
      <c r="E51" s="18">
        <v>74897</v>
      </c>
      <c r="F51" s="18">
        <v>72583</v>
      </c>
      <c r="G51" s="18">
        <v>71818</v>
      </c>
      <c r="H51" s="18">
        <v>71893</v>
      </c>
      <c r="I51" s="18">
        <v>73029</v>
      </c>
      <c r="J51" s="18">
        <v>67503</v>
      </c>
      <c r="K51" s="18">
        <v>71701</v>
      </c>
      <c r="L51" s="18">
        <v>73527</v>
      </c>
      <c r="M51" s="18">
        <v>75013</v>
      </c>
      <c r="N51" s="18">
        <v>75128</v>
      </c>
      <c r="O51" s="18">
        <v>69394</v>
      </c>
      <c r="P51" s="18">
        <v>78877</v>
      </c>
      <c r="Q51" s="18">
        <v>92753</v>
      </c>
      <c r="R51" s="18">
        <v>98667</v>
      </c>
      <c r="S51" s="18">
        <v>99752</v>
      </c>
      <c r="T51" s="18">
        <v>93755</v>
      </c>
      <c r="U51" s="18">
        <v>96004</v>
      </c>
      <c r="V51" s="18">
        <v>92632</v>
      </c>
      <c r="W51" s="18">
        <v>89601</v>
      </c>
      <c r="X51" s="18">
        <v>87039</v>
      </c>
      <c r="Y51" s="18">
        <v>83068</v>
      </c>
      <c r="Z51" s="18">
        <v>77754</v>
      </c>
      <c r="AA51" s="19">
        <f t="shared" si="0"/>
        <v>1947064</v>
      </c>
      <c r="AB51" s="20">
        <v>22</v>
      </c>
      <c r="AC51" s="19">
        <f t="shared" si="1"/>
        <v>42835408</v>
      </c>
      <c r="AD51" s="102">
        <f>+SUM(AC51:AC54)</f>
        <v>58412086</v>
      </c>
    </row>
    <row r="52" spans="1:30" x14ac:dyDescent="0.35">
      <c r="A52" s="100"/>
      <c r="B52" s="21" t="s">
        <v>41</v>
      </c>
      <c r="C52" s="18">
        <v>84911</v>
      </c>
      <c r="D52" s="18">
        <v>79956</v>
      </c>
      <c r="E52" s="18">
        <v>76391</v>
      </c>
      <c r="F52" s="18">
        <v>73703</v>
      </c>
      <c r="G52" s="18">
        <v>72411</v>
      </c>
      <c r="H52" s="18">
        <v>72014</v>
      </c>
      <c r="I52" s="18">
        <v>72497</v>
      </c>
      <c r="J52" s="18">
        <v>64701</v>
      </c>
      <c r="K52" s="18">
        <v>68235</v>
      </c>
      <c r="L52" s="18">
        <v>69484</v>
      </c>
      <c r="M52" s="18">
        <v>70601</v>
      </c>
      <c r="N52" s="18">
        <v>70503</v>
      </c>
      <c r="O52" s="18">
        <v>68325</v>
      </c>
      <c r="P52" s="18">
        <v>73969</v>
      </c>
      <c r="Q52" s="18">
        <v>82894</v>
      </c>
      <c r="R52" s="18">
        <v>87792</v>
      </c>
      <c r="S52" s="18">
        <v>88884</v>
      </c>
      <c r="T52" s="18">
        <v>88341</v>
      </c>
      <c r="U52" s="18">
        <v>94069</v>
      </c>
      <c r="V52" s="18">
        <v>92382</v>
      </c>
      <c r="W52" s="18">
        <v>88325</v>
      </c>
      <c r="X52" s="18">
        <v>84587</v>
      </c>
      <c r="Y52" s="18">
        <v>81320</v>
      </c>
      <c r="Z52" s="18">
        <v>77471</v>
      </c>
      <c r="AA52" s="19">
        <f t="shared" si="0"/>
        <v>1883766</v>
      </c>
      <c r="AB52" s="20">
        <v>3</v>
      </c>
      <c r="AC52" s="19">
        <f t="shared" si="1"/>
        <v>5651298</v>
      </c>
      <c r="AD52" s="103"/>
    </row>
    <row r="53" spans="1:30" x14ac:dyDescent="0.35">
      <c r="A53" s="100"/>
      <c r="B53" s="21" t="s">
        <v>42</v>
      </c>
      <c r="C53" s="18">
        <v>86476</v>
      </c>
      <c r="D53" s="18">
        <v>81848</v>
      </c>
      <c r="E53" s="18">
        <v>78312</v>
      </c>
      <c r="F53" s="18">
        <v>75597</v>
      </c>
      <c r="G53" s="18">
        <v>73915</v>
      </c>
      <c r="H53" s="18">
        <v>70783</v>
      </c>
      <c r="I53" s="18">
        <v>69801</v>
      </c>
      <c r="J53" s="18">
        <v>57964</v>
      </c>
      <c r="K53" s="18">
        <v>56870</v>
      </c>
      <c r="L53" s="18">
        <v>56501</v>
      </c>
      <c r="M53" s="18">
        <v>56062</v>
      </c>
      <c r="N53" s="18">
        <v>56134</v>
      </c>
      <c r="O53" s="18">
        <v>56158</v>
      </c>
      <c r="P53" s="18">
        <v>61364</v>
      </c>
      <c r="Q53" s="18">
        <v>69263</v>
      </c>
      <c r="R53" s="18">
        <v>76121</v>
      </c>
      <c r="S53" s="18">
        <v>78747</v>
      </c>
      <c r="T53" s="18">
        <v>81481</v>
      </c>
      <c r="U53" s="18">
        <v>88450</v>
      </c>
      <c r="V53" s="18">
        <v>87489</v>
      </c>
      <c r="W53" s="18">
        <v>84798</v>
      </c>
      <c r="X53" s="18">
        <v>81723</v>
      </c>
      <c r="Y53" s="18">
        <v>77630</v>
      </c>
      <c r="Z53" s="18">
        <v>73302</v>
      </c>
      <c r="AA53" s="19">
        <f t="shared" si="0"/>
        <v>1736789</v>
      </c>
      <c r="AB53" s="20">
        <v>4</v>
      </c>
      <c r="AC53" s="19">
        <f t="shared" si="1"/>
        <v>6947156</v>
      </c>
      <c r="AD53" s="103"/>
    </row>
    <row r="54" spans="1:30" x14ac:dyDescent="0.35">
      <c r="A54" s="101"/>
      <c r="B54" s="22" t="s">
        <v>43</v>
      </c>
      <c r="C54" s="18">
        <v>71529</v>
      </c>
      <c r="D54" s="18">
        <v>68985</v>
      </c>
      <c r="E54" s="18">
        <v>66981</v>
      </c>
      <c r="F54" s="18">
        <v>65032</v>
      </c>
      <c r="G54" s="18">
        <v>63812</v>
      </c>
      <c r="H54" s="18">
        <v>62507</v>
      </c>
      <c r="I54" s="18">
        <v>60999</v>
      </c>
      <c r="J54" s="18">
        <v>49101</v>
      </c>
      <c r="K54" s="18">
        <v>47286</v>
      </c>
      <c r="L54" s="18">
        <v>46675</v>
      </c>
      <c r="M54" s="18">
        <v>46015</v>
      </c>
      <c r="N54" s="18">
        <v>45480</v>
      </c>
      <c r="O54" s="18">
        <v>46237</v>
      </c>
      <c r="P54" s="18">
        <v>51874</v>
      </c>
      <c r="Q54" s="18">
        <v>58828</v>
      </c>
      <c r="R54" s="18">
        <v>64118</v>
      </c>
      <c r="S54" s="18">
        <v>66874</v>
      </c>
      <c r="T54" s="18">
        <v>68981</v>
      </c>
      <c r="U54" s="18">
        <v>75935</v>
      </c>
      <c r="V54" s="18">
        <v>76699</v>
      </c>
      <c r="W54" s="18">
        <v>75115</v>
      </c>
      <c r="X54" s="18">
        <v>73472</v>
      </c>
      <c r="Y54" s="18">
        <v>70579</v>
      </c>
      <c r="Z54" s="18">
        <v>65998</v>
      </c>
      <c r="AA54" s="19">
        <f t="shared" si="0"/>
        <v>1489112</v>
      </c>
      <c r="AB54" s="20">
        <v>2</v>
      </c>
      <c r="AC54" s="19">
        <f t="shared" si="1"/>
        <v>2978224</v>
      </c>
      <c r="AD54" s="104"/>
    </row>
    <row r="55" spans="1:30" x14ac:dyDescent="0.35">
      <c r="AD55" s="30">
        <f>SUM(AD7:AD51)</f>
        <v>600000000</v>
      </c>
    </row>
  </sheetData>
  <mergeCells count="28">
    <mergeCell ref="AD7:AD10"/>
    <mergeCell ref="A1:D1"/>
    <mergeCell ref="A2:L2"/>
    <mergeCell ref="A4:B4"/>
    <mergeCell ref="C4:D4"/>
    <mergeCell ref="A7:A10"/>
    <mergeCell ref="A11:A14"/>
    <mergeCell ref="AD11:AD14"/>
    <mergeCell ref="A15:A18"/>
    <mergeCell ref="AD15:AD18"/>
    <mergeCell ref="A19:A22"/>
    <mergeCell ref="AD19:AD22"/>
    <mergeCell ref="A23:A26"/>
    <mergeCell ref="AD23:AD26"/>
    <mergeCell ref="A27:A30"/>
    <mergeCell ref="AD27:AD30"/>
    <mergeCell ref="A31:A34"/>
    <mergeCell ref="AD31:AD34"/>
    <mergeCell ref="A47:A50"/>
    <mergeCell ref="AD47:AD50"/>
    <mergeCell ref="A51:A54"/>
    <mergeCell ref="AD51:AD54"/>
    <mergeCell ref="A35:A38"/>
    <mergeCell ref="AD35:AD38"/>
    <mergeCell ref="A39:A42"/>
    <mergeCell ref="AD39:AD42"/>
    <mergeCell ref="A43:A46"/>
    <mergeCell ref="AD43:AD46"/>
  </mergeCells>
  <conditionalFormatting sqref="C7:Z54">
    <cfRule type="cellIs" dxfId="58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1D3BE-2344-4CF8-A6A2-7E222511A6FE}">
  <dimension ref="C1:I22"/>
  <sheetViews>
    <sheetView showGridLines="0" topLeftCell="A4" zoomScaleNormal="100" workbookViewId="0">
      <selection activeCell="J6" sqref="J6"/>
    </sheetView>
  </sheetViews>
  <sheetFormatPr baseColWidth="10" defaultRowHeight="14.5" x14ac:dyDescent="0.35"/>
  <cols>
    <col min="2" max="2" width="2.54296875" customWidth="1"/>
    <col min="4" max="4" width="15.1796875" customWidth="1"/>
    <col min="5" max="5" width="15.1796875" bestFit="1" customWidth="1"/>
    <col min="6" max="6" width="12.54296875" customWidth="1"/>
    <col min="8" max="8" width="2" customWidth="1"/>
    <col min="9" max="9" width="14.1796875" bestFit="1" customWidth="1"/>
  </cols>
  <sheetData>
    <row r="1" spans="3:7" x14ac:dyDescent="0.35">
      <c r="C1" s="98" t="s">
        <v>44</v>
      </c>
      <c r="D1" s="98"/>
      <c r="E1" s="98"/>
      <c r="F1" s="98"/>
      <c r="G1" s="98"/>
    </row>
    <row r="2" spans="3:7" x14ac:dyDescent="0.35">
      <c r="C2" s="98"/>
      <c r="D2" s="98"/>
      <c r="E2" s="98"/>
      <c r="F2" s="98"/>
      <c r="G2" s="98"/>
    </row>
    <row r="3" spans="3:7" ht="15" thickBot="1" x14ac:dyDescent="0.4"/>
    <row r="4" spans="3:7" ht="15" thickBot="1" x14ac:dyDescent="0.4">
      <c r="C4" s="116" t="s">
        <v>51</v>
      </c>
      <c r="D4" s="117"/>
      <c r="E4" s="117"/>
      <c r="F4" s="117"/>
      <c r="G4" s="118"/>
    </row>
    <row r="5" spans="3:7" ht="32" thickBot="1" x14ac:dyDescent="0.4">
      <c r="C5" s="28" t="s">
        <v>1</v>
      </c>
      <c r="D5" s="28" t="s">
        <v>8</v>
      </c>
      <c r="E5" s="28" t="s">
        <v>3</v>
      </c>
      <c r="F5" s="28" t="s">
        <v>4</v>
      </c>
      <c r="G5" s="28" t="s">
        <v>5</v>
      </c>
    </row>
    <row r="6" spans="3:7" x14ac:dyDescent="0.35">
      <c r="C6" s="7">
        <v>47119</v>
      </c>
      <c r="D6" s="8">
        <f>+VLOOKUP(C6,'CURVA P3'!$A$4:$AD$55,30,FALSE)</f>
        <v>35518721</v>
      </c>
      <c r="E6" s="114" t="s">
        <v>3</v>
      </c>
      <c r="F6" s="2"/>
      <c r="G6" s="95" t="s">
        <v>6</v>
      </c>
    </row>
    <row r="7" spans="3:7" x14ac:dyDescent="0.35">
      <c r="C7" s="7">
        <v>47150</v>
      </c>
      <c r="D7" s="8">
        <f>+VLOOKUP(C7,'CURVA P3'!$A$4:$AD$55,30,FALSE)</f>
        <v>36348972</v>
      </c>
      <c r="E7" s="93"/>
      <c r="F7" s="2"/>
      <c r="G7" s="96"/>
    </row>
    <row r="8" spans="3:7" x14ac:dyDescent="0.35">
      <c r="C8" s="7">
        <v>47178</v>
      </c>
      <c r="D8" s="8">
        <f>+VLOOKUP(C8,'CURVA P3'!$A$4:$AD$55,30,FALSE)</f>
        <v>35276623</v>
      </c>
      <c r="E8" s="93"/>
      <c r="F8" s="2"/>
      <c r="G8" s="96"/>
    </row>
    <row r="9" spans="3:7" x14ac:dyDescent="0.35">
      <c r="C9" s="7">
        <v>47209</v>
      </c>
      <c r="D9" s="8">
        <f>+VLOOKUP(C9,'CURVA P3'!$A$4:$AD$55,30,FALSE)</f>
        <v>36873376</v>
      </c>
      <c r="E9" s="93"/>
      <c r="F9" s="2"/>
      <c r="G9" s="96"/>
    </row>
    <row r="10" spans="3:7" x14ac:dyDescent="0.35">
      <c r="C10" s="7">
        <v>47239</v>
      </c>
      <c r="D10" s="8">
        <f>+VLOOKUP(C10,'CURVA P3'!$A$4:$AD$55,30,FALSE)</f>
        <v>37561812</v>
      </c>
      <c r="E10" s="93"/>
      <c r="F10" s="2"/>
      <c r="G10" s="96"/>
    </row>
    <row r="11" spans="3:7" x14ac:dyDescent="0.35">
      <c r="C11" s="7">
        <v>47270</v>
      </c>
      <c r="D11" s="8">
        <f>+VLOOKUP(C11,'CURVA P3'!$A$4:$AD$55,30,FALSE)</f>
        <v>37699759</v>
      </c>
      <c r="E11" s="93"/>
      <c r="F11" s="2"/>
      <c r="G11" s="96"/>
    </row>
    <row r="12" spans="3:7" x14ac:dyDescent="0.35">
      <c r="C12" s="7">
        <v>47300</v>
      </c>
      <c r="D12" s="8">
        <f>+VLOOKUP(C12,'CURVA P3'!$A$4:$AD$55,30,FALSE)</f>
        <v>36474141</v>
      </c>
      <c r="E12" s="93"/>
      <c r="F12" s="2"/>
      <c r="G12" s="96"/>
    </row>
    <row r="13" spans="3:7" x14ac:dyDescent="0.35">
      <c r="C13" s="7">
        <v>47331</v>
      </c>
      <c r="D13" s="8">
        <f>+VLOOKUP(C13,'CURVA P3'!$A$4:$AD$55,30,FALSE)</f>
        <v>38473209</v>
      </c>
      <c r="E13" s="93"/>
      <c r="F13" s="2"/>
      <c r="G13" s="96"/>
    </row>
    <row r="14" spans="3:7" x14ac:dyDescent="0.35">
      <c r="C14" s="7">
        <v>47362</v>
      </c>
      <c r="D14" s="8">
        <f>+VLOOKUP(C14,'CURVA P3'!$A$4:$AD$55,30,FALSE)</f>
        <v>39738570</v>
      </c>
      <c r="E14" s="93"/>
      <c r="F14" s="2"/>
      <c r="G14" s="96"/>
    </row>
    <row r="15" spans="3:7" x14ac:dyDescent="0.35">
      <c r="C15" s="7">
        <v>47392</v>
      </c>
      <c r="D15" s="8">
        <f>+VLOOKUP(C15,'CURVA P3'!$A$4:$AD$55,30,FALSE)</f>
        <v>39458444</v>
      </c>
      <c r="E15" s="93"/>
      <c r="F15" s="2"/>
      <c r="G15" s="96"/>
    </row>
    <row r="16" spans="3:7" x14ac:dyDescent="0.35">
      <c r="C16" s="7">
        <v>47423</v>
      </c>
      <c r="D16" s="8">
        <f>+VLOOKUP(C16,'CURVA P3'!$A$4:$AD$55,30,FALSE)</f>
        <v>38831644</v>
      </c>
      <c r="E16" s="93"/>
      <c r="F16" s="2"/>
      <c r="G16" s="96"/>
    </row>
    <row r="17" spans="3:9" ht="15" thickBot="1" x14ac:dyDescent="0.4">
      <c r="C17" s="7">
        <v>47453</v>
      </c>
      <c r="D17" s="10">
        <f>+VLOOKUP(C17,'CURVA P3'!$A$4:$AD$55,30,FALSE)</f>
        <v>37744620</v>
      </c>
      <c r="E17" s="94"/>
      <c r="F17" s="11"/>
      <c r="G17" s="97"/>
    </row>
    <row r="18" spans="3:9" ht="15" thickBot="1" x14ac:dyDescent="0.4">
      <c r="D18" s="54">
        <f>SUM(D6:D17)</f>
        <v>449999891</v>
      </c>
    </row>
    <row r="19" spans="3:9" x14ac:dyDescent="0.35">
      <c r="D19" s="26"/>
      <c r="I19" s="27"/>
    </row>
    <row r="20" spans="3:9" x14ac:dyDescent="0.35">
      <c r="D20" s="24">
        <f>D18/1000000</f>
        <v>449.99989099999999</v>
      </c>
      <c r="I20" s="27"/>
    </row>
    <row r="21" spans="3:9" x14ac:dyDescent="0.35">
      <c r="I21" s="27"/>
    </row>
    <row r="22" spans="3:9" x14ac:dyDescent="0.35">
      <c r="I22" s="12"/>
    </row>
  </sheetData>
  <mergeCells count="4">
    <mergeCell ref="C4:G4"/>
    <mergeCell ref="E6:E17"/>
    <mergeCell ref="G6:G17"/>
    <mergeCell ref="C1:G2"/>
  </mergeCells>
  <pageMargins left="0.7" right="0.7" top="0.75" bottom="0.75" header="0.3" footer="0.3"/>
  <ignoredErrors>
    <ignoredError sqref="D6:D17" evalErro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4906C-A357-40EB-8F46-CB28082B8AD3}">
  <dimension ref="A1:AD58"/>
  <sheetViews>
    <sheetView showGridLines="0" zoomScaleNormal="100" workbookViewId="0">
      <selection activeCell="AD55" sqref="AD55"/>
    </sheetView>
  </sheetViews>
  <sheetFormatPr baseColWidth="10" defaultRowHeight="14.5" x14ac:dyDescent="0.35"/>
  <cols>
    <col min="1" max="1" width="7.26953125" bestFit="1" customWidth="1"/>
    <col min="2" max="2" width="8" bestFit="1" customWidth="1"/>
    <col min="3" max="3" width="9.90625" bestFit="1" customWidth="1"/>
    <col min="4" max="19" width="9" bestFit="1" customWidth="1"/>
    <col min="20" max="26" width="9.90625" bestFit="1" customWidth="1"/>
    <col min="27" max="27" width="9" bestFit="1" customWidth="1"/>
    <col min="28" max="28" width="10.453125" bestFit="1" customWidth="1"/>
    <col min="29" max="29" width="11" bestFit="1" customWidth="1"/>
    <col min="30" max="30" width="12" bestFit="1" customWidth="1"/>
  </cols>
  <sheetData>
    <row r="1" spans="1:30" x14ac:dyDescent="0.35">
      <c r="A1" s="131" t="s">
        <v>52</v>
      </c>
      <c r="B1" s="131"/>
      <c r="C1" s="131"/>
      <c r="D1" s="13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</row>
    <row r="2" spans="1:30" x14ac:dyDescent="0.35">
      <c r="A2" s="132" t="s">
        <v>44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</row>
    <row r="3" spans="1:30" x14ac:dyDescent="0.35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</row>
    <row r="4" spans="1:30" x14ac:dyDescent="0.35">
      <c r="A4" s="133" t="s">
        <v>10</v>
      </c>
      <c r="B4" s="133"/>
      <c r="C4" s="134">
        <f>+AD55</f>
        <v>449999891</v>
      </c>
      <c r="D4" s="135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</row>
    <row r="5" spans="1:30" x14ac:dyDescent="0.35">
      <c r="A5" s="62" t="s">
        <v>1</v>
      </c>
      <c r="B5" s="63" t="s">
        <v>11</v>
      </c>
      <c r="C5" s="62" t="s">
        <v>12</v>
      </c>
      <c r="D5" s="62" t="s">
        <v>13</v>
      </c>
      <c r="E5" s="62" t="s">
        <v>14</v>
      </c>
      <c r="F5" s="62" t="s">
        <v>15</v>
      </c>
      <c r="G5" s="62" t="s">
        <v>16</v>
      </c>
      <c r="H5" s="62" t="s">
        <v>17</v>
      </c>
      <c r="I5" s="62" t="s">
        <v>18</v>
      </c>
      <c r="J5" s="62" t="s">
        <v>19</v>
      </c>
      <c r="K5" s="62" t="s">
        <v>20</v>
      </c>
      <c r="L5" s="62" t="s">
        <v>21</v>
      </c>
      <c r="M5" s="62" t="s">
        <v>22</v>
      </c>
      <c r="N5" s="62" t="s">
        <v>23</v>
      </c>
      <c r="O5" s="62" t="s">
        <v>24</v>
      </c>
      <c r="P5" s="62" t="s">
        <v>25</v>
      </c>
      <c r="Q5" s="62" t="s">
        <v>26</v>
      </c>
      <c r="R5" s="62" t="s">
        <v>27</v>
      </c>
      <c r="S5" s="62" t="s">
        <v>28</v>
      </c>
      <c r="T5" s="62" t="s">
        <v>29</v>
      </c>
      <c r="U5" s="62" t="s">
        <v>30</v>
      </c>
      <c r="V5" s="62" t="s">
        <v>31</v>
      </c>
      <c r="W5" s="62" t="s">
        <v>32</v>
      </c>
      <c r="X5" s="62" t="s">
        <v>33</v>
      </c>
      <c r="Y5" s="62" t="s">
        <v>34</v>
      </c>
      <c r="Z5" s="62" t="s">
        <v>35</v>
      </c>
      <c r="AA5" s="62" t="s">
        <v>36</v>
      </c>
      <c r="AB5" s="62" t="s">
        <v>37</v>
      </c>
      <c r="AC5" s="62" t="s">
        <v>38</v>
      </c>
      <c r="AD5" s="62" t="s">
        <v>39</v>
      </c>
    </row>
    <row r="6" spans="1:30" hidden="1" x14ac:dyDescent="0.35">
      <c r="A6" s="64"/>
      <c r="B6" s="65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</row>
    <row r="7" spans="1:30" x14ac:dyDescent="0.35">
      <c r="A7" s="125">
        <v>47119</v>
      </c>
      <c r="B7" s="66" t="s">
        <v>40</v>
      </c>
      <c r="C7" s="67">
        <v>50154</v>
      </c>
      <c r="D7" s="67">
        <v>47788</v>
      </c>
      <c r="E7" s="67">
        <v>45877</v>
      </c>
      <c r="F7" s="67">
        <v>44471</v>
      </c>
      <c r="G7" s="67">
        <v>44029</v>
      </c>
      <c r="H7" s="67">
        <v>44876</v>
      </c>
      <c r="I7" s="67">
        <v>45134</v>
      </c>
      <c r="J7" s="67">
        <v>37592</v>
      </c>
      <c r="K7" s="67">
        <v>34432</v>
      </c>
      <c r="L7" s="67">
        <v>33203</v>
      </c>
      <c r="M7" s="67">
        <v>33457</v>
      </c>
      <c r="N7" s="67">
        <v>32560</v>
      </c>
      <c r="O7" s="67">
        <v>30670</v>
      </c>
      <c r="P7" s="67">
        <v>38846</v>
      </c>
      <c r="Q7" s="67">
        <v>51262</v>
      </c>
      <c r="R7" s="67">
        <v>59962</v>
      </c>
      <c r="S7" s="67">
        <v>63396</v>
      </c>
      <c r="T7" s="67">
        <v>66763</v>
      </c>
      <c r="U7" s="67">
        <v>69031</v>
      </c>
      <c r="V7" s="67">
        <v>68225</v>
      </c>
      <c r="W7" s="67">
        <v>67179</v>
      </c>
      <c r="X7" s="67">
        <v>65502</v>
      </c>
      <c r="Y7" s="67">
        <v>62083</v>
      </c>
      <c r="Z7" s="67">
        <v>57545</v>
      </c>
      <c r="AA7" s="67">
        <f>SUM(C7:Z7)</f>
        <v>1194037</v>
      </c>
      <c r="AB7" s="68">
        <v>21</v>
      </c>
      <c r="AC7" s="67">
        <f>+AA7*AB7</f>
        <v>25074777</v>
      </c>
      <c r="AD7" s="128">
        <f>+SUM(AC7:AC10)</f>
        <v>35518721</v>
      </c>
    </row>
    <row r="8" spans="1:30" x14ac:dyDescent="0.35">
      <c r="A8" s="126"/>
      <c r="B8" s="69" t="s">
        <v>41</v>
      </c>
      <c r="C8" s="67">
        <v>51381</v>
      </c>
      <c r="D8" s="67">
        <v>48762</v>
      </c>
      <c r="E8" s="67">
        <v>46634</v>
      </c>
      <c r="F8" s="67">
        <v>45065</v>
      </c>
      <c r="G8" s="67">
        <v>44426</v>
      </c>
      <c r="H8" s="67">
        <v>44704</v>
      </c>
      <c r="I8" s="67">
        <v>44423</v>
      </c>
      <c r="J8" s="67">
        <v>36262</v>
      </c>
      <c r="K8" s="67">
        <v>33097</v>
      </c>
      <c r="L8" s="67">
        <v>31785</v>
      </c>
      <c r="M8" s="67">
        <v>31562</v>
      </c>
      <c r="N8" s="67">
        <v>30251</v>
      </c>
      <c r="O8" s="67">
        <v>29682</v>
      </c>
      <c r="P8" s="67">
        <v>34775</v>
      </c>
      <c r="Q8" s="67">
        <v>44022</v>
      </c>
      <c r="R8" s="67">
        <v>51991</v>
      </c>
      <c r="S8" s="67">
        <v>55454</v>
      </c>
      <c r="T8" s="67">
        <v>61627</v>
      </c>
      <c r="U8" s="67">
        <v>66350</v>
      </c>
      <c r="V8" s="67">
        <v>66044</v>
      </c>
      <c r="W8" s="67">
        <v>64343</v>
      </c>
      <c r="X8" s="67">
        <v>62632</v>
      </c>
      <c r="Y8" s="67">
        <v>60271</v>
      </c>
      <c r="Z8" s="67">
        <v>57031</v>
      </c>
      <c r="AA8" s="67">
        <f t="shared" ref="AA8:AA54" si="0">SUM(C8:Z8)</f>
        <v>1142574</v>
      </c>
      <c r="AB8" s="68">
        <v>4</v>
      </c>
      <c r="AC8" s="67">
        <f t="shared" ref="AC8:AC54" si="1">+AA8*AB8</f>
        <v>4570296</v>
      </c>
      <c r="AD8" s="129"/>
    </row>
    <row r="9" spans="1:30" x14ac:dyDescent="0.35">
      <c r="A9" s="126"/>
      <c r="B9" s="69" t="s">
        <v>42</v>
      </c>
      <c r="C9" s="67">
        <v>50763</v>
      </c>
      <c r="D9" s="67">
        <v>48315</v>
      </c>
      <c r="E9" s="67">
        <v>46247</v>
      </c>
      <c r="F9" s="67">
        <v>44617</v>
      </c>
      <c r="G9" s="67">
        <v>43688</v>
      </c>
      <c r="H9" s="67">
        <v>43230</v>
      </c>
      <c r="I9" s="67">
        <v>42034</v>
      </c>
      <c r="J9" s="67">
        <v>30888</v>
      </c>
      <c r="K9" s="67">
        <v>24341</v>
      </c>
      <c r="L9" s="67">
        <v>21734</v>
      </c>
      <c r="M9" s="67">
        <v>20160</v>
      </c>
      <c r="N9" s="67">
        <v>18746</v>
      </c>
      <c r="O9" s="67">
        <v>20688</v>
      </c>
      <c r="P9" s="67">
        <v>25360</v>
      </c>
      <c r="Q9" s="67">
        <v>33649</v>
      </c>
      <c r="R9" s="67">
        <v>42158</v>
      </c>
      <c r="S9" s="67">
        <v>46772</v>
      </c>
      <c r="T9" s="67">
        <v>54889</v>
      </c>
      <c r="U9" s="67">
        <v>60551</v>
      </c>
      <c r="V9" s="67">
        <v>62142</v>
      </c>
      <c r="W9" s="67">
        <v>61944</v>
      </c>
      <c r="X9" s="67">
        <v>61125</v>
      </c>
      <c r="Y9" s="67">
        <v>58480</v>
      </c>
      <c r="Z9" s="67">
        <v>54724</v>
      </c>
      <c r="AA9" s="67">
        <f t="shared" si="0"/>
        <v>1017245</v>
      </c>
      <c r="AB9" s="68">
        <v>4</v>
      </c>
      <c r="AC9" s="67">
        <f t="shared" si="1"/>
        <v>4068980</v>
      </c>
      <c r="AD9" s="129"/>
    </row>
    <row r="10" spans="1:30" x14ac:dyDescent="0.35">
      <c r="A10" s="127"/>
      <c r="B10" s="70" t="s">
        <v>43</v>
      </c>
      <c r="C10" s="67">
        <v>43553</v>
      </c>
      <c r="D10" s="67">
        <v>42366</v>
      </c>
      <c r="E10" s="67">
        <v>41321</v>
      </c>
      <c r="F10" s="67">
        <v>40257</v>
      </c>
      <c r="G10" s="67">
        <v>39708</v>
      </c>
      <c r="H10" s="67">
        <v>39240</v>
      </c>
      <c r="I10" s="67">
        <v>37596</v>
      </c>
      <c r="J10" s="67">
        <v>25997</v>
      </c>
      <c r="K10" s="67">
        <v>18966</v>
      </c>
      <c r="L10" s="67">
        <v>16332</v>
      </c>
      <c r="M10" s="67">
        <v>15204</v>
      </c>
      <c r="N10" s="67">
        <v>13788</v>
      </c>
      <c r="O10" s="67">
        <v>15806</v>
      </c>
      <c r="P10" s="67">
        <v>20738</v>
      </c>
      <c r="Q10" s="67">
        <v>28832</v>
      </c>
      <c r="R10" s="67">
        <v>37086</v>
      </c>
      <c r="S10" s="67">
        <v>41329</v>
      </c>
      <c r="T10" s="67">
        <v>50896</v>
      </c>
      <c r="U10" s="67">
        <v>57023</v>
      </c>
      <c r="V10" s="67">
        <v>58145</v>
      </c>
      <c r="W10" s="67">
        <v>57506</v>
      </c>
      <c r="X10" s="67">
        <v>56176</v>
      </c>
      <c r="Y10" s="67">
        <v>53768</v>
      </c>
      <c r="Z10" s="67">
        <v>50701</v>
      </c>
      <c r="AA10" s="67">
        <f t="shared" si="0"/>
        <v>902334</v>
      </c>
      <c r="AB10" s="68">
        <v>2</v>
      </c>
      <c r="AC10" s="67">
        <f t="shared" si="1"/>
        <v>1804668</v>
      </c>
      <c r="AD10" s="130"/>
    </row>
    <row r="11" spans="1:30" x14ac:dyDescent="0.35">
      <c r="A11" s="125">
        <v>47150</v>
      </c>
      <c r="B11" s="66" t="s">
        <v>40</v>
      </c>
      <c r="C11" s="67">
        <v>55198</v>
      </c>
      <c r="D11" s="67">
        <v>52302</v>
      </c>
      <c r="E11" s="67">
        <v>50261</v>
      </c>
      <c r="F11" s="67">
        <v>48890</v>
      </c>
      <c r="G11" s="67">
        <v>48838</v>
      </c>
      <c r="H11" s="67">
        <v>51213</v>
      </c>
      <c r="I11" s="67">
        <v>52324</v>
      </c>
      <c r="J11" s="67">
        <v>45162</v>
      </c>
      <c r="K11" s="67">
        <v>41585</v>
      </c>
      <c r="L11" s="67">
        <v>40084</v>
      </c>
      <c r="M11" s="67">
        <v>40381</v>
      </c>
      <c r="N11" s="67">
        <v>38251</v>
      </c>
      <c r="O11" s="67">
        <v>34461</v>
      </c>
      <c r="P11" s="67">
        <v>44806</v>
      </c>
      <c r="Q11" s="67">
        <v>58856</v>
      </c>
      <c r="R11" s="67">
        <v>68309</v>
      </c>
      <c r="S11" s="67">
        <v>71805</v>
      </c>
      <c r="T11" s="67">
        <v>73581</v>
      </c>
      <c r="U11" s="67">
        <v>74749</v>
      </c>
      <c r="V11" s="67">
        <v>74640</v>
      </c>
      <c r="W11" s="67">
        <v>73728</v>
      </c>
      <c r="X11" s="67">
        <v>71702</v>
      </c>
      <c r="Y11" s="67">
        <v>67316</v>
      </c>
      <c r="Z11" s="67">
        <v>61940</v>
      </c>
      <c r="AA11" s="67">
        <f t="shared" si="0"/>
        <v>1340382</v>
      </c>
      <c r="AB11" s="68">
        <v>20</v>
      </c>
      <c r="AC11" s="67">
        <f t="shared" si="1"/>
        <v>26807640</v>
      </c>
      <c r="AD11" s="128">
        <f>+SUM(AC11:AC14)</f>
        <v>36348972</v>
      </c>
    </row>
    <row r="12" spans="1:30" x14ac:dyDescent="0.35">
      <c r="A12" s="126"/>
      <c r="B12" s="69" t="s">
        <v>41</v>
      </c>
      <c r="C12" s="67">
        <v>53808</v>
      </c>
      <c r="D12" s="67">
        <v>51030</v>
      </c>
      <c r="E12" s="67">
        <v>49055</v>
      </c>
      <c r="F12" s="67">
        <v>47696</v>
      </c>
      <c r="G12" s="67">
        <v>47241</v>
      </c>
      <c r="H12" s="67">
        <v>48010</v>
      </c>
      <c r="I12" s="67">
        <v>48819</v>
      </c>
      <c r="J12" s="67">
        <v>41784</v>
      </c>
      <c r="K12" s="67">
        <v>38959</v>
      </c>
      <c r="L12" s="67">
        <v>37613</v>
      </c>
      <c r="M12" s="67">
        <v>37346</v>
      </c>
      <c r="N12" s="67">
        <v>35570</v>
      </c>
      <c r="O12" s="67">
        <v>33874</v>
      </c>
      <c r="P12" s="67">
        <v>38804</v>
      </c>
      <c r="Q12" s="67">
        <v>48787</v>
      </c>
      <c r="R12" s="67">
        <v>57342</v>
      </c>
      <c r="S12" s="67">
        <v>60920</v>
      </c>
      <c r="T12" s="67">
        <v>66159</v>
      </c>
      <c r="U12" s="67">
        <v>70387</v>
      </c>
      <c r="V12" s="67">
        <v>70846</v>
      </c>
      <c r="W12" s="67">
        <v>69084</v>
      </c>
      <c r="X12" s="67">
        <v>67187</v>
      </c>
      <c r="Y12" s="67">
        <v>64713</v>
      </c>
      <c r="Z12" s="67">
        <v>61178</v>
      </c>
      <c r="AA12" s="67">
        <f t="shared" si="0"/>
        <v>1246212</v>
      </c>
      <c r="AB12" s="68">
        <v>4</v>
      </c>
      <c r="AC12" s="67">
        <f t="shared" si="1"/>
        <v>4984848</v>
      </c>
      <c r="AD12" s="129"/>
    </row>
    <row r="13" spans="1:30" x14ac:dyDescent="0.35">
      <c r="A13" s="126"/>
      <c r="B13" s="69" t="s">
        <v>42</v>
      </c>
      <c r="C13" s="67">
        <v>54924</v>
      </c>
      <c r="D13" s="67">
        <v>51970</v>
      </c>
      <c r="E13" s="67">
        <v>49913</v>
      </c>
      <c r="F13" s="67">
        <v>48264</v>
      </c>
      <c r="G13" s="67">
        <v>47345</v>
      </c>
      <c r="H13" s="67">
        <v>47065</v>
      </c>
      <c r="I13" s="67">
        <v>46287</v>
      </c>
      <c r="J13" s="67">
        <v>35528</v>
      </c>
      <c r="K13" s="67">
        <v>28569</v>
      </c>
      <c r="L13" s="67">
        <v>26074</v>
      </c>
      <c r="M13" s="67">
        <v>24690</v>
      </c>
      <c r="N13" s="67">
        <v>23387</v>
      </c>
      <c r="O13" s="67">
        <v>25425</v>
      </c>
      <c r="P13" s="67">
        <v>30133</v>
      </c>
      <c r="Q13" s="67">
        <v>39164</v>
      </c>
      <c r="R13" s="67">
        <v>48482</v>
      </c>
      <c r="S13" s="67">
        <v>53554</v>
      </c>
      <c r="T13" s="67">
        <v>60659</v>
      </c>
      <c r="U13" s="67">
        <v>65897</v>
      </c>
      <c r="V13" s="67">
        <v>68628</v>
      </c>
      <c r="W13" s="67">
        <v>69003</v>
      </c>
      <c r="X13" s="67">
        <v>68507</v>
      </c>
      <c r="Y13" s="67">
        <v>65161</v>
      </c>
      <c r="Z13" s="67">
        <v>60492</v>
      </c>
      <c r="AA13" s="67">
        <f t="shared" si="0"/>
        <v>1139121</v>
      </c>
      <c r="AB13" s="68">
        <v>4</v>
      </c>
      <c r="AC13" s="67">
        <f t="shared" si="1"/>
        <v>4556484</v>
      </c>
      <c r="AD13" s="129"/>
    </row>
    <row r="14" spans="1:30" x14ac:dyDescent="0.35">
      <c r="A14" s="127"/>
      <c r="B14" s="70" t="s">
        <v>43</v>
      </c>
      <c r="C14" s="67">
        <v>0</v>
      </c>
      <c r="D14" s="67">
        <v>0</v>
      </c>
      <c r="E14" s="67">
        <v>0</v>
      </c>
      <c r="F14" s="67">
        <v>0</v>
      </c>
      <c r="G14" s="67">
        <v>0</v>
      </c>
      <c r="H14" s="67">
        <v>0</v>
      </c>
      <c r="I14" s="67">
        <v>0</v>
      </c>
      <c r="J14" s="67">
        <v>0</v>
      </c>
      <c r="K14" s="67">
        <v>0</v>
      </c>
      <c r="L14" s="67">
        <v>0</v>
      </c>
      <c r="M14" s="67">
        <v>0</v>
      </c>
      <c r="N14" s="67">
        <v>0</v>
      </c>
      <c r="O14" s="67">
        <v>0</v>
      </c>
      <c r="P14" s="67">
        <v>0</v>
      </c>
      <c r="Q14" s="67">
        <v>0</v>
      </c>
      <c r="R14" s="67">
        <v>0</v>
      </c>
      <c r="S14" s="67">
        <v>0</v>
      </c>
      <c r="T14" s="67">
        <v>0</v>
      </c>
      <c r="U14" s="67">
        <v>0</v>
      </c>
      <c r="V14" s="67">
        <v>0</v>
      </c>
      <c r="W14" s="67">
        <v>0</v>
      </c>
      <c r="X14" s="67">
        <v>0</v>
      </c>
      <c r="Y14" s="67">
        <v>0</v>
      </c>
      <c r="Z14" s="67">
        <v>0</v>
      </c>
      <c r="AA14" s="67">
        <f t="shared" si="0"/>
        <v>0</v>
      </c>
      <c r="AB14" s="68">
        <v>0</v>
      </c>
      <c r="AC14" s="67">
        <f t="shared" si="1"/>
        <v>0</v>
      </c>
      <c r="AD14" s="130"/>
    </row>
    <row r="15" spans="1:30" x14ac:dyDescent="0.35">
      <c r="A15" s="125">
        <v>47178</v>
      </c>
      <c r="B15" s="66" t="s">
        <v>40</v>
      </c>
      <c r="C15" s="67">
        <v>50134</v>
      </c>
      <c r="D15" s="67">
        <v>47415</v>
      </c>
      <c r="E15" s="67">
        <v>45532</v>
      </c>
      <c r="F15" s="67">
        <v>44172</v>
      </c>
      <c r="G15" s="67">
        <v>44022</v>
      </c>
      <c r="H15" s="67">
        <v>45588</v>
      </c>
      <c r="I15" s="67">
        <v>45812</v>
      </c>
      <c r="J15" s="67">
        <v>38487</v>
      </c>
      <c r="K15" s="67">
        <v>34923</v>
      </c>
      <c r="L15" s="67">
        <v>33134</v>
      </c>
      <c r="M15" s="67">
        <v>33074</v>
      </c>
      <c r="N15" s="67">
        <v>31299</v>
      </c>
      <c r="O15" s="67">
        <v>28418</v>
      </c>
      <c r="P15" s="67">
        <v>37877</v>
      </c>
      <c r="Q15" s="67">
        <v>50783</v>
      </c>
      <c r="R15" s="67">
        <v>59452</v>
      </c>
      <c r="S15" s="67">
        <v>63055</v>
      </c>
      <c r="T15" s="67">
        <v>66051</v>
      </c>
      <c r="U15" s="67">
        <v>67591</v>
      </c>
      <c r="V15" s="67">
        <v>67508</v>
      </c>
      <c r="W15" s="67">
        <v>66809</v>
      </c>
      <c r="X15" s="67">
        <v>65230</v>
      </c>
      <c r="Y15" s="67">
        <v>61653</v>
      </c>
      <c r="Z15" s="67">
        <v>56971</v>
      </c>
      <c r="AA15" s="67">
        <f t="shared" si="0"/>
        <v>1184990</v>
      </c>
      <c r="AB15" s="68">
        <v>19</v>
      </c>
      <c r="AC15" s="67">
        <f t="shared" si="1"/>
        <v>22514810</v>
      </c>
      <c r="AD15" s="128">
        <f>+SUM(AC15:AC18)</f>
        <v>35276623</v>
      </c>
    </row>
    <row r="16" spans="1:30" x14ac:dyDescent="0.35">
      <c r="A16" s="126"/>
      <c r="B16" s="69" t="s">
        <v>41</v>
      </c>
      <c r="C16" s="67">
        <v>51471</v>
      </c>
      <c r="D16" s="67">
        <v>48621</v>
      </c>
      <c r="E16" s="67">
        <v>46600</v>
      </c>
      <c r="F16" s="67">
        <v>44983</v>
      </c>
      <c r="G16" s="67">
        <v>44268</v>
      </c>
      <c r="H16" s="67">
        <v>44409</v>
      </c>
      <c r="I16" s="67">
        <v>44583</v>
      </c>
      <c r="J16" s="67">
        <v>37474</v>
      </c>
      <c r="K16" s="67">
        <v>34225</v>
      </c>
      <c r="L16" s="67">
        <v>32538</v>
      </c>
      <c r="M16" s="67">
        <v>32221</v>
      </c>
      <c r="N16" s="67">
        <v>30220</v>
      </c>
      <c r="O16" s="67">
        <v>28760</v>
      </c>
      <c r="P16" s="67">
        <v>33678</v>
      </c>
      <c r="Q16" s="67">
        <v>43013</v>
      </c>
      <c r="R16" s="67">
        <v>51114</v>
      </c>
      <c r="S16" s="67">
        <v>54779</v>
      </c>
      <c r="T16" s="67">
        <v>60923</v>
      </c>
      <c r="U16" s="67">
        <v>64978</v>
      </c>
      <c r="V16" s="67">
        <v>65284</v>
      </c>
      <c r="W16" s="67">
        <v>63893</v>
      </c>
      <c r="X16" s="67">
        <v>62497</v>
      </c>
      <c r="Y16" s="67">
        <v>60562</v>
      </c>
      <c r="Z16" s="67">
        <v>57615</v>
      </c>
      <c r="AA16" s="67">
        <f t="shared" si="0"/>
        <v>1138709</v>
      </c>
      <c r="AB16" s="68">
        <v>5</v>
      </c>
      <c r="AC16" s="67">
        <f t="shared" si="1"/>
        <v>5693545</v>
      </c>
      <c r="AD16" s="129"/>
    </row>
    <row r="17" spans="1:30" x14ac:dyDescent="0.35">
      <c r="A17" s="126"/>
      <c r="B17" s="69" t="s">
        <v>42</v>
      </c>
      <c r="C17" s="67">
        <v>51682</v>
      </c>
      <c r="D17" s="67">
        <v>48943</v>
      </c>
      <c r="E17" s="67">
        <v>46991</v>
      </c>
      <c r="F17" s="67">
        <v>45408</v>
      </c>
      <c r="G17" s="67">
        <v>44461</v>
      </c>
      <c r="H17" s="67">
        <v>43851</v>
      </c>
      <c r="I17" s="67">
        <v>42533</v>
      </c>
      <c r="J17" s="67">
        <v>31576</v>
      </c>
      <c r="K17" s="67">
        <v>24842</v>
      </c>
      <c r="L17" s="67">
        <v>21822</v>
      </c>
      <c r="M17" s="67">
        <v>19878</v>
      </c>
      <c r="N17" s="67">
        <v>18678</v>
      </c>
      <c r="O17" s="67">
        <v>20697</v>
      </c>
      <c r="P17" s="67">
        <v>25447</v>
      </c>
      <c r="Q17" s="67">
        <v>34150</v>
      </c>
      <c r="R17" s="67">
        <v>42731</v>
      </c>
      <c r="S17" s="67">
        <v>47475</v>
      </c>
      <c r="T17" s="67">
        <v>55424</v>
      </c>
      <c r="U17" s="67">
        <v>60331</v>
      </c>
      <c r="V17" s="67">
        <v>62844</v>
      </c>
      <c r="W17" s="67">
        <v>63410</v>
      </c>
      <c r="X17" s="67">
        <v>63152</v>
      </c>
      <c r="Y17" s="67">
        <v>60241</v>
      </c>
      <c r="Z17" s="67">
        <v>56193</v>
      </c>
      <c r="AA17" s="67">
        <f t="shared" si="0"/>
        <v>1032760</v>
      </c>
      <c r="AB17" s="68">
        <v>4</v>
      </c>
      <c r="AC17" s="67">
        <f t="shared" si="1"/>
        <v>4131040</v>
      </c>
      <c r="AD17" s="129"/>
    </row>
    <row r="18" spans="1:30" x14ac:dyDescent="0.35">
      <c r="A18" s="127"/>
      <c r="B18" s="70" t="s">
        <v>43</v>
      </c>
      <c r="C18" s="67">
        <v>45538</v>
      </c>
      <c r="D18" s="67">
        <v>42783</v>
      </c>
      <c r="E18" s="67">
        <v>41011</v>
      </c>
      <c r="F18" s="67">
        <v>39805</v>
      </c>
      <c r="G18" s="67">
        <v>39204</v>
      </c>
      <c r="H18" s="67">
        <v>39069</v>
      </c>
      <c r="I18" s="67">
        <v>38726</v>
      </c>
      <c r="J18" s="67">
        <v>29558</v>
      </c>
      <c r="K18" s="67">
        <v>24107</v>
      </c>
      <c r="L18" s="67">
        <v>22248</v>
      </c>
      <c r="M18" s="67">
        <v>21793</v>
      </c>
      <c r="N18" s="67">
        <v>20608</v>
      </c>
      <c r="O18" s="67">
        <v>20986</v>
      </c>
      <c r="P18" s="67">
        <v>26338</v>
      </c>
      <c r="Q18" s="67">
        <v>34603</v>
      </c>
      <c r="R18" s="67">
        <v>42363</v>
      </c>
      <c r="S18" s="67">
        <v>46231</v>
      </c>
      <c r="T18" s="67">
        <v>53679</v>
      </c>
      <c r="U18" s="67">
        <v>59212</v>
      </c>
      <c r="V18" s="67">
        <v>61627</v>
      </c>
      <c r="W18" s="67">
        <v>61570</v>
      </c>
      <c r="X18" s="67">
        <v>60142</v>
      </c>
      <c r="Y18" s="67">
        <v>56103</v>
      </c>
      <c r="Z18" s="67">
        <v>51772</v>
      </c>
      <c r="AA18" s="67">
        <f t="shared" si="0"/>
        <v>979076</v>
      </c>
      <c r="AB18" s="68">
        <v>3</v>
      </c>
      <c r="AC18" s="67">
        <f t="shared" si="1"/>
        <v>2937228</v>
      </c>
      <c r="AD18" s="130"/>
    </row>
    <row r="19" spans="1:30" x14ac:dyDescent="0.35">
      <c r="A19" s="125">
        <v>47209</v>
      </c>
      <c r="B19" s="66" t="s">
        <v>40</v>
      </c>
      <c r="C19" s="67">
        <v>52624</v>
      </c>
      <c r="D19" s="67">
        <v>49762</v>
      </c>
      <c r="E19" s="67">
        <v>47803</v>
      </c>
      <c r="F19" s="67">
        <v>46426</v>
      </c>
      <c r="G19" s="67">
        <v>46276</v>
      </c>
      <c r="H19" s="67">
        <v>46990</v>
      </c>
      <c r="I19" s="67">
        <v>47643</v>
      </c>
      <c r="J19" s="67">
        <v>41310</v>
      </c>
      <c r="K19" s="67">
        <v>38641</v>
      </c>
      <c r="L19" s="67">
        <v>37380</v>
      </c>
      <c r="M19" s="67">
        <v>37874</v>
      </c>
      <c r="N19" s="67">
        <v>36444</v>
      </c>
      <c r="O19" s="67">
        <v>32996</v>
      </c>
      <c r="P19" s="67">
        <v>42772</v>
      </c>
      <c r="Q19" s="67">
        <v>56423</v>
      </c>
      <c r="R19" s="67">
        <v>65058</v>
      </c>
      <c r="S19" s="67">
        <v>68191</v>
      </c>
      <c r="T19" s="67">
        <v>70116</v>
      </c>
      <c r="U19" s="67">
        <v>71314</v>
      </c>
      <c r="V19" s="67">
        <v>70975</v>
      </c>
      <c r="W19" s="67">
        <v>70435</v>
      </c>
      <c r="X19" s="67">
        <v>68715</v>
      </c>
      <c r="Y19" s="67">
        <v>64887</v>
      </c>
      <c r="Z19" s="67">
        <v>59842</v>
      </c>
      <c r="AA19" s="67">
        <f t="shared" si="0"/>
        <v>1270897</v>
      </c>
      <c r="AB19" s="68">
        <v>21</v>
      </c>
      <c r="AC19" s="67">
        <f t="shared" si="1"/>
        <v>26688837</v>
      </c>
      <c r="AD19" s="128">
        <f>+SUM(AC19:AC22)</f>
        <v>36873376</v>
      </c>
    </row>
    <row r="20" spans="1:30" x14ac:dyDescent="0.35">
      <c r="A20" s="126"/>
      <c r="B20" s="69" t="s">
        <v>41</v>
      </c>
      <c r="C20" s="67">
        <v>53363</v>
      </c>
      <c r="D20" s="67">
        <v>50494</v>
      </c>
      <c r="E20" s="67">
        <v>48400</v>
      </c>
      <c r="F20" s="67">
        <v>46811</v>
      </c>
      <c r="G20" s="67">
        <v>46156</v>
      </c>
      <c r="H20" s="67">
        <v>45369</v>
      </c>
      <c r="I20" s="67">
        <v>46001</v>
      </c>
      <c r="J20" s="67">
        <v>38987</v>
      </c>
      <c r="K20" s="67">
        <v>36468</v>
      </c>
      <c r="L20" s="67">
        <v>35324</v>
      </c>
      <c r="M20" s="67">
        <v>35125</v>
      </c>
      <c r="N20" s="67">
        <v>33663</v>
      </c>
      <c r="O20" s="67">
        <v>32494</v>
      </c>
      <c r="P20" s="67">
        <v>37675</v>
      </c>
      <c r="Q20" s="67">
        <v>47270</v>
      </c>
      <c r="R20" s="67">
        <v>55268</v>
      </c>
      <c r="S20" s="67">
        <v>58449</v>
      </c>
      <c r="T20" s="67">
        <v>63774</v>
      </c>
      <c r="U20" s="67">
        <v>67494</v>
      </c>
      <c r="V20" s="67">
        <v>67043</v>
      </c>
      <c r="W20" s="67">
        <v>65569</v>
      </c>
      <c r="X20" s="67">
        <v>63959</v>
      </c>
      <c r="Y20" s="67">
        <v>61780</v>
      </c>
      <c r="Z20" s="67">
        <v>58780</v>
      </c>
      <c r="AA20" s="67">
        <f t="shared" si="0"/>
        <v>1195716</v>
      </c>
      <c r="AB20" s="68">
        <v>4</v>
      </c>
      <c r="AC20" s="67">
        <f t="shared" si="1"/>
        <v>4782864</v>
      </c>
      <c r="AD20" s="129"/>
    </row>
    <row r="21" spans="1:30" x14ac:dyDescent="0.35">
      <c r="A21" s="126"/>
      <c r="B21" s="69" t="s">
        <v>42</v>
      </c>
      <c r="C21" s="67">
        <v>53513</v>
      </c>
      <c r="D21" s="67">
        <v>50527</v>
      </c>
      <c r="E21" s="67">
        <v>48353</v>
      </c>
      <c r="F21" s="67">
        <v>46618</v>
      </c>
      <c r="G21" s="67">
        <v>45620</v>
      </c>
      <c r="H21" s="67">
        <v>44247</v>
      </c>
      <c r="I21" s="67">
        <v>43565</v>
      </c>
      <c r="J21" s="67">
        <v>33225</v>
      </c>
      <c r="K21" s="67">
        <v>26622</v>
      </c>
      <c r="L21" s="67">
        <v>23953</v>
      </c>
      <c r="M21" s="67">
        <v>22657</v>
      </c>
      <c r="N21" s="67">
        <v>21811</v>
      </c>
      <c r="O21" s="67">
        <v>23777</v>
      </c>
      <c r="P21" s="67">
        <v>28684</v>
      </c>
      <c r="Q21" s="67">
        <v>37576</v>
      </c>
      <c r="R21" s="67">
        <v>46183</v>
      </c>
      <c r="S21" s="67">
        <v>50625</v>
      </c>
      <c r="T21" s="67">
        <v>57675</v>
      </c>
      <c r="U21" s="67">
        <v>62536</v>
      </c>
      <c r="V21" s="67">
        <v>64532</v>
      </c>
      <c r="W21" s="67">
        <v>64524</v>
      </c>
      <c r="X21" s="67">
        <v>64309</v>
      </c>
      <c r="Y21" s="67">
        <v>61677</v>
      </c>
      <c r="Z21" s="67">
        <v>57526</v>
      </c>
      <c r="AA21" s="67">
        <f t="shared" si="0"/>
        <v>1080335</v>
      </c>
      <c r="AB21" s="68">
        <v>5</v>
      </c>
      <c r="AC21" s="67">
        <f t="shared" si="1"/>
        <v>5401675</v>
      </c>
      <c r="AD21" s="129"/>
    </row>
    <row r="22" spans="1:30" x14ac:dyDescent="0.35">
      <c r="A22" s="127"/>
      <c r="B22" s="70" t="s">
        <v>43</v>
      </c>
      <c r="C22" s="67">
        <v>0</v>
      </c>
      <c r="D22" s="67">
        <v>0</v>
      </c>
      <c r="E22" s="67">
        <v>0</v>
      </c>
      <c r="F22" s="67">
        <v>0</v>
      </c>
      <c r="G22" s="67">
        <v>0</v>
      </c>
      <c r="H22" s="67">
        <v>0</v>
      </c>
      <c r="I22" s="67">
        <v>0</v>
      </c>
      <c r="J22" s="67">
        <v>0</v>
      </c>
      <c r="K22" s="67">
        <v>0</v>
      </c>
      <c r="L22" s="67">
        <v>0</v>
      </c>
      <c r="M22" s="67">
        <v>0</v>
      </c>
      <c r="N22" s="67">
        <v>0</v>
      </c>
      <c r="O22" s="67">
        <v>0</v>
      </c>
      <c r="P22" s="67">
        <v>0</v>
      </c>
      <c r="Q22" s="67">
        <v>0</v>
      </c>
      <c r="R22" s="67">
        <v>0</v>
      </c>
      <c r="S22" s="67">
        <v>0</v>
      </c>
      <c r="T22" s="67">
        <v>0</v>
      </c>
      <c r="U22" s="67">
        <v>0</v>
      </c>
      <c r="V22" s="67">
        <v>0</v>
      </c>
      <c r="W22" s="67">
        <v>0</v>
      </c>
      <c r="X22" s="67">
        <v>0</v>
      </c>
      <c r="Y22" s="67">
        <v>0</v>
      </c>
      <c r="Z22" s="67">
        <v>0</v>
      </c>
      <c r="AA22" s="67">
        <f t="shared" si="0"/>
        <v>0</v>
      </c>
      <c r="AB22" s="68">
        <v>0</v>
      </c>
      <c r="AC22" s="67">
        <f t="shared" si="1"/>
        <v>0</v>
      </c>
      <c r="AD22" s="130"/>
    </row>
    <row r="23" spans="1:30" x14ac:dyDescent="0.35">
      <c r="A23" s="125">
        <v>47239</v>
      </c>
      <c r="B23" s="66" t="s">
        <v>40</v>
      </c>
      <c r="C23" s="67">
        <v>52865</v>
      </c>
      <c r="D23" s="67">
        <v>50150</v>
      </c>
      <c r="E23" s="67">
        <v>48149</v>
      </c>
      <c r="F23" s="67">
        <v>46748</v>
      </c>
      <c r="G23" s="67">
        <v>46384</v>
      </c>
      <c r="H23" s="67">
        <v>46070</v>
      </c>
      <c r="I23" s="67">
        <v>46993</v>
      </c>
      <c r="J23" s="67">
        <v>40907</v>
      </c>
      <c r="K23" s="67">
        <v>38758</v>
      </c>
      <c r="L23" s="67">
        <v>37722</v>
      </c>
      <c r="M23" s="67">
        <v>38047</v>
      </c>
      <c r="N23" s="67">
        <v>36433</v>
      </c>
      <c r="O23" s="67">
        <v>33122</v>
      </c>
      <c r="P23" s="67">
        <v>42656</v>
      </c>
      <c r="Q23" s="67">
        <v>55955</v>
      </c>
      <c r="R23" s="67">
        <v>64043</v>
      </c>
      <c r="S23" s="67">
        <v>66924</v>
      </c>
      <c r="T23" s="67">
        <v>68622</v>
      </c>
      <c r="U23" s="67">
        <v>69538</v>
      </c>
      <c r="V23" s="67">
        <v>69608</v>
      </c>
      <c r="W23" s="67">
        <v>69395</v>
      </c>
      <c r="X23" s="67">
        <v>68003</v>
      </c>
      <c r="Y23" s="67">
        <v>64412</v>
      </c>
      <c r="Z23" s="67">
        <v>59662</v>
      </c>
      <c r="AA23" s="67">
        <f t="shared" si="0"/>
        <v>1261166</v>
      </c>
      <c r="AB23" s="68">
        <v>21</v>
      </c>
      <c r="AC23" s="67">
        <f t="shared" si="1"/>
        <v>26484486</v>
      </c>
      <c r="AD23" s="128">
        <f>+SUM(AC23:AC26)</f>
        <v>37561812</v>
      </c>
    </row>
    <row r="24" spans="1:30" x14ac:dyDescent="0.35">
      <c r="A24" s="126"/>
      <c r="B24" s="69" t="s">
        <v>41</v>
      </c>
      <c r="C24" s="67">
        <v>54854</v>
      </c>
      <c r="D24" s="67">
        <v>51777</v>
      </c>
      <c r="E24" s="67">
        <v>49518</v>
      </c>
      <c r="F24" s="67">
        <v>47769</v>
      </c>
      <c r="G24" s="67">
        <v>47054</v>
      </c>
      <c r="H24" s="67">
        <v>45626</v>
      </c>
      <c r="I24" s="67">
        <v>46378</v>
      </c>
      <c r="J24" s="67">
        <v>39471</v>
      </c>
      <c r="K24" s="67">
        <v>37435</v>
      </c>
      <c r="L24" s="67">
        <v>36609</v>
      </c>
      <c r="M24" s="67">
        <v>36433</v>
      </c>
      <c r="N24" s="67">
        <v>34498</v>
      </c>
      <c r="O24" s="67">
        <v>32956</v>
      </c>
      <c r="P24" s="67">
        <v>37891</v>
      </c>
      <c r="Q24" s="67">
        <v>46951</v>
      </c>
      <c r="R24" s="67">
        <v>54829</v>
      </c>
      <c r="S24" s="67">
        <v>57831</v>
      </c>
      <c r="T24" s="67">
        <v>62330</v>
      </c>
      <c r="U24" s="67">
        <v>65844</v>
      </c>
      <c r="V24" s="67">
        <v>66351</v>
      </c>
      <c r="W24" s="67">
        <v>65145</v>
      </c>
      <c r="X24" s="67">
        <v>63910</v>
      </c>
      <c r="Y24" s="67">
        <v>61941</v>
      </c>
      <c r="Z24" s="67">
        <v>58998</v>
      </c>
      <c r="AA24" s="67">
        <f t="shared" si="0"/>
        <v>1202399</v>
      </c>
      <c r="AB24" s="68">
        <v>4</v>
      </c>
      <c r="AC24" s="67">
        <f t="shared" si="1"/>
        <v>4809596</v>
      </c>
      <c r="AD24" s="129"/>
    </row>
    <row r="25" spans="1:30" x14ac:dyDescent="0.35">
      <c r="A25" s="126"/>
      <c r="B25" s="69" t="s">
        <v>42</v>
      </c>
      <c r="C25" s="67">
        <v>53211</v>
      </c>
      <c r="D25" s="67">
        <v>50568</v>
      </c>
      <c r="E25" s="67">
        <v>48560</v>
      </c>
      <c r="F25" s="67">
        <v>46894</v>
      </c>
      <c r="G25" s="67">
        <v>45828</v>
      </c>
      <c r="H25" s="67">
        <v>43662</v>
      </c>
      <c r="I25" s="67">
        <v>43567</v>
      </c>
      <c r="J25" s="67">
        <v>33028</v>
      </c>
      <c r="K25" s="67">
        <v>26544</v>
      </c>
      <c r="L25" s="67">
        <v>23863</v>
      </c>
      <c r="M25" s="67">
        <v>22707</v>
      </c>
      <c r="N25" s="67">
        <v>21241</v>
      </c>
      <c r="O25" s="67">
        <v>22367</v>
      </c>
      <c r="P25" s="67">
        <v>26811</v>
      </c>
      <c r="Q25" s="67">
        <v>35735</v>
      </c>
      <c r="R25" s="67">
        <v>43948</v>
      </c>
      <c r="S25" s="67">
        <v>48390</v>
      </c>
      <c r="T25" s="67">
        <v>55492</v>
      </c>
      <c r="U25" s="67">
        <v>60216</v>
      </c>
      <c r="V25" s="67">
        <v>62468</v>
      </c>
      <c r="W25" s="67">
        <v>62929</v>
      </c>
      <c r="X25" s="67">
        <v>63028</v>
      </c>
      <c r="Y25" s="67">
        <v>60890</v>
      </c>
      <c r="Z25" s="67">
        <v>57184</v>
      </c>
      <c r="AA25" s="67">
        <f t="shared" si="0"/>
        <v>1059131</v>
      </c>
      <c r="AB25" s="68">
        <v>4</v>
      </c>
      <c r="AC25" s="67">
        <f t="shared" si="1"/>
        <v>4236524</v>
      </c>
      <c r="AD25" s="129"/>
    </row>
    <row r="26" spans="1:30" x14ac:dyDescent="0.35">
      <c r="A26" s="127"/>
      <c r="B26" s="70" t="s">
        <v>43</v>
      </c>
      <c r="C26" s="67">
        <v>47603</v>
      </c>
      <c r="D26" s="67">
        <v>45004</v>
      </c>
      <c r="E26" s="67">
        <v>43156</v>
      </c>
      <c r="F26" s="67">
        <v>41811</v>
      </c>
      <c r="G26" s="67">
        <v>41194</v>
      </c>
      <c r="H26" s="67">
        <v>39752</v>
      </c>
      <c r="I26" s="67">
        <v>40060</v>
      </c>
      <c r="J26" s="67">
        <v>30579</v>
      </c>
      <c r="K26" s="67">
        <v>24963</v>
      </c>
      <c r="L26" s="67">
        <v>23103</v>
      </c>
      <c r="M26" s="67">
        <v>22704</v>
      </c>
      <c r="N26" s="67">
        <v>21593</v>
      </c>
      <c r="O26" s="67">
        <v>22375</v>
      </c>
      <c r="P26" s="67">
        <v>27579</v>
      </c>
      <c r="Q26" s="67">
        <v>36420</v>
      </c>
      <c r="R26" s="67">
        <v>44509</v>
      </c>
      <c r="S26" s="67">
        <v>48299</v>
      </c>
      <c r="T26" s="67">
        <v>54653</v>
      </c>
      <c r="U26" s="67">
        <v>59583</v>
      </c>
      <c r="V26" s="67">
        <v>62332</v>
      </c>
      <c r="W26" s="67">
        <v>62648</v>
      </c>
      <c r="X26" s="67">
        <v>61935</v>
      </c>
      <c r="Y26" s="67">
        <v>58889</v>
      </c>
      <c r="Z26" s="67">
        <v>54859</v>
      </c>
      <c r="AA26" s="67">
        <f t="shared" si="0"/>
        <v>1015603</v>
      </c>
      <c r="AB26" s="68">
        <v>2</v>
      </c>
      <c r="AC26" s="67">
        <f t="shared" si="1"/>
        <v>2031206</v>
      </c>
      <c r="AD26" s="130"/>
    </row>
    <row r="27" spans="1:30" x14ac:dyDescent="0.35">
      <c r="A27" s="125">
        <v>47270</v>
      </c>
      <c r="B27" s="66" t="s">
        <v>40</v>
      </c>
      <c r="C27" s="67">
        <v>54665</v>
      </c>
      <c r="D27" s="67">
        <v>51758</v>
      </c>
      <c r="E27" s="67">
        <v>49617</v>
      </c>
      <c r="F27" s="67">
        <v>48149</v>
      </c>
      <c r="G27" s="67">
        <v>47770</v>
      </c>
      <c r="H27" s="67">
        <v>47270</v>
      </c>
      <c r="I27" s="67">
        <v>48809</v>
      </c>
      <c r="J27" s="67">
        <v>43216</v>
      </c>
      <c r="K27" s="67">
        <v>41180</v>
      </c>
      <c r="L27" s="67">
        <v>39985</v>
      </c>
      <c r="M27" s="67">
        <v>40258</v>
      </c>
      <c r="N27" s="67">
        <v>38862</v>
      </c>
      <c r="O27" s="67">
        <v>35021</v>
      </c>
      <c r="P27" s="67">
        <v>44464</v>
      </c>
      <c r="Q27" s="67">
        <v>57779</v>
      </c>
      <c r="R27" s="67">
        <v>66230</v>
      </c>
      <c r="S27" s="67">
        <v>69449</v>
      </c>
      <c r="T27" s="67">
        <v>71240</v>
      </c>
      <c r="U27" s="67">
        <v>71578</v>
      </c>
      <c r="V27" s="67">
        <v>72133</v>
      </c>
      <c r="W27" s="67">
        <v>71505</v>
      </c>
      <c r="X27" s="67">
        <v>69832</v>
      </c>
      <c r="Y27" s="67">
        <v>66295</v>
      </c>
      <c r="Z27" s="67">
        <v>61541</v>
      </c>
      <c r="AA27" s="67">
        <f t="shared" si="0"/>
        <v>1308606</v>
      </c>
      <c r="AB27" s="68">
        <v>19</v>
      </c>
      <c r="AC27" s="67">
        <f t="shared" si="1"/>
        <v>24863514</v>
      </c>
      <c r="AD27" s="128">
        <f>+SUM(AC27:AC30)</f>
        <v>37699759</v>
      </c>
    </row>
    <row r="28" spans="1:30" x14ac:dyDescent="0.35">
      <c r="A28" s="126"/>
      <c r="B28" s="69" t="s">
        <v>41</v>
      </c>
      <c r="C28" s="67">
        <v>55573</v>
      </c>
      <c r="D28" s="67">
        <v>52747</v>
      </c>
      <c r="E28" s="67">
        <v>50604</v>
      </c>
      <c r="F28" s="67">
        <v>49017</v>
      </c>
      <c r="G28" s="67">
        <v>48468</v>
      </c>
      <c r="H28" s="67">
        <v>47090</v>
      </c>
      <c r="I28" s="67">
        <v>48437</v>
      </c>
      <c r="J28" s="67">
        <v>41785</v>
      </c>
      <c r="K28" s="67">
        <v>39485</v>
      </c>
      <c r="L28" s="67">
        <v>38351</v>
      </c>
      <c r="M28" s="67">
        <v>38216</v>
      </c>
      <c r="N28" s="67">
        <v>36385</v>
      </c>
      <c r="O28" s="67">
        <v>34563</v>
      </c>
      <c r="P28" s="67">
        <v>38934</v>
      </c>
      <c r="Q28" s="67">
        <v>48723</v>
      </c>
      <c r="R28" s="67">
        <v>57047</v>
      </c>
      <c r="S28" s="67">
        <v>60306</v>
      </c>
      <c r="T28" s="67">
        <v>65493</v>
      </c>
      <c r="U28" s="67">
        <v>68347</v>
      </c>
      <c r="V28" s="67">
        <v>69169</v>
      </c>
      <c r="W28" s="67">
        <v>67701</v>
      </c>
      <c r="X28" s="67">
        <v>66179</v>
      </c>
      <c r="Y28" s="67">
        <v>64102</v>
      </c>
      <c r="Z28" s="67">
        <v>61163</v>
      </c>
      <c r="AA28" s="67">
        <f t="shared" si="0"/>
        <v>1247885</v>
      </c>
      <c r="AB28" s="68">
        <v>5</v>
      </c>
      <c r="AC28" s="67">
        <f t="shared" si="1"/>
        <v>6239425</v>
      </c>
      <c r="AD28" s="129"/>
    </row>
    <row r="29" spans="1:30" x14ac:dyDescent="0.35">
      <c r="A29" s="126"/>
      <c r="B29" s="69" t="s">
        <v>42</v>
      </c>
      <c r="C29" s="67">
        <v>55196</v>
      </c>
      <c r="D29" s="67">
        <v>52484</v>
      </c>
      <c r="E29" s="67">
        <v>50467</v>
      </c>
      <c r="F29" s="67">
        <v>48836</v>
      </c>
      <c r="G29" s="67">
        <v>47866</v>
      </c>
      <c r="H29" s="67">
        <v>45755</v>
      </c>
      <c r="I29" s="67">
        <v>45590</v>
      </c>
      <c r="J29" s="67">
        <v>35270</v>
      </c>
      <c r="K29" s="67">
        <v>28156</v>
      </c>
      <c r="L29" s="67">
        <v>25889</v>
      </c>
      <c r="M29" s="67">
        <v>23818</v>
      </c>
      <c r="N29" s="67">
        <v>22230</v>
      </c>
      <c r="O29" s="67">
        <v>23870</v>
      </c>
      <c r="P29" s="67">
        <v>28395</v>
      </c>
      <c r="Q29" s="67">
        <v>37085</v>
      </c>
      <c r="R29" s="67">
        <v>45563</v>
      </c>
      <c r="S29" s="67">
        <v>50541</v>
      </c>
      <c r="T29" s="67">
        <v>57628</v>
      </c>
      <c r="U29" s="67">
        <v>62134</v>
      </c>
      <c r="V29" s="67">
        <v>65493</v>
      </c>
      <c r="W29" s="67">
        <v>65768</v>
      </c>
      <c r="X29" s="67">
        <v>65623</v>
      </c>
      <c r="Y29" s="67">
        <v>63697</v>
      </c>
      <c r="Z29" s="67">
        <v>60318</v>
      </c>
      <c r="AA29" s="67">
        <f t="shared" si="0"/>
        <v>1107672</v>
      </c>
      <c r="AB29" s="68">
        <v>4</v>
      </c>
      <c r="AC29" s="67">
        <f t="shared" si="1"/>
        <v>4430688</v>
      </c>
      <c r="AD29" s="129"/>
    </row>
    <row r="30" spans="1:30" x14ac:dyDescent="0.35">
      <c r="A30" s="127"/>
      <c r="B30" s="70" t="s">
        <v>43</v>
      </c>
      <c r="C30" s="67">
        <v>50144</v>
      </c>
      <c r="D30" s="67">
        <v>47520</v>
      </c>
      <c r="E30" s="67">
        <v>45709</v>
      </c>
      <c r="F30" s="67">
        <v>44259</v>
      </c>
      <c r="G30" s="67">
        <v>43719</v>
      </c>
      <c r="H30" s="67">
        <v>42173</v>
      </c>
      <c r="I30" s="67">
        <v>42504</v>
      </c>
      <c r="J30" s="67">
        <v>33624</v>
      </c>
      <c r="K30" s="67">
        <v>28567</v>
      </c>
      <c r="L30" s="67">
        <v>27083</v>
      </c>
      <c r="M30" s="67">
        <v>26844</v>
      </c>
      <c r="N30" s="67">
        <v>25565</v>
      </c>
      <c r="O30" s="67">
        <v>26019</v>
      </c>
      <c r="P30" s="67">
        <v>30974</v>
      </c>
      <c r="Q30" s="67">
        <v>39516</v>
      </c>
      <c r="R30" s="67">
        <v>47232</v>
      </c>
      <c r="S30" s="67">
        <v>50843</v>
      </c>
      <c r="T30" s="67">
        <v>57268</v>
      </c>
      <c r="U30" s="67">
        <v>61570</v>
      </c>
      <c r="V30" s="67">
        <v>65297</v>
      </c>
      <c r="W30" s="67">
        <v>65065</v>
      </c>
      <c r="X30" s="67">
        <v>63977</v>
      </c>
      <c r="Y30" s="67">
        <v>60887</v>
      </c>
      <c r="Z30" s="67">
        <v>56707</v>
      </c>
      <c r="AA30" s="67">
        <f t="shared" si="0"/>
        <v>1083066</v>
      </c>
      <c r="AB30" s="68">
        <v>2</v>
      </c>
      <c r="AC30" s="67">
        <f t="shared" si="1"/>
        <v>2166132</v>
      </c>
      <c r="AD30" s="130"/>
    </row>
    <row r="31" spans="1:30" x14ac:dyDescent="0.35">
      <c r="A31" s="125">
        <v>47300</v>
      </c>
      <c r="B31" s="66" t="s">
        <v>40</v>
      </c>
      <c r="C31" s="67">
        <v>52126</v>
      </c>
      <c r="D31" s="67">
        <v>49312</v>
      </c>
      <c r="E31" s="67">
        <v>47293</v>
      </c>
      <c r="F31" s="67">
        <v>45746</v>
      </c>
      <c r="G31" s="67">
        <v>45271</v>
      </c>
      <c r="H31" s="67">
        <v>45240</v>
      </c>
      <c r="I31" s="67">
        <v>46342</v>
      </c>
      <c r="J31" s="67">
        <v>40061</v>
      </c>
      <c r="K31" s="67">
        <v>37812</v>
      </c>
      <c r="L31" s="67">
        <v>36630</v>
      </c>
      <c r="M31" s="67">
        <v>36864</v>
      </c>
      <c r="N31" s="67">
        <v>34905</v>
      </c>
      <c r="O31" s="67">
        <v>30951</v>
      </c>
      <c r="P31" s="67">
        <v>40275</v>
      </c>
      <c r="Q31" s="67">
        <v>53343</v>
      </c>
      <c r="R31" s="67">
        <v>61689</v>
      </c>
      <c r="S31" s="67">
        <v>64564</v>
      </c>
      <c r="T31" s="67">
        <v>67016</v>
      </c>
      <c r="U31" s="67">
        <v>66952</v>
      </c>
      <c r="V31" s="67">
        <v>68412</v>
      </c>
      <c r="W31" s="67">
        <v>68159</v>
      </c>
      <c r="X31" s="67">
        <v>66901</v>
      </c>
      <c r="Y31" s="67">
        <v>63637</v>
      </c>
      <c r="Z31" s="67">
        <v>59148</v>
      </c>
      <c r="AA31" s="67">
        <f t="shared" si="0"/>
        <v>1228649</v>
      </c>
      <c r="AB31" s="68">
        <v>20</v>
      </c>
      <c r="AC31" s="67">
        <f t="shared" si="1"/>
        <v>24572980</v>
      </c>
      <c r="AD31" s="128">
        <f>+SUM(AC31:AC34)</f>
        <v>36474141</v>
      </c>
    </row>
    <row r="32" spans="1:30" x14ac:dyDescent="0.35">
      <c r="A32" s="126"/>
      <c r="B32" s="69" t="s">
        <v>41</v>
      </c>
      <c r="C32" s="67">
        <v>51547</v>
      </c>
      <c r="D32" s="67">
        <v>48837</v>
      </c>
      <c r="E32" s="67">
        <v>46953</v>
      </c>
      <c r="F32" s="67">
        <v>45433</v>
      </c>
      <c r="G32" s="67">
        <v>44852</v>
      </c>
      <c r="H32" s="67">
        <v>43830</v>
      </c>
      <c r="I32" s="67">
        <v>44650</v>
      </c>
      <c r="J32" s="67">
        <v>37772</v>
      </c>
      <c r="K32" s="67">
        <v>35163</v>
      </c>
      <c r="L32" s="67">
        <v>34025</v>
      </c>
      <c r="M32" s="67">
        <v>33481</v>
      </c>
      <c r="N32" s="67">
        <v>32080</v>
      </c>
      <c r="O32" s="67">
        <v>30509</v>
      </c>
      <c r="P32" s="67">
        <v>35347</v>
      </c>
      <c r="Q32" s="67">
        <v>44904</v>
      </c>
      <c r="R32" s="67">
        <v>52526</v>
      </c>
      <c r="S32" s="67">
        <v>55564</v>
      </c>
      <c r="T32" s="67">
        <v>60944</v>
      </c>
      <c r="U32" s="67">
        <v>63896</v>
      </c>
      <c r="V32" s="67">
        <v>65750</v>
      </c>
      <c r="W32" s="67">
        <v>64327</v>
      </c>
      <c r="X32" s="67">
        <v>63039</v>
      </c>
      <c r="Y32" s="67">
        <v>61408</v>
      </c>
      <c r="Z32" s="67">
        <v>58819</v>
      </c>
      <c r="AA32" s="67">
        <f t="shared" si="0"/>
        <v>1155656</v>
      </c>
      <c r="AB32" s="68">
        <v>4</v>
      </c>
      <c r="AC32" s="67">
        <f t="shared" si="1"/>
        <v>4622624</v>
      </c>
      <c r="AD32" s="129"/>
    </row>
    <row r="33" spans="1:30" x14ac:dyDescent="0.35">
      <c r="A33" s="126"/>
      <c r="B33" s="69" t="s">
        <v>42</v>
      </c>
      <c r="C33" s="67">
        <v>52894</v>
      </c>
      <c r="D33" s="67">
        <v>50092</v>
      </c>
      <c r="E33" s="67">
        <v>48011</v>
      </c>
      <c r="F33" s="67">
        <v>46459</v>
      </c>
      <c r="G33" s="67">
        <v>45424</v>
      </c>
      <c r="H33" s="67">
        <v>43657</v>
      </c>
      <c r="I33" s="67">
        <v>43252</v>
      </c>
      <c r="J33" s="67">
        <v>32108</v>
      </c>
      <c r="K33" s="67">
        <v>25482</v>
      </c>
      <c r="L33" s="67">
        <v>22668</v>
      </c>
      <c r="M33" s="67">
        <v>20960</v>
      </c>
      <c r="N33" s="67">
        <v>19104</v>
      </c>
      <c r="O33" s="67">
        <v>21000</v>
      </c>
      <c r="P33" s="67">
        <v>25595</v>
      </c>
      <c r="Q33" s="67">
        <v>33857</v>
      </c>
      <c r="R33" s="67">
        <v>42600</v>
      </c>
      <c r="S33" s="67">
        <v>46998</v>
      </c>
      <c r="T33" s="67">
        <v>55148</v>
      </c>
      <c r="U33" s="67">
        <v>58829</v>
      </c>
      <c r="V33" s="67">
        <v>62370</v>
      </c>
      <c r="W33" s="67">
        <v>62929</v>
      </c>
      <c r="X33" s="67">
        <v>62882</v>
      </c>
      <c r="Y33" s="67">
        <v>60745</v>
      </c>
      <c r="Z33" s="67">
        <v>57377</v>
      </c>
      <c r="AA33" s="67">
        <f t="shared" si="0"/>
        <v>1040441</v>
      </c>
      <c r="AB33" s="68">
        <v>5</v>
      </c>
      <c r="AC33" s="67">
        <f t="shared" si="1"/>
        <v>5202205</v>
      </c>
      <c r="AD33" s="129"/>
    </row>
    <row r="34" spans="1:30" x14ac:dyDescent="0.35">
      <c r="A34" s="127"/>
      <c r="B34" s="70" t="s">
        <v>43</v>
      </c>
      <c r="C34" s="67">
        <v>49582</v>
      </c>
      <c r="D34" s="67">
        <v>46874</v>
      </c>
      <c r="E34" s="67">
        <v>44857</v>
      </c>
      <c r="F34" s="67">
        <v>43543</v>
      </c>
      <c r="G34" s="67">
        <v>42897</v>
      </c>
      <c r="H34" s="67">
        <v>41699</v>
      </c>
      <c r="I34" s="67">
        <v>41781</v>
      </c>
      <c r="J34" s="67">
        <v>32352</v>
      </c>
      <c r="K34" s="67">
        <v>27035</v>
      </c>
      <c r="L34" s="67">
        <v>24944</v>
      </c>
      <c r="M34" s="67">
        <v>23960</v>
      </c>
      <c r="N34" s="67">
        <v>22229</v>
      </c>
      <c r="O34" s="67">
        <v>22186</v>
      </c>
      <c r="P34" s="67">
        <v>27677</v>
      </c>
      <c r="Q34" s="67">
        <v>36522</v>
      </c>
      <c r="R34" s="67">
        <v>44820</v>
      </c>
      <c r="S34" s="67">
        <v>48658</v>
      </c>
      <c r="T34" s="67">
        <v>55364</v>
      </c>
      <c r="U34" s="67">
        <v>59036</v>
      </c>
      <c r="V34" s="67">
        <v>62982</v>
      </c>
      <c r="W34" s="67">
        <v>62919</v>
      </c>
      <c r="X34" s="67">
        <v>62020</v>
      </c>
      <c r="Y34" s="67">
        <v>59172</v>
      </c>
      <c r="Z34" s="67">
        <v>55057</v>
      </c>
      <c r="AA34" s="67">
        <f t="shared" si="0"/>
        <v>1038166</v>
      </c>
      <c r="AB34" s="68">
        <v>2</v>
      </c>
      <c r="AC34" s="67">
        <f>+AA34*AB34</f>
        <v>2076332</v>
      </c>
      <c r="AD34" s="130"/>
    </row>
    <row r="35" spans="1:30" x14ac:dyDescent="0.35">
      <c r="A35" s="125">
        <v>47331</v>
      </c>
      <c r="B35" s="66" t="s">
        <v>40</v>
      </c>
      <c r="C35" s="67">
        <v>54379</v>
      </c>
      <c r="D35" s="67">
        <v>51530</v>
      </c>
      <c r="E35" s="67">
        <v>49371</v>
      </c>
      <c r="F35" s="67">
        <v>47740</v>
      </c>
      <c r="G35" s="67">
        <v>47191</v>
      </c>
      <c r="H35" s="67">
        <v>47178</v>
      </c>
      <c r="I35" s="67">
        <v>47841</v>
      </c>
      <c r="J35" s="67">
        <v>41806</v>
      </c>
      <c r="K35" s="67">
        <v>39380</v>
      </c>
      <c r="L35" s="67">
        <v>38619</v>
      </c>
      <c r="M35" s="67">
        <v>38998</v>
      </c>
      <c r="N35" s="67">
        <v>37426</v>
      </c>
      <c r="O35" s="67">
        <v>33611</v>
      </c>
      <c r="P35" s="67">
        <v>43649</v>
      </c>
      <c r="Q35" s="67">
        <v>57300</v>
      </c>
      <c r="R35" s="67">
        <v>65574</v>
      </c>
      <c r="S35" s="67">
        <v>68507</v>
      </c>
      <c r="T35" s="67">
        <v>69374</v>
      </c>
      <c r="U35" s="67">
        <v>69782</v>
      </c>
      <c r="V35" s="67">
        <v>70382</v>
      </c>
      <c r="W35" s="67">
        <v>70327</v>
      </c>
      <c r="X35" s="67">
        <v>69269</v>
      </c>
      <c r="Y35" s="67">
        <v>65831</v>
      </c>
      <c r="Z35" s="67">
        <v>61320</v>
      </c>
      <c r="AA35" s="67">
        <f t="shared" si="0"/>
        <v>1286385</v>
      </c>
      <c r="AB35" s="68">
        <v>21</v>
      </c>
      <c r="AC35" s="67">
        <f t="shared" si="1"/>
        <v>27014085</v>
      </c>
      <c r="AD35" s="128">
        <f>+SUM(AC35:AC38)</f>
        <v>38473209</v>
      </c>
    </row>
    <row r="36" spans="1:30" x14ac:dyDescent="0.35">
      <c r="A36" s="126"/>
      <c r="B36" s="69" t="s">
        <v>41</v>
      </c>
      <c r="C36" s="67">
        <v>57274</v>
      </c>
      <c r="D36" s="67">
        <v>54210</v>
      </c>
      <c r="E36" s="67">
        <v>51847</v>
      </c>
      <c r="F36" s="67">
        <v>50019</v>
      </c>
      <c r="G36" s="67">
        <v>49052</v>
      </c>
      <c r="H36" s="67">
        <v>47893</v>
      </c>
      <c r="I36" s="67">
        <v>48314</v>
      </c>
      <c r="J36" s="67">
        <v>41806</v>
      </c>
      <c r="K36" s="67">
        <v>39241</v>
      </c>
      <c r="L36" s="67">
        <v>38436</v>
      </c>
      <c r="M36" s="67">
        <v>37827</v>
      </c>
      <c r="N36" s="67">
        <v>36928</v>
      </c>
      <c r="O36" s="67">
        <v>34826</v>
      </c>
      <c r="P36" s="67">
        <v>40055</v>
      </c>
      <c r="Q36" s="67">
        <v>49492</v>
      </c>
      <c r="R36" s="67">
        <v>57285</v>
      </c>
      <c r="S36" s="67">
        <v>60527</v>
      </c>
      <c r="T36" s="67">
        <v>64237</v>
      </c>
      <c r="U36" s="67">
        <v>67706</v>
      </c>
      <c r="V36" s="67">
        <v>68191</v>
      </c>
      <c r="W36" s="67">
        <v>66706</v>
      </c>
      <c r="X36" s="67">
        <v>65965</v>
      </c>
      <c r="Y36" s="67">
        <v>64494</v>
      </c>
      <c r="Z36" s="67">
        <v>61718</v>
      </c>
      <c r="AA36" s="67">
        <f t="shared" si="0"/>
        <v>1254049</v>
      </c>
      <c r="AB36" s="68">
        <v>4</v>
      </c>
      <c r="AC36" s="67">
        <f t="shared" si="1"/>
        <v>5016196</v>
      </c>
      <c r="AD36" s="129"/>
    </row>
    <row r="37" spans="1:30" x14ac:dyDescent="0.35">
      <c r="A37" s="126"/>
      <c r="B37" s="69" t="s">
        <v>42</v>
      </c>
      <c r="C37" s="67">
        <v>56017</v>
      </c>
      <c r="D37" s="67">
        <v>53110</v>
      </c>
      <c r="E37" s="67">
        <v>50799</v>
      </c>
      <c r="F37" s="67">
        <v>49019</v>
      </c>
      <c r="G37" s="67">
        <v>47689</v>
      </c>
      <c r="H37" s="67">
        <v>45394</v>
      </c>
      <c r="I37" s="67">
        <v>44476</v>
      </c>
      <c r="J37" s="67">
        <v>34189</v>
      </c>
      <c r="K37" s="67">
        <v>27345</v>
      </c>
      <c r="L37" s="67">
        <v>24109</v>
      </c>
      <c r="M37" s="67">
        <v>22795</v>
      </c>
      <c r="N37" s="67">
        <v>20582</v>
      </c>
      <c r="O37" s="67">
        <v>22553</v>
      </c>
      <c r="P37" s="67">
        <v>28181</v>
      </c>
      <c r="Q37" s="67">
        <v>36481</v>
      </c>
      <c r="R37" s="67">
        <v>45092</v>
      </c>
      <c r="S37" s="67">
        <v>48676</v>
      </c>
      <c r="T37" s="67">
        <v>55064</v>
      </c>
      <c r="U37" s="67">
        <v>59764</v>
      </c>
      <c r="V37" s="67">
        <v>62375</v>
      </c>
      <c r="W37" s="67">
        <v>63056</v>
      </c>
      <c r="X37" s="67">
        <v>63311</v>
      </c>
      <c r="Y37" s="67">
        <v>61387</v>
      </c>
      <c r="Z37" s="67">
        <v>57870</v>
      </c>
      <c r="AA37" s="67">
        <f t="shared" si="0"/>
        <v>1079334</v>
      </c>
      <c r="AB37" s="68">
        <v>4</v>
      </c>
      <c r="AC37" s="67">
        <f t="shared" si="1"/>
        <v>4317336</v>
      </c>
      <c r="AD37" s="129"/>
    </row>
    <row r="38" spans="1:30" x14ac:dyDescent="0.35">
      <c r="A38" s="127"/>
      <c r="B38" s="70" t="s">
        <v>43</v>
      </c>
      <c r="C38" s="67">
        <v>49254</v>
      </c>
      <c r="D38" s="67">
        <v>46867</v>
      </c>
      <c r="E38" s="67">
        <v>44964</v>
      </c>
      <c r="F38" s="67">
        <v>43672</v>
      </c>
      <c r="G38" s="67">
        <v>43052</v>
      </c>
      <c r="H38" s="67">
        <v>41860</v>
      </c>
      <c r="I38" s="67">
        <v>41494</v>
      </c>
      <c r="J38" s="67">
        <v>32203</v>
      </c>
      <c r="K38" s="67">
        <v>26958</v>
      </c>
      <c r="L38" s="67">
        <v>25669</v>
      </c>
      <c r="M38" s="67">
        <v>25265</v>
      </c>
      <c r="N38" s="67">
        <v>24385</v>
      </c>
      <c r="O38" s="67">
        <v>25079</v>
      </c>
      <c r="P38" s="67">
        <v>30213</v>
      </c>
      <c r="Q38" s="67">
        <v>39007</v>
      </c>
      <c r="R38" s="67">
        <v>47579</v>
      </c>
      <c r="S38" s="67">
        <v>51168</v>
      </c>
      <c r="T38" s="67">
        <v>56141</v>
      </c>
      <c r="U38" s="67">
        <v>60875</v>
      </c>
      <c r="V38" s="67">
        <v>63372</v>
      </c>
      <c r="W38" s="67">
        <v>63240</v>
      </c>
      <c r="X38" s="67">
        <v>63249</v>
      </c>
      <c r="Y38" s="67">
        <v>60618</v>
      </c>
      <c r="Z38" s="67">
        <v>56612</v>
      </c>
      <c r="AA38" s="67">
        <f t="shared" si="0"/>
        <v>1062796</v>
      </c>
      <c r="AB38" s="68">
        <v>2</v>
      </c>
      <c r="AC38" s="67">
        <f t="shared" si="1"/>
        <v>2125592</v>
      </c>
      <c r="AD38" s="130"/>
    </row>
    <row r="39" spans="1:30" x14ac:dyDescent="0.35">
      <c r="A39" s="125">
        <v>47362</v>
      </c>
      <c r="B39" s="66" t="s">
        <v>40</v>
      </c>
      <c r="C39" s="67">
        <v>57531</v>
      </c>
      <c r="D39" s="67">
        <v>54368</v>
      </c>
      <c r="E39" s="67">
        <v>52027</v>
      </c>
      <c r="F39" s="67">
        <v>50225</v>
      </c>
      <c r="G39" s="67">
        <v>49581</v>
      </c>
      <c r="H39" s="67">
        <v>49430</v>
      </c>
      <c r="I39" s="67">
        <v>50344</v>
      </c>
      <c r="J39" s="67">
        <v>44781</v>
      </c>
      <c r="K39" s="67">
        <v>42635</v>
      </c>
      <c r="L39" s="67">
        <v>42034</v>
      </c>
      <c r="M39" s="67">
        <v>42636</v>
      </c>
      <c r="N39" s="67">
        <v>41093</v>
      </c>
      <c r="O39" s="67">
        <v>37447</v>
      </c>
      <c r="P39" s="67">
        <v>48039</v>
      </c>
      <c r="Q39" s="67">
        <v>61677</v>
      </c>
      <c r="R39" s="67">
        <v>69963</v>
      </c>
      <c r="S39" s="67">
        <v>72375</v>
      </c>
      <c r="T39" s="67">
        <v>73489</v>
      </c>
      <c r="U39" s="67">
        <v>74557</v>
      </c>
      <c r="V39" s="67">
        <v>73402</v>
      </c>
      <c r="W39" s="67">
        <v>73142</v>
      </c>
      <c r="X39" s="67">
        <v>72169</v>
      </c>
      <c r="Y39" s="67">
        <v>68725</v>
      </c>
      <c r="Z39" s="67">
        <v>63732</v>
      </c>
      <c r="AA39" s="67">
        <f t="shared" si="0"/>
        <v>1365402</v>
      </c>
      <c r="AB39" s="68">
        <v>20</v>
      </c>
      <c r="AC39" s="67">
        <f t="shared" si="1"/>
        <v>27308040</v>
      </c>
      <c r="AD39" s="128">
        <f>+SUM(AC39:AC42)</f>
        <v>39738570</v>
      </c>
    </row>
    <row r="40" spans="1:30" x14ac:dyDescent="0.35">
      <c r="A40" s="126"/>
      <c r="B40" s="69" t="s">
        <v>41</v>
      </c>
      <c r="C40" s="67">
        <v>58657</v>
      </c>
      <c r="D40" s="67">
        <v>55742</v>
      </c>
      <c r="E40" s="67">
        <v>53433</v>
      </c>
      <c r="F40" s="67">
        <v>51482</v>
      </c>
      <c r="G40" s="67">
        <v>50549</v>
      </c>
      <c r="H40" s="67">
        <v>49227</v>
      </c>
      <c r="I40" s="67">
        <v>49968</v>
      </c>
      <c r="J40" s="67">
        <v>44042</v>
      </c>
      <c r="K40" s="67">
        <v>42022</v>
      </c>
      <c r="L40" s="67">
        <v>41026</v>
      </c>
      <c r="M40" s="67">
        <v>41350</v>
      </c>
      <c r="N40" s="67">
        <v>39951</v>
      </c>
      <c r="O40" s="67">
        <v>38221</v>
      </c>
      <c r="P40" s="67">
        <v>43669</v>
      </c>
      <c r="Q40" s="67">
        <v>53461</v>
      </c>
      <c r="R40" s="67">
        <v>61195</v>
      </c>
      <c r="S40" s="67">
        <v>63901</v>
      </c>
      <c r="T40" s="67">
        <v>68321</v>
      </c>
      <c r="U40" s="67">
        <v>72364</v>
      </c>
      <c r="V40" s="67">
        <v>71294</v>
      </c>
      <c r="W40" s="67">
        <v>69410</v>
      </c>
      <c r="X40" s="67">
        <v>68021</v>
      </c>
      <c r="Y40" s="67">
        <v>66388</v>
      </c>
      <c r="Z40" s="67">
        <v>63675</v>
      </c>
      <c r="AA40" s="67">
        <f t="shared" si="0"/>
        <v>1317369</v>
      </c>
      <c r="AB40" s="68">
        <v>5</v>
      </c>
      <c r="AC40" s="67">
        <f t="shared" si="1"/>
        <v>6586845</v>
      </c>
      <c r="AD40" s="129"/>
    </row>
    <row r="41" spans="1:30" x14ac:dyDescent="0.35">
      <c r="A41" s="126"/>
      <c r="B41" s="69" t="s">
        <v>42</v>
      </c>
      <c r="C41" s="67">
        <v>58059</v>
      </c>
      <c r="D41" s="67">
        <v>55231</v>
      </c>
      <c r="E41" s="67">
        <v>53057</v>
      </c>
      <c r="F41" s="67">
        <v>51320</v>
      </c>
      <c r="G41" s="67">
        <v>50137</v>
      </c>
      <c r="H41" s="67">
        <v>48348</v>
      </c>
      <c r="I41" s="67">
        <v>47864</v>
      </c>
      <c r="J41" s="67">
        <v>37416</v>
      </c>
      <c r="K41" s="67">
        <v>30390</v>
      </c>
      <c r="L41" s="67">
        <v>27135</v>
      </c>
      <c r="M41" s="67">
        <v>26021</v>
      </c>
      <c r="N41" s="67">
        <v>24989</v>
      </c>
      <c r="O41" s="67">
        <v>26265</v>
      </c>
      <c r="P41" s="67">
        <v>31796</v>
      </c>
      <c r="Q41" s="67">
        <v>41189</v>
      </c>
      <c r="R41" s="67">
        <v>49508</v>
      </c>
      <c r="S41" s="67">
        <v>53730</v>
      </c>
      <c r="T41" s="67">
        <v>60114</v>
      </c>
      <c r="U41" s="67">
        <v>65465</v>
      </c>
      <c r="V41" s="67">
        <v>66990</v>
      </c>
      <c r="W41" s="67">
        <v>67864</v>
      </c>
      <c r="X41" s="67">
        <v>68232</v>
      </c>
      <c r="Y41" s="67">
        <v>65879</v>
      </c>
      <c r="Z41" s="67">
        <v>61738</v>
      </c>
      <c r="AA41" s="67">
        <f t="shared" si="0"/>
        <v>1168737</v>
      </c>
      <c r="AB41" s="68">
        <v>5</v>
      </c>
      <c r="AC41" s="67">
        <f t="shared" si="1"/>
        <v>5843685</v>
      </c>
      <c r="AD41" s="129"/>
    </row>
    <row r="42" spans="1:30" x14ac:dyDescent="0.35">
      <c r="A42" s="127"/>
      <c r="B42" s="70" t="s">
        <v>43</v>
      </c>
      <c r="C42" s="67">
        <v>0</v>
      </c>
      <c r="D42" s="67">
        <v>0</v>
      </c>
      <c r="E42" s="67">
        <v>0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>
        <v>0</v>
      </c>
      <c r="O42" s="67">
        <v>0</v>
      </c>
      <c r="P42" s="67">
        <v>0</v>
      </c>
      <c r="Q42" s="67">
        <v>0</v>
      </c>
      <c r="R42" s="67">
        <v>0</v>
      </c>
      <c r="S42" s="67">
        <v>0</v>
      </c>
      <c r="T42" s="67">
        <v>0</v>
      </c>
      <c r="U42" s="67">
        <v>0</v>
      </c>
      <c r="V42" s="67">
        <v>0</v>
      </c>
      <c r="W42" s="67">
        <v>0</v>
      </c>
      <c r="X42" s="67">
        <v>0</v>
      </c>
      <c r="Y42" s="67">
        <v>0</v>
      </c>
      <c r="Z42" s="67">
        <v>0</v>
      </c>
      <c r="AA42" s="67">
        <f t="shared" si="0"/>
        <v>0</v>
      </c>
      <c r="AB42" s="68">
        <v>0</v>
      </c>
      <c r="AC42" s="67">
        <f t="shared" si="1"/>
        <v>0</v>
      </c>
      <c r="AD42" s="130"/>
    </row>
    <row r="43" spans="1:30" x14ac:dyDescent="0.35">
      <c r="A43" s="125">
        <v>47392</v>
      </c>
      <c r="B43" s="66" t="s">
        <v>40</v>
      </c>
      <c r="C43" s="67">
        <v>54453</v>
      </c>
      <c r="D43" s="67">
        <v>51553</v>
      </c>
      <c r="E43" s="67">
        <v>49472</v>
      </c>
      <c r="F43" s="67">
        <v>48031</v>
      </c>
      <c r="G43" s="67">
        <v>47609</v>
      </c>
      <c r="H43" s="67">
        <v>47444</v>
      </c>
      <c r="I43" s="67">
        <v>48470</v>
      </c>
      <c r="J43" s="67">
        <v>42782</v>
      </c>
      <c r="K43" s="67">
        <v>41273</v>
      </c>
      <c r="L43" s="67">
        <v>40779</v>
      </c>
      <c r="M43" s="67">
        <v>41497</v>
      </c>
      <c r="N43" s="67">
        <v>40336</v>
      </c>
      <c r="O43" s="67">
        <v>36810</v>
      </c>
      <c r="P43" s="67">
        <v>46834</v>
      </c>
      <c r="Q43" s="67">
        <v>60234</v>
      </c>
      <c r="R43" s="67">
        <v>68013</v>
      </c>
      <c r="S43" s="67">
        <v>70569</v>
      </c>
      <c r="T43" s="67">
        <v>73989</v>
      </c>
      <c r="U43" s="67">
        <v>73974</v>
      </c>
      <c r="V43" s="67">
        <v>71721</v>
      </c>
      <c r="W43" s="67">
        <v>70460</v>
      </c>
      <c r="X43" s="67">
        <v>68774</v>
      </c>
      <c r="Y43" s="67">
        <v>65069</v>
      </c>
      <c r="Z43" s="67">
        <v>60408</v>
      </c>
      <c r="AA43" s="67">
        <f t="shared" si="0"/>
        <v>1320554</v>
      </c>
      <c r="AB43" s="68">
        <v>22</v>
      </c>
      <c r="AC43" s="67">
        <f t="shared" si="1"/>
        <v>29052188</v>
      </c>
      <c r="AD43" s="128">
        <f>+SUM(AC43:AC46)</f>
        <v>39458444</v>
      </c>
    </row>
    <row r="44" spans="1:30" x14ac:dyDescent="0.35">
      <c r="A44" s="126"/>
      <c r="B44" s="69" t="s">
        <v>41</v>
      </c>
      <c r="C44" s="67">
        <v>53292</v>
      </c>
      <c r="D44" s="67">
        <v>50417</v>
      </c>
      <c r="E44" s="67">
        <v>48400</v>
      </c>
      <c r="F44" s="67">
        <v>46790</v>
      </c>
      <c r="G44" s="67">
        <v>46129</v>
      </c>
      <c r="H44" s="67">
        <v>45176</v>
      </c>
      <c r="I44" s="67">
        <v>45873</v>
      </c>
      <c r="J44" s="67">
        <v>39246</v>
      </c>
      <c r="K44" s="67">
        <v>37676</v>
      </c>
      <c r="L44" s="67">
        <v>37129</v>
      </c>
      <c r="M44" s="67">
        <v>37348</v>
      </c>
      <c r="N44" s="67">
        <v>36145</v>
      </c>
      <c r="O44" s="67">
        <v>34889</v>
      </c>
      <c r="P44" s="67">
        <v>39421</v>
      </c>
      <c r="Q44" s="67">
        <v>48708</v>
      </c>
      <c r="R44" s="67">
        <v>55917</v>
      </c>
      <c r="S44" s="67">
        <v>59169</v>
      </c>
      <c r="T44" s="67">
        <v>65648</v>
      </c>
      <c r="U44" s="67">
        <v>68319</v>
      </c>
      <c r="V44" s="67">
        <v>66621</v>
      </c>
      <c r="W44" s="67">
        <v>64946</v>
      </c>
      <c r="X44" s="67">
        <v>63105</v>
      </c>
      <c r="Y44" s="67">
        <v>60816</v>
      </c>
      <c r="Z44" s="67">
        <v>57827</v>
      </c>
      <c r="AA44" s="67">
        <f t="shared" si="0"/>
        <v>1209007</v>
      </c>
      <c r="AB44" s="68">
        <v>4</v>
      </c>
      <c r="AC44" s="67">
        <f t="shared" si="1"/>
        <v>4836028</v>
      </c>
      <c r="AD44" s="129"/>
    </row>
    <row r="45" spans="1:30" x14ac:dyDescent="0.35">
      <c r="A45" s="126"/>
      <c r="B45" s="69" t="s">
        <v>42</v>
      </c>
      <c r="C45" s="67">
        <v>54308</v>
      </c>
      <c r="D45" s="67">
        <v>51639</v>
      </c>
      <c r="E45" s="67">
        <v>49616</v>
      </c>
      <c r="F45" s="67">
        <v>47878</v>
      </c>
      <c r="G45" s="67">
        <v>46765</v>
      </c>
      <c r="H45" s="67">
        <v>45104</v>
      </c>
      <c r="I45" s="67">
        <v>44719</v>
      </c>
      <c r="J45" s="67">
        <v>33853</v>
      </c>
      <c r="K45" s="67">
        <v>27309</v>
      </c>
      <c r="L45" s="67">
        <v>25079</v>
      </c>
      <c r="M45" s="67">
        <v>23820</v>
      </c>
      <c r="N45" s="67">
        <v>23028</v>
      </c>
      <c r="O45" s="67">
        <v>24651</v>
      </c>
      <c r="P45" s="67">
        <v>29418</v>
      </c>
      <c r="Q45" s="67">
        <v>37996</v>
      </c>
      <c r="R45" s="67">
        <v>46842</v>
      </c>
      <c r="S45" s="67">
        <v>51194</v>
      </c>
      <c r="T45" s="67">
        <v>59688</v>
      </c>
      <c r="U45" s="67">
        <v>63699</v>
      </c>
      <c r="V45" s="67">
        <v>64313</v>
      </c>
      <c r="W45" s="67">
        <v>64602</v>
      </c>
      <c r="X45" s="67">
        <v>64356</v>
      </c>
      <c r="Y45" s="67">
        <v>61864</v>
      </c>
      <c r="Z45" s="67">
        <v>58214</v>
      </c>
      <c r="AA45" s="67">
        <f t="shared" si="0"/>
        <v>1099955</v>
      </c>
      <c r="AB45" s="68">
        <v>4</v>
      </c>
      <c r="AC45" s="67">
        <f t="shared" si="1"/>
        <v>4399820</v>
      </c>
      <c r="AD45" s="129"/>
    </row>
    <row r="46" spans="1:30" x14ac:dyDescent="0.35">
      <c r="A46" s="127"/>
      <c r="B46" s="70" t="s">
        <v>43</v>
      </c>
      <c r="C46" s="67">
        <v>53623</v>
      </c>
      <c r="D46" s="67">
        <v>50884</v>
      </c>
      <c r="E46" s="67">
        <v>48928</v>
      </c>
      <c r="F46" s="67">
        <v>47482</v>
      </c>
      <c r="G46" s="67">
        <v>46802</v>
      </c>
      <c r="H46" s="67">
        <v>44837</v>
      </c>
      <c r="I46" s="67">
        <v>44558</v>
      </c>
      <c r="J46" s="67">
        <v>36141</v>
      </c>
      <c r="K46" s="67">
        <v>31481</v>
      </c>
      <c r="L46" s="67">
        <v>30483</v>
      </c>
      <c r="M46" s="67">
        <v>30065</v>
      </c>
      <c r="N46" s="67">
        <v>28162</v>
      </c>
      <c r="O46" s="67">
        <v>30028</v>
      </c>
      <c r="P46" s="67">
        <v>35514</v>
      </c>
      <c r="Q46" s="67">
        <v>45040</v>
      </c>
      <c r="R46" s="67">
        <v>52507</v>
      </c>
      <c r="S46" s="67">
        <v>56152</v>
      </c>
      <c r="T46" s="67">
        <v>63354</v>
      </c>
      <c r="U46" s="67">
        <v>67242</v>
      </c>
      <c r="V46" s="67">
        <v>68299</v>
      </c>
      <c r="W46" s="67">
        <v>68268</v>
      </c>
      <c r="X46" s="67">
        <v>67276</v>
      </c>
      <c r="Y46" s="67">
        <v>63917</v>
      </c>
      <c r="Z46" s="67">
        <v>59365</v>
      </c>
      <c r="AA46" s="67">
        <f t="shared" si="0"/>
        <v>1170408</v>
      </c>
      <c r="AB46" s="68">
        <v>1</v>
      </c>
      <c r="AC46" s="67">
        <f t="shared" si="1"/>
        <v>1170408</v>
      </c>
      <c r="AD46" s="130"/>
    </row>
    <row r="47" spans="1:30" x14ac:dyDescent="0.35">
      <c r="A47" s="119">
        <v>47423</v>
      </c>
      <c r="B47" s="71" t="s">
        <v>40</v>
      </c>
      <c r="C47" s="67">
        <v>54272</v>
      </c>
      <c r="D47" s="67">
        <v>51449</v>
      </c>
      <c r="E47" s="67">
        <v>49452</v>
      </c>
      <c r="F47" s="67">
        <v>48159</v>
      </c>
      <c r="G47" s="67">
        <v>48002</v>
      </c>
      <c r="H47" s="67">
        <v>48353</v>
      </c>
      <c r="I47" s="67">
        <v>50021</v>
      </c>
      <c r="J47" s="67">
        <v>44585</v>
      </c>
      <c r="K47" s="67">
        <v>42733</v>
      </c>
      <c r="L47" s="67">
        <v>41880</v>
      </c>
      <c r="M47" s="67">
        <v>42504</v>
      </c>
      <c r="N47" s="67">
        <v>41321</v>
      </c>
      <c r="O47" s="67">
        <v>37656</v>
      </c>
      <c r="P47" s="67">
        <v>46986</v>
      </c>
      <c r="Q47" s="67">
        <v>60218</v>
      </c>
      <c r="R47" s="67">
        <v>68814</v>
      </c>
      <c r="S47" s="67">
        <v>71753</v>
      </c>
      <c r="T47" s="67">
        <v>76262</v>
      </c>
      <c r="U47" s="67">
        <v>76070</v>
      </c>
      <c r="V47" s="67">
        <v>73402</v>
      </c>
      <c r="W47" s="67">
        <v>71766</v>
      </c>
      <c r="X47" s="67">
        <v>69306</v>
      </c>
      <c r="Y47" s="67">
        <v>65272</v>
      </c>
      <c r="Z47" s="67">
        <v>60387</v>
      </c>
      <c r="AA47" s="72">
        <f t="shared" si="0"/>
        <v>1340623</v>
      </c>
      <c r="AB47" s="73">
        <v>20</v>
      </c>
      <c r="AC47" s="72">
        <f t="shared" si="1"/>
        <v>26812460</v>
      </c>
      <c r="AD47" s="122">
        <f>+SUM(AC47:AC50)</f>
        <v>38831644</v>
      </c>
    </row>
    <row r="48" spans="1:30" x14ac:dyDescent="0.35">
      <c r="A48" s="120"/>
      <c r="B48" s="74" t="s">
        <v>41</v>
      </c>
      <c r="C48" s="67">
        <v>55309</v>
      </c>
      <c r="D48" s="67">
        <v>52452</v>
      </c>
      <c r="E48" s="67">
        <v>50408</v>
      </c>
      <c r="F48" s="67">
        <v>48790</v>
      </c>
      <c r="G48" s="67">
        <v>48178</v>
      </c>
      <c r="H48" s="67">
        <v>47436</v>
      </c>
      <c r="I48" s="67">
        <v>48391</v>
      </c>
      <c r="J48" s="67">
        <v>42464</v>
      </c>
      <c r="K48" s="67">
        <v>41038</v>
      </c>
      <c r="L48" s="67">
        <v>40882</v>
      </c>
      <c r="M48" s="67">
        <v>40648</v>
      </c>
      <c r="N48" s="67">
        <v>39275</v>
      </c>
      <c r="O48" s="67">
        <v>37443</v>
      </c>
      <c r="P48" s="67">
        <v>42026</v>
      </c>
      <c r="Q48" s="67">
        <v>51228</v>
      </c>
      <c r="R48" s="67">
        <v>58769</v>
      </c>
      <c r="S48" s="67">
        <v>62082</v>
      </c>
      <c r="T48" s="67">
        <v>69207</v>
      </c>
      <c r="U48" s="67">
        <v>71369</v>
      </c>
      <c r="V48" s="67">
        <v>69364</v>
      </c>
      <c r="W48" s="67">
        <v>67276</v>
      </c>
      <c r="X48" s="67">
        <v>64897</v>
      </c>
      <c r="Y48" s="67">
        <v>62434</v>
      </c>
      <c r="Z48" s="67">
        <v>59424</v>
      </c>
      <c r="AA48" s="72">
        <f t="shared" si="0"/>
        <v>1270790</v>
      </c>
      <c r="AB48" s="73">
        <v>4</v>
      </c>
      <c r="AC48" s="72">
        <f t="shared" si="1"/>
        <v>5083160</v>
      </c>
      <c r="AD48" s="123"/>
    </row>
    <row r="49" spans="1:30" x14ac:dyDescent="0.35">
      <c r="A49" s="120"/>
      <c r="B49" s="74" t="s">
        <v>42</v>
      </c>
      <c r="C49" s="67">
        <v>54547</v>
      </c>
      <c r="D49" s="67">
        <v>51896</v>
      </c>
      <c r="E49" s="67">
        <v>49881</v>
      </c>
      <c r="F49" s="67">
        <v>48265</v>
      </c>
      <c r="G49" s="67">
        <v>47265</v>
      </c>
      <c r="H49" s="67">
        <v>45941</v>
      </c>
      <c r="I49" s="67">
        <v>45806</v>
      </c>
      <c r="J49" s="67">
        <v>36017</v>
      </c>
      <c r="K49" s="67">
        <v>30236</v>
      </c>
      <c r="L49" s="67">
        <v>27992</v>
      </c>
      <c r="M49" s="67">
        <v>27399</v>
      </c>
      <c r="N49" s="67">
        <v>26082</v>
      </c>
      <c r="O49" s="67">
        <v>27964</v>
      </c>
      <c r="P49" s="67">
        <v>32526</v>
      </c>
      <c r="Q49" s="67">
        <v>40901</v>
      </c>
      <c r="R49" s="67">
        <v>48830</v>
      </c>
      <c r="S49" s="67">
        <v>53199</v>
      </c>
      <c r="T49" s="67">
        <v>62688</v>
      </c>
      <c r="U49" s="67">
        <v>65945</v>
      </c>
      <c r="V49" s="67">
        <v>66022</v>
      </c>
      <c r="W49" s="67">
        <v>65405</v>
      </c>
      <c r="X49" s="67">
        <v>64418</v>
      </c>
      <c r="Y49" s="67">
        <v>62076</v>
      </c>
      <c r="Z49" s="67">
        <v>58483</v>
      </c>
      <c r="AA49" s="72">
        <f t="shared" si="0"/>
        <v>1139784</v>
      </c>
      <c r="AB49" s="73">
        <v>4</v>
      </c>
      <c r="AC49" s="72">
        <f t="shared" si="1"/>
        <v>4559136</v>
      </c>
      <c r="AD49" s="123"/>
    </row>
    <row r="50" spans="1:30" x14ac:dyDescent="0.35">
      <c r="A50" s="121"/>
      <c r="B50" s="75" t="s">
        <v>43</v>
      </c>
      <c r="C50" s="67">
        <v>53122</v>
      </c>
      <c r="D50" s="67">
        <v>50322</v>
      </c>
      <c r="E50" s="67">
        <v>48475</v>
      </c>
      <c r="F50" s="67">
        <v>47142</v>
      </c>
      <c r="G50" s="67">
        <v>46608</v>
      </c>
      <c r="H50" s="67">
        <v>45506</v>
      </c>
      <c r="I50" s="67">
        <v>45451</v>
      </c>
      <c r="J50" s="67">
        <v>37142</v>
      </c>
      <c r="K50" s="67">
        <v>32433</v>
      </c>
      <c r="L50" s="67">
        <v>31549</v>
      </c>
      <c r="M50" s="67">
        <v>31734</v>
      </c>
      <c r="N50" s="67">
        <v>30924</v>
      </c>
      <c r="O50" s="67">
        <v>31667</v>
      </c>
      <c r="P50" s="67">
        <v>37469</v>
      </c>
      <c r="Q50" s="67">
        <v>46026</v>
      </c>
      <c r="R50" s="67">
        <v>53805</v>
      </c>
      <c r="S50" s="67">
        <v>57804</v>
      </c>
      <c r="T50" s="67">
        <v>66262</v>
      </c>
      <c r="U50" s="67">
        <v>69379</v>
      </c>
      <c r="V50" s="67">
        <v>69270</v>
      </c>
      <c r="W50" s="67">
        <v>68326</v>
      </c>
      <c r="X50" s="67">
        <v>66536</v>
      </c>
      <c r="Y50" s="67">
        <v>62875</v>
      </c>
      <c r="Z50" s="67">
        <v>58617</v>
      </c>
      <c r="AA50" s="72">
        <f t="shared" si="0"/>
        <v>1188444</v>
      </c>
      <c r="AB50" s="73">
        <v>2</v>
      </c>
      <c r="AC50" s="72">
        <f t="shared" si="1"/>
        <v>2376888</v>
      </c>
      <c r="AD50" s="124"/>
    </row>
    <row r="51" spans="1:30" x14ac:dyDescent="0.35">
      <c r="A51" s="119">
        <v>47453</v>
      </c>
      <c r="B51" s="71" t="s">
        <v>40</v>
      </c>
      <c r="C51" s="67">
        <v>53340</v>
      </c>
      <c r="D51" s="67">
        <v>50550</v>
      </c>
      <c r="E51" s="67">
        <v>48612</v>
      </c>
      <c r="F51" s="67">
        <v>47185</v>
      </c>
      <c r="G51" s="67">
        <v>46734</v>
      </c>
      <c r="H51" s="67">
        <v>46788</v>
      </c>
      <c r="I51" s="67">
        <v>47266</v>
      </c>
      <c r="J51" s="67">
        <v>40977</v>
      </c>
      <c r="K51" s="67">
        <v>38667</v>
      </c>
      <c r="L51" s="67">
        <v>37838</v>
      </c>
      <c r="M51" s="67">
        <v>38037</v>
      </c>
      <c r="N51" s="67">
        <v>36830</v>
      </c>
      <c r="O51" s="67">
        <v>34324</v>
      </c>
      <c r="P51" s="67">
        <v>41792</v>
      </c>
      <c r="Q51" s="67">
        <v>54200</v>
      </c>
      <c r="R51" s="67">
        <v>62696</v>
      </c>
      <c r="S51" s="67">
        <v>66304</v>
      </c>
      <c r="T51" s="67">
        <v>70837</v>
      </c>
      <c r="U51" s="67">
        <v>72843</v>
      </c>
      <c r="V51" s="67">
        <v>70467</v>
      </c>
      <c r="W51" s="67">
        <v>68279</v>
      </c>
      <c r="X51" s="67">
        <v>66280</v>
      </c>
      <c r="Y51" s="67">
        <v>63304</v>
      </c>
      <c r="Z51" s="67">
        <v>59429</v>
      </c>
      <c r="AA51" s="72">
        <f t="shared" si="0"/>
        <v>1263579</v>
      </c>
      <c r="AB51" s="73">
        <v>20</v>
      </c>
      <c r="AC51" s="72">
        <f t="shared" si="1"/>
        <v>25271580</v>
      </c>
      <c r="AD51" s="122">
        <f>+SUM(AC51:AC54)</f>
        <v>37744620</v>
      </c>
    </row>
    <row r="52" spans="1:30" x14ac:dyDescent="0.35">
      <c r="A52" s="120"/>
      <c r="B52" s="74" t="s">
        <v>41</v>
      </c>
      <c r="C52" s="67">
        <v>54424</v>
      </c>
      <c r="D52" s="67">
        <v>51472</v>
      </c>
      <c r="E52" s="67">
        <v>49281</v>
      </c>
      <c r="F52" s="67">
        <v>47677</v>
      </c>
      <c r="G52" s="67">
        <v>46939</v>
      </c>
      <c r="H52" s="67">
        <v>46702</v>
      </c>
      <c r="I52" s="67">
        <v>46775</v>
      </c>
      <c r="J52" s="67">
        <v>39392</v>
      </c>
      <c r="K52" s="67">
        <v>36710</v>
      </c>
      <c r="L52" s="67">
        <v>35623</v>
      </c>
      <c r="M52" s="67">
        <v>35578</v>
      </c>
      <c r="N52" s="67">
        <v>34249</v>
      </c>
      <c r="O52" s="67">
        <v>33821</v>
      </c>
      <c r="P52" s="67">
        <v>38768</v>
      </c>
      <c r="Q52" s="67">
        <v>48011</v>
      </c>
      <c r="R52" s="67">
        <v>55788</v>
      </c>
      <c r="S52" s="67">
        <v>59328</v>
      </c>
      <c r="T52" s="67">
        <v>66772</v>
      </c>
      <c r="U52" s="67">
        <v>70881</v>
      </c>
      <c r="V52" s="67">
        <v>69458</v>
      </c>
      <c r="W52" s="67">
        <v>66764</v>
      </c>
      <c r="X52" s="67">
        <v>64344</v>
      </c>
      <c r="Y52" s="67">
        <v>61965</v>
      </c>
      <c r="Z52" s="67">
        <v>59176</v>
      </c>
      <c r="AA52" s="72">
        <f t="shared" si="0"/>
        <v>1219898</v>
      </c>
      <c r="AB52" s="73">
        <v>4</v>
      </c>
      <c r="AC52" s="72">
        <f t="shared" si="1"/>
        <v>4879592</v>
      </c>
      <c r="AD52" s="123"/>
    </row>
    <row r="53" spans="1:30" x14ac:dyDescent="0.35">
      <c r="A53" s="120"/>
      <c r="B53" s="74" t="s">
        <v>42</v>
      </c>
      <c r="C53" s="67">
        <v>55035</v>
      </c>
      <c r="D53" s="67">
        <v>52236</v>
      </c>
      <c r="E53" s="67">
        <v>50083</v>
      </c>
      <c r="F53" s="67">
        <v>48460</v>
      </c>
      <c r="G53" s="67">
        <v>47432</v>
      </c>
      <c r="H53" s="67">
        <v>45573</v>
      </c>
      <c r="I53" s="67">
        <v>44740</v>
      </c>
      <c r="J53" s="67">
        <v>34572</v>
      </c>
      <c r="K53" s="67">
        <v>28626</v>
      </c>
      <c r="L53" s="67">
        <v>26605</v>
      </c>
      <c r="M53" s="67">
        <v>25656</v>
      </c>
      <c r="N53" s="67">
        <v>24521</v>
      </c>
      <c r="O53" s="67">
        <v>26168</v>
      </c>
      <c r="P53" s="67">
        <v>30951</v>
      </c>
      <c r="Q53" s="67">
        <v>39674</v>
      </c>
      <c r="R53" s="67">
        <v>48688</v>
      </c>
      <c r="S53" s="67">
        <v>53141</v>
      </c>
      <c r="T53" s="67">
        <v>62052</v>
      </c>
      <c r="U53" s="67">
        <v>67152</v>
      </c>
      <c r="V53" s="67">
        <v>66668</v>
      </c>
      <c r="W53" s="67">
        <v>65093</v>
      </c>
      <c r="X53" s="67">
        <v>63198</v>
      </c>
      <c r="Y53" s="67">
        <v>60416</v>
      </c>
      <c r="Z53" s="67">
        <v>57210</v>
      </c>
      <c r="AA53" s="72">
        <f t="shared" si="0"/>
        <v>1123950</v>
      </c>
      <c r="AB53" s="73">
        <v>5</v>
      </c>
      <c r="AC53" s="72">
        <f t="shared" si="1"/>
        <v>5619750</v>
      </c>
      <c r="AD53" s="123"/>
    </row>
    <row r="54" spans="1:30" x14ac:dyDescent="0.35">
      <c r="A54" s="121"/>
      <c r="B54" s="75" t="s">
        <v>43</v>
      </c>
      <c r="C54" s="67">
        <v>47436</v>
      </c>
      <c r="D54" s="67">
        <v>45973</v>
      </c>
      <c r="E54" s="67">
        <v>44792</v>
      </c>
      <c r="F54" s="67">
        <v>43636</v>
      </c>
      <c r="G54" s="67">
        <v>42858</v>
      </c>
      <c r="H54" s="67">
        <v>42013</v>
      </c>
      <c r="I54" s="67">
        <v>40781</v>
      </c>
      <c r="J54" s="67">
        <v>30459</v>
      </c>
      <c r="K54" s="67">
        <v>23835</v>
      </c>
      <c r="L54" s="67">
        <v>21365</v>
      </c>
      <c r="M54" s="67">
        <v>20147</v>
      </c>
      <c r="N54" s="67">
        <v>18511</v>
      </c>
      <c r="O54" s="67">
        <v>20078</v>
      </c>
      <c r="P54" s="67">
        <v>25072</v>
      </c>
      <c r="Q54" s="67">
        <v>33206</v>
      </c>
      <c r="R54" s="67">
        <v>41291</v>
      </c>
      <c r="S54" s="67">
        <v>45906</v>
      </c>
      <c r="T54" s="67">
        <v>54450</v>
      </c>
      <c r="U54" s="67">
        <v>59563</v>
      </c>
      <c r="V54" s="67">
        <v>60064</v>
      </c>
      <c r="W54" s="67">
        <v>59051</v>
      </c>
      <c r="X54" s="67">
        <v>57922</v>
      </c>
      <c r="Y54" s="67">
        <v>55793</v>
      </c>
      <c r="Z54" s="67">
        <v>52647</v>
      </c>
      <c r="AA54" s="72">
        <f t="shared" si="0"/>
        <v>986849</v>
      </c>
      <c r="AB54" s="73">
        <v>2</v>
      </c>
      <c r="AC54" s="72">
        <f t="shared" si="1"/>
        <v>1973698</v>
      </c>
      <c r="AD54" s="124"/>
    </row>
    <row r="55" spans="1:30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76">
        <f>+SUM(AD7:AD54)</f>
        <v>449999891</v>
      </c>
    </row>
    <row r="58" spans="1:30" x14ac:dyDescent="0.35"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</sheetData>
  <mergeCells count="28">
    <mergeCell ref="AD7:AD10"/>
    <mergeCell ref="A1:D1"/>
    <mergeCell ref="A2:M2"/>
    <mergeCell ref="A4:B4"/>
    <mergeCell ref="C4:D4"/>
    <mergeCell ref="A7:A10"/>
    <mergeCell ref="A11:A14"/>
    <mergeCell ref="AD11:AD14"/>
    <mergeCell ref="A15:A18"/>
    <mergeCell ref="AD15:AD18"/>
    <mergeCell ref="A19:A22"/>
    <mergeCell ref="AD19:AD22"/>
    <mergeCell ref="A23:A26"/>
    <mergeCell ref="AD23:AD26"/>
    <mergeCell ref="A27:A30"/>
    <mergeCell ref="AD27:AD30"/>
    <mergeCell ref="A31:A34"/>
    <mergeCell ref="AD31:AD34"/>
    <mergeCell ref="A47:A50"/>
    <mergeCell ref="AD47:AD50"/>
    <mergeCell ref="A51:A54"/>
    <mergeCell ref="AD51:AD54"/>
    <mergeCell ref="A35:A38"/>
    <mergeCell ref="AD35:AD38"/>
    <mergeCell ref="A39:A42"/>
    <mergeCell ref="AD39:AD42"/>
    <mergeCell ref="A43:A46"/>
    <mergeCell ref="AD43:AD4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B0B0B-6992-4992-A0A9-779FD48F7189}">
  <dimension ref="A1:I206"/>
  <sheetViews>
    <sheetView showGridLines="0" zoomScale="55" zoomScaleNormal="55" workbookViewId="0">
      <selection sqref="A1:F1"/>
    </sheetView>
  </sheetViews>
  <sheetFormatPr baseColWidth="10" defaultRowHeight="14.5" x14ac:dyDescent="0.35"/>
  <cols>
    <col min="2" max="2" width="19.26953125" bestFit="1" customWidth="1"/>
    <col min="3" max="5" width="19.26953125" customWidth="1"/>
    <col min="6" max="6" width="13.453125" bestFit="1" customWidth="1"/>
    <col min="7" max="7" width="12.54296875" customWidth="1"/>
  </cols>
  <sheetData>
    <row r="1" spans="1:9" x14ac:dyDescent="0.35">
      <c r="A1" s="139" t="s">
        <v>44</v>
      </c>
      <c r="B1" s="139"/>
      <c r="C1" s="139"/>
      <c r="D1" s="139"/>
      <c r="E1" s="139"/>
      <c r="F1" s="139"/>
    </row>
    <row r="2" spans="1:9" x14ac:dyDescent="0.35">
      <c r="A2" s="90"/>
      <c r="B2" s="90"/>
      <c r="C2" s="90"/>
      <c r="D2" s="90"/>
      <c r="E2" s="90"/>
      <c r="F2" s="90"/>
    </row>
    <row r="3" spans="1:9" ht="24.5" customHeight="1" thickBot="1" x14ac:dyDescent="0.4">
      <c r="A3" s="141" t="s">
        <v>50</v>
      </c>
      <c r="B3" s="142"/>
      <c r="C3" s="142"/>
      <c r="D3" s="142"/>
      <c r="E3" s="142"/>
      <c r="F3" s="142"/>
    </row>
    <row r="4" spans="1:9" ht="21.5" thickBot="1" x14ac:dyDescent="0.4">
      <c r="A4" s="44" t="s">
        <v>45</v>
      </c>
      <c r="B4" s="44" t="s">
        <v>46</v>
      </c>
      <c r="C4" s="44" t="s">
        <v>47</v>
      </c>
      <c r="D4" s="28" t="s">
        <v>3</v>
      </c>
      <c r="E4" s="44" t="s">
        <v>4</v>
      </c>
      <c r="F4" s="44" t="s">
        <v>48</v>
      </c>
    </row>
    <row r="5" spans="1:9" x14ac:dyDescent="0.35">
      <c r="A5" s="49">
        <v>2026</v>
      </c>
      <c r="B5" s="50">
        <v>365</v>
      </c>
      <c r="C5" s="77">
        <f>C27</f>
        <v>49999890</v>
      </c>
      <c r="D5" s="143" t="s">
        <v>3</v>
      </c>
      <c r="E5" s="87"/>
      <c r="F5" s="55" t="s">
        <v>6</v>
      </c>
      <c r="I5" s="24">
        <f>C5/1000000</f>
        <v>49.999890000000001</v>
      </c>
    </row>
    <row r="6" spans="1:9" x14ac:dyDescent="0.35">
      <c r="A6" s="51">
        <v>2027</v>
      </c>
      <c r="B6" s="35">
        <v>365</v>
      </c>
      <c r="C6" s="78">
        <f>C39</f>
        <v>49999890</v>
      </c>
      <c r="D6" s="144"/>
      <c r="E6" s="87"/>
      <c r="F6" s="56" t="s">
        <v>6</v>
      </c>
      <c r="I6" s="24">
        <f t="shared" ref="I6:I15" si="0">C6/1000000</f>
        <v>49.999890000000001</v>
      </c>
    </row>
    <row r="7" spans="1:9" x14ac:dyDescent="0.35">
      <c r="A7" s="51">
        <v>2028</v>
      </c>
      <c r="B7" s="35">
        <v>366</v>
      </c>
      <c r="C7" s="78">
        <f>C51</f>
        <v>49999626</v>
      </c>
      <c r="D7" s="144"/>
      <c r="E7" s="87"/>
      <c r="F7" s="56" t="s">
        <v>6</v>
      </c>
      <c r="I7" s="24">
        <f t="shared" si="0"/>
        <v>49.999625999999999</v>
      </c>
    </row>
    <row r="8" spans="1:9" x14ac:dyDescent="0.35">
      <c r="A8" s="51">
        <v>2029</v>
      </c>
      <c r="B8" s="35">
        <v>365</v>
      </c>
      <c r="C8" s="78">
        <f>C63</f>
        <v>49999890</v>
      </c>
      <c r="D8" s="144"/>
      <c r="E8" s="87"/>
      <c r="F8" s="56" t="s">
        <v>6</v>
      </c>
      <c r="I8" s="24">
        <f t="shared" si="0"/>
        <v>49.999890000000001</v>
      </c>
    </row>
    <row r="9" spans="1:9" x14ac:dyDescent="0.35">
      <c r="A9" s="51">
        <v>2030</v>
      </c>
      <c r="B9" s="35">
        <v>365</v>
      </c>
      <c r="C9" s="78">
        <f>C75</f>
        <v>49999890</v>
      </c>
      <c r="D9" s="144"/>
      <c r="E9" s="87"/>
      <c r="F9" s="56" t="s">
        <v>6</v>
      </c>
      <c r="I9" s="24">
        <f t="shared" si="0"/>
        <v>49.999890000000001</v>
      </c>
    </row>
    <row r="10" spans="1:9" x14ac:dyDescent="0.35">
      <c r="A10" s="51">
        <v>2031</v>
      </c>
      <c r="B10" s="35">
        <v>365</v>
      </c>
      <c r="C10" s="78">
        <f>C87</f>
        <v>49999890</v>
      </c>
      <c r="D10" s="144"/>
      <c r="E10" s="87"/>
      <c r="F10" s="56" t="s">
        <v>6</v>
      </c>
      <c r="I10" s="24">
        <f t="shared" si="0"/>
        <v>49.999890000000001</v>
      </c>
    </row>
    <row r="11" spans="1:9" x14ac:dyDescent="0.35">
      <c r="A11" s="51">
        <v>2032</v>
      </c>
      <c r="B11" s="35">
        <v>366</v>
      </c>
      <c r="C11" s="78">
        <f>C99</f>
        <v>49999626</v>
      </c>
      <c r="D11" s="144"/>
      <c r="E11" s="87"/>
      <c r="F11" s="56" t="s">
        <v>6</v>
      </c>
      <c r="I11" s="24">
        <f t="shared" si="0"/>
        <v>49.999625999999999</v>
      </c>
    </row>
    <row r="12" spans="1:9" x14ac:dyDescent="0.35">
      <c r="A12" s="51">
        <v>2033</v>
      </c>
      <c r="B12" s="35">
        <v>365</v>
      </c>
      <c r="C12" s="78">
        <f>C111</f>
        <v>49999890</v>
      </c>
      <c r="D12" s="144"/>
      <c r="E12" s="87"/>
      <c r="F12" s="56" t="s">
        <v>6</v>
      </c>
      <c r="I12" s="24">
        <f t="shared" si="0"/>
        <v>49.999890000000001</v>
      </c>
    </row>
    <row r="13" spans="1:9" x14ac:dyDescent="0.35">
      <c r="A13" s="51">
        <v>2034</v>
      </c>
      <c r="B13" s="35">
        <v>365</v>
      </c>
      <c r="C13" s="78">
        <f>C123</f>
        <v>49999890</v>
      </c>
      <c r="D13" s="144"/>
      <c r="E13" s="87"/>
      <c r="F13" s="56" t="s">
        <v>6</v>
      </c>
      <c r="I13" s="24">
        <f t="shared" si="0"/>
        <v>49.999890000000001</v>
      </c>
    </row>
    <row r="14" spans="1:9" x14ac:dyDescent="0.35">
      <c r="A14" s="51">
        <v>2035</v>
      </c>
      <c r="B14" s="35">
        <v>365</v>
      </c>
      <c r="C14" s="78">
        <f>C135</f>
        <v>49999890</v>
      </c>
      <c r="D14" s="144"/>
      <c r="E14" s="87"/>
      <c r="F14" s="56" t="s">
        <v>6</v>
      </c>
      <c r="I14" s="24">
        <f t="shared" si="0"/>
        <v>49.999890000000001</v>
      </c>
    </row>
    <row r="15" spans="1:9" x14ac:dyDescent="0.35">
      <c r="A15" s="51">
        <v>2036</v>
      </c>
      <c r="B15" s="35">
        <v>366</v>
      </c>
      <c r="C15" s="78">
        <f>C147</f>
        <v>49999626</v>
      </c>
      <c r="D15" s="144"/>
      <c r="E15" s="87"/>
      <c r="F15" s="56" t="s">
        <v>6</v>
      </c>
      <c r="I15" s="24">
        <f t="shared" si="0"/>
        <v>49.999625999999999</v>
      </c>
    </row>
    <row r="16" spans="1:9" x14ac:dyDescent="0.35">
      <c r="A16" s="51">
        <v>2037</v>
      </c>
      <c r="B16" s="35">
        <v>365</v>
      </c>
      <c r="C16" s="88">
        <f>C159</f>
        <v>49999890</v>
      </c>
      <c r="D16" s="144"/>
      <c r="E16" s="87"/>
      <c r="F16" s="56" t="s">
        <v>6</v>
      </c>
      <c r="I16" s="24">
        <f>C15/1000000</f>
        <v>49.999625999999999</v>
      </c>
    </row>
    <row r="17" spans="1:9" x14ac:dyDescent="0.35">
      <c r="A17" s="51">
        <v>2038</v>
      </c>
      <c r="B17" s="35">
        <v>365</v>
      </c>
      <c r="C17" s="78">
        <f>C171</f>
        <v>49999890</v>
      </c>
      <c r="D17" s="144"/>
      <c r="E17" s="87"/>
      <c r="F17" s="56" t="s">
        <v>6</v>
      </c>
      <c r="I17" s="24">
        <f>C17/1000000</f>
        <v>49.999890000000001</v>
      </c>
    </row>
    <row r="18" spans="1:9" x14ac:dyDescent="0.35">
      <c r="A18" s="51">
        <v>2039</v>
      </c>
      <c r="B18" s="35">
        <v>365</v>
      </c>
      <c r="C18" s="78">
        <f>C183</f>
        <v>49999890</v>
      </c>
      <c r="D18" s="144"/>
      <c r="E18" s="87"/>
      <c r="F18" s="56" t="s">
        <v>6</v>
      </c>
      <c r="I18" s="24">
        <f>C18/1000000</f>
        <v>49.999890000000001</v>
      </c>
    </row>
    <row r="19" spans="1:9" ht="15" thickBot="1" x14ac:dyDescent="0.4">
      <c r="A19" s="52">
        <v>2040</v>
      </c>
      <c r="B19" s="53">
        <v>366</v>
      </c>
      <c r="C19" s="79">
        <f>C195</f>
        <v>49999626</v>
      </c>
      <c r="D19" s="145"/>
      <c r="E19" s="86"/>
      <c r="F19" s="57" t="s">
        <v>6</v>
      </c>
    </row>
    <row r="20" spans="1:9" ht="15" thickBot="1" x14ac:dyDescent="0.4">
      <c r="C20" s="54">
        <f>SUM(C5:C19)</f>
        <v>749997294</v>
      </c>
      <c r="D20" s="89"/>
      <c r="E20" s="89"/>
      <c r="F20" s="12"/>
    </row>
    <row r="22" spans="1:9" ht="14.5" customHeight="1" x14ac:dyDescent="0.35">
      <c r="A22" s="148" t="s">
        <v>44</v>
      </c>
      <c r="B22" s="148"/>
      <c r="C22" s="148"/>
      <c r="D22" s="148"/>
      <c r="E22" s="148"/>
      <c r="F22" s="148"/>
      <c r="G22" s="29"/>
    </row>
    <row r="23" spans="1:9" x14ac:dyDescent="0.35">
      <c r="A23" s="148"/>
      <c r="B23" s="148"/>
      <c r="C23" s="148"/>
      <c r="D23" s="148"/>
      <c r="E23" s="148"/>
      <c r="F23" s="148"/>
      <c r="G23" s="29"/>
    </row>
    <row r="24" spans="1:9" ht="15" thickBot="1" x14ac:dyDescent="0.4">
      <c r="B24" s="12"/>
      <c r="C24" s="12"/>
      <c r="D24" s="12"/>
      <c r="E24" s="12"/>
      <c r="G24" s="6"/>
    </row>
    <row r="25" spans="1:9" ht="15" thickBot="1" x14ac:dyDescent="0.4">
      <c r="A25" s="146" t="s">
        <v>50</v>
      </c>
      <c r="B25" s="147"/>
      <c r="C25" s="147"/>
      <c r="D25" s="147"/>
      <c r="E25" s="147"/>
      <c r="F25" s="147"/>
      <c r="G25" s="6"/>
    </row>
    <row r="26" spans="1:9" ht="21.5" thickBot="1" x14ac:dyDescent="0.4">
      <c r="A26" s="28" t="s">
        <v>1</v>
      </c>
      <c r="B26" s="28" t="s">
        <v>2</v>
      </c>
      <c r="C26" s="28" t="s">
        <v>49</v>
      </c>
      <c r="D26" s="28" t="s">
        <v>3</v>
      </c>
      <c r="E26" s="44" t="s">
        <v>9</v>
      </c>
      <c r="F26" s="28" t="s">
        <v>5</v>
      </c>
    </row>
    <row r="27" spans="1:9" x14ac:dyDescent="0.35">
      <c r="A27" s="59">
        <v>46023</v>
      </c>
      <c r="B27" s="60">
        <f>+VLOOKUP(A27,'CURVA P4'!$A$4:$QX$55,30,FALSE)</f>
        <v>4246566</v>
      </c>
      <c r="C27" s="140">
        <f>SUM(B27:B38)</f>
        <v>49999890</v>
      </c>
      <c r="D27" s="140" t="s">
        <v>3</v>
      </c>
      <c r="E27" s="85"/>
      <c r="F27" s="136" t="s">
        <v>6</v>
      </c>
    </row>
    <row r="28" spans="1:9" x14ac:dyDescent="0.35">
      <c r="A28" s="1">
        <v>46054</v>
      </c>
      <c r="B28" s="8">
        <f>+VLOOKUP(A28,'CURVA P4'!$A$4:$QX$55,30,FALSE)</f>
        <v>3835608</v>
      </c>
      <c r="C28" s="93"/>
      <c r="D28" s="149"/>
      <c r="E28" s="83"/>
      <c r="F28" s="137"/>
    </row>
    <row r="29" spans="1:9" x14ac:dyDescent="0.35">
      <c r="A29" s="1">
        <v>46082</v>
      </c>
      <c r="B29" s="8">
        <f>+VLOOKUP(A29,'CURVA P4'!$A$4:$QX$55,30,FALSE)</f>
        <v>4246566</v>
      </c>
      <c r="C29" s="93"/>
      <c r="D29" s="149"/>
      <c r="E29" s="83"/>
      <c r="F29" s="137"/>
    </row>
    <row r="30" spans="1:9" x14ac:dyDescent="0.35">
      <c r="A30" s="1">
        <v>46113</v>
      </c>
      <c r="B30" s="8">
        <f>+VLOOKUP(A30,'CURVA P4'!$A$4:$QX$55,30,FALSE)</f>
        <v>4109580</v>
      </c>
      <c r="C30" s="93"/>
      <c r="D30" s="149"/>
      <c r="E30" s="83"/>
      <c r="F30" s="137"/>
    </row>
    <row r="31" spans="1:9" x14ac:dyDescent="0.35">
      <c r="A31" s="1">
        <v>46143</v>
      </c>
      <c r="B31" s="8">
        <f>+VLOOKUP(A31,'CURVA P4'!$A$4:$QX$55,30,FALSE)</f>
        <v>4246566</v>
      </c>
      <c r="C31" s="93"/>
      <c r="D31" s="149"/>
      <c r="E31" s="83"/>
      <c r="F31" s="137"/>
    </row>
    <row r="32" spans="1:9" x14ac:dyDescent="0.35">
      <c r="A32" s="1">
        <v>46174</v>
      </c>
      <c r="B32" s="8">
        <f>+VLOOKUP(A32,'CURVA P4'!$A$4:$QX$55,30,FALSE)</f>
        <v>4109580</v>
      </c>
      <c r="C32" s="93"/>
      <c r="D32" s="149"/>
      <c r="E32" s="83"/>
      <c r="F32" s="137"/>
    </row>
    <row r="33" spans="1:6" x14ac:dyDescent="0.35">
      <c r="A33" s="1">
        <v>46204</v>
      </c>
      <c r="B33" s="8">
        <f>+VLOOKUP(A33,'CURVA P4'!$A$4:$QX$55,30,FALSE)</f>
        <v>4246566</v>
      </c>
      <c r="C33" s="93"/>
      <c r="D33" s="149"/>
      <c r="E33" s="83"/>
      <c r="F33" s="137"/>
    </row>
    <row r="34" spans="1:6" x14ac:dyDescent="0.35">
      <c r="A34" s="1">
        <v>46235</v>
      </c>
      <c r="B34" s="8">
        <f>+VLOOKUP(A34,'CURVA P4'!$A$4:$QX$55,30,FALSE)</f>
        <v>4246566</v>
      </c>
      <c r="C34" s="93"/>
      <c r="D34" s="149"/>
      <c r="E34" s="83"/>
      <c r="F34" s="137"/>
    </row>
    <row r="35" spans="1:6" x14ac:dyDescent="0.35">
      <c r="A35" s="1">
        <v>46266</v>
      </c>
      <c r="B35" s="8">
        <f>+VLOOKUP(A35,'CURVA P4'!$A$4:$QX$55,30,FALSE)</f>
        <v>4109580</v>
      </c>
      <c r="C35" s="93"/>
      <c r="D35" s="149"/>
      <c r="E35" s="83"/>
      <c r="F35" s="137"/>
    </row>
    <row r="36" spans="1:6" x14ac:dyDescent="0.35">
      <c r="A36" s="1">
        <v>46296</v>
      </c>
      <c r="B36" s="8">
        <f>+VLOOKUP(A36,'CURVA P4'!$A$4:$QX$55,30,FALSE)</f>
        <v>4246566</v>
      </c>
      <c r="C36" s="93"/>
      <c r="D36" s="149"/>
      <c r="E36" s="83"/>
      <c r="F36" s="137"/>
    </row>
    <row r="37" spans="1:6" x14ac:dyDescent="0.35">
      <c r="A37" s="1">
        <v>46327</v>
      </c>
      <c r="B37" s="8">
        <f>+VLOOKUP(A37,'CURVA P4'!$A$4:$QX$55,30,FALSE)</f>
        <v>4109580</v>
      </c>
      <c r="C37" s="93"/>
      <c r="D37" s="149"/>
      <c r="E37" s="83"/>
      <c r="F37" s="137"/>
    </row>
    <row r="38" spans="1:6" ht="15" thickBot="1" x14ac:dyDescent="0.4">
      <c r="A38" s="3">
        <v>46357</v>
      </c>
      <c r="B38" s="58">
        <f>+VLOOKUP(A38,'CURVA P4'!$A$4:$QX$55,30,FALSE)</f>
        <v>4246566</v>
      </c>
      <c r="C38" s="94"/>
      <c r="D38" s="149"/>
      <c r="E38" s="84"/>
      <c r="F38" s="138"/>
    </row>
    <row r="39" spans="1:6" x14ac:dyDescent="0.35">
      <c r="A39" s="59">
        <v>46388</v>
      </c>
      <c r="B39" s="60">
        <f>+VLOOKUP(A39,'CURVA P4'!$AF$4:$QX$55,30,FALSE)</f>
        <v>4246566</v>
      </c>
      <c r="C39" s="140">
        <f>SUM(B39:B50)</f>
        <v>49999890</v>
      </c>
      <c r="D39" s="149"/>
      <c r="E39" s="85"/>
      <c r="F39" s="136" t="s">
        <v>6</v>
      </c>
    </row>
    <row r="40" spans="1:6" x14ac:dyDescent="0.35">
      <c r="A40" s="1">
        <v>46419</v>
      </c>
      <c r="B40" s="8">
        <f>+VLOOKUP(A40,'CURVA P4'!$AF$4:$QX$55,30,FALSE)</f>
        <v>3835608</v>
      </c>
      <c r="C40" s="93"/>
      <c r="D40" s="149"/>
      <c r="E40" s="83"/>
      <c r="F40" s="137"/>
    </row>
    <row r="41" spans="1:6" x14ac:dyDescent="0.35">
      <c r="A41" s="1">
        <v>46447</v>
      </c>
      <c r="B41" s="8">
        <f>+VLOOKUP(A41,'CURVA P4'!$AF$4:$QX$55,30,FALSE)</f>
        <v>4246566</v>
      </c>
      <c r="C41" s="93"/>
      <c r="D41" s="149"/>
      <c r="E41" s="83"/>
      <c r="F41" s="137"/>
    </row>
    <row r="42" spans="1:6" x14ac:dyDescent="0.35">
      <c r="A42" s="1">
        <v>46478</v>
      </c>
      <c r="B42" s="8">
        <f>+VLOOKUP(A42,'CURVA P4'!$AF$4:$QX$55,30,FALSE)</f>
        <v>4109580</v>
      </c>
      <c r="C42" s="93"/>
      <c r="D42" s="149"/>
      <c r="E42" s="83"/>
      <c r="F42" s="137"/>
    </row>
    <row r="43" spans="1:6" x14ac:dyDescent="0.35">
      <c r="A43" s="1">
        <v>46508</v>
      </c>
      <c r="B43" s="8">
        <f>+VLOOKUP(A43,'CURVA P4'!$AF$4:$QX$55,30,FALSE)</f>
        <v>4246566</v>
      </c>
      <c r="C43" s="93"/>
      <c r="D43" s="149"/>
      <c r="E43" s="83"/>
      <c r="F43" s="137"/>
    </row>
    <row r="44" spans="1:6" x14ac:dyDescent="0.35">
      <c r="A44" s="1">
        <v>46539</v>
      </c>
      <c r="B44" s="8">
        <f>+VLOOKUP(A44,'CURVA P4'!$AF$4:$QX$55,30,FALSE)</f>
        <v>4109580</v>
      </c>
      <c r="C44" s="93"/>
      <c r="D44" s="149"/>
      <c r="E44" s="83"/>
      <c r="F44" s="137"/>
    </row>
    <row r="45" spans="1:6" x14ac:dyDescent="0.35">
      <c r="A45" s="1">
        <v>46569</v>
      </c>
      <c r="B45" s="8">
        <f>+VLOOKUP(A45,'CURVA P4'!$AF$4:$QX$55,30,FALSE)</f>
        <v>4246566</v>
      </c>
      <c r="C45" s="93"/>
      <c r="D45" s="149"/>
      <c r="E45" s="83"/>
      <c r="F45" s="137"/>
    </row>
    <row r="46" spans="1:6" x14ac:dyDescent="0.35">
      <c r="A46" s="1">
        <v>46600</v>
      </c>
      <c r="B46" s="8">
        <f>+VLOOKUP(A46,'CURVA P4'!$AF$4:$QX$55,30,FALSE)</f>
        <v>4246566</v>
      </c>
      <c r="C46" s="93"/>
      <c r="D46" s="149"/>
      <c r="E46" s="83"/>
      <c r="F46" s="137"/>
    </row>
    <row r="47" spans="1:6" x14ac:dyDescent="0.35">
      <c r="A47" s="1">
        <v>46631</v>
      </c>
      <c r="B47" s="8">
        <f>+VLOOKUP(A47,'CURVA P4'!$AF$4:$QX$55,30,FALSE)</f>
        <v>4109580</v>
      </c>
      <c r="C47" s="93"/>
      <c r="D47" s="149"/>
      <c r="E47" s="83"/>
      <c r="F47" s="137"/>
    </row>
    <row r="48" spans="1:6" x14ac:dyDescent="0.35">
      <c r="A48" s="1">
        <v>46661</v>
      </c>
      <c r="B48" s="8">
        <f>+VLOOKUP(A48,'CURVA P4'!$AF$4:$QX$55,30,FALSE)</f>
        <v>4246566</v>
      </c>
      <c r="C48" s="93"/>
      <c r="D48" s="149"/>
      <c r="E48" s="83"/>
      <c r="F48" s="137"/>
    </row>
    <row r="49" spans="1:6" x14ac:dyDescent="0.35">
      <c r="A49" s="1">
        <v>46692</v>
      </c>
      <c r="B49" s="8">
        <f>+VLOOKUP(A49,'CURVA P4'!$AF$4:$QX$55,30,FALSE)</f>
        <v>4109580</v>
      </c>
      <c r="C49" s="93"/>
      <c r="D49" s="149"/>
      <c r="E49" s="83"/>
      <c r="F49" s="137"/>
    </row>
    <row r="50" spans="1:6" ht="15" thickBot="1" x14ac:dyDescent="0.4">
      <c r="A50" s="3">
        <v>46722</v>
      </c>
      <c r="B50" s="58">
        <f>+VLOOKUP(A50,'CURVA P4'!$AF$4:$QX$55,30,FALSE)</f>
        <v>4246566</v>
      </c>
      <c r="C50" s="94"/>
      <c r="D50" s="149"/>
      <c r="E50" s="84"/>
      <c r="F50" s="138"/>
    </row>
    <row r="51" spans="1:6" x14ac:dyDescent="0.35">
      <c r="A51" s="1">
        <v>46753</v>
      </c>
      <c r="B51" s="60">
        <f>+VLOOKUP(A51,'CURVA P4'!$BK$4:$QX$55,30,FALSE)</f>
        <v>4234941</v>
      </c>
      <c r="C51" s="140">
        <f>SUM(B51:B62)</f>
        <v>49999626</v>
      </c>
      <c r="D51" s="149"/>
      <c r="E51" s="85"/>
      <c r="F51" s="136" t="s">
        <v>6</v>
      </c>
    </row>
    <row r="52" spans="1:6" x14ac:dyDescent="0.35">
      <c r="A52" s="1">
        <v>46784</v>
      </c>
      <c r="B52" s="8">
        <f>+VLOOKUP(A52,'CURVA P4'!$BK$4:$QX$55,30,FALSE)</f>
        <v>3961719</v>
      </c>
      <c r="C52" s="93"/>
      <c r="D52" s="149"/>
      <c r="E52" s="83"/>
      <c r="F52" s="137"/>
    </row>
    <row r="53" spans="1:6" x14ac:dyDescent="0.35">
      <c r="A53" s="1">
        <v>46813</v>
      </c>
      <c r="B53" s="8">
        <f>+VLOOKUP(A53,'CURVA P4'!$BK$4:$QX$55,30,FALSE)</f>
        <v>4234941</v>
      </c>
      <c r="C53" s="93"/>
      <c r="D53" s="149"/>
      <c r="E53" s="83"/>
      <c r="F53" s="137"/>
    </row>
    <row r="54" spans="1:6" x14ac:dyDescent="0.35">
      <c r="A54" s="1">
        <v>46844</v>
      </c>
      <c r="B54" s="8">
        <f>+VLOOKUP(A54,'CURVA P4'!$BK$4:$QX$55,30,FALSE)</f>
        <v>4098330</v>
      </c>
      <c r="C54" s="93"/>
      <c r="D54" s="149"/>
      <c r="E54" s="83"/>
      <c r="F54" s="137"/>
    </row>
    <row r="55" spans="1:6" x14ac:dyDescent="0.35">
      <c r="A55" s="1">
        <v>46874</v>
      </c>
      <c r="B55" s="8">
        <f>+VLOOKUP(A55,'CURVA P4'!$BK$4:$QX$55,30,FALSE)</f>
        <v>4234941</v>
      </c>
      <c r="C55" s="93"/>
      <c r="D55" s="149"/>
      <c r="E55" s="83"/>
      <c r="F55" s="137"/>
    </row>
    <row r="56" spans="1:6" x14ac:dyDescent="0.35">
      <c r="A56" s="1">
        <v>46905</v>
      </c>
      <c r="B56" s="8">
        <f>+VLOOKUP(A56,'CURVA P4'!$BK$4:$QX$55,30,FALSE)</f>
        <v>4098330</v>
      </c>
      <c r="C56" s="93"/>
      <c r="D56" s="149"/>
      <c r="E56" s="83"/>
      <c r="F56" s="137"/>
    </row>
    <row r="57" spans="1:6" x14ac:dyDescent="0.35">
      <c r="A57" s="1">
        <v>46935</v>
      </c>
      <c r="B57" s="8">
        <f>+VLOOKUP(A57,'CURVA P4'!$BK$4:$QX$55,30,FALSE)</f>
        <v>4234941</v>
      </c>
      <c r="C57" s="93"/>
      <c r="D57" s="149"/>
      <c r="E57" s="83"/>
      <c r="F57" s="137"/>
    </row>
    <row r="58" spans="1:6" x14ac:dyDescent="0.35">
      <c r="A58" s="1">
        <v>46966</v>
      </c>
      <c r="B58" s="8">
        <f>+VLOOKUP(A58,'CURVA P4'!$BK$4:$QX$55,30,FALSE)</f>
        <v>4234941</v>
      </c>
      <c r="C58" s="93"/>
      <c r="D58" s="149"/>
      <c r="E58" s="83"/>
      <c r="F58" s="137"/>
    </row>
    <row r="59" spans="1:6" x14ac:dyDescent="0.35">
      <c r="A59" s="1">
        <v>46997</v>
      </c>
      <c r="B59" s="8">
        <f>+VLOOKUP(A59,'CURVA P4'!$BK$4:$QX$55,30,FALSE)</f>
        <v>4098330</v>
      </c>
      <c r="C59" s="93"/>
      <c r="D59" s="149"/>
      <c r="E59" s="83"/>
      <c r="F59" s="137"/>
    </row>
    <row r="60" spans="1:6" x14ac:dyDescent="0.35">
      <c r="A60" s="1">
        <v>47027</v>
      </c>
      <c r="B60" s="8">
        <f>+VLOOKUP(A60,'CURVA P4'!$BK$4:$QX$55,30,FALSE)</f>
        <v>4234941</v>
      </c>
      <c r="C60" s="93"/>
      <c r="D60" s="149"/>
      <c r="E60" s="83"/>
      <c r="F60" s="137"/>
    </row>
    <row r="61" spans="1:6" x14ac:dyDescent="0.35">
      <c r="A61" s="1">
        <v>47058</v>
      </c>
      <c r="B61" s="8">
        <f>+VLOOKUP(A61,'CURVA P4'!$BK$4:$QX$55,30,FALSE)</f>
        <v>4098330</v>
      </c>
      <c r="C61" s="93"/>
      <c r="D61" s="149"/>
      <c r="E61" s="83"/>
      <c r="F61" s="137"/>
    </row>
    <row r="62" spans="1:6" ht="15" thickBot="1" x14ac:dyDescent="0.4">
      <c r="A62" s="3">
        <v>47088</v>
      </c>
      <c r="B62" s="58">
        <f>+VLOOKUP(A62,'CURVA P4'!$BK$4:$QX$55,30,FALSE)</f>
        <v>4234941</v>
      </c>
      <c r="C62" s="94"/>
      <c r="D62" s="149"/>
      <c r="E62" s="84"/>
      <c r="F62" s="138"/>
    </row>
    <row r="63" spans="1:6" x14ac:dyDescent="0.35">
      <c r="A63" s="1">
        <v>47119</v>
      </c>
      <c r="B63" s="60">
        <f>+VLOOKUP(A63,'CURVA P4'!$CP$4:$QX$55,30,FALSE)</f>
        <v>4246566</v>
      </c>
      <c r="C63" s="140">
        <f>SUM(B63:B74)</f>
        <v>49999890</v>
      </c>
      <c r="D63" s="149"/>
      <c r="E63" s="85"/>
      <c r="F63" s="136" t="s">
        <v>6</v>
      </c>
    </row>
    <row r="64" spans="1:6" x14ac:dyDescent="0.35">
      <c r="A64" s="1">
        <v>47150</v>
      </c>
      <c r="B64" s="8">
        <f>+VLOOKUP(A64,'CURVA P4'!$CP$4:$QX$55,30,FALSE)</f>
        <v>3835608</v>
      </c>
      <c r="C64" s="93"/>
      <c r="D64" s="149"/>
      <c r="E64" s="83"/>
      <c r="F64" s="137"/>
    </row>
    <row r="65" spans="1:6" x14ac:dyDescent="0.35">
      <c r="A65" s="1">
        <v>47178</v>
      </c>
      <c r="B65" s="8">
        <f>+VLOOKUP(A65,'CURVA P4'!$CP$4:$QX$55,30,FALSE)</f>
        <v>4246566</v>
      </c>
      <c r="C65" s="93"/>
      <c r="D65" s="149"/>
      <c r="E65" s="83"/>
      <c r="F65" s="137"/>
    </row>
    <row r="66" spans="1:6" x14ac:dyDescent="0.35">
      <c r="A66" s="1">
        <v>47209</v>
      </c>
      <c r="B66" s="8">
        <f>+VLOOKUP(A66,'CURVA P4'!$CP$4:$QX$55,30,FALSE)</f>
        <v>4109580</v>
      </c>
      <c r="C66" s="93"/>
      <c r="D66" s="149"/>
      <c r="E66" s="83"/>
      <c r="F66" s="137"/>
    </row>
    <row r="67" spans="1:6" x14ac:dyDescent="0.35">
      <c r="A67" s="1">
        <v>47239</v>
      </c>
      <c r="B67" s="8">
        <f>+VLOOKUP(A67,'CURVA P4'!$CP$4:$QX$55,30,FALSE)</f>
        <v>4246566</v>
      </c>
      <c r="C67" s="93"/>
      <c r="D67" s="149"/>
      <c r="E67" s="83"/>
      <c r="F67" s="137"/>
    </row>
    <row r="68" spans="1:6" x14ac:dyDescent="0.35">
      <c r="A68" s="1">
        <v>47270</v>
      </c>
      <c r="B68" s="8">
        <f>+VLOOKUP(A68,'CURVA P4'!$CP$4:$QX$55,30,FALSE)</f>
        <v>4109580</v>
      </c>
      <c r="C68" s="93"/>
      <c r="D68" s="149"/>
      <c r="E68" s="83"/>
      <c r="F68" s="137"/>
    </row>
    <row r="69" spans="1:6" x14ac:dyDescent="0.35">
      <c r="A69" s="1">
        <v>47300</v>
      </c>
      <c r="B69" s="8">
        <f>+VLOOKUP(A69,'CURVA P4'!$CP$4:$QX$55,30,FALSE)</f>
        <v>4246566</v>
      </c>
      <c r="C69" s="93"/>
      <c r="D69" s="149"/>
      <c r="E69" s="83"/>
      <c r="F69" s="137"/>
    </row>
    <row r="70" spans="1:6" x14ac:dyDescent="0.35">
      <c r="A70" s="1">
        <v>47331</v>
      </c>
      <c r="B70" s="8">
        <f>+VLOOKUP(A70,'CURVA P4'!$CP$4:$QX$55,30,FALSE)</f>
        <v>4246566</v>
      </c>
      <c r="C70" s="93"/>
      <c r="D70" s="149"/>
      <c r="E70" s="83"/>
      <c r="F70" s="137"/>
    </row>
    <row r="71" spans="1:6" x14ac:dyDescent="0.35">
      <c r="A71" s="1">
        <v>47362</v>
      </c>
      <c r="B71" s="8">
        <f>+VLOOKUP(A71,'CURVA P4'!$CP$4:$QX$55,30,FALSE)</f>
        <v>4109580</v>
      </c>
      <c r="C71" s="93"/>
      <c r="D71" s="149"/>
      <c r="E71" s="83"/>
      <c r="F71" s="137"/>
    </row>
    <row r="72" spans="1:6" x14ac:dyDescent="0.35">
      <c r="A72" s="1">
        <v>47392</v>
      </c>
      <c r="B72" s="8">
        <f>+VLOOKUP(A72,'CURVA P4'!$CP$4:$QX$55,30,FALSE)</f>
        <v>4246566</v>
      </c>
      <c r="C72" s="93"/>
      <c r="D72" s="149"/>
      <c r="E72" s="83"/>
      <c r="F72" s="137"/>
    </row>
    <row r="73" spans="1:6" x14ac:dyDescent="0.35">
      <c r="A73" s="1">
        <v>47423</v>
      </c>
      <c r="B73" s="8">
        <f>+VLOOKUP(A73,'CURVA P4'!$CP$4:$QX$55,30,FALSE)</f>
        <v>4109580</v>
      </c>
      <c r="C73" s="93"/>
      <c r="D73" s="149"/>
      <c r="E73" s="83"/>
      <c r="F73" s="137"/>
    </row>
    <row r="74" spans="1:6" ht="15" thickBot="1" x14ac:dyDescent="0.4">
      <c r="A74" s="3">
        <v>47453</v>
      </c>
      <c r="B74" s="58">
        <f>+VLOOKUP(A74,'CURVA P4'!$CP$4:$QX$55,30,FALSE)</f>
        <v>4246566</v>
      </c>
      <c r="C74" s="94"/>
      <c r="D74" s="149"/>
      <c r="E74" s="84"/>
      <c r="F74" s="138"/>
    </row>
    <row r="75" spans="1:6" x14ac:dyDescent="0.35">
      <c r="A75" s="1">
        <v>47484</v>
      </c>
      <c r="B75" s="60">
        <f>+VLOOKUP(A75,'CURVA P4'!$DV$4:$QX$55,30,FALSE)</f>
        <v>4246566</v>
      </c>
      <c r="C75" s="140">
        <f>SUM(B75:B86)</f>
        <v>49999890</v>
      </c>
      <c r="D75" s="149"/>
      <c r="E75" s="85"/>
      <c r="F75" s="136" t="s">
        <v>6</v>
      </c>
    </row>
    <row r="76" spans="1:6" x14ac:dyDescent="0.35">
      <c r="A76" s="1">
        <v>47515</v>
      </c>
      <c r="B76" s="8">
        <f>+VLOOKUP(A76,'CURVA P4'!$DV$4:$QX$55,30,FALSE)</f>
        <v>3835608</v>
      </c>
      <c r="C76" s="93"/>
      <c r="D76" s="149"/>
      <c r="E76" s="83"/>
      <c r="F76" s="137"/>
    </row>
    <row r="77" spans="1:6" x14ac:dyDescent="0.35">
      <c r="A77" s="1">
        <v>47543</v>
      </c>
      <c r="B77" s="8">
        <f>+VLOOKUP(A77,'CURVA P4'!$DV$4:$QX$55,30,FALSE)</f>
        <v>4246566</v>
      </c>
      <c r="C77" s="93"/>
      <c r="D77" s="149"/>
      <c r="E77" s="83"/>
      <c r="F77" s="137"/>
    </row>
    <row r="78" spans="1:6" x14ac:dyDescent="0.35">
      <c r="A78" s="1">
        <v>47574</v>
      </c>
      <c r="B78" s="8">
        <f>+VLOOKUP(A78,'CURVA P4'!$DV$4:$QX$55,30,FALSE)</f>
        <v>4109580</v>
      </c>
      <c r="C78" s="93"/>
      <c r="D78" s="149"/>
      <c r="E78" s="83"/>
      <c r="F78" s="137"/>
    </row>
    <row r="79" spans="1:6" x14ac:dyDescent="0.35">
      <c r="A79" s="1">
        <v>47604</v>
      </c>
      <c r="B79" s="8">
        <f>+VLOOKUP(A79,'CURVA P4'!$DV$4:$QX$55,30,FALSE)</f>
        <v>4246566</v>
      </c>
      <c r="C79" s="93"/>
      <c r="D79" s="149"/>
      <c r="E79" s="83"/>
      <c r="F79" s="137"/>
    </row>
    <row r="80" spans="1:6" x14ac:dyDescent="0.35">
      <c r="A80" s="1">
        <v>47635</v>
      </c>
      <c r="B80" s="8">
        <f>+VLOOKUP(A80,'CURVA P4'!$DV$4:$QX$55,30,FALSE)</f>
        <v>4109580</v>
      </c>
      <c r="C80" s="93"/>
      <c r="D80" s="149"/>
      <c r="E80" s="83"/>
      <c r="F80" s="137"/>
    </row>
    <row r="81" spans="1:6" x14ac:dyDescent="0.35">
      <c r="A81" s="1">
        <v>47665</v>
      </c>
      <c r="B81" s="8">
        <f>+VLOOKUP(A81,'CURVA P4'!$DV$4:$QX$55,30,FALSE)</f>
        <v>4246566</v>
      </c>
      <c r="C81" s="93"/>
      <c r="D81" s="149"/>
      <c r="E81" s="83"/>
      <c r="F81" s="137"/>
    </row>
    <row r="82" spans="1:6" x14ac:dyDescent="0.35">
      <c r="A82" s="1">
        <v>47696</v>
      </c>
      <c r="B82" s="8">
        <f>+VLOOKUP(A82,'CURVA P4'!$DV$4:$QX$55,30,FALSE)</f>
        <v>4246566</v>
      </c>
      <c r="C82" s="93"/>
      <c r="D82" s="149"/>
      <c r="E82" s="83"/>
      <c r="F82" s="137"/>
    </row>
    <row r="83" spans="1:6" x14ac:dyDescent="0.35">
      <c r="A83" s="1">
        <v>47727</v>
      </c>
      <c r="B83" s="8">
        <f>+VLOOKUP(A83,'CURVA P4'!$DV$4:$QX$55,30,FALSE)</f>
        <v>4109580</v>
      </c>
      <c r="C83" s="93"/>
      <c r="D83" s="149"/>
      <c r="E83" s="83"/>
      <c r="F83" s="137"/>
    </row>
    <row r="84" spans="1:6" x14ac:dyDescent="0.35">
      <c r="A84" s="1">
        <v>47757</v>
      </c>
      <c r="B84" s="8">
        <f>+VLOOKUP(A84,'CURVA P4'!$DV$4:$QX$55,30,FALSE)</f>
        <v>4246566</v>
      </c>
      <c r="C84" s="93"/>
      <c r="D84" s="149"/>
      <c r="E84" s="83"/>
      <c r="F84" s="137"/>
    </row>
    <row r="85" spans="1:6" x14ac:dyDescent="0.35">
      <c r="A85" s="1">
        <v>47788</v>
      </c>
      <c r="B85" s="8">
        <f>+VLOOKUP(A85,'CURVA P4'!$DV$4:$QX$55,30,FALSE)</f>
        <v>4109580</v>
      </c>
      <c r="C85" s="93"/>
      <c r="D85" s="149"/>
      <c r="E85" s="83"/>
      <c r="F85" s="137"/>
    </row>
    <row r="86" spans="1:6" ht="15" thickBot="1" x14ac:dyDescent="0.4">
      <c r="A86" s="3">
        <v>47818</v>
      </c>
      <c r="B86" s="58">
        <f>+VLOOKUP(A86,'CURVA P4'!$DV$4:$QX$55,30,FALSE)</f>
        <v>4246566</v>
      </c>
      <c r="C86" s="94"/>
      <c r="D86" s="149"/>
      <c r="E86" s="84"/>
      <c r="F86" s="138"/>
    </row>
    <row r="87" spans="1:6" x14ac:dyDescent="0.35">
      <c r="A87" s="1">
        <v>47849</v>
      </c>
      <c r="B87" s="60">
        <f>+VLOOKUP(A87,'CURVA P4'!$FB$4:$QX$55,30,FALSE)</f>
        <v>4246566</v>
      </c>
      <c r="C87" s="140">
        <f>SUM(B87:B98)</f>
        <v>49999890</v>
      </c>
      <c r="D87" s="149"/>
      <c r="E87" s="85"/>
      <c r="F87" s="136" t="s">
        <v>6</v>
      </c>
    </row>
    <row r="88" spans="1:6" x14ac:dyDescent="0.35">
      <c r="A88" s="1">
        <v>47880</v>
      </c>
      <c r="B88" s="8">
        <f>+VLOOKUP(A88,'CURVA P4'!$FB$4:$QX$55,30,FALSE)</f>
        <v>3835608</v>
      </c>
      <c r="C88" s="93"/>
      <c r="D88" s="149"/>
      <c r="E88" s="83"/>
      <c r="F88" s="137"/>
    </row>
    <row r="89" spans="1:6" x14ac:dyDescent="0.35">
      <c r="A89" s="1">
        <v>47908</v>
      </c>
      <c r="B89" s="8">
        <f>+VLOOKUP(A89,'CURVA P4'!$FB$4:$QX$55,30,FALSE)</f>
        <v>4246566</v>
      </c>
      <c r="C89" s="93"/>
      <c r="D89" s="149"/>
      <c r="E89" s="83"/>
      <c r="F89" s="137"/>
    </row>
    <row r="90" spans="1:6" x14ac:dyDescent="0.35">
      <c r="A90" s="1">
        <v>47939</v>
      </c>
      <c r="B90" s="8">
        <f>+VLOOKUP(A90,'CURVA P4'!$FB$4:$QX$55,30,FALSE)</f>
        <v>4109580</v>
      </c>
      <c r="C90" s="93"/>
      <c r="D90" s="149"/>
      <c r="E90" s="83"/>
      <c r="F90" s="137"/>
    </row>
    <row r="91" spans="1:6" x14ac:dyDescent="0.35">
      <c r="A91" s="1">
        <v>47969</v>
      </c>
      <c r="B91" s="8">
        <f>+VLOOKUP(A91,'CURVA P4'!$FB$4:$QX$55,30,FALSE)</f>
        <v>4246566</v>
      </c>
      <c r="C91" s="93"/>
      <c r="D91" s="149"/>
      <c r="E91" s="83"/>
      <c r="F91" s="137"/>
    </row>
    <row r="92" spans="1:6" x14ac:dyDescent="0.35">
      <c r="A92" s="1">
        <v>48000</v>
      </c>
      <c r="B92" s="8">
        <f>+VLOOKUP(A92,'CURVA P4'!$FB$4:$QX$55,30,FALSE)</f>
        <v>4109580</v>
      </c>
      <c r="C92" s="93"/>
      <c r="D92" s="149"/>
      <c r="E92" s="83"/>
      <c r="F92" s="137"/>
    </row>
    <row r="93" spans="1:6" x14ac:dyDescent="0.35">
      <c r="A93" s="1">
        <v>48030</v>
      </c>
      <c r="B93" s="8">
        <f>+VLOOKUP(A93,'CURVA P4'!$FB$4:$QX$55,30,FALSE)</f>
        <v>4246566</v>
      </c>
      <c r="C93" s="93"/>
      <c r="D93" s="149"/>
      <c r="E93" s="83"/>
      <c r="F93" s="137"/>
    </row>
    <row r="94" spans="1:6" x14ac:dyDescent="0.35">
      <c r="A94" s="1">
        <v>48061</v>
      </c>
      <c r="B94" s="8">
        <f>+VLOOKUP(A94,'CURVA P4'!$FB$4:$QX$55,30,FALSE)</f>
        <v>4246566</v>
      </c>
      <c r="C94" s="93"/>
      <c r="D94" s="149"/>
      <c r="E94" s="83"/>
      <c r="F94" s="137"/>
    </row>
    <row r="95" spans="1:6" x14ac:dyDescent="0.35">
      <c r="A95" s="1">
        <v>48092</v>
      </c>
      <c r="B95" s="8">
        <f>+VLOOKUP(A95,'CURVA P4'!$FB$4:$QX$55,30,FALSE)</f>
        <v>4109580</v>
      </c>
      <c r="C95" s="93"/>
      <c r="D95" s="149"/>
      <c r="E95" s="83"/>
      <c r="F95" s="137"/>
    </row>
    <row r="96" spans="1:6" x14ac:dyDescent="0.35">
      <c r="A96" s="1">
        <v>48122</v>
      </c>
      <c r="B96" s="8">
        <f>+VLOOKUP(A96,'CURVA P4'!$FB$4:$QX$55,30,FALSE)</f>
        <v>4246566</v>
      </c>
      <c r="C96" s="93"/>
      <c r="D96" s="149"/>
      <c r="E96" s="83"/>
      <c r="F96" s="137"/>
    </row>
    <row r="97" spans="1:6" x14ac:dyDescent="0.35">
      <c r="A97" s="1">
        <v>48153</v>
      </c>
      <c r="B97" s="8">
        <f>+VLOOKUP(A97,'CURVA P4'!$FB$4:$QX$55,30,FALSE)</f>
        <v>4109580</v>
      </c>
      <c r="C97" s="93"/>
      <c r="D97" s="149"/>
      <c r="E97" s="83"/>
      <c r="F97" s="137"/>
    </row>
    <row r="98" spans="1:6" ht="15" thickBot="1" x14ac:dyDescent="0.4">
      <c r="A98" s="3">
        <v>48183</v>
      </c>
      <c r="B98" s="8">
        <f>+VLOOKUP(A98,'CURVA P4'!$FB$4:$QX$55,30,FALSE)</f>
        <v>4246566</v>
      </c>
      <c r="C98" s="94"/>
      <c r="D98" s="149"/>
      <c r="E98" s="84"/>
      <c r="F98" s="138"/>
    </row>
    <row r="99" spans="1:6" x14ac:dyDescent="0.35">
      <c r="A99" s="1">
        <v>48214</v>
      </c>
      <c r="B99" s="60">
        <f>+VLOOKUP(A99,'CURVA P4'!$GG$4:$QX$55,30,FALSE)</f>
        <v>4234941</v>
      </c>
      <c r="C99" s="140">
        <f>SUM(B99:B110)</f>
        <v>49999626</v>
      </c>
      <c r="D99" s="149"/>
      <c r="E99" s="85"/>
      <c r="F99" s="136" t="s">
        <v>6</v>
      </c>
    </row>
    <row r="100" spans="1:6" x14ac:dyDescent="0.35">
      <c r="A100" s="1">
        <v>48245</v>
      </c>
      <c r="B100" s="8">
        <f>+VLOOKUP(A100,'CURVA P4'!$GG$4:$QX$55,30,FALSE)</f>
        <v>3961719</v>
      </c>
      <c r="C100" s="93"/>
      <c r="D100" s="149"/>
      <c r="E100" s="83"/>
      <c r="F100" s="137"/>
    </row>
    <row r="101" spans="1:6" x14ac:dyDescent="0.35">
      <c r="A101" s="1">
        <v>48274</v>
      </c>
      <c r="B101" s="8">
        <f>+VLOOKUP(A101,'CURVA P4'!$GG$4:$QX$55,30,FALSE)</f>
        <v>4234941</v>
      </c>
      <c r="C101" s="93"/>
      <c r="D101" s="149"/>
      <c r="E101" s="83"/>
      <c r="F101" s="137"/>
    </row>
    <row r="102" spans="1:6" x14ac:dyDescent="0.35">
      <c r="A102" s="1">
        <v>48305</v>
      </c>
      <c r="B102" s="8">
        <f>+VLOOKUP(A102,'CURVA P4'!$GG$4:$QX$55,30,FALSE)</f>
        <v>4098330</v>
      </c>
      <c r="C102" s="93"/>
      <c r="D102" s="149"/>
      <c r="E102" s="83"/>
      <c r="F102" s="137"/>
    </row>
    <row r="103" spans="1:6" x14ac:dyDescent="0.35">
      <c r="A103" s="1">
        <v>48335</v>
      </c>
      <c r="B103" s="8">
        <f>+VLOOKUP(A103,'CURVA P4'!$GG$4:$QX$55,30,FALSE)</f>
        <v>4234941</v>
      </c>
      <c r="C103" s="93"/>
      <c r="D103" s="149"/>
      <c r="E103" s="83"/>
      <c r="F103" s="137"/>
    </row>
    <row r="104" spans="1:6" x14ac:dyDescent="0.35">
      <c r="A104" s="1">
        <v>48366</v>
      </c>
      <c r="B104" s="8">
        <f>+VLOOKUP(A104,'CURVA P4'!$GG$4:$QX$55,30,FALSE)</f>
        <v>4098330</v>
      </c>
      <c r="C104" s="93"/>
      <c r="D104" s="149"/>
      <c r="E104" s="83"/>
      <c r="F104" s="137"/>
    </row>
    <row r="105" spans="1:6" x14ac:dyDescent="0.35">
      <c r="A105" s="1">
        <v>48396</v>
      </c>
      <c r="B105" s="8">
        <f>+VLOOKUP(A105,'CURVA P4'!$GG$4:$QX$55,30,FALSE)</f>
        <v>4234941</v>
      </c>
      <c r="C105" s="93"/>
      <c r="D105" s="149"/>
      <c r="E105" s="83"/>
      <c r="F105" s="137"/>
    </row>
    <row r="106" spans="1:6" x14ac:dyDescent="0.35">
      <c r="A106" s="1">
        <v>48427</v>
      </c>
      <c r="B106" s="8">
        <f>+VLOOKUP(A106,'CURVA P4'!$GG$4:$QX$55,30,FALSE)</f>
        <v>4234941</v>
      </c>
      <c r="C106" s="93"/>
      <c r="D106" s="149"/>
      <c r="E106" s="83"/>
      <c r="F106" s="137"/>
    </row>
    <row r="107" spans="1:6" x14ac:dyDescent="0.35">
      <c r="A107" s="1">
        <v>48458</v>
      </c>
      <c r="B107" s="8">
        <f>+VLOOKUP(A107,'CURVA P4'!$GG$4:$QX$55,30,FALSE)</f>
        <v>4098330</v>
      </c>
      <c r="C107" s="93"/>
      <c r="D107" s="149"/>
      <c r="E107" s="83"/>
      <c r="F107" s="137"/>
    </row>
    <row r="108" spans="1:6" x14ac:dyDescent="0.35">
      <c r="A108" s="1">
        <v>48488</v>
      </c>
      <c r="B108" s="8">
        <f>+VLOOKUP(A108,'CURVA P4'!$GG$4:$QX$55,30,FALSE)</f>
        <v>4234941</v>
      </c>
      <c r="C108" s="93"/>
      <c r="D108" s="149"/>
      <c r="E108" s="83"/>
      <c r="F108" s="137"/>
    </row>
    <row r="109" spans="1:6" x14ac:dyDescent="0.35">
      <c r="A109" s="1">
        <v>48519</v>
      </c>
      <c r="B109" s="8">
        <f>+VLOOKUP(A109,'CURVA P4'!$GG$4:$QX$55,30,FALSE)</f>
        <v>4098330</v>
      </c>
      <c r="C109" s="93"/>
      <c r="D109" s="149"/>
      <c r="E109" s="83"/>
      <c r="F109" s="137"/>
    </row>
    <row r="110" spans="1:6" ht="15" thickBot="1" x14ac:dyDescent="0.4">
      <c r="A110" s="3">
        <v>48549</v>
      </c>
      <c r="B110" s="8">
        <f>+VLOOKUP(A110,'CURVA P4'!$GG$4:$QX$55,30,FALSE)</f>
        <v>4234941</v>
      </c>
      <c r="C110" s="94"/>
      <c r="D110" s="149"/>
      <c r="E110" s="84"/>
      <c r="F110" s="138"/>
    </row>
    <row r="111" spans="1:6" x14ac:dyDescent="0.35">
      <c r="A111" s="1">
        <v>48580</v>
      </c>
      <c r="B111" s="60">
        <f>+VLOOKUP(A111,'CURVA P4'!$HL$4:$QX$55,30,FALSE)</f>
        <v>4246566</v>
      </c>
      <c r="C111" s="140">
        <f>SUM(B111:B122)</f>
        <v>49999890</v>
      </c>
      <c r="D111" s="149"/>
      <c r="E111" s="85"/>
      <c r="F111" s="136" t="s">
        <v>6</v>
      </c>
    </row>
    <row r="112" spans="1:6" x14ac:dyDescent="0.35">
      <c r="A112" s="1">
        <v>48611</v>
      </c>
      <c r="B112" s="8">
        <f>+VLOOKUP(A112,'CURVA P4'!$HL$4:$QX$55,30,FALSE)</f>
        <v>3835608</v>
      </c>
      <c r="C112" s="93"/>
      <c r="D112" s="149"/>
      <c r="E112" s="83"/>
      <c r="F112" s="137"/>
    </row>
    <row r="113" spans="1:6" x14ac:dyDescent="0.35">
      <c r="A113" s="1">
        <v>48639</v>
      </c>
      <c r="B113" s="8">
        <f>+VLOOKUP(A113,'CURVA P4'!$HL$4:$QX$55,30,FALSE)</f>
        <v>4246566</v>
      </c>
      <c r="C113" s="93"/>
      <c r="D113" s="149"/>
      <c r="E113" s="83"/>
      <c r="F113" s="137"/>
    </row>
    <row r="114" spans="1:6" x14ac:dyDescent="0.35">
      <c r="A114" s="1">
        <v>48670</v>
      </c>
      <c r="B114" s="8">
        <f>+VLOOKUP(A114,'CURVA P4'!$HL$4:$QX$55,30,FALSE)</f>
        <v>4109580</v>
      </c>
      <c r="C114" s="93"/>
      <c r="D114" s="149"/>
      <c r="E114" s="83"/>
      <c r="F114" s="137"/>
    </row>
    <row r="115" spans="1:6" x14ac:dyDescent="0.35">
      <c r="A115" s="1">
        <v>48700</v>
      </c>
      <c r="B115" s="8">
        <f>+VLOOKUP(A115,'CURVA P4'!$HL$4:$QX$55,30,FALSE)</f>
        <v>4246566</v>
      </c>
      <c r="C115" s="93"/>
      <c r="D115" s="149"/>
      <c r="E115" s="83"/>
      <c r="F115" s="137"/>
    </row>
    <row r="116" spans="1:6" x14ac:dyDescent="0.35">
      <c r="A116" s="1">
        <v>48731</v>
      </c>
      <c r="B116" s="8">
        <f>+VLOOKUP(A116,'CURVA P4'!$HL$4:$QX$55,30,FALSE)</f>
        <v>4109580</v>
      </c>
      <c r="C116" s="93"/>
      <c r="D116" s="149"/>
      <c r="E116" s="83"/>
      <c r="F116" s="137"/>
    </row>
    <row r="117" spans="1:6" x14ac:dyDescent="0.35">
      <c r="A117" s="1">
        <v>48761</v>
      </c>
      <c r="B117" s="8">
        <f>+VLOOKUP(A117,'CURVA P4'!$HL$4:$QX$55,30,FALSE)</f>
        <v>4246566</v>
      </c>
      <c r="C117" s="93"/>
      <c r="D117" s="149"/>
      <c r="E117" s="83"/>
      <c r="F117" s="137"/>
    </row>
    <row r="118" spans="1:6" x14ac:dyDescent="0.35">
      <c r="A118" s="1">
        <v>48792</v>
      </c>
      <c r="B118" s="8">
        <f>+VLOOKUP(A118,'CURVA P4'!$HL$4:$QX$55,30,FALSE)</f>
        <v>4246566</v>
      </c>
      <c r="C118" s="93"/>
      <c r="D118" s="149"/>
      <c r="E118" s="83"/>
      <c r="F118" s="137"/>
    </row>
    <row r="119" spans="1:6" x14ac:dyDescent="0.35">
      <c r="A119" s="1">
        <v>48823</v>
      </c>
      <c r="B119" s="8">
        <f>+VLOOKUP(A119,'CURVA P4'!$HL$4:$QX$55,30,FALSE)</f>
        <v>4109580</v>
      </c>
      <c r="C119" s="93"/>
      <c r="D119" s="149"/>
      <c r="E119" s="83"/>
      <c r="F119" s="137"/>
    </row>
    <row r="120" spans="1:6" x14ac:dyDescent="0.35">
      <c r="A120" s="1">
        <v>48853</v>
      </c>
      <c r="B120" s="8">
        <f>+VLOOKUP(A120,'CURVA P4'!$HL$4:$QX$55,30,FALSE)</f>
        <v>4246566</v>
      </c>
      <c r="C120" s="93"/>
      <c r="D120" s="149"/>
      <c r="E120" s="83"/>
      <c r="F120" s="137"/>
    </row>
    <row r="121" spans="1:6" x14ac:dyDescent="0.35">
      <c r="A121" s="1">
        <v>48884</v>
      </c>
      <c r="B121" s="8">
        <f>+VLOOKUP(A121,'CURVA P4'!$HL$4:$QX$55,30,FALSE)</f>
        <v>4109580</v>
      </c>
      <c r="C121" s="93"/>
      <c r="D121" s="149"/>
      <c r="E121" s="83"/>
      <c r="F121" s="137"/>
    </row>
    <row r="122" spans="1:6" ht="15" thickBot="1" x14ac:dyDescent="0.4">
      <c r="A122" s="3">
        <v>48914</v>
      </c>
      <c r="B122" s="8">
        <f>+VLOOKUP(A122,'CURVA P4'!$HL$4:$QX$55,30,FALSE)</f>
        <v>4246566</v>
      </c>
      <c r="C122" s="94"/>
      <c r="D122" s="149"/>
      <c r="E122" s="84"/>
      <c r="F122" s="138"/>
    </row>
    <row r="123" spans="1:6" x14ac:dyDescent="0.35">
      <c r="A123" s="1">
        <v>48945</v>
      </c>
      <c r="B123" s="60">
        <f>+VLOOKUP(A123,'CURVA P4'!$IQ$4:$QX$55,30,FALSE)</f>
        <v>4246566</v>
      </c>
      <c r="C123" s="140">
        <f>SUM(B123:B134)</f>
        <v>49999890</v>
      </c>
      <c r="D123" s="149"/>
      <c r="E123" s="85"/>
      <c r="F123" s="136" t="s">
        <v>6</v>
      </c>
    </row>
    <row r="124" spans="1:6" x14ac:dyDescent="0.35">
      <c r="A124" s="1">
        <v>48976</v>
      </c>
      <c r="B124" s="8">
        <f>+VLOOKUP(A124,'CURVA P4'!$IQ$4:$QX$55,30,FALSE)</f>
        <v>3835608</v>
      </c>
      <c r="C124" s="93"/>
      <c r="D124" s="149"/>
      <c r="E124" s="83"/>
      <c r="F124" s="137"/>
    </row>
    <row r="125" spans="1:6" x14ac:dyDescent="0.35">
      <c r="A125" s="1">
        <v>49004</v>
      </c>
      <c r="B125" s="8">
        <f>+VLOOKUP(A125,'CURVA P4'!$IQ$4:$QX$55,30,FALSE)</f>
        <v>4246566</v>
      </c>
      <c r="C125" s="93"/>
      <c r="D125" s="149"/>
      <c r="E125" s="83"/>
      <c r="F125" s="137"/>
    </row>
    <row r="126" spans="1:6" x14ac:dyDescent="0.35">
      <c r="A126" s="1">
        <v>49035</v>
      </c>
      <c r="B126" s="8">
        <f>+VLOOKUP(A126,'CURVA P4'!$IQ$4:$QX$55,30,FALSE)</f>
        <v>4109580</v>
      </c>
      <c r="C126" s="93"/>
      <c r="D126" s="149"/>
      <c r="E126" s="83"/>
      <c r="F126" s="137"/>
    </row>
    <row r="127" spans="1:6" x14ac:dyDescent="0.35">
      <c r="A127" s="1">
        <v>49065</v>
      </c>
      <c r="B127" s="8">
        <f>+VLOOKUP(A127,'CURVA P4'!$IQ$4:$QX$55,30,FALSE)</f>
        <v>4246566</v>
      </c>
      <c r="C127" s="93"/>
      <c r="D127" s="149"/>
      <c r="E127" s="83"/>
      <c r="F127" s="137"/>
    </row>
    <row r="128" spans="1:6" x14ac:dyDescent="0.35">
      <c r="A128" s="1">
        <v>49096</v>
      </c>
      <c r="B128" s="8">
        <f>+VLOOKUP(A128,'CURVA P4'!$IQ$4:$QX$55,30,FALSE)</f>
        <v>4109580</v>
      </c>
      <c r="C128" s="93"/>
      <c r="D128" s="149"/>
      <c r="E128" s="83"/>
      <c r="F128" s="137"/>
    </row>
    <row r="129" spans="1:6" x14ac:dyDescent="0.35">
      <c r="A129" s="1">
        <v>49126</v>
      </c>
      <c r="B129" s="8">
        <f>+VLOOKUP(A129,'CURVA P4'!$IQ$4:$QX$55,30,FALSE)</f>
        <v>4246566</v>
      </c>
      <c r="C129" s="93"/>
      <c r="D129" s="149"/>
      <c r="E129" s="83"/>
      <c r="F129" s="137"/>
    </row>
    <row r="130" spans="1:6" x14ac:dyDescent="0.35">
      <c r="A130" s="1">
        <v>49157</v>
      </c>
      <c r="B130" s="8">
        <f>+VLOOKUP(A130,'CURVA P4'!$IQ$4:$QX$55,30,FALSE)</f>
        <v>4246566</v>
      </c>
      <c r="C130" s="93"/>
      <c r="D130" s="149"/>
      <c r="E130" s="83"/>
      <c r="F130" s="137"/>
    </row>
    <row r="131" spans="1:6" x14ac:dyDescent="0.35">
      <c r="A131" s="1">
        <v>49188</v>
      </c>
      <c r="B131" s="8">
        <f>+VLOOKUP(A131,'CURVA P4'!$IQ$4:$QX$55,30,FALSE)</f>
        <v>4109580</v>
      </c>
      <c r="C131" s="93"/>
      <c r="D131" s="149"/>
      <c r="E131" s="83"/>
      <c r="F131" s="137"/>
    </row>
    <row r="132" spans="1:6" x14ac:dyDescent="0.35">
      <c r="A132" s="1">
        <v>49218</v>
      </c>
      <c r="B132" s="8">
        <f>+VLOOKUP(A132,'CURVA P4'!$IQ$4:$QX$55,30,FALSE)</f>
        <v>4246566</v>
      </c>
      <c r="C132" s="93"/>
      <c r="D132" s="149"/>
      <c r="E132" s="83"/>
      <c r="F132" s="137"/>
    </row>
    <row r="133" spans="1:6" x14ac:dyDescent="0.35">
      <c r="A133" s="1">
        <v>49249</v>
      </c>
      <c r="B133" s="8">
        <f>+VLOOKUP(A133,'CURVA P4'!$IQ$4:$QX$55,30,FALSE)</f>
        <v>4109580</v>
      </c>
      <c r="C133" s="93"/>
      <c r="D133" s="149"/>
      <c r="E133" s="83"/>
      <c r="F133" s="137"/>
    </row>
    <row r="134" spans="1:6" ht="15" thickBot="1" x14ac:dyDescent="0.4">
      <c r="A134" s="3">
        <v>49279</v>
      </c>
      <c r="B134" s="8">
        <f>+VLOOKUP(A134,'CURVA P4'!$IQ$4:$QX$55,30,FALSE)</f>
        <v>4246566</v>
      </c>
      <c r="C134" s="94"/>
      <c r="D134" s="149"/>
      <c r="E134" s="84"/>
      <c r="F134" s="138"/>
    </row>
    <row r="135" spans="1:6" x14ac:dyDescent="0.35">
      <c r="A135" s="1">
        <v>49310</v>
      </c>
      <c r="B135" s="60">
        <f>+VLOOKUP(A135,'CURVA P4'!$JV$4:$AFV$55,30,FALSE)</f>
        <v>4246566</v>
      </c>
      <c r="C135" s="140">
        <f>SUM(B135:B146)</f>
        <v>49999890</v>
      </c>
      <c r="D135" s="149"/>
      <c r="E135" s="85"/>
      <c r="F135" s="136" t="s">
        <v>6</v>
      </c>
    </row>
    <row r="136" spans="1:6" x14ac:dyDescent="0.35">
      <c r="A136" s="1">
        <v>49341</v>
      </c>
      <c r="B136" s="8">
        <f>+VLOOKUP(A136,'CURVA P4'!$JV$4:$QX$55,30,FALSE)</f>
        <v>3835608</v>
      </c>
      <c r="C136" s="93"/>
      <c r="D136" s="149"/>
      <c r="E136" s="83"/>
      <c r="F136" s="137"/>
    </row>
    <row r="137" spans="1:6" x14ac:dyDescent="0.35">
      <c r="A137" s="1">
        <v>49369</v>
      </c>
      <c r="B137" s="8">
        <f>+VLOOKUP(A137,'CURVA P4'!$JV$4:$QX$55,30,FALSE)</f>
        <v>4246566</v>
      </c>
      <c r="C137" s="93"/>
      <c r="D137" s="149"/>
      <c r="E137" s="83"/>
      <c r="F137" s="137"/>
    </row>
    <row r="138" spans="1:6" x14ac:dyDescent="0.35">
      <c r="A138" s="1">
        <v>49400</v>
      </c>
      <c r="B138" s="8">
        <f>+VLOOKUP(A138,'CURVA P4'!$JV$4:$QX$55,30,FALSE)</f>
        <v>4109580</v>
      </c>
      <c r="C138" s="93"/>
      <c r="D138" s="149"/>
      <c r="E138" s="83"/>
      <c r="F138" s="137"/>
    </row>
    <row r="139" spans="1:6" x14ac:dyDescent="0.35">
      <c r="A139" s="1">
        <v>49430</v>
      </c>
      <c r="B139" s="8">
        <f>+VLOOKUP(A139,'CURVA P4'!$JV$4:$QX$55,30,FALSE)</f>
        <v>4246566</v>
      </c>
      <c r="C139" s="93"/>
      <c r="D139" s="149"/>
      <c r="E139" s="83"/>
      <c r="F139" s="137"/>
    </row>
    <row r="140" spans="1:6" x14ac:dyDescent="0.35">
      <c r="A140" s="1">
        <v>49461</v>
      </c>
      <c r="B140" s="8">
        <f>+VLOOKUP(A140,'CURVA P4'!$JV$4:$QX$55,30,FALSE)</f>
        <v>4109580</v>
      </c>
      <c r="C140" s="93"/>
      <c r="D140" s="149"/>
      <c r="E140" s="83"/>
      <c r="F140" s="137"/>
    </row>
    <row r="141" spans="1:6" x14ac:dyDescent="0.35">
      <c r="A141" s="1">
        <v>49491</v>
      </c>
      <c r="B141" s="8">
        <f>+VLOOKUP(A141,'CURVA P4'!$JV$4:$QX$55,30,FALSE)</f>
        <v>4246566</v>
      </c>
      <c r="C141" s="93"/>
      <c r="D141" s="149"/>
      <c r="E141" s="83"/>
      <c r="F141" s="137"/>
    </row>
    <row r="142" spans="1:6" x14ac:dyDescent="0.35">
      <c r="A142" s="1">
        <v>49522</v>
      </c>
      <c r="B142" s="8">
        <f>+VLOOKUP(A142,'CURVA P4'!$JV$4:$QX$55,30,FALSE)</f>
        <v>4246566</v>
      </c>
      <c r="C142" s="93"/>
      <c r="D142" s="149"/>
      <c r="E142" s="83"/>
      <c r="F142" s="137"/>
    </row>
    <row r="143" spans="1:6" x14ac:dyDescent="0.35">
      <c r="A143" s="1">
        <v>49553</v>
      </c>
      <c r="B143" s="8">
        <f>+VLOOKUP(A143,'CURVA P4'!$JV$4:$QX$55,30,FALSE)</f>
        <v>4109580</v>
      </c>
      <c r="C143" s="93"/>
      <c r="D143" s="149"/>
      <c r="E143" s="83"/>
      <c r="F143" s="137"/>
    </row>
    <row r="144" spans="1:6" x14ac:dyDescent="0.35">
      <c r="A144" s="1">
        <v>49583</v>
      </c>
      <c r="B144" s="8">
        <f>+VLOOKUP(A144,'CURVA P4'!$JV$4:$QX$55,30,FALSE)</f>
        <v>4246566</v>
      </c>
      <c r="C144" s="93"/>
      <c r="D144" s="149"/>
      <c r="E144" s="83"/>
      <c r="F144" s="137"/>
    </row>
    <row r="145" spans="1:6" x14ac:dyDescent="0.35">
      <c r="A145" s="1">
        <v>49614</v>
      </c>
      <c r="B145" s="8">
        <f>+VLOOKUP(A145,'CURVA P4'!$JV$4:$QX$55,30,FALSE)</f>
        <v>4109580</v>
      </c>
      <c r="C145" s="93"/>
      <c r="D145" s="149"/>
      <c r="E145" s="83"/>
      <c r="F145" s="137"/>
    </row>
    <row r="146" spans="1:6" ht="15" thickBot="1" x14ac:dyDescent="0.4">
      <c r="A146" s="3">
        <v>49644</v>
      </c>
      <c r="B146" s="8">
        <f>+VLOOKUP(A146,'CURVA P4'!$JV$4:$QX$55,30,FALSE)</f>
        <v>4246566</v>
      </c>
      <c r="C146" s="94"/>
      <c r="D146" s="149"/>
      <c r="E146" s="84"/>
      <c r="F146" s="138"/>
    </row>
    <row r="147" spans="1:6" x14ac:dyDescent="0.35">
      <c r="A147" s="1">
        <v>49675</v>
      </c>
      <c r="B147" s="60">
        <f>+VLOOKUP(A147,'CURVA P4'!$LA$4:$QX$55,30,FALSE)</f>
        <v>4234941</v>
      </c>
      <c r="C147" s="140">
        <f>SUM(B147:B158)</f>
        <v>49999626</v>
      </c>
      <c r="D147" s="149"/>
      <c r="E147" s="85"/>
      <c r="F147" s="136" t="s">
        <v>6</v>
      </c>
    </row>
    <row r="148" spans="1:6" x14ac:dyDescent="0.35">
      <c r="A148" s="1">
        <v>49706</v>
      </c>
      <c r="B148" s="8">
        <f>+VLOOKUP(A148,'CURVA P4'!$LA$4:$QX$55,30,FALSE)</f>
        <v>3961719</v>
      </c>
      <c r="C148" s="93"/>
      <c r="D148" s="149"/>
      <c r="E148" s="83"/>
      <c r="F148" s="137"/>
    </row>
    <row r="149" spans="1:6" x14ac:dyDescent="0.35">
      <c r="A149" s="1">
        <v>49735</v>
      </c>
      <c r="B149" s="8">
        <f>+VLOOKUP(A149,'CURVA P4'!$LA$4:$QX$55,30,FALSE)</f>
        <v>4234941</v>
      </c>
      <c r="C149" s="93"/>
      <c r="D149" s="149"/>
      <c r="E149" s="83"/>
      <c r="F149" s="137"/>
    </row>
    <row r="150" spans="1:6" x14ac:dyDescent="0.35">
      <c r="A150" s="1">
        <v>49766</v>
      </c>
      <c r="B150" s="8">
        <f>+VLOOKUP(A150,'CURVA P4'!$LA$4:$QX$55,30,FALSE)</f>
        <v>4098330</v>
      </c>
      <c r="C150" s="93"/>
      <c r="D150" s="149"/>
      <c r="E150" s="83"/>
      <c r="F150" s="137"/>
    </row>
    <row r="151" spans="1:6" x14ac:dyDescent="0.35">
      <c r="A151" s="1">
        <v>49796</v>
      </c>
      <c r="B151" s="8">
        <f>+VLOOKUP(A151,'CURVA P4'!$LA$4:$QX$55,30,FALSE)</f>
        <v>4234941</v>
      </c>
      <c r="C151" s="93"/>
      <c r="D151" s="149"/>
      <c r="E151" s="83"/>
      <c r="F151" s="137"/>
    </row>
    <row r="152" spans="1:6" x14ac:dyDescent="0.35">
      <c r="A152" s="1">
        <v>49827</v>
      </c>
      <c r="B152" s="8">
        <f>+VLOOKUP(A152,'CURVA P4'!$LA$4:$QX$55,30,FALSE)</f>
        <v>4098330</v>
      </c>
      <c r="C152" s="93"/>
      <c r="D152" s="149"/>
      <c r="E152" s="83"/>
      <c r="F152" s="137"/>
    </row>
    <row r="153" spans="1:6" x14ac:dyDescent="0.35">
      <c r="A153" s="1">
        <v>49857</v>
      </c>
      <c r="B153" s="8">
        <f>+VLOOKUP(A153,'CURVA P4'!$LA$4:$QX$55,30,FALSE)</f>
        <v>4234941</v>
      </c>
      <c r="C153" s="93"/>
      <c r="D153" s="149"/>
      <c r="E153" s="83"/>
      <c r="F153" s="137"/>
    </row>
    <row r="154" spans="1:6" x14ac:dyDescent="0.35">
      <c r="A154" s="1">
        <v>49888</v>
      </c>
      <c r="B154" s="8">
        <f>+VLOOKUP(A154,'CURVA P4'!$LA$4:$QX$55,30,FALSE)</f>
        <v>4234941</v>
      </c>
      <c r="C154" s="93"/>
      <c r="D154" s="149"/>
      <c r="E154" s="83"/>
      <c r="F154" s="137"/>
    </row>
    <row r="155" spans="1:6" x14ac:dyDescent="0.35">
      <c r="A155" s="1">
        <v>49919</v>
      </c>
      <c r="B155" s="8">
        <f>+VLOOKUP(A155,'CURVA P4'!$LA$4:$QX$55,30,FALSE)</f>
        <v>4098330</v>
      </c>
      <c r="C155" s="93"/>
      <c r="D155" s="149"/>
      <c r="E155" s="83"/>
      <c r="F155" s="137"/>
    </row>
    <row r="156" spans="1:6" x14ac:dyDescent="0.35">
      <c r="A156" s="1">
        <v>49949</v>
      </c>
      <c r="B156" s="8">
        <f>+VLOOKUP(A156,'CURVA P4'!$LA$4:$QX$55,30,FALSE)</f>
        <v>4234941</v>
      </c>
      <c r="C156" s="93"/>
      <c r="D156" s="149"/>
      <c r="E156" s="83"/>
      <c r="F156" s="137"/>
    </row>
    <row r="157" spans="1:6" x14ac:dyDescent="0.35">
      <c r="A157" s="1">
        <v>49980</v>
      </c>
      <c r="B157" s="8">
        <f>+VLOOKUP(A157,'CURVA P4'!$LA$4:$QX$55,30,FALSE)</f>
        <v>4098330</v>
      </c>
      <c r="C157" s="93"/>
      <c r="D157" s="149"/>
      <c r="E157" s="83"/>
      <c r="F157" s="137"/>
    </row>
    <row r="158" spans="1:6" ht="15" thickBot="1" x14ac:dyDescent="0.4">
      <c r="A158" s="3">
        <v>50010</v>
      </c>
      <c r="B158" s="8">
        <f>+VLOOKUP(A158,'CURVA P4'!$LA$4:$QX$55,30,FALSE)</f>
        <v>4234941</v>
      </c>
      <c r="C158" s="94"/>
      <c r="D158" s="149"/>
      <c r="E158" s="84"/>
      <c r="F158" s="138"/>
    </row>
    <row r="159" spans="1:6" x14ac:dyDescent="0.35">
      <c r="A159" s="1">
        <v>50041</v>
      </c>
      <c r="B159" s="60">
        <f>+VLOOKUP(A159,'CURVA P4'!$MF$4:$QX$55,30,FALSE)</f>
        <v>4246566</v>
      </c>
      <c r="C159" s="140">
        <f>SUM(B159:B170)</f>
        <v>49999890</v>
      </c>
      <c r="D159" s="149"/>
      <c r="E159" s="85"/>
      <c r="F159" s="136" t="s">
        <v>6</v>
      </c>
    </row>
    <row r="160" spans="1:6" x14ac:dyDescent="0.35">
      <c r="A160" s="1">
        <v>50072</v>
      </c>
      <c r="B160" s="8">
        <f>+VLOOKUP(A160,'CURVA P4'!$MF$4:$QX$55,30,FALSE)</f>
        <v>3835608</v>
      </c>
      <c r="C160" s="93"/>
      <c r="D160" s="149"/>
      <c r="E160" s="83"/>
      <c r="F160" s="137"/>
    </row>
    <row r="161" spans="1:6" x14ac:dyDescent="0.35">
      <c r="A161" s="1">
        <v>50100</v>
      </c>
      <c r="B161" s="8">
        <f>+VLOOKUP(A161,'CURVA P4'!$MF$4:$QX$55,30,FALSE)</f>
        <v>4246566</v>
      </c>
      <c r="C161" s="93"/>
      <c r="D161" s="149"/>
      <c r="E161" s="83"/>
      <c r="F161" s="137"/>
    </row>
    <row r="162" spans="1:6" x14ac:dyDescent="0.35">
      <c r="A162" s="1">
        <v>50131</v>
      </c>
      <c r="B162" s="8">
        <f>+VLOOKUP(A162,'CURVA P4'!$MF$4:$QX$55,30,FALSE)</f>
        <v>4109580</v>
      </c>
      <c r="C162" s="93"/>
      <c r="D162" s="149"/>
      <c r="E162" s="83"/>
      <c r="F162" s="137"/>
    </row>
    <row r="163" spans="1:6" x14ac:dyDescent="0.35">
      <c r="A163" s="1">
        <v>50161</v>
      </c>
      <c r="B163" s="8">
        <f>+VLOOKUP(A163,'CURVA P4'!$MF$4:$QX$55,30,FALSE)</f>
        <v>4246566</v>
      </c>
      <c r="C163" s="93"/>
      <c r="D163" s="149"/>
      <c r="E163" s="83"/>
      <c r="F163" s="137"/>
    </row>
    <row r="164" spans="1:6" x14ac:dyDescent="0.35">
      <c r="A164" s="1">
        <v>50192</v>
      </c>
      <c r="B164" s="8">
        <f>+VLOOKUP(A164,'CURVA P4'!$MF$4:$QX$55,30,FALSE)</f>
        <v>4109580</v>
      </c>
      <c r="C164" s="93"/>
      <c r="D164" s="149"/>
      <c r="E164" s="83"/>
      <c r="F164" s="137"/>
    </row>
    <row r="165" spans="1:6" x14ac:dyDescent="0.35">
      <c r="A165" s="1">
        <v>50222</v>
      </c>
      <c r="B165" s="8">
        <f>+VLOOKUP(A165,'CURVA P4'!$MF$4:$QX$55,30,FALSE)</f>
        <v>4246566</v>
      </c>
      <c r="C165" s="93"/>
      <c r="D165" s="149"/>
      <c r="E165" s="83"/>
      <c r="F165" s="137"/>
    </row>
    <row r="166" spans="1:6" x14ac:dyDescent="0.35">
      <c r="A166" s="1">
        <v>50253</v>
      </c>
      <c r="B166" s="8">
        <f>+VLOOKUP(A166,'CURVA P4'!$MF$4:$QX$55,30,FALSE)</f>
        <v>4246566</v>
      </c>
      <c r="C166" s="93"/>
      <c r="D166" s="149"/>
      <c r="E166" s="83"/>
      <c r="F166" s="137"/>
    </row>
    <row r="167" spans="1:6" x14ac:dyDescent="0.35">
      <c r="A167" s="1">
        <v>50284</v>
      </c>
      <c r="B167" s="8">
        <f>+VLOOKUP(A167,'CURVA P4'!$MF$4:$QX$55,30,FALSE)</f>
        <v>4109580</v>
      </c>
      <c r="C167" s="93"/>
      <c r="D167" s="149"/>
      <c r="E167" s="83"/>
      <c r="F167" s="137"/>
    </row>
    <row r="168" spans="1:6" x14ac:dyDescent="0.35">
      <c r="A168" s="1">
        <v>50314</v>
      </c>
      <c r="B168" s="8">
        <f>+VLOOKUP(A168,'CURVA P4'!$MF$4:$QX$55,30,FALSE)</f>
        <v>4246566</v>
      </c>
      <c r="C168" s="93"/>
      <c r="D168" s="149"/>
      <c r="E168" s="83"/>
      <c r="F168" s="137"/>
    </row>
    <row r="169" spans="1:6" x14ac:dyDescent="0.35">
      <c r="A169" s="1">
        <v>50345</v>
      </c>
      <c r="B169" s="8">
        <f>+VLOOKUP(A169,'CURVA P4'!$MF$4:$QX$55,30,FALSE)</f>
        <v>4109580</v>
      </c>
      <c r="C169" s="93"/>
      <c r="D169" s="149"/>
      <c r="E169" s="83"/>
      <c r="F169" s="137"/>
    </row>
    <row r="170" spans="1:6" ht="15" thickBot="1" x14ac:dyDescent="0.4">
      <c r="A170" s="3">
        <v>50375</v>
      </c>
      <c r="B170" s="8">
        <f>+VLOOKUP(A170,'CURVA P4'!$MF$4:$QX$55,30,FALSE)</f>
        <v>4246566</v>
      </c>
      <c r="C170" s="94"/>
      <c r="D170" s="149"/>
      <c r="E170" s="84"/>
      <c r="F170" s="138"/>
    </row>
    <row r="171" spans="1:6" x14ac:dyDescent="0.35">
      <c r="A171" s="1">
        <v>50406</v>
      </c>
      <c r="B171" s="60">
        <f>+VLOOKUP(A171,'CURVA P4'!$NK$4:$QX$55,30,FALSE)</f>
        <v>4246566</v>
      </c>
      <c r="C171" s="140">
        <f>SUM(B171:B182)</f>
        <v>49999890</v>
      </c>
      <c r="D171" s="149"/>
      <c r="E171" s="85"/>
      <c r="F171" s="136" t="s">
        <v>6</v>
      </c>
    </row>
    <row r="172" spans="1:6" x14ac:dyDescent="0.35">
      <c r="A172" s="1">
        <v>50437</v>
      </c>
      <c r="B172" s="8">
        <f>+VLOOKUP(A172,'CURVA P4'!$NK$4:$QX$55,30,FALSE)</f>
        <v>3835608</v>
      </c>
      <c r="C172" s="93"/>
      <c r="D172" s="149"/>
      <c r="E172" s="83"/>
      <c r="F172" s="137"/>
    </row>
    <row r="173" spans="1:6" x14ac:dyDescent="0.35">
      <c r="A173" s="1">
        <v>50465</v>
      </c>
      <c r="B173" s="8">
        <f>+VLOOKUP(A173,'CURVA P4'!$NK$4:$QX$55,30,FALSE)</f>
        <v>4246566</v>
      </c>
      <c r="C173" s="93"/>
      <c r="D173" s="149"/>
      <c r="E173" s="83"/>
      <c r="F173" s="137"/>
    </row>
    <row r="174" spans="1:6" x14ac:dyDescent="0.35">
      <c r="A174" s="1">
        <v>50496</v>
      </c>
      <c r="B174" s="8">
        <f>+VLOOKUP(A174,'CURVA P4'!$NK$4:$QX$55,30,FALSE)</f>
        <v>4109580</v>
      </c>
      <c r="C174" s="93"/>
      <c r="D174" s="149"/>
      <c r="E174" s="83"/>
      <c r="F174" s="137"/>
    </row>
    <row r="175" spans="1:6" x14ac:dyDescent="0.35">
      <c r="A175" s="1">
        <v>50526</v>
      </c>
      <c r="B175" s="8">
        <f>+VLOOKUP(A175,'CURVA P4'!$NK$4:$QX$55,30,FALSE)</f>
        <v>4246566</v>
      </c>
      <c r="C175" s="93"/>
      <c r="D175" s="149"/>
      <c r="E175" s="83"/>
      <c r="F175" s="137"/>
    </row>
    <row r="176" spans="1:6" x14ac:dyDescent="0.35">
      <c r="A176" s="1">
        <v>50557</v>
      </c>
      <c r="B176" s="8">
        <f>+VLOOKUP(A176,'CURVA P4'!$NK$4:$QX$55,30,FALSE)</f>
        <v>4109580</v>
      </c>
      <c r="C176" s="93"/>
      <c r="D176" s="149"/>
      <c r="E176" s="83"/>
      <c r="F176" s="137"/>
    </row>
    <row r="177" spans="1:6" x14ac:dyDescent="0.35">
      <c r="A177" s="1">
        <v>50587</v>
      </c>
      <c r="B177" s="8">
        <f>+VLOOKUP(A177,'CURVA P4'!$NK$4:$QX$55,30,FALSE)</f>
        <v>4246566</v>
      </c>
      <c r="C177" s="93"/>
      <c r="D177" s="149"/>
      <c r="E177" s="83"/>
      <c r="F177" s="137"/>
    </row>
    <row r="178" spans="1:6" x14ac:dyDescent="0.35">
      <c r="A178" s="1">
        <v>50618</v>
      </c>
      <c r="B178" s="8">
        <f>+VLOOKUP(A178,'CURVA P4'!$NK$4:$QX$55,30,FALSE)</f>
        <v>4246566</v>
      </c>
      <c r="C178" s="93"/>
      <c r="D178" s="149"/>
      <c r="E178" s="83"/>
      <c r="F178" s="137"/>
    </row>
    <row r="179" spans="1:6" x14ac:dyDescent="0.35">
      <c r="A179" s="1">
        <v>50649</v>
      </c>
      <c r="B179" s="8">
        <f>+VLOOKUP(A179,'CURVA P4'!$NK$4:$QX$55,30,FALSE)</f>
        <v>4109580</v>
      </c>
      <c r="C179" s="93"/>
      <c r="D179" s="149"/>
      <c r="E179" s="83"/>
      <c r="F179" s="137"/>
    </row>
    <row r="180" spans="1:6" x14ac:dyDescent="0.35">
      <c r="A180" s="1">
        <v>50679</v>
      </c>
      <c r="B180" s="8">
        <f>+VLOOKUP(A180,'CURVA P4'!$NK$4:$QX$55,30,FALSE)</f>
        <v>4246566</v>
      </c>
      <c r="C180" s="93"/>
      <c r="D180" s="149"/>
      <c r="E180" s="83"/>
      <c r="F180" s="137"/>
    </row>
    <row r="181" spans="1:6" x14ac:dyDescent="0.35">
      <c r="A181" s="1">
        <v>50710</v>
      </c>
      <c r="B181" s="8">
        <f>+VLOOKUP(A181,'CURVA P4'!$NK$4:$QX$55,30,FALSE)</f>
        <v>4109580</v>
      </c>
      <c r="C181" s="93"/>
      <c r="D181" s="149"/>
      <c r="E181" s="83"/>
      <c r="F181" s="137"/>
    </row>
    <row r="182" spans="1:6" ht="15" thickBot="1" x14ac:dyDescent="0.4">
      <c r="A182" s="3">
        <v>50740</v>
      </c>
      <c r="B182" s="8">
        <f>+VLOOKUP(A182,'CURVA P4'!$NK$4:$QX$55,30,FALSE)</f>
        <v>4246566</v>
      </c>
      <c r="C182" s="94"/>
      <c r="D182" s="149"/>
      <c r="E182" s="84"/>
      <c r="F182" s="138"/>
    </row>
    <row r="183" spans="1:6" x14ac:dyDescent="0.35">
      <c r="A183" s="1">
        <v>50771</v>
      </c>
      <c r="B183" s="60">
        <f>+VLOOKUP(A183,'CURVA P4'!$OP$4:$QX$55,30,FALSE)</f>
        <v>4246566</v>
      </c>
      <c r="C183" s="140">
        <f>SUM(B183:B194)</f>
        <v>49999890</v>
      </c>
      <c r="D183" s="149"/>
      <c r="E183" s="85"/>
      <c r="F183" s="136" t="s">
        <v>6</v>
      </c>
    </row>
    <row r="184" spans="1:6" x14ac:dyDescent="0.35">
      <c r="A184" s="1">
        <v>50802</v>
      </c>
      <c r="B184" s="8">
        <f>+VLOOKUP(A184,'CURVA P4'!$OP$4:$QX$55,30,FALSE)</f>
        <v>3835608</v>
      </c>
      <c r="C184" s="93"/>
      <c r="D184" s="149"/>
      <c r="E184" s="83"/>
      <c r="F184" s="137"/>
    </row>
    <row r="185" spans="1:6" x14ac:dyDescent="0.35">
      <c r="A185" s="1">
        <v>50830</v>
      </c>
      <c r="B185" s="8">
        <f>+VLOOKUP(A185,'CURVA P4'!$OP$4:$QX$55,30,FALSE)</f>
        <v>4246566</v>
      </c>
      <c r="C185" s="93"/>
      <c r="D185" s="149"/>
      <c r="E185" s="83"/>
      <c r="F185" s="137"/>
    </row>
    <row r="186" spans="1:6" x14ac:dyDescent="0.35">
      <c r="A186" s="1">
        <v>50861</v>
      </c>
      <c r="B186" s="8">
        <f>+VLOOKUP(A186,'CURVA P4'!$OP$4:$QX$55,30,FALSE)</f>
        <v>4109580</v>
      </c>
      <c r="C186" s="93"/>
      <c r="D186" s="149"/>
      <c r="E186" s="83"/>
      <c r="F186" s="137"/>
    </row>
    <row r="187" spans="1:6" x14ac:dyDescent="0.35">
      <c r="A187" s="1">
        <v>50891</v>
      </c>
      <c r="B187" s="8">
        <f>+VLOOKUP(A187,'CURVA P4'!$OP$4:$QX$55,30,FALSE)</f>
        <v>4246566</v>
      </c>
      <c r="C187" s="93"/>
      <c r="D187" s="149"/>
      <c r="E187" s="83"/>
      <c r="F187" s="137"/>
    </row>
    <row r="188" spans="1:6" x14ac:dyDescent="0.35">
      <c r="A188" s="1">
        <v>50922</v>
      </c>
      <c r="B188" s="8">
        <f>+VLOOKUP(A188,'CURVA P4'!$OP$4:$QX$55,30,FALSE)</f>
        <v>4109580</v>
      </c>
      <c r="C188" s="93"/>
      <c r="D188" s="149"/>
      <c r="E188" s="83"/>
      <c r="F188" s="137"/>
    </row>
    <row r="189" spans="1:6" x14ac:dyDescent="0.35">
      <c r="A189" s="1">
        <v>50952</v>
      </c>
      <c r="B189" s="8">
        <f>+VLOOKUP(A189,'CURVA P4'!$OP$4:$QX$55,30,FALSE)</f>
        <v>4246566</v>
      </c>
      <c r="C189" s="93"/>
      <c r="D189" s="149"/>
      <c r="E189" s="83"/>
      <c r="F189" s="137"/>
    </row>
    <row r="190" spans="1:6" x14ac:dyDescent="0.35">
      <c r="A190" s="1">
        <v>50983</v>
      </c>
      <c r="B190" s="8">
        <f>+VLOOKUP(A190,'CURVA P4'!$OP$4:$QX$55,30,FALSE)</f>
        <v>4246566</v>
      </c>
      <c r="C190" s="93"/>
      <c r="D190" s="149"/>
      <c r="E190" s="83"/>
      <c r="F190" s="137"/>
    </row>
    <row r="191" spans="1:6" x14ac:dyDescent="0.35">
      <c r="A191" s="1">
        <v>51014</v>
      </c>
      <c r="B191" s="8">
        <f>+VLOOKUP(A191,'CURVA P4'!$OP$4:$QX$55,30,FALSE)</f>
        <v>4109580</v>
      </c>
      <c r="C191" s="93"/>
      <c r="D191" s="149"/>
      <c r="E191" s="83"/>
      <c r="F191" s="137"/>
    </row>
    <row r="192" spans="1:6" x14ac:dyDescent="0.35">
      <c r="A192" s="1">
        <v>51044</v>
      </c>
      <c r="B192" s="8">
        <f>+VLOOKUP(A192,'CURVA P4'!$OP$4:$QX$55,30,FALSE)</f>
        <v>4246566</v>
      </c>
      <c r="C192" s="93"/>
      <c r="D192" s="149"/>
      <c r="E192" s="83"/>
      <c r="F192" s="137"/>
    </row>
    <row r="193" spans="1:6" x14ac:dyDescent="0.35">
      <c r="A193" s="1">
        <v>51075</v>
      </c>
      <c r="B193" s="8">
        <f>+VLOOKUP(A193,'CURVA P4'!$OP$4:$QX$55,30,FALSE)</f>
        <v>4109580</v>
      </c>
      <c r="C193" s="93"/>
      <c r="D193" s="149"/>
      <c r="E193" s="83"/>
      <c r="F193" s="137"/>
    </row>
    <row r="194" spans="1:6" ht="15" thickBot="1" x14ac:dyDescent="0.4">
      <c r="A194" s="3">
        <v>51105</v>
      </c>
      <c r="B194" s="8">
        <f>+VLOOKUP(A194,'CURVA P4'!$OP$4:$QX$55,30,FALSE)</f>
        <v>4246566</v>
      </c>
      <c r="C194" s="94"/>
      <c r="D194" s="149"/>
      <c r="E194" s="84"/>
      <c r="F194" s="138"/>
    </row>
    <row r="195" spans="1:6" x14ac:dyDescent="0.35">
      <c r="A195" s="1">
        <v>51136</v>
      </c>
      <c r="B195" s="60">
        <f>+VLOOKUP(A195,'CURVA P4'!$PU$4:$QX$55,30,FALSE)</f>
        <v>4234941</v>
      </c>
      <c r="C195" s="140">
        <f>SUM(B195:B206)</f>
        <v>49999626</v>
      </c>
      <c r="D195" s="149"/>
      <c r="E195" s="85"/>
      <c r="F195" s="136" t="s">
        <v>6</v>
      </c>
    </row>
    <row r="196" spans="1:6" x14ac:dyDescent="0.35">
      <c r="A196" s="1">
        <v>51167</v>
      </c>
      <c r="B196" s="8">
        <f>+VLOOKUP(A196,'CURVA P4'!$PU$4:$QX$55,30,FALSE)</f>
        <v>3961719</v>
      </c>
      <c r="C196" s="93"/>
      <c r="D196" s="149"/>
      <c r="E196" s="83"/>
      <c r="F196" s="137"/>
    </row>
    <row r="197" spans="1:6" x14ac:dyDescent="0.35">
      <c r="A197" s="1">
        <v>51196</v>
      </c>
      <c r="B197" s="8">
        <f>+VLOOKUP(A197,'CURVA P4'!$PU$4:$QX$55,30,FALSE)</f>
        <v>4234941</v>
      </c>
      <c r="C197" s="93"/>
      <c r="D197" s="149"/>
      <c r="E197" s="83"/>
      <c r="F197" s="137"/>
    </row>
    <row r="198" spans="1:6" x14ac:dyDescent="0.35">
      <c r="A198" s="1">
        <v>51227</v>
      </c>
      <c r="B198" s="8">
        <f>+VLOOKUP(A198,'CURVA P4'!$PU$4:$QX$55,30,FALSE)</f>
        <v>4098330</v>
      </c>
      <c r="C198" s="93"/>
      <c r="D198" s="149"/>
      <c r="E198" s="83"/>
      <c r="F198" s="137"/>
    </row>
    <row r="199" spans="1:6" x14ac:dyDescent="0.35">
      <c r="A199" s="1">
        <v>51257</v>
      </c>
      <c r="B199" s="8">
        <f>+VLOOKUP(A199,'CURVA P4'!$PU$4:$QX$55,30,FALSE)</f>
        <v>4234941</v>
      </c>
      <c r="C199" s="93"/>
      <c r="D199" s="149"/>
      <c r="E199" s="83"/>
      <c r="F199" s="137"/>
    </row>
    <row r="200" spans="1:6" x14ac:dyDescent="0.35">
      <c r="A200" s="1">
        <v>51288</v>
      </c>
      <c r="B200" s="8">
        <f>+VLOOKUP(A200,'CURVA P4'!$PU$4:$QX$55,30,FALSE)</f>
        <v>4098330</v>
      </c>
      <c r="C200" s="93"/>
      <c r="D200" s="149"/>
      <c r="E200" s="83"/>
      <c r="F200" s="137"/>
    </row>
    <row r="201" spans="1:6" x14ac:dyDescent="0.35">
      <c r="A201" s="1">
        <v>51318</v>
      </c>
      <c r="B201" s="8">
        <f>+VLOOKUP(A201,'CURVA P4'!$PU$4:$QX$55,30,FALSE)</f>
        <v>4234941</v>
      </c>
      <c r="C201" s="93"/>
      <c r="D201" s="149"/>
      <c r="E201" s="83"/>
      <c r="F201" s="137"/>
    </row>
    <row r="202" spans="1:6" x14ac:dyDescent="0.35">
      <c r="A202" s="1">
        <v>51349</v>
      </c>
      <c r="B202" s="8">
        <f>+VLOOKUP(A202,'CURVA P4'!$PU$4:$QX$55,30,FALSE)</f>
        <v>4234941</v>
      </c>
      <c r="C202" s="93"/>
      <c r="D202" s="149"/>
      <c r="E202" s="83"/>
      <c r="F202" s="137"/>
    </row>
    <row r="203" spans="1:6" x14ac:dyDescent="0.35">
      <c r="A203" s="1">
        <v>51380</v>
      </c>
      <c r="B203" s="8">
        <f>+VLOOKUP(A203,'CURVA P4'!$PU$4:$QX$55,30,FALSE)</f>
        <v>4098330</v>
      </c>
      <c r="C203" s="93"/>
      <c r="D203" s="149"/>
      <c r="E203" s="83"/>
      <c r="F203" s="137"/>
    </row>
    <row r="204" spans="1:6" x14ac:dyDescent="0.35">
      <c r="A204" s="1">
        <v>51410</v>
      </c>
      <c r="B204" s="8">
        <f>+VLOOKUP(A204,'CURVA P4'!$PU$4:$QX$55,30,FALSE)</f>
        <v>4234941</v>
      </c>
      <c r="C204" s="93"/>
      <c r="D204" s="149"/>
      <c r="E204" s="83"/>
      <c r="F204" s="137"/>
    </row>
    <row r="205" spans="1:6" x14ac:dyDescent="0.35">
      <c r="A205" s="1">
        <v>51441</v>
      </c>
      <c r="B205" s="8">
        <f>+VLOOKUP(A205,'CURVA P4'!$PU$4:$QX$55,30,FALSE)</f>
        <v>4098330</v>
      </c>
      <c r="C205" s="93"/>
      <c r="D205" s="149"/>
      <c r="E205" s="83"/>
      <c r="F205" s="137"/>
    </row>
    <row r="206" spans="1:6" ht="15" thickBot="1" x14ac:dyDescent="0.4">
      <c r="A206" s="1">
        <v>51471</v>
      </c>
      <c r="B206" s="8">
        <f>+VLOOKUP(A206,'CURVA P4'!$PU$4:$QX$55,30,FALSE)</f>
        <v>4234941</v>
      </c>
      <c r="C206" s="94"/>
      <c r="D206" s="150"/>
      <c r="E206" s="84"/>
      <c r="F206" s="138"/>
    </row>
  </sheetData>
  <mergeCells count="36">
    <mergeCell ref="C135:C146"/>
    <mergeCell ref="C39:C50"/>
    <mergeCell ref="C51:C62"/>
    <mergeCell ref="C63:C74"/>
    <mergeCell ref="A25:F25"/>
    <mergeCell ref="A22:F23"/>
    <mergeCell ref="F39:F50"/>
    <mergeCell ref="F51:F62"/>
    <mergeCell ref="F195:F206"/>
    <mergeCell ref="C147:C158"/>
    <mergeCell ref="C159:C170"/>
    <mergeCell ref="C171:C182"/>
    <mergeCell ref="C183:C194"/>
    <mergeCell ref="C195:C206"/>
    <mergeCell ref="F171:F182"/>
    <mergeCell ref="F183:F194"/>
    <mergeCell ref="D27:D206"/>
    <mergeCell ref="C99:C110"/>
    <mergeCell ref="C111:C122"/>
    <mergeCell ref="C123:C134"/>
    <mergeCell ref="F135:F146"/>
    <mergeCell ref="F147:F158"/>
    <mergeCell ref="F159:F170"/>
    <mergeCell ref="A1:F1"/>
    <mergeCell ref="F123:F134"/>
    <mergeCell ref="F63:F74"/>
    <mergeCell ref="F75:F86"/>
    <mergeCell ref="F87:F98"/>
    <mergeCell ref="F99:F110"/>
    <mergeCell ref="F111:F122"/>
    <mergeCell ref="C75:C86"/>
    <mergeCell ref="C87:C98"/>
    <mergeCell ref="F27:F38"/>
    <mergeCell ref="A3:F3"/>
    <mergeCell ref="C27:C38"/>
    <mergeCell ref="D5:D19"/>
  </mergeCells>
  <pageMargins left="0.7" right="0.7" top="0.75" bottom="0.75" header="0.3" footer="0.3"/>
  <ignoredErrors>
    <ignoredError sqref="C63" evalError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3E62-B392-48B2-BED3-93C0F955B9EF}">
  <dimension ref="A1:QX60"/>
  <sheetViews>
    <sheetView showGridLines="0" zoomScale="81" zoomScaleNormal="40" workbookViewId="0">
      <selection activeCell="ON55" sqref="NK1:ON55"/>
    </sheetView>
  </sheetViews>
  <sheetFormatPr baseColWidth="10" defaultRowHeight="14.5" x14ac:dyDescent="0.35"/>
  <cols>
    <col min="30" max="30" width="16" bestFit="1" customWidth="1"/>
    <col min="32" max="32" width="9.6328125" customWidth="1"/>
    <col min="61" max="61" width="15.54296875" bestFit="1" customWidth="1"/>
    <col min="92" max="92" width="15.54296875" bestFit="1" customWidth="1"/>
    <col min="96" max="96" width="13.26953125" bestFit="1" customWidth="1"/>
    <col min="123" max="123" width="16.90625" bestFit="1" customWidth="1"/>
    <col min="155" max="155" width="16.90625" bestFit="1" customWidth="1"/>
    <col min="187" max="187" width="16.90625" bestFit="1" customWidth="1"/>
    <col min="218" max="218" width="16" bestFit="1" customWidth="1"/>
    <col min="249" max="249" width="16" bestFit="1" customWidth="1"/>
    <col min="280" max="280" width="16.90625" bestFit="1" customWidth="1"/>
    <col min="311" max="311" width="16.90625" bestFit="1" customWidth="1"/>
    <col min="342" max="342" width="16.453125" bestFit="1" customWidth="1"/>
    <col min="373" max="373" width="16" bestFit="1" customWidth="1"/>
    <col min="404" max="404" width="16.90625" bestFit="1" customWidth="1"/>
    <col min="435" max="435" width="16.90625" bestFit="1" customWidth="1"/>
    <col min="466" max="466" width="16" bestFit="1" customWidth="1"/>
  </cols>
  <sheetData>
    <row r="1" spans="1:466" x14ac:dyDescent="0.35">
      <c r="A1" s="105" t="s">
        <v>52</v>
      </c>
      <c r="B1" s="105"/>
      <c r="C1" s="105"/>
      <c r="D1" s="105"/>
      <c r="AF1" s="131" t="s">
        <v>52</v>
      </c>
      <c r="AG1" s="131"/>
      <c r="AH1" s="131"/>
      <c r="AI1" s="131"/>
      <c r="AJ1" s="25"/>
      <c r="AK1" s="25"/>
      <c r="AL1" s="25"/>
      <c r="AM1" s="25"/>
      <c r="AN1" s="25"/>
      <c r="AO1" s="25"/>
      <c r="AP1" s="25"/>
      <c r="AQ1" s="25"/>
      <c r="AR1" s="25"/>
      <c r="BK1" s="131" t="s">
        <v>52</v>
      </c>
      <c r="BL1" s="131"/>
      <c r="BM1" s="131"/>
      <c r="BN1" s="131"/>
      <c r="BO1" s="25"/>
      <c r="BP1" s="25"/>
      <c r="BQ1" s="25"/>
      <c r="BR1" s="25"/>
      <c r="BS1" s="25"/>
      <c r="BT1" s="25"/>
      <c r="BU1" s="25"/>
      <c r="BV1" s="25"/>
      <c r="BW1" s="25"/>
      <c r="CP1" s="131" t="s">
        <v>52</v>
      </c>
      <c r="CQ1" s="131"/>
      <c r="CR1" s="131"/>
      <c r="CS1" s="131"/>
      <c r="CT1" s="25"/>
      <c r="CU1" s="25"/>
      <c r="CV1" s="25"/>
      <c r="CW1" s="25"/>
      <c r="CX1" s="25"/>
      <c r="CY1" s="25"/>
      <c r="CZ1" s="25"/>
      <c r="DA1" s="25"/>
      <c r="DB1" s="25"/>
      <c r="DV1" s="131" t="s">
        <v>52</v>
      </c>
      <c r="DW1" s="131"/>
      <c r="DX1" s="131"/>
      <c r="DY1" s="131"/>
      <c r="DZ1" s="25"/>
      <c r="EA1" s="25"/>
      <c r="EB1" s="25"/>
      <c r="EC1" s="25"/>
      <c r="ED1" s="25"/>
      <c r="EE1" s="25"/>
      <c r="EF1" s="25"/>
      <c r="EG1" s="25"/>
      <c r="EH1" s="25"/>
      <c r="FB1" s="131" t="s">
        <v>52</v>
      </c>
      <c r="FC1" s="131"/>
      <c r="FD1" s="131"/>
      <c r="FE1" s="131"/>
      <c r="FF1" s="25"/>
      <c r="FG1" s="25"/>
      <c r="FH1" s="25"/>
      <c r="FI1" s="25"/>
      <c r="FJ1" s="25"/>
      <c r="FK1" s="25"/>
      <c r="FL1" s="25"/>
      <c r="FM1" s="25"/>
      <c r="FN1" s="25"/>
      <c r="GG1" s="131" t="s">
        <v>52</v>
      </c>
      <c r="GH1" s="131"/>
      <c r="GI1" s="131"/>
      <c r="GJ1" s="131"/>
      <c r="GK1" s="25"/>
      <c r="GL1" s="25"/>
      <c r="GM1" s="25"/>
      <c r="GN1" s="25"/>
      <c r="GO1" s="25"/>
      <c r="GP1" s="25"/>
      <c r="GQ1" s="25"/>
      <c r="GR1" s="25"/>
      <c r="GS1" s="25"/>
      <c r="HL1" s="131" t="s">
        <v>52</v>
      </c>
      <c r="HM1" s="131"/>
      <c r="HN1" s="131"/>
      <c r="HO1" s="131"/>
      <c r="HP1" s="25"/>
      <c r="HQ1" s="25"/>
      <c r="HR1" s="25"/>
      <c r="HS1" s="25"/>
      <c r="HT1" s="25"/>
      <c r="HU1" s="25"/>
      <c r="HV1" s="25"/>
      <c r="HW1" s="25"/>
      <c r="HX1" s="25"/>
      <c r="IQ1" s="131" t="s">
        <v>52</v>
      </c>
      <c r="IR1" s="131"/>
      <c r="IS1" s="131"/>
      <c r="IT1" s="131"/>
      <c r="IU1" s="25"/>
      <c r="IV1" s="25"/>
      <c r="IW1" s="25"/>
      <c r="IX1" s="25"/>
      <c r="IY1" s="25"/>
      <c r="IZ1" s="25"/>
      <c r="JA1" s="25"/>
      <c r="JB1" s="25"/>
      <c r="JC1" s="25"/>
      <c r="JV1" s="131" t="s">
        <v>52</v>
      </c>
      <c r="JW1" s="131"/>
      <c r="JX1" s="131"/>
      <c r="JY1" s="131"/>
      <c r="JZ1" s="25"/>
      <c r="KA1" s="25"/>
      <c r="KB1" s="25"/>
      <c r="KC1" s="25"/>
      <c r="KD1" s="25"/>
      <c r="KE1" s="25"/>
      <c r="KF1" s="25"/>
      <c r="KG1" s="25"/>
      <c r="KH1" s="25"/>
      <c r="LA1" s="131" t="s">
        <v>52</v>
      </c>
      <c r="LB1" s="131"/>
      <c r="LC1" s="131"/>
      <c r="LD1" s="131"/>
      <c r="LE1" s="25"/>
      <c r="LF1" s="25"/>
      <c r="LG1" s="25"/>
      <c r="LH1" s="25"/>
      <c r="LI1" s="25"/>
      <c r="LJ1" s="25"/>
      <c r="LK1" s="25"/>
      <c r="LL1" s="25"/>
      <c r="LM1" s="25"/>
      <c r="MF1" s="131" t="s">
        <v>52</v>
      </c>
      <c r="MG1" s="131"/>
      <c r="MH1" s="131"/>
      <c r="MI1" s="131"/>
      <c r="MJ1" s="25"/>
      <c r="MK1" s="25"/>
      <c r="ML1" s="25"/>
      <c r="MM1" s="25"/>
      <c r="MN1" s="25"/>
      <c r="MO1" s="25"/>
      <c r="MP1" s="25"/>
      <c r="MQ1" s="25"/>
      <c r="MR1" s="25"/>
      <c r="NK1" s="131" t="s">
        <v>52</v>
      </c>
      <c r="NL1" s="131"/>
      <c r="NM1" s="131"/>
      <c r="NN1" s="131"/>
      <c r="NO1" s="25"/>
      <c r="NP1" s="25"/>
      <c r="NQ1" s="25"/>
      <c r="NR1" s="25"/>
      <c r="NS1" s="25"/>
      <c r="NT1" s="25"/>
      <c r="NU1" s="25"/>
      <c r="NV1" s="25"/>
      <c r="NW1" s="25"/>
      <c r="OP1" s="131" t="s">
        <v>52</v>
      </c>
      <c r="OQ1" s="131"/>
      <c r="OR1" s="131"/>
      <c r="OS1" s="131"/>
      <c r="OT1" s="25"/>
      <c r="OU1" s="25"/>
      <c r="OV1" s="25"/>
      <c r="OW1" s="25"/>
      <c r="OX1" s="25"/>
      <c r="OY1" s="25"/>
      <c r="OZ1" s="25"/>
      <c r="PA1" s="25"/>
      <c r="PB1" s="25"/>
      <c r="PU1" s="131" t="s">
        <v>52</v>
      </c>
      <c r="PV1" s="131"/>
      <c r="PW1" s="131"/>
      <c r="PX1" s="131"/>
      <c r="PY1" s="25"/>
      <c r="PZ1" s="25"/>
      <c r="QA1" s="25"/>
      <c r="QB1" s="25"/>
      <c r="QC1" s="25"/>
      <c r="QD1" s="25"/>
      <c r="QE1" s="25"/>
      <c r="QF1" s="25"/>
      <c r="QG1" s="25"/>
    </row>
    <row r="2" spans="1:466" x14ac:dyDescent="0.35">
      <c r="A2" s="106" t="s">
        <v>44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AF2" s="151" t="s">
        <v>44</v>
      </c>
      <c r="AG2" s="151"/>
      <c r="AH2" s="151"/>
      <c r="AI2" s="151"/>
      <c r="AJ2" s="151"/>
      <c r="AK2" s="151"/>
      <c r="AL2" s="151"/>
      <c r="AM2" s="151"/>
      <c r="AN2" s="151"/>
      <c r="AO2" s="151"/>
      <c r="AP2" s="151"/>
      <c r="AQ2" s="151"/>
      <c r="AR2" s="151"/>
      <c r="BK2" s="132" t="s">
        <v>44</v>
      </c>
      <c r="BL2" s="132"/>
      <c r="BM2" s="132"/>
      <c r="BN2" s="132"/>
      <c r="BO2" s="132"/>
      <c r="BP2" s="132"/>
      <c r="BQ2" s="132"/>
      <c r="BR2" s="132"/>
      <c r="BS2" s="132"/>
      <c r="BT2" s="132"/>
      <c r="BU2" s="132"/>
      <c r="BV2" s="132"/>
      <c r="BW2" s="132"/>
      <c r="CP2" s="132" t="s">
        <v>44</v>
      </c>
      <c r="CQ2" s="132"/>
      <c r="CR2" s="132"/>
      <c r="CS2" s="132"/>
      <c r="CT2" s="132"/>
      <c r="CU2" s="132"/>
      <c r="CV2" s="132"/>
      <c r="CW2" s="132"/>
      <c r="CX2" s="132"/>
      <c r="CY2" s="132"/>
      <c r="CZ2" s="132"/>
      <c r="DA2" s="132"/>
      <c r="DB2" s="132"/>
      <c r="DV2" s="132" t="s">
        <v>44</v>
      </c>
      <c r="DW2" s="132"/>
      <c r="DX2" s="132"/>
      <c r="DY2" s="132"/>
      <c r="DZ2" s="132"/>
      <c r="EA2" s="132"/>
      <c r="EB2" s="132"/>
      <c r="EC2" s="132"/>
      <c r="ED2" s="132"/>
      <c r="EE2" s="132"/>
      <c r="EF2" s="132"/>
      <c r="EG2" s="132"/>
      <c r="EH2" s="132"/>
      <c r="FB2" s="132" t="s">
        <v>44</v>
      </c>
      <c r="FC2" s="132"/>
      <c r="FD2" s="132"/>
      <c r="FE2" s="132"/>
      <c r="FF2" s="132"/>
      <c r="FG2" s="132"/>
      <c r="FH2" s="132"/>
      <c r="FI2" s="132"/>
      <c r="FJ2" s="132"/>
      <c r="FK2" s="132"/>
      <c r="FL2" s="132"/>
      <c r="FM2" s="132"/>
      <c r="FN2" s="132"/>
      <c r="GG2" s="132" t="s">
        <v>44</v>
      </c>
      <c r="GH2" s="132"/>
      <c r="GI2" s="132"/>
      <c r="GJ2" s="132"/>
      <c r="GK2" s="132"/>
      <c r="GL2" s="132"/>
      <c r="GM2" s="132"/>
      <c r="GN2" s="132"/>
      <c r="GO2" s="132"/>
      <c r="GP2" s="132"/>
      <c r="GQ2" s="132"/>
      <c r="GR2" s="132"/>
      <c r="GS2" s="132"/>
      <c r="HL2" s="132" t="s">
        <v>44</v>
      </c>
      <c r="HM2" s="132"/>
      <c r="HN2" s="132"/>
      <c r="HO2" s="132"/>
      <c r="HP2" s="132"/>
      <c r="HQ2" s="132"/>
      <c r="HR2" s="132"/>
      <c r="HS2" s="132"/>
      <c r="HT2" s="132"/>
      <c r="HU2" s="132"/>
      <c r="HV2" s="132"/>
      <c r="HW2" s="132"/>
      <c r="HX2" s="132"/>
      <c r="IQ2" s="132" t="s">
        <v>44</v>
      </c>
      <c r="IR2" s="132"/>
      <c r="IS2" s="132"/>
      <c r="IT2" s="132"/>
      <c r="IU2" s="132"/>
      <c r="IV2" s="132"/>
      <c r="IW2" s="132"/>
      <c r="IX2" s="132"/>
      <c r="IY2" s="132"/>
      <c r="IZ2" s="132"/>
      <c r="JA2" s="132"/>
      <c r="JB2" s="132"/>
      <c r="JC2" s="132"/>
      <c r="JV2" s="132" t="s">
        <v>44</v>
      </c>
      <c r="JW2" s="132"/>
      <c r="JX2" s="132"/>
      <c r="JY2" s="132"/>
      <c r="JZ2" s="132"/>
      <c r="KA2" s="132"/>
      <c r="KB2" s="132"/>
      <c r="KC2" s="132"/>
      <c r="KD2" s="132"/>
      <c r="KE2" s="132"/>
      <c r="KF2" s="132"/>
      <c r="KG2" s="132"/>
      <c r="KH2" s="132"/>
      <c r="LA2" s="132" t="s">
        <v>44</v>
      </c>
      <c r="LB2" s="132"/>
      <c r="LC2" s="132"/>
      <c r="LD2" s="132"/>
      <c r="LE2" s="132"/>
      <c r="LF2" s="132"/>
      <c r="LG2" s="132"/>
      <c r="LH2" s="132"/>
      <c r="LI2" s="132"/>
      <c r="LJ2" s="132"/>
      <c r="LK2" s="132"/>
      <c r="LL2" s="132"/>
      <c r="LM2" s="132"/>
      <c r="MF2" s="132" t="s">
        <v>44</v>
      </c>
      <c r="MG2" s="132"/>
      <c r="MH2" s="132"/>
      <c r="MI2" s="132"/>
      <c r="MJ2" s="132"/>
      <c r="MK2" s="132"/>
      <c r="ML2" s="132"/>
      <c r="MM2" s="132"/>
      <c r="MN2" s="132"/>
      <c r="MO2" s="132"/>
      <c r="MP2" s="132"/>
      <c r="MQ2" s="132"/>
      <c r="MR2" s="132"/>
      <c r="NK2" s="132" t="s">
        <v>44</v>
      </c>
      <c r="NL2" s="132"/>
      <c r="NM2" s="132"/>
      <c r="NN2" s="132"/>
      <c r="NO2" s="132"/>
      <c r="NP2" s="132"/>
      <c r="NQ2" s="132"/>
      <c r="NR2" s="132"/>
      <c r="NS2" s="132"/>
      <c r="NT2" s="132"/>
      <c r="NU2" s="132"/>
      <c r="NV2" s="132"/>
      <c r="NW2" s="132"/>
      <c r="OP2" s="132" t="s">
        <v>44</v>
      </c>
      <c r="OQ2" s="132"/>
      <c r="OR2" s="132"/>
      <c r="OS2" s="132"/>
      <c r="OT2" s="132"/>
      <c r="OU2" s="132"/>
      <c r="OV2" s="132"/>
      <c r="OW2" s="132"/>
      <c r="OX2" s="132"/>
      <c r="OY2" s="132"/>
      <c r="OZ2" s="132"/>
      <c r="PA2" s="132"/>
      <c r="PB2" s="132"/>
      <c r="PU2" s="132" t="s">
        <v>44</v>
      </c>
      <c r="PV2" s="132"/>
      <c r="PW2" s="132"/>
      <c r="PX2" s="132"/>
      <c r="PY2" s="132"/>
      <c r="PZ2" s="132"/>
      <c r="QA2" s="132"/>
      <c r="QB2" s="132"/>
      <c r="QC2" s="132"/>
      <c r="QD2" s="132"/>
      <c r="QE2" s="132"/>
      <c r="QF2" s="132"/>
      <c r="QG2" s="132"/>
    </row>
    <row r="4" spans="1:466" x14ac:dyDescent="0.35">
      <c r="A4" s="107" t="s">
        <v>10</v>
      </c>
      <c r="B4" s="108"/>
      <c r="C4" s="109">
        <f>+AD55</f>
        <v>49999890</v>
      </c>
      <c r="D4" s="110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F4" s="107" t="s">
        <v>10</v>
      </c>
      <c r="AG4" s="108"/>
      <c r="AH4" s="32">
        <f>+BI55</f>
        <v>49999890</v>
      </c>
      <c r="AI4" s="3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36">
        <v>100000000</v>
      </c>
      <c r="BK4" s="107" t="s">
        <v>10</v>
      </c>
      <c r="BL4" s="108"/>
      <c r="BM4" s="32">
        <f>+CN55</f>
        <v>49999626</v>
      </c>
      <c r="BN4" s="3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36">
        <v>100000000</v>
      </c>
      <c r="CP4" s="107" t="s">
        <v>10</v>
      </c>
      <c r="CQ4" s="108"/>
      <c r="CR4" s="32">
        <f>+DS55</f>
        <v>49999890</v>
      </c>
      <c r="CS4" s="3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36">
        <v>100000000</v>
      </c>
      <c r="DV4" s="107" t="s">
        <v>10</v>
      </c>
      <c r="DW4" s="108"/>
      <c r="DX4" s="32">
        <f>+EY55</f>
        <v>49999890</v>
      </c>
      <c r="DY4" s="3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36">
        <v>100000000</v>
      </c>
      <c r="FB4" s="107" t="s">
        <v>10</v>
      </c>
      <c r="FC4" s="108"/>
      <c r="FD4" s="32">
        <f>+GE55</f>
        <v>49999890</v>
      </c>
      <c r="FE4" s="3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36">
        <v>100000000</v>
      </c>
      <c r="GG4" s="107" t="s">
        <v>10</v>
      </c>
      <c r="GH4" s="108"/>
      <c r="GI4" s="32">
        <f>+HJ55</f>
        <v>49999626</v>
      </c>
      <c r="GJ4" s="3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36">
        <v>100000000</v>
      </c>
      <c r="HL4" s="107" t="s">
        <v>10</v>
      </c>
      <c r="HM4" s="108"/>
      <c r="HN4" s="32">
        <f>+IO55</f>
        <v>49999890</v>
      </c>
      <c r="HO4" s="3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36">
        <v>100000000</v>
      </c>
      <c r="IQ4" s="107" t="s">
        <v>10</v>
      </c>
      <c r="IR4" s="108"/>
      <c r="IS4" s="32">
        <f>+JT55</f>
        <v>49999890</v>
      </c>
      <c r="IT4" s="3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36">
        <v>100000000</v>
      </c>
      <c r="JV4" s="107" t="s">
        <v>10</v>
      </c>
      <c r="JW4" s="108"/>
      <c r="JX4" s="32">
        <f>+KY55</f>
        <v>49999890</v>
      </c>
      <c r="JY4" s="3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36">
        <v>100000000</v>
      </c>
      <c r="LA4" s="107" t="s">
        <v>10</v>
      </c>
      <c r="LB4" s="108"/>
      <c r="LC4" s="32">
        <f>+MD55</f>
        <v>49999626</v>
      </c>
      <c r="LD4" s="3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36">
        <v>100000000</v>
      </c>
      <c r="MF4" s="107" t="s">
        <v>10</v>
      </c>
      <c r="MG4" s="108"/>
      <c r="MH4" s="32">
        <f>+NI55</f>
        <v>49999890</v>
      </c>
      <c r="MI4" s="3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36"/>
      <c r="NK4" s="107" t="s">
        <v>10</v>
      </c>
      <c r="NL4" s="108"/>
      <c r="NM4" s="32">
        <f>+ON55</f>
        <v>49999890</v>
      </c>
      <c r="NN4" s="3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36"/>
      <c r="OP4" s="107" t="s">
        <v>10</v>
      </c>
      <c r="OQ4" s="108"/>
      <c r="OR4" s="32">
        <f>+PS55</f>
        <v>49999890</v>
      </c>
      <c r="OS4" s="3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3"/>
      <c r="PJ4" s="13"/>
      <c r="PK4" s="13"/>
      <c r="PL4" s="13"/>
      <c r="PM4" s="13"/>
      <c r="PN4" s="13"/>
      <c r="PO4" s="13"/>
      <c r="PP4" s="13"/>
      <c r="PQ4" s="13"/>
      <c r="PR4" s="13"/>
      <c r="PS4" s="36">
        <v>100000000</v>
      </c>
      <c r="PU4" s="107" t="s">
        <v>10</v>
      </c>
      <c r="PV4" s="108"/>
      <c r="PW4" s="32">
        <f>+QX55</f>
        <v>49999626</v>
      </c>
      <c r="PX4" s="33"/>
      <c r="PY4" s="13"/>
      <c r="PZ4" s="13"/>
      <c r="QA4" s="13"/>
      <c r="QB4" s="13"/>
      <c r="QC4" s="13"/>
      <c r="QD4" s="13"/>
      <c r="QE4" s="13"/>
      <c r="QF4" s="13"/>
      <c r="QG4" s="13"/>
      <c r="QH4" s="13"/>
      <c r="QI4" s="13"/>
      <c r="QJ4" s="13"/>
      <c r="QK4" s="13"/>
      <c r="QL4" s="13"/>
      <c r="QM4" s="13"/>
      <c r="QN4" s="13"/>
      <c r="QO4" s="13"/>
      <c r="QP4" s="13"/>
      <c r="QQ4" s="13"/>
      <c r="QR4" s="13"/>
      <c r="QS4" s="13"/>
      <c r="QT4" s="13"/>
      <c r="QU4" s="13"/>
      <c r="QV4" s="13"/>
      <c r="QW4" s="13"/>
      <c r="QX4" s="36">
        <v>100000000</v>
      </c>
    </row>
    <row r="5" spans="1:466" ht="22.5" customHeight="1" x14ac:dyDescent="0.35">
      <c r="A5" s="13" t="s">
        <v>1</v>
      </c>
      <c r="B5" s="14" t="s">
        <v>11</v>
      </c>
      <c r="C5" s="13" t="s">
        <v>12</v>
      </c>
      <c r="D5" s="13" t="s">
        <v>13</v>
      </c>
      <c r="E5" s="13" t="s">
        <v>14</v>
      </c>
      <c r="F5" s="13" t="s">
        <v>15</v>
      </c>
      <c r="G5" s="13" t="s">
        <v>16</v>
      </c>
      <c r="H5" s="13" t="s">
        <v>17</v>
      </c>
      <c r="I5" s="13" t="s">
        <v>18</v>
      </c>
      <c r="J5" s="13" t="s">
        <v>19</v>
      </c>
      <c r="K5" s="13" t="s">
        <v>20</v>
      </c>
      <c r="L5" s="13" t="s">
        <v>21</v>
      </c>
      <c r="M5" s="13" t="s">
        <v>22</v>
      </c>
      <c r="N5" s="13" t="s">
        <v>23</v>
      </c>
      <c r="O5" s="13" t="s">
        <v>24</v>
      </c>
      <c r="P5" s="13" t="s">
        <v>25</v>
      </c>
      <c r="Q5" s="13" t="s">
        <v>26</v>
      </c>
      <c r="R5" s="13" t="s">
        <v>27</v>
      </c>
      <c r="S5" s="13" t="s">
        <v>28</v>
      </c>
      <c r="T5" s="13" t="s">
        <v>29</v>
      </c>
      <c r="U5" s="13" t="s">
        <v>30</v>
      </c>
      <c r="V5" s="13" t="s">
        <v>31</v>
      </c>
      <c r="W5" s="13" t="s">
        <v>32</v>
      </c>
      <c r="X5" s="13" t="s">
        <v>33</v>
      </c>
      <c r="Y5" s="13" t="s">
        <v>34</v>
      </c>
      <c r="Z5" s="13" t="s">
        <v>35</v>
      </c>
      <c r="AA5" s="13" t="s">
        <v>36</v>
      </c>
      <c r="AB5" s="13" t="s">
        <v>37</v>
      </c>
      <c r="AC5" s="13" t="s">
        <v>38</v>
      </c>
      <c r="AD5" s="13" t="s">
        <v>39</v>
      </c>
      <c r="AF5" s="13" t="s">
        <v>1</v>
      </c>
      <c r="AG5" s="14" t="s">
        <v>11</v>
      </c>
      <c r="AH5" s="13" t="s">
        <v>12</v>
      </c>
      <c r="AI5" s="13" t="s">
        <v>13</v>
      </c>
      <c r="AJ5" s="13" t="s">
        <v>14</v>
      </c>
      <c r="AK5" s="13" t="s">
        <v>15</v>
      </c>
      <c r="AL5" s="13" t="s">
        <v>16</v>
      </c>
      <c r="AM5" s="13" t="s">
        <v>17</v>
      </c>
      <c r="AN5" s="13" t="s">
        <v>18</v>
      </c>
      <c r="AO5" s="13" t="s">
        <v>19</v>
      </c>
      <c r="AP5" s="13" t="s">
        <v>20</v>
      </c>
      <c r="AQ5" s="13" t="s">
        <v>21</v>
      </c>
      <c r="AR5" s="13" t="s">
        <v>22</v>
      </c>
      <c r="AS5" s="13" t="s">
        <v>23</v>
      </c>
      <c r="AT5" s="13" t="s">
        <v>24</v>
      </c>
      <c r="AU5" s="13" t="s">
        <v>25</v>
      </c>
      <c r="AV5" s="13" t="s">
        <v>26</v>
      </c>
      <c r="AW5" s="13" t="s">
        <v>27</v>
      </c>
      <c r="AX5" s="13" t="s">
        <v>28</v>
      </c>
      <c r="AY5" s="13" t="s">
        <v>29</v>
      </c>
      <c r="AZ5" s="13" t="s">
        <v>30</v>
      </c>
      <c r="BA5" s="13" t="s">
        <v>31</v>
      </c>
      <c r="BB5" s="13" t="s">
        <v>32</v>
      </c>
      <c r="BC5" s="13" t="s">
        <v>33</v>
      </c>
      <c r="BD5" s="13" t="s">
        <v>34</v>
      </c>
      <c r="BE5" s="13" t="s">
        <v>35</v>
      </c>
      <c r="BF5" s="13" t="s">
        <v>36</v>
      </c>
      <c r="BG5" s="13" t="s">
        <v>37</v>
      </c>
      <c r="BH5" s="13" t="s">
        <v>38</v>
      </c>
      <c r="BI5" s="13" t="s">
        <v>39</v>
      </c>
      <c r="BK5" s="13" t="s">
        <v>1</v>
      </c>
      <c r="BL5" s="14" t="s">
        <v>11</v>
      </c>
      <c r="BM5" s="13" t="s">
        <v>12</v>
      </c>
      <c r="BN5" s="13" t="s">
        <v>13</v>
      </c>
      <c r="BO5" s="13" t="s">
        <v>14</v>
      </c>
      <c r="BP5" s="13" t="s">
        <v>15</v>
      </c>
      <c r="BQ5" s="13" t="s">
        <v>16</v>
      </c>
      <c r="BR5" s="13" t="s">
        <v>17</v>
      </c>
      <c r="BS5" s="13" t="s">
        <v>18</v>
      </c>
      <c r="BT5" s="13" t="s">
        <v>19</v>
      </c>
      <c r="BU5" s="13" t="s">
        <v>20</v>
      </c>
      <c r="BV5" s="13" t="s">
        <v>21</v>
      </c>
      <c r="BW5" s="13" t="s">
        <v>22</v>
      </c>
      <c r="BX5" s="13" t="s">
        <v>23</v>
      </c>
      <c r="BY5" s="13" t="s">
        <v>24</v>
      </c>
      <c r="BZ5" s="13" t="s">
        <v>25</v>
      </c>
      <c r="CA5" s="13" t="s">
        <v>26</v>
      </c>
      <c r="CB5" s="13" t="s">
        <v>27</v>
      </c>
      <c r="CC5" s="13" t="s">
        <v>28</v>
      </c>
      <c r="CD5" s="13" t="s">
        <v>29</v>
      </c>
      <c r="CE5" s="13" t="s">
        <v>30</v>
      </c>
      <c r="CF5" s="13" t="s">
        <v>31</v>
      </c>
      <c r="CG5" s="13" t="s">
        <v>32</v>
      </c>
      <c r="CH5" s="13" t="s">
        <v>33</v>
      </c>
      <c r="CI5" s="13" t="s">
        <v>34</v>
      </c>
      <c r="CJ5" s="13" t="s">
        <v>35</v>
      </c>
      <c r="CK5" s="13" t="s">
        <v>36</v>
      </c>
      <c r="CL5" s="13" t="s">
        <v>37</v>
      </c>
      <c r="CM5" s="13" t="s">
        <v>38</v>
      </c>
      <c r="CN5" s="13" t="s">
        <v>39</v>
      </c>
      <c r="CP5" s="13" t="s">
        <v>1</v>
      </c>
      <c r="CQ5" s="14" t="s">
        <v>11</v>
      </c>
      <c r="CR5" s="13" t="s">
        <v>12</v>
      </c>
      <c r="CS5" s="13" t="s">
        <v>13</v>
      </c>
      <c r="CT5" s="13" t="s">
        <v>14</v>
      </c>
      <c r="CU5" s="13" t="s">
        <v>15</v>
      </c>
      <c r="CV5" s="13" t="s">
        <v>16</v>
      </c>
      <c r="CW5" s="13" t="s">
        <v>17</v>
      </c>
      <c r="CX5" s="13" t="s">
        <v>18</v>
      </c>
      <c r="CY5" s="13" t="s">
        <v>19</v>
      </c>
      <c r="CZ5" s="13" t="s">
        <v>20</v>
      </c>
      <c r="DA5" s="13" t="s">
        <v>21</v>
      </c>
      <c r="DB5" s="13" t="s">
        <v>22</v>
      </c>
      <c r="DC5" s="13" t="s">
        <v>23</v>
      </c>
      <c r="DD5" s="13" t="s">
        <v>24</v>
      </c>
      <c r="DE5" s="13" t="s">
        <v>25</v>
      </c>
      <c r="DF5" s="13" t="s">
        <v>26</v>
      </c>
      <c r="DG5" s="13" t="s">
        <v>27</v>
      </c>
      <c r="DH5" s="13" t="s">
        <v>28</v>
      </c>
      <c r="DI5" s="13" t="s">
        <v>29</v>
      </c>
      <c r="DJ5" s="13" t="s">
        <v>30</v>
      </c>
      <c r="DK5" s="13" t="s">
        <v>31</v>
      </c>
      <c r="DL5" s="13" t="s">
        <v>32</v>
      </c>
      <c r="DM5" s="13" t="s">
        <v>33</v>
      </c>
      <c r="DN5" s="13" t="s">
        <v>34</v>
      </c>
      <c r="DO5" s="13" t="s">
        <v>35</v>
      </c>
      <c r="DP5" s="13" t="s">
        <v>36</v>
      </c>
      <c r="DQ5" s="13" t="s">
        <v>37</v>
      </c>
      <c r="DR5" s="13" t="s">
        <v>38</v>
      </c>
      <c r="DS5" s="13" t="s">
        <v>39</v>
      </c>
      <c r="DV5" s="13" t="s">
        <v>1</v>
      </c>
      <c r="DW5" s="14" t="s">
        <v>11</v>
      </c>
      <c r="DX5" s="13" t="s">
        <v>12</v>
      </c>
      <c r="DY5" s="13" t="s">
        <v>13</v>
      </c>
      <c r="DZ5" s="13" t="s">
        <v>14</v>
      </c>
      <c r="EA5" s="13" t="s">
        <v>15</v>
      </c>
      <c r="EB5" s="13" t="s">
        <v>16</v>
      </c>
      <c r="EC5" s="13" t="s">
        <v>17</v>
      </c>
      <c r="ED5" s="13" t="s">
        <v>18</v>
      </c>
      <c r="EE5" s="13" t="s">
        <v>19</v>
      </c>
      <c r="EF5" s="13" t="s">
        <v>20</v>
      </c>
      <c r="EG5" s="13" t="s">
        <v>21</v>
      </c>
      <c r="EH5" s="13" t="s">
        <v>22</v>
      </c>
      <c r="EI5" s="13" t="s">
        <v>23</v>
      </c>
      <c r="EJ5" s="13" t="s">
        <v>24</v>
      </c>
      <c r="EK5" s="13" t="s">
        <v>25</v>
      </c>
      <c r="EL5" s="13" t="s">
        <v>26</v>
      </c>
      <c r="EM5" s="13" t="s">
        <v>27</v>
      </c>
      <c r="EN5" s="13" t="s">
        <v>28</v>
      </c>
      <c r="EO5" s="13" t="s">
        <v>29</v>
      </c>
      <c r="EP5" s="13" t="s">
        <v>30</v>
      </c>
      <c r="EQ5" s="13" t="s">
        <v>31</v>
      </c>
      <c r="ER5" s="13" t="s">
        <v>32</v>
      </c>
      <c r="ES5" s="13" t="s">
        <v>33</v>
      </c>
      <c r="ET5" s="13" t="s">
        <v>34</v>
      </c>
      <c r="EU5" s="13" t="s">
        <v>35</v>
      </c>
      <c r="EV5" s="13" t="s">
        <v>36</v>
      </c>
      <c r="EW5" s="13" t="s">
        <v>37</v>
      </c>
      <c r="EX5" s="13" t="s">
        <v>38</v>
      </c>
      <c r="EY5" s="13" t="s">
        <v>39</v>
      </c>
      <c r="FB5" s="13" t="s">
        <v>1</v>
      </c>
      <c r="FC5" s="14" t="s">
        <v>11</v>
      </c>
      <c r="FD5" s="13" t="s">
        <v>12</v>
      </c>
      <c r="FE5" s="13" t="s">
        <v>13</v>
      </c>
      <c r="FF5" s="13" t="s">
        <v>14</v>
      </c>
      <c r="FG5" s="13" t="s">
        <v>15</v>
      </c>
      <c r="FH5" s="13" t="s">
        <v>16</v>
      </c>
      <c r="FI5" s="13" t="s">
        <v>17</v>
      </c>
      <c r="FJ5" s="13" t="s">
        <v>18</v>
      </c>
      <c r="FK5" s="13" t="s">
        <v>19</v>
      </c>
      <c r="FL5" s="13" t="s">
        <v>20</v>
      </c>
      <c r="FM5" s="13" t="s">
        <v>21</v>
      </c>
      <c r="FN5" s="13" t="s">
        <v>22</v>
      </c>
      <c r="FO5" s="13" t="s">
        <v>23</v>
      </c>
      <c r="FP5" s="13" t="s">
        <v>24</v>
      </c>
      <c r="FQ5" s="13" t="s">
        <v>25</v>
      </c>
      <c r="FR5" s="13" t="s">
        <v>26</v>
      </c>
      <c r="FS5" s="13" t="s">
        <v>27</v>
      </c>
      <c r="FT5" s="13" t="s">
        <v>28</v>
      </c>
      <c r="FU5" s="13" t="s">
        <v>29</v>
      </c>
      <c r="FV5" s="13" t="s">
        <v>30</v>
      </c>
      <c r="FW5" s="13" t="s">
        <v>31</v>
      </c>
      <c r="FX5" s="13" t="s">
        <v>32</v>
      </c>
      <c r="FY5" s="13" t="s">
        <v>33</v>
      </c>
      <c r="FZ5" s="13" t="s">
        <v>34</v>
      </c>
      <c r="GA5" s="13" t="s">
        <v>35</v>
      </c>
      <c r="GB5" s="13" t="s">
        <v>36</v>
      </c>
      <c r="GC5" s="13" t="s">
        <v>37</v>
      </c>
      <c r="GD5" s="13" t="s">
        <v>38</v>
      </c>
      <c r="GE5" s="13" t="s">
        <v>39</v>
      </c>
      <c r="GG5" s="13" t="s">
        <v>1</v>
      </c>
      <c r="GH5" s="14" t="s">
        <v>11</v>
      </c>
      <c r="GI5" s="13" t="s">
        <v>12</v>
      </c>
      <c r="GJ5" s="13" t="s">
        <v>13</v>
      </c>
      <c r="GK5" s="13" t="s">
        <v>14</v>
      </c>
      <c r="GL5" s="13" t="s">
        <v>15</v>
      </c>
      <c r="GM5" s="13" t="s">
        <v>16</v>
      </c>
      <c r="GN5" s="13" t="s">
        <v>17</v>
      </c>
      <c r="GO5" s="13" t="s">
        <v>18</v>
      </c>
      <c r="GP5" s="13" t="s">
        <v>19</v>
      </c>
      <c r="GQ5" s="13" t="s">
        <v>20</v>
      </c>
      <c r="GR5" s="13" t="s">
        <v>21</v>
      </c>
      <c r="GS5" s="13" t="s">
        <v>22</v>
      </c>
      <c r="GT5" s="13" t="s">
        <v>23</v>
      </c>
      <c r="GU5" s="13" t="s">
        <v>24</v>
      </c>
      <c r="GV5" s="13" t="s">
        <v>25</v>
      </c>
      <c r="GW5" s="13" t="s">
        <v>26</v>
      </c>
      <c r="GX5" s="13" t="s">
        <v>27</v>
      </c>
      <c r="GY5" s="13" t="s">
        <v>28</v>
      </c>
      <c r="GZ5" s="13" t="s">
        <v>29</v>
      </c>
      <c r="HA5" s="13" t="s">
        <v>30</v>
      </c>
      <c r="HB5" s="13" t="s">
        <v>31</v>
      </c>
      <c r="HC5" s="13" t="s">
        <v>32</v>
      </c>
      <c r="HD5" s="13" t="s">
        <v>33</v>
      </c>
      <c r="HE5" s="13" t="s">
        <v>34</v>
      </c>
      <c r="HF5" s="13" t="s">
        <v>35</v>
      </c>
      <c r="HG5" s="13" t="s">
        <v>36</v>
      </c>
      <c r="HH5" s="13" t="s">
        <v>37</v>
      </c>
      <c r="HI5" s="13" t="s">
        <v>38</v>
      </c>
      <c r="HJ5" s="13" t="s">
        <v>39</v>
      </c>
      <c r="HL5" s="13" t="s">
        <v>1</v>
      </c>
      <c r="HM5" s="14" t="s">
        <v>11</v>
      </c>
      <c r="HN5" s="13" t="s">
        <v>12</v>
      </c>
      <c r="HO5" s="13" t="s">
        <v>13</v>
      </c>
      <c r="HP5" s="13" t="s">
        <v>14</v>
      </c>
      <c r="HQ5" s="13" t="s">
        <v>15</v>
      </c>
      <c r="HR5" s="13" t="s">
        <v>16</v>
      </c>
      <c r="HS5" s="13" t="s">
        <v>17</v>
      </c>
      <c r="HT5" s="13" t="s">
        <v>18</v>
      </c>
      <c r="HU5" s="13" t="s">
        <v>19</v>
      </c>
      <c r="HV5" s="13" t="s">
        <v>20</v>
      </c>
      <c r="HW5" s="13" t="s">
        <v>21</v>
      </c>
      <c r="HX5" s="13" t="s">
        <v>22</v>
      </c>
      <c r="HY5" s="13" t="s">
        <v>23</v>
      </c>
      <c r="HZ5" s="13" t="s">
        <v>24</v>
      </c>
      <c r="IA5" s="13" t="s">
        <v>25</v>
      </c>
      <c r="IB5" s="13" t="s">
        <v>26</v>
      </c>
      <c r="IC5" s="13" t="s">
        <v>27</v>
      </c>
      <c r="ID5" s="13" t="s">
        <v>28</v>
      </c>
      <c r="IE5" s="13" t="s">
        <v>29</v>
      </c>
      <c r="IF5" s="13" t="s">
        <v>30</v>
      </c>
      <c r="IG5" s="13" t="s">
        <v>31</v>
      </c>
      <c r="IH5" s="13" t="s">
        <v>32</v>
      </c>
      <c r="II5" s="13" t="s">
        <v>33</v>
      </c>
      <c r="IJ5" s="13" t="s">
        <v>34</v>
      </c>
      <c r="IK5" s="13" t="s">
        <v>35</v>
      </c>
      <c r="IL5" s="13" t="s">
        <v>36</v>
      </c>
      <c r="IM5" s="13" t="s">
        <v>37</v>
      </c>
      <c r="IN5" s="13" t="s">
        <v>38</v>
      </c>
      <c r="IO5" s="13" t="s">
        <v>39</v>
      </c>
      <c r="IQ5" s="13" t="s">
        <v>1</v>
      </c>
      <c r="IR5" s="14" t="s">
        <v>11</v>
      </c>
      <c r="IS5" s="13" t="s">
        <v>12</v>
      </c>
      <c r="IT5" s="13" t="s">
        <v>13</v>
      </c>
      <c r="IU5" s="13" t="s">
        <v>14</v>
      </c>
      <c r="IV5" s="13" t="s">
        <v>15</v>
      </c>
      <c r="IW5" s="13" t="s">
        <v>16</v>
      </c>
      <c r="IX5" s="13" t="s">
        <v>17</v>
      </c>
      <c r="IY5" s="13" t="s">
        <v>18</v>
      </c>
      <c r="IZ5" s="13" t="s">
        <v>19</v>
      </c>
      <c r="JA5" s="13" t="s">
        <v>20</v>
      </c>
      <c r="JB5" s="13" t="s">
        <v>21</v>
      </c>
      <c r="JC5" s="13" t="s">
        <v>22</v>
      </c>
      <c r="JD5" s="13" t="s">
        <v>23</v>
      </c>
      <c r="JE5" s="13" t="s">
        <v>24</v>
      </c>
      <c r="JF5" s="13" t="s">
        <v>25</v>
      </c>
      <c r="JG5" s="13" t="s">
        <v>26</v>
      </c>
      <c r="JH5" s="13" t="s">
        <v>27</v>
      </c>
      <c r="JI5" s="13" t="s">
        <v>28</v>
      </c>
      <c r="JJ5" s="13" t="s">
        <v>29</v>
      </c>
      <c r="JK5" s="13" t="s">
        <v>30</v>
      </c>
      <c r="JL5" s="13" t="s">
        <v>31</v>
      </c>
      <c r="JM5" s="13" t="s">
        <v>32</v>
      </c>
      <c r="JN5" s="13" t="s">
        <v>33</v>
      </c>
      <c r="JO5" s="13" t="s">
        <v>34</v>
      </c>
      <c r="JP5" s="13" t="s">
        <v>35</v>
      </c>
      <c r="JQ5" s="13" t="s">
        <v>36</v>
      </c>
      <c r="JR5" s="13" t="s">
        <v>37</v>
      </c>
      <c r="JS5" s="13" t="s">
        <v>38</v>
      </c>
      <c r="JT5" s="13" t="s">
        <v>39</v>
      </c>
      <c r="JV5" s="13" t="s">
        <v>1</v>
      </c>
      <c r="JW5" s="14" t="s">
        <v>11</v>
      </c>
      <c r="JX5" s="13" t="s">
        <v>12</v>
      </c>
      <c r="JY5" s="13" t="s">
        <v>13</v>
      </c>
      <c r="JZ5" s="13" t="s">
        <v>14</v>
      </c>
      <c r="KA5" s="13" t="s">
        <v>15</v>
      </c>
      <c r="KB5" s="13" t="s">
        <v>16</v>
      </c>
      <c r="KC5" s="13" t="s">
        <v>17</v>
      </c>
      <c r="KD5" s="13" t="s">
        <v>18</v>
      </c>
      <c r="KE5" s="13" t="s">
        <v>19</v>
      </c>
      <c r="KF5" s="13" t="s">
        <v>20</v>
      </c>
      <c r="KG5" s="13" t="s">
        <v>21</v>
      </c>
      <c r="KH5" s="13" t="s">
        <v>22</v>
      </c>
      <c r="KI5" s="13" t="s">
        <v>23</v>
      </c>
      <c r="KJ5" s="13" t="s">
        <v>24</v>
      </c>
      <c r="KK5" s="13" t="s">
        <v>25</v>
      </c>
      <c r="KL5" s="13" t="s">
        <v>26</v>
      </c>
      <c r="KM5" s="13" t="s">
        <v>27</v>
      </c>
      <c r="KN5" s="13" t="s">
        <v>28</v>
      </c>
      <c r="KO5" s="13" t="s">
        <v>29</v>
      </c>
      <c r="KP5" s="13" t="s">
        <v>30</v>
      </c>
      <c r="KQ5" s="13" t="s">
        <v>31</v>
      </c>
      <c r="KR5" s="13" t="s">
        <v>32</v>
      </c>
      <c r="KS5" s="13" t="s">
        <v>33</v>
      </c>
      <c r="KT5" s="13" t="s">
        <v>34</v>
      </c>
      <c r="KU5" s="13" t="s">
        <v>35</v>
      </c>
      <c r="KV5" s="13" t="s">
        <v>36</v>
      </c>
      <c r="KW5" s="13" t="s">
        <v>37</v>
      </c>
      <c r="KX5" s="13" t="s">
        <v>38</v>
      </c>
      <c r="KY5" s="13" t="s">
        <v>39</v>
      </c>
      <c r="LA5" s="13" t="s">
        <v>1</v>
      </c>
      <c r="LB5" s="14" t="s">
        <v>11</v>
      </c>
      <c r="LC5" s="13" t="s">
        <v>12</v>
      </c>
      <c r="LD5" s="13" t="s">
        <v>13</v>
      </c>
      <c r="LE5" s="13" t="s">
        <v>14</v>
      </c>
      <c r="LF5" s="13" t="s">
        <v>15</v>
      </c>
      <c r="LG5" s="13" t="s">
        <v>16</v>
      </c>
      <c r="LH5" s="13" t="s">
        <v>17</v>
      </c>
      <c r="LI5" s="13" t="s">
        <v>18</v>
      </c>
      <c r="LJ5" s="13" t="s">
        <v>19</v>
      </c>
      <c r="LK5" s="13" t="s">
        <v>20</v>
      </c>
      <c r="LL5" s="13" t="s">
        <v>21</v>
      </c>
      <c r="LM5" s="13" t="s">
        <v>22</v>
      </c>
      <c r="LN5" s="13" t="s">
        <v>23</v>
      </c>
      <c r="LO5" s="13" t="s">
        <v>24</v>
      </c>
      <c r="LP5" s="13" t="s">
        <v>25</v>
      </c>
      <c r="LQ5" s="13" t="s">
        <v>26</v>
      </c>
      <c r="LR5" s="13" t="s">
        <v>27</v>
      </c>
      <c r="LS5" s="13" t="s">
        <v>28</v>
      </c>
      <c r="LT5" s="13" t="s">
        <v>29</v>
      </c>
      <c r="LU5" s="13" t="s">
        <v>30</v>
      </c>
      <c r="LV5" s="13" t="s">
        <v>31</v>
      </c>
      <c r="LW5" s="13" t="s">
        <v>32</v>
      </c>
      <c r="LX5" s="13" t="s">
        <v>33</v>
      </c>
      <c r="LY5" s="13" t="s">
        <v>34</v>
      </c>
      <c r="LZ5" s="13" t="s">
        <v>35</v>
      </c>
      <c r="MA5" s="13" t="s">
        <v>36</v>
      </c>
      <c r="MB5" s="13" t="s">
        <v>37</v>
      </c>
      <c r="MC5" s="13" t="s">
        <v>38</v>
      </c>
      <c r="MD5" s="13" t="s">
        <v>39</v>
      </c>
      <c r="MF5" s="13" t="s">
        <v>1</v>
      </c>
      <c r="MG5" s="14" t="s">
        <v>11</v>
      </c>
      <c r="MH5" s="13" t="s">
        <v>12</v>
      </c>
      <c r="MI5" s="13" t="s">
        <v>13</v>
      </c>
      <c r="MJ5" s="13" t="s">
        <v>14</v>
      </c>
      <c r="MK5" s="13" t="s">
        <v>15</v>
      </c>
      <c r="ML5" s="13" t="s">
        <v>16</v>
      </c>
      <c r="MM5" s="13" t="s">
        <v>17</v>
      </c>
      <c r="MN5" s="13" t="s">
        <v>18</v>
      </c>
      <c r="MO5" s="13" t="s">
        <v>19</v>
      </c>
      <c r="MP5" s="13" t="s">
        <v>20</v>
      </c>
      <c r="MQ5" s="13" t="s">
        <v>21</v>
      </c>
      <c r="MR5" s="13" t="s">
        <v>22</v>
      </c>
      <c r="MS5" s="13" t="s">
        <v>23</v>
      </c>
      <c r="MT5" s="13" t="s">
        <v>24</v>
      </c>
      <c r="MU5" s="13" t="s">
        <v>25</v>
      </c>
      <c r="MV5" s="13" t="s">
        <v>26</v>
      </c>
      <c r="MW5" s="13" t="s">
        <v>27</v>
      </c>
      <c r="MX5" s="13" t="s">
        <v>28</v>
      </c>
      <c r="MY5" s="13" t="s">
        <v>29</v>
      </c>
      <c r="MZ5" s="13" t="s">
        <v>30</v>
      </c>
      <c r="NA5" s="13" t="s">
        <v>31</v>
      </c>
      <c r="NB5" s="13" t="s">
        <v>32</v>
      </c>
      <c r="NC5" s="13" t="s">
        <v>33</v>
      </c>
      <c r="ND5" s="13" t="s">
        <v>34</v>
      </c>
      <c r="NE5" s="13" t="s">
        <v>35</v>
      </c>
      <c r="NF5" s="13" t="s">
        <v>36</v>
      </c>
      <c r="NG5" s="13" t="s">
        <v>37</v>
      </c>
      <c r="NH5" s="13" t="s">
        <v>38</v>
      </c>
      <c r="NI5" s="13" t="s">
        <v>39</v>
      </c>
      <c r="NK5" s="13" t="s">
        <v>1</v>
      </c>
      <c r="NL5" s="14" t="s">
        <v>11</v>
      </c>
      <c r="NM5" s="13" t="s">
        <v>12</v>
      </c>
      <c r="NN5" s="13" t="s">
        <v>13</v>
      </c>
      <c r="NO5" s="13" t="s">
        <v>14</v>
      </c>
      <c r="NP5" s="13" t="s">
        <v>15</v>
      </c>
      <c r="NQ5" s="13" t="s">
        <v>16</v>
      </c>
      <c r="NR5" s="13" t="s">
        <v>17</v>
      </c>
      <c r="NS5" s="13" t="s">
        <v>18</v>
      </c>
      <c r="NT5" s="13" t="s">
        <v>19</v>
      </c>
      <c r="NU5" s="13" t="s">
        <v>20</v>
      </c>
      <c r="NV5" s="13" t="s">
        <v>21</v>
      </c>
      <c r="NW5" s="13" t="s">
        <v>22</v>
      </c>
      <c r="NX5" s="13" t="s">
        <v>23</v>
      </c>
      <c r="NY5" s="13" t="s">
        <v>24</v>
      </c>
      <c r="NZ5" s="13" t="s">
        <v>25</v>
      </c>
      <c r="OA5" s="13" t="s">
        <v>26</v>
      </c>
      <c r="OB5" s="13" t="s">
        <v>27</v>
      </c>
      <c r="OC5" s="13" t="s">
        <v>28</v>
      </c>
      <c r="OD5" s="13" t="s">
        <v>29</v>
      </c>
      <c r="OE5" s="13" t="s">
        <v>30</v>
      </c>
      <c r="OF5" s="13" t="s">
        <v>31</v>
      </c>
      <c r="OG5" s="13" t="s">
        <v>32</v>
      </c>
      <c r="OH5" s="13" t="s">
        <v>33</v>
      </c>
      <c r="OI5" s="13" t="s">
        <v>34</v>
      </c>
      <c r="OJ5" s="13" t="s">
        <v>35</v>
      </c>
      <c r="OK5" s="13" t="s">
        <v>36</v>
      </c>
      <c r="OL5" s="13" t="s">
        <v>37</v>
      </c>
      <c r="OM5" s="13" t="s">
        <v>38</v>
      </c>
      <c r="ON5" s="13" t="s">
        <v>39</v>
      </c>
      <c r="OP5" s="13" t="s">
        <v>1</v>
      </c>
      <c r="OQ5" s="14" t="s">
        <v>11</v>
      </c>
      <c r="OR5" s="13" t="s">
        <v>12</v>
      </c>
      <c r="OS5" s="13" t="s">
        <v>13</v>
      </c>
      <c r="OT5" s="13" t="s">
        <v>14</v>
      </c>
      <c r="OU5" s="13" t="s">
        <v>15</v>
      </c>
      <c r="OV5" s="13" t="s">
        <v>16</v>
      </c>
      <c r="OW5" s="13" t="s">
        <v>17</v>
      </c>
      <c r="OX5" s="13" t="s">
        <v>18</v>
      </c>
      <c r="OY5" s="13" t="s">
        <v>19</v>
      </c>
      <c r="OZ5" s="13" t="s">
        <v>20</v>
      </c>
      <c r="PA5" s="13" t="s">
        <v>21</v>
      </c>
      <c r="PB5" s="13" t="s">
        <v>22</v>
      </c>
      <c r="PC5" s="13" t="s">
        <v>23</v>
      </c>
      <c r="PD5" s="13" t="s">
        <v>24</v>
      </c>
      <c r="PE5" s="13" t="s">
        <v>25</v>
      </c>
      <c r="PF5" s="13" t="s">
        <v>26</v>
      </c>
      <c r="PG5" s="13" t="s">
        <v>27</v>
      </c>
      <c r="PH5" s="13" t="s">
        <v>28</v>
      </c>
      <c r="PI5" s="13" t="s">
        <v>29</v>
      </c>
      <c r="PJ5" s="13" t="s">
        <v>30</v>
      </c>
      <c r="PK5" s="13" t="s">
        <v>31</v>
      </c>
      <c r="PL5" s="13" t="s">
        <v>32</v>
      </c>
      <c r="PM5" s="13" t="s">
        <v>33</v>
      </c>
      <c r="PN5" s="13" t="s">
        <v>34</v>
      </c>
      <c r="PO5" s="13" t="s">
        <v>35</v>
      </c>
      <c r="PP5" s="13" t="s">
        <v>36</v>
      </c>
      <c r="PQ5" s="13" t="s">
        <v>37</v>
      </c>
      <c r="PR5" s="13" t="s">
        <v>38</v>
      </c>
      <c r="PS5" s="13" t="s">
        <v>39</v>
      </c>
      <c r="PU5" s="13" t="s">
        <v>1</v>
      </c>
      <c r="PV5" s="14" t="s">
        <v>11</v>
      </c>
      <c r="PW5" s="13" t="s">
        <v>12</v>
      </c>
      <c r="PX5" s="13" t="s">
        <v>13</v>
      </c>
      <c r="PY5" s="13" t="s">
        <v>14</v>
      </c>
      <c r="PZ5" s="13" t="s">
        <v>15</v>
      </c>
      <c r="QA5" s="13" t="s">
        <v>16</v>
      </c>
      <c r="QB5" s="13" t="s">
        <v>17</v>
      </c>
      <c r="QC5" s="13" t="s">
        <v>18</v>
      </c>
      <c r="QD5" s="13" t="s">
        <v>19</v>
      </c>
      <c r="QE5" s="13" t="s">
        <v>20</v>
      </c>
      <c r="QF5" s="13" t="s">
        <v>21</v>
      </c>
      <c r="QG5" s="13" t="s">
        <v>22</v>
      </c>
      <c r="QH5" s="13" t="s">
        <v>23</v>
      </c>
      <c r="QI5" s="13" t="s">
        <v>24</v>
      </c>
      <c r="QJ5" s="13" t="s">
        <v>25</v>
      </c>
      <c r="QK5" s="13" t="s">
        <v>26</v>
      </c>
      <c r="QL5" s="13" t="s">
        <v>27</v>
      </c>
      <c r="QM5" s="13" t="s">
        <v>28</v>
      </c>
      <c r="QN5" s="13" t="s">
        <v>29</v>
      </c>
      <c r="QO5" s="13" t="s">
        <v>30</v>
      </c>
      <c r="QP5" s="13" t="s">
        <v>31</v>
      </c>
      <c r="QQ5" s="13" t="s">
        <v>32</v>
      </c>
      <c r="QR5" s="13" t="s">
        <v>33</v>
      </c>
      <c r="QS5" s="13" t="s">
        <v>34</v>
      </c>
      <c r="QT5" s="13" t="s">
        <v>35</v>
      </c>
      <c r="QU5" s="13" t="s">
        <v>36</v>
      </c>
      <c r="QV5" s="13" t="s">
        <v>37</v>
      </c>
      <c r="QW5" s="13" t="s">
        <v>38</v>
      </c>
      <c r="QX5" s="13" t="s">
        <v>39</v>
      </c>
    </row>
    <row r="6" spans="1:466" ht="14.5" customHeight="1" thickBot="1" x14ac:dyDescent="0.4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5"/>
      <c r="AB6" s="15"/>
      <c r="AC6" s="15"/>
      <c r="AD6" s="15"/>
      <c r="AF6" s="15"/>
      <c r="AG6" s="16"/>
      <c r="AH6" s="15"/>
      <c r="AI6" s="15"/>
      <c r="AJ6" s="15"/>
      <c r="AK6" s="15"/>
      <c r="AL6" s="15"/>
      <c r="AM6" s="15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K6" s="15"/>
      <c r="BL6" s="16"/>
      <c r="BM6" s="15"/>
      <c r="BN6" s="15"/>
      <c r="BO6" s="15"/>
      <c r="BP6" s="15"/>
      <c r="BQ6" s="15"/>
      <c r="BR6" s="15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P6" s="15"/>
      <c r="CQ6" s="16"/>
      <c r="CR6" s="15"/>
      <c r="CS6" s="15"/>
      <c r="CT6" s="15"/>
      <c r="CU6" s="15"/>
      <c r="CV6" s="15"/>
      <c r="CW6" s="15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V6" s="15"/>
      <c r="DW6" s="16"/>
      <c r="DX6" s="15"/>
      <c r="DY6" s="15"/>
      <c r="DZ6" s="15"/>
      <c r="EA6" s="15"/>
      <c r="EB6" s="15"/>
      <c r="EC6" s="15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5"/>
      <c r="EP6" s="15"/>
      <c r="EQ6" s="15"/>
      <c r="ER6" s="15"/>
      <c r="ES6" s="15"/>
      <c r="ET6" s="15"/>
      <c r="EU6" s="15"/>
      <c r="EV6" s="15"/>
      <c r="EW6" s="15"/>
      <c r="EX6" s="15"/>
      <c r="EY6" s="15"/>
      <c r="FB6" s="15"/>
      <c r="FC6" s="16"/>
      <c r="FD6" s="15"/>
      <c r="FE6" s="15"/>
      <c r="FF6" s="15"/>
      <c r="FG6" s="15"/>
      <c r="FH6" s="15"/>
      <c r="FI6" s="15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5"/>
      <c r="FV6" s="15"/>
      <c r="FW6" s="15"/>
      <c r="FX6" s="15"/>
      <c r="FY6" s="15"/>
      <c r="FZ6" s="15"/>
      <c r="GA6" s="15"/>
      <c r="GB6" s="15"/>
      <c r="GC6" s="15"/>
      <c r="GD6" s="15"/>
      <c r="GE6" s="15"/>
      <c r="GG6" s="15"/>
      <c r="GH6" s="16"/>
      <c r="GI6" s="15"/>
      <c r="GJ6" s="15"/>
      <c r="GK6" s="15"/>
      <c r="GL6" s="15"/>
      <c r="GM6" s="15"/>
      <c r="GN6" s="15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5"/>
      <c r="HA6" s="15"/>
      <c r="HB6" s="15"/>
      <c r="HC6" s="15"/>
      <c r="HD6" s="15"/>
      <c r="HE6" s="15"/>
      <c r="HF6" s="15"/>
      <c r="HG6" s="15"/>
      <c r="HH6" s="15"/>
      <c r="HI6" s="15"/>
      <c r="HJ6" s="15"/>
      <c r="HL6" s="15"/>
      <c r="HM6" s="16"/>
      <c r="HN6" s="15"/>
      <c r="HO6" s="15"/>
      <c r="HP6" s="15"/>
      <c r="HQ6" s="15"/>
      <c r="HR6" s="15"/>
      <c r="HS6" s="15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5"/>
      <c r="IF6" s="15"/>
      <c r="IG6" s="15"/>
      <c r="IH6" s="15"/>
      <c r="II6" s="15"/>
      <c r="IJ6" s="15"/>
      <c r="IK6" s="15"/>
      <c r="IL6" s="15"/>
      <c r="IM6" s="15"/>
      <c r="IN6" s="15"/>
      <c r="IO6" s="15"/>
      <c r="IQ6" s="15"/>
      <c r="IR6" s="16"/>
      <c r="IS6" s="15"/>
      <c r="IT6" s="15"/>
      <c r="IU6" s="15"/>
      <c r="IV6" s="15"/>
      <c r="IW6" s="15"/>
      <c r="IX6" s="15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5"/>
      <c r="JK6" s="15"/>
      <c r="JL6" s="15"/>
      <c r="JM6" s="15"/>
      <c r="JN6" s="15"/>
      <c r="JO6" s="15"/>
      <c r="JP6" s="15"/>
      <c r="JQ6" s="15"/>
      <c r="JR6" s="15"/>
      <c r="JS6" s="15"/>
      <c r="JT6" s="15"/>
      <c r="JV6" s="15"/>
      <c r="JW6" s="16"/>
      <c r="JX6" s="15"/>
      <c r="JY6" s="15"/>
      <c r="JZ6" s="15"/>
      <c r="KA6" s="15"/>
      <c r="KB6" s="15"/>
      <c r="KC6" s="15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5"/>
      <c r="KP6" s="15"/>
      <c r="KQ6" s="15"/>
      <c r="KR6" s="15"/>
      <c r="KS6" s="15"/>
      <c r="KT6" s="15"/>
      <c r="KU6" s="15"/>
      <c r="KV6" s="15"/>
      <c r="KW6" s="15"/>
      <c r="KX6" s="15"/>
      <c r="KY6" s="15"/>
      <c r="LA6" s="15"/>
      <c r="LB6" s="16"/>
      <c r="LC6" s="15"/>
      <c r="LD6" s="15"/>
      <c r="LE6" s="15"/>
      <c r="LF6" s="15"/>
      <c r="LG6" s="15"/>
      <c r="LH6" s="15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5"/>
      <c r="LU6" s="15"/>
      <c r="LV6" s="15"/>
      <c r="LW6" s="15"/>
      <c r="LX6" s="15"/>
      <c r="LY6" s="15"/>
      <c r="LZ6" s="15"/>
      <c r="MA6" s="15"/>
      <c r="MB6" s="15"/>
      <c r="MC6" s="15"/>
      <c r="MD6" s="15"/>
      <c r="MF6" s="15"/>
      <c r="MG6" s="16"/>
      <c r="MH6" s="15"/>
      <c r="MI6" s="15"/>
      <c r="MJ6" s="15"/>
      <c r="MK6" s="15"/>
      <c r="ML6" s="15"/>
      <c r="MM6" s="15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5"/>
      <c r="MZ6" s="15"/>
      <c r="NA6" s="15"/>
      <c r="NB6" s="15"/>
      <c r="NC6" s="15"/>
      <c r="ND6" s="15"/>
      <c r="NE6" s="15"/>
      <c r="NF6" s="15"/>
      <c r="NG6" s="15"/>
      <c r="NH6" s="15"/>
      <c r="NI6" s="15"/>
      <c r="NK6" s="15"/>
      <c r="NL6" s="16"/>
      <c r="NM6" s="15"/>
      <c r="NN6" s="15"/>
      <c r="NO6" s="15"/>
      <c r="NP6" s="15"/>
      <c r="NQ6" s="15"/>
      <c r="NR6" s="15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5"/>
      <c r="OE6" s="15"/>
      <c r="OF6" s="15"/>
      <c r="OG6" s="15"/>
      <c r="OH6" s="15"/>
      <c r="OI6" s="15"/>
      <c r="OJ6" s="15"/>
      <c r="OK6" s="15"/>
      <c r="OL6" s="15"/>
      <c r="OM6" s="15"/>
      <c r="ON6" s="15"/>
      <c r="OP6" s="15"/>
      <c r="OQ6" s="16"/>
      <c r="OR6" s="15"/>
      <c r="OS6" s="15"/>
      <c r="OT6" s="15"/>
      <c r="OU6" s="15"/>
      <c r="OV6" s="15"/>
      <c r="OW6" s="15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5"/>
      <c r="PJ6" s="15"/>
      <c r="PK6" s="15"/>
      <c r="PL6" s="15"/>
      <c r="PM6" s="15"/>
      <c r="PN6" s="15"/>
      <c r="PO6" s="15"/>
      <c r="PP6" s="15"/>
      <c r="PQ6" s="15"/>
      <c r="PR6" s="15"/>
      <c r="PS6" s="15"/>
      <c r="PU6" s="15"/>
      <c r="PV6" s="16"/>
      <c r="PW6" s="15"/>
      <c r="PX6" s="15"/>
      <c r="PY6" s="15"/>
      <c r="PZ6" s="15"/>
      <c r="QA6" s="15"/>
      <c r="QB6" s="15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5"/>
      <c r="QO6" s="15"/>
      <c r="QP6" s="15"/>
      <c r="QQ6" s="15"/>
      <c r="QR6" s="15"/>
      <c r="QS6" s="15"/>
      <c r="QT6" s="15"/>
      <c r="QU6" s="15"/>
      <c r="QV6" s="15"/>
      <c r="QW6" s="15"/>
      <c r="QX6" s="15"/>
    </row>
    <row r="7" spans="1:466" x14ac:dyDescent="0.35">
      <c r="A7" s="99">
        <v>46023</v>
      </c>
      <c r="B7" s="17" t="s">
        <v>40</v>
      </c>
      <c r="C7" s="18"/>
      <c r="D7" s="18"/>
      <c r="E7" s="18"/>
      <c r="F7" s="18"/>
      <c r="G7" s="18"/>
      <c r="H7" s="18"/>
      <c r="I7" s="18">
        <v>1370</v>
      </c>
      <c r="J7" s="18">
        <v>5479</v>
      </c>
      <c r="K7" s="18">
        <v>10959</v>
      </c>
      <c r="L7" s="18">
        <v>16438</v>
      </c>
      <c r="M7" s="18">
        <v>20548</v>
      </c>
      <c r="N7" s="18">
        <v>23288</v>
      </c>
      <c r="O7" s="18">
        <v>23288</v>
      </c>
      <c r="P7" s="18">
        <v>17808</v>
      </c>
      <c r="Q7" s="18">
        <v>10959</v>
      </c>
      <c r="R7" s="18">
        <v>5479</v>
      </c>
      <c r="S7" s="18">
        <v>1370</v>
      </c>
      <c r="T7" s="18"/>
      <c r="U7" s="18"/>
      <c r="V7" s="18"/>
      <c r="W7" s="18"/>
      <c r="X7" s="18"/>
      <c r="Y7" s="18"/>
      <c r="Z7" s="18"/>
      <c r="AA7" s="19">
        <f>+SUM(C7:Z7)</f>
        <v>136986</v>
      </c>
      <c r="AB7" s="37">
        <v>20</v>
      </c>
      <c r="AC7" s="19">
        <f>+AA7*AB7</f>
        <v>2739720</v>
      </c>
      <c r="AD7" s="102">
        <f>+SUM(AC7:AC10)</f>
        <v>4246566</v>
      </c>
      <c r="AF7" s="99">
        <v>46388</v>
      </c>
      <c r="AG7" s="17" t="s">
        <v>40</v>
      </c>
      <c r="AH7" s="18"/>
      <c r="AI7" s="18"/>
      <c r="AJ7" s="18"/>
      <c r="AK7" s="18"/>
      <c r="AL7" s="18"/>
      <c r="AM7" s="18"/>
      <c r="AN7" s="18">
        <v>1370</v>
      </c>
      <c r="AO7" s="18">
        <v>5479</v>
      </c>
      <c r="AP7" s="18">
        <v>10959</v>
      </c>
      <c r="AQ7" s="18">
        <v>16438</v>
      </c>
      <c r="AR7" s="18">
        <v>20548</v>
      </c>
      <c r="AS7" s="18">
        <v>23288</v>
      </c>
      <c r="AT7" s="18">
        <v>23288</v>
      </c>
      <c r="AU7" s="18">
        <v>17808</v>
      </c>
      <c r="AV7" s="18">
        <v>10959</v>
      </c>
      <c r="AW7" s="18">
        <v>5479</v>
      </c>
      <c r="AX7" s="18">
        <v>1370</v>
      </c>
      <c r="AY7" s="18"/>
      <c r="AZ7" s="18"/>
      <c r="BA7" s="18"/>
      <c r="BB7" s="18"/>
      <c r="BC7" s="18"/>
      <c r="BD7" s="18"/>
      <c r="BE7" s="18"/>
      <c r="BF7" s="19">
        <f>+SUM(AH7:BE7)</f>
        <v>136986</v>
      </c>
      <c r="BG7" s="37">
        <v>19</v>
      </c>
      <c r="BH7" s="19">
        <f>+BG7*BF7</f>
        <v>2602734</v>
      </c>
      <c r="BI7" s="102">
        <f>+SUM(BH7:BH10)</f>
        <v>4246566</v>
      </c>
      <c r="BK7" s="99">
        <v>46753</v>
      </c>
      <c r="BL7" s="17" t="s">
        <v>40</v>
      </c>
      <c r="BM7" s="18"/>
      <c r="BN7" s="18"/>
      <c r="BO7" s="18"/>
      <c r="BP7" s="18"/>
      <c r="BQ7" s="18"/>
      <c r="BR7" s="18"/>
      <c r="BS7" s="18">
        <v>1366</v>
      </c>
      <c r="BT7" s="18">
        <v>5464</v>
      </c>
      <c r="BU7" s="18">
        <v>10929</v>
      </c>
      <c r="BV7" s="18">
        <v>16393</v>
      </c>
      <c r="BW7" s="18">
        <v>20492</v>
      </c>
      <c r="BX7" s="18">
        <v>23224</v>
      </c>
      <c r="BY7" s="18">
        <v>23224</v>
      </c>
      <c r="BZ7" s="18">
        <v>17760</v>
      </c>
      <c r="CA7" s="18">
        <v>10929</v>
      </c>
      <c r="CB7" s="18">
        <v>5464</v>
      </c>
      <c r="CC7" s="18">
        <v>1366</v>
      </c>
      <c r="CD7" s="18"/>
      <c r="CE7" s="18"/>
      <c r="CF7" s="18"/>
      <c r="CG7" s="18"/>
      <c r="CH7" s="18"/>
      <c r="CI7" s="18"/>
      <c r="CJ7" s="18"/>
      <c r="CK7" s="19">
        <f>+SUM(BM7:CJ7)</f>
        <v>136611</v>
      </c>
      <c r="CL7" s="37">
        <v>20</v>
      </c>
      <c r="CM7" s="19">
        <f>+CL7*CK7</f>
        <v>2732220</v>
      </c>
      <c r="CN7" s="102">
        <f>+SUM(CM7:CM10)</f>
        <v>4234941</v>
      </c>
      <c r="CP7" s="99">
        <v>47119</v>
      </c>
      <c r="CQ7" s="17" t="s">
        <v>40</v>
      </c>
      <c r="CR7" s="18"/>
      <c r="CS7" s="18"/>
      <c r="CT7" s="18"/>
      <c r="CU7" s="18"/>
      <c r="CV7" s="18"/>
      <c r="CW7" s="18"/>
      <c r="CX7" s="18">
        <v>1370</v>
      </c>
      <c r="CY7" s="18">
        <v>5479</v>
      </c>
      <c r="CZ7" s="18">
        <v>10959</v>
      </c>
      <c r="DA7" s="18">
        <v>16438</v>
      </c>
      <c r="DB7" s="18">
        <v>20548</v>
      </c>
      <c r="DC7" s="18">
        <v>23288</v>
      </c>
      <c r="DD7" s="18">
        <v>23288</v>
      </c>
      <c r="DE7" s="18">
        <v>17808</v>
      </c>
      <c r="DF7" s="18">
        <v>10959</v>
      </c>
      <c r="DG7" s="18">
        <v>5479</v>
      </c>
      <c r="DH7" s="18">
        <v>1370</v>
      </c>
      <c r="DI7" s="18"/>
      <c r="DJ7" s="18"/>
      <c r="DK7" s="18"/>
      <c r="DL7" s="18"/>
      <c r="DM7" s="18"/>
      <c r="DN7" s="18"/>
      <c r="DO7" s="18"/>
      <c r="DP7" s="19">
        <f>+SUM(CR7:DO7)</f>
        <v>136986</v>
      </c>
      <c r="DQ7" s="37">
        <v>21</v>
      </c>
      <c r="DR7" s="19">
        <f>+DQ7*DP7</f>
        <v>2876706</v>
      </c>
      <c r="DS7" s="102">
        <f>+SUM(DR7:DR10)</f>
        <v>4246566</v>
      </c>
      <c r="DV7" s="99">
        <v>47484</v>
      </c>
      <c r="DW7" s="17" t="s">
        <v>40</v>
      </c>
      <c r="DX7" s="18"/>
      <c r="DY7" s="18"/>
      <c r="DZ7" s="18"/>
      <c r="EA7" s="18"/>
      <c r="EB7" s="18"/>
      <c r="EC7" s="18"/>
      <c r="ED7" s="18">
        <v>1370</v>
      </c>
      <c r="EE7" s="18">
        <v>5479</v>
      </c>
      <c r="EF7" s="18">
        <v>10959</v>
      </c>
      <c r="EG7" s="18">
        <v>16438</v>
      </c>
      <c r="EH7" s="18">
        <v>20548</v>
      </c>
      <c r="EI7" s="18">
        <v>23288</v>
      </c>
      <c r="EJ7" s="18">
        <v>23288</v>
      </c>
      <c r="EK7" s="18">
        <v>17808</v>
      </c>
      <c r="EL7" s="18">
        <v>10959</v>
      </c>
      <c r="EM7" s="18">
        <v>5479</v>
      </c>
      <c r="EN7" s="18">
        <v>1370</v>
      </c>
      <c r="EO7" s="18"/>
      <c r="EP7" s="18"/>
      <c r="EQ7" s="18"/>
      <c r="ER7" s="18"/>
      <c r="ES7" s="18"/>
      <c r="ET7" s="18"/>
      <c r="EU7" s="18"/>
      <c r="EV7" s="19">
        <f>+SUM(DX7:EU7)</f>
        <v>136986</v>
      </c>
      <c r="EW7" s="37">
        <v>21</v>
      </c>
      <c r="EX7" s="19">
        <f>+EW7*EV7</f>
        <v>2876706</v>
      </c>
      <c r="EY7" s="102">
        <f>+SUM(EX7:EX10)</f>
        <v>4246566</v>
      </c>
      <c r="FB7" s="99">
        <v>47849</v>
      </c>
      <c r="FC7" s="17" t="s">
        <v>40</v>
      </c>
      <c r="FD7" s="18"/>
      <c r="FE7" s="18"/>
      <c r="FF7" s="18"/>
      <c r="FG7" s="18"/>
      <c r="FH7" s="18"/>
      <c r="FI7" s="18"/>
      <c r="FJ7" s="18">
        <v>1370</v>
      </c>
      <c r="FK7" s="18">
        <v>5479</v>
      </c>
      <c r="FL7" s="18">
        <v>10959</v>
      </c>
      <c r="FM7" s="18">
        <v>16438</v>
      </c>
      <c r="FN7" s="18">
        <v>20548</v>
      </c>
      <c r="FO7" s="18">
        <v>23288</v>
      </c>
      <c r="FP7" s="18">
        <v>23288</v>
      </c>
      <c r="FQ7" s="18">
        <v>17808</v>
      </c>
      <c r="FR7" s="18">
        <v>10959</v>
      </c>
      <c r="FS7" s="18">
        <v>5479</v>
      </c>
      <c r="FT7" s="18">
        <v>1370</v>
      </c>
      <c r="FU7" s="18"/>
      <c r="FV7" s="18"/>
      <c r="FW7" s="18"/>
      <c r="FX7" s="18"/>
      <c r="FY7" s="18"/>
      <c r="FZ7" s="18"/>
      <c r="GA7" s="18"/>
      <c r="GB7" s="19">
        <f>+SUM(FD7:GA7)</f>
        <v>136986</v>
      </c>
      <c r="GC7" s="37">
        <v>21</v>
      </c>
      <c r="GD7" s="19">
        <f>+GC7*GB7</f>
        <v>2876706</v>
      </c>
      <c r="GE7" s="102">
        <f>+SUM(GD7:GD10)</f>
        <v>4246566</v>
      </c>
      <c r="GG7" s="99">
        <v>48214</v>
      </c>
      <c r="GH7" s="17" t="s">
        <v>40</v>
      </c>
      <c r="GI7" s="18"/>
      <c r="GJ7" s="18"/>
      <c r="GK7" s="18"/>
      <c r="GL7" s="18"/>
      <c r="GM7" s="18"/>
      <c r="GN7" s="18"/>
      <c r="GO7" s="18">
        <v>1366</v>
      </c>
      <c r="GP7" s="18">
        <v>5464</v>
      </c>
      <c r="GQ7" s="18">
        <v>10929</v>
      </c>
      <c r="GR7" s="18">
        <v>16393</v>
      </c>
      <c r="GS7" s="18">
        <v>20492</v>
      </c>
      <c r="GT7" s="18">
        <v>23224</v>
      </c>
      <c r="GU7" s="18">
        <v>23224</v>
      </c>
      <c r="GV7" s="18">
        <v>17760</v>
      </c>
      <c r="GW7" s="18">
        <v>10929</v>
      </c>
      <c r="GX7" s="18">
        <v>5464</v>
      </c>
      <c r="GY7" s="18">
        <v>1366</v>
      </c>
      <c r="GZ7" s="18"/>
      <c r="HA7" s="18"/>
      <c r="HB7" s="18"/>
      <c r="HC7" s="18"/>
      <c r="HD7" s="18"/>
      <c r="HE7" s="18"/>
      <c r="HF7" s="18"/>
      <c r="HG7" s="19">
        <f>+SUM(GI7:HF7)</f>
        <v>136611</v>
      </c>
      <c r="HH7" s="37">
        <v>20</v>
      </c>
      <c r="HI7" s="19">
        <f>+HH7*HG7</f>
        <v>2732220</v>
      </c>
      <c r="HJ7" s="102">
        <f>+SUM(HI7:HI10)</f>
        <v>4234941</v>
      </c>
      <c r="HL7" s="99">
        <v>48580</v>
      </c>
      <c r="HM7" s="17" t="s">
        <v>40</v>
      </c>
      <c r="HN7" s="18"/>
      <c r="HO7" s="18"/>
      <c r="HP7" s="18"/>
      <c r="HQ7" s="18"/>
      <c r="HR7" s="18"/>
      <c r="HS7" s="18"/>
      <c r="HT7" s="18">
        <v>1370</v>
      </c>
      <c r="HU7" s="18">
        <v>5479</v>
      </c>
      <c r="HV7" s="18">
        <v>10959</v>
      </c>
      <c r="HW7" s="18">
        <v>16438</v>
      </c>
      <c r="HX7" s="18">
        <v>20548</v>
      </c>
      <c r="HY7" s="18">
        <v>23288</v>
      </c>
      <c r="HZ7" s="18">
        <v>23288</v>
      </c>
      <c r="IA7" s="18">
        <v>17808</v>
      </c>
      <c r="IB7" s="18">
        <v>10959</v>
      </c>
      <c r="IC7" s="18">
        <v>5479</v>
      </c>
      <c r="ID7" s="18">
        <v>1370</v>
      </c>
      <c r="IE7" s="18"/>
      <c r="IF7" s="18"/>
      <c r="IG7" s="18"/>
      <c r="IH7" s="18"/>
      <c r="II7" s="18"/>
      <c r="IJ7" s="18"/>
      <c r="IK7" s="18"/>
      <c r="IL7" s="19">
        <f>+SUM(HN7:IK7)</f>
        <v>136986</v>
      </c>
      <c r="IM7" s="37">
        <v>20</v>
      </c>
      <c r="IN7" s="19">
        <f>+IM7*IL7</f>
        <v>2739720</v>
      </c>
      <c r="IO7" s="102">
        <f>+SUM(IN7:IN10)</f>
        <v>4246566</v>
      </c>
      <c r="IQ7" s="99">
        <v>48945</v>
      </c>
      <c r="IR7" s="17" t="s">
        <v>40</v>
      </c>
      <c r="IS7" s="18"/>
      <c r="IT7" s="18"/>
      <c r="IU7" s="18"/>
      <c r="IV7" s="18"/>
      <c r="IW7" s="18"/>
      <c r="IX7" s="18"/>
      <c r="IY7" s="18">
        <v>1370</v>
      </c>
      <c r="IZ7" s="18">
        <v>5479</v>
      </c>
      <c r="JA7" s="18">
        <v>10959</v>
      </c>
      <c r="JB7" s="18">
        <v>16438</v>
      </c>
      <c r="JC7" s="18">
        <v>20548</v>
      </c>
      <c r="JD7" s="18">
        <v>23288</v>
      </c>
      <c r="JE7" s="18">
        <v>23288</v>
      </c>
      <c r="JF7" s="18">
        <v>17808</v>
      </c>
      <c r="JG7" s="18">
        <v>10959</v>
      </c>
      <c r="JH7" s="18">
        <v>5479</v>
      </c>
      <c r="JI7" s="18">
        <v>1370</v>
      </c>
      <c r="JJ7" s="18"/>
      <c r="JK7" s="18"/>
      <c r="JL7" s="18"/>
      <c r="JM7" s="18"/>
      <c r="JN7" s="18"/>
      <c r="JO7" s="18"/>
      <c r="JP7" s="18"/>
      <c r="JQ7" s="19">
        <f>+SUM(IS7:JP7)</f>
        <v>136986</v>
      </c>
      <c r="JR7" s="37">
        <v>21</v>
      </c>
      <c r="JS7" s="19">
        <f>+JR7*JQ7</f>
        <v>2876706</v>
      </c>
      <c r="JT7" s="102">
        <f>+SUM(JS7:JS10)</f>
        <v>4246566</v>
      </c>
      <c r="JV7" s="99">
        <v>49310</v>
      </c>
      <c r="JW7" s="17" t="s">
        <v>40</v>
      </c>
      <c r="JX7" s="18"/>
      <c r="JY7" s="18"/>
      <c r="JZ7" s="18"/>
      <c r="KA7" s="18"/>
      <c r="KB7" s="18"/>
      <c r="KC7" s="18"/>
      <c r="KD7" s="18"/>
      <c r="KE7" s="18">
        <v>1370</v>
      </c>
      <c r="KF7" s="18">
        <v>5479</v>
      </c>
      <c r="KG7" s="18">
        <v>10959</v>
      </c>
      <c r="KH7" s="18">
        <v>16438</v>
      </c>
      <c r="KI7" s="18">
        <v>20548</v>
      </c>
      <c r="KJ7" s="18">
        <v>23288</v>
      </c>
      <c r="KK7" s="18">
        <v>23288</v>
      </c>
      <c r="KL7" s="18">
        <v>17808</v>
      </c>
      <c r="KM7" s="18">
        <v>10959</v>
      </c>
      <c r="KN7" s="18">
        <v>5479</v>
      </c>
      <c r="KO7" s="18">
        <v>1370</v>
      </c>
      <c r="KP7" s="18"/>
      <c r="KQ7" s="18"/>
      <c r="KR7" s="18"/>
      <c r="KS7" s="18"/>
      <c r="KT7" s="18"/>
      <c r="KU7" s="18"/>
      <c r="KV7" s="19">
        <f>+SUM(JX7:KU7)</f>
        <v>136986</v>
      </c>
      <c r="KW7" s="37">
        <v>21</v>
      </c>
      <c r="KX7" s="19">
        <f>+KW7*KV7</f>
        <v>2876706</v>
      </c>
      <c r="KY7" s="102">
        <f>+SUM(KX7:KX10)</f>
        <v>4246566</v>
      </c>
      <c r="LA7" s="99">
        <v>49675</v>
      </c>
      <c r="LB7" s="17" t="s">
        <v>40</v>
      </c>
      <c r="LC7" s="18"/>
      <c r="LD7" s="18"/>
      <c r="LE7" s="18"/>
      <c r="LF7" s="18"/>
      <c r="LG7" s="18"/>
      <c r="LH7" s="18"/>
      <c r="LI7" s="18">
        <v>1366</v>
      </c>
      <c r="LJ7" s="18">
        <v>5464</v>
      </c>
      <c r="LK7" s="18">
        <v>10929</v>
      </c>
      <c r="LL7" s="18">
        <v>16393</v>
      </c>
      <c r="LM7" s="18">
        <v>20492</v>
      </c>
      <c r="LN7" s="18">
        <v>23224</v>
      </c>
      <c r="LO7" s="18">
        <v>23224</v>
      </c>
      <c r="LP7" s="18">
        <v>17760</v>
      </c>
      <c r="LQ7" s="18">
        <v>10929</v>
      </c>
      <c r="LR7" s="18">
        <v>5464</v>
      </c>
      <c r="LS7" s="18">
        <v>1366</v>
      </c>
      <c r="LT7" s="18"/>
      <c r="LU7" s="18"/>
      <c r="LV7" s="18"/>
      <c r="LW7" s="18"/>
      <c r="LX7" s="18"/>
      <c r="LY7" s="18"/>
      <c r="LZ7" s="18"/>
      <c r="MA7" s="19">
        <f>+SUM(LC7:LZ7)</f>
        <v>136611</v>
      </c>
      <c r="MB7" s="37">
        <v>21</v>
      </c>
      <c r="MC7" s="19">
        <f>+MB7*MA7</f>
        <v>2868831</v>
      </c>
      <c r="MD7" s="102">
        <f>+SUM(MC7:MC10)</f>
        <v>4234941</v>
      </c>
      <c r="MF7" s="99">
        <v>50041</v>
      </c>
      <c r="MG7" s="17" t="s">
        <v>40</v>
      </c>
      <c r="MH7" s="18"/>
      <c r="MI7" s="18"/>
      <c r="MJ7" s="18"/>
      <c r="MK7" s="18"/>
      <c r="ML7" s="18"/>
      <c r="MM7" s="18"/>
      <c r="MN7" s="18">
        <v>1370</v>
      </c>
      <c r="MO7" s="18">
        <v>5479</v>
      </c>
      <c r="MP7" s="18">
        <v>10959</v>
      </c>
      <c r="MQ7" s="18">
        <v>16438</v>
      </c>
      <c r="MR7" s="18">
        <v>20548</v>
      </c>
      <c r="MS7" s="18">
        <v>23288</v>
      </c>
      <c r="MT7" s="18">
        <v>23288</v>
      </c>
      <c r="MU7" s="18">
        <v>17808</v>
      </c>
      <c r="MV7" s="18">
        <v>10959</v>
      </c>
      <c r="MW7" s="18">
        <v>5479</v>
      </c>
      <c r="MX7" s="18">
        <v>1370</v>
      </c>
      <c r="MY7" s="18"/>
      <c r="MZ7" s="18"/>
      <c r="NA7" s="18"/>
      <c r="NB7" s="18"/>
      <c r="NC7" s="18"/>
      <c r="ND7" s="18"/>
      <c r="NE7" s="18"/>
      <c r="NF7" s="19">
        <f>+SUM(MH7:NE7)</f>
        <v>136986</v>
      </c>
      <c r="NG7" s="37">
        <v>20</v>
      </c>
      <c r="NH7" s="19">
        <f>+NG7*NF7</f>
        <v>2739720</v>
      </c>
      <c r="NI7" s="102">
        <f>+SUM(NH7:NH10)</f>
        <v>4246566</v>
      </c>
      <c r="NK7" s="99">
        <v>50406</v>
      </c>
      <c r="NL7" s="17" t="s">
        <v>40</v>
      </c>
      <c r="NM7" s="18"/>
      <c r="NN7" s="18"/>
      <c r="NO7" s="18"/>
      <c r="NP7" s="18"/>
      <c r="NQ7" s="18"/>
      <c r="NR7" s="18"/>
      <c r="NS7" s="18">
        <v>1370</v>
      </c>
      <c r="NT7" s="18">
        <v>5479</v>
      </c>
      <c r="NU7" s="18">
        <v>10959</v>
      </c>
      <c r="NV7" s="18">
        <v>16438</v>
      </c>
      <c r="NW7" s="18">
        <v>20548</v>
      </c>
      <c r="NX7" s="18">
        <v>23288</v>
      </c>
      <c r="NY7" s="18">
        <v>23288</v>
      </c>
      <c r="NZ7" s="18">
        <v>17808</v>
      </c>
      <c r="OA7" s="18">
        <v>10959</v>
      </c>
      <c r="OB7" s="18">
        <v>5479</v>
      </c>
      <c r="OC7" s="18">
        <v>1370</v>
      </c>
      <c r="OD7" s="18"/>
      <c r="OE7" s="18"/>
      <c r="OF7" s="18"/>
      <c r="OG7" s="18"/>
      <c r="OH7" s="18"/>
      <c r="OI7" s="18"/>
      <c r="OJ7" s="18"/>
      <c r="OK7" s="19">
        <f>+SUM(NM7:OJ7)</f>
        <v>136986</v>
      </c>
      <c r="OL7" s="37">
        <v>19</v>
      </c>
      <c r="OM7" s="19">
        <f>+OL7*OK7</f>
        <v>2602734</v>
      </c>
      <c r="ON7" s="102">
        <f>+SUM(OM7:OM10)</f>
        <v>4246566</v>
      </c>
      <c r="OP7" s="99">
        <v>50771</v>
      </c>
      <c r="OQ7" s="17" t="s">
        <v>40</v>
      </c>
      <c r="OR7" s="18"/>
      <c r="OS7" s="18"/>
      <c r="OT7" s="18"/>
      <c r="OU7" s="18"/>
      <c r="OV7" s="18"/>
      <c r="OW7" s="18"/>
      <c r="OX7" s="18">
        <v>1370</v>
      </c>
      <c r="OY7" s="18">
        <v>5479</v>
      </c>
      <c r="OZ7" s="18">
        <v>10959</v>
      </c>
      <c r="PA7" s="18">
        <v>16438</v>
      </c>
      <c r="PB7" s="18">
        <v>20548</v>
      </c>
      <c r="PC7" s="18">
        <v>23288</v>
      </c>
      <c r="PD7" s="18">
        <v>23288</v>
      </c>
      <c r="PE7" s="18">
        <v>17808</v>
      </c>
      <c r="PF7" s="18">
        <v>10959</v>
      </c>
      <c r="PG7" s="18">
        <v>5479</v>
      </c>
      <c r="PH7" s="18">
        <v>1370</v>
      </c>
      <c r="PI7" s="18"/>
      <c r="PJ7" s="18"/>
      <c r="PK7" s="18"/>
      <c r="PL7" s="18"/>
      <c r="PM7" s="18"/>
      <c r="PN7" s="18"/>
      <c r="PO7" s="18"/>
      <c r="PP7" s="19">
        <f>+SUM(OR7:PO7)</f>
        <v>136986</v>
      </c>
      <c r="PQ7" s="37">
        <v>20</v>
      </c>
      <c r="PR7" s="19">
        <f>+PQ7*PP7</f>
        <v>2739720</v>
      </c>
      <c r="PS7" s="102">
        <f>+SUM(PR7:PR10)</f>
        <v>4246566</v>
      </c>
      <c r="PU7" s="99">
        <v>51136</v>
      </c>
      <c r="PV7" s="17" t="s">
        <v>40</v>
      </c>
      <c r="PW7" s="18"/>
      <c r="PX7" s="18"/>
      <c r="PY7" s="18"/>
      <c r="PZ7" s="18"/>
      <c r="QA7" s="18"/>
      <c r="QB7" s="18"/>
      <c r="QC7" s="18">
        <v>1366</v>
      </c>
      <c r="QD7" s="18">
        <v>5464</v>
      </c>
      <c r="QE7" s="18">
        <v>10929</v>
      </c>
      <c r="QF7" s="18">
        <v>16393</v>
      </c>
      <c r="QG7" s="18">
        <v>20492</v>
      </c>
      <c r="QH7" s="18">
        <v>23224</v>
      </c>
      <c r="QI7" s="18">
        <v>23224</v>
      </c>
      <c r="QJ7" s="18">
        <v>17760</v>
      </c>
      <c r="QK7" s="18">
        <v>10929</v>
      </c>
      <c r="QL7" s="18">
        <v>5464</v>
      </c>
      <c r="QM7" s="18">
        <v>1366</v>
      </c>
      <c r="QN7" s="18"/>
      <c r="QO7" s="18"/>
      <c r="QP7" s="18"/>
      <c r="QQ7" s="18"/>
      <c r="QR7" s="18"/>
      <c r="QS7" s="18"/>
      <c r="QT7" s="18"/>
      <c r="QU7" s="19">
        <f>+SUM(PW7:QT7)</f>
        <v>136611</v>
      </c>
      <c r="QV7" s="48">
        <v>21</v>
      </c>
      <c r="QW7" s="19">
        <f>+QV7*QU7</f>
        <v>2868831</v>
      </c>
      <c r="QX7" s="102">
        <f>+SUM(QW7:QW10)</f>
        <v>4234941</v>
      </c>
    </row>
    <row r="8" spans="1:466" x14ac:dyDescent="0.35">
      <c r="A8" s="100">
        <v>46024</v>
      </c>
      <c r="B8" s="21" t="s">
        <v>41</v>
      </c>
      <c r="C8" s="18"/>
      <c r="D8" s="18"/>
      <c r="E8" s="18"/>
      <c r="F8" s="18"/>
      <c r="G8" s="18"/>
      <c r="H8" s="18"/>
      <c r="I8" s="18">
        <v>1370</v>
      </c>
      <c r="J8" s="18">
        <v>5479</v>
      </c>
      <c r="K8" s="18">
        <v>10959</v>
      </c>
      <c r="L8" s="18">
        <v>16438</v>
      </c>
      <c r="M8" s="18">
        <v>20548</v>
      </c>
      <c r="N8" s="18">
        <v>23288</v>
      </c>
      <c r="O8" s="18">
        <v>23288</v>
      </c>
      <c r="P8" s="18">
        <v>17808</v>
      </c>
      <c r="Q8" s="18">
        <v>10959</v>
      </c>
      <c r="R8" s="18">
        <v>5479</v>
      </c>
      <c r="S8" s="18">
        <v>1370</v>
      </c>
      <c r="T8" s="18"/>
      <c r="U8" s="18"/>
      <c r="V8" s="18"/>
      <c r="W8" s="18"/>
      <c r="X8" s="18"/>
      <c r="Y8" s="18"/>
      <c r="Z8" s="18"/>
      <c r="AA8" s="19">
        <f t="shared" ref="AA8:AA54" si="0">+SUM(C8:Z8)</f>
        <v>136986</v>
      </c>
      <c r="AB8" s="38">
        <v>5</v>
      </c>
      <c r="AC8" s="19">
        <f t="shared" ref="AC8:AC54" si="1">+AA8*AB8</f>
        <v>684930</v>
      </c>
      <c r="AD8" s="103"/>
      <c r="AF8" s="100"/>
      <c r="AG8" s="21" t="s">
        <v>41</v>
      </c>
      <c r="AH8" s="18"/>
      <c r="AI8" s="18"/>
      <c r="AJ8" s="18"/>
      <c r="AK8" s="18"/>
      <c r="AL8" s="18"/>
      <c r="AM8" s="18"/>
      <c r="AN8" s="18">
        <v>1370</v>
      </c>
      <c r="AO8" s="18">
        <v>5479</v>
      </c>
      <c r="AP8" s="18">
        <v>10959</v>
      </c>
      <c r="AQ8" s="18">
        <v>16438</v>
      </c>
      <c r="AR8" s="18">
        <v>20548</v>
      </c>
      <c r="AS8" s="18">
        <v>23288</v>
      </c>
      <c r="AT8" s="18">
        <v>23288</v>
      </c>
      <c r="AU8" s="18">
        <v>17808</v>
      </c>
      <c r="AV8" s="18">
        <v>10959</v>
      </c>
      <c r="AW8" s="18">
        <v>5479</v>
      </c>
      <c r="AX8" s="18">
        <v>1370</v>
      </c>
      <c r="AY8" s="18"/>
      <c r="AZ8" s="18"/>
      <c r="BA8" s="18"/>
      <c r="BB8" s="18"/>
      <c r="BC8" s="18"/>
      <c r="BD8" s="18"/>
      <c r="BE8" s="18"/>
      <c r="BF8" s="19">
        <f t="shared" ref="BF8:BF54" si="2">+SUM(AH8:BE8)</f>
        <v>136986</v>
      </c>
      <c r="BG8" s="38">
        <v>5</v>
      </c>
      <c r="BH8" s="19">
        <f t="shared" ref="BH8:BH10" si="3">+BG8*BF8</f>
        <v>684930</v>
      </c>
      <c r="BI8" s="103"/>
      <c r="BK8" s="100"/>
      <c r="BL8" s="21" t="s">
        <v>41</v>
      </c>
      <c r="BM8" s="18"/>
      <c r="BN8" s="18"/>
      <c r="BO8" s="18"/>
      <c r="BP8" s="18"/>
      <c r="BQ8" s="18"/>
      <c r="BR8" s="18"/>
      <c r="BS8" s="18">
        <v>1366</v>
      </c>
      <c r="BT8" s="18">
        <v>5464</v>
      </c>
      <c r="BU8" s="18">
        <v>10929</v>
      </c>
      <c r="BV8" s="18">
        <v>16393</v>
      </c>
      <c r="BW8" s="18">
        <v>20492</v>
      </c>
      <c r="BX8" s="18">
        <v>23224</v>
      </c>
      <c r="BY8" s="18">
        <v>23224</v>
      </c>
      <c r="BZ8" s="18">
        <v>17760</v>
      </c>
      <c r="CA8" s="18">
        <v>10929</v>
      </c>
      <c r="CB8" s="18">
        <v>5464</v>
      </c>
      <c r="CC8" s="18">
        <v>1366</v>
      </c>
      <c r="CD8" s="18"/>
      <c r="CE8" s="18"/>
      <c r="CF8" s="18"/>
      <c r="CG8" s="18"/>
      <c r="CH8" s="18"/>
      <c r="CI8" s="18"/>
      <c r="CJ8" s="18"/>
      <c r="CK8" s="19">
        <f t="shared" ref="CK8:CK54" si="4">+SUM(BM8:CJ8)</f>
        <v>136611</v>
      </c>
      <c r="CL8" s="38">
        <v>4</v>
      </c>
      <c r="CM8" s="19">
        <f t="shared" ref="CM8:CM10" si="5">+CL8*CK8</f>
        <v>546444</v>
      </c>
      <c r="CN8" s="103"/>
      <c r="CP8" s="100"/>
      <c r="CQ8" s="21" t="s">
        <v>41</v>
      </c>
      <c r="CR8" s="18"/>
      <c r="CS8" s="18"/>
      <c r="CT8" s="18"/>
      <c r="CU8" s="18"/>
      <c r="CV8" s="18"/>
      <c r="CW8" s="18"/>
      <c r="CX8" s="18">
        <v>1370</v>
      </c>
      <c r="CY8" s="18">
        <v>5479</v>
      </c>
      <c r="CZ8" s="18">
        <v>10959</v>
      </c>
      <c r="DA8" s="18">
        <v>16438</v>
      </c>
      <c r="DB8" s="18">
        <v>20548</v>
      </c>
      <c r="DC8" s="18">
        <v>23288</v>
      </c>
      <c r="DD8" s="18">
        <v>23288</v>
      </c>
      <c r="DE8" s="18">
        <v>17808</v>
      </c>
      <c r="DF8" s="18">
        <v>10959</v>
      </c>
      <c r="DG8" s="18">
        <v>5479</v>
      </c>
      <c r="DH8" s="18">
        <v>1370</v>
      </c>
      <c r="DI8" s="18"/>
      <c r="DJ8" s="18"/>
      <c r="DK8" s="18"/>
      <c r="DL8" s="18"/>
      <c r="DM8" s="18"/>
      <c r="DN8" s="18"/>
      <c r="DO8" s="18"/>
      <c r="DP8" s="19">
        <f t="shared" ref="DP8:DP54" si="6">+SUM(CR8:DO8)</f>
        <v>136986</v>
      </c>
      <c r="DQ8" s="38">
        <v>4</v>
      </c>
      <c r="DR8" s="19">
        <f t="shared" ref="DR8:DR10" si="7">+DQ8*DP8</f>
        <v>547944</v>
      </c>
      <c r="DS8" s="103"/>
      <c r="DV8" s="100"/>
      <c r="DW8" s="21" t="s">
        <v>41</v>
      </c>
      <c r="DX8" s="18"/>
      <c r="DY8" s="18"/>
      <c r="DZ8" s="18"/>
      <c r="EA8" s="18"/>
      <c r="EB8" s="18"/>
      <c r="EC8" s="18"/>
      <c r="ED8" s="18">
        <v>1370</v>
      </c>
      <c r="EE8" s="18">
        <v>5479</v>
      </c>
      <c r="EF8" s="18">
        <v>10959</v>
      </c>
      <c r="EG8" s="18">
        <v>16438</v>
      </c>
      <c r="EH8" s="18">
        <v>20548</v>
      </c>
      <c r="EI8" s="18">
        <v>23288</v>
      </c>
      <c r="EJ8" s="18">
        <v>23288</v>
      </c>
      <c r="EK8" s="18">
        <v>17808</v>
      </c>
      <c r="EL8" s="18">
        <v>10959</v>
      </c>
      <c r="EM8" s="18">
        <v>5479</v>
      </c>
      <c r="EN8" s="18">
        <v>1370</v>
      </c>
      <c r="EO8" s="18"/>
      <c r="EP8" s="18"/>
      <c r="EQ8" s="18"/>
      <c r="ER8" s="18"/>
      <c r="ES8" s="18"/>
      <c r="ET8" s="18"/>
      <c r="EU8" s="18"/>
      <c r="EV8" s="19">
        <f t="shared" ref="EV8:EV54" si="8">+SUM(DX8:EU8)</f>
        <v>136986</v>
      </c>
      <c r="EW8" s="38">
        <v>4</v>
      </c>
      <c r="EX8" s="19">
        <f>+EW8*EV8</f>
        <v>547944</v>
      </c>
      <c r="EY8" s="103"/>
      <c r="FB8" s="100"/>
      <c r="FC8" s="21" t="s">
        <v>41</v>
      </c>
      <c r="FD8" s="18"/>
      <c r="FE8" s="18"/>
      <c r="FF8" s="18"/>
      <c r="FG8" s="18"/>
      <c r="FH8" s="18"/>
      <c r="FI8" s="18"/>
      <c r="FJ8" s="18">
        <v>1370</v>
      </c>
      <c r="FK8" s="18">
        <v>5479</v>
      </c>
      <c r="FL8" s="18">
        <v>10959</v>
      </c>
      <c r="FM8" s="18">
        <v>16438</v>
      </c>
      <c r="FN8" s="18">
        <v>20548</v>
      </c>
      <c r="FO8" s="18">
        <v>23288</v>
      </c>
      <c r="FP8" s="18">
        <v>23288</v>
      </c>
      <c r="FQ8" s="18">
        <v>17808</v>
      </c>
      <c r="FR8" s="18">
        <v>10959</v>
      </c>
      <c r="FS8" s="18">
        <v>5479</v>
      </c>
      <c r="FT8" s="18">
        <v>1370</v>
      </c>
      <c r="FU8" s="18"/>
      <c r="FV8" s="18"/>
      <c r="FW8" s="18"/>
      <c r="FX8" s="18"/>
      <c r="FY8" s="18"/>
      <c r="FZ8" s="18"/>
      <c r="GA8" s="18"/>
      <c r="GB8" s="19">
        <f t="shared" ref="GB8:GB54" si="9">+SUM(FD8:GA8)</f>
        <v>136986</v>
      </c>
      <c r="GC8" s="38">
        <v>4</v>
      </c>
      <c r="GD8" s="19">
        <f t="shared" ref="GD8:GD10" si="10">+GC8*GB8</f>
        <v>547944</v>
      </c>
      <c r="GE8" s="103"/>
      <c r="GG8" s="100"/>
      <c r="GH8" s="21" t="s">
        <v>41</v>
      </c>
      <c r="GI8" s="18"/>
      <c r="GJ8" s="18"/>
      <c r="GK8" s="18"/>
      <c r="GL8" s="18"/>
      <c r="GM8" s="18"/>
      <c r="GN8" s="18"/>
      <c r="GO8" s="18">
        <v>1366</v>
      </c>
      <c r="GP8" s="18">
        <v>5464</v>
      </c>
      <c r="GQ8" s="18">
        <v>10929</v>
      </c>
      <c r="GR8" s="18">
        <v>16393</v>
      </c>
      <c r="GS8" s="18">
        <v>20492</v>
      </c>
      <c r="GT8" s="18">
        <v>23224</v>
      </c>
      <c r="GU8" s="18">
        <v>23224</v>
      </c>
      <c r="GV8" s="18">
        <v>17760</v>
      </c>
      <c r="GW8" s="18">
        <v>10929</v>
      </c>
      <c r="GX8" s="18">
        <v>5464</v>
      </c>
      <c r="GY8" s="18">
        <v>1366</v>
      </c>
      <c r="GZ8" s="18"/>
      <c r="HA8" s="18"/>
      <c r="HB8" s="18"/>
      <c r="HC8" s="18"/>
      <c r="HD8" s="18"/>
      <c r="HE8" s="18"/>
      <c r="HF8" s="18"/>
      <c r="HG8" s="19">
        <f t="shared" ref="HG8:HG54" si="11">+SUM(GI8:HF8)</f>
        <v>136611</v>
      </c>
      <c r="HH8" s="38">
        <v>5</v>
      </c>
      <c r="HI8" s="19">
        <f t="shared" ref="HI8:HI10" si="12">+HH8*HG8</f>
        <v>683055</v>
      </c>
      <c r="HJ8" s="103"/>
      <c r="HL8" s="100"/>
      <c r="HM8" s="21" t="s">
        <v>41</v>
      </c>
      <c r="HN8" s="18"/>
      <c r="HO8" s="18"/>
      <c r="HP8" s="18"/>
      <c r="HQ8" s="18"/>
      <c r="HR8" s="18"/>
      <c r="HS8" s="18"/>
      <c r="HT8" s="18">
        <v>1370</v>
      </c>
      <c r="HU8" s="18">
        <v>5479</v>
      </c>
      <c r="HV8" s="18">
        <v>10959</v>
      </c>
      <c r="HW8" s="18">
        <v>16438</v>
      </c>
      <c r="HX8" s="18">
        <v>20548</v>
      </c>
      <c r="HY8" s="18">
        <v>23288</v>
      </c>
      <c r="HZ8" s="18">
        <v>23288</v>
      </c>
      <c r="IA8" s="18">
        <v>17808</v>
      </c>
      <c r="IB8" s="18">
        <v>10959</v>
      </c>
      <c r="IC8" s="18">
        <v>5479</v>
      </c>
      <c r="ID8" s="18">
        <v>1370</v>
      </c>
      <c r="IE8" s="18"/>
      <c r="IF8" s="18"/>
      <c r="IG8" s="18"/>
      <c r="IH8" s="18"/>
      <c r="II8" s="18"/>
      <c r="IJ8" s="18"/>
      <c r="IK8" s="18"/>
      <c r="IL8" s="19">
        <f t="shared" ref="IL8:IL54" si="13">+SUM(HN8:IK8)</f>
        <v>136986</v>
      </c>
      <c r="IM8" s="38">
        <v>4</v>
      </c>
      <c r="IN8" s="19">
        <f t="shared" ref="IN8:IN10" si="14">+IM8*IL8</f>
        <v>547944</v>
      </c>
      <c r="IO8" s="103"/>
      <c r="IQ8" s="100"/>
      <c r="IR8" s="21" t="s">
        <v>41</v>
      </c>
      <c r="IS8" s="18"/>
      <c r="IT8" s="18"/>
      <c r="IU8" s="18"/>
      <c r="IV8" s="18"/>
      <c r="IW8" s="18"/>
      <c r="IX8" s="18"/>
      <c r="IY8" s="18">
        <v>1370</v>
      </c>
      <c r="IZ8" s="18">
        <v>5479</v>
      </c>
      <c r="JA8" s="18">
        <v>10959</v>
      </c>
      <c r="JB8" s="18">
        <v>16438</v>
      </c>
      <c r="JC8" s="18">
        <v>20548</v>
      </c>
      <c r="JD8" s="18">
        <v>23288</v>
      </c>
      <c r="JE8" s="18">
        <v>23288</v>
      </c>
      <c r="JF8" s="18">
        <v>17808</v>
      </c>
      <c r="JG8" s="18">
        <v>10959</v>
      </c>
      <c r="JH8" s="18">
        <v>5479</v>
      </c>
      <c r="JI8" s="18">
        <v>1370</v>
      </c>
      <c r="JJ8" s="18"/>
      <c r="JK8" s="18"/>
      <c r="JL8" s="18"/>
      <c r="JM8" s="18"/>
      <c r="JN8" s="18"/>
      <c r="JO8" s="18"/>
      <c r="JP8" s="18"/>
      <c r="JQ8" s="19">
        <f t="shared" ref="JQ8:JQ54" si="15">+SUM(IS8:JP8)</f>
        <v>136986</v>
      </c>
      <c r="JR8" s="38">
        <v>4</v>
      </c>
      <c r="JS8" s="19">
        <f t="shared" ref="JS8:JS10" si="16">+JR8*JQ8</f>
        <v>547944</v>
      </c>
      <c r="JT8" s="103"/>
      <c r="JV8" s="100"/>
      <c r="JW8" s="21" t="s">
        <v>41</v>
      </c>
      <c r="JX8" s="18"/>
      <c r="JY8" s="18"/>
      <c r="JZ8" s="18"/>
      <c r="KA8" s="18"/>
      <c r="KB8" s="18"/>
      <c r="KC8" s="18"/>
      <c r="KD8" s="18"/>
      <c r="KE8" s="18">
        <v>1370</v>
      </c>
      <c r="KF8" s="18">
        <v>5479</v>
      </c>
      <c r="KG8" s="18">
        <v>10959</v>
      </c>
      <c r="KH8" s="18">
        <v>16438</v>
      </c>
      <c r="KI8" s="18">
        <v>20548</v>
      </c>
      <c r="KJ8" s="18">
        <v>23288</v>
      </c>
      <c r="KK8" s="18">
        <v>23288</v>
      </c>
      <c r="KL8" s="18">
        <v>17808</v>
      </c>
      <c r="KM8" s="18">
        <v>10959</v>
      </c>
      <c r="KN8" s="18">
        <v>5479</v>
      </c>
      <c r="KO8" s="18">
        <v>1370</v>
      </c>
      <c r="KP8" s="18"/>
      <c r="KQ8" s="18"/>
      <c r="KR8" s="18"/>
      <c r="KS8" s="18"/>
      <c r="KT8" s="18"/>
      <c r="KU8" s="18"/>
      <c r="KV8" s="19">
        <f t="shared" ref="KV8:KV54" si="17">+SUM(JX8:KU8)</f>
        <v>136986</v>
      </c>
      <c r="KW8" s="38">
        <v>4</v>
      </c>
      <c r="KX8" s="19">
        <f t="shared" ref="KX8:KX10" si="18">+KW8*KV8</f>
        <v>547944</v>
      </c>
      <c r="KY8" s="103"/>
      <c r="LA8" s="100"/>
      <c r="LB8" s="21" t="s">
        <v>41</v>
      </c>
      <c r="LC8" s="18"/>
      <c r="LD8" s="18"/>
      <c r="LE8" s="18"/>
      <c r="LF8" s="18"/>
      <c r="LG8" s="18"/>
      <c r="LH8" s="18"/>
      <c r="LI8" s="18">
        <v>1366</v>
      </c>
      <c r="LJ8" s="18">
        <v>5464</v>
      </c>
      <c r="LK8" s="18">
        <v>10929</v>
      </c>
      <c r="LL8" s="18">
        <v>16393</v>
      </c>
      <c r="LM8" s="18">
        <v>20492</v>
      </c>
      <c r="LN8" s="18">
        <v>23224</v>
      </c>
      <c r="LO8" s="18">
        <v>23224</v>
      </c>
      <c r="LP8" s="18">
        <v>17760</v>
      </c>
      <c r="LQ8" s="18">
        <v>10929</v>
      </c>
      <c r="LR8" s="18">
        <v>5464</v>
      </c>
      <c r="LS8" s="18">
        <v>1366</v>
      </c>
      <c r="LT8" s="18"/>
      <c r="LU8" s="18"/>
      <c r="LV8" s="18"/>
      <c r="LW8" s="18"/>
      <c r="LX8" s="18"/>
      <c r="LY8" s="18"/>
      <c r="LZ8" s="18"/>
      <c r="MA8" s="19">
        <f t="shared" ref="MA8:MA54" si="19">+SUM(LC8:LZ8)</f>
        <v>136611</v>
      </c>
      <c r="MB8" s="38">
        <v>4</v>
      </c>
      <c r="MC8" s="19">
        <f t="shared" ref="MC8:MC10" si="20">+MB8*MA8</f>
        <v>546444</v>
      </c>
      <c r="MD8" s="103"/>
      <c r="MF8" s="100"/>
      <c r="MG8" s="21" t="s">
        <v>41</v>
      </c>
      <c r="MH8" s="18"/>
      <c r="MI8" s="18"/>
      <c r="MJ8" s="18"/>
      <c r="MK8" s="18"/>
      <c r="ML8" s="18"/>
      <c r="MM8" s="18"/>
      <c r="MN8" s="18">
        <v>1370</v>
      </c>
      <c r="MO8" s="18">
        <v>5479</v>
      </c>
      <c r="MP8" s="18">
        <v>10959</v>
      </c>
      <c r="MQ8" s="18">
        <v>16438</v>
      </c>
      <c r="MR8" s="18">
        <v>20548</v>
      </c>
      <c r="MS8" s="18">
        <v>23288</v>
      </c>
      <c r="MT8" s="18">
        <v>23288</v>
      </c>
      <c r="MU8" s="18">
        <v>17808</v>
      </c>
      <c r="MV8" s="18">
        <v>10959</v>
      </c>
      <c r="MW8" s="18">
        <v>5479</v>
      </c>
      <c r="MX8" s="18">
        <v>1370</v>
      </c>
      <c r="MY8" s="18"/>
      <c r="MZ8" s="18"/>
      <c r="NA8" s="18"/>
      <c r="NB8" s="18"/>
      <c r="NC8" s="18"/>
      <c r="ND8" s="18"/>
      <c r="NE8" s="18"/>
      <c r="NF8" s="19">
        <f t="shared" ref="NF8:NF54" si="21">+SUM(MH8:NE8)</f>
        <v>136986</v>
      </c>
      <c r="NG8" s="38">
        <v>5</v>
      </c>
      <c r="NH8" s="19">
        <f t="shared" ref="NH8:NH10" si="22">+NG8*NF8</f>
        <v>684930</v>
      </c>
      <c r="NI8" s="103"/>
      <c r="NK8" s="100"/>
      <c r="NL8" s="21" t="s">
        <v>41</v>
      </c>
      <c r="NM8" s="18"/>
      <c r="NN8" s="18"/>
      <c r="NO8" s="18"/>
      <c r="NP8" s="18"/>
      <c r="NQ8" s="18"/>
      <c r="NR8" s="18"/>
      <c r="NS8" s="18">
        <v>1370</v>
      </c>
      <c r="NT8" s="18">
        <v>5479</v>
      </c>
      <c r="NU8" s="18">
        <v>10959</v>
      </c>
      <c r="NV8" s="18">
        <v>16438</v>
      </c>
      <c r="NW8" s="18">
        <v>20548</v>
      </c>
      <c r="NX8" s="18">
        <v>23288</v>
      </c>
      <c r="NY8" s="18">
        <v>23288</v>
      </c>
      <c r="NZ8" s="18">
        <v>17808</v>
      </c>
      <c r="OA8" s="18">
        <v>10959</v>
      </c>
      <c r="OB8" s="18">
        <v>5479</v>
      </c>
      <c r="OC8" s="18">
        <v>1370</v>
      </c>
      <c r="OD8" s="18"/>
      <c r="OE8" s="18"/>
      <c r="OF8" s="18"/>
      <c r="OG8" s="18"/>
      <c r="OH8" s="18"/>
      <c r="OI8" s="18"/>
      <c r="OJ8" s="18"/>
      <c r="OK8" s="19">
        <f t="shared" ref="OK8:OK54" si="23">+SUM(NM8:OJ8)</f>
        <v>136986</v>
      </c>
      <c r="OL8" s="38">
        <v>5</v>
      </c>
      <c r="OM8" s="19">
        <f t="shared" ref="OM8:OM10" si="24">+OL8*OK8</f>
        <v>684930</v>
      </c>
      <c r="ON8" s="103"/>
      <c r="OP8" s="100"/>
      <c r="OQ8" s="21" t="s">
        <v>41</v>
      </c>
      <c r="OR8" s="18"/>
      <c r="OS8" s="18"/>
      <c r="OT8" s="18"/>
      <c r="OU8" s="18"/>
      <c r="OV8" s="18"/>
      <c r="OW8" s="18"/>
      <c r="OX8" s="18">
        <v>1370</v>
      </c>
      <c r="OY8" s="18">
        <v>5479</v>
      </c>
      <c r="OZ8" s="18">
        <v>10959</v>
      </c>
      <c r="PA8" s="18">
        <v>16438</v>
      </c>
      <c r="PB8" s="18">
        <v>20548</v>
      </c>
      <c r="PC8" s="18">
        <v>23288</v>
      </c>
      <c r="PD8" s="18">
        <v>23288</v>
      </c>
      <c r="PE8" s="18">
        <v>17808</v>
      </c>
      <c r="PF8" s="18">
        <v>10959</v>
      </c>
      <c r="PG8" s="18">
        <v>5479</v>
      </c>
      <c r="PH8" s="18">
        <v>1370</v>
      </c>
      <c r="PI8" s="18"/>
      <c r="PJ8" s="18"/>
      <c r="PK8" s="18"/>
      <c r="PL8" s="18"/>
      <c r="PM8" s="18"/>
      <c r="PN8" s="18"/>
      <c r="PO8" s="18"/>
      <c r="PP8" s="19">
        <f t="shared" ref="PP8:PP54" si="25">+SUM(OR8:PO8)</f>
        <v>136986</v>
      </c>
      <c r="PQ8" s="38">
        <v>4</v>
      </c>
      <c r="PR8" s="19">
        <f t="shared" ref="PR8:PR10" si="26">+PQ8*PP8</f>
        <v>547944</v>
      </c>
      <c r="PS8" s="103"/>
      <c r="PU8" s="100"/>
      <c r="PV8" s="21" t="s">
        <v>41</v>
      </c>
      <c r="PW8" s="18"/>
      <c r="PX8" s="18"/>
      <c r="PY8" s="18"/>
      <c r="PZ8" s="18"/>
      <c r="QA8" s="18"/>
      <c r="QB8" s="18"/>
      <c r="QC8" s="18">
        <v>1366</v>
      </c>
      <c r="QD8" s="18">
        <v>5464</v>
      </c>
      <c r="QE8" s="18">
        <v>10929</v>
      </c>
      <c r="QF8" s="18">
        <v>16393</v>
      </c>
      <c r="QG8" s="18">
        <v>20492</v>
      </c>
      <c r="QH8" s="18">
        <v>23224</v>
      </c>
      <c r="QI8" s="18">
        <v>23224</v>
      </c>
      <c r="QJ8" s="18">
        <v>17760</v>
      </c>
      <c r="QK8" s="18">
        <v>10929</v>
      </c>
      <c r="QL8" s="18">
        <v>5464</v>
      </c>
      <c r="QM8" s="18">
        <v>1366</v>
      </c>
      <c r="QN8" s="18"/>
      <c r="QO8" s="18"/>
      <c r="QP8" s="18"/>
      <c r="QQ8" s="18"/>
      <c r="QR8" s="18"/>
      <c r="QS8" s="18"/>
      <c r="QT8" s="18"/>
      <c r="QU8" s="19">
        <f t="shared" ref="QU8:QU54" si="27">+SUM(PW8:QT8)</f>
        <v>136611</v>
      </c>
      <c r="QV8" s="45">
        <v>4</v>
      </c>
      <c r="QW8" s="19">
        <f t="shared" ref="QW8:QW10" si="28">+QV8*QU8</f>
        <v>546444</v>
      </c>
      <c r="QX8" s="103"/>
    </row>
    <row r="9" spans="1:466" x14ac:dyDescent="0.35">
      <c r="A9" s="100">
        <v>46025</v>
      </c>
      <c r="B9" s="21" t="s">
        <v>42</v>
      </c>
      <c r="C9" s="18"/>
      <c r="D9" s="18"/>
      <c r="E9" s="18"/>
      <c r="F9" s="18"/>
      <c r="G9" s="18"/>
      <c r="H9" s="18"/>
      <c r="I9" s="18">
        <v>1370</v>
      </c>
      <c r="J9" s="18">
        <v>5479</v>
      </c>
      <c r="K9" s="18">
        <v>10959</v>
      </c>
      <c r="L9" s="18">
        <v>16438</v>
      </c>
      <c r="M9" s="18">
        <v>20548</v>
      </c>
      <c r="N9" s="18">
        <v>23288</v>
      </c>
      <c r="O9" s="18">
        <v>23288</v>
      </c>
      <c r="P9" s="18">
        <v>17808</v>
      </c>
      <c r="Q9" s="18">
        <v>10959</v>
      </c>
      <c r="R9" s="18">
        <v>5479</v>
      </c>
      <c r="S9" s="18">
        <v>1370</v>
      </c>
      <c r="T9" s="18"/>
      <c r="U9" s="18"/>
      <c r="V9" s="18"/>
      <c r="W9" s="18"/>
      <c r="X9" s="18"/>
      <c r="Y9" s="18"/>
      <c r="Z9" s="18"/>
      <c r="AA9" s="19">
        <f t="shared" si="0"/>
        <v>136986</v>
      </c>
      <c r="AB9" s="38">
        <v>4</v>
      </c>
      <c r="AC9" s="19">
        <f t="shared" si="1"/>
        <v>547944</v>
      </c>
      <c r="AD9" s="103"/>
      <c r="AF9" s="100"/>
      <c r="AG9" s="21" t="s">
        <v>42</v>
      </c>
      <c r="AH9" s="18"/>
      <c r="AI9" s="18"/>
      <c r="AJ9" s="18"/>
      <c r="AK9" s="18"/>
      <c r="AL9" s="18"/>
      <c r="AM9" s="18"/>
      <c r="AN9" s="18">
        <v>1370</v>
      </c>
      <c r="AO9" s="18">
        <v>5479</v>
      </c>
      <c r="AP9" s="18">
        <v>10959</v>
      </c>
      <c r="AQ9" s="18">
        <v>16438</v>
      </c>
      <c r="AR9" s="18">
        <v>20548</v>
      </c>
      <c r="AS9" s="18">
        <v>23288</v>
      </c>
      <c r="AT9" s="18">
        <v>23288</v>
      </c>
      <c r="AU9" s="18">
        <v>17808</v>
      </c>
      <c r="AV9" s="18">
        <v>10959</v>
      </c>
      <c r="AW9" s="18">
        <v>5479</v>
      </c>
      <c r="AX9" s="18">
        <v>1370</v>
      </c>
      <c r="AY9" s="18"/>
      <c r="AZ9" s="18"/>
      <c r="BA9" s="18"/>
      <c r="BB9" s="18"/>
      <c r="BC9" s="18"/>
      <c r="BD9" s="18"/>
      <c r="BE9" s="18"/>
      <c r="BF9" s="19">
        <f t="shared" si="2"/>
        <v>136986</v>
      </c>
      <c r="BG9" s="38">
        <v>5</v>
      </c>
      <c r="BH9" s="19">
        <f t="shared" si="3"/>
        <v>684930</v>
      </c>
      <c r="BI9" s="103"/>
      <c r="BK9" s="100"/>
      <c r="BL9" s="21" t="s">
        <v>42</v>
      </c>
      <c r="BM9" s="18"/>
      <c r="BN9" s="18"/>
      <c r="BO9" s="18"/>
      <c r="BP9" s="18"/>
      <c r="BQ9" s="18"/>
      <c r="BR9" s="18"/>
      <c r="BS9" s="18">
        <v>1366</v>
      </c>
      <c r="BT9" s="18">
        <v>5464</v>
      </c>
      <c r="BU9" s="18">
        <v>10929</v>
      </c>
      <c r="BV9" s="18">
        <v>16393</v>
      </c>
      <c r="BW9" s="18">
        <v>20492</v>
      </c>
      <c r="BX9" s="18">
        <v>23224</v>
      </c>
      <c r="BY9" s="18">
        <v>23224</v>
      </c>
      <c r="BZ9" s="18">
        <v>17760</v>
      </c>
      <c r="CA9" s="18">
        <v>10929</v>
      </c>
      <c r="CB9" s="18">
        <v>5464</v>
      </c>
      <c r="CC9" s="18">
        <v>1366</v>
      </c>
      <c r="CD9" s="18"/>
      <c r="CE9" s="18"/>
      <c r="CF9" s="18"/>
      <c r="CG9" s="18"/>
      <c r="CH9" s="18"/>
      <c r="CI9" s="18"/>
      <c r="CJ9" s="18"/>
      <c r="CK9" s="19">
        <f t="shared" si="4"/>
        <v>136611</v>
      </c>
      <c r="CL9" s="38">
        <v>5</v>
      </c>
      <c r="CM9" s="19">
        <f t="shared" si="5"/>
        <v>683055</v>
      </c>
      <c r="CN9" s="103"/>
      <c r="CP9" s="100"/>
      <c r="CQ9" s="21" t="s">
        <v>42</v>
      </c>
      <c r="CR9" s="18"/>
      <c r="CS9" s="18"/>
      <c r="CT9" s="18"/>
      <c r="CU9" s="18"/>
      <c r="CV9" s="18"/>
      <c r="CW9" s="18"/>
      <c r="CX9" s="18">
        <v>1370</v>
      </c>
      <c r="CY9" s="18">
        <v>5479</v>
      </c>
      <c r="CZ9" s="18">
        <v>10959</v>
      </c>
      <c r="DA9" s="18">
        <v>16438</v>
      </c>
      <c r="DB9" s="18">
        <v>20548</v>
      </c>
      <c r="DC9" s="18">
        <v>23288</v>
      </c>
      <c r="DD9" s="18">
        <v>23288</v>
      </c>
      <c r="DE9" s="18">
        <v>17808</v>
      </c>
      <c r="DF9" s="18">
        <v>10959</v>
      </c>
      <c r="DG9" s="18">
        <v>5479</v>
      </c>
      <c r="DH9" s="18">
        <v>1370</v>
      </c>
      <c r="DI9" s="18"/>
      <c r="DJ9" s="18"/>
      <c r="DK9" s="18"/>
      <c r="DL9" s="18"/>
      <c r="DM9" s="18"/>
      <c r="DN9" s="18"/>
      <c r="DO9" s="18"/>
      <c r="DP9" s="19">
        <f t="shared" si="6"/>
        <v>136986</v>
      </c>
      <c r="DQ9" s="38">
        <v>4</v>
      </c>
      <c r="DR9" s="19">
        <f t="shared" si="7"/>
        <v>547944</v>
      </c>
      <c r="DS9" s="103"/>
      <c r="DV9" s="100"/>
      <c r="DW9" s="21" t="s">
        <v>42</v>
      </c>
      <c r="DX9" s="18"/>
      <c r="DY9" s="18"/>
      <c r="DZ9" s="18"/>
      <c r="EA9" s="18"/>
      <c r="EB9" s="18"/>
      <c r="EC9" s="18"/>
      <c r="ED9" s="18">
        <v>1370</v>
      </c>
      <c r="EE9" s="18">
        <v>5479</v>
      </c>
      <c r="EF9" s="18">
        <v>10959</v>
      </c>
      <c r="EG9" s="18">
        <v>16438</v>
      </c>
      <c r="EH9" s="18">
        <v>20548</v>
      </c>
      <c r="EI9" s="18">
        <v>23288</v>
      </c>
      <c r="EJ9" s="18">
        <v>23288</v>
      </c>
      <c r="EK9" s="18">
        <v>17808</v>
      </c>
      <c r="EL9" s="18">
        <v>10959</v>
      </c>
      <c r="EM9" s="18">
        <v>5479</v>
      </c>
      <c r="EN9" s="18">
        <v>1370</v>
      </c>
      <c r="EO9" s="18"/>
      <c r="EP9" s="18"/>
      <c r="EQ9" s="18"/>
      <c r="ER9" s="18"/>
      <c r="ES9" s="18"/>
      <c r="ET9" s="18"/>
      <c r="EU9" s="18"/>
      <c r="EV9" s="19">
        <f t="shared" si="8"/>
        <v>136986</v>
      </c>
      <c r="EW9" s="38">
        <v>4</v>
      </c>
      <c r="EX9" s="19">
        <f>+EW9*EV9</f>
        <v>547944</v>
      </c>
      <c r="EY9" s="103"/>
      <c r="FB9" s="100"/>
      <c r="FC9" s="21" t="s">
        <v>42</v>
      </c>
      <c r="FD9" s="18"/>
      <c r="FE9" s="18"/>
      <c r="FF9" s="18"/>
      <c r="FG9" s="18"/>
      <c r="FH9" s="18"/>
      <c r="FI9" s="18"/>
      <c r="FJ9" s="18">
        <v>1370</v>
      </c>
      <c r="FK9" s="18">
        <v>5479</v>
      </c>
      <c r="FL9" s="18">
        <v>10959</v>
      </c>
      <c r="FM9" s="18">
        <v>16438</v>
      </c>
      <c r="FN9" s="18">
        <v>20548</v>
      </c>
      <c r="FO9" s="18">
        <v>23288</v>
      </c>
      <c r="FP9" s="18">
        <v>23288</v>
      </c>
      <c r="FQ9" s="18">
        <v>17808</v>
      </c>
      <c r="FR9" s="18">
        <v>10959</v>
      </c>
      <c r="FS9" s="18">
        <v>5479</v>
      </c>
      <c r="FT9" s="18">
        <v>1370</v>
      </c>
      <c r="FU9" s="18"/>
      <c r="FV9" s="18"/>
      <c r="FW9" s="18"/>
      <c r="FX9" s="18"/>
      <c r="FY9" s="18"/>
      <c r="FZ9" s="18"/>
      <c r="GA9" s="18"/>
      <c r="GB9" s="19">
        <f t="shared" si="9"/>
        <v>136986</v>
      </c>
      <c r="GC9" s="38">
        <v>4</v>
      </c>
      <c r="GD9" s="19">
        <f t="shared" si="10"/>
        <v>547944</v>
      </c>
      <c r="GE9" s="103"/>
      <c r="GG9" s="100"/>
      <c r="GH9" s="21" t="s">
        <v>42</v>
      </c>
      <c r="GI9" s="18"/>
      <c r="GJ9" s="18"/>
      <c r="GK9" s="18"/>
      <c r="GL9" s="18"/>
      <c r="GM9" s="18"/>
      <c r="GN9" s="18"/>
      <c r="GO9" s="18">
        <v>1366</v>
      </c>
      <c r="GP9" s="18">
        <v>5464</v>
      </c>
      <c r="GQ9" s="18">
        <v>10929</v>
      </c>
      <c r="GR9" s="18">
        <v>16393</v>
      </c>
      <c r="GS9" s="18">
        <v>20492</v>
      </c>
      <c r="GT9" s="18">
        <v>23224</v>
      </c>
      <c r="GU9" s="18">
        <v>23224</v>
      </c>
      <c r="GV9" s="18">
        <v>17760</v>
      </c>
      <c r="GW9" s="18">
        <v>10929</v>
      </c>
      <c r="GX9" s="18">
        <v>5464</v>
      </c>
      <c r="GY9" s="18">
        <v>1366</v>
      </c>
      <c r="GZ9" s="18"/>
      <c r="HA9" s="18"/>
      <c r="HB9" s="18"/>
      <c r="HC9" s="18"/>
      <c r="HD9" s="18"/>
      <c r="HE9" s="18"/>
      <c r="HF9" s="18"/>
      <c r="HG9" s="19">
        <f t="shared" si="11"/>
        <v>136611</v>
      </c>
      <c r="HH9" s="38">
        <v>4</v>
      </c>
      <c r="HI9" s="19">
        <f t="shared" si="12"/>
        <v>546444</v>
      </c>
      <c r="HJ9" s="103"/>
      <c r="HL9" s="100"/>
      <c r="HM9" s="21" t="s">
        <v>42</v>
      </c>
      <c r="HN9" s="18"/>
      <c r="HO9" s="18"/>
      <c r="HP9" s="18"/>
      <c r="HQ9" s="18"/>
      <c r="HR9" s="18"/>
      <c r="HS9" s="18"/>
      <c r="HT9" s="18">
        <v>1370</v>
      </c>
      <c r="HU9" s="18">
        <v>5479</v>
      </c>
      <c r="HV9" s="18">
        <v>10959</v>
      </c>
      <c r="HW9" s="18">
        <v>16438</v>
      </c>
      <c r="HX9" s="18">
        <v>20548</v>
      </c>
      <c r="HY9" s="18">
        <v>23288</v>
      </c>
      <c r="HZ9" s="18">
        <v>23288</v>
      </c>
      <c r="IA9" s="18">
        <v>17808</v>
      </c>
      <c r="IB9" s="18">
        <v>10959</v>
      </c>
      <c r="IC9" s="18">
        <v>5479</v>
      </c>
      <c r="ID9" s="18">
        <v>1370</v>
      </c>
      <c r="IE9" s="18"/>
      <c r="IF9" s="18"/>
      <c r="IG9" s="18"/>
      <c r="IH9" s="18"/>
      <c r="II9" s="18"/>
      <c r="IJ9" s="18"/>
      <c r="IK9" s="18"/>
      <c r="IL9" s="19">
        <f t="shared" si="13"/>
        <v>136986</v>
      </c>
      <c r="IM9" s="38">
        <v>5</v>
      </c>
      <c r="IN9" s="19">
        <f t="shared" si="14"/>
        <v>684930</v>
      </c>
      <c r="IO9" s="103"/>
      <c r="IQ9" s="100"/>
      <c r="IR9" s="21" t="s">
        <v>42</v>
      </c>
      <c r="IS9" s="18"/>
      <c r="IT9" s="18"/>
      <c r="IU9" s="18"/>
      <c r="IV9" s="18"/>
      <c r="IW9" s="18"/>
      <c r="IX9" s="18"/>
      <c r="IY9" s="18">
        <v>1370</v>
      </c>
      <c r="IZ9" s="18">
        <v>5479</v>
      </c>
      <c r="JA9" s="18">
        <v>10959</v>
      </c>
      <c r="JB9" s="18">
        <v>16438</v>
      </c>
      <c r="JC9" s="18">
        <v>20548</v>
      </c>
      <c r="JD9" s="18">
        <v>23288</v>
      </c>
      <c r="JE9" s="18">
        <v>23288</v>
      </c>
      <c r="JF9" s="18">
        <v>17808</v>
      </c>
      <c r="JG9" s="18">
        <v>10959</v>
      </c>
      <c r="JH9" s="18">
        <v>5479</v>
      </c>
      <c r="JI9" s="18">
        <v>1370</v>
      </c>
      <c r="JJ9" s="18"/>
      <c r="JK9" s="18"/>
      <c r="JL9" s="18"/>
      <c r="JM9" s="18"/>
      <c r="JN9" s="18"/>
      <c r="JO9" s="18"/>
      <c r="JP9" s="18"/>
      <c r="JQ9" s="19">
        <f t="shared" si="15"/>
        <v>136986</v>
      </c>
      <c r="JR9" s="38">
        <v>4</v>
      </c>
      <c r="JS9" s="19">
        <f t="shared" si="16"/>
        <v>547944</v>
      </c>
      <c r="JT9" s="103"/>
      <c r="JV9" s="100"/>
      <c r="JW9" s="21" t="s">
        <v>42</v>
      </c>
      <c r="JX9" s="18"/>
      <c r="JY9" s="18"/>
      <c r="JZ9" s="18"/>
      <c r="KA9" s="18"/>
      <c r="KB9" s="18"/>
      <c r="KC9" s="18"/>
      <c r="KD9" s="18"/>
      <c r="KE9" s="18">
        <v>1370</v>
      </c>
      <c r="KF9" s="18">
        <v>5479</v>
      </c>
      <c r="KG9" s="18">
        <v>10959</v>
      </c>
      <c r="KH9" s="18">
        <v>16438</v>
      </c>
      <c r="KI9" s="18">
        <v>20548</v>
      </c>
      <c r="KJ9" s="18">
        <v>23288</v>
      </c>
      <c r="KK9" s="18">
        <v>23288</v>
      </c>
      <c r="KL9" s="18">
        <v>17808</v>
      </c>
      <c r="KM9" s="18">
        <v>10959</v>
      </c>
      <c r="KN9" s="18">
        <v>5479</v>
      </c>
      <c r="KO9" s="18">
        <v>1370</v>
      </c>
      <c r="KP9" s="18"/>
      <c r="KQ9" s="18"/>
      <c r="KR9" s="18"/>
      <c r="KS9" s="18"/>
      <c r="KT9" s="18"/>
      <c r="KU9" s="18"/>
      <c r="KV9" s="19">
        <f t="shared" si="17"/>
        <v>136986</v>
      </c>
      <c r="KW9" s="38">
        <v>4</v>
      </c>
      <c r="KX9" s="19">
        <f t="shared" si="18"/>
        <v>547944</v>
      </c>
      <c r="KY9" s="103"/>
      <c r="LA9" s="100"/>
      <c r="LB9" s="21" t="s">
        <v>42</v>
      </c>
      <c r="LC9" s="18"/>
      <c r="LD9" s="18"/>
      <c r="LE9" s="18"/>
      <c r="LF9" s="18"/>
      <c r="LG9" s="18"/>
      <c r="LH9" s="18"/>
      <c r="LI9" s="18">
        <v>1366</v>
      </c>
      <c r="LJ9" s="18">
        <v>5464</v>
      </c>
      <c r="LK9" s="18">
        <v>10929</v>
      </c>
      <c r="LL9" s="18">
        <v>16393</v>
      </c>
      <c r="LM9" s="18">
        <v>20492</v>
      </c>
      <c r="LN9" s="18">
        <v>23224</v>
      </c>
      <c r="LO9" s="18">
        <v>23224</v>
      </c>
      <c r="LP9" s="18">
        <v>17760</v>
      </c>
      <c r="LQ9" s="18">
        <v>10929</v>
      </c>
      <c r="LR9" s="18">
        <v>5464</v>
      </c>
      <c r="LS9" s="18">
        <v>1366</v>
      </c>
      <c r="LT9" s="18"/>
      <c r="LU9" s="18"/>
      <c r="LV9" s="18"/>
      <c r="LW9" s="18"/>
      <c r="LX9" s="18"/>
      <c r="LY9" s="18"/>
      <c r="LZ9" s="18"/>
      <c r="MA9" s="19">
        <f t="shared" si="19"/>
        <v>136611</v>
      </c>
      <c r="MB9" s="38">
        <v>4</v>
      </c>
      <c r="MC9" s="19">
        <f t="shared" si="20"/>
        <v>546444</v>
      </c>
      <c r="MD9" s="103"/>
      <c r="MF9" s="100"/>
      <c r="MG9" s="21" t="s">
        <v>42</v>
      </c>
      <c r="MH9" s="18"/>
      <c r="MI9" s="18"/>
      <c r="MJ9" s="18"/>
      <c r="MK9" s="18"/>
      <c r="ML9" s="18"/>
      <c r="MM9" s="18"/>
      <c r="MN9" s="18">
        <v>1370</v>
      </c>
      <c r="MO9" s="18">
        <v>5479</v>
      </c>
      <c r="MP9" s="18">
        <v>10959</v>
      </c>
      <c r="MQ9" s="18">
        <v>16438</v>
      </c>
      <c r="MR9" s="18">
        <v>20548</v>
      </c>
      <c r="MS9" s="18">
        <v>23288</v>
      </c>
      <c r="MT9" s="18">
        <v>23288</v>
      </c>
      <c r="MU9" s="18">
        <v>17808</v>
      </c>
      <c r="MV9" s="18">
        <v>10959</v>
      </c>
      <c r="MW9" s="18">
        <v>5479</v>
      </c>
      <c r="MX9" s="18">
        <v>1370</v>
      </c>
      <c r="MY9" s="18"/>
      <c r="MZ9" s="18"/>
      <c r="NA9" s="18"/>
      <c r="NB9" s="18"/>
      <c r="NC9" s="18"/>
      <c r="ND9" s="18"/>
      <c r="NE9" s="18"/>
      <c r="NF9" s="19">
        <f t="shared" si="21"/>
        <v>136986</v>
      </c>
      <c r="NG9" s="38">
        <v>4</v>
      </c>
      <c r="NH9" s="19">
        <f t="shared" si="22"/>
        <v>547944</v>
      </c>
      <c r="NI9" s="103"/>
      <c r="NK9" s="100"/>
      <c r="NL9" s="21" t="s">
        <v>42</v>
      </c>
      <c r="NM9" s="18"/>
      <c r="NN9" s="18"/>
      <c r="NO9" s="18"/>
      <c r="NP9" s="18"/>
      <c r="NQ9" s="18"/>
      <c r="NR9" s="18"/>
      <c r="NS9" s="18">
        <v>1370</v>
      </c>
      <c r="NT9" s="18">
        <v>5479</v>
      </c>
      <c r="NU9" s="18">
        <v>10959</v>
      </c>
      <c r="NV9" s="18">
        <v>16438</v>
      </c>
      <c r="NW9" s="18">
        <v>20548</v>
      </c>
      <c r="NX9" s="18">
        <v>23288</v>
      </c>
      <c r="NY9" s="18">
        <v>23288</v>
      </c>
      <c r="NZ9" s="18">
        <v>17808</v>
      </c>
      <c r="OA9" s="18">
        <v>10959</v>
      </c>
      <c r="OB9" s="18">
        <v>5479</v>
      </c>
      <c r="OC9" s="18">
        <v>1370</v>
      </c>
      <c r="OD9" s="18"/>
      <c r="OE9" s="18"/>
      <c r="OF9" s="18"/>
      <c r="OG9" s="18"/>
      <c r="OH9" s="18"/>
      <c r="OI9" s="18"/>
      <c r="OJ9" s="18"/>
      <c r="OK9" s="19">
        <f t="shared" si="23"/>
        <v>136986</v>
      </c>
      <c r="OL9" s="38">
        <v>5</v>
      </c>
      <c r="OM9" s="19">
        <f t="shared" si="24"/>
        <v>684930</v>
      </c>
      <c r="ON9" s="103"/>
      <c r="OP9" s="100"/>
      <c r="OQ9" s="21" t="s">
        <v>42</v>
      </c>
      <c r="OR9" s="18"/>
      <c r="OS9" s="18"/>
      <c r="OT9" s="18"/>
      <c r="OU9" s="18"/>
      <c r="OV9" s="18"/>
      <c r="OW9" s="18"/>
      <c r="OX9" s="18">
        <v>1370</v>
      </c>
      <c r="OY9" s="18">
        <v>5479</v>
      </c>
      <c r="OZ9" s="18">
        <v>10959</v>
      </c>
      <c r="PA9" s="18">
        <v>16438</v>
      </c>
      <c r="PB9" s="18">
        <v>20548</v>
      </c>
      <c r="PC9" s="18">
        <v>23288</v>
      </c>
      <c r="PD9" s="18">
        <v>23288</v>
      </c>
      <c r="PE9" s="18">
        <v>17808</v>
      </c>
      <c r="PF9" s="18">
        <v>10959</v>
      </c>
      <c r="PG9" s="18">
        <v>5479</v>
      </c>
      <c r="PH9" s="18">
        <v>1370</v>
      </c>
      <c r="PI9" s="18"/>
      <c r="PJ9" s="18"/>
      <c r="PK9" s="18"/>
      <c r="PL9" s="18"/>
      <c r="PM9" s="18"/>
      <c r="PN9" s="18"/>
      <c r="PO9" s="18"/>
      <c r="PP9" s="19">
        <f t="shared" si="25"/>
        <v>136986</v>
      </c>
      <c r="PQ9" s="38">
        <v>5</v>
      </c>
      <c r="PR9" s="19">
        <f t="shared" si="26"/>
        <v>684930</v>
      </c>
      <c r="PS9" s="103"/>
      <c r="PU9" s="100"/>
      <c r="PV9" s="21" t="s">
        <v>42</v>
      </c>
      <c r="PW9" s="18"/>
      <c r="PX9" s="18"/>
      <c r="PY9" s="18"/>
      <c r="PZ9" s="18"/>
      <c r="QA9" s="18"/>
      <c r="QB9" s="18"/>
      <c r="QC9" s="18">
        <v>1366</v>
      </c>
      <c r="QD9" s="18">
        <v>5464</v>
      </c>
      <c r="QE9" s="18">
        <v>10929</v>
      </c>
      <c r="QF9" s="18">
        <v>16393</v>
      </c>
      <c r="QG9" s="18">
        <v>20492</v>
      </c>
      <c r="QH9" s="18">
        <v>23224</v>
      </c>
      <c r="QI9" s="18">
        <v>23224</v>
      </c>
      <c r="QJ9" s="18">
        <v>17760</v>
      </c>
      <c r="QK9" s="18">
        <v>10929</v>
      </c>
      <c r="QL9" s="18">
        <v>5464</v>
      </c>
      <c r="QM9" s="18">
        <v>1366</v>
      </c>
      <c r="QN9" s="18"/>
      <c r="QO9" s="18"/>
      <c r="QP9" s="18"/>
      <c r="QQ9" s="18"/>
      <c r="QR9" s="18"/>
      <c r="QS9" s="18"/>
      <c r="QT9" s="18"/>
      <c r="QU9" s="19">
        <f t="shared" si="27"/>
        <v>136611</v>
      </c>
      <c r="QV9" s="45">
        <v>4</v>
      </c>
      <c r="QW9" s="19">
        <f t="shared" si="28"/>
        <v>546444</v>
      </c>
      <c r="QX9" s="103"/>
    </row>
    <row r="10" spans="1:466" ht="15" thickBot="1" x14ac:dyDescent="0.4">
      <c r="A10" s="101">
        <v>46026</v>
      </c>
      <c r="B10" s="22" t="s">
        <v>43</v>
      </c>
      <c r="C10" s="18"/>
      <c r="D10" s="18"/>
      <c r="E10" s="18"/>
      <c r="F10" s="18"/>
      <c r="G10" s="18"/>
      <c r="H10" s="18"/>
      <c r="I10" s="18">
        <v>1370</v>
      </c>
      <c r="J10" s="18">
        <v>5479</v>
      </c>
      <c r="K10" s="18">
        <v>10959</v>
      </c>
      <c r="L10" s="18">
        <v>16438</v>
      </c>
      <c r="M10" s="18">
        <v>20548</v>
      </c>
      <c r="N10" s="18">
        <v>23288</v>
      </c>
      <c r="O10" s="18">
        <v>23288</v>
      </c>
      <c r="P10" s="18">
        <v>17808</v>
      </c>
      <c r="Q10" s="18">
        <v>10959</v>
      </c>
      <c r="R10" s="18">
        <v>5479</v>
      </c>
      <c r="S10" s="18">
        <v>1370</v>
      </c>
      <c r="T10" s="18"/>
      <c r="U10" s="18"/>
      <c r="V10" s="18"/>
      <c r="W10" s="18"/>
      <c r="X10" s="18"/>
      <c r="Y10" s="18"/>
      <c r="Z10" s="18"/>
      <c r="AA10" s="19">
        <f t="shared" si="0"/>
        <v>136986</v>
      </c>
      <c r="AB10" s="39">
        <v>2</v>
      </c>
      <c r="AC10" s="19">
        <f t="shared" si="1"/>
        <v>273972</v>
      </c>
      <c r="AD10" s="104"/>
      <c r="AF10" s="101"/>
      <c r="AG10" s="22" t="s">
        <v>43</v>
      </c>
      <c r="AH10" s="18"/>
      <c r="AI10" s="18"/>
      <c r="AJ10" s="18"/>
      <c r="AK10" s="18"/>
      <c r="AL10" s="18"/>
      <c r="AM10" s="18"/>
      <c r="AN10" s="18">
        <v>1370</v>
      </c>
      <c r="AO10" s="18">
        <v>5479</v>
      </c>
      <c r="AP10" s="18">
        <v>10959</v>
      </c>
      <c r="AQ10" s="18">
        <v>16438</v>
      </c>
      <c r="AR10" s="18">
        <v>20548</v>
      </c>
      <c r="AS10" s="18">
        <v>23288</v>
      </c>
      <c r="AT10" s="18">
        <v>23288</v>
      </c>
      <c r="AU10" s="18">
        <v>17808</v>
      </c>
      <c r="AV10" s="18">
        <v>10959</v>
      </c>
      <c r="AW10" s="18">
        <v>5479</v>
      </c>
      <c r="AX10" s="18">
        <v>1370</v>
      </c>
      <c r="AY10" s="18"/>
      <c r="AZ10" s="18"/>
      <c r="BA10" s="18"/>
      <c r="BB10" s="18"/>
      <c r="BC10" s="18"/>
      <c r="BD10" s="18"/>
      <c r="BE10" s="18"/>
      <c r="BF10" s="19">
        <f t="shared" si="2"/>
        <v>136986</v>
      </c>
      <c r="BG10" s="39">
        <v>2</v>
      </c>
      <c r="BH10" s="19">
        <f t="shared" si="3"/>
        <v>273972</v>
      </c>
      <c r="BI10" s="104"/>
      <c r="BK10" s="101"/>
      <c r="BL10" s="22" t="s">
        <v>43</v>
      </c>
      <c r="BM10" s="18"/>
      <c r="BN10" s="18"/>
      <c r="BO10" s="18"/>
      <c r="BP10" s="18"/>
      <c r="BQ10" s="18"/>
      <c r="BR10" s="18"/>
      <c r="BS10" s="18">
        <v>1366</v>
      </c>
      <c r="BT10" s="18">
        <v>5464</v>
      </c>
      <c r="BU10" s="18">
        <v>10929</v>
      </c>
      <c r="BV10" s="18">
        <v>16393</v>
      </c>
      <c r="BW10" s="18">
        <v>20492</v>
      </c>
      <c r="BX10" s="18">
        <v>23224</v>
      </c>
      <c r="BY10" s="18">
        <v>23224</v>
      </c>
      <c r="BZ10" s="18">
        <v>17760</v>
      </c>
      <c r="CA10" s="18">
        <v>10929</v>
      </c>
      <c r="CB10" s="18">
        <v>5464</v>
      </c>
      <c r="CC10" s="18">
        <v>1366</v>
      </c>
      <c r="CD10" s="18"/>
      <c r="CE10" s="18"/>
      <c r="CF10" s="18"/>
      <c r="CG10" s="18"/>
      <c r="CH10" s="18"/>
      <c r="CI10" s="18"/>
      <c r="CJ10" s="18"/>
      <c r="CK10" s="19">
        <f t="shared" si="4"/>
        <v>136611</v>
      </c>
      <c r="CL10" s="39">
        <v>2</v>
      </c>
      <c r="CM10" s="19">
        <f t="shared" si="5"/>
        <v>273222</v>
      </c>
      <c r="CN10" s="104"/>
      <c r="CP10" s="101"/>
      <c r="CQ10" s="22" t="s">
        <v>43</v>
      </c>
      <c r="CR10" s="18"/>
      <c r="CS10" s="18"/>
      <c r="CT10" s="18"/>
      <c r="CU10" s="18"/>
      <c r="CV10" s="18"/>
      <c r="CW10" s="18"/>
      <c r="CX10" s="18">
        <v>1370</v>
      </c>
      <c r="CY10" s="18">
        <v>5479</v>
      </c>
      <c r="CZ10" s="18">
        <v>10959</v>
      </c>
      <c r="DA10" s="18">
        <v>16438</v>
      </c>
      <c r="DB10" s="18">
        <v>20548</v>
      </c>
      <c r="DC10" s="18">
        <v>23288</v>
      </c>
      <c r="DD10" s="18">
        <v>23288</v>
      </c>
      <c r="DE10" s="18">
        <v>17808</v>
      </c>
      <c r="DF10" s="18">
        <v>10959</v>
      </c>
      <c r="DG10" s="18">
        <v>5479</v>
      </c>
      <c r="DH10" s="18">
        <v>1370</v>
      </c>
      <c r="DI10" s="18"/>
      <c r="DJ10" s="18"/>
      <c r="DK10" s="18"/>
      <c r="DL10" s="18"/>
      <c r="DM10" s="18"/>
      <c r="DN10" s="18"/>
      <c r="DO10" s="18"/>
      <c r="DP10" s="19">
        <f t="shared" si="6"/>
        <v>136986</v>
      </c>
      <c r="DQ10" s="39">
        <v>2</v>
      </c>
      <c r="DR10" s="19">
        <f t="shared" si="7"/>
        <v>273972</v>
      </c>
      <c r="DS10" s="104"/>
      <c r="DV10" s="101"/>
      <c r="DW10" s="22" t="s">
        <v>43</v>
      </c>
      <c r="DX10" s="18"/>
      <c r="DY10" s="18"/>
      <c r="DZ10" s="18"/>
      <c r="EA10" s="18"/>
      <c r="EB10" s="18"/>
      <c r="EC10" s="18"/>
      <c r="ED10" s="18">
        <v>1370</v>
      </c>
      <c r="EE10" s="18">
        <v>5479</v>
      </c>
      <c r="EF10" s="18">
        <v>10959</v>
      </c>
      <c r="EG10" s="18">
        <v>16438</v>
      </c>
      <c r="EH10" s="18">
        <v>20548</v>
      </c>
      <c r="EI10" s="18">
        <v>23288</v>
      </c>
      <c r="EJ10" s="18">
        <v>23288</v>
      </c>
      <c r="EK10" s="18">
        <v>17808</v>
      </c>
      <c r="EL10" s="18">
        <v>10959</v>
      </c>
      <c r="EM10" s="18">
        <v>5479</v>
      </c>
      <c r="EN10" s="18">
        <v>1370</v>
      </c>
      <c r="EO10" s="18"/>
      <c r="EP10" s="18"/>
      <c r="EQ10" s="18"/>
      <c r="ER10" s="18"/>
      <c r="ES10" s="18"/>
      <c r="ET10" s="18"/>
      <c r="EU10" s="18"/>
      <c r="EV10" s="19">
        <f t="shared" si="8"/>
        <v>136986</v>
      </c>
      <c r="EW10" s="39">
        <v>2</v>
      </c>
      <c r="EX10" s="19">
        <f>+EW10*EV10</f>
        <v>273972</v>
      </c>
      <c r="EY10" s="104"/>
      <c r="FB10" s="101"/>
      <c r="FC10" s="22" t="s">
        <v>43</v>
      </c>
      <c r="FD10" s="18"/>
      <c r="FE10" s="18"/>
      <c r="FF10" s="18"/>
      <c r="FG10" s="18"/>
      <c r="FH10" s="18"/>
      <c r="FI10" s="18"/>
      <c r="FJ10" s="18">
        <v>1370</v>
      </c>
      <c r="FK10" s="18">
        <v>5479</v>
      </c>
      <c r="FL10" s="18">
        <v>10959</v>
      </c>
      <c r="FM10" s="18">
        <v>16438</v>
      </c>
      <c r="FN10" s="18">
        <v>20548</v>
      </c>
      <c r="FO10" s="18">
        <v>23288</v>
      </c>
      <c r="FP10" s="18">
        <v>23288</v>
      </c>
      <c r="FQ10" s="18">
        <v>17808</v>
      </c>
      <c r="FR10" s="18">
        <v>10959</v>
      </c>
      <c r="FS10" s="18">
        <v>5479</v>
      </c>
      <c r="FT10" s="18">
        <v>1370</v>
      </c>
      <c r="FU10" s="18"/>
      <c r="FV10" s="18"/>
      <c r="FW10" s="18"/>
      <c r="FX10" s="18"/>
      <c r="FY10" s="18"/>
      <c r="FZ10" s="18"/>
      <c r="GA10" s="18"/>
      <c r="GB10" s="19">
        <f t="shared" si="9"/>
        <v>136986</v>
      </c>
      <c r="GC10" s="39">
        <v>2</v>
      </c>
      <c r="GD10" s="19">
        <f t="shared" si="10"/>
        <v>273972</v>
      </c>
      <c r="GE10" s="104"/>
      <c r="GG10" s="101"/>
      <c r="GH10" s="22" t="s">
        <v>43</v>
      </c>
      <c r="GI10" s="18"/>
      <c r="GJ10" s="18"/>
      <c r="GK10" s="18"/>
      <c r="GL10" s="18"/>
      <c r="GM10" s="18"/>
      <c r="GN10" s="18"/>
      <c r="GO10" s="18">
        <v>1366</v>
      </c>
      <c r="GP10" s="18">
        <v>5464</v>
      </c>
      <c r="GQ10" s="18">
        <v>10929</v>
      </c>
      <c r="GR10" s="18">
        <v>16393</v>
      </c>
      <c r="GS10" s="18">
        <v>20492</v>
      </c>
      <c r="GT10" s="18">
        <v>23224</v>
      </c>
      <c r="GU10" s="18">
        <v>23224</v>
      </c>
      <c r="GV10" s="18">
        <v>17760</v>
      </c>
      <c r="GW10" s="18">
        <v>10929</v>
      </c>
      <c r="GX10" s="18">
        <v>5464</v>
      </c>
      <c r="GY10" s="18">
        <v>1366</v>
      </c>
      <c r="GZ10" s="18"/>
      <c r="HA10" s="18"/>
      <c r="HB10" s="18"/>
      <c r="HC10" s="18"/>
      <c r="HD10" s="18"/>
      <c r="HE10" s="18"/>
      <c r="HF10" s="18"/>
      <c r="HG10" s="19">
        <f t="shared" si="11"/>
        <v>136611</v>
      </c>
      <c r="HH10" s="39">
        <v>2</v>
      </c>
      <c r="HI10" s="19">
        <f t="shared" si="12"/>
        <v>273222</v>
      </c>
      <c r="HJ10" s="104"/>
      <c r="HL10" s="101"/>
      <c r="HM10" s="22" t="s">
        <v>43</v>
      </c>
      <c r="HN10" s="18"/>
      <c r="HO10" s="18"/>
      <c r="HP10" s="18"/>
      <c r="HQ10" s="18"/>
      <c r="HR10" s="18"/>
      <c r="HS10" s="18"/>
      <c r="HT10" s="18">
        <v>1370</v>
      </c>
      <c r="HU10" s="18">
        <v>5479</v>
      </c>
      <c r="HV10" s="18">
        <v>10959</v>
      </c>
      <c r="HW10" s="18">
        <v>16438</v>
      </c>
      <c r="HX10" s="18">
        <v>20548</v>
      </c>
      <c r="HY10" s="18">
        <v>23288</v>
      </c>
      <c r="HZ10" s="18">
        <v>23288</v>
      </c>
      <c r="IA10" s="18">
        <v>17808</v>
      </c>
      <c r="IB10" s="18">
        <v>10959</v>
      </c>
      <c r="IC10" s="18">
        <v>5479</v>
      </c>
      <c r="ID10" s="18">
        <v>1370</v>
      </c>
      <c r="IE10" s="18"/>
      <c r="IF10" s="18"/>
      <c r="IG10" s="18"/>
      <c r="IH10" s="18"/>
      <c r="II10" s="18"/>
      <c r="IJ10" s="18"/>
      <c r="IK10" s="18"/>
      <c r="IL10" s="19">
        <f t="shared" si="13"/>
        <v>136986</v>
      </c>
      <c r="IM10" s="39">
        <v>2</v>
      </c>
      <c r="IN10" s="19">
        <f t="shared" si="14"/>
        <v>273972</v>
      </c>
      <c r="IO10" s="104"/>
      <c r="IQ10" s="101"/>
      <c r="IR10" s="22" t="s">
        <v>43</v>
      </c>
      <c r="IS10" s="18"/>
      <c r="IT10" s="18"/>
      <c r="IU10" s="18"/>
      <c r="IV10" s="18"/>
      <c r="IW10" s="18"/>
      <c r="IX10" s="18"/>
      <c r="IY10" s="18">
        <v>1370</v>
      </c>
      <c r="IZ10" s="18">
        <v>5479</v>
      </c>
      <c r="JA10" s="18">
        <v>10959</v>
      </c>
      <c r="JB10" s="18">
        <v>16438</v>
      </c>
      <c r="JC10" s="18">
        <v>20548</v>
      </c>
      <c r="JD10" s="18">
        <v>23288</v>
      </c>
      <c r="JE10" s="18">
        <v>23288</v>
      </c>
      <c r="JF10" s="18">
        <v>17808</v>
      </c>
      <c r="JG10" s="18">
        <v>10959</v>
      </c>
      <c r="JH10" s="18">
        <v>5479</v>
      </c>
      <c r="JI10" s="18">
        <v>1370</v>
      </c>
      <c r="JJ10" s="18"/>
      <c r="JK10" s="18"/>
      <c r="JL10" s="18"/>
      <c r="JM10" s="18"/>
      <c r="JN10" s="18"/>
      <c r="JO10" s="18"/>
      <c r="JP10" s="18"/>
      <c r="JQ10" s="19">
        <f t="shared" si="15"/>
        <v>136986</v>
      </c>
      <c r="JR10" s="39">
        <v>2</v>
      </c>
      <c r="JS10" s="19">
        <f t="shared" si="16"/>
        <v>273972</v>
      </c>
      <c r="JT10" s="104"/>
      <c r="JV10" s="101"/>
      <c r="JW10" s="22" t="s">
        <v>43</v>
      </c>
      <c r="JX10" s="18"/>
      <c r="JY10" s="18"/>
      <c r="JZ10" s="18"/>
      <c r="KA10" s="18"/>
      <c r="KB10" s="18"/>
      <c r="KC10" s="18"/>
      <c r="KD10" s="18"/>
      <c r="KE10" s="18">
        <v>1370</v>
      </c>
      <c r="KF10" s="18">
        <v>5479</v>
      </c>
      <c r="KG10" s="18">
        <v>10959</v>
      </c>
      <c r="KH10" s="18">
        <v>16438</v>
      </c>
      <c r="KI10" s="18">
        <v>20548</v>
      </c>
      <c r="KJ10" s="18">
        <v>23288</v>
      </c>
      <c r="KK10" s="18">
        <v>23288</v>
      </c>
      <c r="KL10" s="18">
        <v>17808</v>
      </c>
      <c r="KM10" s="18">
        <v>10959</v>
      </c>
      <c r="KN10" s="18">
        <v>5479</v>
      </c>
      <c r="KO10" s="18">
        <v>1370</v>
      </c>
      <c r="KP10" s="18"/>
      <c r="KQ10" s="18"/>
      <c r="KR10" s="18"/>
      <c r="KS10" s="18"/>
      <c r="KT10" s="18"/>
      <c r="KU10" s="18"/>
      <c r="KV10" s="19">
        <f t="shared" si="17"/>
        <v>136986</v>
      </c>
      <c r="KW10" s="39">
        <v>2</v>
      </c>
      <c r="KX10" s="19">
        <f t="shared" si="18"/>
        <v>273972</v>
      </c>
      <c r="KY10" s="104"/>
      <c r="LA10" s="101"/>
      <c r="LB10" s="22" t="s">
        <v>43</v>
      </c>
      <c r="LC10" s="18"/>
      <c r="LD10" s="18"/>
      <c r="LE10" s="18"/>
      <c r="LF10" s="18"/>
      <c r="LG10" s="18"/>
      <c r="LH10" s="18"/>
      <c r="LI10" s="18">
        <v>1366</v>
      </c>
      <c r="LJ10" s="18">
        <v>5464</v>
      </c>
      <c r="LK10" s="18">
        <v>10929</v>
      </c>
      <c r="LL10" s="18">
        <v>16393</v>
      </c>
      <c r="LM10" s="18">
        <v>20492</v>
      </c>
      <c r="LN10" s="18">
        <v>23224</v>
      </c>
      <c r="LO10" s="18">
        <v>23224</v>
      </c>
      <c r="LP10" s="18">
        <v>17760</v>
      </c>
      <c r="LQ10" s="18">
        <v>10929</v>
      </c>
      <c r="LR10" s="18">
        <v>5464</v>
      </c>
      <c r="LS10" s="18">
        <v>1366</v>
      </c>
      <c r="LT10" s="18"/>
      <c r="LU10" s="18"/>
      <c r="LV10" s="18"/>
      <c r="LW10" s="18"/>
      <c r="LX10" s="18"/>
      <c r="LY10" s="18"/>
      <c r="LZ10" s="18"/>
      <c r="MA10" s="19">
        <f t="shared" si="19"/>
        <v>136611</v>
      </c>
      <c r="MB10" s="39">
        <v>2</v>
      </c>
      <c r="MC10" s="19">
        <f t="shared" si="20"/>
        <v>273222</v>
      </c>
      <c r="MD10" s="104"/>
      <c r="MF10" s="101"/>
      <c r="MG10" s="22" t="s">
        <v>43</v>
      </c>
      <c r="MH10" s="18"/>
      <c r="MI10" s="18"/>
      <c r="MJ10" s="18"/>
      <c r="MK10" s="18"/>
      <c r="ML10" s="18"/>
      <c r="MM10" s="18"/>
      <c r="MN10" s="18">
        <v>1370</v>
      </c>
      <c r="MO10" s="18">
        <v>5479</v>
      </c>
      <c r="MP10" s="18">
        <v>10959</v>
      </c>
      <c r="MQ10" s="18">
        <v>16438</v>
      </c>
      <c r="MR10" s="18">
        <v>20548</v>
      </c>
      <c r="MS10" s="18">
        <v>23288</v>
      </c>
      <c r="MT10" s="18">
        <v>23288</v>
      </c>
      <c r="MU10" s="18">
        <v>17808</v>
      </c>
      <c r="MV10" s="18">
        <v>10959</v>
      </c>
      <c r="MW10" s="18">
        <v>5479</v>
      </c>
      <c r="MX10" s="18">
        <v>1370</v>
      </c>
      <c r="MY10" s="18"/>
      <c r="MZ10" s="18"/>
      <c r="NA10" s="18"/>
      <c r="NB10" s="18"/>
      <c r="NC10" s="18"/>
      <c r="ND10" s="18"/>
      <c r="NE10" s="18"/>
      <c r="NF10" s="19">
        <f t="shared" si="21"/>
        <v>136986</v>
      </c>
      <c r="NG10" s="39">
        <v>2</v>
      </c>
      <c r="NH10" s="19">
        <f t="shared" si="22"/>
        <v>273972</v>
      </c>
      <c r="NI10" s="104"/>
      <c r="NK10" s="101"/>
      <c r="NL10" s="22" t="s">
        <v>43</v>
      </c>
      <c r="NM10" s="18"/>
      <c r="NN10" s="18"/>
      <c r="NO10" s="18"/>
      <c r="NP10" s="18"/>
      <c r="NQ10" s="18"/>
      <c r="NR10" s="18"/>
      <c r="NS10" s="18">
        <v>1370</v>
      </c>
      <c r="NT10" s="18">
        <v>5479</v>
      </c>
      <c r="NU10" s="18">
        <v>10959</v>
      </c>
      <c r="NV10" s="18">
        <v>16438</v>
      </c>
      <c r="NW10" s="18">
        <v>20548</v>
      </c>
      <c r="NX10" s="18">
        <v>23288</v>
      </c>
      <c r="NY10" s="18">
        <v>23288</v>
      </c>
      <c r="NZ10" s="18">
        <v>17808</v>
      </c>
      <c r="OA10" s="18">
        <v>10959</v>
      </c>
      <c r="OB10" s="18">
        <v>5479</v>
      </c>
      <c r="OC10" s="18">
        <v>1370</v>
      </c>
      <c r="OD10" s="18"/>
      <c r="OE10" s="18"/>
      <c r="OF10" s="18"/>
      <c r="OG10" s="18"/>
      <c r="OH10" s="18"/>
      <c r="OI10" s="18"/>
      <c r="OJ10" s="18"/>
      <c r="OK10" s="19">
        <f t="shared" si="23"/>
        <v>136986</v>
      </c>
      <c r="OL10" s="39">
        <v>2</v>
      </c>
      <c r="OM10" s="19">
        <f t="shared" si="24"/>
        <v>273972</v>
      </c>
      <c r="ON10" s="104"/>
      <c r="OP10" s="101"/>
      <c r="OQ10" s="22" t="s">
        <v>43</v>
      </c>
      <c r="OR10" s="18"/>
      <c r="OS10" s="18"/>
      <c r="OT10" s="18"/>
      <c r="OU10" s="18"/>
      <c r="OV10" s="18"/>
      <c r="OW10" s="18"/>
      <c r="OX10" s="18">
        <v>1370</v>
      </c>
      <c r="OY10" s="18">
        <v>5479</v>
      </c>
      <c r="OZ10" s="18">
        <v>10959</v>
      </c>
      <c r="PA10" s="18">
        <v>16438</v>
      </c>
      <c r="PB10" s="18">
        <v>20548</v>
      </c>
      <c r="PC10" s="18">
        <v>23288</v>
      </c>
      <c r="PD10" s="18">
        <v>23288</v>
      </c>
      <c r="PE10" s="18">
        <v>17808</v>
      </c>
      <c r="PF10" s="18">
        <v>10959</v>
      </c>
      <c r="PG10" s="18">
        <v>5479</v>
      </c>
      <c r="PH10" s="18">
        <v>1370</v>
      </c>
      <c r="PI10" s="18"/>
      <c r="PJ10" s="18"/>
      <c r="PK10" s="18"/>
      <c r="PL10" s="18"/>
      <c r="PM10" s="18"/>
      <c r="PN10" s="18"/>
      <c r="PO10" s="18"/>
      <c r="PP10" s="19">
        <f t="shared" si="25"/>
        <v>136986</v>
      </c>
      <c r="PQ10" s="39">
        <v>2</v>
      </c>
      <c r="PR10" s="19">
        <f t="shared" si="26"/>
        <v>273972</v>
      </c>
      <c r="PS10" s="104"/>
      <c r="PU10" s="101"/>
      <c r="PV10" s="22" t="s">
        <v>43</v>
      </c>
      <c r="PW10" s="18"/>
      <c r="PX10" s="18"/>
      <c r="PY10" s="18"/>
      <c r="PZ10" s="18"/>
      <c r="QA10" s="18"/>
      <c r="QB10" s="18"/>
      <c r="QC10" s="18">
        <v>1366</v>
      </c>
      <c r="QD10" s="18">
        <v>5464</v>
      </c>
      <c r="QE10" s="18">
        <v>10929</v>
      </c>
      <c r="QF10" s="18">
        <v>16393</v>
      </c>
      <c r="QG10" s="18">
        <v>20492</v>
      </c>
      <c r="QH10" s="18">
        <v>23224</v>
      </c>
      <c r="QI10" s="18">
        <v>23224</v>
      </c>
      <c r="QJ10" s="18">
        <v>17760</v>
      </c>
      <c r="QK10" s="18">
        <v>10929</v>
      </c>
      <c r="QL10" s="18">
        <v>5464</v>
      </c>
      <c r="QM10" s="18">
        <v>1366</v>
      </c>
      <c r="QN10" s="18"/>
      <c r="QO10" s="18"/>
      <c r="QP10" s="18"/>
      <c r="QQ10" s="18"/>
      <c r="QR10" s="18"/>
      <c r="QS10" s="18"/>
      <c r="QT10" s="18"/>
      <c r="QU10" s="19">
        <f t="shared" si="27"/>
        <v>136611</v>
      </c>
      <c r="QV10" s="47">
        <v>2</v>
      </c>
      <c r="QW10" s="19">
        <f t="shared" si="28"/>
        <v>273222</v>
      </c>
      <c r="QX10" s="104"/>
    </row>
    <row r="11" spans="1:466" x14ac:dyDescent="0.35">
      <c r="A11" s="99">
        <v>46054</v>
      </c>
      <c r="B11" s="17" t="s">
        <v>40</v>
      </c>
      <c r="C11" s="18"/>
      <c r="D11" s="18"/>
      <c r="E11" s="18"/>
      <c r="F11" s="18"/>
      <c r="G11" s="18"/>
      <c r="H11" s="18"/>
      <c r="I11" s="18">
        <v>1370</v>
      </c>
      <c r="J11" s="18">
        <v>5479</v>
      </c>
      <c r="K11" s="18">
        <v>10959</v>
      </c>
      <c r="L11" s="18">
        <v>16438</v>
      </c>
      <c r="M11" s="18">
        <v>20548</v>
      </c>
      <c r="N11" s="18">
        <v>23288</v>
      </c>
      <c r="O11" s="18">
        <v>23288</v>
      </c>
      <c r="P11" s="18">
        <v>17808</v>
      </c>
      <c r="Q11" s="18">
        <v>10959</v>
      </c>
      <c r="R11" s="18">
        <v>5479</v>
      </c>
      <c r="S11" s="18">
        <v>1370</v>
      </c>
      <c r="T11" s="18"/>
      <c r="U11" s="18"/>
      <c r="V11" s="18"/>
      <c r="W11" s="18"/>
      <c r="X11" s="18"/>
      <c r="Y11" s="18"/>
      <c r="Z11" s="18"/>
      <c r="AA11" s="19">
        <f t="shared" si="0"/>
        <v>136986</v>
      </c>
      <c r="AB11" s="37">
        <v>20</v>
      </c>
      <c r="AC11" s="19">
        <f t="shared" si="1"/>
        <v>2739720</v>
      </c>
      <c r="AD11" s="102">
        <f>+SUM(AC11:AC14)</f>
        <v>3835608</v>
      </c>
      <c r="AF11" s="99">
        <v>46419</v>
      </c>
      <c r="AG11" s="17" t="s">
        <v>40</v>
      </c>
      <c r="AH11" s="18"/>
      <c r="AI11" s="18"/>
      <c r="AJ11" s="18"/>
      <c r="AK11" s="18"/>
      <c r="AL11" s="18"/>
      <c r="AM11" s="18"/>
      <c r="AN11" s="18">
        <v>1370</v>
      </c>
      <c r="AO11" s="18">
        <v>5479</v>
      </c>
      <c r="AP11" s="18">
        <v>10959</v>
      </c>
      <c r="AQ11" s="18">
        <v>16438</v>
      </c>
      <c r="AR11" s="18">
        <v>20548</v>
      </c>
      <c r="AS11" s="18">
        <v>23288</v>
      </c>
      <c r="AT11" s="18">
        <v>23288</v>
      </c>
      <c r="AU11" s="18">
        <v>17808</v>
      </c>
      <c r="AV11" s="18">
        <v>10959</v>
      </c>
      <c r="AW11" s="18">
        <v>5479</v>
      </c>
      <c r="AX11" s="18">
        <v>1370</v>
      </c>
      <c r="AY11" s="18"/>
      <c r="AZ11" s="18"/>
      <c r="BA11" s="18"/>
      <c r="BB11" s="18"/>
      <c r="BC11" s="18"/>
      <c r="BD11" s="18"/>
      <c r="BE11" s="18"/>
      <c r="BF11" s="19">
        <f t="shared" si="2"/>
        <v>136986</v>
      </c>
      <c r="BG11" s="37">
        <v>20</v>
      </c>
      <c r="BH11" s="19">
        <f t="shared" ref="BH11:BH54" si="29">+BF11*BG11</f>
        <v>2739720</v>
      </c>
      <c r="BI11" s="102">
        <f>+SUM(BH11:BH14)</f>
        <v>3835608</v>
      </c>
      <c r="BK11" s="99">
        <v>46784</v>
      </c>
      <c r="BL11" s="17" t="s">
        <v>40</v>
      </c>
      <c r="BM11" s="18"/>
      <c r="BN11" s="18"/>
      <c r="BO11" s="18"/>
      <c r="BP11" s="18"/>
      <c r="BQ11" s="18"/>
      <c r="BR11" s="18"/>
      <c r="BS11" s="18">
        <v>1366</v>
      </c>
      <c r="BT11" s="18">
        <v>5464</v>
      </c>
      <c r="BU11" s="18">
        <v>10929</v>
      </c>
      <c r="BV11" s="18">
        <v>16393</v>
      </c>
      <c r="BW11" s="18">
        <v>20492</v>
      </c>
      <c r="BX11" s="18">
        <v>23224</v>
      </c>
      <c r="BY11" s="18">
        <v>23224</v>
      </c>
      <c r="BZ11" s="18">
        <v>17760</v>
      </c>
      <c r="CA11" s="18">
        <v>10929</v>
      </c>
      <c r="CB11" s="18">
        <v>5464</v>
      </c>
      <c r="CC11" s="18">
        <v>1366</v>
      </c>
      <c r="CD11" s="18"/>
      <c r="CE11" s="18"/>
      <c r="CF11" s="18"/>
      <c r="CG11" s="18"/>
      <c r="CH11" s="18"/>
      <c r="CI11" s="18"/>
      <c r="CJ11" s="18"/>
      <c r="CK11" s="19">
        <f t="shared" si="4"/>
        <v>136611</v>
      </c>
      <c r="CL11" s="37">
        <v>21</v>
      </c>
      <c r="CM11" s="19">
        <f t="shared" ref="CM11:CM54" si="30">+CK11*CL11</f>
        <v>2868831</v>
      </c>
      <c r="CN11" s="102">
        <f>+SUM(CM11:CM14)</f>
        <v>3961719</v>
      </c>
      <c r="CP11" s="99">
        <v>47150</v>
      </c>
      <c r="CQ11" s="17" t="s">
        <v>40</v>
      </c>
      <c r="CR11" s="18"/>
      <c r="CS11" s="18"/>
      <c r="CT11" s="18"/>
      <c r="CU11" s="18"/>
      <c r="CV11" s="18"/>
      <c r="CW11" s="18"/>
      <c r="CX11" s="18">
        <v>1370</v>
      </c>
      <c r="CY11" s="18">
        <v>5479</v>
      </c>
      <c r="CZ11" s="18">
        <v>10959</v>
      </c>
      <c r="DA11" s="18">
        <v>16438</v>
      </c>
      <c r="DB11" s="18">
        <v>20548</v>
      </c>
      <c r="DC11" s="18">
        <v>23288</v>
      </c>
      <c r="DD11" s="18">
        <v>23288</v>
      </c>
      <c r="DE11" s="18">
        <v>17808</v>
      </c>
      <c r="DF11" s="18">
        <v>10959</v>
      </c>
      <c r="DG11" s="18">
        <v>5479</v>
      </c>
      <c r="DH11" s="18">
        <v>1370</v>
      </c>
      <c r="DI11" s="18"/>
      <c r="DJ11" s="18"/>
      <c r="DK11" s="18"/>
      <c r="DL11" s="18"/>
      <c r="DM11" s="18"/>
      <c r="DN11" s="18"/>
      <c r="DO11" s="18"/>
      <c r="DP11" s="19">
        <f t="shared" si="6"/>
        <v>136986</v>
      </c>
      <c r="DQ11" s="37">
        <v>20</v>
      </c>
      <c r="DR11" s="19">
        <f t="shared" ref="DR11:DR54" si="31">+DP11*DQ11</f>
        <v>2739720</v>
      </c>
      <c r="DS11" s="102">
        <f>+SUM(DR11:DR14)</f>
        <v>3835608</v>
      </c>
      <c r="DV11" s="99">
        <v>47515</v>
      </c>
      <c r="DW11" s="17" t="s">
        <v>40</v>
      </c>
      <c r="DX11" s="18"/>
      <c r="DY11" s="18"/>
      <c r="DZ11" s="18"/>
      <c r="EA11" s="18"/>
      <c r="EB11" s="18"/>
      <c r="EC11" s="18"/>
      <c r="ED11" s="18">
        <v>1370</v>
      </c>
      <c r="EE11" s="18">
        <v>5479</v>
      </c>
      <c r="EF11" s="18">
        <v>10959</v>
      </c>
      <c r="EG11" s="18">
        <v>16438</v>
      </c>
      <c r="EH11" s="18">
        <v>20548</v>
      </c>
      <c r="EI11" s="18">
        <v>23288</v>
      </c>
      <c r="EJ11" s="18">
        <v>23288</v>
      </c>
      <c r="EK11" s="18">
        <v>17808</v>
      </c>
      <c r="EL11" s="18">
        <v>10959</v>
      </c>
      <c r="EM11" s="18">
        <v>5479</v>
      </c>
      <c r="EN11" s="18">
        <v>1370</v>
      </c>
      <c r="EO11" s="18"/>
      <c r="EP11" s="18"/>
      <c r="EQ11" s="18"/>
      <c r="ER11" s="18"/>
      <c r="ES11" s="18"/>
      <c r="ET11" s="18"/>
      <c r="EU11" s="18"/>
      <c r="EV11" s="19">
        <f t="shared" si="8"/>
        <v>136986</v>
      </c>
      <c r="EW11" s="37">
        <v>20</v>
      </c>
      <c r="EX11" s="19">
        <f t="shared" ref="EX11:EX54" si="32">+EV11*EW11</f>
        <v>2739720</v>
      </c>
      <c r="EY11" s="102">
        <f>+SUM(EX11:EX14)</f>
        <v>3835608</v>
      </c>
      <c r="FB11" s="99">
        <v>47880</v>
      </c>
      <c r="FC11" s="17" t="s">
        <v>40</v>
      </c>
      <c r="FD11" s="18"/>
      <c r="FE11" s="18"/>
      <c r="FF11" s="18"/>
      <c r="FG11" s="18"/>
      <c r="FH11" s="18"/>
      <c r="FI11" s="18"/>
      <c r="FJ11" s="18">
        <v>1370</v>
      </c>
      <c r="FK11" s="18">
        <v>5479</v>
      </c>
      <c r="FL11" s="18">
        <v>10959</v>
      </c>
      <c r="FM11" s="18">
        <v>16438</v>
      </c>
      <c r="FN11" s="18">
        <v>20548</v>
      </c>
      <c r="FO11" s="18">
        <v>23288</v>
      </c>
      <c r="FP11" s="18">
        <v>23288</v>
      </c>
      <c r="FQ11" s="18">
        <v>17808</v>
      </c>
      <c r="FR11" s="18">
        <v>10959</v>
      </c>
      <c r="FS11" s="18">
        <v>5479</v>
      </c>
      <c r="FT11" s="18">
        <v>1370</v>
      </c>
      <c r="FU11" s="18"/>
      <c r="FV11" s="18"/>
      <c r="FW11" s="18"/>
      <c r="FX11" s="18"/>
      <c r="FY11" s="18"/>
      <c r="FZ11" s="18"/>
      <c r="GA11" s="18"/>
      <c r="GB11" s="19">
        <f t="shared" si="9"/>
        <v>136986</v>
      </c>
      <c r="GC11" s="37">
        <v>20</v>
      </c>
      <c r="GD11" s="19">
        <f t="shared" ref="GD11:GD54" si="33">+GB11*GC11</f>
        <v>2739720</v>
      </c>
      <c r="GE11" s="102">
        <f>+SUM(GD11:GD14)</f>
        <v>3835608</v>
      </c>
      <c r="GG11" s="99">
        <v>48245</v>
      </c>
      <c r="GH11" s="17" t="s">
        <v>40</v>
      </c>
      <c r="GI11" s="18"/>
      <c r="GJ11" s="18"/>
      <c r="GK11" s="18"/>
      <c r="GL11" s="18"/>
      <c r="GM11" s="18"/>
      <c r="GN11" s="18"/>
      <c r="GO11" s="18">
        <v>1366</v>
      </c>
      <c r="GP11" s="18">
        <v>5464</v>
      </c>
      <c r="GQ11" s="18">
        <v>10929</v>
      </c>
      <c r="GR11" s="18">
        <v>16393</v>
      </c>
      <c r="GS11" s="18">
        <v>20492</v>
      </c>
      <c r="GT11" s="18">
        <v>23224</v>
      </c>
      <c r="GU11" s="18">
        <v>23224</v>
      </c>
      <c r="GV11" s="18">
        <v>17760</v>
      </c>
      <c r="GW11" s="18">
        <v>10929</v>
      </c>
      <c r="GX11" s="18">
        <v>5464</v>
      </c>
      <c r="GY11" s="18">
        <v>1366</v>
      </c>
      <c r="GZ11" s="18"/>
      <c r="HA11" s="18"/>
      <c r="HB11" s="18"/>
      <c r="HC11" s="18"/>
      <c r="HD11" s="18"/>
      <c r="HE11" s="18"/>
      <c r="HF11" s="18"/>
      <c r="HG11" s="19">
        <f t="shared" si="11"/>
        <v>136611</v>
      </c>
      <c r="HH11" s="37">
        <v>20</v>
      </c>
      <c r="HI11" s="19">
        <f t="shared" ref="HI11:HI54" si="34">+HG11*HH11</f>
        <v>2732220</v>
      </c>
      <c r="HJ11" s="102">
        <f>+SUM(HI11:HI14)</f>
        <v>3961719</v>
      </c>
      <c r="HL11" s="99">
        <v>48611</v>
      </c>
      <c r="HM11" s="17" t="s">
        <v>40</v>
      </c>
      <c r="HN11" s="18"/>
      <c r="HO11" s="18"/>
      <c r="HP11" s="18"/>
      <c r="HQ11" s="18"/>
      <c r="HR11" s="18"/>
      <c r="HS11" s="18"/>
      <c r="HT11" s="18">
        <v>1370</v>
      </c>
      <c r="HU11" s="18">
        <v>5479</v>
      </c>
      <c r="HV11" s="18">
        <v>10959</v>
      </c>
      <c r="HW11" s="18">
        <v>16438</v>
      </c>
      <c r="HX11" s="18">
        <v>20548</v>
      </c>
      <c r="HY11" s="18">
        <v>23288</v>
      </c>
      <c r="HZ11" s="18">
        <v>23288</v>
      </c>
      <c r="IA11" s="18">
        <v>17808</v>
      </c>
      <c r="IB11" s="18">
        <v>10959</v>
      </c>
      <c r="IC11" s="18">
        <v>5479</v>
      </c>
      <c r="ID11" s="18">
        <v>1370</v>
      </c>
      <c r="IE11" s="18"/>
      <c r="IF11" s="18"/>
      <c r="IG11" s="18"/>
      <c r="IH11" s="18"/>
      <c r="II11" s="18"/>
      <c r="IJ11" s="18"/>
      <c r="IK11" s="18"/>
      <c r="IL11" s="19">
        <f t="shared" si="13"/>
        <v>136986</v>
      </c>
      <c r="IM11" s="37">
        <v>20</v>
      </c>
      <c r="IN11" s="19">
        <f t="shared" ref="IN11:IN54" si="35">+IL11*IM11</f>
        <v>2739720</v>
      </c>
      <c r="IO11" s="102">
        <f>+SUM(IN11:IN14)</f>
        <v>3835608</v>
      </c>
      <c r="IQ11" s="99">
        <v>48976</v>
      </c>
      <c r="IR11" s="17" t="s">
        <v>40</v>
      </c>
      <c r="IS11" s="18"/>
      <c r="IT11" s="18"/>
      <c r="IU11" s="18"/>
      <c r="IV11" s="18"/>
      <c r="IW11" s="18"/>
      <c r="IX11" s="18"/>
      <c r="IY11" s="18">
        <v>1370</v>
      </c>
      <c r="IZ11" s="18">
        <v>5479</v>
      </c>
      <c r="JA11" s="18">
        <v>10959</v>
      </c>
      <c r="JB11" s="18">
        <v>16438</v>
      </c>
      <c r="JC11" s="18">
        <v>20548</v>
      </c>
      <c r="JD11" s="18">
        <v>23288</v>
      </c>
      <c r="JE11" s="18">
        <v>23288</v>
      </c>
      <c r="JF11" s="18">
        <v>17808</v>
      </c>
      <c r="JG11" s="18">
        <v>10959</v>
      </c>
      <c r="JH11" s="18">
        <v>5479</v>
      </c>
      <c r="JI11" s="18">
        <v>1370</v>
      </c>
      <c r="JJ11" s="18"/>
      <c r="JK11" s="18"/>
      <c r="JL11" s="18"/>
      <c r="JM11" s="18"/>
      <c r="JN11" s="18"/>
      <c r="JO11" s="18"/>
      <c r="JP11" s="18"/>
      <c r="JQ11" s="19">
        <f t="shared" si="15"/>
        <v>136986</v>
      </c>
      <c r="JR11" s="37">
        <v>20</v>
      </c>
      <c r="JS11" s="19">
        <f t="shared" ref="JS11:JS54" si="36">+JQ11*JR11</f>
        <v>2739720</v>
      </c>
      <c r="JT11" s="102">
        <f>+SUM(JS11:JS14)</f>
        <v>3835608</v>
      </c>
      <c r="JV11" s="99">
        <v>49341</v>
      </c>
      <c r="JW11" s="17" t="s">
        <v>40</v>
      </c>
      <c r="JX11" s="18"/>
      <c r="JY11" s="18"/>
      <c r="JZ11" s="18"/>
      <c r="KA11" s="18"/>
      <c r="KB11" s="18"/>
      <c r="KC11" s="18"/>
      <c r="KD11" s="18"/>
      <c r="KE11" s="18">
        <v>1370</v>
      </c>
      <c r="KF11" s="18">
        <v>5479</v>
      </c>
      <c r="KG11" s="18">
        <v>10959</v>
      </c>
      <c r="KH11" s="18">
        <v>16438</v>
      </c>
      <c r="KI11" s="18">
        <v>20548</v>
      </c>
      <c r="KJ11" s="18">
        <v>23288</v>
      </c>
      <c r="KK11" s="18">
        <v>23288</v>
      </c>
      <c r="KL11" s="18">
        <v>17808</v>
      </c>
      <c r="KM11" s="18">
        <v>10959</v>
      </c>
      <c r="KN11" s="18">
        <v>5479</v>
      </c>
      <c r="KO11" s="18">
        <v>1370</v>
      </c>
      <c r="KP11" s="18"/>
      <c r="KQ11" s="18"/>
      <c r="KR11" s="18"/>
      <c r="KS11" s="18"/>
      <c r="KT11" s="18"/>
      <c r="KU11" s="18"/>
      <c r="KV11" s="19">
        <f t="shared" si="17"/>
        <v>136986</v>
      </c>
      <c r="KW11" s="37">
        <v>20</v>
      </c>
      <c r="KX11" s="19">
        <f t="shared" ref="KX11:KX54" si="37">+KV11*KW11</f>
        <v>2739720</v>
      </c>
      <c r="KY11" s="102">
        <f>+SUM(KX11:KX14)</f>
        <v>3835608</v>
      </c>
      <c r="LA11" s="99">
        <v>49706</v>
      </c>
      <c r="LB11" s="17" t="s">
        <v>40</v>
      </c>
      <c r="LC11" s="18"/>
      <c r="LD11" s="18"/>
      <c r="LE11" s="18"/>
      <c r="LF11" s="18"/>
      <c r="LG11" s="18"/>
      <c r="LH11" s="18"/>
      <c r="LI11" s="18">
        <v>1366</v>
      </c>
      <c r="LJ11" s="18">
        <v>5464</v>
      </c>
      <c r="LK11" s="18">
        <v>10929</v>
      </c>
      <c r="LL11" s="18">
        <v>16393</v>
      </c>
      <c r="LM11" s="18">
        <v>20492</v>
      </c>
      <c r="LN11" s="18">
        <v>23224</v>
      </c>
      <c r="LO11" s="18">
        <v>23224</v>
      </c>
      <c r="LP11" s="18">
        <v>17760</v>
      </c>
      <c r="LQ11" s="18">
        <v>10929</v>
      </c>
      <c r="LR11" s="18">
        <v>5464</v>
      </c>
      <c r="LS11" s="18">
        <v>1366</v>
      </c>
      <c r="LT11" s="18"/>
      <c r="LU11" s="18"/>
      <c r="LV11" s="18"/>
      <c r="LW11" s="18"/>
      <c r="LX11" s="18"/>
      <c r="LY11" s="18"/>
      <c r="LZ11" s="18"/>
      <c r="MA11" s="19">
        <f t="shared" si="19"/>
        <v>136611</v>
      </c>
      <c r="MB11" s="37">
        <v>21</v>
      </c>
      <c r="MC11" s="19">
        <f t="shared" ref="MC11:MC54" si="38">+MA11*MB11</f>
        <v>2868831</v>
      </c>
      <c r="MD11" s="102">
        <f>+SUM(MC11:MC14)</f>
        <v>3961719</v>
      </c>
      <c r="MF11" s="99">
        <v>50072</v>
      </c>
      <c r="MG11" s="17" t="s">
        <v>40</v>
      </c>
      <c r="MH11" s="18"/>
      <c r="MI11" s="18"/>
      <c r="MJ11" s="18"/>
      <c r="MK11" s="18"/>
      <c r="ML11" s="18"/>
      <c r="MM11" s="18"/>
      <c r="MN11" s="18">
        <v>1370</v>
      </c>
      <c r="MO11" s="18">
        <v>5479</v>
      </c>
      <c r="MP11" s="18">
        <v>10959</v>
      </c>
      <c r="MQ11" s="18">
        <v>16438</v>
      </c>
      <c r="MR11" s="18">
        <v>20548</v>
      </c>
      <c r="MS11" s="18">
        <v>23288</v>
      </c>
      <c r="MT11" s="18">
        <v>23288</v>
      </c>
      <c r="MU11" s="18">
        <v>17808</v>
      </c>
      <c r="MV11" s="18">
        <v>10959</v>
      </c>
      <c r="MW11" s="18">
        <v>5479</v>
      </c>
      <c r="MX11" s="18">
        <v>1370</v>
      </c>
      <c r="MY11" s="18"/>
      <c r="MZ11" s="18"/>
      <c r="NA11" s="18"/>
      <c r="NB11" s="18"/>
      <c r="NC11" s="18"/>
      <c r="ND11" s="18"/>
      <c r="NE11" s="18"/>
      <c r="NF11" s="19">
        <f t="shared" si="21"/>
        <v>136986</v>
      </c>
      <c r="NG11" s="37">
        <v>20</v>
      </c>
      <c r="NH11" s="19">
        <f t="shared" ref="NH11:NH54" si="39">+NF11*NG11</f>
        <v>2739720</v>
      </c>
      <c r="NI11" s="102">
        <f>+SUM(NH11:NH14)</f>
        <v>3835608</v>
      </c>
      <c r="NK11" s="99">
        <v>50437</v>
      </c>
      <c r="NL11" s="17" t="s">
        <v>40</v>
      </c>
      <c r="NM11" s="18"/>
      <c r="NN11" s="18"/>
      <c r="NO11" s="18"/>
      <c r="NP11" s="18"/>
      <c r="NQ11" s="18"/>
      <c r="NR11" s="18"/>
      <c r="NS11" s="18">
        <v>1370</v>
      </c>
      <c r="NT11" s="18">
        <v>5479</v>
      </c>
      <c r="NU11" s="18">
        <v>10959</v>
      </c>
      <c r="NV11" s="18">
        <v>16438</v>
      </c>
      <c r="NW11" s="18">
        <v>20548</v>
      </c>
      <c r="NX11" s="18">
        <v>23288</v>
      </c>
      <c r="NY11" s="18">
        <v>23288</v>
      </c>
      <c r="NZ11" s="18">
        <v>17808</v>
      </c>
      <c r="OA11" s="18">
        <v>10959</v>
      </c>
      <c r="OB11" s="18">
        <v>5479</v>
      </c>
      <c r="OC11" s="18">
        <v>1370</v>
      </c>
      <c r="OD11" s="18"/>
      <c r="OE11" s="18"/>
      <c r="OF11" s="18"/>
      <c r="OG11" s="18"/>
      <c r="OH11" s="18"/>
      <c r="OI11" s="18"/>
      <c r="OJ11" s="18"/>
      <c r="OK11" s="19">
        <f t="shared" si="23"/>
        <v>136986</v>
      </c>
      <c r="OL11" s="37">
        <v>20</v>
      </c>
      <c r="OM11" s="19">
        <f t="shared" ref="OM11:OM54" si="40">+OK11*OL11</f>
        <v>2739720</v>
      </c>
      <c r="ON11" s="102">
        <f>+SUM(OM11:OM14)</f>
        <v>3835608</v>
      </c>
      <c r="OP11" s="99">
        <v>50802</v>
      </c>
      <c r="OQ11" s="17" t="s">
        <v>40</v>
      </c>
      <c r="OR11" s="18"/>
      <c r="OS11" s="18"/>
      <c r="OT11" s="18"/>
      <c r="OU11" s="18"/>
      <c r="OV11" s="18"/>
      <c r="OW11" s="18"/>
      <c r="OX11" s="18">
        <v>1370</v>
      </c>
      <c r="OY11" s="18">
        <v>5479</v>
      </c>
      <c r="OZ11" s="18">
        <v>10959</v>
      </c>
      <c r="PA11" s="18">
        <v>16438</v>
      </c>
      <c r="PB11" s="18">
        <v>20548</v>
      </c>
      <c r="PC11" s="18">
        <v>23288</v>
      </c>
      <c r="PD11" s="18">
        <v>23288</v>
      </c>
      <c r="PE11" s="18">
        <v>17808</v>
      </c>
      <c r="PF11" s="18">
        <v>10959</v>
      </c>
      <c r="PG11" s="18">
        <v>5479</v>
      </c>
      <c r="PH11" s="18">
        <v>1370</v>
      </c>
      <c r="PI11" s="18"/>
      <c r="PJ11" s="18"/>
      <c r="PK11" s="18"/>
      <c r="PL11" s="18"/>
      <c r="PM11" s="18"/>
      <c r="PN11" s="18"/>
      <c r="PO11" s="18"/>
      <c r="PP11" s="19">
        <f t="shared" si="25"/>
        <v>136986</v>
      </c>
      <c r="PQ11" s="37">
        <v>20</v>
      </c>
      <c r="PR11" s="19">
        <f t="shared" ref="PR11:PR54" si="41">+PP11*PQ11</f>
        <v>2739720</v>
      </c>
      <c r="PS11" s="102">
        <f>+SUM(PR11:PR14)</f>
        <v>3835608</v>
      </c>
      <c r="PU11" s="99">
        <v>51167</v>
      </c>
      <c r="PV11" s="17" t="s">
        <v>40</v>
      </c>
      <c r="PW11" s="18"/>
      <c r="PX11" s="18"/>
      <c r="PY11" s="18"/>
      <c r="PZ11" s="18"/>
      <c r="QA11" s="18"/>
      <c r="QB11" s="18"/>
      <c r="QC11" s="18">
        <v>1366</v>
      </c>
      <c r="QD11" s="18">
        <v>5464</v>
      </c>
      <c r="QE11" s="18">
        <v>10929</v>
      </c>
      <c r="QF11" s="18">
        <v>16393</v>
      </c>
      <c r="QG11" s="18">
        <v>20492</v>
      </c>
      <c r="QH11" s="18">
        <v>23224</v>
      </c>
      <c r="QI11" s="18">
        <v>23224</v>
      </c>
      <c r="QJ11" s="18">
        <v>17760</v>
      </c>
      <c r="QK11" s="18">
        <v>10929</v>
      </c>
      <c r="QL11" s="18">
        <v>5464</v>
      </c>
      <c r="QM11" s="18">
        <v>1366</v>
      </c>
      <c r="QN11" s="18"/>
      <c r="QO11" s="18"/>
      <c r="QP11" s="18"/>
      <c r="QQ11" s="18"/>
      <c r="QR11" s="18"/>
      <c r="QS11" s="18"/>
      <c r="QT11" s="18"/>
      <c r="QU11" s="19">
        <f t="shared" si="27"/>
        <v>136611</v>
      </c>
      <c r="QV11" s="46">
        <v>21</v>
      </c>
      <c r="QW11" s="19">
        <f t="shared" ref="QW11:QW54" si="42">+QU11*QV11</f>
        <v>2868831</v>
      </c>
      <c r="QX11" s="102">
        <f>+SUM(QW11:QW14)</f>
        <v>3961719</v>
      </c>
    </row>
    <row r="12" spans="1:466" x14ac:dyDescent="0.35">
      <c r="A12" s="100">
        <v>46055</v>
      </c>
      <c r="B12" s="21" t="s">
        <v>41</v>
      </c>
      <c r="C12" s="18"/>
      <c r="D12" s="18"/>
      <c r="E12" s="18"/>
      <c r="F12" s="18"/>
      <c r="G12" s="18"/>
      <c r="H12" s="18"/>
      <c r="I12" s="18">
        <v>1370</v>
      </c>
      <c r="J12" s="18">
        <v>5479</v>
      </c>
      <c r="K12" s="18">
        <v>10959</v>
      </c>
      <c r="L12" s="18">
        <v>16438</v>
      </c>
      <c r="M12" s="18">
        <v>20548</v>
      </c>
      <c r="N12" s="18">
        <v>23288</v>
      </c>
      <c r="O12" s="18">
        <v>23288</v>
      </c>
      <c r="P12" s="18">
        <v>17808</v>
      </c>
      <c r="Q12" s="18">
        <v>10959</v>
      </c>
      <c r="R12" s="18">
        <v>5479</v>
      </c>
      <c r="S12" s="18">
        <v>1370</v>
      </c>
      <c r="T12" s="18"/>
      <c r="U12" s="18"/>
      <c r="V12" s="18"/>
      <c r="W12" s="18"/>
      <c r="X12" s="18"/>
      <c r="Y12" s="18"/>
      <c r="Z12" s="18"/>
      <c r="AA12" s="19">
        <f t="shared" si="0"/>
        <v>136986</v>
      </c>
      <c r="AB12" s="38">
        <v>4</v>
      </c>
      <c r="AC12" s="19">
        <f t="shared" si="1"/>
        <v>547944</v>
      </c>
      <c r="AD12" s="103"/>
      <c r="AF12" s="100"/>
      <c r="AG12" s="21" t="s">
        <v>41</v>
      </c>
      <c r="AH12" s="18"/>
      <c r="AI12" s="18"/>
      <c r="AJ12" s="18"/>
      <c r="AK12" s="18"/>
      <c r="AL12" s="18"/>
      <c r="AM12" s="18"/>
      <c r="AN12" s="18">
        <v>1370</v>
      </c>
      <c r="AO12" s="18">
        <v>5479</v>
      </c>
      <c r="AP12" s="18">
        <v>10959</v>
      </c>
      <c r="AQ12" s="18">
        <v>16438</v>
      </c>
      <c r="AR12" s="18">
        <v>20548</v>
      </c>
      <c r="AS12" s="18">
        <v>23288</v>
      </c>
      <c r="AT12" s="18">
        <v>23288</v>
      </c>
      <c r="AU12" s="18">
        <v>17808</v>
      </c>
      <c r="AV12" s="18">
        <v>10959</v>
      </c>
      <c r="AW12" s="18">
        <v>5479</v>
      </c>
      <c r="AX12" s="18">
        <v>1370</v>
      </c>
      <c r="AY12" s="18"/>
      <c r="AZ12" s="18"/>
      <c r="BA12" s="18"/>
      <c r="BB12" s="18"/>
      <c r="BC12" s="18"/>
      <c r="BD12" s="18"/>
      <c r="BE12" s="18"/>
      <c r="BF12" s="19">
        <f t="shared" si="2"/>
        <v>136986</v>
      </c>
      <c r="BG12" s="38">
        <v>4</v>
      </c>
      <c r="BH12" s="19">
        <f t="shared" si="29"/>
        <v>547944</v>
      </c>
      <c r="BI12" s="103"/>
      <c r="BK12" s="100"/>
      <c r="BL12" s="21" t="s">
        <v>41</v>
      </c>
      <c r="BM12" s="18"/>
      <c r="BN12" s="18"/>
      <c r="BO12" s="18"/>
      <c r="BP12" s="18"/>
      <c r="BQ12" s="18"/>
      <c r="BR12" s="18"/>
      <c r="BS12" s="18">
        <v>1366</v>
      </c>
      <c r="BT12" s="18">
        <v>5464</v>
      </c>
      <c r="BU12" s="18">
        <v>10929</v>
      </c>
      <c r="BV12" s="18">
        <v>16393</v>
      </c>
      <c r="BW12" s="18">
        <v>20492</v>
      </c>
      <c r="BX12" s="18">
        <v>23224</v>
      </c>
      <c r="BY12" s="18">
        <v>23224</v>
      </c>
      <c r="BZ12" s="18">
        <v>17760</v>
      </c>
      <c r="CA12" s="18">
        <v>10929</v>
      </c>
      <c r="CB12" s="18">
        <v>5464</v>
      </c>
      <c r="CC12" s="18">
        <v>1366</v>
      </c>
      <c r="CD12" s="18"/>
      <c r="CE12" s="18"/>
      <c r="CF12" s="18"/>
      <c r="CG12" s="18"/>
      <c r="CH12" s="18"/>
      <c r="CI12" s="18"/>
      <c r="CJ12" s="18"/>
      <c r="CK12" s="19">
        <f t="shared" si="4"/>
        <v>136611</v>
      </c>
      <c r="CL12" s="38">
        <v>4</v>
      </c>
      <c r="CM12" s="19">
        <f t="shared" si="30"/>
        <v>546444</v>
      </c>
      <c r="CN12" s="103"/>
      <c r="CP12" s="100"/>
      <c r="CQ12" s="21" t="s">
        <v>41</v>
      </c>
      <c r="CR12" s="18"/>
      <c r="CS12" s="18"/>
      <c r="CT12" s="18"/>
      <c r="CU12" s="18"/>
      <c r="CV12" s="18"/>
      <c r="CW12" s="18"/>
      <c r="CX12" s="18">
        <v>1370</v>
      </c>
      <c r="CY12" s="18">
        <v>5479</v>
      </c>
      <c r="CZ12" s="18">
        <v>10959</v>
      </c>
      <c r="DA12" s="18">
        <v>16438</v>
      </c>
      <c r="DB12" s="18">
        <v>20548</v>
      </c>
      <c r="DC12" s="18">
        <v>23288</v>
      </c>
      <c r="DD12" s="18">
        <v>23288</v>
      </c>
      <c r="DE12" s="18">
        <v>17808</v>
      </c>
      <c r="DF12" s="18">
        <v>10959</v>
      </c>
      <c r="DG12" s="18">
        <v>5479</v>
      </c>
      <c r="DH12" s="18">
        <v>1370</v>
      </c>
      <c r="DI12" s="18"/>
      <c r="DJ12" s="18"/>
      <c r="DK12" s="18"/>
      <c r="DL12" s="18"/>
      <c r="DM12" s="18"/>
      <c r="DN12" s="18"/>
      <c r="DO12" s="18"/>
      <c r="DP12" s="19">
        <f t="shared" si="6"/>
        <v>136986</v>
      </c>
      <c r="DQ12" s="38">
        <v>4</v>
      </c>
      <c r="DR12" s="19">
        <f t="shared" si="31"/>
        <v>547944</v>
      </c>
      <c r="DS12" s="103"/>
      <c r="DV12" s="100"/>
      <c r="DW12" s="21" t="s">
        <v>41</v>
      </c>
      <c r="DX12" s="18"/>
      <c r="DY12" s="18"/>
      <c r="DZ12" s="18"/>
      <c r="EA12" s="18"/>
      <c r="EB12" s="18"/>
      <c r="EC12" s="18"/>
      <c r="ED12" s="18">
        <v>1370</v>
      </c>
      <c r="EE12" s="18">
        <v>5479</v>
      </c>
      <c r="EF12" s="18">
        <v>10959</v>
      </c>
      <c r="EG12" s="18">
        <v>16438</v>
      </c>
      <c r="EH12" s="18">
        <v>20548</v>
      </c>
      <c r="EI12" s="18">
        <v>23288</v>
      </c>
      <c r="EJ12" s="18">
        <v>23288</v>
      </c>
      <c r="EK12" s="18">
        <v>17808</v>
      </c>
      <c r="EL12" s="18">
        <v>10959</v>
      </c>
      <c r="EM12" s="18">
        <v>5479</v>
      </c>
      <c r="EN12" s="18">
        <v>1370</v>
      </c>
      <c r="EO12" s="18"/>
      <c r="EP12" s="18"/>
      <c r="EQ12" s="18"/>
      <c r="ER12" s="18"/>
      <c r="ES12" s="18"/>
      <c r="ET12" s="18"/>
      <c r="EU12" s="18"/>
      <c r="EV12" s="19">
        <f t="shared" si="8"/>
        <v>136986</v>
      </c>
      <c r="EW12" s="38">
        <v>4</v>
      </c>
      <c r="EX12" s="19">
        <f t="shared" si="32"/>
        <v>547944</v>
      </c>
      <c r="EY12" s="103"/>
      <c r="FB12" s="100"/>
      <c r="FC12" s="21" t="s">
        <v>41</v>
      </c>
      <c r="FD12" s="18"/>
      <c r="FE12" s="18"/>
      <c r="FF12" s="18"/>
      <c r="FG12" s="18"/>
      <c r="FH12" s="18"/>
      <c r="FI12" s="18"/>
      <c r="FJ12" s="18">
        <v>1370</v>
      </c>
      <c r="FK12" s="18">
        <v>5479</v>
      </c>
      <c r="FL12" s="18">
        <v>10959</v>
      </c>
      <c r="FM12" s="18">
        <v>16438</v>
      </c>
      <c r="FN12" s="18">
        <v>20548</v>
      </c>
      <c r="FO12" s="18">
        <v>23288</v>
      </c>
      <c r="FP12" s="18">
        <v>23288</v>
      </c>
      <c r="FQ12" s="18">
        <v>17808</v>
      </c>
      <c r="FR12" s="18">
        <v>10959</v>
      </c>
      <c r="FS12" s="18">
        <v>5479</v>
      </c>
      <c r="FT12" s="18">
        <v>1370</v>
      </c>
      <c r="FU12" s="18"/>
      <c r="FV12" s="18"/>
      <c r="FW12" s="18"/>
      <c r="FX12" s="18"/>
      <c r="FY12" s="18"/>
      <c r="FZ12" s="18"/>
      <c r="GA12" s="18"/>
      <c r="GB12" s="19">
        <f t="shared" si="9"/>
        <v>136986</v>
      </c>
      <c r="GC12" s="38">
        <v>4</v>
      </c>
      <c r="GD12" s="19">
        <f t="shared" si="33"/>
        <v>547944</v>
      </c>
      <c r="GE12" s="103"/>
      <c r="GG12" s="100"/>
      <c r="GH12" s="21" t="s">
        <v>41</v>
      </c>
      <c r="GI12" s="18"/>
      <c r="GJ12" s="18"/>
      <c r="GK12" s="18"/>
      <c r="GL12" s="18"/>
      <c r="GM12" s="18"/>
      <c r="GN12" s="18"/>
      <c r="GO12" s="18">
        <v>1366</v>
      </c>
      <c r="GP12" s="18">
        <v>5464</v>
      </c>
      <c r="GQ12" s="18">
        <v>10929</v>
      </c>
      <c r="GR12" s="18">
        <v>16393</v>
      </c>
      <c r="GS12" s="18">
        <v>20492</v>
      </c>
      <c r="GT12" s="18">
        <v>23224</v>
      </c>
      <c r="GU12" s="18">
        <v>23224</v>
      </c>
      <c r="GV12" s="18">
        <v>17760</v>
      </c>
      <c r="GW12" s="18">
        <v>10929</v>
      </c>
      <c r="GX12" s="18">
        <v>5464</v>
      </c>
      <c r="GY12" s="18">
        <v>1366</v>
      </c>
      <c r="GZ12" s="18"/>
      <c r="HA12" s="18"/>
      <c r="HB12" s="18"/>
      <c r="HC12" s="18"/>
      <c r="HD12" s="18"/>
      <c r="HE12" s="18"/>
      <c r="HF12" s="18"/>
      <c r="HG12" s="19">
        <f t="shared" si="11"/>
        <v>136611</v>
      </c>
      <c r="HH12" s="38">
        <v>4</v>
      </c>
      <c r="HI12" s="19">
        <f t="shared" si="34"/>
        <v>546444</v>
      </c>
      <c r="HJ12" s="103"/>
      <c r="HL12" s="100"/>
      <c r="HM12" s="21" t="s">
        <v>41</v>
      </c>
      <c r="HN12" s="18"/>
      <c r="HO12" s="18"/>
      <c r="HP12" s="18"/>
      <c r="HQ12" s="18"/>
      <c r="HR12" s="18"/>
      <c r="HS12" s="18"/>
      <c r="HT12" s="18">
        <v>1370</v>
      </c>
      <c r="HU12" s="18">
        <v>5479</v>
      </c>
      <c r="HV12" s="18">
        <v>10959</v>
      </c>
      <c r="HW12" s="18">
        <v>16438</v>
      </c>
      <c r="HX12" s="18">
        <v>20548</v>
      </c>
      <c r="HY12" s="18">
        <v>23288</v>
      </c>
      <c r="HZ12" s="18">
        <v>23288</v>
      </c>
      <c r="IA12" s="18">
        <v>17808</v>
      </c>
      <c r="IB12" s="18">
        <v>10959</v>
      </c>
      <c r="IC12" s="18">
        <v>5479</v>
      </c>
      <c r="ID12" s="18">
        <v>1370</v>
      </c>
      <c r="IE12" s="18"/>
      <c r="IF12" s="18"/>
      <c r="IG12" s="18"/>
      <c r="IH12" s="18"/>
      <c r="II12" s="18"/>
      <c r="IJ12" s="18"/>
      <c r="IK12" s="18"/>
      <c r="IL12" s="19">
        <f t="shared" si="13"/>
        <v>136986</v>
      </c>
      <c r="IM12" s="38">
        <v>4</v>
      </c>
      <c r="IN12" s="19">
        <f t="shared" si="35"/>
        <v>547944</v>
      </c>
      <c r="IO12" s="103"/>
      <c r="IQ12" s="100"/>
      <c r="IR12" s="21" t="s">
        <v>41</v>
      </c>
      <c r="IS12" s="18"/>
      <c r="IT12" s="18"/>
      <c r="IU12" s="18"/>
      <c r="IV12" s="18"/>
      <c r="IW12" s="18"/>
      <c r="IX12" s="18"/>
      <c r="IY12" s="18">
        <v>1370</v>
      </c>
      <c r="IZ12" s="18">
        <v>5479</v>
      </c>
      <c r="JA12" s="18">
        <v>10959</v>
      </c>
      <c r="JB12" s="18">
        <v>16438</v>
      </c>
      <c r="JC12" s="18">
        <v>20548</v>
      </c>
      <c r="JD12" s="18">
        <v>23288</v>
      </c>
      <c r="JE12" s="18">
        <v>23288</v>
      </c>
      <c r="JF12" s="18">
        <v>17808</v>
      </c>
      <c r="JG12" s="18">
        <v>10959</v>
      </c>
      <c r="JH12" s="18">
        <v>5479</v>
      </c>
      <c r="JI12" s="18">
        <v>1370</v>
      </c>
      <c r="JJ12" s="18"/>
      <c r="JK12" s="18"/>
      <c r="JL12" s="18"/>
      <c r="JM12" s="18"/>
      <c r="JN12" s="18"/>
      <c r="JO12" s="18"/>
      <c r="JP12" s="18"/>
      <c r="JQ12" s="19">
        <f t="shared" si="15"/>
        <v>136986</v>
      </c>
      <c r="JR12" s="38">
        <v>4</v>
      </c>
      <c r="JS12" s="19">
        <f t="shared" si="36"/>
        <v>547944</v>
      </c>
      <c r="JT12" s="103"/>
      <c r="JV12" s="100"/>
      <c r="JW12" s="21" t="s">
        <v>41</v>
      </c>
      <c r="JX12" s="18"/>
      <c r="JY12" s="18"/>
      <c r="JZ12" s="18"/>
      <c r="KA12" s="18"/>
      <c r="KB12" s="18"/>
      <c r="KC12" s="18"/>
      <c r="KD12" s="18"/>
      <c r="KE12" s="18">
        <v>1370</v>
      </c>
      <c r="KF12" s="18">
        <v>5479</v>
      </c>
      <c r="KG12" s="18">
        <v>10959</v>
      </c>
      <c r="KH12" s="18">
        <v>16438</v>
      </c>
      <c r="KI12" s="18">
        <v>20548</v>
      </c>
      <c r="KJ12" s="18">
        <v>23288</v>
      </c>
      <c r="KK12" s="18">
        <v>23288</v>
      </c>
      <c r="KL12" s="18">
        <v>17808</v>
      </c>
      <c r="KM12" s="18">
        <v>10959</v>
      </c>
      <c r="KN12" s="18">
        <v>5479</v>
      </c>
      <c r="KO12" s="18">
        <v>1370</v>
      </c>
      <c r="KP12" s="18"/>
      <c r="KQ12" s="18"/>
      <c r="KR12" s="18"/>
      <c r="KS12" s="18"/>
      <c r="KT12" s="18"/>
      <c r="KU12" s="18"/>
      <c r="KV12" s="19">
        <f t="shared" si="17"/>
        <v>136986</v>
      </c>
      <c r="KW12" s="38">
        <v>4</v>
      </c>
      <c r="KX12" s="19">
        <f t="shared" si="37"/>
        <v>547944</v>
      </c>
      <c r="KY12" s="103"/>
      <c r="LA12" s="100"/>
      <c r="LB12" s="21" t="s">
        <v>41</v>
      </c>
      <c r="LC12" s="18"/>
      <c r="LD12" s="18"/>
      <c r="LE12" s="18"/>
      <c r="LF12" s="18"/>
      <c r="LG12" s="18"/>
      <c r="LH12" s="18"/>
      <c r="LI12" s="18">
        <v>1366</v>
      </c>
      <c r="LJ12" s="18">
        <v>5464</v>
      </c>
      <c r="LK12" s="18">
        <v>10929</v>
      </c>
      <c r="LL12" s="18">
        <v>16393</v>
      </c>
      <c r="LM12" s="18">
        <v>20492</v>
      </c>
      <c r="LN12" s="18">
        <v>23224</v>
      </c>
      <c r="LO12" s="18">
        <v>23224</v>
      </c>
      <c r="LP12" s="18">
        <v>17760</v>
      </c>
      <c r="LQ12" s="18">
        <v>10929</v>
      </c>
      <c r="LR12" s="18">
        <v>5464</v>
      </c>
      <c r="LS12" s="18">
        <v>1366</v>
      </c>
      <c r="LT12" s="18"/>
      <c r="LU12" s="18"/>
      <c r="LV12" s="18"/>
      <c r="LW12" s="18"/>
      <c r="LX12" s="18"/>
      <c r="LY12" s="18"/>
      <c r="LZ12" s="18"/>
      <c r="MA12" s="19">
        <f t="shared" si="19"/>
        <v>136611</v>
      </c>
      <c r="MB12" s="38">
        <v>4</v>
      </c>
      <c r="MC12" s="19">
        <f t="shared" si="38"/>
        <v>546444</v>
      </c>
      <c r="MD12" s="103"/>
      <c r="MF12" s="100"/>
      <c r="MG12" s="21" t="s">
        <v>41</v>
      </c>
      <c r="MH12" s="18"/>
      <c r="MI12" s="18"/>
      <c r="MJ12" s="18"/>
      <c r="MK12" s="18"/>
      <c r="ML12" s="18"/>
      <c r="MM12" s="18"/>
      <c r="MN12" s="18">
        <v>1370</v>
      </c>
      <c r="MO12" s="18">
        <v>5479</v>
      </c>
      <c r="MP12" s="18">
        <v>10959</v>
      </c>
      <c r="MQ12" s="18">
        <v>16438</v>
      </c>
      <c r="MR12" s="18">
        <v>20548</v>
      </c>
      <c r="MS12" s="18">
        <v>23288</v>
      </c>
      <c r="MT12" s="18">
        <v>23288</v>
      </c>
      <c r="MU12" s="18">
        <v>17808</v>
      </c>
      <c r="MV12" s="18">
        <v>10959</v>
      </c>
      <c r="MW12" s="18">
        <v>5479</v>
      </c>
      <c r="MX12" s="18">
        <v>1370</v>
      </c>
      <c r="MY12" s="18"/>
      <c r="MZ12" s="18"/>
      <c r="NA12" s="18"/>
      <c r="NB12" s="18"/>
      <c r="NC12" s="18"/>
      <c r="ND12" s="18"/>
      <c r="NE12" s="18"/>
      <c r="NF12" s="19">
        <f t="shared" si="21"/>
        <v>136986</v>
      </c>
      <c r="NG12" s="38">
        <v>4</v>
      </c>
      <c r="NH12" s="19">
        <f t="shared" si="39"/>
        <v>547944</v>
      </c>
      <c r="NI12" s="103"/>
      <c r="NK12" s="100"/>
      <c r="NL12" s="21" t="s">
        <v>41</v>
      </c>
      <c r="NM12" s="18"/>
      <c r="NN12" s="18"/>
      <c r="NO12" s="18"/>
      <c r="NP12" s="18"/>
      <c r="NQ12" s="18"/>
      <c r="NR12" s="18"/>
      <c r="NS12" s="18">
        <v>1370</v>
      </c>
      <c r="NT12" s="18">
        <v>5479</v>
      </c>
      <c r="NU12" s="18">
        <v>10959</v>
      </c>
      <c r="NV12" s="18">
        <v>16438</v>
      </c>
      <c r="NW12" s="18">
        <v>20548</v>
      </c>
      <c r="NX12" s="18">
        <v>23288</v>
      </c>
      <c r="NY12" s="18">
        <v>23288</v>
      </c>
      <c r="NZ12" s="18">
        <v>17808</v>
      </c>
      <c r="OA12" s="18">
        <v>10959</v>
      </c>
      <c r="OB12" s="18">
        <v>5479</v>
      </c>
      <c r="OC12" s="18">
        <v>1370</v>
      </c>
      <c r="OD12" s="18"/>
      <c r="OE12" s="18"/>
      <c r="OF12" s="18"/>
      <c r="OG12" s="18"/>
      <c r="OH12" s="18"/>
      <c r="OI12" s="18"/>
      <c r="OJ12" s="18"/>
      <c r="OK12" s="19">
        <f t="shared" si="23"/>
        <v>136986</v>
      </c>
      <c r="OL12" s="38">
        <v>4</v>
      </c>
      <c r="OM12" s="19">
        <f t="shared" si="40"/>
        <v>547944</v>
      </c>
      <c r="ON12" s="103"/>
      <c r="OP12" s="100"/>
      <c r="OQ12" s="21" t="s">
        <v>41</v>
      </c>
      <c r="OR12" s="18"/>
      <c r="OS12" s="18"/>
      <c r="OT12" s="18"/>
      <c r="OU12" s="18"/>
      <c r="OV12" s="18"/>
      <c r="OW12" s="18"/>
      <c r="OX12" s="18">
        <v>1370</v>
      </c>
      <c r="OY12" s="18">
        <v>5479</v>
      </c>
      <c r="OZ12" s="18">
        <v>10959</v>
      </c>
      <c r="PA12" s="18">
        <v>16438</v>
      </c>
      <c r="PB12" s="18">
        <v>20548</v>
      </c>
      <c r="PC12" s="18">
        <v>23288</v>
      </c>
      <c r="PD12" s="18">
        <v>23288</v>
      </c>
      <c r="PE12" s="18">
        <v>17808</v>
      </c>
      <c r="PF12" s="18">
        <v>10959</v>
      </c>
      <c r="PG12" s="18">
        <v>5479</v>
      </c>
      <c r="PH12" s="18">
        <v>1370</v>
      </c>
      <c r="PI12" s="18"/>
      <c r="PJ12" s="18"/>
      <c r="PK12" s="18"/>
      <c r="PL12" s="18"/>
      <c r="PM12" s="18"/>
      <c r="PN12" s="18"/>
      <c r="PO12" s="18"/>
      <c r="PP12" s="19">
        <f t="shared" si="25"/>
        <v>136986</v>
      </c>
      <c r="PQ12" s="38">
        <v>4</v>
      </c>
      <c r="PR12" s="19">
        <f t="shared" si="41"/>
        <v>547944</v>
      </c>
      <c r="PS12" s="103"/>
      <c r="PU12" s="100"/>
      <c r="PV12" s="21" t="s">
        <v>41</v>
      </c>
      <c r="PW12" s="18"/>
      <c r="PX12" s="18"/>
      <c r="PY12" s="18"/>
      <c r="PZ12" s="18"/>
      <c r="QA12" s="18"/>
      <c r="QB12" s="18"/>
      <c r="QC12" s="18">
        <v>1366</v>
      </c>
      <c r="QD12" s="18">
        <v>5464</v>
      </c>
      <c r="QE12" s="18">
        <v>10929</v>
      </c>
      <c r="QF12" s="18">
        <v>16393</v>
      </c>
      <c r="QG12" s="18">
        <v>20492</v>
      </c>
      <c r="QH12" s="18">
        <v>23224</v>
      </c>
      <c r="QI12" s="18">
        <v>23224</v>
      </c>
      <c r="QJ12" s="18">
        <v>17760</v>
      </c>
      <c r="QK12" s="18">
        <v>10929</v>
      </c>
      <c r="QL12" s="18">
        <v>5464</v>
      </c>
      <c r="QM12" s="18">
        <v>1366</v>
      </c>
      <c r="QN12" s="18"/>
      <c r="QO12" s="18"/>
      <c r="QP12" s="18"/>
      <c r="QQ12" s="18"/>
      <c r="QR12" s="18"/>
      <c r="QS12" s="18"/>
      <c r="QT12" s="18"/>
      <c r="QU12" s="19">
        <f t="shared" si="27"/>
        <v>136611</v>
      </c>
      <c r="QV12" s="45">
        <v>4</v>
      </c>
      <c r="QW12" s="19">
        <f t="shared" si="42"/>
        <v>546444</v>
      </c>
      <c r="QX12" s="103"/>
    </row>
    <row r="13" spans="1:466" x14ac:dyDescent="0.35">
      <c r="A13" s="100">
        <v>46056</v>
      </c>
      <c r="B13" s="21" t="s">
        <v>42</v>
      </c>
      <c r="C13" s="18"/>
      <c r="D13" s="18"/>
      <c r="E13" s="18"/>
      <c r="F13" s="18"/>
      <c r="G13" s="18"/>
      <c r="H13" s="18"/>
      <c r="I13" s="18">
        <v>1370</v>
      </c>
      <c r="J13" s="18">
        <v>5479</v>
      </c>
      <c r="K13" s="18">
        <v>10959</v>
      </c>
      <c r="L13" s="18">
        <v>16438</v>
      </c>
      <c r="M13" s="18">
        <v>20548</v>
      </c>
      <c r="N13" s="18">
        <v>23288</v>
      </c>
      <c r="O13" s="18">
        <v>23288</v>
      </c>
      <c r="P13" s="18">
        <v>17808</v>
      </c>
      <c r="Q13" s="18">
        <v>10959</v>
      </c>
      <c r="R13" s="18">
        <v>5479</v>
      </c>
      <c r="S13" s="18">
        <v>1370</v>
      </c>
      <c r="T13" s="18"/>
      <c r="U13" s="18"/>
      <c r="V13" s="18"/>
      <c r="W13" s="18"/>
      <c r="X13" s="18"/>
      <c r="Y13" s="18"/>
      <c r="Z13" s="18"/>
      <c r="AA13" s="19">
        <f t="shared" si="0"/>
        <v>136986</v>
      </c>
      <c r="AB13" s="38">
        <v>4</v>
      </c>
      <c r="AC13" s="19">
        <f t="shared" si="1"/>
        <v>547944</v>
      </c>
      <c r="AD13" s="103"/>
      <c r="AF13" s="100"/>
      <c r="AG13" s="21" t="s">
        <v>42</v>
      </c>
      <c r="AH13" s="18"/>
      <c r="AI13" s="18"/>
      <c r="AJ13" s="18"/>
      <c r="AK13" s="18"/>
      <c r="AL13" s="18"/>
      <c r="AM13" s="18"/>
      <c r="AN13" s="18">
        <v>1370</v>
      </c>
      <c r="AO13" s="18">
        <v>5479</v>
      </c>
      <c r="AP13" s="18">
        <v>10959</v>
      </c>
      <c r="AQ13" s="18">
        <v>16438</v>
      </c>
      <c r="AR13" s="18">
        <v>20548</v>
      </c>
      <c r="AS13" s="18">
        <v>23288</v>
      </c>
      <c r="AT13" s="18">
        <v>23288</v>
      </c>
      <c r="AU13" s="18">
        <v>17808</v>
      </c>
      <c r="AV13" s="18">
        <v>10959</v>
      </c>
      <c r="AW13" s="18">
        <v>5479</v>
      </c>
      <c r="AX13" s="18">
        <v>1370</v>
      </c>
      <c r="AY13" s="18"/>
      <c r="AZ13" s="18"/>
      <c r="BA13" s="18"/>
      <c r="BB13" s="18"/>
      <c r="BC13" s="18"/>
      <c r="BD13" s="18"/>
      <c r="BE13" s="18"/>
      <c r="BF13" s="19">
        <f t="shared" si="2"/>
        <v>136986</v>
      </c>
      <c r="BG13" s="38">
        <v>4</v>
      </c>
      <c r="BH13" s="19">
        <f t="shared" si="29"/>
        <v>547944</v>
      </c>
      <c r="BI13" s="103"/>
      <c r="BK13" s="100"/>
      <c r="BL13" s="21" t="s">
        <v>42</v>
      </c>
      <c r="BM13" s="18"/>
      <c r="BN13" s="18"/>
      <c r="BO13" s="18"/>
      <c r="BP13" s="18"/>
      <c r="BQ13" s="18"/>
      <c r="BR13" s="18"/>
      <c r="BS13" s="18">
        <v>1366</v>
      </c>
      <c r="BT13" s="18">
        <v>5464</v>
      </c>
      <c r="BU13" s="18">
        <v>10929</v>
      </c>
      <c r="BV13" s="18">
        <v>16393</v>
      </c>
      <c r="BW13" s="18">
        <v>20492</v>
      </c>
      <c r="BX13" s="18">
        <v>23224</v>
      </c>
      <c r="BY13" s="18">
        <v>23224</v>
      </c>
      <c r="BZ13" s="18">
        <v>17760</v>
      </c>
      <c r="CA13" s="18">
        <v>10929</v>
      </c>
      <c r="CB13" s="18">
        <v>5464</v>
      </c>
      <c r="CC13" s="18">
        <v>1366</v>
      </c>
      <c r="CD13" s="18"/>
      <c r="CE13" s="18"/>
      <c r="CF13" s="18"/>
      <c r="CG13" s="18"/>
      <c r="CH13" s="18"/>
      <c r="CI13" s="18"/>
      <c r="CJ13" s="18"/>
      <c r="CK13" s="19">
        <f t="shared" si="4"/>
        <v>136611</v>
      </c>
      <c r="CL13" s="38">
        <v>4</v>
      </c>
      <c r="CM13" s="19">
        <f t="shared" si="30"/>
        <v>546444</v>
      </c>
      <c r="CN13" s="103"/>
      <c r="CP13" s="100"/>
      <c r="CQ13" s="21" t="s">
        <v>42</v>
      </c>
      <c r="CR13" s="18"/>
      <c r="CS13" s="18"/>
      <c r="CT13" s="18"/>
      <c r="CU13" s="18"/>
      <c r="CV13" s="18"/>
      <c r="CW13" s="18"/>
      <c r="CX13" s="18">
        <v>1370</v>
      </c>
      <c r="CY13" s="18">
        <v>5479</v>
      </c>
      <c r="CZ13" s="18">
        <v>10959</v>
      </c>
      <c r="DA13" s="18">
        <v>16438</v>
      </c>
      <c r="DB13" s="18">
        <v>20548</v>
      </c>
      <c r="DC13" s="18">
        <v>23288</v>
      </c>
      <c r="DD13" s="18">
        <v>23288</v>
      </c>
      <c r="DE13" s="18">
        <v>17808</v>
      </c>
      <c r="DF13" s="18">
        <v>10959</v>
      </c>
      <c r="DG13" s="18">
        <v>5479</v>
      </c>
      <c r="DH13" s="18">
        <v>1370</v>
      </c>
      <c r="DI13" s="18"/>
      <c r="DJ13" s="18"/>
      <c r="DK13" s="18"/>
      <c r="DL13" s="18"/>
      <c r="DM13" s="18"/>
      <c r="DN13" s="18"/>
      <c r="DO13" s="18"/>
      <c r="DP13" s="19">
        <f t="shared" si="6"/>
        <v>136986</v>
      </c>
      <c r="DQ13" s="38">
        <v>4</v>
      </c>
      <c r="DR13" s="19">
        <f t="shared" si="31"/>
        <v>547944</v>
      </c>
      <c r="DS13" s="103"/>
      <c r="DV13" s="100"/>
      <c r="DW13" s="21" t="s">
        <v>42</v>
      </c>
      <c r="DX13" s="18"/>
      <c r="DY13" s="18"/>
      <c r="DZ13" s="18"/>
      <c r="EA13" s="18"/>
      <c r="EB13" s="18"/>
      <c r="EC13" s="18"/>
      <c r="ED13" s="18">
        <v>1370</v>
      </c>
      <c r="EE13" s="18">
        <v>5479</v>
      </c>
      <c r="EF13" s="18">
        <v>10959</v>
      </c>
      <c r="EG13" s="18">
        <v>16438</v>
      </c>
      <c r="EH13" s="18">
        <v>20548</v>
      </c>
      <c r="EI13" s="18">
        <v>23288</v>
      </c>
      <c r="EJ13" s="18">
        <v>23288</v>
      </c>
      <c r="EK13" s="18">
        <v>17808</v>
      </c>
      <c r="EL13" s="18">
        <v>10959</v>
      </c>
      <c r="EM13" s="18">
        <v>5479</v>
      </c>
      <c r="EN13" s="18">
        <v>1370</v>
      </c>
      <c r="EO13" s="18"/>
      <c r="EP13" s="18"/>
      <c r="EQ13" s="18"/>
      <c r="ER13" s="18"/>
      <c r="ES13" s="18"/>
      <c r="ET13" s="18"/>
      <c r="EU13" s="18"/>
      <c r="EV13" s="19">
        <f t="shared" si="8"/>
        <v>136986</v>
      </c>
      <c r="EW13" s="38">
        <v>4</v>
      </c>
      <c r="EX13" s="19">
        <f t="shared" si="32"/>
        <v>547944</v>
      </c>
      <c r="EY13" s="103"/>
      <c r="FB13" s="100"/>
      <c r="FC13" s="21" t="s">
        <v>42</v>
      </c>
      <c r="FD13" s="18"/>
      <c r="FE13" s="18"/>
      <c r="FF13" s="18"/>
      <c r="FG13" s="18"/>
      <c r="FH13" s="18"/>
      <c r="FI13" s="18"/>
      <c r="FJ13" s="18">
        <v>1370</v>
      </c>
      <c r="FK13" s="18">
        <v>5479</v>
      </c>
      <c r="FL13" s="18">
        <v>10959</v>
      </c>
      <c r="FM13" s="18">
        <v>16438</v>
      </c>
      <c r="FN13" s="18">
        <v>20548</v>
      </c>
      <c r="FO13" s="18">
        <v>23288</v>
      </c>
      <c r="FP13" s="18">
        <v>23288</v>
      </c>
      <c r="FQ13" s="18">
        <v>17808</v>
      </c>
      <c r="FR13" s="18">
        <v>10959</v>
      </c>
      <c r="FS13" s="18">
        <v>5479</v>
      </c>
      <c r="FT13" s="18">
        <v>1370</v>
      </c>
      <c r="FU13" s="18"/>
      <c r="FV13" s="18"/>
      <c r="FW13" s="18"/>
      <c r="FX13" s="18"/>
      <c r="FY13" s="18"/>
      <c r="FZ13" s="18"/>
      <c r="GA13" s="18"/>
      <c r="GB13" s="19">
        <f t="shared" si="9"/>
        <v>136986</v>
      </c>
      <c r="GC13" s="38">
        <v>4</v>
      </c>
      <c r="GD13" s="19">
        <f t="shared" si="33"/>
        <v>547944</v>
      </c>
      <c r="GE13" s="103"/>
      <c r="GG13" s="100"/>
      <c r="GH13" s="21" t="s">
        <v>42</v>
      </c>
      <c r="GI13" s="18"/>
      <c r="GJ13" s="18"/>
      <c r="GK13" s="18"/>
      <c r="GL13" s="18"/>
      <c r="GM13" s="18"/>
      <c r="GN13" s="18"/>
      <c r="GO13" s="18">
        <v>1366</v>
      </c>
      <c r="GP13" s="18">
        <v>5464</v>
      </c>
      <c r="GQ13" s="18">
        <v>10929</v>
      </c>
      <c r="GR13" s="18">
        <v>16393</v>
      </c>
      <c r="GS13" s="18">
        <v>20492</v>
      </c>
      <c r="GT13" s="18">
        <v>23224</v>
      </c>
      <c r="GU13" s="18">
        <v>23224</v>
      </c>
      <c r="GV13" s="18">
        <v>17760</v>
      </c>
      <c r="GW13" s="18">
        <v>10929</v>
      </c>
      <c r="GX13" s="18">
        <v>5464</v>
      </c>
      <c r="GY13" s="18">
        <v>1366</v>
      </c>
      <c r="GZ13" s="18"/>
      <c r="HA13" s="18"/>
      <c r="HB13" s="18"/>
      <c r="HC13" s="18"/>
      <c r="HD13" s="18"/>
      <c r="HE13" s="18"/>
      <c r="HF13" s="18"/>
      <c r="HG13" s="19">
        <f t="shared" si="11"/>
        <v>136611</v>
      </c>
      <c r="HH13" s="38">
        <v>5</v>
      </c>
      <c r="HI13" s="19">
        <f t="shared" si="34"/>
        <v>683055</v>
      </c>
      <c r="HJ13" s="103"/>
      <c r="HL13" s="100"/>
      <c r="HM13" s="21" t="s">
        <v>42</v>
      </c>
      <c r="HN13" s="18"/>
      <c r="HO13" s="18"/>
      <c r="HP13" s="18"/>
      <c r="HQ13" s="18"/>
      <c r="HR13" s="18"/>
      <c r="HS13" s="18"/>
      <c r="HT13" s="18">
        <v>1370</v>
      </c>
      <c r="HU13" s="18">
        <v>5479</v>
      </c>
      <c r="HV13" s="18">
        <v>10959</v>
      </c>
      <c r="HW13" s="18">
        <v>16438</v>
      </c>
      <c r="HX13" s="18">
        <v>20548</v>
      </c>
      <c r="HY13" s="18">
        <v>23288</v>
      </c>
      <c r="HZ13" s="18">
        <v>23288</v>
      </c>
      <c r="IA13" s="18">
        <v>17808</v>
      </c>
      <c r="IB13" s="18">
        <v>10959</v>
      </c>
      <c r="IC13" s="18">
        <v>5479</v>
      </c>
      <c r="ID13" s="18">
        <v>1370</v>
      </c>
      <c r="IE13" s="18"/>
      <c r="IF13" s="18"/>
      <c r="IG13" s="18"/>
      <c r="IH13" s="18"/>
      <c r="II13" s="18"/>
      <c r="IJ13" s="18"/>
      <c r="IK13" s="18"/>
      <c r="IL13" s="19">
        <f t="shared" si="13"/>
        <v>136986</v>
      </c>
      <c r="IM13" s="38">
        <v>4</v>
      </c>
      <c r="IN13" s="19">
        <f t="shared" si="35"/>
        <v>547944</v>
      </c>
      <c r="IO13" s="103"/>
      <c r="IQ13" s="100"/>
      <c r="IR13" s="21" t="s">
        <v>42</v>
      </c>
      <c r="IS13" s="18"/>
      <c r="IT13" s="18"/>
      <c r="IU13" s="18"/>
      <c r="IV13" s="18"/>
      <c r="IW13" s="18"/>
      <c r="IX13" s="18"/>
      <c r="IY13" s="18">
        <v>1370</v>
      </c>
      <c r="IZ13" s="18">
        <v>5479</v>
      </c>
      <c r="JA13" s="18">
        <v>10959</v>
      </c>
      <c r="JB13" s="18">
        <v>16438</v>
      </c>
      <c r="JC13" s="18">
        <v>20548</v>
      </c>
      <c r="JD13" s="18">
        <v>23288</v>
      </c>
      <c r="JE13" s="18">
        <v>23288</v>
      </c>
      <c r="JF13" s="18">
        <v>17808</v>
      </c>
      <c r="JG13" s="18">
        <v>10959</v>
      </c>
      <c r="JH13" s="18">
        <v>5479</v>
      </c>
      <c r="JI13" s="18">
        <v>1370</v>
      </c>
      <c r="JJ13" s="18"/>
      <c r="JK13" s="18"/>
      <c r="JL13" s="18"/>
      <c r="JM13" s="18"/>
      <c r="JN13" s="18"/>
      <c r="JO13" s="18"/>
      <c r="JP13" s="18"/>
      <c r="JQ13" s="19">
        <f t="shared" si="15"/>
        <v>136986</v>
      </c>
      <c r="JR13" s="38">
        <v>4</v>
      </c>
      <c r="JS13" s="19">
        <f t="shared" si="36"/>
        <v>547944</v>
      </c>
      <c r="JT13" s="103"/>
      <c r="JV13" s="100"/>
      <c r="JW13" s="21" t="s">
        <v>42</v>
      </c>
      <c r="JX13" s="18"/>
      <c r="JY13" s="18"/>
      <c r="JZ13" s="18"/>
      <c r="KA13" s="18"/>
      <c r="KB13" s="18"/>
      <c r="KC13" s="18"/>
      <c r="KD13" s="18"/>
      <c r="KE13" s="18">
        <v>1370</v>
      </c>
      <c r="KF13" s="18">
        <v>5479</v>
      </c>
      <c r="KG13" s="18">
        <v>10959</v>
      </c>
      <c r="KH13" s="18">
        <v>16438</v>
      </c>
      <c r="KI13" s="18">
        <v>20548</v>
      </c>
      <c r="KJ13" s="18">
        <v>23288</v>
      </c>
      <c r="KK13" s="18">
        <v>23288</v>
      </c>
      <c r="KL13" s="18">
        <v>17808</v>
      </c>
      <c r="KM13" s="18">
        <v>10959</v>
      </c>
      <c r="KN13" s="18">
        <v>5479</v>
      </c>
      <c r="KO13" s="18">
        <v>1370</v>
      </c>
      <c r="KP13" s="18"/>
      <c r="KQ13" s="18"/>
      <c r="KR13" s="18"/>
      <c r="KS13" s="18"/>
      <c r="KT13" s="18"/>
      <c r="KU13" s="18"/>
      <c r="KV13" s="19">
        <f t="shared" si="17"/>
        <v>136986</v>
      </c>
      <c r="KW13" s="38">
        <v>4</v>
      </c>
      <c r="KX13" s="19">
        <f t="shared" si="37"/>
        <v>547944</v>
      </c>
      <c r="KY13" s="103"/>
      <c r="LA13" s="100"/>
      <c r="LB13" s="21" t="s">
        <v>42</v>
      </c>
      <c r="LC13" s="18"/>
      <c r="LD13" s="18"/>
      <c r="LE13" s="18"/>
      <c r="LF13" s="18"/>
      <c r="LG13" s="18"/>
      <c r="LH13" s="18"/>
      <c r="LI13" s="18">
        <v>1366</v>
      </c>
      <c r="LJ13" s="18">
        <v>5464</v>
      </c>
      <c r="LK13" s="18">
        <v>10929</v>
      </c>
      <c r="LL13" s="18">
        <v>16393</v>
      </c>
      <c r="LM13" s="18">
        <v>20492</v>
      </c>
      <c r="LN13" s="18">
        <v>23224</v>
      </c>
      <c r="LO13" s="18">
        <v>23224</v>
      </c>
      <c r="LP13" s="18">
        <v>17760</v>
      </c>
      <c r="LQ13" s="18">
        <v>10929</v>
      </c>
      <c r="LR13" s="18">
        <v>5464</v>
      </c>
      <c r="LS13" s="18">
        <v>1366</v>
      </c>
      <c r="LT13" s="18"/>
      <c r="LU13" s="18"/>
      <c r="LV13" s="18"/>
      <c r="LW13" s="18"/>
      <c r="LX13" s="18"/>
      <c r="LY13" s="18"/>
      <c r="LZ13" s="18"/>
      <c r="MA13" s="19">
        <f t="shared" si="19"/>
        <v>136611</v>
      </c>
      <c r="MB13" s="38">
        <v>4</v>
      </c>
      <c r="MC13" s="19">
        <f t="shared" si="38"/>
        <v>546444</v>
      </c>
      <c r="MD13" s="103"/>
      <c r="MF13" s="100"/>
      <c r="MG13" s="21" t="s">
        <v>42</v>
      </c>
      <c r="MH13" s="18"/>
      <c r="MI13" s="18"/>
      <c r="MJ13" s="18"/>
      <c r="MK13" s="18"/>
      <c r="ML13" s="18"/>
      <c r="MM13" s="18"/>
      <c r="MN13" s="18">
        <v>1370</v>
      </c>
      <c r="MO13" s="18">
        <v>5479</v>
      </c>
      <c r="MP13" s="18">
        <v>10959</v>
      </c>
      <c r="MQ13" s="18">
        <v>16438</v>
      </c>
      <c r="MR13" s="18">
        <v>20548</v>
      </c>
      <c r="MS13" s="18">
        <v>23288</v>
      </c>
      <c r="MT13" s="18">
        <v>23288</v>
      </c>
      <c r="MU13" s="18">
        <v>17808</v>
      </c>
      <c r="MV13" s="18">
        <v>10959</v>
      </c>
      <c r="MW13" s="18">
        <v>5479</v>
      </c>
      <c r="MX13" s="18">
        <v>1370</v>
      </c>
      <c r="MY13" s="18"/>
      <c r="MZ13" s="18"/>
      <c r="NA13" s="18"/>
      <c r="NB13" s="18"/>
      <c r="NC13" s="18"/>
      <c r="ND13" s="18"/>
      <c r="NE13" s="18"/>
      <c r="NF13" s="19">
        <f t="shared" si="21"/>
        <v>136986</v>
      </c>
      <c r="NG13" s="38">
        <v>4</v>
      </c>
      <c r="NH13" s="19">
        <f t="shared" si="39"/>
        <v>547944</v>
      </c>
      <c r="NI13" s="103"/>
      <c r="NK13" s="100"/>
      <c r="NL13" s="21" t="s">
        <v>42</v>
      </c>
      <c r="NM13" s="18"/>
      <c r="NN13" s="18"/>
      <c r="NO13" s="18"/>
      <c r="NP13" s="18"/>
      <c r="NQ13" s="18"/>
      <c r="NR13" s="18"/>
      <c r="NS13" s="18">
        <v>1370</v>
      </c>
      <c r="NT13" s="18">
        <v>5479</v>
      </c>
      <c r="NU13" s="18">
        <v>10959</v>
      </c>
      <c r="NV13" s="18">
        <v>16438</v>
      </c>
      <c r="NW13" s="18">
        <v>20548</v>
      </c>
      <c r="NX13" s="18">
        <v>23288</v>
      </c>
      <c r="NY13" s="18">
        <v>23288</v>
      </c>
      <c r="NZ13" s="18">
        <v>17808</v>
      </c>
      <c r="OA13" s="18">
        <v>10959</v>
      </c>
      <c r="OB13" s="18">
        <v>5479</v>
      </c>
      <c r="OC13" s="18">
        <v>1370</v>
      </c>
      <c r="OD13" s="18"/>
      <c r="OE13" s="18"/>
      <c r="OF13" s="18"/>
      <c r="OG13" s="18"/>
      <c r="OH13" s="18"/>
      <c r="OI13" s="18"/>
      <c r="OJ13" s="18"/>
      <c r="OK13" s="19">
        <f t="shared" si="23"/>
        <v>136986</v>
      </c>
      <c r="OL13" s="38">
        <v>4</v>
      </c>
      <c r="OM13" s="19">
        <f t="shared" si="40"/>
        <v>547944</v>
      </c>
      <c r="ON13" s="103"/>
      <c r="OP13" s="100"/>
      <c r="OQ13" s="21" t="s">
        <v>42</v>
      </c>
      <c r="OR13" s="18"/>
      <c r="OS13" s="18"/>
      <c r="OT13" s="18"/>
      <c r="OU13" s="18"/>
      <c r="OV13" s="18"/>
      <c r="OW13" s="18"/>
      <c r="OX13" s="18">
        <v>1370</v>
      </c>
      <c r="OY13" s="18">
        <v>5479</v>
      </c>
      <c r="OZ13" s="18">
        <v>10959</v>
      </c>
      <c r="PA13" s="18">
        <v>16438</v>
      </c>
      <c r="PB13" s="18">
        <v>20548</v>
      </c>
      <c r="PC13" s="18">
        <v>23288</v>
      </c>
      <c r="PD13" s="18">
        <v>23288</v>
      </c>
      <c r="PE13" s="18">
        <v>17808</v>
      </c>
      <c r="PF13" s="18">
        <v>10959</v>
      </c>
      <c r="PG13" s="18">
        <v>5479</v>
      </c>
      <c r="PH13" s="18">
        <v>1370</v>
      </c>
      <c r="PI13" s="18"/>
      <c r="PJ13" s="18"/>
      <c r="PK13" s="18"/>
      <c r="PL13" s="18"/>
      <c r="PM13" s="18"/>
      <c r="PN13" s="18"/>
      <c r="PO13" s="18"/>
      <c r="PP13" s="19">
        <f t="shared" si="25"/>
        <v>136986</v>
      </c>
      <c r="PQ13" s="38">
        <v>4</v>
      </c>
      <c r="PR13" s="19">
        <f t="shared" si="41"/>
        <v>547944</v>
      </c>
      <c r="PS13" s="103"/>
      <c r="PU13" s="100"/>
      <c r="PV13" s="21" t="s">
        <v>42</v>
      </c>
      <c r="PW13" s="18"/>
      <c r="PX13" s="18"/>
      <c r="PY13" s="18"/>
      <c r="PZ13" s="18"/>
      <c r="QA13" s="18"/>
      <c r="QB13" s="18"/>
      <c r="QC13" s="18">
        <v>1366</v>
      </c>
      <c r="QD13" s="18">
        <v>5464</v>
      </c>
      <c r="QE13" s="18">
        <v>10929</v>
      </c>
      <c r="QF13" s="18">
        <v>16393</v>
      </c>
      <c r="QG13" s="18">
        <v>20492</v>
      </c>
      <c r="QH13" s="18">
        <v>23224</v>
      </c>
      <c r="QI13" s="18">
        <v>23224</v>
      </c>
      <c r="QJ13" s="18">
        <v>17760</v>
      </c>
      <c r="QK13" s="18">
        <v>10929</v>
      </c>
      <c r="QL13" s="18">
        <v>5464</v>
      </c>
      <c r="QM13" s="18">
        <v>1366</v>
      </c>
      <c r="QN13" s="18"/>
      <c r="QO13" s="18"/>
      <c r="QP13" s="18"/>
      <c r="QQ13" s="18"/>
      <c r="QR13" s="18"/>
      <c r="QS13" s="18"/>
      <c r="QT13" s="18"/>
      <c r="QU13" s="19">
        <f t="shared" si="27"/>
        <v>136611</v>
      </c>
      <c r="QV13" s="45">
        <v>4</v>
      </c>
      <c r="QW13" s="19">
        <f t="shared" si="42"/>
        <v>546444</v>
      </c>
      <c r="QX13" s="103"/>
    </row>
    <row r="14" spans="1:466" ht="15" thickBot="1" x14ac:dyDescent="0.4">
      <c r="A14" s="101">
        <v>46057</v>
      </c>
      <c r="B14" s="22" t="s">
        <v>43</v>
      </c>
      <c r="C14" s="18"/>
      <c r="D14" s="18"/>
      <c r="E14" s="18"/>
      <c r="F14" s="18"/>
      <c r="G14" s="18"/>
      <c r="H14" s="18"/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/>
      <c r="U14" s="18"/>
      <c r="V14" s="18"/>
      <c r="W14" s="18"/>
      <c r="X14" s="18"/>
      <c r="Y14" s="18"/>
      <c r="Z14" s="18"/>
      <c r="AA14" s="19">
        <f t="shared" si="0"/>
        <v>0</v>
      </c>
      <c r="AB14" s="39">
        <v>0</v>
      </c>
      <c r="AC14" s="19">
        <f t="shared" si="1"/>
        <v>0</v>
      </c>
      <c r="AD14" s="104"/>
      <c r="AF14" s="101"/>
      <c r="AG14" s="22" t="s">
        <v>43</v>
      </c>
      <c r="AH14" s="18"/>
      <c r="AI14" s="18"/>
      <c r="AJ14" s="18"/>
      <c r="AK14" s="18"/>
      <c r="AL14" s="18"/>
      <c r="AM14" s="18"/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  <c r="AY14" s="18"/>
      <c r="AZ14" s="18"/>
      <c r="BA14" s="18"/>
      <c r="BB14" s="18"/>
      <c r="BC14" s="18"/>
      <c r="BD14" s="18"/>
      <c r="BE14" s="18"/>
      <c r="BF14" s="19">
        <f t="shared" si="2"/>
        <v>0</v>
      </c>
      <c r="BG14" s="39">
        <v>0</v>
      </c>
      <c r="BH14" s="19">
        <f t="shared" si="29"/>
        <v>0</v>
      </c>
      <c r="BI14" s="104"/>
      <c r="BK14" s="101"/>
      <c r="BL14" s="22" t="s">
        <v>43</v>
      </c>
      <c r="BM14" s="18"/>
      <c r="BN14" s="18"/>
      <c r="BO14" s="18"/>
      <c r="BP14" s="18"/>
      <c r="BQ14" s="18"/>
      <c r="BR14" s="18"/>
      <c r="BS14" s="18">
        <v>0</v>
      </c>
      <c r="BT14" s="18">
        <v>0</v>
      </c>
      <c r="BU14" s="18">
        <v>0</v>
      </c>
      <c r="BV14" s="18">
        <v>0</v>
      </c>
      <c r="BW14" s="18">
        <v>0</v>
      </c>
      <c r="BX14" s="18">
        <v>0</v>
      </c>
      <c r="BY14" s="18">
        <v>0</v>
      </c>
      <c r="BZ14" s="18">
        <v>0</v>
      </c>
      <c r="CA14" s="18">
        <v>0</v>
      </c>
      <c r="CB14" s="18">
        <v>0</v>
      </c>
      <c r="CC14" s="18">
        <v>0</v>
      </c>
      <c r="CD14" s="18"/>
      <c r="CE14" s="18"/>
      <c r="CF14" s="18"/>
      <c r="CG14" s="18"/>
      <c r="CH14" s="18"/>
      <c r="CI14" s="18"/>
      <c r="CJ14" s="18"/>
      <c r="CK14" s="19">
        <f t="shared" si="4"/>
        <v>0</v>
      </c>
      <c r="CL14" s="39">
        <v>0</v>
      </c>
      <c r="CM14" s="19">
        <f t="shared" si="30"/>
        <v>0</v>
      </c>
      <c r="CN14" s="104"/>
      <c r="CP14" s="101"/>
      <c r="CQ14" s="22" t="s">
        <v>43</v>
      </c>
      <c r="CR14" s="18"/>
      <c r="CS14" s="18"/>
      <c r="CT14" s="18"/>
      <c r="CU14" s="18"/>
      <c r="CV14" s="18"/>
      <c r="CW14" s="18"/>
      <c r="CX14" s="18">
        <v>0</v>
      </c>
      <c r="CY14" s="18">
        <v>0</v>
      </c>
      <c r="CZ14" s="18">
        <v>0</v>
      </c>
      <c r="DA14" s="18">
        <v>0</v>
      </c>
      <c r="DB14" s="18">
        <v>0</v>
      </c>
      <c r="DC14" s="18">
        <v>0</v>
      </c>
      <c r="DD14" s="18">
        <v>0</v>
      </c>
      <c r="DE14" s="18">
        <v>0</v>
      </c>
      <c r="DF14" s="18">
        <v>0</v>
      </c>
      <c r="DG14" s="18">
        <v>0</v>
      </c>
      <c r="DH14" s="18">
        <v>0</v>
      </c>
      <c r="DI14" s="18"/>
      <c r="DJ14" s="18"/>
      <c r="DK14" s="18"/>
      <c r="DL14" s="18"/>
      <c r="DM14" s="18"/>
      <c r="DN14" s="18"/>
      <c r="DO14" s="18"/>
      <c r="DP14" s="19">
        <f t="shared" si="6"/>
        <v>0</v>
      </c>
      <c r="DQ14" s="39">
        <v>0</v>
      </c>
      <c r="DR14" s="19">
        <f t="shared" si="31"/>
        <v>0</v>
      </c>
      <c r="DS14" s="104"/>
      <c r="DV14" s="101"/>
      <c r="DW14" s="22" t="s">
        <v>43</v>
      </c>
      <c r="DX14" s="18"/>
      <c r="DY14" s="18"/>
      <c r="DZ14" s="18"/>
      <c r="EA14" s="18"/>
      <c r="EB14" s="18"/>
      <c r="EC14" s="18"/>
      <c r="ED14" s="18">
        <v>0</v>
      </c>
      <c r="EE14" s="18">
        <v>0</v>
      </c>
      <c r="EF14" s="18">
        <v>0</v>
      </c>
      <c r="EG14" s="18">
        <v>0</v>
      </c>
      <c r="EH14" s="18">
        <v>0</v>
      </c>
      <c r="EI14" s="18">
        <v>0</v>
      </c>
      <c r="EJ14" s="18">
        <v>0</v>
      </c>
      <c r="EK14" s="18">
        <v>0</v>
      </c>
      <c r="EL14" s="18">
        <v>0</v>
      </c>
      <c r="EM14" s="18">
        <v>0</v>
      </c>
      <c r="EN14" s="18">
        <v>0</v>
      </c>
      <c r="EO14" s="18"/>
      <c r="EP14" s="18"/>
      <c r="EQ14" s="18"/>
      <c r="ER14" s="18"/>
      <c r="ES14" s="18"/>
      <c r="ET14" s="18"/>
      <c r="EU14" s="18"/>
      <c r="EV14" s="19">
        <f t="shared" si="8"/>
        <v>0</v>
      </c>
      <c r="EW14" s="39">
        <v>0</v>
      </c>
      <c r="EX14" s="19">
        <f t="shared" si="32"/>
        <v>0</v>
      </c>
      <c r="EY14" s="104"/>
      <c r="FB14" s="101"/>
      <c r="FC14" s="22" t="s">
        <v>43</v>
      </c>
      <c r="FD14" s="18"/>
      <c r="FE14" s="18"/>
      <c r="FF14" s="18"/>
      <c r="FG14" s="18"/>
      <c r="FH14" s="18"/>
      <c r="FI14" s="18"/>
      <c r="FJ14" s="18">
        <v>0</v>
      </c>
      <c r="FK14" s="18">
        <v>0</v>
      </c>
      <c r="FL14" s="18">
        <v>0</v>
      </c>
      <c r="FM14" s="18">
        <v>0</v>
      </c>
      <c r="FN14" s="18">
        <v>0</v>
      </c>
      <c r="FO14" s="18">
        <v>0</v>
      </c>
      <c r="FP14" s="18">
        <v>0</v>
      </c>
      <c r="FQ14" s="18">
        <v>0</v>
      </c>
      <c r="FR14" s="18">
        <v>0</v>
      </c>
      <c r="FS14" s="18">
        <v>0</v>
      </c>
      <c r="FT14" s="18">
        <v>0</v>
      </c>
      <c r="FU14" s="18"/>
      <c r="FV14" s="18"/>
      <c r="FW14" s="18"/>
      <c r="FX14" s="18"/>
      <c r="FY14" s="18"/>
      <c r="FZ14" s="18"/>
      <c r="GA14" s="18"/>
      <c r="GB14" s="19">
        <f t="shared" si="9"/>
        <v>0</v>
      </c>
      <c r="GC14" s="39">
        <v>0</v>
      </c>
      <c r="GD14" s="19">
        <f t="shared" si="33"/>
        <v>0</v>
      </c>
      <c r="GE14" s="104"/>
      <c r="GG14" s="101"/>
      <c r="GH14" s="22" t="s">
        <v>43</v>
      </c>
      <c r="GI14" s="18"/>
      <c r="GJ14" s="18"/>
      <c r="GK14" s="18"/>
      <c r="GL14" s="18"/>
      <c r="GM14" s="18"/>
      <c r="GN14" s="18"/>
      <c r="GO14" s="18">
        <v>0</v>
      </c>
      <c r="GP14" s="18">
        <v>0</v>
      </c>
      <c r="GQ14" s="18">
        <v>0</v>
      </c>
      <c r="GR14" s="18">
        <v>0</v>
      </c>
      <c r="GS14" s="18">
        <v>0</v>
      </c>
      <c r="GT14" s="18">
        <v>0</v>
      </c>
      <c r="GU14" s="18">
        <v>0</v>
      </c>
      <c r="GV14" s="18">
        <v>0</v>
      </c>
      <c r="GW14" s="18">
        <v>0</v>
      </c>
      <c r="GX14" s="18">
        <v>0</v>
      </c>
      <c r="GY14" s="18">
        <v>0</v>
      </c>
      <c r="GZ14" s="18"/>
      <c r="HA14" s="18"/>
      <c r="HB14" s="18"/>
      <c r="HC14" s="18"/>
      <c r="HD14" s="18"/>
      <c r="HE14" s="18"/>
      <c r="HF14" s="18"/>
      <c r="HG14" s="19">
        <f t="shared" si="11"/>
        <v>0</v>
      </c>
      <c r="HH14" s="39">
        <v>0</v>
      </c>
      <c r="HI14" s="19">
        <f t="shared" si="34"/>
        <v>0</v>
      </c>
      <c r="HJ14" s="104"/>
      <c r="HL14" s="101"/>
      <c r="HM14" s="22" t="s">
        <v>43</v>
      </c>
      <c r="HN14" s="18"/>
      <c r="HO14" s="18"/>
      <c r="HP14" s="18"/>
      <c r="HQ14" s="18"/>
      <c r="HR14" s="18"/>
      <c r="HS14" s="18"/>
      <c r="HT14" s="18">
        <v>0</v>
      </c>
      <c r="HU14" s="18">
        <v>0</v>
      </c>
      <c r="HV14" s="18">
        <v>0</v>
      </c>
      <c r="HW14" s="18">
        <v>0</v>
      </c>
      <c r="HX14" s="18">
        <v>0</v>
      </c>
      <c r="HY14" s="18">
        <v>0</v>
      </c>
      <c r="HZ14" s="18">
        <v>0</v>
      </c>
      <c r="IA14" s="18">
        <v>0</v>
      </c>
      <c r="IB14" s="18">
        <v>0</v>
      </c>
      <c r="IC14" s="18">
        <v>0</v>
      </c>
      <c r="ID14" s="18">
        <v>0</v>
      </c>
      <c r="IE14" s="18"/>
      <c r="IF14" s="18"/>
      <c r="IG14" s="18"/>
      <c r="IH14" s="18"/>
      <c r="II14" s="18"/>
      <c r="IJ14" s="18"/>
      <c r="IK14" s="18"/>
      <c r="IL14" s="19">
        <f t="shared" si="13"/>
        <v>0</v>
      </c>
      <c r="IM14" s="39">
        <v>0</v>
      </c>
      <c r="IN14" s="19">
        <f t="shared" si="35"/>
        <v>0</v>
      </c>
      <c r="IO14" s="104"/>
      <c r="IQ14" s="101"/>
      <c r="IR14" s="22" t="s">
        <v>43</v>
      </c>
      <c r="IS14" s="18"/>
      <c r="IT14" s="18"/>
      <c r="IU14" s="18"/>
      <c r="IV14" s="18"/>
      <c r="IW14" s="18"/>
      <c r="IX14" s="18"/>
      <c r="IY14" s="18">
        <v>0</v>
      </c>
      <c r="IZ14" s="18">
        <v>0</v>
      </c>
      <c r="JA14" s="18">
        <v>0</v>
      </c>
      <c r="JB14" s="18">
        <v>0</v>
      </c>
      <c r="JC14" s="18">
        <v>0</v>
      </c>
      <c r="JD14" s="18">
        <v>0</v>
      </c>
      <c r="JE14" s="18">
        <v>0</v>
      </c>
      <c r="JF14" s="18">
        <v>0</v>
      </c>
      <c r="JG14" s="18">
        <v>0</v>
      </c>
      <c r="JH14" s="18">
        <v>0</v>
      </c>
      <c r="JI14" s="18">
        <v>0</v>
      </c>
      <c r="JJ14" s="18"/>
      <c r="JK14" s="18"/>
      <c r="JL14" s="18"/>
      <c r="JM14" s="18"/>
      <c r="JN14" s="18"/>
      <c r="JO14" s="18"/>
      <c r="JP14" s="18"/>
      <c r="JQ14" s="19">
        <f t="shared" si="15"/>
        <v>0</v>
      </c>
      <c r="JR14" s="39">
        <v>0</v>
      </c>
      <c r="JS14" s="19">
        <f t="shared" si="36"/>
        <v>0</v>
      </c>
      <c r="JT14" s="104"/>
      <c r="JV14" s="101"/>
      <c r="JW14" s="22" t="s">
        <v>43</v>
      </c>
      <c r="JX14" s="18"/>
      <c r="JY14" s="18"/>
      <c r="JZ14" s="18"/>
      <c r="KA14" s="18"/>
      <c r="KB14" s="18"/>
      <c r="KC14" s="18"/>
      <c r="KD14" s="18"/>
      <c r="KE14" s="18">
        <v>0</v>
      </c>
      <c r="KF14" s="18">
        <v>0</v>
      </c>
      <c r="KG14" s="18">
        <v>0</v>
      </c>
      <c r="KH14" s="18">
        <v>0</v>
      </c>
      <c r="KI14" s="18">
        <v>0</v>
      </c>
      <c r="KJ14" s="18">
        <v>0</v>
      </c>
      <c r="KK14" s="18">
        <v>0</v>
      </c>
      <c r="KL14" s="18">
        <v>0</v>
      </c>
      <c r="KM14" s="18">
        <v>0</v>
      </c>
      <c r="KN14" s="18">
        <v>0</v>
      </c>
      <c r="KO14" s="18">
        <v>0</v>
      </c>
      <c r="KP14" s="18"/>
      <c r="KQ14" s="18"/>
      <c r="KR14" s="18"/>
      <c r="KS14" s="18"/>
      <c r="KT14" s="18"/>
      <c r="KU14" s="18"/>
      <c r="KV14" s="19">
        <f t="shared" si="17"/>
        <v>0</v>
      </c>
      <c r="KW14" s="39">
        <v>0</v>
      </c>
      <c r="KX14" s="19">
        <f t="shared" si="37"/>
        <v>0</v>
      </c>
      <c r="KY14" s="104"/>
      <c r="LA14" s="101"/>
      <c r="LB14" s="22" t="s">
        <v>43</v>
      </c>
      <c r="LC14" s="18"/>
      <c r="LD14" s="18"/>
      <c r="LE14" s="18"/>
      <c r="LF14" s="18"/>
      <c r="LG14" s="18"/>
      <c r="LH14" s="18"/>
      <c r="LI14" s="18">
        <v>0</v>
      </c>
      <c r="LJ14" s="18">
        <v>0</v>
      </c>
      <c r="LK14" s="18">
        <v>0</v>
      </c>
      <c r="LL14" s="18">
        <v>0</v>
      </c>
      <c r="LM14" s="18">
        <v>0</v>
      </c>
      <c r="LN14" s="18">
        <v>0</v>
      </c>
      <c r="LO14" s="18">
        <v>0</v>
      </c>
      <c r="LP14" s="18">
        <v>0</v>
      </c>
      <c r="LQ14" s="18">
        <v>0</v>
      </c>
      <c r="LR14" s="18">
        <v>0</v>
      </c>
      <c r="LS14" s="18">
        <v>0</v>
      </c>
      <c r="LT14" s="18"/>
      <c r="LU14" s="18"/>
      <c r="LV14" s="18"/>
      <c r="LW14" s="18"/>
      <c r="LX14" s="18"/>
      <c r="LY14" s="18"/>
      <c r="LZ14" s="18"/>
      <c r="MA14" s="19">
        <f t="shared" si="19"/>
        <v>0</v>
      </c>
      <c r="MB14" s="39">
        <v>0</v>
      </c>
      <c r="MC14" s="19">
        <f t="shared" si="38"/>
        <v>0</v>
      </c>
      <c r="MD14" s="104"/>
      <c r="MF14" s="101"/>
      <c r="MG14" s="22" t="s">
        <v>43</v>
      </c>
      <c r="MH14" s="18"/>
      <c r="MI14" s="18"/>
      <c r="MJ14" s="18"/>
      <c r="MK14" s="18"/>
      <c r="ML14" s="18"/>
      <c r="MM14" s="18"/>
      <c r="MN14" s="18">
        <v>0</v>
      </c>
      <c r="MO14" s="18">
        <v>0</v>
      </c>
      <c r="MP14" s="18">
        <v>0</v>
      </c>
      <c r="MQ14" s="18">
        <v>0</v>
      </c>
      <c r="MR14" s="18">
        <v>0</v>
      </c>
      <c r="MS14" s="18">
        <v>0</v>
      </c>
      <c r="MT14" s="18">
        <v>0</v>
      </c>
      <c r="MU14" s="18">
        <v>0</v>
      </c>
      <c r="MV14" s="18">
        <v>0</v>
      </c>
      <c r="MW14" s="18">
        <v>0</v>
      </c>
      <c r="MX14" s="18">
        <v>0</v>
      </c>
      <c r="MY14" s="18"/>
      <c r="MZ14" s="18"/>
      <c r="NA14" s="18"/>
      <c r="NB14" s="18"/>
      <c r="NC14" s="18"/>
      <c r="ND14" s="18"/>
      <c r="NE14" s="18"/>
      <c r="NF14" s="19">
        <f t="shared" si="21"/>
        <v>0</v>
      </c>
      <c r="NG14" s="39">
        <v>0</v>
      </c>
      <c r="NH14" s="19">
        <f t="shared" si="39"/>
        <v>0</v>
      </c>
      <c r="NI14" s="104"/>
      <c r="NK14" s="101"/>
      <c r="NL14" s="22" t="s">
        <v>43</v>
      </c>
      <c r="NM14" s="18"/>
      <c r="NN14" s="18"/>
      <c r="NO14" s="18"/>
      <c r="NP14" s="18"/>
      <c r="NQ14" s="18"/>
      <c r="NR14" s="18"/>
      <c r="NS14" s="18">
        <v>0</v>
      </c>
      <c r="NT14" s="18">
        <v>0</v>
      </c>
      <c r="NU14" s="18">
        <v>0</v>
      </c>
      <c r="NV14" s="18">
        <v>0</v>
      </c>
      <c r="NW14" s="18">
        <v>0</v>
      </c>
      <c r="NX14" s="18">
        <v>0</v>
      </c>
      <c r="NY14" s="18">
        <v>0</v>
      </c>
      <c r="NZ14" s="18">
        <v>0</v>
      </c>
      <c r="OA14" s="18">
        <v>0</v>
      </c>
      <c r="OB14" s="18">
        <v>0</v>
      </c>
      <c r="OC14" s="18">
        <v>0</v>
      </c>
      <c r="OD14" s="18"/>
      <c r="OE14" s="18"/>
      <c r="OF14" s="18"/>
      <c r="OG14" s="18"/>
      <c r="OH14" s="18"/>
      <c r="OI14" s="18"/>
      <c r="OJ14" s="18"/>
      <c r="OK14" s="19">
        <f t="shared" si="23"/>
        <v>0</v>
      </c>
      <c r="OL14" s="39">
        <v>0</v>
      </c>
      <c r="OM14" s="19">
        <f t="shared" si="40"/>
        <v>0</v>
      </c>
      <c r="ON14" s="104"/>
      <c r="OP14" s="101"/>
      <c r="OQ14" s="22" t="s">
        <v>43</v>
      </c>
      <c r="OR14" s="18"/>
      <c r="OS14" s="18"/>
      <c r="OT14" s="18"/>
      <c r="OU14" s="18"/>
      <c r="OV14" s="18"/>
      <c r="OW14" s="18"/>
      <c r="OX14" s="18">
        <v>0</v>
      </c>
      <c r="OY14" s="18">
        <v>0</v>
      </c>
      <c r="OZ14" s="18">
        <v>0</v>
      </c>
      <c r="PA14" s="18">
        <v>0</v>
      </c>
      <c r="PB14" s="18">
        <v>0</v>
      </c>
      <c r="PC14" s="18">
        <v>0</v>
      </c>
      <c r="PD14" s="18">
        <v>0</v>
      </c>
      <c r="PE14" s="18">
        <v>0</v>
      </c>
      <c r="PF14" s="18">
        <v>0</v>
      </c>
      <c r="PG14" s="18">
        <v>0</v>
      </c>
      <c r="PH14" s="18">
        <v>0</v>
      </c>
      <c r="PI14" s="18"/>
      <c r="PJ14" s="18"/>
      <c r="PK14" s="18"/>
      <c r="PL14" s="18"/>
      <c r="PM14" s="18"/>
      <c r="PN14" s="18"/>
      <c r="PO14" s="18"/>
      <c r="PP14" s="19">
        <f t="shared" si="25"/>
        <v>0</v>
      </c>
      <c r="PQ14" s="39">
        <v>0</v>
      </c>
      <c r="PR14" s="19">
        <f t="shared" si="41"/>
        <v>0</v>
      </c>
      <c r="PS14" s="104"/>
      <c r="PU14" s="101"/>
      <c r="PV14" s="22" t="s">
        <v>43</v>
      </c>
      <c r="PW14" s="18"/>
      <c r="PX14" s="18"/>
      <c r="PY14" s="18"/>
      <c r="PZ14" s="18"/>
      <c r="QA14" s="18"/>
      <c r="QB14" s="18"/>
      <c r="QC14" s="18">
        <v>0</v>
      </c>
      <c r="QD14" s="18">
        <v>0</v>
      </c>
      <c r="QE14" s="18">
        <v>0</v>
      </c>
      <c r="QF14" s="18">
        <v>0</v>
      </c>
      <c r="QG14" s="18">
        <v>0</v>
      </c>
      <c r="QH14" s="18">
        <v>0</v>
      </c>
      <c r="QI14" s="18">
        <v>0</v>
      </c>
      <c r="QJ14" s="18">
        <v>0</v>
      </c>
      <c r="QK14" s="18">
        <v>0</v>
      </c>
      <c r="QL14" s="18">
        <v>0</v>
      </c>
      <c r="QM14" s="18">
        <v>0</v>
      </c>
      <c r="QN14" s="18"/>
      <c r="QO14" s="18"/>
      <c r="QP14" s="18"/>
      <c r="QQ14" s="18"/>
      <c r="QR14" s="18"/>
      <c r="QS14" s="18"/>
      <c r="QT14" s="18"/>
      <c r="QU14" s="19">
        <f t="shared" si="27"/>
        <v>0</v>
      </c>
      <c r="QV14" s="47">
        <v>0</v>
      </c>
      <c r="QW14" s="19">
        <f t="shared" si="42"/>
        <v>0</v>
      </c>
      <c r="QX14" s="104"/>
    </row>
    <row r="15" spans="1:466" x14ac:dyDescent="0.35">
      <c r="A15" s="99">
        <v>46082</v>
      </c>
      <c r="B15" s="17" t="s">
        <v>40</v>
      </c>
      <c r="C15" s="18"/>
      <c r="D15" s="18"/>
      <c r="E15" s="18"/>
      <c r="F15" s="18"/>
      <c r="G15" s="18"/>
      <c r="H15" s="18"/>
      <c r="I15" s="18">
        <v>1370</v>
      </c>
      <c r="J15" s="18">
        <v>5479</v>
      </c>
      <c r="K15" s="18">
        <v>10959</v>
      </c>
      <c r="L15" s="18">
        <v>16438</v>
      </c>
      <c r="M15" s="18">
        <v>20548</v>
      </c>
      <c r="N15" s="18">
        <v>23288</v>
      </c>
      <c r="O15" s="18">
        <v>23288</v>
      </c>
      <c r="P15" s="18">
        <v>17808</v>
      </c>
      <c r="Q15" s="18">
        <v>10959</v>
      </c>
      <c r="R15" s="18">
        <v>5479</v>
      </c>
      <c r="S15" s="18">
        <v>1370</v>
      </c>
      <c r="T15" s="18"/>
      <c r="U15" s="18"/>
      <c r="V15" s="18"/>
      <c r="W15" s="18"/>
      <c r="X15" s="18"/>
      <c r="Y15" s="18"/>
      <c r="Z15" s="18"/>
      <c r="AA15" s="19">
        <f t="shared" si="0"/>
        <v>136986</v>
      </c>
      <c r="AB15" s="37">
        <v>21</v>
      </c>
      <c r="AC15" s="19">
        <f t="shared" si="1"/>
        <v>2876706</v>
      </c>
      <c r="AD15" s="102">
        <f>+SUM(AC15:AC18)</f>
        <v>4246566</v>
      </c>
      <c r="AF15" s="99">
        <v>46447</v>
      </c>
      <c r="AG15" s="17" t="s">
        <v>40</v>
      </c>
      <c r="AH15" s="18"/>
      <c r="AI15" s="18"/>
      <c r="AJ15" s="18"/>
      <c r="AK15" s="18"/>
      <c r="AL15" s="18"/>
      <c r="AM15" s="18"/>
      <c r="AN15" s="18">
        <v>1370</v>
      </c>
      <c r="AO15" s="18">
        <v>5479</v>
      </c>
      <c r="AP15" s="18">
        <v>10959</v>
      </c>
      <c r="AQ15" s="18">
        <v>16438</v>
      </c>
      <c r="AR15" s="18">
        <v>20548</v>
      </c>
      <c r="AS15" s="18">
        <v>23288</v>
      </c>
      <c r="AT15" s="18">
        <v>23288</v>
      </c>
      <c r="AU15" s="18">
        <v>17808</v>
      </c>
      <c r="AV15" s="18">
        <v>10959</v>
      </c>
      <c r="AW15" s="18">
        <v>5479</v>
      </c>
      <c r="AX15" s="18">
        <v>1370</v>
      </c>
      <c r="AY15" s="18"/>
      <c r="AZ15" s="18"/>
      <c r="BA15" s="18"/>
      <c r="BB15" s="18"/>
      <c r="BC15" s="18"/>
      <c r="BD15" s="18"/>
      <c r="BE15" s="18"/>
      <c r="BF15" s="19">
        <f t="shared" si="2"/>
        <v>136986</v>
      </c>
      <c r="BG15" s="37">
        <v>20</v>
      </c>
      <c r="BH15" s="19">
        <f t="shared" si="29"/>
        <v>2739720</v>
      </c>
      <c r="BI15" s="102">
        <f>+SUM(BH15:BH18)</f>
        <v>4246566</v>
      </c>
      <c r="BK15" s="99">
        <v>46813</v>
      </c>
      <c r="BL15" s="17" t="s">
        <v>40</v>
      </c>
      <c r="BM15" s="18"/>
      <c r="BN15" s="18"/>
      <c r="BO15" s="18"/>
      <c r="BP15" s="18"/>
      <c r="BQ15" s="18"/>
      <c r="BR15" s="18"/>
      <c r="BS15" s="18">
        <v>1366</v>
      </c>
      <c r="BT15" s="18">
        <v>5464</v>
      </c>
      <c r="BU15" s="18">
        <v>10929</v>
      </c>
      <c r="BV15" s="18">
        <v>16393</v>
      </c>
      <c r="BW15" s="18">
        <v>20492</v>
      </c>
      <c r="BX15" s="18">
        <v>23224</v>
      </c>
      <c r="BY15" s="18">
        <v>23224</v>
      </c>
      <c r="BZ15" s="18">
        <v>17760</v>
      </c>
      <c r="CA15" s="18">
        <v>10929</v>
      </c>
      <c r="CB15" s="18">
        <v>5464</v>
      </c>
      <c r="CC15" s="18">
        <v>1366</v>
      </c>
      <c r="CD15" s="18"/>
      <c r="CE15" s="18"/>
      <c r="CF15" s="18"/>
      <c r="CG15" s="18"/>
      <c r="CH15" s="18"/>
      <c r="CI15" s="18"/>
      <c r="CJ15" s="18"/>
      <c r="CK15" s="19">
        <f t="shared" si="4"/>
        <v>136611</v>
      </c>
      <c r="CL15" s="37">
        <v>22</v>
      </c>
      <c r="CM15" s="19">
        <f t="shared" si="30"/>
        <v>3005442</v>
      </c>
      <c r="CN15" s="102">
        <f>+SUM(CM15:CM18)</f>
        <v>4234941</v>
      </c>
      <c r="CP15" s="99">
        <v>47178</v>
      </c>
      <c r="CQ15" s="17" t="s">
        <v>40</v>
      </c>
      <c r="CR15" s="18"/>
      <c r="CS15" s="18"/>
      <c r="CT15" s="18"/>
      <c r="CU15" s="18"/>
      <c r="CV15" s="18"/>
      <c r="CW15" s="18"/>
      <c r="CX15" s="18">
        <v>1370</v>
      </c>
      <c r="CY15" s="18">
        <v>5479</v>
      </c>
      <c r="CZ15" s="18">
        <v>10959</v>
      </c>
      <c r="DA15" s="18">
        <v>16438</v>
      </c>
      <c r="DB15" s="18">
        <v>20548</v>
      </c>
      <c r="DC15" s="18">
        <v>23288</v>
      </c>
      <c r="DD15" s="18">
        <v>23288</v>
      </c>
      <c r="DE15" s="18">
        <v>17808</v>
      </c>
      <c r="DF15" s="18">
        <v>10959</v>
      </c>
      <c r="DG15" s="18">
        <v>5479</v>
      </c>
      <c r="DH15" s="18">
        <v>1370</v>
      </c>
      <c r="DI15" s="18"/>
      <c r="DJ15" s="18"/>
      <c r="DK15" s="18"/>
      <c r="DL15" s="18"/>
      <c r="DM15" s="18"/>
      <c r="DN15" s="18"/>
      <c r="DO15" s="18"/>
      <c r="DP15" s="19">
        <f t="shared" si="6"/>
        <v>136986</v>
      </c>
      <c r="DQ15" s="37">
        <v>19</v>
      </c>
      <c r="DR15" s="19">
        <f t="shared" si="31"/>
        <v>2602734</v>
      </c>
      <c r="DS15" s="102">
        <f>+SUM(DR15:DR18)</f>
        <v>4246566</v>
      </c>
      <c r="DV15" s="99">
        <v>47543</v>
      </c>
      <c r="DW15" s="17" t="s">
        <v>40</v>
      </c>
      <c r="DX15" s="18"/>
      <c r="DY15" s="18"/>
      <c r="DZ15" s="18"/>
      <c r="EA15" s="18"/>
      <c r="EB15" s="18"/>
      <c r="EC15" s="18"/>
      <c r="ED15" s="18">
        <v>1370</v>
      </c>
      <c r="EE15" s="18">
        <v>5479</v>
      </c>
      <c r="EF15" s="18">
        <v>10959</v>
      </c>
      <c r="EG15" s="18">
        <v>16438</v>
      </c>
      <c r="EH15" s="18">
        <v>20548</v>
      </c>
      <c r="EI15" s="18">
        <v>23288</v>
      </c>
      <c r="EJ15" s="18">
        <v>23288</v>
      </c>
      <c r="EK15" s="18">
        <v>17808</v>
      </c>
      <c r="EL15" s="18">
        <v>10959</v>
      </c>
      <c r="EM15" s="18">
        <v>5479</v>
      </c>
      <c r="EN15" s="18">
        <v>1370</v>
      </c>
      <c r="EO15" s="18"/>
      <c r="EP15" s="18"/>
      <c r="EQ15" s="18"/>
      <c r="ER15" s="18"/>
      <c r="ES15" s="18"/>
      <c r="ET15" s="18"/>
      <c r="EU15" s="18"/>
      <c r="EV15" s="19">
        <f t="shared" si="8"/>
        <v>136986</v>
      </c>
      <c r="EW15" s="37">
        <v>20</v>
      </c>
      <c r="EX15" s="19">
        <f t="shared" si="32"/>
        <v>2739720</v>
      </c>
      <c r="EY15" s="102">
        <f>+SUM(EX15:EX18)</f>
        <v>4246566</v>
      </c>
      <c r="FB15" s="99">
        <v>47908</v>
      </c>
      <c r="FC15" s="17" t="s">
        <v>40</v>
      </c>
      <c r="FD15" s="18"/>
      <c r="FE15" s="18"/>
      <c r="FF15" s="18"/>
      <c r="FG15" s="18"/>
      <c r="FH15" s="18"/>
      <c r="FI15" s="18"/>
      <c r="FJ15" s="18">
        <v>1370</v>
      </c>
      <c r="FK15" s="18">
        <v>5479</v>
      </c>
      <c r="FL15" s="18">
        <v>10959</v>
      </c>
      <c r="FM15" s="18">
        <v>16438</v>
      </c>
      <c r="FN15" s="18">
        <v>20548</v>
      </c>
      <c r="FO15" s="18">
        <v>23288</v>
      </c>
      <c r="FP15" s="18">
        <v>23288</v>
      </c>
      <c r="FQ15" s="18">
        <v>17808</v>
      </c>
      <c r="FR15" s="18">
        <v>10959</v>
      </c>
      <c r="FS15" s="18">
        <v>5479</v>
      </c>
      <c r="FT15" s="18">
        <v>1370</v>
      </c>
      <c r="FU15" s="18"/>
      <c r="FV15" s="18"/>
      <c r="FW15" s="18"/>
      <c r="FX15" s="18"/>
      <c r="FY15" s="18"/>
      <c r="FZ15" s="18"/>
      <c r="GA15" s="18"/>
      <c r="GB15" s="19">
        <f t="shared" si="9"/>
        <v>136986</v>
      </c>
      <c r="GC15" s="37">
        <v>20</v>
      </c>
      <c r="GD15" s="19">
        <f t="shared" si="33"/>
        <v>2739720</v>
      </c>
      <c r="GE15" s="102">
        <f>+SUM(GD15:GD18)</f>
        <v>4246566</v>
      </c>
      <c r="GG15" s="99">
        <v>48274</v>
      </c>
      <c r="GH15" s="17" t="s">
        <v>40</v>
      </c>
      <c r="GI15" s="18"/>
      <c r="GJ15" s="18"/>
      <c r="GK15" s="18"/>
      <c r="GL15" s="18"/>
      <c r="GM15" s="18"/>
      <c r="GN15" s="18"/>
      <c r="GO15" s="18">
        <v>1366</v>
      </c>
      <c r="GP15" s="18">
        <v>5464</v>
      </c>
      <c r="GQ15" s="18">
        <v>10929</v>
      </c>
      <c r="GR15" s="18">
        <v>16393</v>
      </c>
      <c r="GS15" s="18">
        <v>20492</v>
      </c>
      <c r="GT15" s="18">
        <v>23224</v>
      </c>
      <c r="GU15" s="18">
        <v>23224</v>
      </c>
      <c r="GV15" s="18">
        <v>17760</v>
      </c>
      <c r="GW15" s="18">
        <v>10929</v>
      </c>
      <c r="GX15" s="18">
        <v>5464</v>
      </c>
      <c r="GY15" s="18">
        <v>1366</v>
      </c>
      <c r="GZ15" s="18"/>
      <c r="HA15" s="18"/>
      <c r="HB15" s="18"/>
      <c r="HC15" s="18"/>
      <c r="HD15" s="18"/>
      <c r="HE15" s="18"/>
      <c r="HF15" s="18"/>
      <c r="HG15" s="19">
        <f t="shared" si="11"/>
        <v>136611</v>
      </c>
      <c r="HH15" s="37">
        <v>20</v>
      </c>
      <c r="HI15" s="19">
        <f t="shared" si="34"/>
        <v>2732220</v>
      </c>
      <c r="HJ15" s="102">
        <f>+SUM(HI15:HI18)</f>
        <v>4234941</v>
      </c>
      <c r="HL15" s="99">
        <v>48639</v>
      </c>
      <c r="HM15" s="17" t="s">
        <v>40</v>
      </c>
      <c r="HN15" s="18"/>
      <c r="HO15" s="18"/>
      <c r="HP15" s="18"/>
      <c r="HQ15" s="18"/>
      <c r="HR15" s="18"/>
      <c r="HS15" s="18"/>
      <c r="HT15" s="18">
        <v>1370</v>
      </c>
      <c r="HU15" s="18">
        <v>5479</v>
      </c>
      <c r="HV15" s="18">
        <v>10959</v>
      </c>
      <c r="HW15" s="18">
        <v>16438</v>
      </c>
      <c r="HX15" s="18">
        <v>20548</v>
      </c>
      <c r="HY15" s="18">
        <v>23288</v>
      </c>
      <c r="HZ15" s="18">
        <v>23288</v>
      </c>
      <c r="IA15" s="18">
        <v>17808</v>
      </c>
      <c r="IB15" s="18">
        <v>10959</v>
      </c>
      <c r="IC15" s="18">
        <v>5479</v>
      </c>
      <c r="ID15" s="18">
        <v>1370</v>
      </c>
      <c r="IE15" s="18"/>
      <c r="IF15" s="18"/>
      <c r="IG15" s="18"/>
      <c r="IH15" s="18"/>
      <c r="II15" s="18"/>
      <c r="IJ15" s="18"/>
      <c r="IK15" s="18"/>
      <c r="IL15" s="19">
        <f t="shared" si="13"/>
        <v>136986</v>
      </c>
      <c r="IM15" s="37">
        <v>22</v>
      </c>
      <c r="IN15" s="19">
        <f t="shared" si="35"/>
        <v>3013692</v>
      </c>
      <c r="IO15" s="102">
        <f>+SUM(IN15:IN18)</f>
        <v>4246566</v>
      </c>
      <c r="IQ15" s="99">
        <v>49004</v>
      </c>
      <c r="IR15" s="17" t="s">
        <v>40</v>
      </c>
      <c r="IS15" s="18"/>
      <c r="IT15" s="18"/>
      <c r="IU15" s="18"/>
      <c r="IV15" s="18"/>
      <c r="IW15" s="18"/>
      <c r="IX15" s="18"/>
      <c r="IY15" s="18">
        <v>1370</v>
      </c>
      <c r="IZ15" s="18">
        <v>5479</v>
      </c>
      <c r="JA15" s="18">
        <v>10959</v>
      </c>
      <c r="JB15" s="18">
        <v>16438</v>
      </c>
      <c r="JC15" s="18">
        <v>20548</v>
      </c>
      <c r="JD15" s="18">
        <v>23288</v>
      </c>
      <c r="JE15" s="18">
        <v>23288</v>
      </c>
      <c r="JF15" s="18">
        <v>17808</v>
      </c>
      <c r="JG15" s="18">
        <v>10959</v>
      </c>
      <c r="JH15" s="18">
        <v>5479</v>
      </c>
      <c r="JI15" s="18">
        <v>1370</v>
      </c>
      <c r="JJ15" s="18"/>
      <c r="JK15" s="18"/>
      <c r="JL15" s="18"/>
      <c r="JM15" s="18"/>
      <c r="JN15" s="18"/>
      <c r="JO15" s="18"/>
      <c r="JP15" s="18"/>
      <c r="JQ15" s="19">
        <f t="shared" si="15"/>
        <v>136986</v>
      </c>
      <c r="JR15" s="37">
        <v>22</v>
      </c>
      <c r="JS15" s="19">
        <f t="shared" si="36"/>
        <v>3013692</v>
      </c>
      <c r="JT15" s="102">
        <f>+SUM(JS15:JS18)</f>
        <v>4246566</v>
      </c>
      <c r="JV15" s="99">
        <v>49369</v>
      </c>
      <c r="JW15" s="17" t="s">
        <v>40</v>
      </c>
      <c r="JX15" s="18"/>
      <c r="JY15" s="18"/>
      <c r="JZ15" s="18"/>
      <c r="KA15" s="18"/>
      <c r="KB15" s="18"/>
      <c r="KC15" s="18"/>
      <c r="KD15" s="18"/>
      <c r="KE15" s="18">
        <v>1370</v>
      </c>
      <c r="KF15" s="18">
        <v>5479</v>
      </c>
      <c r="KG15" s="18">
        <v>10959</v>
      </c>
      <c r="KH15" s="18">
        <v>16438</v>
      </c>
      <c r="KI15" s="18">
        <v>20548</v>
      </c>
      <c r="KJ15" s="18">
        <v>23288</v>
      </c>
      <c r="KK15" s="18">
        <v>23288</v>
      </c>
      <c r="KL15" s="18">
        <v>17808</v>
      </c>
      <c r="KM15" s="18">
        <v>10959</v>
      </c>
      <c r="KN15" s="18">
        <v>5479</v>
      </c>
      <c r="KO15" s="18">
        <v>1370</v>
      </c>
      <c r="KP15" s="18"/>
      <c r="KQ15" s="18"/>
      <c r="KR15" s="18"/>
      <c r="KS15" s="18"/>
      <c r="KT15" s="18"/>
      <c r="KU15" s="18"/>
      <c r="KV15" s="19">
        <f t="shared" si="17"/>
        <v>136986</v>
      </c>
      <c r="KW15" s="37">
        <v>19</v>
      </c>
      <c r="KX15" s="19">
        <f t="shared" si="37"/>
        <v>2602734</v>
      </c>
      <c r="KY15" s="102">
        <f>+SUM(KX15:KX18)</f>
        <v>4246566</v>
      </c>
      <c r="LA15" s="99">
        <v>49735</v>
      </c>
      <c r="LB15" s="17" t="s">
        <v>40</v>
      </c>
      <c r="LC15" s="18"/>
      <c r="LD15" s="18"/>
      <c r="LE15" s="18"/>
      <c r="LF15" s="18"/>
      <c r="LG15" s="18"/>
      <c r="LH15" s="18"/>
      <c r="LI15" s="18">
        <v>1366</v>
      </c>
      <c r="LJ15" s="18">
        <v>5464</v>
      </c>
      <c r="LK15" s="18">
        <v>10929</v>
      </c>
      <c r="LL15" s="18">
        <v>16393</v>
      </c>
      <c r="LM15" s="18">
        <v>20492</v>
      </c>
      <c r="LN15" s="18">
        <v>23224</v>
      </c>
      <c r="LO15" s="18">
        <v>23224</v>
      </c>
      <c r="LP15" s="18">
        <v>17760</v>
      </c>
      <c r="LQ15" s="18">
        <v>10929</v>
      </c>
      <c r="LR15" s="18">
        <v>5464</v>
      </c>
      <c r="LS15" s="18">
        <v>1366</v>
      </c>
      <c r="LT15" s="18"/>
      <c r="LU15" s="18"/>
      <c r="LV15" s="18"/>
      <c r="LW15" s="18"/>
      <c r="LX15" s="18"/>
      <c r="LY15" s="18"/>
      <c r="LZ15" s="18"/>
      <c r="MA15" s="19">
        <f t="shared" si="19"/>
        <v>136611</v>
      </c>
      <c r="MB15" s="37">
        <v>20</v>
      </c>
      <c r="MC15" s="19">
        <f t="shared" si="38"/>
        <v>2732220</v>
      </c>
      <c r="MD15" s="102">
        <f>+SUM(MC15:MC18)</f>
        <v>4234941</v>
      </c>
      <c r="MF15" s="99">
        <v>50100</v>
      </c>
      <c r="MG15" s="17" t="s">
        <v>40</v>
      </c>
      <c r="MH15" s="18"/>
      <c r="MI15" s="18"/>
      <c r="MJ15" s="18"/>
      <c r="MK15" s="18"/>
      <c r="ML15" s="18"/>
      <c r="MM15" s="18"/>
      <c r="MN15" s="18">
        <v>1370</v>
      </c>
      <c r="MO15" s="18">
        <v>5479</v>
      </c>
      <c r="MP15" s="18">
        <v>10959</v>
      </c>
      <c r="MQ15" s="18">
        <v>16438</v>
      </c>
      <c r="MR15" s="18">
        <v>20548</v>
      </c>
      <c r="MS15" s="18">
        <v>23288</v>
      </c>
      <c r="MT15" s="18">
        <v>23288</v>
      </c>
      <c r="MU15" s="18">
        <v>17808</v>
      </c>
      <c r="MV15" s="18">
        <v>10959</v>
      </c>
      <c r="MW15" s="18">
        <v>5479</v>
      </c>
      <c r="MX15" s="18">
        <v>1370</v>
      </c>
      <c r="MY15" s="18"/>
      <c r="MZ15" s="18"/>
      <c r="NA15" s="18"/>
      <c r="NB15" s="18"/>
      <c r="NC15" s="18"/>
      <c r="ND15" s="18"/>
      <c r="NE15" s="18"/>
      <c r="NF15" s="19">
        <f t="shared" si="21"/>
        <v>136986</v>
      </c>
      <c r="NG15" s="37">
        <v>21</v>
      </c>
      <c r="NH15" s="19">
        <f t="shared" si="39"/>
        <v>2876706</v>
      </c>
      <c r="NI15" s="102">
        <f>+SUM(NH15:NH18)</f>
        <v>4246566</v>
      </c>
      <c r="NK15" s="99">
        <v>50465</v>
      </c>
      <c r="NL15" s="17" t="s">
        <v>40</v>
      </c>
      <c r="NM15" s="18"/>
      <c r="NN15" s="18"/>
      <c r="NO15" s="18"/>
      <c r="NP15" s="18"/>
      <c r="NQ15" s="18"/>
      <c r="NR15" s="18"/>
      <c r="NS15" s="18">
        <v>1370</v>
      </c>
      <c r="NT15" s="18">
        <v>5479</v>
      </c>
      <c r="NU15" s="18">
        <v>10959</v>
      </c>
      <c r="NV15" s="18">
        <v>16438</v>
      </c>
      <c r="NW15" s="18">
        <v>20548</v>
      </c>
      <c r="NX15" s="18">
        <v>23288</v>
      </c>
      <c r="NY15" s="18">
        <v>23288</v>
      </c>
      <c r="NZ15" s="18">
        <v>17808</v>
      </c>
      <c r="OA15" s="18">
        <v>10959</v>
      </c>
      <c r="OB15" s="18">
        <v>5479</v>
      </c>
      <c r="OC15" s="18">
        <v>1370</v>
      </c>
      <c r="OD15" s="18"/>
      <c r="OE15" s="18"/>
      <c r="OF15" s="18"/>
      <c r="OG15" s="18"/>
      <c r="OH15" s="18"/>
      <c r="OI15" s="18"/>
      <c r="OJ15" s="18"/>
      <c r="OK15" s="19">
        <f t="shared" si="23"/>
        <v>136986</v>
      </c>
      <c r="OL15" s="82">
        <v>22</v>
      </c>
      <c r="OM15" s="19">
        <f t="shared" si="40"/>
        <v>3013692</v>
      </c>
      <c r="ON15" s="102">
        <f>+SUM(OM15:OM18)</f>
        <v>4246566</v>
      </c>
      <c r="OP15" s="99">
        <v>50830</v>
      </c>
      <c r="OQ15" s="17" t="s">
        <v>40</v>
      </c>
      <c r="OR15" s="18"/>
      <c r="OS15" s="18"/>
      <c r="OT15" s="18"/>
      <c r="OU15" s="18"/>
      <c r="OV15" s="18"/>
      <c r="OW15" s="18"/>
      <c r="OX15" s="18">
        <v>1370</v>
      </c>
      <c r="OY15" s="18">
        <v>5479</v>
      </c>
      <c r="OZ15" s="18">
        <v>10959</v>
      </c>
      <c r="PA15" s="18">
        <v>16438</v>
      </c>
      <c r="PB15" s="18">
        <v>20548</v>
      </c>
      <c r="PC15" s="18">
        <v>23288</v>
      </c>
      <c r="PD15" s="18">
        <v>23288</v>
      </c>
      <c r="PE15" s="18">
        <v>17808</v>
      </c>
      <c r="PF15" s="18">
        <v>10959</v>
      </c>
      <c r="PG15" s="18">
        <v>5479</v>
      </c>
      <c r="PH15" s="18">
        <v>1370</v>
      </c>
      <c r="PI15" s="18"/>
      <c r="PJ15" s="18"/>
      <c r="PK15" s="18"/>
      <c r="PL15" s="18"/>
      <c r="PM15" s="18"/>
      <c r="PN15" s="18"/>
      <c r="PO15" s="18"/>
      <c r="PP15" s="19">
        <f t="shared" si="25"/>
        <v>136986</v>
      </c>
      <c r="PQ15" s="37">
        <v>22</v>
      </c>
      <c r="PR15" s="19">
        <f t="shared" si="41"/>
        <v>3013692</v>
      </c>
      <c r="PS15" s="102">
        <f>+SUM(PR15:PR18)</f>
        <v>4246566</v>
      </c>
      <c r="PU15" s="99">
        <v>51196</v>
      </c>
      <c r="PV15" s="17" t="s">
        <v>40</v>
      </c>
      <c r="PW15" s="18"/>
      <c r="PX15" s="18"/>
      <c r="PY15" s="18"/>
      <c r="PZ15" s="18"/>
      <c r="QA15" s="18"/>
      <c r="QB15" s="18"/>
      <c r="QC15" s="18">
        <v>1366</v>
      </c>
      <c r="QD15" s="18">
        <v>5464</v>
      </c>
      <c r="QE15" s="18">
        <v>10929</v>
      </c>
      <c r="QF15" s="18">
        <v>16393</v>
      </c>
      <c r="QG15" s="18">
        <v>20492</v>
      </c>
      <c r="QH15" s="18">
        <v>23224</v>
      </c>
      <c r="QI15" s="18">
        <v>23224</v>
      </c>
      <c r="QJ15" s="18">
        <v>17760</v>
      </c>
      <c r="QK15" s="18">
        <v>10929</v>
      </c>
      <c r="QL15" s="18">
        <v>5464</v>
      </c>
      <c r="QM15" s="18">
        <v>1366</v>
      </c>
      <c r="QN15" s="18"/>
      <c r="QO15" s="18"/>
      <c r="QP15" s="18"/>
      <c r="QQ15" s="18"/>
      <c r="QR15" s="18"/>
      <c r="QS15" s="18"/>
      <c r="QT15" s="18"/>
      <c r="QU15" s="19">
        <f t="shared" si="27"/>
        <v>136611</v>
      </c>
      <c r="QV15" s="46">
        <v>19</v>
      </c>
      <c r="QW15" s="19">
        <f t="shared" si="42"/>
        <v>2595609</v>
      </c>
      <c r="QX15" s="102">
        <f>+SUM(QW15:QW18)</f>
        <v>4234941</v>
      </c>
    </row>
    <row r="16" spans="1:466" x14ac:dyDescent="0.35">
      <c r="A16" s="100"/>
      <c r="B16" s="21" t="s">
        <v>41</v>
      </c>
      <c r="C16" s="18"/>
      <c r="D16" s="18"/>
      <c r="E16" s="18"/>
      <c r="F16" s="18"/>
      <c r="G16" s="18"/>
      <c r="H16" s="18"/>
      <c r="I16" s="18">
        <v>1370</v>
      </c>
      <c r="J16" s="18">
        <v>5479</v>
      </c>
      <c r="K16" s="18">
        <v>10959</v>
      </c>
      <c r="L16" s="18">
        <v>16438</v>
      </c>
      <c r="M16" s="18">
        <v>20548</v>
      </c>
      <c r="N16" s="18">
        <v>23288</v>
      </c>
      <c r="O16" s="18">
        <v>23288</v>
      </c>
      <c r="P16" s="18">
        <v>17808</v>
      </c>
      <c r="Q16" s="18">
        <v>10959</v>
      </c>
      <c r="R16" s="18">
        <v>5479</v>
      </c>
      <c r="S16" s="18">
        <v>1370</v>
      </c>
      <c r="T16" s="18"/>
      <c r="U16" s="18"/>
      <c r="V16" s="18"/>
      <c r="W16" s="18"/>
      <c r="X16" s="18"/>
      <c r="Y16" s="18"/>
      <c r="Z16" s="18"/>
      <c r="AA16" s="19">
        <f t="shared" si="0"/>
        <v>136986</v>
      </c>
      <c r="AB16" s="38">
        <v>4</v>
      </c>
      <c r="AC16" s="19">
        <f t="shared" si="1"/>
        <v>547944</v>
      </c>
      <c r="AD16" s="103"/>
      <c r="AF16" s="100"/>
      <c r="AG16" s="21" t="s">
        <v>41</v>
      </c>
      <c r="AH16" s="18"/>
      <c r="AI16" s="18"/>
      <c r="AJ16" s="18"/>
      <c r="AK16" s="18"/>
      <c r="AL16" s="18"/>
      <c r="AM16" s="18"/>
      <c r="AN16" s="18">
        <v>1370</v>
      </c>
      <c r="AO16" s="18">
        <v>5479</v>
      </c>
      <c r="AP16" s="18">
        <v>10959</v>
      </c>
      <c r="AQ16" s="18">
        <v>16438</v>
      </c>
      <c r="AR16" s="18">
        <v>20548</v>
      </c>
      <c r="AS16" s="18">
        <v>23288</v>
      </c>
      <c r="AT16" s="18">
        <v>23288</v>
      </c>
      <c r="AU16" s="18">
        <v>17808</v>
      </c>
      <c r="AV16" s="18">
        <v>10959</v>
      </c>
      <c r="AW16" s="18">
        <v>5479</v>
      </c>
      <c r="AX16" s="18">
        <v>1370</v>
      </c>
      <c r="AY16" s="18"/>
      <c r="AZ16" s="18"/>
      <c r="BA16" s="18"/>
      <c r="BB16" s="18"/>
      <c r="BC16" s="18"/>
      <c r="BD16" s="18"/>
      <c r="BE16" s="18"/>
      <c r="BF16" s="19">
        <f t="shared" si="2"/>
        <v>136986</v>
      </c>
      <c r="BG16" s="38">
        <v>4</v>
      </c>
      <c r="BH16" s="19">
        <f t="shared" si="29"/>
        <v>547944</v>
      </c>
      <c r="BI16" s="103"/>
      <c r="BK16" s="100"/>
      <c r="BL16" s="21" t="s">
        <v>41</v>
      </c>
      <c r="BM16" s="18"/>
      <c r="BN16" s="18"/>
      <c r="BO16" s="18"/>
      <c r="BP16" s="18"/>
      <c r="BQ16" s="18"/>
      <c r="BR16" s="18"/>
      <c r="BS16" s="18">
        <v>1366</v>
      </c>
      <c r="BT16" s="18">
        <v>5464</v>
      </c>
      <c r="BU16" s="18">
        <v>10929</v>
      </c>
      <c r="BV16" s="18">
        <v>16393</v>
      </c>
      <c r="BW16" s="18">
        <v>20492</v>
      </c>
      <c r="BX16" s="18">
        <v>23224</v>
      </c>
      <c r="BY16" s="18">
        <v>23224</v>
      </c>
      <c r="BZ16" s="18">
        <v>17760</v>
      </c>
      <c r="CA16" s="18">
        <v>10929</v>
      </c>
      <c r="CB16" s="18">
        <v>5464</v>
      </c>
      <c r="CC16" s="18">
        <v>1366</v>
      </c>
      <c r="CD16" s="18"/>
      <c r="CE16" s="18"/>
      <c r="CF16" s="18"/>
      <c r="CG16" s="18"/>
      <c r="CH16" s="18"/>
      <c r="CI16" s="18"/>
      <c r="CJ16" s="18"/>
      <c r="CK16" s="19">
        <f t="shared" si="4"/>
        <v>136611</v>
      </c>
      <c r="CL16" s="38">
        <v>4</v>
      </c>
      <c r="CM16" s="19">
        <f t="shared" si="30"/>
        <v>546444</v>
      </c>
      <c r="CN16" s="103"/>
      <c r="CP16" s="100"/>
      <c r="CQ16" s="21" t="s">
        <v>41</v>
      </c>
      <c r="CR16" s="18"/>
      <c r="CS16" s="18"/>
      <c r="CT16" s="18"/>
      <c r="CU16" s="18"/>
      <c r="CV16" s="18"/>
      <c r="CW16" s="18"/>
      <c r="CX16" s="18">
        <v>1370</v>
      </c>
      <c r="CY16" s="18">
        <v>5479</v>
      </c>
      <c r="CZ16" s="18">
        <v>10959</v>
      </c>
      <c r="DA16" s="18">
        <v>16438</v>
      </c>
      <c r="DB16" s="18">
        <v>20548</v>
      </c>
      <c r="DC16" s="18">
        <v>23288</v>
      </c>
      <c r="DD16" s="18">
        <v>23288</v>
      </c>
      <c r="DE16" s="18">
        <v>17808</v>
      </c>
      <c r="DF16" s="18">
        <v>10959</v>
      </c>
      <c r="DG16" s="18">
        <v>5479</v>
      </c>
      <c r="DH16" s="18">
        <v>1370</v>
      </c>
      <c r="DI16" s="18"/>
      <c r="DJ16" s="18"/>
      <c r="DK16" s="18"/>
      <c r="DL16" s="18"/>
      <c r="DM16" s="18"/>
      <c r="DN16" s="18"/>
      <c r="DO16" s="18"/>
      <c r="DP16" s="19">
        <f t="shared" si="6"/>
        <v>136986</v>
      </c>
      <c r="DQ16" s="38">
        <v>5</v>
      </c>
      <c r="DR16" s="19">
        <f t="shared" si="31"/>
        <v>684930</v>
      </c>
      <c r="DS16" s="103"/>
      <c r="DV16" s="100"/>
      <c r="DW16" s="21" t="s">
        <v>41</v>
      </c>
      <c r="DX16" s="18"/>
      <c r="DY16" s="18"/>
      <c r="DZ16" s="18"/>
      <c r="EA16" s="18"/>
      <c r="EB16" s="18"/>
      <c r="EC16" s="18"/>
      <c r="ED16" s="18">
        <v>1370</v>
      </c>
      <c r="EE16" s="18">
        <v>5479</v>
      </c>
      <c r="EF16" s="18">
        <v>10959</v>
      </c>
      <c r="EG16" s="18">
        <v>16438</v>
      </c>
      <c r="EH16" s="18">
        <v>20548</v>
      </c>
      <c r="EI16" s="18">
        <v>23288</v>
      </c>
      <c r="EJ16" s="18">
        <v>23288</v>
      </c>
      <c r="EK16" s="18">
        <v>17808</v>
      </c>
      <c r="EL16" s="18">
        <v>10959</v>
      </c>
      <c r="EM16" s="18">
        <v>5479</v>
      </c>
      <c r="EN16" s="18">
        <v>1370</v>
      </c>
      <c r="EO16" s="18"/>
      <c r="EP16" s="18"/>
      <c r="EQ16" s="18"/>
      <c r="ER16" s="18"/>
      <c r="ES16" s="18"/>
      <c r="ET16" s="18"/>
      <c r="EU16" s="18"/>
      <c r="EV16" s="19">
        <f t="shared" si="8"/>
        <v>136986</v>
      </c>
      <c r="EW16" s="38">
        <v>5</v>
      </c>
      <c r="EX16" s="19">
        <f t="shared" si="32"/>
        <v>684930</v>
      </c>
      <c r="EY16" s="103"/>
      <c r="FB16" s="100"/>
      <c r="FC16" s="21" t="s">
        <v>41</v>
      </c>
      <c r="FD16" s="18"/>
      <c r="FE16" s="18"/>
      <c r="FF16" s="18"/>
      <c r="FG16" s="18"/>
      <c r="FH16" s="18"/>
      <c r="FI16" s="18"/>
      <c r="FJ16" s="18">
        <v>1370</v>
      </c>
      <c r="FK16" s="18">
        <v>5479</v>
      </c>
      <c r="FL16" s="18">
        <v>10959</v>
      </c>
      <c r="FM16" s="18">
        <v>16438</v>
      </c>
      <c r="FN16" s="18">
        <v>20548</v>
      </c>
      <c r="FO16" s="18">
        <v>23288</v>
      </c>
      <c r="FP16" s="18">
        <v>23288</v>
      </c>
      <c r="FQ16" s="18">
        <v>17808</v>
      </c>
      <c r="FR16" s="18">
        <v>10959</v>
      </c>
      <c r="FS16" s="18">
        <v>5479</v>
      </c>
      <c r="FT16" s="18">
        <v>1370</v>
      </c>
      <c r="FU16" s="18"/>
      <c r="FV16" s="18"/>
      <c r="FW16" s="18"/>
      <c r="FX16" s="18"/>
      <c r="FY16" s="18"/>
      <c r="FZ16" s="18"/>
      <c r="GA16" s="18"/>
      <c r="GB16" s="19">
        <f t="shared" si="9"/>
        <v>136986</v>
      </c>
      <c r="GC16" s="38">
        <v>5</v>
      </c>
      <c r="GD16" s="19">
        <f t="shared" si="33"/>
        <v>684930</v>
      </c>
      <c r="GE16" s="103"/>
      <c r="GG16" s="100"/>
      <c r="GH16" s="21" t="s">
        <v>41</v>
      </c>
      <c r="GI16" s="18"/>
      <c r="GJ16" s="18"/>
      <c r="GK16" s="18"/>
      <c r="GL16" s="18"/>
      <c r="GM16" s="18"/>
      <c r="GN16" s="18"/>
      <c r="GO16" s="18">
        <v>1366</v>
      </c>
      <c r="GP16" s="18">
        <v>5464</v>
      </c>
      <c r="GQ16" s="18">
        <v>10929</v>
      </c>
      <c r="GR16" s="18">
        <v>16393</v>
      </c>
      <c r="GS16" s="18">
        <v>20492</v>
      </c>
      <c r="GT16" s="18">
        <v>23224</v>
      </c>
      <c r="GU16" s="18">
        <v>23224</v>
      </c>
      <c r="GV16" s="18">
        <v>17760</v>
      </c>
      <c r="GW16" s="18">
        <v>10929</v>
      </c>
      <c r="GX16" s="18">
        <v>5464</v>
      </c>
      <c r="GY16" s="18">
        <v>1366</v>
      </c>
      <c r="GZ16" s="18"/>
      <c r="HA16" s="18"/>
      <c r="HB16" s="18"/>
      <c r="HC16" s="18"/>
      <c r="HD16" s="18"/>
      <c r="HE16" s="18"/>
      <c r="HF16" s="18"/>
      <c r="HG16" s="19">
        <f t="shared" si="11"/>
        <v>136611</v>
      </c>
      <c r="HH16" s="38">
        <v>4</v>
      </c>
      <c r="HI16" s="19">
        <f t="shared" si="34"/>
        <v>546444</v>
      </c>
      <c r="HJ16" s="103"/>
      <c r="HL16" s="100"/>
      <c r="HM16" s="21" t="s">
        <v>41</v>
      </c>
      <c r="HN16" s="18"/>
      <c r="HO16" s="18"/>
      <c r="HP16" s="18"/>
      <c r="HQ16" s="18"/>
      <c r="HR16" s="18"/>
      <c r="HS16" s="18"/>
      <c r="HT16" s="18">
        <v>1370</v>
      </c>
      <c r="HU16" s="18">
        <v>5479</v>
      </c>
      <c r="HV16" s="18">
        <v>10959</v>
      </c>
      <c r="HW16" s="18">
        <v>16438</v>
      </c>
      <c r="HX16" s="18">
        <v>20548</v>
      </c>
      <c r="HY16" s="18">
        <v>23288</v>
      </c>
      <c r="HZ16" s="18">
        <v>23288</v>
      </c>
      <c r="IA16" s="18">
        <v>17808</v>
      </c>
      <c r="IB16" s="18">
        <v>10959</v>
      </c>
      <c r="IC16" s="18">
        <v>5479</v>
      </c>
      <c r="ID16" s="18">
        <v>1370</v>
      </c>
      <c r="IE16" s="18"/>
      <c r="IF16" s="18"/>
      <c r="IG16" s="18"/>
      <c r="IH16" s="18"/>
      <c r="II16" s="18"/>
      <c r="IJ16" s="18"/>
      <c r="IK16" s="18"/>
      <c r="IL16" s="19">
        <f t="shared" si="13"/>
        <v>136986</v>
      </c>
      <c r="IM16" s="38">
        <v>4</v>
      </c>
      <c r="IN16" s="19">
        <f t="shared" si="35"/>
        <v>547944</v>
      </c>
      <c r="IO16" s="103"/>
      <c r="IQ16" s="100"/>
      <c r="IR16" s="21" t="s">
        <v>41</v>
      </c>
      <c r="IS16" s="18"/>
      <c r="IT16" s="18"/>
      <c r="IU16" s="18"/>
      <c r="IV16" s="18"/>
      <c r="IW16" s="18"/>
      <c r="IX16" s="18"/>
      <c r="IY16" s="18">
        <v>1370</v>
      </c>
      <c r="IZ16" s="18">
        <v>5479</v>
      </c>
      <c r="JA16" s="18">
        <v>10959</v>
      </c>
      <c r="JB16" s="18">
        <v>16438</v>
      </c>
      <c r="JC16" s="18">
        <v>20548</v>
      </c>
      <c r="JD16" s="18">
        <v>23288</v>
      </c>
      <c r="JE16" s="18">
        <v>23288</v>
      </c>
      <c r="JF16" s="18">
        <v>17808</v>
      </c>
      <c r="JG16" s="18">
        <v>10959</v>
      </c>
      <c r="JH16" s="18">
        <v>5479</v>
      </c>
      <c r="JI16" s="18">
        <v>1370</v>
      </c>
      <c r="JJ16" s="18"/>
      <c r="JK16" s="18"/>
      <c r="JL16" s="18"/>
      <c r="JM16" s="18"/>
      <c r="JN16" s="18"/>
      <c r="JO16" s="18"/>
      <c r="JP16" s="18"/>
      <c r="JQ16" s="19">
        <f t="shared" si="15"/>
        <v>136986</v>
      </c>
      <c r="JR16" s="38">
        <v>4</v>
      </c>
      <c r="JS16" s="19">
        <f t="shared" si="36"/>
        <v>547944</v>
      </c>
      <c r="JT16" s="103"/>
      <c r="JV16" s="100"/>
      <c r="JW16" s="21" t="s">
        <v>41</v>
      </c>
      <c r="JX16" s="18"/>
      <c r="JY16" s="18"/>
      <c r="JZ16" s="18"/>
      <c r="KA16" s="18"/>
      <c r="KB16" s="18"/>
      <c r="KC16" s="18"/>
      <c r="KD16" s="18"/>
      <c r="KE16" s="18">
        <v>1370</v>
      </c>
      <c r="KF16" s="18">
        <v>5479</v>
      </c>
      <c r="KG16" s="18">
        <v>10959</v>
      </c>
      <c r="KH16" s="18">
        <v>16438</v>
      </c>
      <c r="KI16" s="18">
        <v>20548</v>
      </c>
      <c r="KJ16" s="18">
        <v>23288</v>
      </c>
      <c r="KK16" s="18">
        <v>23288</v>
      </c>
      <c r="KL16" s="18">
        <v>17808</v>
      </c>
      <c r="KM16" s="18">
        <v>10959</v>
      </c>
      <c r="KN16" s="18">
        <v>5479</v>
      </c>
      <c r="KO16" s="18">
        <v>1370</v>
      </c>
      <c r="KP16" s="18"/>
      <c r="KQ16" s="18"/>
      <c r="KR16" s="18"/>
      <c r="KS16" s="18"/>
      <c r="KT16" s="18"/>
      <c r="KU16" s="18"/>
      <c r="KV16" s="19">
        <f t="shared" si="17"/>
        <v>136986</v>
      </c>
      <c r="KW16" s="38">
        <v>5</v>
      </c>
      <c r="KX16" s="19">
        <f t="shared" si="37"/>
        <v>684930</v>
      </c>
      <c r="KY16" s="103"/>
      <c r="LA16" s="100"/>
      <c r="LB16" s="21" t="s">
        <v>41</v>
      </c>
      <c r="LC16" s="18"/>
      <c r="LD16" s="18"/>
      <c r="LE16" s="18"/>
      <c r="LF16" s="18"/>
      <c r="LG16" s="18"/>
      <c r="LH16" s="18"/>
      <c r="LI16" s="18">
        <v>1366</v>
      </c>
      <c r="LJ16" s="18">
        <v>5464</v>
      </c>
      <c r="LK16" s="18">
        <v>10929</v>
      </c>
      <c r="LL16" s="18">
        <v>16393</v>
      </c>
      <c r="LM16" s="18">
        <v>20492</v>
      </c>
      <c r="LN16" s="18">
        <v>23224</v>
      </c>
      <c r="LO16" s="18">
        <v>23224</v>
      </c>
      <c r="LP16" s="18">
        <v>17760</v>
      </c>
      <c r="LQ16" s="18">
        <v>10929</v>
      </c>
      <c r="LR16" s="18">
        <v>5464</v>
      </c>
      <c r="LS16" s="18">
        <v>1366</v>
      </c>
      <c r="LT16" s="18"/>
      <c r="LU16" s="18"/>
      <c r="LV16" s="18"/>
      <c r="LW16" s="18"/>
      <c r="LX16" s="18"/>
      <c r="LY16" s="18"/>
      <c r="LZ16" s="18"/>
      <c r="MA16" s="19">
        <f t="shared" si="19"/>
        <v>136611</v>
      </c>
      <c r="MB16" s="38">
        <v>5</v>
      </c>
      <c r="MC16" s="19">
        <f t="shared" si="38"/>
        <v>683055</v>
      </c>
      <c r="MD16" s="103"/>
      <c r="MF16" s="100"/>
      <c r="MG16" s="21" t="s">
        <v>41</v>
      </c>
      <c r="MH16" s="18"/>
      <c r="MI16" s="18"/>
      <c r="MJ16" s="18"/>
      <c r="MK16" s="18"/>
      <c r="ML16" s="18"/>
      <c r="MM16" s="18"/>
      <c r="MN16" s="18">
        <v>1370</v>
      </c>
      <c r="MO16" s="18">
        <v>5479</v>
      </c>
      <c r="MP16" s="18">
        <v>10959</v>
      </c>
      <c r="MQ16" s="18">
        <v>16438</v>
      </c>
      <c r="MR16" s="18">
        <v>20548</v>
      </c>
      <c r="MS16" s="18">
        <v>23288</v>
      </c>
      <c r="MT16" s="18">
        <v>23288</v>
      </c>
      <c r="MU16" s="18">
        <v>17808</v>
      </c>
      <c r="MV16" s="18">
        <v>10959</v>
      </c>
      <c r="MW16" s="18">
        <v>5479</v>
      </c>
      <c r="MX16" s="18">
        <v>1370</v>
      </c>
      <c r="MY16" s="18"/>
      <c r="MZ16" s="18"/>
      <c r="NA16" s="18"/>
      <c r="NB16" s="18"/>
      <c r="NC16" s="18"/>
      <c r="ND16" s="18"/>
      <c r="NE16" s="18"/>
      <c r="NF16" s="19">
        <f t="shared" si="21"/>
        <v>136986</v>
      </c>
      <c r="NG16" s="38">
        <v>4</v>
      </c>
      <c r="NH16" s="19">
        <f t="shared" si="39"/>
        <v>547944</v>
      </c>
      <c r="NI16" s="103"/>
      <c r="NK16" s="100"/>
      <c r="NL16" s="21" t="s">
        <v>41</v>
      </c>
      <c r="NM16" s="18"/>
      <c r="NN16" s="18"/>
      <c r="NO16" s="18"/>
      <c r="NP16" s="18"/>
      <c r="NQ16" s="18"/>
      <c r="NR16" s="18"/>
      <c r="NS16" s="18">
        <v>1370</v>
      </c>
      <c r="NT16" s="18">
        <v>5479</v>
      </c>
      <c r="NU16" s="18">
        <v>10959</v>
      </c>
      <c r="NV16" s="18">
        <v>16438</v>
      </c>
      <c r="NW16" s="18">
        <v>20548</v>
      </c>
      <c r="NX16" s="18">
        <v>23288</v>
      </c>
      <c r="NY16" s="18">
        <v>23288</v>
      </c>
      <c r="NZ16" s="18">
        <v>17808</v>
      </c>
      <c r="OA16" s="18">
        <v>10959</v>
      </c>
      <c r="OB16" s="18">
        <v>5479</v>
      </c>
      <c r="OC16" s="18">
        <v>1370</v>
      </c>
      <c r="OD16" s="18"/>
      <c r="OE16" s="18"/>
      <c r="OF16" s="18"/>
      <c r="OG16" s="18"/>
      <c r="OH16" s="18"/>
      <c r="OI16" s="18"/>
      <c r="OJ16" s="18"/>
      <c r="OK16" s="19">
        <f t="shared" si="23"/>
        <v>136986</v>
      </c>
      <c r="OL16" s="80">
        <v>4</v>
      </c>
      <c r="OM16" s="19">
        <f t="shared" si="40"/>
        <v>547944</v>
      </c>
      <c r="ON16" s="103"/>
      <c r="OP16" s="100"/>
      <c r="OQ16" s="21" t="s">
        <v>41</v>
      </c>
      <c r="OR16" s="18"/>
      <c r="OS16" s="18"/>
      <c r="OT16" s="18"/>
      <c r="OU16" s="18"/>
      <c r="OV16" s="18"/>
      <c r="OW16" s="18"/>
      <c r="OX16" s="18">
        <v>1370</v>
      </c>
      <c r="OY16" s="18">
        <v>5479</v>
      </c>
      <c r="OZ16" s="18">
        <v>10959</v>
      </c>
      <c r="PA16" s="18">
        <v>16438</v>
      </c>
      <c r="PB16" s="18">
        <v>20548</v>
      </c>
      <c r="PC16" s="18">
        <v>23288</v>
      </c>
      <c r="PD16" s="18">
        <v>23288</v>
      </c>
      <c r="PE16" s="18">
        <v>17808</v>
      </c>
      <c r="PF16" s="18">
        <v>10959</v>
      </c>
      <c r="PG16" s="18">
        <v>5479</v>
      </c>
      <c r="PH16" s="18">
        <v>1370</v>
      </c>
      <c r="PI16" s="18"/>
      <c r="PJ16" s="18"/>
      <c r="PK16" s="18"/>
      <c r="PL16" s="18"/>
      <c r="PM16" s="18"/>
      <c r="PN16" s="18"/>
      <c r="PO16" s="18"/>
      <c r="PP16" s="19">
        <f t="shared" si="25"/>
        <v>136986</v>
      </c>
      <c r="PQ16" s="38">
        <v>4</v>
      </c>
      <c r="PR16" s="19">
        <f t="shared" si="41"/>
        <v>547944</v>
      </c>
      <c r="PS16" s="103"/>
      <c r="PU16" s="100"/>
      <c r="PV16" s="21" t="s">
        <v>41</v>
      </c>
      <c r="PW16" s="18"/>
      <c r="PX16" s="18"/>
      <c r="PY16" s="18"/>
      <c r="PZ16" s="18"/>
      <c r="QA16" s="18"/>
      <c r="QB16" s="18"/>
      <c r="QC16" s="18">
        <v>1366</v>
      </c>
      <c r="QD16" s="18">
        <v>5464</v>
      </c>
      <c r="QE16" s="18">
        <v>10929</v>
      </c>
      <c r="QF16" s="18">
        <v>16393</v>
      </c>
      <c r="QG16" s="18">
        <v>20492</v>
      </c>
      <c r="QH16" s="18">
        <v>23224</v>
      </c>
      <c r="QI16" s="18">
        <v>23224</v>
      </c>
      <c r="QJ16" s="18">
        <v>17760</v>
      </c>
      <c r="QK16" s="18">
        <v>10929</v>
      </c>
      <c r="QL16" s="18">
        <v>5464</v>
      </c>
      <c r="QM16" s="18">
        <v>1366</v>
      </c>
      <c r="QN16" s="18"/>
      <c r="QO16" s="18"/>
      <c r="QP16" s="18"/>
      <c r="QQ16" s="18"/>
      <c r="QR16" s="18"/>
      <c r="QS16" s="18"/>
      <c r="QT16" s="18"/>
      <c r="QU16" s="19">
        <f t="shared" si="27"/>
        <v>136611</v>
      </c>
      <c r="QV16" s="45">
        <v>5</v>
      </c>
      <c r="QW16" s="19">
        <f t="shared" si="42"/>
        <v>683055</v>
      </c>
      <c r="QX16" s="103"/>
    </row>
    <row r="17" spans="1:466" x14ac:dyDescent="0.35">
      <c r="A17" s="100"/>
      <c r="B17" s="21" t="s">
        <v>42</v>
      </c>
      <c r="C17" s="18"/>
      <c r="D17" s="18"/>
      <c r="E17" s="18"/>
      <c r="F17" s="18"/>
      <c r="G17" s="18"/>
      <c r="H17" s="18"/>
      <c r="I17" s="18">
        <v>1370</v>
      </c>
      <c r="J17" s="18">
        <v>5479</v>
      </c>
      <c r="K17" s="18">
        <v>10959</v>
      </c>
      <c r="L17" s="18">
        <v>16438</v>
      </c>
      <c r="M17" s="18">
        <v>20548</v>
      </c>
      <c r="N17" s="18">
        <v>23288</v>
      </c>
      <c r="O17" s="18">
        <v>23288</v>
      </c>
      <c r="P17" s="18">
        <v>17808</v>
      </c>
      <c r="Q17" s="18">
        <v>10959</v>
      </c>
      <c r="R17" s="18">
        <v>5479</v>
      </c>
      <c r="S17" s="18">
        <v>1370</v>
      </c>
      <c r="T17" s="18"/>
      <c r="U17" s="18"/>
      <c r="V17" s="18"/>
      <c r="W17" s="18"/>
      <c r="X17" s="18"/>
      <c r="Y17" s="18"/>
      <c r="Z17" s="18"/>
      <c r="AA17" s="19">
        <f t="shared" si="0"/>
        <v>136986</v>
      </c>
      <c r="AB17" s="38">
        <v>5</v>
      </c>
      <c r="AC17" s="19">
        <f t="shared" si="1"/>
        <v>684930</v>
      </c>
      <c r="AD17" s="103"/>
      <c r="AF17" s="100"/>
      <c r="AG17" s="21" t="s">
        <v>42</v>
      </c>
      <c r="AH17" s="18"/>
      <c r="AI17" s="18"/>
      <c r="AJ17" s="18"/>
      <c r="AK17" s="18"/>
      <c r="AL17" s="18"/>
      <c r="AM17" s="18"/>
      <c r="AN17" s="18">
        <v>1370</v>
      </c>
      <c r="AO17" s="18">
        <v>5479</v>
      </c>
      <c r="AP17" s="18">
        <v>10959</v>
      </c>
      <c r="AQ17" s="18">
        <v>16438</v>
      </c>
      <c r="AR17" s="18">
        <v>20548</v>
      </c>
      <c r="AS17" s="18">
        <v>23288</v>
      </c>
      <c r="AT17" s="18">
        <v>23288</v>
      </c>
      <c r="AU17" s="18">
        <v>17808</v>
      </c>
      <c r="AV17" s="18">
        <v>10959</v>
      </c>
      <c r="AW17" s="18">
        <v>5479</v>
      </c>
      <c r="AX17" s="18">
        <v>1370</v>
      </c>
      <c r="AY17" s="18"/>
      <c r="AZ17" s="18"/>
      <c r="BA17" s="18"/>
      <c r="BB17" s="18"/>
      <c r="BC17" s="18"/>
      <c r="BD17" s="18"/>
      <c r="BE17" s="18"/>
      <c r="BF17" s="19">
        <f t="shared" si="2"/>
        <v>136986</v>
      </c>
      <c r="BG17" s="38">
        <v>4</v>
      </c>
      <c r="BH17" s="19">
        <f t="shared" si="29"/>
        <v>547944</v>
      </c>
      <c r="BI17" s="103"/>
      <c r="BK17" s="100"/>
      <c r="BL17" s="21" t="s">
        <v>42</v>
      </c>
      <c r="BM17" s="18"/>
      <c r="BN17" s="18"/>
      <c r="BO17" s="18"/>
      <c r="BP17" s="18"/>
      <c r="BQ17" s="18"/>
      <c r="BR17" s="18"/>
      <c r="BS17" s="18">
        <v>1366</v>
      </c>
      <c r="BT17" s="18">
        <v>5464</v>
      </c>
      <c r="BU17" s="18">
        <v>10929</v>
      </c>
      <c r="BV17" s="18">
        <v>16393</v>
      </c>
      <c r="BW17" s="18">
        <v>20492</v>
      </c>
      <c r="BX17" s="18">
        <v>23224</v>
      </c>
      <c r="BY17" s="18">
        <v>23224</v>
      </c>
      <c r="BZ17" s="18">
        <v>17760</v>
      </c>
      <c r="CA17" s="18">
        <v>10929</v>
      </c>
      <c r="CB17" s="18">
        <v>5464</v>
      </c>
      <c r="CC17" s="18">
        <v>1366</v>
      </c>
      <c r="CD17" s="18"/>
      <c r="CE17" s="18"/>
      <c r="CF17" s="18"/>
      <c r="CG17" s="18"/>
      <c r="CH17" s="18"/>
      <c r="CI17" s="18"/>
      <c r="CJ17" s="18"/>
      <c r="CK17" s="19">
        <f t="shared" si="4"/>
        <v>136611</v>
      </c>
      <c r="CL17" s="38">
        <v>4</v>
      </c>
      <c r="CM17" s="19">
        <f t="shared" si="30"/>
        <v>546444</v>
      </c>
      <c r="CN17" s="103"/>
      <c r="CP17" s="100"/>
      <c r="CQ17" s="21" t="s">
        <v>42</v>
      </c>
      <c r="CR17" s="18"/>
      <c r="CS17" s="18"/>
      <c r="CT17" s="18"/>
      <c r="CU17" s="18"/>
      <c r="CV17" s="18"/>
      <c r="CW17" s="18"/>
      <c r="CX17" s="18">
        <v>1370</v>
      </c>
      <c r="CY17" s="18">
        <v>5479</v>
      </c>
      <c r="CZ17" s="18">
        <v>10959</v>
      </c>
      <c r="DA17" s="18">
        <v>16438</v>
      </c>
      <c r="DB17" s="18">
        <v>20548</v>
      </c>
      <c r="DC17" s="18">
        <v>23288</v>
      </c>
      <c r="DD17" s="18">
        <v>23288</v>
      </c>
      <c r="DE17" s="18">
        <v>17808</v>
      </c>
      <c r="DF17" s="18">
        <v>10959</v>
      </c>
      <c r="DG17" s="18">
        <v>5479</v>
      </c>
      <c r="DH17" s="18">
        <v>1370</v>
      </c>
      <c r="DI17" s="18"/>
      <c r="DJ17" s="18"/>
      <c r="DK17" s="18"/>
      <c r="DL17" s="18"/>
      <c r="DM17" s="18"/>
      <c r="DN17" s="18"/>
      <c r="DO17" s="18"/>
      <c r="DP17" s="19">
        <f t="shared" si="6"/>
        <v>136986</v>
      </c>
      <c r="DQ17" s="38">
        <v>4</v>
      </c>
      <c r="DR17" s="19">
        <f t="shared" si="31"/>
        <v>547944</v>
      </c>
      <c r="DS17" s="103"/>
      <c r="DV17" s="100"/>
      <c r="DW17" s="21" t="s">
        <v>42</v>
      </c>
      <c r="DX17" s="18"/>
      <c r="DY17" s="18"/>
      <c r="DZ17" s="18"/>
      <c r="EA17" s="18"/>
      <c r="EB17" s="18"/>
      <c r="EC17" s="18"/>
      <c r="ED17" s="18">
        <v>1370</v>
      </c>
      <c r="EE17" s="18">
        <v>5479</v>
      </c>
      <c r="EF17" s="18">
        <v>10959</v>
      </c>
      <c r="EG17" s="18">
        <v>16438</v>
      </c>
      <c r="EH17" s="18">
        <v>20548</v>
      </c>
      <c r="EI17" s="18">
        <v>23288</v>
      </c>
      <c r="EJ17" s="18">
        <v>23288</v>
      </c>
      <c r="EK17" s="18">
        <v>17808</v>
      </c>
      <c r="EL17" s="18">
        <v>10959</v>
      </c>
      <c r="EM17" s="18">
        <v>5479</v>
      </c>
      <c r="EN17" s="18">
        <v>1370</v>
      </c>
      <c r="EO17" s="18"/>
      <c r="EP17" s="18"/>
      <c r="EQ17" s="18"/>
      <c r="ER17" s="18"/>
      <c r="ES17" s="18"/>
      <c r="ET17" s="18"/>
      <c r="EU17" s="18"/>
      <c r="EV17" s="19">
        <f t="shared" si="8"/>
        <v>136986</v>
      </c>
      <c r="EW17" s="38">
        <v>5</v>
      </c>
      <c r="EX17" s="19">
        <f t="shared" si="32"/>
        <v>684930</v>
      </c>
      <c r="EY17" s="103"/>
      <c r="FB17" s="100"/>
      <c r="FC17" s="21" t="s">
        <v>42</v>
      </c>
      <c r="FD17" s="18"/>
      <c r="FE17" s="18"/>
      <c r="FF17" s="18"/>
      <c r="FG17" s="18"/>
      <c r="FH17" s="18"/>
      <c r="FI17" s="18"/>
      <c r="FJ17" s="18">
        <v>1370</v>
      </c>
      <c r="FK17" s="18">
        <v>5479</v>
      </c>
      <c r="FL17" s="18">
        <v>10959</v>
      </c>
      <c r="FM17" s="18">
        <v>16438</v>
      </c>
      <c r="FN17" s="18">
        <v>20548</v>
      </c>
      <c r="FO17" s="18">
        <v>23288</v>
      </c>
      <c r="FP17" s="18">
        <v>23288</v>
      </c>
      <c r="FQ17" s="18">
        <v>17808</v>
      </c>
      <c r="FR17" s="18">
        <v>10959</v>
      </c>
      <c r="FS17" s="18">
        <v>5479</v>
      </c>
      <c r="FT17" s="18">
        <v>1370</v>
      </c>
      <c r="FU17" s="18"/>
      <c r="FV17" s="18"/>
      <c r="FW17" s="18"/>
      <c r="FX17" s="18"/>
      <c r="FY17" s="18"/>
      <c r="FZ17" s="18"/>
      <c r="GA17" s="18"/>
      <c r="GB17" s="19">
        <f t="shared" si="9"/>
        <v>136986</v>
      </c>
      <c r="GC17" s="38">
        <v>5</v>
      </c>
      <c r="GD17" s="19">
        <f t="shared" si="33"/>
        <v>684930</v>
      </c>
      <c r="GE17" s="103"/>
      <c r="GG17" s="100"/>
      <c r="GH17" s="21" t="s">
        <v>42</v>
      </c>
      <c r="GI17" s="18"/>
      <c r="GJ17" s="18"/>
      <c r="GK17" s="18"/>
      <c r="GL17" s="18"/>
      <c r="GM17" s="18"/>
      <c r="GN17" s="18"/>
      <c r="GO17" s="18">
        <v>1366</v>
      </c>
      <c r="GP17" s="18">
        <v>5464</v>
      </c>
      <c r="GQ17" s="18">
        <v>10929</v>
      </c>
      <c r="GR17" s="18">
        <v>16393</v>
      </c>
      <c r="GS17" s="18">
        <v>20492</v>
      </c>
      <c r="GT17" s="18">
        <v>23224</v>
      </c>
      <c r="GU17" s="18">
        <v>23224</v>
      </c>
      <c r="GV17" s="18">
        <v>17760</v>
      </c>
      <c r="GW17" s="18">
        <v>10929</v>
      </c>
      <c r="GX17" s="18">
        <v>5464</v>
      </c>
      <c r="GY17" s="18">
        <v>1366</v>
      </c>
      <c r="GZ17" s="18"/>
      <c r="HA17" s="18"/>
      <c r="HB17" s="18"/>
      <c r="HC17" s="18"/>
      <c r="HD17" s="18"/>
      <c r="HE17" s="18"/>
      <c r="HF17" s="18"/>
      <c r="HG17" s="19">
        <f t="shared" si="11"/>
        <v>136611</v>
      </c>
      <c r="HH17" s="38">
        <v>4</v>
      </c>
      <c r="HI17" s="19">
        <f t="shared" si="34"/>
        <v>546444</v>
      </c>
      <c r="HJ17" s="103"/>
      <c r="HL17" s="100"/>
      <c r="HM17" s="21" t="s">
        <v>42</v>
      </c>
      <c r="HN17" s="18"/>
      <c r="HO17" s="18"/>
      <c r="HP17" s="18"/>
      <c r="HQ17" s="18"/>
      <c r="HR17" s="18"/>
      <c r="HS17" s="18"/>
      <c r="HT17" s="18">
        <v>1370</v>
      </c>
      <c r="HU17" s="18">
        <v>5479</v>
      </c>
      <c r="HV17" s="18">
        <v>10959</v>
      </c>
      <c r="HW17" s="18">
        <v>16438</v>
      </c>
      <c r="HX17" s="18">
        <v>20548</v>
      </c>
      <c r="HY17" s="18">
        <v>23288</v>
      </c>
      <c r="HZ17" s="18">
        <v>23288</v>
      </c>
      <c r="IA17" s="18">
        <v>17808</v>
      </c>
      <c r="IB17" s="18">
        <v>10959</v>
      </c>
      <c r="IC17" s="18">
        <v>5479</v>
      </c>
      <c r="ID17" s="18">
        <v>1370</v>
      </c>
      <c r="IE17" s="18"/>
      <c r="IF17" s="18"/>
      <c r="IG17" s="18"/>
      <c r="IH17" s="18"/>
      <c r="II17" s="18"/>
      <c r="IJ17" s="18"/>
      <c r="IK17" s="18"/>
      <c r="IL17" s="19">
        <f t="shared" si="13"/>
        <v>136986</v>
      </c>
      <c r="IM17" s="38">
        <v>4</v>
      </c>
      <c r="IN17" s="19">
        <f t="shared" si="35"/>
        <v>547944</v>
      </c>
      <c r="IO17" s="103"/>
      <c r="IQ17" s="100"/>
      <c r="IR17" s="21" t="s">
        <v>42</v>
      </c>
      <c r="IS17" s="18"/>
      <c r="IT17" s="18"/>
      <c r="IU17" s="18"/>
      <c r="IV17" s="18"/>
      <c r="IW17" s="18"/>
      <c r="IX17" s="18"/>
      <c r="IY17" s="18">
        <v>1370</v>
      </c>
      <c r="IZ17" s="18">
        <v>5479</v>
      </c>
      <c r="JA17" s="18">
        <v>10959</v>
      </c>
      <c r="JB17" s="18">
        <v>16438</v>
      </c>
      <c r="JC17" s="18">
        <v>20548</v>
      </c>
      <c r="JD17" s="18">
        <v>23288</v>
      </c>
      <c r="JE17" s="18">
        <v>23288</v>
      </c>
      <c r="JF17" s="18">
        <v>17808</v>
      </c>
      <c r="JG17" s="18">
        <v>10959</v>
      </c>
      <c r="JH17" s="18">
        <v>5479</v>
      </c>
      <c r="JI17" s="18">
        <v>1370</v>
      </c>
      <c r="JJ17" s="18"/>
      <c r="JK17" s="18"/>
      <c r="JL17" s="18"/>
      <c r="JM17" s="18"/>
      <c r="JN17" s="18"/>
      <c r="JO17" s="18"/>
      <c r="JP17" s="18"/>
      <c r="JQ17" s="19">
        <f t="shared" si="15"/>
        <v>136986</v>
      </c>
      <c r="JR17" s="38">
        <v>4</v>
      </c>
      <c r="JS17" s="19">
        <f t="shared" si="36"/>
        <v>547944</v>
      </c>
      <c r="JT17" s="103"/>
      <c r="JV17" s="100"/>
      <c r="JW17" s="21" t="s">
        <v>42</v>
      </c>
      <c r="JX17" s="18"/>
      <c r="JY17" s="18"/>
      <c r="JZ17" s="18"/>
      <c r="KA17" s="18"/>
      <c r="KB17" s="18"/>
      <c r="KC17" s="18"/>
      <c r="KD17" s="18"/>
      <c r="KE17" s="18">
        <v>1370</v>
      </c>
      <c r="KF17" s="18">
        <v>5479</v>
      </c>
      <c r="KG17" s="18">
        <v>10959</v>
      </c>
      <c r="KH17" s="18">
        <v>16438</v>
      </c>
      <c r="KI17" s="18">
        <v>20548</v>
      </c>
      <c r="KJ17" s="18">
        <v>23288</v>
      </c>
      <c r="KK17" s="18">
        <v>23288</v>
      </c>
      <c r="KL17" s="18">
        <v>17808</v>
      </c>
      <c r="KM17" s="18">
        <v>10959</v>
      </c>
      <c r="KN17" s="18">
        <v>5479</v>
      </c>
      <c r="KO17" s="18">
        <v>1370</v>
      </c>
      <c r="KP17" s="18"/>
      <c r="KQ17" s="18"/>
      <c r="KR17" s="18"/>
      <c r="KS17" s="18"/>
      <c r="KT17" s="18"/>
      <c r="KU17" s="18"/>
      <c r="KV17" s="19">
        <f t="shared" si="17"/>
        <v>136986</v>
      </c>
      <c r="KW17" s="38">
        <v>4</v>
      </c>
      <c r="KX17" s="19">
        <f t="shared" si="37"/>
        <v>547944</v>
      </c>
      <c r="KY17" s="103"/>
      <c r="LA17" s="100"/>
      <c r="LB17" s="21" t="s">
        <v>42</v>
      </c>
      <c r="LC17" s="18"/>
      <c r="LD17" s="18"/>
      <c r="LE17" s="18"/>
      <c r="LF17" s="18"/>
      <c r="LG17" s="18"/>
      <c r="LH17" s="18"/>
      <c r="LI17" s="18">
        <v>1366</v>
      </c>
      <c r="LJ17" s="18">
        <v>5464</v>
      </c>
      <c r="LK17" s="18">
        <v>10929</v>
      </c>
      <c r="LL17" s="18">
        <v>16393</v>
      </c>
      <c r="LM17" s="18">
        <v>20492</v>
      </c>
      <c r="LN17" s="18">
        <v>23224</v>
      </c>
      <c r="LO17" s="18">
        <v>23224</v>
      </c>
      <c r="LP17" s="18">
        <v>17760</v>
      </c>
      <c r="LQ17" s="18">
        <v>10929</v>
      </c>
      <c r="LR17" s="18">
        <v>5464</v>
      </c>
      <c r="LS17" s="18">
        <v>1366</v>
      </c>
      <c r="LT17" s="18"/>
      <c r="LU17" s="18"/>
      <c r="LV17" s="18"/>
      <c r="LW17" s="18"/>
      <c r="LX17" s="18"/>
      <c r="LY17" s="18"/>
      <c r="LZ17" s="18"/>
      <c r="MA17" s="19">
        <f t="shared" si="19"/>
        <v>136611</v>
      </c>
      <c r="MB17" s="38">
        <v>5</v>
      </c>
      <c r="MC17" s="19">
        <f t="shared" si="38"/>
        <v>683055</v>
      </c>
      <c r="MD17" s="103"/>
      <c r="MF17" s="100"/>
      <c r="MG17" s="21" t="s">
        <v>42</v>
      </c>
      <c r="MH17" s="18"/>
      <c r="MI17" s="18"/>
      <c r="MJ17" s="18"/>
      <c r="MK17" s="18"/>
      <c r="ML17" s="18"/>
      <c r="MM17" s="18"/>
      <c r="MN17" s="18">
        <v>1370</v>
      </c>
      <c r="MO17" s="18">
        <v>5479</v>
      </c>
      <c r="MP17" s="18">
        <v>10959</v>
      </c>
      <c r="MQ17" s="18">
        <v>16438</v>
      </c>
      <c r="MR17" s="18">
        <v>20548</v>
      </c>
      <c r="MS17" s="18">
        <v>23288</v>
      </c>
      <c r="MT17" s="18">
        <v>23288</v>
      </c>
      <c r="MU17" s="18">
        <v>17808</v>
      </c>
      <c r="MV17" s="18">
        <v>10959</v>
      </c>
      <c r="MW17" s="18">
        <v>5479</v>
      </c>
      <c r="MX17" s="18">
        <v>1370</v>
      </c>
      <c r="MY17" s="18"/>
      <c r="MZ17" s="18"/>
      <c r="NA17" s="18"/>
      <c r="NB17" s="18"/>
      <c r="NC17" s="18"/>
      <c r="ND17" s="18"/>
      <c r="NE17" s="18"/>
      <c r="NF17" s="19">
        <f t="shared" si="21"/>
        <v>136986</v>
      </c>
      <c r="NG17" s="38">
        <v>5</v>
      </c>
      <c r="NH17" s="19">
        <f t="shared" si="39"/>
        <v>684930</v>
      </c>
      <c r="NI17" s="103"/>
      <c r="NK17" s="100"/>
      <c r="NL17" s="21" t="s">
        <v>42</v>
      </c>
      <c r="NM17" s="18"/>
      <c r="NN17" s="18"/>
      <c r="NO17" s="18"/>
      <c r="NP17" s="18"/>
      <c r="NQ17" s="18"/>
      <c r="NR17" s="18"/>
      <c r="NS17" s="18">
        <v>1370</v>
      </c>
      <c r="NT17" s="18">
        <v>5479</v>
      </c>
      <c r="NU17" s="18">
        <v>10959</v>
      </c>
      <c r="NV17" s="18">
        <v>16438</v>
      </c>
      <c r="NW17" s="18">
        <v>20548</v>
      </c>
      <c r="NX17" s="18">
        <v>23288</v>
      </c>
      <c r="NY17" s="18">
        <v>23288</v>
      </c>
      <c r="NZ17" s="18">
        <v>17808</v>
      </c>
      <c r="OA17" s="18">
        <v>10959</v>
      </c>
      <c r="OB17" s="18">
        <v>5479</v>
      </c>
      <c r="OC17" s="18">
        <v>1370</v>
      </c>
      <c r="OD17" s="18"/>
      <c r="OE17" s="18"/>
      <c r="OF17" s="18"/>
      <c r="OG17" s="18"/>
      <c r="OH17" s="18"/>
      <c r="OI17" s="18"/>
      <c r="OJ17" s="18"/>
      <c r="OK17" s="19">
        <f t="shared" si="23"/>
        <v>136986</v>
      </c>
      <c r="OL17" s="80">
        <v>4</v>
      </c>
      <c r="OM17" s="19">
        <f t="shared" si="40"/>
        <v>547944</v>
      </c>
      <c r="ON17" s="103"/>
      <c r="OP17" s="100"/>
      <c r="OQ17" s="21" t="s">
        <v>42</v>
      </c>
      <c r="OR17" s="18"/>
      <c r="OS17" s="18"/>
      <c r="OT17" s="18"/>
      <c r="OU17" s="18"/>
      <c r="OV17" s="18"/>
      <c r="OW17" s="18"/>
      <c r="OX17" s="18">
        <v>1370</v>
      </c>
      <c r="OY17" s="18">
        <v>5479</v>
      </c>
      <c r="OZ17" s="18">
        <v>10959</v>
      </c>
      <c r="PA17" s="18">
        <v>16438</v>
      </c>
      <c r="PB17" s="18">
        <v>20548</v>
      </c>
      <c r="PC17" s="18">
        <v>23288</v>
      </c>
      <c r="PD17" s="18">
        <v>23288</v>
      </c>
      <c r="PE17" s="18">
        <v>17808</v>
      </c>
      <c r="PF17" s="18">
        <v>10959</v>
      </c>
      <c r="PG17" s="18">
        <v>5479</v>
      </c>
      <c r="PH17" s="18">
        <v>1370</v>
      </c>
      <c r="PI17" s="18"/>
      <c r="PJ17" s="18"/>
      <c r="PK17" s="18"/>
      <c r="PL17" s="18"/>
      <c r="PM17" s="18"/>
      <c r="PN17" s="18"/>
      <c r="PO17" s="18"/>
      <c r="PP17" s="19">
        <f t="shared" si="25"/>
        <v>136986</v>
      </c>
      <c r="PQ17" s="38">
        <v>4</v>
      </c>
      <c r="PR17" s="19">
        <f t="shared" si="41"/>
        <v>547944</v>
      </c>
      <c r="PS17" s="103"/>
      <c r="PU17" s="100"/>
      <c r="PV17" s="21" t="s">
        <v>42</v>
      </c>
      <c r="PW17" s="18"/>
      <c r="PX17" s="18"/>
      <c r="PY17" s="18"/>
      <c r="PZ17" s="18"/>
      <c r="QA17" s="18"/>
      <c r="QB17" s="18"/>
      <c r="QC17" s="18">
        <v>1366</v>
      </c>
      <c r="QD17" s="18">
        <v>5464</v>
      </c>
      <c r="QE17" s="18">
        <v>10929</v>
      </c>
      <c r="QF17" s="18">
        <v>16393</v>
      </c>
      <c r="QG17" s="18">
        <v>20492</v>
      </c>
      <c r="QH17" s="18">
        <v>23224</v>
      </c>
      <c r="QI17" s="18">
        <v>23224</v>
      </c>
      <c r="QJ17" s="18">
        <v>17760</v>
      </c>
      <c r="QK17" s="18">
        <v>10929</v>
      </c>
      <c r="QL17" s="18">
        <v>5464</v>
      </c>
      <c r="QM17" s="18">
        <v>1366</v>
      </c>
      <c r="QN17" s="18"/>
      <c r="QO17" s="18"/>
      <c r="QP17" s="18"/>
      <c r="QQ17" s="18"/>
      <c r="QR17" s="18"/>
      <c r="QS17" s="18"/>
      <c r="QT17" s="18"/>
      <c r="QU17" s="19">
        <f t="shared" si="27"/>
        <v>136611</v>
      </c>
      <c r="QV17" s="45">
        <v>4</v>
      </c>
      <c r="QW17" s="19">
        <f t="shared" si="42"/>
        <v>546444</v>
      </c>
      <c r="QX17" s="103"/>
    </row>
    <row r="18" spans="1:466" ht="15" thickBot="1" x14ac:dyDescent="0.4">
      <c r="A18" s="101"/>
      <c r="B18" s="22" t="s">
        <v>43</v>
      </c>
      <c r="C18" s="18"/>
      <c r="D18" s="18"/>
      <c r="E18" s="18"/>
      <c r="F18" s="18"/>
      <c r="G18" s="18"/>
      <c r="H18" s="18"/>
      <c r="I18" s="18">
        <v>1370</v>
      </c>
      <c r="J18" s="18">
        <v>5479</v>
      </c>
      <c r="K18" s="18">
        <v>10959</v>
      </c>
      <c r="L18" s="18">
        <v>16438</v>
      </c>
      <c r="M18" s="18">
        <v>20548</v>
      </c>
      <c r="N18" s="18">
        <v>23288</v>
      </c>
      <c r="O18" s="18">
        <v>23288</v>
      </c>
      <c r="P18" s="18">
        <v>17808</v>
      </c>
      <c r="Q18" s="18">
        <v>10959</v>
      </c>
      <c r="R18" s="18">
        <v>5479</v>
      </c>
      <c r="S18" s="18">
        <v>1370</v>
      </c>
      <c r="T18" s="18"/>
      <c r="U18" s="18"/>
      <c r="V18" s="18"/>
      <c r="W18" s="18"/>
      <c r="X18" s="18"/>
      <c r="Y18" s="18"/>
      <c r="Z18" s="18"/>
      <c r="AA18" s="19">
        <f t="shared" si="0"/>
        <v>136986</v>
      </c>
      <c r="AB18" s="39">
        <v>1</v>
      </c>
      <c r="AC18" s="19">
        <f t="shared" si="1"/>
        <v>136986</v>
      </c>
      <c r="AD18" s="104"/>
      <c r="AF18" s="101"/>
      <c r="AG18" s="22" t="s">
        <v>43</v>
      </c>
      <c r="AH18" s="18"/>
      <c r="AI18" s="18"/>
      <c r="AJ18" s="18"/>
      <c r="AK18" s="18"/>
      <c r="AL18" s="18"/>
      <c r="AM18" s="18"/>
      <c r="AN18" s="18">
        <v>1370</v>
      </c>
      <c r="AO18" s="18">
        <v>5479</v>
      </c>
      <c r="AP18" s="18">
        <v>10959</v>
      </c>
      <c r="AQ18" s="18">
        <v>16438</v>
      </c>
      <c r="AR18" s="18">
        <v>20548</v>
      </c>
      <c r="AS18" s="18">
        <v>23288</v>
      </c>
      <c r="AT18" s="18">
        <v>23288</v>
      </c>
      <c r="AU18" s="18">
        <v>17808</v>
      </c>
      <c r="AV18" s="18">
        <v>10959</v>
      </c>
      <c r="AW18" s="18">
        <v>5479</v>
      </c>
      <c r="AX18" s="18">
        <v>1370</v>
      </c>
      <c r="AY18" s="18"/>
      <c r="AZ18" s="18"/>
      <c r="BA18" s="18"/>
      <c r="BB18" s="18"/>
      <c r="BC18" s="18"/>
      <c r="BD18" s="18"/>
      <c r="BE18" s="18"/>
      <c r="BF18" s="19">
        <f t="shared" si="2"/>
        <v>136986</v>
      </c>
      <c r="BG18" s="39">
        <v>3</v>
      </c>
      <c r="BH18" s="19">
        <f t="shared" si="29"/>
        <v>410958</v>
      </c>
      <c r="BI18" s="104"/>
      <c r="BK18" s="101"/>
      <c r="BL18" s="22" t="s">
        <v>43</v>
      </c>
      <c r="BM18" s="18"/>
      <c r="BN18" s="18"/>
      <c r="BO18" s="18"/>
      <c r="BP18" s="18"/>
      <c r="BQ18" s="18"/>
      <c r="BR18" s="18"/>
      <c r="BS18" s="18">
        <v>1366</v>
      </c>
      <c r="BT18" s="18">
        <v>5464</v>
      </c>
      <c r="BU18" s="18">
        <v>10929</v>
      </c>
      <c r="BV18" s="18">
        <v>16393</v>
      </c>
      <c r="BW18" s="18">
        <v>20492</v>
      </c>
      <c r="BX18" s="18">
        <v>23224</v>
      </c>
      <c r="BY18" s="18">
        <v>23224</v>
      </c>
      <c r="BZ18" s="18">
        <v>17760</v>
      </c>
      <c r="CA18" s="18">
        <v>10929</v>
      </c>
      <c r="CB18" s="18">
        <v>5464</v>
      </c>
      <c r="CC18" s="18">
        <v>1366</v>
      </c>
      <c r="CD18" s="18"/>
      <c r="CE18" s="18"/>
      <c r="CF18" s="18"/>
      <c r="CG18" s="18"/>
      <c r="CH18" s="18"/>
      <c r="CI18" s="18"/>
      <c r="CJ18" s="18"/>
      <c r="CK18" s="19">
        <f t="shared" si="4"/>
        <v>136611</v>
      </c>
      <c r="CL18" s="39">
        <v>1</v>
      </c>
      <c r="CM18" s="19">
        <f t="shared" si="30"/>
        <v>136611</v>
      </c>
      <c r="CN18" s="104"/>
      <c r="CP18" s="101"/>
      <c r="CQ18" s="22" t="s">
        <v>43</v>
      </c>
      <c r="CR18" s="18"/>
      <c r="CS18" s="18"/>
      <c r="CT18" s="18"/>
      <c r="CU18" s="18"/>
      <c r="CV18" s="18"/>
      <c r="CW18" s="18"/>
      <c r="CX18" s="18">
        <v>1370</v>
      </c>
      <c r="CY18" s="18">
        <v>5479</v>
      </c>
      <c r="CZ18" s="18">
        <v>10959</v>
      </c>
      <c r="DA18" s="18">
        <v>16438</v>
      </c>
      <c r="DB18" s="18">
        <v>20548</v>
      </c>
      <c r="DC18" s="18">
        <v>23288</v>
      </c>
      <c r="DD18" s="18">
        <v>23288</v>
      </c>
      <c r="DE18" s="18">
        <v>17808</v>
      </c>
      <c r="DF18" s="18">
        <v>10959</v>
      </c>
      <c r="DG18" s="18">
        <v>5479</v>
      </c>
      <c r="DH18" s="18">
        <v>1370</v>
      </c>
      <c r="DI18" s="18"/>
      <c r="DJ18" s="18"/>
      <c r="DK18" s="18"/>
      <c r="DL18" s="18"/>
      <c r="DM18" s="18"/>
      <c r="DN18" s="18"/>
      <c r="DO18" s="18"/>
      <c r="DP18" s="19">
        <f t="shared" si="6"/>
        <v>136986</v>
      </c>
      <c r="DQ18" s="39">
        <v>3</v>
      </c>
      <c r="DR18" s="19">
        <f t="shared" si="31"/>
        <v>410958</v>
      </c>
      <c r="DS18" s="104"/>
      <c r="DV18" s="101"/>
      <c r="DW18" s="22" t="s">
        <v>43</v>
      </c>
      <c r="DX18" s="18"/>
      <c r="DY18" s="18"/>
      <c r="DZ18" s="18"/>
      <c r="EA18" s="18"/>
      <c r="EB18" s="18"/>
      <c r="EC18" s="18"/>
      <c r="ED18" s="18">
        <v>1370</v>
      </c>
      <c r="EE18" s="18">
        <v>5479</v>
      </c>
      <c r="EF18" s="18">
        <v>10959</v>
      </c>
      <c r="EG18" s="18">
        <v>16438</v>
      </c>
      <c r="EH18" s="18">
        <v>20548</v>
      </c>
      <c r="EI18" s="18">
        <v>23288</v>
      </c>
      <c r="EJ18" s="18">
        <v>23288</v>
      </c>
      <c r="EK18" s="18">
        <v>17808</v>
      </c>
      <c r="EL18" s="18">
        <v>10959</v>
      </c>
      <c r="EM18" s="18">
        <v>5479</v>
      </c>
      <c r="EN18" s="18">
        <v>1370</v>
      </c>
      <c r="EO18" s="18"/>
      <c r="EP18" s="18"/>
      <c r="EQ18" s="18"/>
      <c r="ER18" s="18"/>
      <c r="ES18" s="18"/>
      <c r="ET18" s="18"/>
      <c r="EU18" s="18"/>
      <c r="EV18" s="19">
        <f t="shared" si="8"/>
        <v>136986</v>
      </c>
      <c r="EW18" s="39">
        <v>1</v>
      </c>
      <c r="EX18" s="19">
        <f t="shared" si="32"/>
        <v>136986</v>
      </c>
      <c r="EY18" s="104"/>
      <c r="FB18" s="101"/>
      <c r="FC18" s="22" t="s">
        <v>43</v>
      </c>
      <c r="FD18" s="18"/>
      <c r="FE18" s="18"/>
      <c r="FF18" s="18"/>
      <c r="FG18" s="18"/>
      <c r="FH18" s="18"/>
      <c r="FI18" s="18"/>
      <c r="FJ18" s="18">
        <v>1370</v>
      </c>
      <c r="FK18" s="18">
        <v>5479</v>
      </c>
      <c r="FL18" s="18">
        <v>10959</v>
      </c>
      <c r="FM18" s="18">
        <v>16438</v>
      </c>
      <c r="FN18" s="18">
        <v>20548</v>
      </c>
      <c r="FO18" s="18">
        <v>23288</v>
      </c>
      <c r="FP18" s="18">
        <v>23288</v>
      </c>
      <c r="FQ18" s="18">
        <v>17808</v>
      </c>
      <c r="FR18" s="18">
        <v>10959</v>
      </c>
      <c r="FS18" s="18">
        <v>5479</v>
      </c>
      <c r="FT18" s="18">
        <v>1370</v>
      </c>
      <c r="FU18" s="18"/>
      <c r="FV18" s="18"/>
      <c r="FW18" s="18"/>
      <c r="FX18" s="18"/>
      <c r="FY18" s="18"/>
      <c r="FZ18" s="18"/>
      <c r="GA18" s="18"/>
      <c r="GB18" s="19">
        <f t="shared" si="9"/>
        <v>136986</v>
      </c>
      <c r="GC18" s="39">
        <v>1</v>
      </c>
      <c r="GD18" s="19">
        <f t="shared" si="33"/>
        <v>136986</v>
      </c>
      <c r="GE18" s="104"/>
      <c r="GG18" s="101"/>
      <c r="GH18" s="22" t="s">
        <v>43</v>
      </c>
      <c r="GI18" s="18"/>
      <c r="GJ18" s="18"/>
      <c r="GK18" s="18"/>
      <c r="GL18" s="18"/>
      <c r="GM18" s="18"/>
      <c r="GN18" s="18"/>
      <c r="GO18" s="18">
        <v>1366</v>
      </c>
      <c r="GP18" s="18">
        <v>5464</v>
      </c>
      <c r="GQ18" s="18">
        <v>10929</v>
      </c>
      <c r="GR18" s="18">
        <v>16393</v>
      </c>
      <c r="GS18" s="18">
        <v>20492</v>
      </c>
      <c r="GT18" s="18">
        <v>23224</v>
      </c>
      <c r="GU18" s="18">
        <v>23224</v>
      </c>
      <c r="GV18" s="18">
        <v>17760</v>
      </c>
      <c r="GW18" s="18">
        <v>10929</v>
      </c>
      <c r="GX18" s="18">
        <v>5464</v>
      </c>
      <c r="GY18" s="18">
        <v>1366</v>
      </c>
      <c r="GZ18" s="18"/>
      <c r="HA18" s="18"/>
      <c r="HB18" s="18"/>
      <c r="HC18" s="18"/>
      <c r="HD18" s="18"/>
      <c r="HE18" s="18"/>
      <c r="HF18" s="18"/>
      <c r="HG18" s="19">
        <f t="shared" si="11"/>
        <v>136611</v>
      </c>
      <c r="HH18" s="39">
        <v>3</v>
      </c>
      <c r="HI18" s="19">
        <f t="shared" si="34"/>
        <v>409833</v>
      </c>
      <c r="HJ18" s="104"/>
      <c r="HL18" s="101"/>
      <c r="HM18" s="22" t="s">
        <v>43</v>
      </c>
      <c r="HN18" s="18"/>
      <c r="HO18" s="18"/>
      <c r="HP18" s="18"/>
      <c r="HQ18" s="18"/>
      <c r="HR18" s="18"/>
      <c r="HS18" s="18"/>
      <c r="HT18" s="18">
        <v>1370</v>
      </c>
      <c r="HU18" s="18">
        <v>5479</v>
      </c>
      <c r="HV18" s="18">
        <v>10959</v>
      </c>
      <c r="HW18" s="18">
        <v>16438</v>
      </c>
      <c r="HX18" s="18">
        <v>20548</v>
      </c>
      <c r="HY18" s="18">
        <v>23288</v>
      </c>
      <c r="HZ18" s="18">
        <v>23288</v>
      </c>
      <c r="IA18" s="18">
        <v>17808</v>
      </c>
      <c r="IB18" s="18">
        <v>10959</v>
      </c>
      <c r="IC18" s="18">
        <v>5479</v>
      </c>
      <c r="ID18" s="18">
        <v>1370</v>
      </c>
      <c r="IE18" s="18"/>
      <c r="IF18" s="18"/>
      <c r="IG18" s="18"/>
      <c r="IH18" s="18"/>
      <c r="II18" s="18"/>
      <c r="IJ18" s="18"/>
      <c r="IK18" s="18"/>
      <c r="IL18" s="19">
        <f t="shared" si="13"/>
        <v>136986</v>
      </c>
      <c r="IM18" s="39">
        <v>1</v>
      </c>
      <c r="IN18" s="19">
        <f t="shared" si="35"/>
        <v>136986</v>
      </c>
      <c r="IO18" s="104"/>
      <c r="IQ18" s="101"/>
      <c r="IR18" s="22" t="s">
        <v>43</v>
      </c>
      <c r="IS18" s="18"/>
      <c r="IT18" s="18"/>
      <c r="IU18" s="18"/>
      <c r="IV18" s="18"/>
      <c r="IW18" s="18"/>
      <c r="IX18" s="18"/>
      <c r="IY18" s="18">
        <v>1370</v>
      </c>
      <c r="IZ18" s="18">
        <v>5479</v>
      </c>
      <c r="JA18" s="18">
        <v>10959</v>
      </c>
      <c r="JB18" s="18">
        <v>16438</v>
      </c>
      <c r="JC18" s="18">
        <v>20548</v>
      </c>
      <c r="JD18" s="18">
        <v>23288</v>
      </c>
      <c r="JE18" s="18">
        <v>23288</v>
      </c>
      <c r="JF18" s="18">
        <v>17808</v>
      </c>
      <c r="JG18" s="18">
        <v>10959</v>
      </c>
      <c r="JH18" s="18">
        <v>5479</v>
      </c>
      <c r="JI18" s="18">
        <v>1370</v>
      </c>
      <c r="JJ18" s="18"/>
      <c r="JK18" s="18"/>
      <c r="JL18" s="18"/>
      <c r="JM18" s="18"/>
      <c r="JN18" s="18"/>
      <c r="JO18" s="18"/>
      <c r="JP18" s="18"/>
      <c r="JQ18" s="19">
        <f t="shared" si="15"/>
        <v>136986</v>
      </c>
      <c r="JR18" s="39">
        <v>1</v>
      </c>
      <c r="JS18" s="19">
        <f t="shared" si="36"/>
        <v>136986</v>
      </c>
      <c r="JT18" s="104"/>
      <c r="JV18" s="101"/>
      <c r="JW18" s="22" t="s">
        <v>43</v>
      </c>
      <c r="JX18" s="18"/>
      <c r="JY18" s="18"/>
      <c r="JZ18" s="18"/>
      <c r="KA18" s="18"/>
      <c r="KB18" s="18"/>
      <c r="KC18" s="18"/>
      <c r="KD18" s="18"/>
      <c r="KE18" s="18">
        <v>1370</v>
      </c>
      <c r="KF18" s="18">
        <v>5479</v>
      </c>
      <c r="KG18" s="18">
        <v>10959</v>
      </c>
      <c r="KH18" s="18">
        <v>16438</v>
      </c>
      <c r="KI18" s="18">
        <v>20548</v>
      </c>
      <c r="KJ18" s="18">
        <v>23288</v>
      </c>
      <c r="KK18" s="18">
        <v>23288</v>
      </c>
      <c r="KL18" s="18">
        <v>17808</v>
      </c>
      <c r="KM18" s="18">
        <v>10959</v>
      </c>
      <c r="KN18" s="18">
        <v>5479</v>
      </c>
      <c r="KO18" s="18">
        <v>1370</v>
      </c>
      <c r="KP18" s="18"/>
      <c r="KQ18" s="18"/>
      <c r="KR18" s="18"/>
      <c r="KS18" s="18"/>
      <c r="KT18" s="18"/>
      <c r="KU18" s="18"/>
      <c r="KV18" s="19">
        <f t="shared" si="17"/>
        <v>136986</v>
      </c>
      <c r="KW18" s="39">
        <v>3</v>
      </c>
      <c r="KX18" s="19">
        <f t="shared" si="37"/>
        <v>410958</v>
      </c>
      <c r="KY18" s="104"/>
      <c r="LA18" s="101"/>
      <c r="LB18" s="22" t="s">
        <v>43</v>
      </c>
      <c r="LC18" s="18"/>
      <c r="LD18" s="18"/>
      <c r="LE18" s="18"/>
      <c r="LF18" s="18"/>
      <c r="LG18" s="18"/>
      <c r="LH18" s="18"/>
      <c r="LI18" s="18">
        <v>1366</v>
      </c>
      <c r="LJ18" s="18">
        <v>5464</v>
      </c>
      <c r="LK18" s="18">
        <v>10929</v>
      </c>
      <c r="LL18" s="18">
        <v>16393</v>
      </c>
      <c r="LM18" s="18">
        <v>20492</v>
      </c>
      <c r="LN18" s="18">
        <v>23224</v>
      </c>
      <c r="LO18" s="18">
        <v>23224</v>
      </c>
      <c r="LP18" s="18">
        <v>17760</v>
      </c>
      <c r="LQ18" s="18">
        <v>10929</v>
      </c>
      <c r="LR18" s="18">
        <v>5464</v>
      </c>
      <c r="LS18" s="18">
        <v>1366</v>
      </c>
      <c r="LT18" s="18"/>
      <c r="LU18" s="18"/>
      <c r="LV18" s="18"/>
      <c r="LW18" s="18"/>
      <c r="LX18" s="18"/>
      <c r="LY18" s="18"/>
      <c r="LZ18" s="18"/>
      <c r="MA18" s="19">
        <f t="shared" si="19"/>
        <v>136611</v>
      </c>
      <c r="MB18" s="39">
        <v>1</v>
      </c>
      <c r="MC18" s="19">
        <f t="shared" si="38"/>
        <v>136611</v>
      </c>
      <c r="MD18" s="104"/>
      <c r="MF18" s="101"/>
      <c r="MG18" s="22" t="s">
        <v>43</v>
      </c>
      <c r="MH18" s="18"/>
      <c r="MI18" s="18"/>
      <c r="MJ18" s="18"/>
      <c r="MK18" s="18"/>
      <c r="ML18" s="18"/>
      <c r="MM18" s="18"/>
      <c r="MN18" s="18">
        <v>1370</v>
      </c>
      <c r="MO18" s="18">
        <v>5479</v>
      </c>
      <c r="MP18" s="18">
        <v>10959</v>
      </c>
      <c r="MQ18" s="18">
        <v>16438</v>
      </c>
      <c r="MR18" s="18">
        <v>20548</v>
      </c>
      <c r="MS18" s="18">
        <v>23288</v>
      </c>
      <c r="MT18" s="18">
        <v>23288</v>
      </c>
      <c r="MU18" s="18">
        <v>17808</v>
      </c>
      <c r="MV18" s="18">
        <v>10959</v>
      </c>
      <c r="MW18" s="18">
        <v>5479</v>
      </c>
      <c r="MX18" s="18">
        <v>1370</v>
      </c>
      <c r="MY18" s="18"/>
      <c r="MZ18" s="18"/>
      <c r="NA18" s="18"/>
      <c r="NB18" s="18"/>
      <c r="NC18" s="18"/>
      <c r="ND18" s="18"/>
      <c r="NE18" s="18"/>
      <c r="NF18" s="19">
        <f t="shared" si="21"/>
        <v>136986</v>
      </c>
      <c r="NG18" s="39">
        <v>1</v>
      </c>
      <c r="NH18" s="19">
        <f t="shared" si="39"/>
        <v>136986</v>
      </c>
      <c r="NI18" s="104"/>
      <c r="NK18" s="101"/>
      <c r="NL18" s="22" t="s">
        <v>43</v>
      </c>
      <c r="NM18" s="18"/>
      <c r="NN18" s="18"/>
      <c r="NO18" s="18"/>
      <c r="NP18" s="18"/>
      <c r="NQ18" s="18"/>
      <c r="NR18" s="18"/>
      <c r="NS18" s="18">
        <v>1370</v>
      </c>
      <c r="NT18" s="18">
        <v>5479</v>
      </c>
      <c r="NU18" s="18">
        <v>10959</v>
      </c>
      <c r="NV18" s="18">
        <v>16438</v>
      </c>
      <c r="NW18" s="18">
        <v>20548</v>
      </c>
      <c r="NX18" s="18">
        <v>23288</v>
      </c>
      <c r="NY18" s="18">
        <v>23288</v>
      </c>
      <c r="NZ18" s="18">
        <v>17808</v>
      </c>
      <c r="OA18" s="18">
        <v>10959</v>
      </c>
      <c r="OB18" s="18">
        <v>5479</v>
      </c>
      <c r="OC18" s="18">
        <v>1370</v>
      </c>
      <c r="OD18" s="18"/>
      <c r="OE18" s="18"/>
      <c r="OF18" s="18"/>
      <c r="OG18" s="18"/>
      <c r="OH18" s="18"/>
      <c r="OI18" s="18"/>
      <c r="OJ18" s="18"/>
      <c r="OK18" s="19">
        <f t="shared" si="23"/>
        <v>136986</v>
      </c>
      <c r="OL18" s="81">
        <v>1</v>
      </c>
      <c r="OM18" s="19">
        <f t="shared" si="40"/>
        <v>136986</v>
      </c>
      <c r="ON18" s="104"/>
      <c r="OP18" s="101"/>
      <c r="OQ18" s="22" t="s">
        <v>43</v>
      </c>
      <c r="OR18" s="18"/>
      <c r="OS18" s="18"/>
      <c r="OT18" s="18"/>
      <c r="OU18" s="18"/>
      <c r="OV18" s="18"/>
      <c r="OW18" s="18"/>
      <c r="OX18" s="18">
        <v>1370</v>
      </c>
      <c r="OY18" s="18">
        <v>5479</v>
      </c>
      <c r="OZ18" s="18">
        <v>10959</v>
      </c>
      <c r="PA18" s="18">
        <v>16438</v>
      </c>
      <c r="PB18" s="18">
        <v>20548</v>
      </c>
      <c r="PC18" s="18">
        <v>23288</v>
      </c>
      <c r="PD18" s="18">
        <v>23288</v>
      </c>
      <c r="PE18" s="18">
        <v>17808</v>
      </c>
      <c r="PF18" s="18">
        <v>10959</v>
      </c>
      <c r="PG18" s="18">
        <v>5479</v>
      </c>
      <c r="PH18" s="18">
        <v>1370</v>
      </c>
      <c r="PI18" s="18"/>
      <c r="PJ18" s="18"/>
      <c r="PK18" s="18"/>
      <c r="PL18" s="18"/>
      <c r="PM18" s="18"/>
      <c r="PN18" s="18"/>
      <c r="PO18" s="18"/>
      <c r="PP18" s="19">
        <f t="shared" si="25"/>
        <v>136986</v>
      </c>
      <c r="PQ18" s="39">
        <v>1</v>
      </c>
      <c r="PR18" s="19">
        <f t="shared" si="41"/>
        <v>136986</v>
      </c>
      <c r="PS18" s="104"/>
      <c r="PU18" s="101"/>
      <c r="PV18" s="22" t="s">
        <v>43</v>
      </c>
      <c r="PW18" s="18"/>
      <c r="PX18" s="18"/>
      <c r="PY18" s="18"/>
      <c r="PZ18" s="18"/>
      <c r="QA18" s="18"/>
      <c r="QB18" s="18"/>
      <c r="QC18" s="18">
        <v>1366</v>
      </c>
      <c r="QD18" s="18">
        <v>5464</v>
      </c>
      <c r="QE18" s="18">
        <v>10929</v>
      </c>
      <c r="QF18" s="18">
        <v>16393</v>
      </c>
      <c r="QG18" s="18">
        <v>20492</v>
      </c>
      <c r="QH18" s="18">
        <v>23224</v>
      </c>
      <c r="QI18" s="18">
        <v>23224</v>
      </c>
      <c r="QJ18" s="18">
        <v>17760</v>
      </c>
      <c r="QK18" s="18">
        <v>10929</v>
      </c>
      <c r="QL18" s="18">
        <v>5464</v>
      </c>
      <c r="QM18" s="18">
        <v>1366</v>
      </c>
      <c r="QN18" s="18"/>
      <c r="QO18" s="18"/>
      <c r="QP18" s="18"/>
      <c r="QQ18" s="18"/>
      <c r="QR18" s="18"/>
      <c r="QS18" s="18"/>
      <c r="QT18" s="18"/>
      <c r="QU18" s="19">
        <f t="shared" si="27"/>
        <v>136611</v>
      </c>
      <c r="QV18" s="47">
        <v>3</v>
      </c>
      <c r="QW18" s="19">
        <f t="shared" si="42"/>
        <v>409833</v>
      </c>
      <c r="QX18" s="104"/>
    </row>
    <row r="19" spans="1:466" x14ac:dyDescent="0.35">
      <c r="A19" s="99">
        <v>46113</v>
      </c>
      <c r="B19" s="17" t="s">
        <v>40</v>
      </c>
      <c r="C19" s="18"/>
      <c r="D19" s="18"/>
      <c r="E19" s="18"/>
      <c r="F19" s="18"/>
      <c r="G19" s="18"/>
      <c r="H19" s="18"/>
      <c r="I19" s="18">
        <v>1370</v>
      </c>
      <c r="J19" s="18">
        <v>5479</v>
      </c>
      <c r="K19" s="18">
        <v>10959</v>
      </c>
      <c r="L19" s="18">
        <v>16438</v>
      </c>
      <c r="M19" s="18">
        <v>20548</v>
      </c>
      <c r="N19" s="18">
        <v>23288</v>
      </c>
      <c r="O19" s="18">
        <v>23288</v>
      </c>
      <c r="P19" s="18">
        <v>17808</v>
      </c>
      <c r="Q19" s="18">
        <v>10959</v>
      </c>
      <c r="R19" s="18">
        <v>5479</v>
      </c>
      <c r="S19" s="18">
        <v>1370</v>
      </c>
      <c r="T19" s="18"/>
      <c r="U19" s="18"/>
      <c r="V19" s="18"/>
      <c r="W19" s="18"/>
      <c r="X19" s="18"/>
      <c r="Y19" s="18"/>
      <c r="Z19" s="18"/>
      <c r="AA19" s="19">
        <f t="shared" si="0"/>
        <v>136986</v>
      </c>
      <c r="AB19" s="40">
        <v>20</v>
      </c>
      <c r="AC19" s="19">
        <f t="shared" si="1"/>
        <v>2739720</v>
      </c>
      <c r="AD19" s="102">
        <f>+SUM(AC19:AC22)</f>
        <v>4109580</v>
      </c>
      <c r="AF19" s="99">
        <v>46478</v>
      </c>
      <c r="AG19" s="17" t="s">
        <v>40</v>
      </c>
      <c r="AH19" s="18"/>
      <c r="AI19" s="18"/>
      <c r="AJ19" s="18"/>
      <c r="AK19" s="18"/>
      <c r="AL19" s="18"/>
      <c r="AM19" s="18"/>
      <c r="AN19" s="18">
        <v>1370</v>
      </c>
      <c r="AO19" s="18">
        <v>5479</v>
      </c>
      <c r="AP19" s="18">
        <v>10959</v>
      </c>
      <c r="AQ19" s="18">
        <v>16438</v>
      </c>
      <c r="AR19" s="18">
        <v>20548</v>
      </c>
      <c r="AS19" s="18">
        <v>23288</v>
      </c>
      <c r="AT19" s="18">
        <v>23288</v>
      </c>
      <c r="AU19" s="18">
        <v>17808</v>
      </c>
      <c r="AV19" s="18">
        <v>10959</v>
      </c>
      <c r="AW19" s="18">
        <v>5479</v>
      </c>
      <c r="AX19" s="18">
        <v>1370</v>
      </c>
      <c r="AY19" s="18"/>
      <c r="AZ19" s="18"/>
      <c r="BA19" s="18"/>
      <c r="BB19" s="18"/>
      <c r="BC19" s="18"/>
      <c r="BD19" s="18"/>
      <c r="BE19" s="18"/>
      <c r="BF19" s="19">
        <f t="shared" si="2"/>
        <v>136986</v>
      </c>
      <c r="BG19" s="40">
        <v>22</v>
      </c>
      <c r="BH19" s="19">
        <f t="shared" si="29"/>
        <v>3013692</v>
      </c>
      <c r="BI19" s="102">
        <f>+SUM(BH19:BH22)</f>
        <v>4109580</v>
      </c>
      <c r="BK19" s="99">
        <v>46844</v>
      </c>
      <c r="BL19" s="17" t="s">
        <v>40</v>
      </c>
      <c r="BM19" s="18"/>
      <c r="BN19" s="18"/>
      <c r="BO19" s="18"/>
      <c r="BP19" s="18"/>
      <c r="BQ19" s="18"/>
      <c r="BR19" s="18"/>
      <c r="BS19" s="18">
        <v>1366</v>
      </c>
      <c r="BT19" s="18">
        <v>5464</v>
      </c>
      <c r="BU19" s="18">
        <v>10929</v>
      </c>
      <c r="BV19" s="18">
        <v>16393</v>
      </c>
      <c r="BW19" s="18">
        <v>20492</v>
      </c>
      <c r="BX19" s="18">
        <v>23224</v>
      </c>
      <c r="BY19" s="18">
        <v>23224</v>
      </c>
      <c r="BZ19" s="18">
        <v>17760</v>
      </c>
      <c r="CA19" s="18">
        <v>10929</v>
      </c>
      <c r="CB19" s="18">
        <v>5464</v>
      </c>
      <c r="CC19" s="18">
        <v>1366</v>
      </c>
      <c r="CD19" s="18"/>
      <c r="CE19" s="18"/>
      <c r="CF19" s="18"/>
      <c r="CG19" s="18"/>
      <c r="CH19" s="18"/>
      <c r="CI19" s="18"/>
      <c r="CJ19" s="18"/>
      <c r="CK19" s="19">
        <f t="shared" si="4"/>
        <v>136611</v>
      </c>
      <c r="CL19" s="40">
        <v>18</v>
      </c>
      <c r="CM19" s="19">
        <f t="shared" si="30"/>
        <v>2458998</v>
      </c>
      <c r="CN19" s="102">
        <f>+SUM(CM19:CM22)</f>
        <v>4098330</v>
      </c>
      <c r="CP19" s="99">
        <v>47209</v>
      </c>
      <c r="CQ19" s="17" t="s">
        <v>40</v>
      </c>
      <c r="CR19" s="18"/>
      <c r="CS19" s="18"/>
      <c r="CT19" s="18"/>
      <c r="CU19" s="18"/>
      <c r="CV19" s="18"/>
      <c r="CW19" s="18"/>
      <c r="CX19" s="18">
        <v>1370</v>
      </c>
      <c r="CY19" s="18">
        <v>5479</v>
      </c>
      <c r="CZ19" s="18">
        <v>10959</v>
      </c>
      <c r="DA19" s="18">
        <v>16438</v>
      </c>
      <c r="DB19" s="18">
        <v>20548</v>
      </c>
      <c r="DC19" s="18">
        <v>23288</v>
      </c>
      <c r="DD19" s="18">
        <v>23288</v>
      </c>
      <c r="DE19" s="18">
        <v>17808</v>
      </c>
      <c r="DF19" s="18">
        <v>10959</v>
      </c>
      <c r="DG19" s="18">
        <v>5479</v>
      </c>
      <c r="DH19" s="18">
        <v>1370</v>
      </c>
      <c r="DI19" s="18"/>
      <c r="DJ19" s="18"/>
      <c r="DK19" s="18"/>
      <c r="DL19" s="18"/>
      <c r="DM19" s="18"/>
      <c r="DN19" s="18"/>
      <c r="DO19" s="18"/>
      <c r="DP19" s="19">
        <f t="shared" si="6"/>
        <v>136986</v>
      </c>
      <c r="DQ19" s="37">
        <v>21</v>
      </c>
      <c r="DR19" s="19">
        <f t="shared" si="31"/>
        <v>2876706</v>
      </c>
      <c r="DS19" s="102">
        <f>+SUM(DR19:DR22)</f>
        <v>4109580</v>
      </c>
      <c r="DV19" s="99">
        <v>47574</v>
      </c>
      <c r="DW19" s="17" t="s">
        <v>40</v>
      </c>
      <c r="DX19" s="18"/>
      <c r="DY19" s="18"/>
      <c r="DZ19" s="18"/>
      <c r="EA19" s="18"/>
      <c r="EB19" s="18"/>
      <c r="EC19" s="18"/>
      <c r="ED19" s="18">
        <v>1370</v>
      </c>
      <c r="EE19" s="18">
        <v>5479</v>
      </c>
      <c r="EF19" s="18">
        <v>10959</v>
      </c>
      <c r="EG19" s="18">
        <v>16438</v>
      </c>
      <c r="EH19" s="18">
        <v>20548</v>
      </c>
      <c r="EI19" s="18">
        <v>23288</v>
      </c>
      <c r="EJ19" s="18">
        <v>23288</v>
      </c>
      <c r="EK19" s="18">
        <v>17808</v>
      </c>
      <c r="EL19" s="18">
        <v>10959</v>
      </c>
      <c r="EM19" s="18">
        <v>5479</v>
      </c>
      <c r="EN19" s="18">
        <v>1370</v>
      </c>
      <c r="EO19" s="18"/>
      <c r="EP19" s="18"/>
      <c r="EQ19" s="18"/>
      <c r="ER19" s="18"/>
      <c r="ES19" s="18"/>
      <c r="ET19" s="18"/>
      <c r="EU19" s="18"/>
      <c r="EV19" s="19">
        <f t="shared" si="8"/>
        <v>136986</v>
      </c>
      <c r="EW19" s="37">
        <v>20</v>
      </c>
      <c r="EX19" s="19">
        <f t="shared" si="32"/>
        <v>2739720</v>
      </c>
      <c r="EY19" s="102">
        <f>+SUM(EX19:EX22)</f>
        <v>4109580</v>
      </c>
      <c r="FB19" s="99">
        <v>47939</v>
      </c>
      <c r="FC19" s="17" t="s">
        <v>40</v>
      </c>
      <c r="FD19" s="18"/>
      <c r="FE19" s="18"/>
      <c r="FF19" s="18"/>
      <c r="FG19" s="18"/>
      <c r="FH19" s="18"/>
      <c r="FI19" s="18"/>
      <c r="FJ19" s="18">
        <v>1370</v>
      </c>
      <c r="FK19" s="18">
        <v>5479</v>
      </c>
      <c r="FL19" s="18">
        <v>10959</v>
      </c>
      <c r="FM19" s="18">
        <v>16438</v>
      </c>
      <c r="FN19" s="18">
        <v>20548</v>
      </c>
      <c r="FO19" s="18">
        <v>23288</v>
      </c>
      <c r="FP19" s="18">
        <v>23288</v>
      </c>
      <c r="FQ19" s="18">
        <v>17808</v>
      </c>
      <c r="FR19" s="18">
        <v>10959</v>
      </c>
      <c r="FS19" s="18">
        <v>5479</v>
      </c>
      <c r="FT19" s="18">
        <v>1370</v>
      </c>
      <c r="FU19" s="18"/>
      <c r="FV19" s="18"/>
      <c r="FW19" s="18"/>
      <c r="FX19" s="18"/>
      <c r="FY19" s="18"/>
      <c r="FZ19" s="18"/>
      <c r="GA19" s="18"/>
      <c r="GB19" s="19">
        <f t="shared" si="9"/>
        <v>136986</v>
      </c>
      <c r="GC19" s="37">
        <v>20</v>
      </c>
      <c r="GD19" s="19">
        <f t="shared" si="33"/>
        <v>2739720</v>
      </c>
      <c r="GE19" s="102">
        <f>+SUM(GD19:GD22)</f>
        <v>4109580</v>
      </c>
      <c r="GG19" s="99">
        <v>48305</v>
      </c>
      <c r="GH19" s="17" t="s">
        <v>40</v>
      </c>
      <c r="GI19" s="18"/>
      <c r="GJ19" s="18"/>
      <c r="GK19" s="18"/>
      <c r="GL19" s="18"/>
      <c r="GM19" s="18"/>
      <c r="GN19" s="18"/>
      <c r="GO19" s="18">
        <v>1366</v>
      </c>
      <c r="GP19" s="18">
        <v>5464</v>
      </c>
      <c r="GQ19" s="18">
        <v>10929</v>
      </c>
      <c r="GR19" s="18">
        <v>16393</v>
      </c>
      <c r="GS19" s="18">
        <v>20492</v>
      </c>
      <c r="GT19" s="18">
        <v>23224</v>
      </c>
      <c r="GU19" s="18">
        <v>23224</v>
      </c>
      <c r="GV19" s="18">
        <v>17760</v>
      </c>
      <c r="GW19" s="18">
        <v>10929</v>
      </c>
      <c r="GX19" s="18">
        <v>5464</v>
      </c>
      <c r="GY19" s="18">
        <v>1366</v>
      </c>
      <c r="GZ19" s="18"/>
      <c r="HA19" s="18"/>
      <c r="HB19" s="18"/>
      <c r="HC19" s="18"/>
      <c r="HD19" s="18"/>
      <c r="HE19" s="18"/>
      <c r="HF19" s="18"/>
      <c r="HG19" s="19">
        <f t="shared" si="11"/>
        <v>136611</v>
      </c>
      <c r="HH19" s="37">
        <v>22</v>
      </c>
      <c r="HI19" s="19">
        <f t="shared" si="34"/>
        <v>3005442</v>
      </c>
      <c r="HJ19" s="102">
        <f>+SUM(HI19:HI22)</f>
        <v>4098330</v>
      </c>
      <c r="HL19" s="99">
        <v>48670</v>
      </c>
      <c r="HM19" s="17" t="s">
        <v>40</v>
      </c>
      <c r="HN19" s="18"/>
      <c r="HO19" s="18"/>
      <c r="HP19" s="18"/>
      <c r="HQ19" s="18"/>
      <c r="HR19" s="18"/>
      <c r="HS19" s="18"/>
      <c r="HT19" s="18">
        <v>1370</v>
      </c>
      <c r="HU19" s="18">
        <v>5479</v>
      </c>
      <c r="HV19" s="18">
        <v>10959</v>
      </c>
      <c r="HW19" s="18">
        <v>16438</v>
      </c>
      <c r="HX19" s="18">
        <v>20548</v>
      </c>
      <c r="HY19" s="18">
        <v>23288</v>
      </c>
      <c r="HZ19" s="18">
        <v>23288</v>
      </c>
      <c r="IA19" s="18">
        <v>17808</v>
      </c>
      <c r="IB19" s="18">
        <v>10959</v>
      </c>
      <c r="IC19" s="18">
        <v>5479</v>
      </c>
      <c r="ID19" s="18">
        <v>1370</v>
      </c>
      <c r="IE19" s="18"/>
      <c r="IF19" s="18"/>
      <c r="IG19" s="18"/>
      <c r="IH19" s="18"/>
      <c r="II19" s="18"/>
      <c r="IJ19" s="18"/>
      <c r="IK19" s="18"/>
      <c r="IL19" s="19">
        <f t="shared" si="13"/>
        <v>136986</v>
      </c>
      <c r="IM19" s="37">
        <v>19</v>
      </c>
      <c r="IN19" s="19">
        <f t="shared" si="35"/>
        <v>2602734</v>
      </c>
      <c r="IO19" s="102">
        <f>+SUM(IN19:IN22)</f>
        <v>4109580</v>
      </c>
      <c r="IQ19" s="99">
        <v>49035</v>
      </c>
      <c r="IR19" s="17" t="s">
        <v>40</v>
      </c>
      <c r="IS19" s="18"/>
      <c r="IT19" s="18"/>
      <c r="IU19" s="18"/>
      <c r="IV19" s="18"/>
      <c r="IW19" s="18"/>
      <c r="IX19" s="18"/>
      <c r="IY19" s="18">
        <v>1370</v>
      </c>
      <c r="IZ19" s="18">
        <v>5479</v>
      </c>
      <c r="JA19" s="18">
        <v>10959</v>
      </c>
      <c r="JB19" s="18">
        <v>16438</v>
      </c>
      <c r="JC19" s="18">
        <v>20548</v>
      </c>
      <c r="JD19" s="18">
        <v>23288</v>
      </c>
      <c r="JE19" s="18">
        <v>23288</v>
      </c>
      <c r="JF19" s="18">
        <v>17808</v>
      </c>
      <c r="JG19" s="18">
        <v>10959</v>
      </c>
      <c r="JH19" s="18">
        <v>5479</v>
      </c>
      <c r="JI19" s="18">
        <v>1370</v>
      </c>
      <c r="JJ19" s="18"/>
      <c r="JK19" s="18"/>
      <c r="JL19" s="18"/>
      <c r="JM19" s="18"/>
      <c r="JN19" s="18"/>
      <c r="JO19" s="18"/>
      <c r="JP19" s="18"/>
      <c r="JQ19" s="19">
        <f t="shared" si="15"/>
        <v>136986</v>
      </c>
      <c r="JR19" s="37">
        <v>18</v>
      </c>
      <c r="JS19" s="19">
        <f t="shared" si="36"/>
        <v>2465748</v>
      </c>
      <c r="JT19" s="102">
        <f>+SUM(JS19:JS22)</f>
        <v>4109580</v>
      </c>
      <c r="JV19" s="99">
        <v>49400</v>
      </c>
      <c r="JW19" s="17" t="s">
        <v>40</v>
      </c>
      <c r="JX19" s="18"/>
      <c r="JY19" s="18"/>
      <c r="JZ19" s="18"/>
      <c r="KA19" s="18"/>
      <c r="KB19" s="18"/>
      <c r="KC19" s="18"/>
      <c r="KD19" s="18"/>
      <c r="KE19" s="18">
        <v>1370</v>
      </c>
      <c r="KF19" s="18">
        <v>5479</v>
      </c>
      <c r="KG19" s="18">
        <v>10959</v>
      </c>
      <c r="KH19" s="18">
        <v>16438</v>
      </c>
      <c r="KI19" s="18">
        <v>20548</v>
      </c>
      <c r="KJ19" s="18">
        <v>23288</v>
      </c>
      <c r="KK19" s="18">
        <v>23288</v>
      </c>
      <c r="KL19" s="18">
        <v>17808</v>
      </c>
      <c r="KM19" s="18">
        <v>10959</v>
      </c>
      <c r="KN19" s="18">
        <v>5479</v>
      </c>
      <c r="KO19" s="18">
        <v>1370</v>
      </c>
      <c r="KP19" s="18"/>
      <c r="KQ19" s="18"/>
      <c r="KR19" s="18"/>
      <c r="KS19" s="18"/>
      <c r="KT19" s="18"/>
      <c r="KU19" s="18"/>
      <c r="KV19" s="19">
        <f t="shared" si="17"/>
        <v>136986</v>
      </c>
      <c r="KW19" s="37">
        <v>21</v>
      </c>
      <c r="KX19" s="19">
        <f t="shared" si="37"/>
        <v>2876706</v>
      </c>
      <c r="KY19" s="102">
        <f>+SUM(KX19:KX22)</f>
        <v>4109580</v>
      </c>
      <c r="LA19" s="99">
        <v>49766</v>
      </c>
      <c r="LB19" s="17" t="s">
        <v>40</v>
      </c>
      <c r="LC19" s="18"/>
      <c r="LD19" s="18"/>
      <c r="LE19" s="18"/>
      <c r="LF19" s="18"/>
      <c r="LG19" s="18"/>
      <c r="LH19" s="18"/>
      <c r="LI19" s="18">
        <v>1366</v>
      </c>
      <c r="LJ19" s="18">
        <v>5464</v>
      </c>
      <c r="LK19" s="18">
        <v>10929</v>
      </c>
      <c r="LL19" s="18">
        <v>16393</v>
      </c>
      <c r="LM19" s="18">
        <v>20492</v>
      </c>
      <c r="LN19" s="18">
        <v>23224</v>
      </c>
      <c r="LO19" s="18">
        <v>23224</v>
      </c>
      <c r="LP19" s="18">
        <v>17760</v>
      </c>
      <c r="LQ19" s="18">
        <v>10929</v>
      </c>
      <c r="LR19" s="18">
        <v>5464</v>
      </c>
      <c r="LS19" s="18">
        <v>1366</v>
      </c>
      <c r="LT19" s="18"/>
      <c r="LU19" s="18"/>
      <c r="LV19" s="18"/>
      <c r="LW19" s="18"/>
      <c r="LX19" s="18"/>
      <c r="LY19" s="18"/>
      <c r="LZ19" s="18"/>
      <c r="MA19" s="19">
        <f t="shared" si="19"/>
        <v>136611</v>
      </c>
      <c r="MB19" s="37">
        <v>20</v>
      </c>
      <c r="MC19" s="19">
        <f t="shared" si="38"/>
        <v>2732220</v>
      </c>
      <c r="MD19" s="102">
        <f>+SUM(MC19:MC22)</f>
        <v>4098330</v>
      </c>
      <c r="MF19" s="99">
        <v>50131</v>
      </c>
      <c r="MG19" s="17" t="s">
        <v>40</v>
      </c>
      <c r="MH19" s="18"/>
      <c r="MI19" s="18"/>
      <c r="MJ19" s="18"/>
      <c r="MK19" s="18"/>
      <c r="ML19" s="18"/>
      <c r="MM19" s="18"/>
      <c r="MN19" s="18">
        <v>1370</v>
      </c>
      <c r="MO19" s="18">
        <v>5479</v>
      </c>
      <c r="MP19" s="18">
        <v>10959</v>
      </c>
      <c r="MQ19" s="18">
        <v>16438</v>
      </c>
      <c r="MR19" s="18">
        <v>20548</v>
      </c>
      <c r="MS19" s="18">
        <v>23288</v>
      </c>
      <c r="MT19" s="18">
        <v>23288</v>
      </c>
      <c r="MU19" s="18">
        <v>17808</v>
      </c>
      <c r="MV19" s="18">
        <v>10959</v>
      </c>
      <c r="MW19" s="18">
        <v>5479</v>
      </c>
      <c r="MX19" s="18">
        <v>1370</v>
      </c>
      <c r="MY19" s="18"/>
      <c r="MZ19" s="18"/>
      <c r="NA19" s="18"/>
      <c r="NB19" s="18"/>
      <c r="NC19" s="18"/>
      <c r="ND19" s="18"/>
      <c r="NE19" s="18"/>
      <c r="NF19" s="19">
        <f t="shared" si="21"/>
        <v>136986</v>
      </c>
      <c r="NG19" s="37">
        <v>20</v>
      </c>
      <c r="NH19" s="19">
        <f t="shared" si="39"/>
        <v>2739720</v>
      </c>
      <c r="NI19" s="102">
        <f>+SUM(NH19:NH22)</f>
        <v>4109580</v>
      </c>
      <c r="NK19" s="99">
        <v>50496</v>
      </c>
      <c r="NL19" s="17" t="s">
        <v>40</v>
      </c>
      <c r="NM19" s="18"/>
      <c r="NN19" s="18"/>
      <c r="NO19" s="18"/>
      <c r="NP19" s="18"/>
      <c r="NQ19" s="18"/>
      <c r="NR19" s="18"/>
      <c r="NS19" s="18">
        <v>1370</v>
      </c>
      <c r="NT19" s="18">
        <v>5479</v>
      </c>
      <c r="NU19" s="18">
        <v>10959</v>
      </c>
      <c r="NV19" s="18">
        <v>16438</v>
      </c>
      <c r="NW19" s="18">
        <v>20548</v>
      </c>
      <c r="NX19" s="18">
        <v>23288</v>
      </c>
      <c r="NY19" s="18">
        <v>23288</v>
      </c>
      <c r="NZ19" s="18">
        <v>17808</v>
      </c>
      <c r="OA19" s="18">
        <v>10959</v>
      </c>
      <c r="OB19" s="18">
        <v>5479</v>
      </c>
      <c r="OC19" s="18">
        <v>1370</v>
      </c>
      <c r="OD19" s="18"/>
      <c r="OE19" s="18"/>
      <c r="OF19" s="18"/>
      <c r="OG19" s="18"/>
      <c r="OH19" s="18"/>
      <c r="OI19" s="18"/>
      <c r="OJ19" s="18"/>
      <c r="OK19" s="19">
        <f t="shared" si="23"/>
        <v>136986</v>
      </c>
      <c r="OL19" s="37">
        <v>20</v>
      </c>
      <c r="OM19" s="19">
        <f t="shared" si="40"/>
        <v>2739720</v>
      </c>
      <c r="ON19" s="102">
        <f>+SUM(OM19:OM22)</f>
        <v>4109580</v>
      </c>
      <c r="OP19" s="99">
        <v>50861</v>
      </c>
      <c r="OQ19" s="17" t="s">
        <v>40</v>
      </c>
      <c r="OR19" s="18"/>
      <c r="OS19" s="18"/>
      <c r="OT19" s="18"/>
      <c r="OU19" s="18"/>
      <c r="OV19" s="18"/>
      <c r="OW19" s="18"/>
      <c r="OX19" s="18">
        <v>1370</v>
      </c>
      <c r="OY19" s="18">
        <v>5479</v>
      </c>
      <c r="OZ19" s="18">
        <v>10959</v>
      </c>
      <c r="PA19" s="18">
        <v>16438</v>
      </c>
      <c r="PB19" s="18">
        <v>20548</v>
      </c>
      <c r="PC19" s="18">
        <v>23288</v>
      </c>
      <c r="PD19" s="18">
        <v>23288</v>
      </c>
      <c r="PE19" s="18">
        <v>17808</v>
      </c>
      <c r="PF19" s="18">
        <v>10959</v>
      </c>
      <c r="PG19" s="18">
        <v>5479</v>
      </c>
      <c r="PH19" s="18">
        <v>1370</v>
      </c>
      <c r="PI19" s="18"/>
      <c r="PJ19" s="18"/>
      <c r="PK19" s="18"/>
      <c r="PL19" s="18"/>
      <c r="PM19" s="18"/>
      <c r="PN19" s="18"/>
      <c r="PO19" s="18"/>
      <c r="PP19" s="19">
        <f t="shared" si="25"/>
        <v>136986</v>
      </c>
      <c r="PQ19" s="37">
        <v>19</v>
      </c>
      <c r="PR19" s="19">
        <f t="shared" si="41"/>
        <v>2602734</v>
      </c>
      <c r="PS19" s="102">
        <f>+SUM(PR19:PR22)</f>
        <v>4109580</v>
      </c>
      <c r="PU19" s="99">
        <v>51227</v>
      </c>
      <c r="PV19" s="17" t="s">
        <v>40</v>
      </c>
      <c r="PW19" s="18"/>
      <c r="PX19" s="18"/>
      <c r="PY19" s="18"/>
      <c r="PZ19" s="18"/>
      <c r="QA19" s="18"/>
      <c r="QB19" s="18"/>
      <c r="QC19" s="18">
        <v>1366</v>
      </c>
      <c r="QD19" s="18">
        <v>5464</v>
      </c>
      <c r="QE19" s="18">
        <v>10929</v>
      </c>
      <c r="QF19" s="18">
        <v>16393</v>
      </c>
      <c r="QG19" s="18">
        <v>20492</v>
      </c>
      <c r="QH19" s="18">
        <v>23224</v>
      </c>
      <c r="QI19" s="18">
        <v>23224</v>
      </c>
      <c r="QJ19" s="18">
        <v>17760</v>
      </c>
      <c r="QK19" s="18">
        <v>10929</v>
      </c>
      <c r="QL19" s="18">
        <v>5464</v>
      </c>
      <c r="QM19" s="18">
        <v>1366</v>
      </c>
      <c r="QN19" s="18"/>
      <c r="QO19" s="18"/>
      <c r="QP19" s="18"/>
      <c r="QQ19" s="18"/>
      <c r="QR19" s="18"/>
      <c r="QS19" s="18"/>
      <c r="QT19" s="18"/>
      <c r="QU19" s="19">
        <f t="shared" si="27"/>
        <v>136611</v>
      </c>
      <c r="QV19" s="46">
        <v>21</v>
      </c>
      <c r="QW19" s="19">
        <f t="shared" si="42"/>
        <v>2868831</v>
      </c>
      <c r="QX19" s="102">
        <f>+SUM(QW19:QW22)</f>
        <v>4098330</v>
      </c>
    </row>
    <row r="20" spans="1:466" x14ac:dyDescent="0.35">
      <c r="A20" s="100"/>
      <c r="B20" s="21" t="s">
        <v>41</v>
      </c>
      <c r="C20" s="18"/>
      <c r="D20" s="18"/>
      <c r="E20" s="18"/>
      <c r="F20" s="18"/>
      <c r="G20" s="18"/>
      <c r="H20" s="18"/>
      <c r="I20" s="18">
        <v>1370</v>
      </c>
      <c r="J20" s="18">
        <v>5479</v>
      </c>
      <c r="K20" s="18">
        <v>10959</v>
      </c>
      <c r="L20" s="18">
        <v>16438</v>
      </c>
      <c r="M20" s="18">
        <v>20548</v>
      </c>
      <c r="N20" s="18">
        <v>23288</v>
      </c>
      <c r="O20" s="18">
        <v>23288</v>
      </c>
      <c r="P20" s="18">
        <v>17808</v>
      </c>
      <c r="Q20" s="18">
        <v>10959</v>
      </c>
      <c r="R20" s="18">
        <v>5479</v>
      </c>
      <c r="S20" s="18">
        <v>1370</v>
      </c>
      <c r="T20" s="18"/>
      <c r="U20" s="18"/>
      <c r="V20" s="18"/>
      <c r="W20" s="18"/>
      <c r="X20" s="18"/>
      <c r="Y20" s="18"/>
      <c r="Z20" s="18"/>
      <c r="AA20" s="19">
        <f t="shared" si="0"/>
        <v>136986</v>
      </c>
      <c r="AB20" s="38">
        <v>4</v>
      </c>
      <c r="AC20" s="19">
        <f t="shared" si="1"/>
        <v>547944</v>
      </c>
      <c r="AD20" s="103"/>
      <c r="AF20" s="100"/>
      <c r="AG20" s="21" t="s">
        <v>41</v>
      </c>
      <c r="AH20" s="18"/>
      <c r="AI20" s="18"/>
      <c r="AJ20" s="18"/>
      <c r="AK20" s="18"/>
      <c r="AL20" s="18"/>
      <c r="AM20" s="18"/>
      <c r="AN20" s="18">
        <v>1370</v>
      </c>
      <c r="AO20" s="18">
        <v>5479</v>
      </c>
      <c r="AP20" s="18">
        <v>10959</v>
      </c>
      <c r="AQ20" s="18">
        <v>16438</v>
      </c>
      <c r="AR20" s="18">
        <v>20548</v>
      </c>
      <c r="AS20" s="18">
        <v>23288</v>
      </c>
      <c r="AT20" s="18">
        <v>23288</v>
      </c>
      <c r="AU20" s="18">
        <v>17808</v>
      </c>
      <c r="AV20" s="18">
        <v>10959</v>
      </c>
      <c r="AW20" s="18">
        <v>5479</v>
      </c>
      <c r="AX20" s="18">
        <v>1370</v>
      </c>
      <c r="AY20" s="18"/>
      <c r="AZ20" s="18"/>
      <c r="BA20" s="18"/>
      <c r="BB20" s="18"/>
      <c r="BC20" s="18"/>
      <c r="BD20" s="18"/>
      <c r="BE20" s="18"/>
      <c r="BF20" s="19">
        <f t="shared" si="2"/>
        <v>136986</v>
      </c>
      <c r="BG20" s="38">
        <v>4</v>
      </c>
      <c r="BH20" s="19">
        <f t="shared" si="29"/>
        <v>547944</v>
      </c>
      <c r="BI20" s="103"/>
      <c r="BK20" s="100"/>
      <c r="BL20" s="21" t="s">
        <v>41</v>
      </c>
      <c r="BM20" s="18"/>
      <c r="BN20" s="18"/>
      <c r="BO20" s="18"/>
      <c r="BP20" s="18"/>
      <c r="BQ20" s="18"/>
      <c r="BR20" s="18"/>
      <c r="BS20" s="18">
        <v>1366</v>
      </c>
      <c r="BT20" s="18">
        <v>5464</v>
      </c>
      <c r="BU20" s="18">
        <v>10929</v>
      </c>
      <c r="BV20" s="18">
        <v>16393</v>
      </c>
      <c r="BW20" s="18">
        <v>20492</v>
      </c>
      <c r="BX20" s="18">
        <v>23224</v>
      </c>
      <c r="BY20" s="18">
        <v>23224</v>
      </c>
      <c r="BZ20" s="18">
        <v>17760</v>
      </c>
      <c r="CA20" s="18">
        <v>10929</v>
      </c>
      <c r="CB20" s="18">
        <v>5464</v>
      </c>
      <c r="CC20" s="18">
        <v>1366</v>
      </c>
      <c r="CD20" s="18"/>
      <c r="CE20" s="18"/>
      <c r="CF20" s="18"/>
      <c r="CG20" s="18"/>
      <c r="CH20" s="18"/>
      <c r="CI20" s="18"/>
      <c r="CJ20" s="18"/>
      <c r="CK20" s="19">
        <f t="shared" si="4"/>
        <v>136611</v>
      </c>
      <c r="CL20" s="38">
        <v>5</v>
      </c>
      <c r="CM20" s="19">
        <f t="shared" si="30"/>
        <v>683055</v>
      </c>
      <c r="CN20" s="103"/>
      <c r="CP20" s="100"/>
      <c r="CQ20" s="21" t="s">
        <v>41</v>
      </c>
      <c r="CR20" s="18"/>
      <c r="CS20" s="18"/>
      <c r="CT20" s="18"/>
      <c r="CU20" s="18"/>
      <c r="CV20" s="18"/>
      <c r="CW20" s="18"/>
      <c r="CX20" s="18">
        <v>1370</v>
      </c>
      <c r="CY20" s="18">
        <v>5479</v>
      </c>
      <c r="CZ20" s="18">
        <v>10959</v>
      </c>
      <c r="DA20" s="18">
        <v>16438</v>
      </c>
      <c r="DB20" s="18">
        <v>20548</v>
      </c>
      <c r="DC20" s="18">
        <v>23288</v>
      </c>
      <c r="DD20" s="18">
        <v>23288</v>
      </c>
      <c r="DE20" s="18">
        <v>17808</v>
      </c>
      <c r="DF20" s="18">
        <v>10959</v>
      </c>
      <c r="DG20" s="18">
        <v>5479</v>
      </c>
      <c r="DH20" s="18">
        <v>1370</v>
      </c>
      <c r="DI20" s="18"/>
      <c r="DJ20" s="18"/>
      <c r="DK20" s="18"/>
      <c r="DL20" s="18"/>
      <c r="DM20" s="18"/>
      <c r="DN20" s="18"/>
      <c r="DO20" s="18"/>
      <c r="DP20" s="19">
        <f t="shared" si="6"/>
        <v>136986</v>
      </c>
      <c r="DQ20" s="38">
        <v>4</v>
      </c>
      <c r="DR20" s="19">
        <f t="shared" si="31"/>
        <v>547944</v>
      </c>
      <c r="DS20" s="103"/>
      <c r="DV20" s="100"/>
      <c r="DW20" s="21" t="s">
        <v>41</v>
      </c>
      <c r="DX20" s="18"/>
      <c r="DY20" s="18"/>
      <c r="DZ20" s="18"/>
      <c r="EA20" s="18"/>
      <c r="EB20" s="18"/>
      <c r="EC20" s="18"/>
      <c r="ED20" s="18">
        <v>1370</v>
      </c>
      <c r="EE20" s="18">
        <v>5479</v>
      </c>
      <c r="EF20" s="18">
        <v>10959</v>
      </c>
      <c r="EG20" s="18">
        <v>16438</v>
      </c>
      <c r="EH20" s="18">
        <v>20548</v>
      </c>
      <c r="EI20" s="18">
        <v>23288</v>
      </c>
      <c r="EJ20" s="18">
        <v>23288</v>
      </c>
      <c r="EK20" s="18">
        <v>17808</v>
      </c>
      <c r="EL20" s="18">
        <v>10959</v>
      </c>
      <c r="EM20" s="18">
        <v>5479</v>
      </c>
      <c r="EN20" s="18">
        <v>1370</v>
      </c>
      <c r="EO20" s="18"/>
      <c r="EP20" s="18"/>
      <c r="EQ20" s="18"/>
      <c r="ER20" s="18"/>
      <c r="ES20" s="18"/>
      <c r="ET20" s="18"/>
      <c r="EU20" s="18"/>
      <c r="EV20" s="19">
        <f t="shared" si="8"/>
        <v>136986</v>
      </c>
      <c r="EW20" s="38">
        <v>4</v>
      </c>
      <c r="EX20" s="19">
        <f t="shared" si="32"/>
        <v>547944</v>
      </c>
      <c r="EY20" s="103"/>
      <c r="FB20" s="100"/>
      <c r="FC20" s="21" t="s">
        <v>41</v>
      </c>
      <c r="FD20" s="18"/>
      <c r="FE20" s="18"/>
      <c r="FF20" s="18"/>
      <c r="FG20" s="18"/>
      <c r="FH20" s="18"/>
      <c r="FI20" s="18"/>
      <c r="FJ20" s="18">
        <v>1370</v>
      </c>
      <c r="FK20" s="18">
        <v>5479</v>
      </c>
      <c r="FL20" s="18">
        <v>10959</v>
      </c>
      <c r="FM20" s="18">
        <v>16438</v>
      </c>
      <c r="FN20" s="18">
        <v>20548</v>
      </c>
      <c r="FO20" s="18">
        <v>23288</v>
      </c>
      <c r="FP20" s="18">
        <v>23288</v>
      </c>
      <c r="FQ20" s="18">
        <v>17808</v>
      </c>
      <c r="FR20" s="18">
        <v>10959</v>
      </c>
      <c r="FS20" s="18">
        <v>5479</v>
      </c>
      <c r="FT20" s="18">
        <v>1370</v>
      </c>
      <c r="FU20" s="18"/>
      <c r="FV20" s="18"/>
      <c r="FW20" s="18"/>
      <c r="FX20" s="18"/>
      <c r="FY20" s="18"/>
      <c r="FZ20" s="18"/>
      <c r="GA20" s="18"/>
      <c r="GB20" s="19">
        <f t="shared" si="9"/>
        <v>136986</v>
      </c>
      <c r="GC20" s="38">
        <v>4</v>
      </c>
      <c r="GD20" s="19">
        <f t="shared" si="33"/>
        <v>547944</v>
      </c>
      <c r="GE20" s="103"/>
      <c r="GG20" s="100"/>
      <c r="GH20" s="21" t="s">
        <v>41</v>
      </c>
      <c r="GI20" s="18"/>
      <c r="GJ20" s="18"/>
      <c r="GK20" s="18"/>
      <c r="GL20" s="18"/>
      <c r="GM20" s="18"/>
      <c r="GN20" s="18"/>
      <c r="GO20" s="18">
        <v>1366</v>
      </c>
      <c r="GP20" s="18">
        <v>5464</v>
      </c>
      <c r="GQ20" s="18">
        <v>10929</v>
      </c>
      <c r="GR20" s="18">
        <v>16393</v>
      </c>
      <c r="GS20" s="18">
        <v>20492</v>
      </c>
      <c r="GT20" s="18">
        <v>23224</v>
      </c>
      <c r="GU20" s="18">
        <v>23224</v>
      </c>
      <c r="GV20" s="18">
        <v>17760</v>
      </c>
      <c r="GW20" s="18">
        <v>10929</v>
      </c>
      <c r="GX20" s="18">
        <v>5464</v>
      </c>
      <c r="GY20" s="18">
        <v>1366</v>
      </c>
      <c r="GZ20" s="18"/>
      <c r="HA20" s="18"/>
      <c r="HB20" s="18"/>
      <c r="HC20" s="18"/>
      <c r="HD20" s="18"/>
      <c r="HE20" s="18"/>
      <c r="HF20" s="18"/>
      <c r="HG20" s="19">
        <f t="shared" si="11"/>
        <v>136611</v>
      </c>
      <c r="HH20" s="38">
        <v>4</v>
      </c>
      <c r="HI20" s="19">
        <f t="shared" si="34"/>
        <v>546444</v>
      </c>
      <c r="HJ20" s="103"/>
      <c r="HL20" s="100"/>
      <c r="HM20" s="21" t="s">
        <v>41</v>
      </c>
      <c r="HN20" s="18"/>
      <c r="HO20" s="18"/>
      <c r="HP20" s="18"/>
      <c r="HQ20" s="18"/>
      <c r="HR20" s="18"/>
      <c r="HS20" s="18"/>
      <c r="HT20" s="18">
        <v>1370</v>
      </c>
      <c r="HU20" s="18">
        <v>5479</v>
      </c>
      <c r="HV20" s="18">
        <v>10959</v>
      </c>
      <c r="HW20" s="18">
        <v>16438</v>
      </c>
      <c r="HX20" s="18">
        <v>20548</v>
      </c>
      <c r="HY20" s="18">
        <v>23288</v>
      </c>
      <c r="HZ20" s="18">
        <v>23288</v>
      </c>
      <c r="IA20" s="18">
        <v>17808</v>
      </c>
      <c r="IB20" s="18">
        <v>10959</v>
      </c>
      <c r="IC20" s="18">
        <v>5479</v>
      </c>
      <c r="ID20" s="18">
        <v>1370</v>
      </c>
      <c r="IE20" s="18"/>
      <c r="IF20" s="18"/>
      <c r="IG20" s="18"/>
      <c r="IH20" s="18"/>
      <c r="II20" s="18"/>
      <c r="IJ20" s="18"/>
      <c r="IK20" s="18"/>
      <c r="IL20" s="19">
        <f t="shared" si="13"/>
        <v>136986</v>
      </c>
      <c r="IM20" s="38">
        <v>5</v>
      </c>
      <c r="IN20" s="19">
        <f t="shared" si="35"/>
        <v>684930</v>
      </c>
      <c r="IO20" s="103"/>
      <c r="IQ20" s="100"/>
      <c r="IR20" s="21" t="s">
        <v>41</v>
      </c>
      <c r="IS20" s="18"/>
      <c r="IT20" s="18"/>
      <c r="IU20" s="18"/>
      <c r="IV20" s="18"/>
      <c r="IW20" s="18"/>
      <c r="IX20" s="18"/>
      <c r="IY20" s="18">
        <v>1370</v>
      </c>
      <c r="IZ20" s="18">
        <v>5479</v>
      </c>
      <c r="JA20" s="18">
        <v>10959</v>
      </c>
      <c r="JB20" s="18">
        <v>16438</v>
      </c>
      <c r="JC20" s="18">
        <v>20548</v>
      </c>
      <c r="JD20" s="18">
        <v>23288</v>
      </c>
      <c r="JE20" s="18">
        <v>23288</v>
      </c>
      <c r="JF20" s="18">
        <v>17808</v>
      </c>
      <c r="JG20" s="18">
        <v>10959</v>
      </c>
      <c r="JH20" s="18">
        <v>5479</v>
      </c>
      <c r="JI20" s="18">
        <v>1370</v>
      </c>
      <c r="JJ20" s="18"/>
      <c r="JK20" s="18"/>
      <c r="JL20" s="18"/>
      <c r="JM20" s="18"/>
      <c r="JN20" s="18"/>
      <c r="JO20" s="18"/>
      <c r="JP20" s="18"/>
      <c r="JQ20" s="19">
        <f t="shared" si="15"/>
        <v>136986</v>
      </c>
      <c r="JR20" s="38">
        <v>5</v>
      </c>
      <c r="JS20" s="19">
        <f t="shared" si="36"/>
        <v>684930</v>
      </c>
      <c r="JT20" s="103"/>
      <c r="JV20" s="100"/>
      <c r="JW20" s="21" t="s">
        <v>41</v>
      </c>
      <c r="JX20" s="18"/>
      <c r="JY20" s="18"/>
      <c r="JZ20" s="18"/>
      <c r="KA20" s="18"/>
      <c r="KB20" s="18"/>
      <c r="KC20" s="18"/>
      <c r="KD20" s="18"/>
      <c r="KE20" s="18">
        <v>1370</v>
      </c>
      <c r="KF20" s="18">
        <v>5479</v>
      </c>
      <c r="KG20" s="18">
        <v>10959</v>
      </c>
      <c r="KH20" s="18">
        <v>16438</v>
      </c>
      <c r="KI20" s="18">
        <v>20548</v>
      </c>
      <c r="KJ20" s="18">
        <v>23288</v>
      </c>
      <c r="KK20" s="18">
        <v>23288</v>
      </c>
      <c r="KL20" s="18">
        <v>17808</v>
      </c>
      <c r="KM20" s="18">
        <v>10959</v>
      </c>
      <c r="KN20" s="18">
        <v>5479</v>
      </c>
      <c r="KO20" s="18">
        <v>1370</v>
      </c>
      <c r="KP20" s="18"/>
      <c r="KQ20" s="18"/>
      <c r="KR20" s="18"/>
      <c r="KS20" s="18"/>
      <c r="KT20" s="18"/>
      <c r="KU20" s="18"/>
      <c r="KV20" s="19">
        <f t="shared" si="17"/>
        <v>136986</v>
      </c>
      <c r="KW20" s="38">
        <v>4</v>
      </c>
      <c r="KX20" s="19">
        <f t="shared" si="37"/>
        <v>547944</v>
      </c>
      <c r="KY20" s="103"/>
      <c r="LA20" s="100"/>
      <c r="LB20" s="21" t="s">
        <v>41</v>
      </c>
      <c r="LC20" s="18"/>
      <c r="LD20" s="18"/>
      <c r="LE20" s="18"/>
      <c r="LF20" s="18"/>
      <c r="LG20" s="18"/>
      <c r="LH20" s="18"/>
      <c r="LI20" s="18">
        <v>1366</v>
      </c>
      <c r="LJ20" s="18">
        <v>5464</v>
      </c>
      <c r="LK20" s="18">
        <v>10929</v>
      </c>
      <c r="LL20" s="18">
        <v>16393</v>
      </c>
      <c r="LM20" s="18">
        <v>20492</v>
      </c>
      <c r="LN20" s="18">
        <v>23224</v>
      </c>
      <c r="LO20" s="18">
        <v>23224</v>
      </c>
      <c r="LP20" s="18">
        <v>17760</v>
      </c>
      <c r="LQ20" s="18">
        <v>10929</v>
      </c>
      <c r="LR20" s="18">
        <v>5464</v>
      </c>
      <c r="LS20" s="18">
        <v>1366</v>
      </c>
      <c r="LT20" s="18"/>
      <c r="LU20" s="18"/>
      <c r="LV20" s="18"/>
      <c r="LW20" s="18"/>
      <c r="LX20" s="18"/>
      <c r="LY20" s="18"/>
      <c r="LZ20" s="18"/>
      <c r="MA20" s="19">
        <f t="shared" si="19"/>
        <v>136611</v>
      </c>
      <c r="MB20" s="38">
        <v>4</v>
      </c>
      <c r="MC20" s="19">
        <f t="shared" si="38"/>
        <v>546444</v>
      </c>
      <c r="MD20" s="103"/>
      <c r="MF20" s="100"/>
      <c r="MG20" s="21" t="s">
        <v>41</v>
      </c>
      <c r="MH20" s="18"/>
      <c r="MI20" s="18"/>
      <c r="MJ20" s="18"/>
      <c r="MK20" s="18"/>
      <c r="ML20" s="18"/>
      <c r="MM20" s="18"/>
      <c r="MN20" s="18">
        <v>1370</v>
      </c>
      <c r="MO20" s="18">
        <v>5479</v>
      </c>
      <c r="MP20" s="18">
        <v>10959</v>
      </c>
      <c r="MQ20" s="18">
        <v>16438</v>
      </c>
      <c r="MR20" s="18">
        <v>20548</v>
      </c>
      <c r="MS20" s="18">
        <v>23288</v>
      </c>
      <c r="MT20" s="18">
        <v>23288</v>
      </c>
      <c r="MU20" s="18">
        <v>17808</v>
      </c>
      <c r="MV20" s="18">
        <v>10959</v>
      </c>
      <c r="MW20" s="18">
        <v>5479</v>
      </c>
      <c r="MX20" s="18">
        <v>1370</v>
      </c>
      <c r="MY20" s="18"/>
      <c r="MZ20" s="18"/>
      <c r="NA20" s="18"/>
      <c r="NB20" s="18"/>
      <c r="NC20" s="18"/>
      <c r="ND20" s="18"/>
      <c r="NE20" s="18"/>
      <c r="NF20" s="19">
        <f t="shared" si="21"/>
        <v>136986</v>
      </c>
      <c r="NG20" s="38">
        <v>4</v>
      </c>
      <c r="NH20" s="19">
        <f t="shared" si="39"/>
        <v>547944</v>
      </c>
      <c r="NI20" s="103"/>
      <c r="NK20" s="100"/>
      <c r="NL20" s="21" t="s">
        <v>41</v>
      </c>
      <c r="NM20" s="18"/>
      <c r="NN20" s="18"/>
      <c r="NO20" s="18"/>
      <c r="NP20" s="18"/>
      <c r="NQ20" s="18"/>
      <c r="NR20" s="18"/>
      <c r="NS20" s="18">
        <v>1370</v>
      </c>
      <c r="NT20" s="18">
        <v>5479</v>
      </c>
      <c r="NU20" s="18">
        <v>10959</v>
      </c>
      <c r="NV20" s="18">
        <v>16438</v>
      </c>
      <c r="NW20" s="18">
        <v>20548</v>
      </c>
      <c r="NX20" s="18">
        <v>23288</v>
      </c>
      <c r="NY20" s="18">
        <v>23288</v>
      </c>
      <c r="NZ20" s="18">
        <v>17808</v>
      </c>
      <c r="OA20" s="18">
        <v>10959</v>
      </c>
      <c r="OB20" s="18">
        <v>5479</v>
      </c>
      <c r="OC20" s="18">
        <v>1370</v>
      </c>
      <c r="OD20" s="18"/>
      <c r="OE20" s="18"/>
      <c r="OF20" s="18"/>
      <c r="OG20" s="18"/>
      <c r="OH20" s="18"/>
      <c r="OI20" s="18"/>
      <c r="OJ20" s="18"/>
      <c r="OK20" s="19">
        <f t="shared" si="23"/>
        <v>136986</v>
      </c>
      <c r="OL20" s="38">
        <v>4</v>
      </c>
      <c r="OM20" s="19">
        <f t="shared" si="40"/>
        <v>547944</v>
      </c>
      <c r="ON20" s="103"/>
      <c r="OP20" s="100"/>
      <c r="OQ20" s="21" t="s">
        <v>41</v>
      </c>
      <c r="OR20" s="18"/>
      <c r="OS20" s="18"/>
      <c r="OT20" s="18"/>
      <c r="OU20" s="18"/>
      <c r="OV20" s="18"/>
      <c r="OW20" s="18"/>
      <c r="OX20" s="18">
        <v>1370</v>
      </c>
      <c r="OY20" s="18">
        <v>5479</v>
      </c>
      <c r="OZ20" s="18">
        <v>10959</v>
      </c>
      <c r="PA20" s="18">
        <v>16438</v>
      </c>
      <c r="PB20" s="18">
        <v>20548</v>
      </c>
      <c r="PC20" s="18">
        <v>23288</v>
      </c>
      <c r="PD20" s="18">
        <v>23288</v>
      </c>
      <c r="PE20" s="18">
        <v>17808</v>
      </c>
      <c r="PF20" s="18">
        <v>10959</v>
      </c>
      <c r="PG20" s="18">
        <v>5479</v>
      </c>
      <c r="PH20" s="18">
        <v>1370</v>
      </c>
      <c r="PI20" s="18"/>
      <c r="PJ20" s="18"/>
      <c r="PK20" s="18"/>
      <c r="PL20" s="18"/>
      <c r="PM20" s="18"/>
      <c r="PN20" s="18"/>
      <c r="PO20" s="18"/>
      <c r="PP20" s="19">
        <f t="shared" si="25"/>
        <v>136986</v>
      </c>
      <c r="PQ20" s="38">
        <v>5</v>
      </c>
      <c r="PR20" s="19">
        <f t="shared" si="41"/>
        <v>684930</v>
      </c>
      <c r="PS20" s="103"/>
      <c r="PU20" s="100"/>
      <c r="PV20" s="21" t="s">
        <v>41</v>
      </c>
      <c r="PW20" s="18"/>
      <c r="PX20" s="18"/>
      <c r="PY20" s="18"/>
      <c r="PZ20" s="18"/>
      <c r="QA20" s="18"/>
      <c r="QB20" s="18"/>
      <c r="QC20" s="18">
        <v>1366</v>
      </c>
      <c r="QD20" s="18">
        <v>5464</v>
      </c>
      <c r="QE20" s="18">
        <v>10929</v>
      </c>
      <c r="QF20" s="18">
        <v>16393</v>
      </c>
      <c r="QG20" s="18">
        <v>20492</v>
      </c>
      <c r="QH20" s="18">
        <v>23224</v>
      </c>
      <c r="QI20" s="18">
        <v>23224</v>
      </c>
      <c r="QJ20" s="18">
        <v>17760</v>
      </c>
      <c r="QK20" s="18">
        <v>10929</v>
      </c>
      <c r="QL20" s="18">
        <v>5464</v>
      </c>
      <c r="QM20" s="18">
        <v>1366</v>
      </c>
      <c r="QN20" s="18"/>
      <c r="QO20" s="18"/>
      <c r="QP20" s="18"/>
      <c r="QQ20" s="18"/>
      <c r="QR20" s="18"/>
      <c r="QS20" s="18"/>
      <c r="QT20" s="18"/>
      <c r="QU20" s="19">
        <f t="shared" si="27"/>
        <v>136611</v>
      </c>
      <c r="QV20" s="45">
        <v>4</v>
      </c>
      <c r="QW20" s="19">
        <f t="shared" si="42"/>
        <v>546444</v>
      </c>
      <c r="QX20" s="103"/>
    </row>
    <row r="21" spans="1:466" x14ac:dyDescent="0.35">
      <c r="A21" s="100"/>
      <c r="B21" s="21" t="s">
        <v>42</v>
      </c>
      <c r="C21" s="18"/>
      <c r="D21" s="18"/>
      <c r="E21" s="18"/>
      <c r="F21" s="18"/>
      <c r="G21" s="18"/>
      <c r="H21" s="18"/>
      <c r="I21" s="18">
        <v>1370</v>
      </c>
      <c r="J21" s="18">
        <v>5479</v>
      </c>
      <c r="K21" s="18">
        <v>10959</v>
      </c>
      <c r="L21" s="18">
        <v>16438</v>
      </c>
      <c r="M21" s="18">
        <v>20548</v>
      </c>
      <c r="N21" s="18">
        <v>23288</v>
      </c>
      <c r="O21" s="18">
        <v>23288</v>
      </c>
      <c r="P21" s="18">
        <v>17808</v>
      </c>
      <c r="Q21" s="18">
        <v>10959</v>
      </c>
      <c r="R21" s="18">
        <v>5479</v>
      </c>
      <c r="S21" s="18">
        <v>1370</v>
      </c>
      <c r="T21" s="18"/>
      <c r="U21" s="18"/>
      <c r="V21" s="18"/>
      <c r="W21" s="18"/>
      <c r="X21" s="18"/>
      <c r="Y21" s="18"/>
      <c r="Z21" s="18"/>
      <c r="AA21" s="19">
        <f t="shared" si="0"/>
        <v>136986</v>
      </c>
      <c r="AB21" s="38">
        <v>4</v>
      </c>
      <c r="AC21" s="19">
        <f t="shared" si="1"/>
        <v>547944</v>
      </c>
      <c r="AD21" s="103"/>
      <c r="AF21" s="100"/>
      <c r="AG21" s="21" t="s">
        <v>42</v>
      </c>
      <c r="AH21" s="18"/>
      <c r="AI21" s="18"/>
      <c r="AJ21" s="18"/>
      <c r="AK21" s="18"/>
      <c r="AL21" s="18"/>
      <c r="AM21" s="18"/>
      <c r="AN21" s="18">
        <v>1370</v>
      </c>
      <c r="AO21" s="18">
        <v>5479</v>
      </c>
      <c r="AP21" s="18">
        <v>10959</v>
      </c>
      <c r="AQ21" s="18">
        <v>16438</v>
      </c>
      <c r="AR21" s="18">
        <v>20548</v>
      </c>
      <c r="AS21" s="18">
        <v>23288</v>
      </c>
      <c r="AT21" s="18">
        <v>23288</v>
      </c>
      <c r="AU21" s="18">
        <v>17808</v>
      </c>
      <c r="AV21" s="18">
        <v>10959</v>
      </c>
      <c r="AW21" s="18">
        <v>5479</v>
      </c>
      <c r="AX21" s="18">
        <v>1370</v>
      </c>
      <c r="AY21" s="18"/>
      <c r="AZ21" s="18"/>
      <c r="BA21" s="18"/>
      <c r="BB21" s="18"/>
      <c r="BC21" s="18"/>
      <c r="BD21" s="18"/>
      <c r="BE21" s="18"/>
      <c r="BF21" s="19">
        <f t="shared" si="2"/>
        <v>136986</v>
      </c>
      <c r="BG21" s="38">
        <v>4</v>
      </c>
      <c r="BH21" s="19">
        <f t="shared" si="29"/>
        <v>547944</v>
      </c>
      <c r="BI21" s="103"/>
      <c r="BK21" s="100"/>
      <c r="BL21" s="21" t="s">
        <v>42</v>
      </c>
      <c r="BM21" s="18"/>
      <c r="BN21" s="18"/>
      <c r="BO21" s="18"/>
      <c r="BP21" s="18"/>
      <c r="BQ21" s="18"/>
      <c r="BR21" s="18"/>
      <c r="BS21" s="18">
        <v>1366</v>
      </c>
      <c r="BT21" s="18">
        <v>5464</v>
      </c>
      <c r="BU21" s="18">
        <v>10929</v>
      </c>
      <c r="BV21" s="18">
        <v>16393</v>
      </c>
      <c r="BW21" s="18">
        <v>20492</v>
      </c>
      <c r="BX21" s="18">
        <v>23224</v>
      </c>
      <c r="BY21" s="18">
        <v>23224</v>
      </c>
      <c r="BZ21" s="18">
        <v>17760</v>
      </c>
      <c r="CA21" s="18">
        <v>10929</v>
      </c>
      <c r="CB21" s="18">
        <v>5464</v>
      </c>
      <c r="CC21" s="18">
        <v>1366</v>
      </c>
      <c r="CD21" s="18"/>
      <c r="CE21" s="18"/>
      <c r="CF21" s="18"/>
      <c r="CG21" s="18"/>
      <c r="CH21" s="18"/>
      <c r="CI21" s="18"/>
      <c r="CJ21" s="18"/>
      <c r="CK21" s="19">
        <f t="shared" si="4"/>
        <v>136611</v>
      </c>
      <c r="CL21" s="38">
        <v>5</v>
      </c>
      <c r="CM21" s="19">
        <f t="shared" si="30"/>
        <v>683055</v>
      </c>
      <c r="CN21" s="103"/>
      <c r="CP21" s="100"/>
      <c r="CQ21" s="21" t="s">
        <v>42</v>
      </c>
      <c r="CR21" s="18"/>
      <c r="CS21" s="18"/>
      <c r="CT21" s="18"/>
      <c r="CU21" s="18"/>
      <c r="CV21" s="18"/>
      <c r="CW21" s="18"/>
      <c r="CX21" s="18">
        <v>1370</v>
      </c>
      <c r="CY21" s="18">
        <v>5479</v>
      </c>
      <c r="CZ21" s="18">
        <v>10959</v>
      </c>
      <c r="DA21" s="18">
        <v>16438</v>
      </c>
      <c r="DB21" s="18">
        <v>20548</v>
      </c>
      <c r="DC21" s="18">
        <v>23288</v>
      </c>
      <c r="DD21" s="18">
        <v>23288</v>
      </c>
      <c r="DE21" s="18">
        <v>17808</v>
      </c>
      <c r="DF21" s="18">
        <v>10959</v>
      </c>
      <c r="DG21" s="18">
        <v>5479</v>
      </c>
      <c r="DH21" s="18">
        <v>1370</v>
      </c>
      <c r="DI21" s="18"/>
      <c r="DJ21" s="18"/>
      <c r="DK21" s="18"/>
      <c r="DL21" s="18"/>
      <c r="DM21" s="18"/>
      <c r="DN21" s="18"/>
      <c r="DO21" s="18"/>
      <c r="DP21" s="19">
        <f t="shared" si="6"/>
        <v>136986</v>
      </c>
      <c r="DQ21" s="38">
        <v>5</v>
      </c>
      <c r="DR21" s="19">
        <f t="shared" si="31"/>
        <v>684930</v>
      </c>
      <c r="DS21" s="103"/>
      <c r="DV21" s="100"/>
      <c r="DW21" s="21" t="s">
        <v>42</v>
      </c>
      <c r="DX21" s="18"/>
      <c r="DY21" s="18"/>
      <c r="DZ21" s="18"/>
      <c r="EA21" s="18"/>
      <c r="EB21" s="18"/>
      <c r="EC21" s="18"/>
      <c r="ED21" s="18">
        <v>1370</v>
      </c>
      <c r="EE21" s="18">
        <v>5479</v>
      </c>
      <c r="EF21" s="18">
        <v>10959</v>
      </c>
      <c r="EG21" s="18">
        <v>16438</v>
      </c>
      <c r="EH21" s="18">
        <v>20548</v>
      </c>
      <c r="EI21" s="18">
        <v>23288</v>
      </c>
      <c r="EJ21" s="18">
        <v>23288</v>
      </c>
      <c r="EK21" s="18">
        <v>17808</v>
      </c>
      <c r="EL21" s="18">
        <v>10959</v>
      </c>
      <c r="EM21" s="18">
        <v>5479</v>
      </c>
      <c r="EN21" s="18">
        <v>1370</v>
      </c>
      <c r="EO21" s="18"/>
      <c r="EP21" s="18"/>
      <c r="EQ21" s="18"/>
      <c r="ER21" s="18"/>
      <c r="ES21" s="18"/>
      <c r="ET21" s="18"/>
      <c r="EU21" s="18"/>
      <c r="EV21" s="19">
        <f t="shared" si="8"/>
        <v>136986</v>
      </c>
      <c r="EW21" s="38">
        <v>4</v>
      </c>
      <c r="EX21" s="19">
        <f t="shared" si="32"/>
        <v>547944</v>
      </c>
      <c r="EY21" s="103"/>
      <c r="FB21" s="100"/>
      <c r="FC21" s="21" t="s">
        <v>42</v>
      </c>
      <c r="FD21" s="18"/>
      <c r="FE21" s="18"/>
      <c r="FF21" s="18"/>
      <c r="FG21" s="18"/>
      <c r="FH21" s="18"/>
      <c r="FI21" s="18"/>
      <c r="FJ21" s="18">
        <v>1370</v>
      </c>
      <c r="FK21" s="18">
        <v>5479</v>
      </c>
      <c r="FL21" s="18">
        <v>10959</v>
      </c>
      <c r="FM21" s="18">
        <v>16438</v>
      </c>
      <c r="FN21" s="18">
        <v>20548</v>
      </c>
      <c r="FO21" s="18">
        <v>23288</v>
      </c>
      <c r="FP21" s="18">
        <v>23288</v>
      </c>
      <c r="FQ21" s="18">
        <v>17808</v>
      </c>
      <c r="FR21" s="18">
        <v>10959</v>
      </c>
      <c r="FS21" s="18">
        <v>5479</v>
      </c>
      <c r="FT21" s="18">
        <v>1370</v>
      </c>
      <c r="FU21" s="18"/>
      <c r="FV21" s="18"/>
      <c r="FW21" s="18"/>
      <c r="FX21" s="18"/>
      <c r="FY21" s="18"/>
      <c r="FZ21" s="18"/>
      <c r="GA21" s="18"/>
      <c r="GB21" s="19">
        <f t="shared" si="9"/>
        <v>136986</v>
      </c>
      <c r="GC21" s="38">
        <v>4</v>
      </c>
      <c r="GD21" s="19">
        <f t="shared" si="33"/>
        <v>547944</v>
      </c>
      <c r="GE21" s="103"/>
      <c r="GG21" s="100"/>
      <c r="GH21" s="21" t="s">
        <v>42</v>
      </c>
      <c r="GI21" s="18"/>
      <c r="GJ21" s="18"/>
      <c r="GK21" s="18"/>
      <c r="GL21" s="18"/>
      <c r="GM21" s="18"/>
      <c r="GN21" s="18"/>
      <c r="GO21" s="18">
        <v>1366</v>
      </c>
      <c r="GP21" s="18">
        <v>5464</v>
      </c>
      <c r="GQ21" s="18">
        <v>10929</v>
      </c>
      <c r="GR21" s="18">
        <v>16393</v>
      </c>
      <c r="GS21" s="18">
        <v>20492</v>
      </c>
      <c r="GT21" s="18">
        <v>23224</v>
      </c>
      <c r="GU21" s="18">
        <v>23224</v>
      </c>
      <c r="GV21" s="18">
        <v>17760</v>
      </c>
      <c r="GW21" s="18">
        <v>10929</v>
      </c>
      <c r="GX21" s="18">
        <v>5464</v>
      </c>
      <c r="GY21" s="18">
        <v>1366</v>
      </c>
      <c r="GZ21" s="18"/>
      <c r="HA21" s="18"/>
      <c r="HB21" s="18"/>
      <c r="HC21" s="18"/>
      <c r="HD21" s="18"/>
      <c r="HE21" s="18"/>
      <c r="HF21" s="18"/>
      <c r="HG21" s="19">
        <f t="shared" si="11"/>
        <v>136611</v>
      </c>
      <c r="HH21" s="38">
        <v>4</v>
      </c>
      <c r="HI21" s="19">
        <f t="shared" si="34"/>
        <v>546444</v>
      </c>
      <c r="HJ21" s="103"/>
      <c r="HL21" s="100"/>
      <c r="HM21" s="21" t="s">
        <v>42</v>
      </c>
      <c r="HN21" s="18"/>
      <c r="HO21" s="18"/>
      <c r="HP21" s="18"/>
      <c r="HQ21" s="18"/>
      <c r="HR21" s="18"/>
      <c r="HS21" s="18"/>
      <c r="HT21" s="18">
        <v>1370</v>
      </c>
      <c r="HU21" s="18">
        <v>5479</v>
      </c>
      <c r="HV21" s="18">
        <v>10959</v>
      </c>
      <c r="HW21" s="18">
        <v>16438</v>
      </c>
      <c r="HX21" s="18">
        <v>20548</v>
      </c>
      <c r="HY21" s="18">
        <v>23288</v>
      </c>
      <c r="HZ21" s="18">
        <v>23288</v>
      </c>
      <c r="IA21" s="18">
        <v>17808</v>
      </c>
      <c r="IB21" s="18">
        <v>10959</v>
      </c>
      <c r="IC21" s="18">
        <v>5479</v>
      </c>
      <c r="ID21" s="18">
        <v>1370</v>
      </c>
      <c r="IE21" s="18"/>
      <c r="IF21" s="18"/>
      <c r="IG21" s="18"/>
      <c r="IH21" s="18"/>
      <c r="II21" s="18"/>
      <c r="IJ21" s="18"/>
      <c r="IK21" s="18"/>
      <c r="IL21" s="19">
        <f t="shared" si="13"/>
        <v>136986</v>
      </c>
      <c r="IM21" s="38">
        <v>4</v>
      </c>
      <c r="IN21" s="19">
        <f t="shared" si="35"/>
        <v>547944</v>
      </c>
      <c r="IO21" s="103"/>
      <c r="IQ21" s="100"/>
      <c r="IR21" s="21" t="s">
        <v>42</v>
      </c>
      <c r="IS21" s="18"/>
      <c r="IT21" s="18"/>
      <c r="IU21" s="18"/>
      <c r="IV21" s="18"/>
      <c r="IW21" s="18"/>
      <c r="IX21" s="18"/>
      <c r="IY21" s="18">
        <v>1370</v>
      </c>
      <c r="IZ21" s="18">
        <v>5479</v>
      </c>
      <c r="JA21" s="18">
        <v>10959</v>
      </c>
      <c r="JB21" s="18">
        <v>16438</v>
      </c>
      <c r="JC21" s="18">
        <v>20548</v>
      </c>
      <c r="JD21" s="18">
        <v>23288</v>
      </c>
      <c r="JE21" s="18">
        <v>23288</v>
      </c>
      <c r="JF21" s="18">
        <v>17808</v>
      </c>
      <c r="JG21" s="18">
        <v>10959</v>
      </c>
      <c r="JH21" s="18">
        <v>5479</v>
      </c>
      <c r="JI21" s="18">
        <v>1370</v>
      </c>
      <c r="JJ21" s="18"/>
      <c r="JK21" s="18"/>
      <c r="JL21" s="18"/>
      <c r="JM21" s="18"/>
      <c r="JN21" s="18"/>
      <c r="JO21" s="18"/>
      <c r="JP21" s="18"/>
      <c r="JQ21" s="19">
        <f t="shared" si="15"/>
        <v>136986</v>
      </c>
      <c r="JR21" s="38">
        <v>5</v>
      </c>
      <c r="JS21" s="19">
        <f t="shared" si="36"/>
        <v>684930</v>
      </c>
      <c r="JT21" s="103"/>
      <c r="JV21" s="100"/>
      <c r="JW21" s="21" t="s">
        <v>42</v>
      </c>
      <c r="JX21" s="18"/>
      <c r="JY21" s="18"/>
      <c r="JZ21" s="18"/>
      <c r="KA21" s="18"/>
      <c r="KB21" s="18"/>
      <c r="KC21" s="18"/>
      <c r="KD21" s="18"/>
      <c r="KE21" s="18">
        <v>1370</v>
      </c>
      <c r="KF21" s="18">
        <v>5479</v>
      </c>
      <c r="KG21" s="18">
        <v>10959</v>
      </c>
      <c r="KH21" s="18">
        <v>16438</v>
      </c>
      <c r="KI21" s="18">
        <v>20548</v>
      </c>
      <c r="KJ21" s="18">
        <v>23288</v>
      </c>
      <c r="KK21" s="18">
        <v>23288</v>
      </c>
      <c r="KL21" s="18">
        <v>17808</v>
      </c>
      <c r="KM21" s="18">
        <v>10959</v>
      </c>
      <c r="KN21" s="18">
        <v>5479</v>
      </c>
      <c r="KO21" s="18">
        <v>1370</v>
      </c>
      <c r="KP21" s="18"/>
      <c r="KQ21" s="18"/>
      <c r="KR21" s="18"/>
      <c r="KS21" s="18"/>
      <c r="KT21" s="18"/>
      <c r="KU21" s="18"/>
      <c r="KV21" s="19">
        <f t="shared" si="17"/>
        <v>136986</v>
      </c>
      <c r="KW21" s="38">
        <v>5</v>
      </c>
      <c r="KX21" s="19">
        <f t="shared" si="37"/>
        <v>684930</v>
      </c>
      <c r="KY21" s="103"/>
      <c r="LA21" s="100"/>
      <c r="LB21" s="21" t="s">
        <v>42</v>
      </c>
      <c r="LC21" s="18"/>
      <c r="LD21" s="18"/>
      <c r="LE21" s="18"/>
      <c r="LF21" s="18"/>
      <c r="LG21" s="18"/>
      <c r="LH21" s="18"/>
      <c r="LI21" s="18">
        <v>1366</v>
      </c>
      <c r="LJ21" s="18">
        <v>5464</v>
      </c>
      <c r="LK21" s="18">
        <v>10929</v>
      </c>
      <c r="LL21" s="18">
        <v>16393</v>
      </c>
      <c r="LM21" s="18">
        <v>20492</v>
      </c>
      <c r="LN21" s="18">
        <v>23224</v>
      </c>
      <c r="LO21" s="18">
        <v>23224</v>
      </c>
      <c r="LP21" s="18">
        <v>17760</v>
      </c>
      <c r="LQ21" s="18">
        <v>10929</v>
      </c>
      <c r="LR21" s="18">
        <v>5464</v>
      </c>
      <c r="LS21" s="18">
        <v>1366</v>
      </c>
      <c r="LT21" s="18"/>
      <c r="LU21" s="18"/>
      <c r="LV21" s="18"/>
      <c r="LW21" s="18"/>
      <c r="LX21" s="18"/>
      <c r="LY21" s="18"/>
      <c r="LZ21" s="18"/>
      <c r="MA21" s="19">
        <f t="shared" si="19"/>
        <v>136611</v>
      </c>
      <c r="MB21" s="38">
        <v>4</v>
      </c>
      <c r="MC21" s="19">
        <f t="shared" si="38"/>
        <v>546444</v>
      </c>
      <c r="MD21" s="103"/>
      <c r="MF21" s="100"/>
      <c r="MG21" s="21" t="s">
        <v>42</v>
      </c>
      <c r="MH21" s="18"/>
      <c r="MI21" s="18"/>
      <c r="MJ21" s="18"/>
      <c r="MK21" s="18"/>
      <c r="ML21" s="18"/>
      <c r="MM21" s="18"/>
      <c r="MN21" s="18">
        <v>1370</v>
      </c>
      <c r="MO21" s="18">
        <v>5479</v>
      </c>
      <c r="MP21" s="18">
        <v>10959</v>
      </c>
      <c r="MQ21" s="18">
        <v>16438</v>
      </c>
      <c r="MR21" s="18">
        <v>20548</v>
      </c>
      <c r="MS21" s="18">
        <v>23288</v>
      </c>
      <c r="MT21" s="18">
        <v>23288</v>
      </c>
      <c r="MU21" s="18">
        <v>17808</v>
      </c>
      <c r="MV21" s="18">
        <v>10959</v>
      </c>
      <c r="MW21" s="18">
        <v>5479</v>
      </c>
      <c r="MX21" s="18">
        <v>1370</v>
      </c>
      <c r="MY21" s="18"/>
      <c r="MZ21" s="18"/>
      <c r="NA21" s="18"/>
      <c r="NB21" s="18"/>
      <c r="NC21" s="18"/>
      <c r="ND21" s="18"/>
      <c r="NE21" s="18"/>
      <c r="NF21" s="19">
        <f t="shared" si="21"/>
        <v>136986</v>
      </c>
      <c r="NG21" s="38">
        <v>4</v>
      </c>
      <c r="NH21" s="19">
        <f t="shared" si="39"/>
        <v>547944</v>
      </c>
      <c r="NI21" s="103"/>
      <c r="NK21" s="100"/>
      <c r="NL21" s="21" t="s">
        <v>42</v>
      </c>
      <c r="NM21" s="18"/>
      <c r="NN21" s="18"/>
      <c r="NO21" s="18"/>
      <c r="NP21" s="18"/>
      <c r="NQ21" s="18"/>
      <c r="NR21" s="18"/>
      <c r="NS21" s="18">
        <v>1370</v>
      </c>
      <c r="NT21" s="18">
        <v>5479</v>
      </c>
      <c r="NU21" s="18">
        <v>10959</v>
      </c>
      <c r="NV21" s="18">
        <v>16438</v>
      </c>
      <c r="NW21" s="18">
        <v>20548</v>
      </c>
      <c r="NX21" s="18">
        <v>23288</v>
      </c>
      <c r="NY21" s="18">
        <v>23288</v>
      </c>
      <c r="NZ21" s="18">
        <v>17808</v>
      </c>
      <c r="OA21" s="18">
        <v>10959</v>
      </c>
      <c r="OB21" s="18">
        <v>5479</v>
      </c>
      <c r="OC21" s="18">
        <v>1370</v>
      </c>
      <c r="OD21" s="18"/>
      <c r="OE21" s="18"/>
      <c r="OF21" s="18"/>
      <c r="OG21" s="18"/>
      <c r="OH21" s="18"/>
      <c r="OI21" s="18"/>
      <c r="OJ21" s="18"/>
      <c r="OK21" s="19">
        <f t="shared" si="23"/>
        <v>136986</v>
      </c>
      <c r="OL21" s="38">
        <v>4</v>
      </c>
      <c r="OM21" s="19">
        <f t="shared" si="40"/>
        <v>547944</v>
      </c>
      <c r="ON21" s="103"/>
      <c r="OP21" s="100"/>
      <c r="OQ21" s="21" t="s">
        <v>42</v>
      </c>
      <c r="OR21" s="18"/>
      <c r="OS21" s="18"/>
      <c r="OT21" s="18"/>
      <c r="OU21" s="18"/>
      <c r="OV21" s="18"/>
      <c r="OW21" s="18"/>
      <c r="OX21" s="18">
        <v>1370</v>
      </c>
      <c r="OY21" s="18">
        <v>5479</v>
      </c>
      <c r="OZ21" s="18">
        <v>10959</v>
      </c>
      <c r="PA21" s="18">
        <v>16438</v>
      </c>
      <c r="PB21" s="18">
        <v>20548</v>
      </c>
      <c r="PC21" s="18">
        <v>23288</v>
      </c>
      <c r="PD21" s="18">
        <v>23288</v>
      </c>
      <c r="PE21" s="18">
        <v>17808</v>
      </c>
      <c r="PF21" s="18">
        <v>10959</v>
      </c>
      <c r="PG21" s="18">
        <v>5479</v>
      </c>
      <c r="PH21" s="18">
        <v>1370</v>
      </c>
      <c r="PI21" s="18"/>
      <c r="PJ21" s="18"/>
      <c r="PK21" s="18"/>
      <c r="PL21" s="18"/>
      <c r="PM21" s="18"/>
      <c r="PN21" s="18"/>
      <c r="PO21" s="18"/>
      <c r="PP21" s="19">
        <f t="shared" si="25"/>
        <v>136986</v>
      </c>
      <c r="PQ21" s="38">
        <v>4</v>
      </c>
      <c r="PR21" s="19">
        <f t="shared" si="41"/>
        <v>547944</v>
      </c>
      <c r="PS21" s="103"/>
      <c r="PU21" s="100"/>
      <c r="PV21" s="21" t="s">
        <v>42</v>
      </c>
      <c r="PW21" s="18"/>
      <c r="PX21" s="18"/>
      <c r="PY21" s="18"/>
      <c r="PZ21" s="18"/>
      <c r="QA21" s="18"/>
      <c r="QB21" s="18"/>
      <c r="QC21" s="18">
        <v>1366</v>
      </c>
      <c r="QD21" s="18">
        <v>5464</v>
      </c>
      <c r="QE21" s="18">
        <v>10929</v>
      </c>
      <c r="QF21" s="18">
        <v>16393</v>
      </c>
      <c r="QG21" s="18">
        <v>20492</v>
      </c>
      <c r="QH21" s="18">
        <v>23224</v>
      </c>
      <c r="QI21" s="18">
        <v>23224</v>
      </c>
      <c r="QJ21" s="18">
        <v>17760</v>
      </c>
      <c r="QK21" s="18">
        <v>10929</v>
      </c>
      <c r="QL21" s="18">
        <v>5464</v>
      </c>
      <c r="QM21" s="18">
        <v>1366</v>
      </c>
      <c r="QN21" s="18"/>
      <c r="QO21" s="18"/>
      <c r="QP21" s="18"/>
      <c r="QQ21" s="18"/>
      <c r="QR21" s="18"/>
      <c r="QS21" s="18"/>
      <c r="QT21" s="18"/>
      <c r="QU21" s="19">
        <f t="shared" si="27"/>
        <v>136611</v>
      </c>
      <c r="QV21" s="45">
        <v>5</v>
      </c>
      <c r="QW21" s="19">
        <f t="shared" si="42"/>
        <v>683055</v>
      </c>
      <c r="QX21" s="103"/>
    </row>
    <row r="22" spans="1:466" ht="15" thickBot="1" x14ac:dyDescent="0.4">
      <c r="A22" s="101"/>
      <c r="B22" s="22" t="s">
        <v>43</v>
      </c>
      <c r="C22" s="18"/>
      <c r="D22" s="18"/>
      <c r="E22" s="18"/>
      <c r="F22" s="18"/>
      <c r="G22" s="18"/>
      <c r="H22" s="18"/>
      <c r="I22" s="18">
        <v>1370</v>
      </c>
      <c r="J22" s="18">
        <v>5479</v>
      </c>
      <c r="K22" s="18">
        <v>10959</v>
      </c>
      <c r="L22" s="18">
        <v>16438</v>
      </c>
      <c r="M22" s="18">
        <v>20548</v>
      </c>
      <c r="N22" s="18">
        <v>23288</v>
      </c>
      <c r="O22" s="18">
        <v>23288</v>
      </c>
      <c r="P22" s="18">
        <v>17808</v>
      </c>
      <c r="Q22" s="18">
        <v>10959</v>
      </c>
      <c r="R22" s="18">
        <v>5479</v>
      </c>
      <c r="S22" s="18">
        <v>1370</v>
      </c>
      <c r="T22" s="18"/>
      <c r="U22" s="18"/>
      <c r="V22" s="18"/>
      <c r="W22" s="18"/>
      <c r="X22" s="18"/>
      <c r="Y22" s="18"/>
      <c r="Z22" s="18"/>
      <c r="AA22" s="19">
        <f t="shared" si="0"/>
        <v>136986</v>
      </c>
      <c r="AB22" s="41">
        <v>2</v>
      </c>
      <c r="AC22" s="19">
        <f t="shared" si="1"/>
        <v>273972</v>
      </c>
      <c r="AD22" s="104"/>
      <c r="AF22" s="101"/>
      <c r="AG22" s="22" t="s">
        <v>43</v>
      </c>
      <c r="AH22" s="18"/>
      <c r="AI22" s="18"/>
      <c r="AJ22" s="18"/>
      <c r="AK22" s="18"/>
      <c r="AL22" s="18"/>
      <c r="AM22" s="18"/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/>
      <c r="AZ22" s="18"/>
      <c r="BA22" s="18"/>
      <c r="BB22" s="18"/>
      <c r="BC22" s="18"/>
      <c r="BD22" s="18"/>
      <c r="BE22" s="18"/>
      <c r="BF22" s="19">
        <f t="shared" si="2"/>
        <v>0</v>
      </c>
      <c r="BG22" s="41">
        <v>0</v>
      </c>
      <c r="BH22" s="19">
        <f t="shared" si="29"/>
        <v>0</v>
      </c>
      <c r="BI22" s="104"/>
      <c r="BK22" s="101"/>
      <c r="BL22" s="22" t="s">
        <v>43</v>
      </c>
      <c r="BM22" s="18"/>
      <c r="BN22" s="18"/>
      <c r="BO22" s="18"/>
      <c r="BP22" s="18"/>
      <c r="BQ22" s="18"/>
      <c r="BR22" s="18"/>
      <c r="BS22" s="18">
        <v>1366</v>
      </c>
      <c r="BT22" s="18">
        <v>5464</v>
      </c>
      <c r="BU22" s="18">
        <v>10929</v>
      </c>
      <c r="BV22" s="18">
        <v>16393</v>
      </c>
      <c r="BW22" s="18">
        <v>20492</v>
      </c>
      <c r="BX22" s="18">
        <v>23224</v>
      </c>
      <c r="BY22" s="18">
        <v>23224</v>
      </c>
      <c r="BZ22" s="18">
        <v>17760</v>
      </c>
      <c r="CA22" s="18">
        <v>10929</v>
      </c>
      <c r="CB22" s="18">
        <v>5464</v>
      </c>
      <c r="CC22" s="18">
        <v>1366</v>
      </c>
      <c r="CD22" s="18"/>
      <c r="CE22" s="18"/>
      <c r="CF22" s="18"/>
      <c r="CG22" s="18"/>
      <c r="CH22" s="18"/>
      <c r="CI22" s="18"/>
      <c r="CJ22" s="18"/>
      <c r="CK22" s="19">
        <f t="shared" si="4"/>
        <v>136611</v>
      </c>
      <c r="CL22" s="41">
        <v>2</v>
      </c>
      <c r="CM22" s="19">
        <f t="shared" si="30"/>
        <v>273222</v>
      </c>
      <c r="CN22" s="104"/>
      <c r="CP22" s="101"/>
      <c r="CQ22" s="22" t="s">
        <v>43</v>
      </c>
      <c r="CR22" s="18"/>
      <c r="CS22" s="18"/>
      <c r="CT22" s="18"/>
      <c r="CU22" s="18"/>
      <c r="CV22" s="18"/>
      <c r="CW22" s="18"/>
      <c r="CX22" s="18">
        <v>0</v>
      </c>
      <c r="CY22" s="18">
        <v>0</v>
      </c>
      <c r="CZ22" s="18">
        <v>0</v>
      </c>
      <c r="DA22" s="18">
        <v>0</v>
      </c>
      <c r="DB22" s="18">
        <v>0</v>
      </c>
      <c r="DC22" s="18">
        <v>0</v>
      </c>
      <c r="DD22" s="18">
        <v>0</v>
      </c>
      <c r="DE22" s="18">
        <v>0</v>
      </c>
      <c r="DF22" s="18">
        <v>0</v>
      </c>
      <c r="DG22" s="18">
        <v>0</v>
      </c>
      <c r="DH22" s="18">
        <v>0</v>
      </c>
      <c r="DI22" s="18"/>
      <c r="DJ22" s="18"/>
      <c r="DK22" s="18"/>
      <c r="DL22" s="18"/>
      <c r="DM22" s="18"/>
      <c r="DN22" s="18"/>
      <c r="DO22" s="18"/>
      <c r="DP22" s="19">
        <f t="shared" si="6"/>
        <v>0</v>
      </c>
      <c r="DQ22" s="39">
        <v>0</v>
      </c>
      <c r="DR22" s="19">
        <f t="shared" si="31"/>
        <v>0</v>
      </c>
      <c r="DS22" s="104"/>
      <c r="DV22" s="101"/>
      <c r="DW22" s="22" t="s">
        <v>43</v>
      </c>
      <c r="DX22" s="18"/>
      <c r="DY22" s="18"/>
      <c r="DZ22" s="18"/>
      <c r="EA22" s="18"/>
      <c r="EB22" s="18"/>
      <c r="EC22" s="18"/>
      <c r="ED22" s="18">
        <v>1370</v>
      </c>
      <c r="EE22" s="18">
        <v>5479</v>
      </c>
      <c r="EF22" s="18">
        <v>10959</v>
      </c>
      <c r="EG22" s="18">
        <v>16438</v>
      </c>
      <c r="EH22" s="18">
        <v>20548</v>
      </c>
      <c r="EI22" s="18">
        <v>23288</v>
      </c>
      <c r="EJ22" s="18">
        <v>23288</v>
      </c>
      <c r="EK22" s="18">
        <v>17808</v>
      </c>
      <c r="EL22" s="18">
        <v>10959</v>
      </c>
      <c r="EM22" s="18">
        <v>5479</v>
      </c>
      <c r="EN22" s="18">
        <v>1370</v>
      </c>
      <c r="EO22" s="18"/>
      <c r="EP22" s="18"/>
      <c r="EQ22" s="18"/>
      <c r="ER22" s="18"/>
      <c r="ES22" s="18"/>
      <c r="ET22" s="18"/>
      <c r="EU22" s="18"/>
      <c r="EV22" s="19">
        <f t="shared" si="8"/>
        <v>136986</v>
      </c>
      <c r="EW22" s="39">
        <v>2</v>
      </c>
      <c r="EX22" s="19">
        <f t="shared" si="32"/>
        <v>273972</v>
      </c>
      <c r="EY22" s="104"/>
      <c r="FB22" s="101"/>
      <c r="FC22" s="22" t="s">
        <v>43</v>
      </c>
      <c r="FD22" s="18"/>
      <c r="FE22" s="18"/>
      <c r="FF22" s="18"/>
      <c r="FG22" s="18"/>
      <c r="FH22" s="18"/>
      <c r="FI22" s="18"/>
      <c r="FJ22" s="18">
        <v>1370</v>
      </c>
      <c r="FK22" s="18">
        <v>5479</v>
      </c>
      <c r="FL22" s="18">
        <v>10959</v>
      </c>
      <c r="FM22" s="18">
        <v>16438</v>
      </c>
      <c r="FN22" s="18">
        <v>20548</v>
      </c>
      <c r="FO22" s="18">
        <v>23288</v>
      </c>
      <c r="FP22" s="18">
        <v>23288</v>
      </c>
      <c r="FQ22" s="18">
        <v>17808</v>
      </c>
      <c r="FR22" s="18">
        <v>10959</v>
      </c>
      <c r="FS22" s="18">
        <v>5479</v>
      </c>
      <c r="FT22" s="18">
        <v>1370</v>
      </c>
      <c r="FU22" s="18"/>
      <c r="FV22" s="18"/>
      <c r="FW22" s="18"/>
      <c r="FX22" s="18"/>
      <c r="FY22" s="18"/>
      <c r="FZ22" s="18"/>
      <c r="GA22" s="18"/>
      <c r="GB22" s="19">
        <f t="shared" si="9"/>
        <v>136986</v>
      </c>
      <c r="GC22" s="39">
        <v>2</v>
      </c>
      <c r="GD22" s="19">
        <f t="shared" si="33"/>
        <v>273972</v>
      </c>
      <c r="GE22" s="104"/>
      <c r="GG22" s="101"/>
      <c r="GH22" s="22" t="s">
        <v>43</v>
      </c>
      <c r="GI22" s="18"/>
      <c r="GJ22" s="18"/>
      <c r="GK22" s="18"/>
      <c r="GL22" s="18"/>
      <c r="GM22" s="18"/>
      <c r="GN22" s="18"/>
      <c r="GO22" s="18">
        <v>1366</v>
      </c>
      <c r="GP22" s="18">
        <v>5464</v>
      </c>
      <c r="GQ22" s="18">
        <v>10929</v>
      </c>
      <c r="GR22" s="18">
        <v>16393</v>
      </c>
      <c r="GS22" s="18">
        <v>20492</v>
      </c>
      <c r="GT22" s="18">
        <v>23224</v>
      </c>
      <c r="GU22" s="18">
        <v>23224</v>
      </c>
      <c r="GV22" s="18">
        <v>17760</v>
      </c>
      <c r="GW22" s="18">
        <v>10929</v>
      </c>
      <c r="GX22" s="18">
        <v>5464</v>
      </c>
      <c r="GY22" s="18">
        <v>1366</v>
      </c>
      <c r="GZ22" s="18"/>
      <c r="HA22" s="18"/>
      <c r="HB22" s="18"/>
      <c r="HC22" s="18"/>
      <c r="HD22" s="18"/>
      <c r="HE22" s="18"/>
      <c r="HF22" s="18"/>
      <c r="HG22" s="19">
        <f t="shared" si="11"/>
        <v>136611</v>
      </c>
      <c r="HH22" s="39">
        <v>0</v>
      </c>
      <c r="HI22" s="19">
        <f t="shared" si="34"/>
        <v>0</v>
      </c>
      <c r="HJ22" s="104"/>
      <c r="HL22" s="101"/>
      <c r="HM22" s="22" t="s">
        <v>43</v>
      </c>
      <c r="HN22" s="18"/>
      <c r="HO22" s="18"/>
      <c r="HP22" s="18"/>
      <c r="HQ22" s="18"/>
      <c r="HR22" s="18"/>
      <c r="HS22" s="18"/>
      <c r="HT22" s="18">
        <v>1370</v>
      </c>
      <c r="HU22" s="18">
        <v>5479</v>
      </c>
      <c r="HV22" s="18">
        <v>10959</v>
      </c>
      <c r="HW22" s="18">
        <v>16438</v>
      </c>
      <c r="HX22" s="18">
        <v>20548</v>
      </c>
      <c r="HY22" s="18">
        <v>23288</v>
      </c>
      <c r="HZ22" s="18">
        <v>23288</v>
      </c>
      <c r="IA22" s="18">
        <v>17808</v>
      </c>
      <c r="IB22" s="18">
        <v>10959</v>
      </c>
      <c r="IC22" s="18">
        <v>5479</v>
      </c>
      <c r="ID22" s="18">
        <v>1370</v>
      </c>
      <c r="IE22" s="18"/>
      <c r="IF22" s="18"/>
      <c r="IG22" s="18"/>
      <c r="IH22" s="18"/>
      <c r="II22" s="18"/>
      <c r="IJ22" s="18"/>
      <c r="IK22" s="18"/>
      <c r="IL22" s="19">
        <f t="shared" si="13"/>
        <v>136986</v>
      </c>
      <c r="IM22" s="39">
        <v>2</v>
      </c>
      <c r="IN22" s="19">
        <f t="shared" si="35"/>
        <v>273972</v>
      </c>
      <c r="IO22" s="104"/>
      <c r="IQ22" s="101"/>
      <c r="IR22" s="22" t="s">
        <v>43</v>
      </c>
      <c r="IS22" s="18"/>
      <c r="IT22" s="18"/>
      <c r="IU22" s="18"/>
      <c r="IV22" s="18"/>
      <c r="IW22" s="18"/>
      <c r="IX22" s="18"/>
      <c r="IY22" s="18">
        <v>1370</v>
      </c>
      <c r="IZ22" s="18">
        <v>5479</v>
      </c>
      <c r="JA22" s="18">
        <v>10959</v>
      </c>
      <c r="JB22" s="18">
        <v>16438</v>
      </c>
      <c r="JC22" s="18">
        <v>20548</v>
      </c>
      <c r="JD22" s="18">
        <v>23288</v>
      </c>
      <c r="JE22" s="18">
        <v>23288</v>
      </c>
      <c r="JF22" s="18">
        <v>17808</v>
      </c>
      <c r="JG22" s="18">
        <v>10959</v>
      </c>
      <c r="JH22" s="18">
        <v>5479</v>
      </c>
      <c r="JI22" s="18">
        <v>1370</v>
      </c>
      <c r="JJ22" s="18"/>
      <c r="JK22" s="18"/>
      <c r="JL22" s="18"/>
      <c r="JM22" s="18"/>
      <c r="JN22" s="18"/>
      <c r="JO22" s="18"/>
      <c r="JP22" s="18"/>
      <c r="JQ22" s="19">
        <f t="shared" si="15"/>
        <v>136986</v>
      </c>
      <c r="JR22" s="39">
        <v>2</v>
      </c>
      <c r="JS22" s="19">
        <f t="shared" si="36"/>
        <v>273972</v>
      </c>
      <c r="JT22" s="104"/>
      <c r="JV22" s="101"/>
      <c r="JW22" s="22" t="s">
        <v>43</v>
      </c>
      <c r="JX22" s="18"/>
      <c r="JY22" s="18"/>
      <c r="JZ22" s="18"/>
      <c r="KA22" s="18"/>
      <c r="KB22" s="18"/>
      <c r="KC22" s="18"/>
      <c r="KD22" s="18"/>
      <c r="KE22" s="18">
        <v>1370</v>
      </c>
      <c r="KF22" s="18">
        <v>5479</v>
      </c>
      <c r="KG22" s="18">
        <v>10959</v>
      </c>
      <c r="KH22" s="18">
        <v>16438</v>
      </c>
      <c r="KI22" s="18">
        <v>20548</v>
      </c>
      <c r="KJ22" s="18">
        <v>23288</v>
      </c>
      <c r="KK22" s="18">
        <v>23288</v>
      </c>
      <c r="KL22" s="18">
        <v>17808</v>
      </c>
      <c r="KM22" s="18">
        <v>10959</v>
      </c>
      <c r="KN22" s="18">
        <v>5479</v>
      </c>
      <c r="KO22" s="18">
        <v>1370</v>
      </c>
      <c r="KP22" s="18"/>
      <c r="KQ22" s="18"/>
      <c r="KR22" s="18"/>
      <c r="KS22" s="18"/>
      <c r="KT22" s="18"/>
      <c r="KU22" s="18"/>
      <c r="KV22" s="19">
        <f t="shared" si="17"/>
        <v>136986</v>
      </c>
      <c r="KW22" s="39">
        <v>0</v>
      </c>
      <c r="KX22" s="19">
        <f t="shared" si="37"/>
        <v>0</v>
      </c>
      <c r="KY22" s="104"/>
      <c r="LA22" s="101"/>
      <c r="LB22" s="22" t="s">
        <v>43</v>
      </c>
      <c r="LC22" s="18"/>
      <c r="LD22" s="18"/>
      <c r="LE22" s="18"/>
      <c r="LF22" s="18"/>
      <c r="LG22" s="18"/>
      <c r="LH22" s="18"/>
      <c r="LI22" s="18">
        <v>1366</v>
      </c>
      <c r="LJ22" s="18">
        <v>5464</v>
      </c>
      <c r="LK22" s="18">
        <v>10929</v>
      </c>
      <c r="LL22" s="18">
        <v>16393</v>
      </c>
      <c r="LM22" s="18">
        <v>20492</v>
      </c>
      <c r="LN22" s="18">
        <v>23224</v>
      </c>
      <c r="LO22" s="18">
        <v>23224</v>
      </c>
      <c r="LP22" s="18">
        <v>17760</v>
      </c>
      <c r="LQ22" s="18">
        <v>10929</v>
      </c>
      <c r="LR22" s="18">
        <v>5464</v>
      </c>
      <c r="LS22" s="18">
        <v>1366</v>
      </c>
      <c r="LT22" s="18"/>
      <c r="LU22" s="18"/>
      <c r="LV22" s="18"/>
      <c r="LW22" s="18"/>
      <c r="LX22" s="18"/>
      <c r="LY22" s="18"/>
      <c r="LZ22" s="18"/>
      <c r="MA22" s="19">
        <f t="shared" si="19"/>
        <v>136611</v>
      </c>
      <c r="MB22" s="39">
        <v>2</v>
      </c>
      <c r="MC22" s="19">
        <f t="shared" si="38"/>
        <v>273222</v>
      </c>
      <c r="MD22" s="104"/>
      <c r="MF22" s="101"/>
      <c r="MG22" s="22" t="s">
        <v>43</v>
      </c>
      <c r="MH22" s="18"/>
      <c r="MI22" s="18"/>
      <c r="MJ22" s="18"/>
      <c r="MK22" s="18"/>
      <c r="ML22" s="18"/>
      <c r="MM22" s="18"/>
      <c r="MN22" s="18">
        <v>1370</v>
      </c>
      <c r="MO22" s="18">
        <v>5479</v>
      </c>
      <c r="MP22" s="18">
        <v>10959</v>
      </c>
      <c r="MQ22" s="18">
        <v>16438</v>
      </c>
      <c r="MR22" s="18">
        <v>20548</v>
      </c>
      <c r="MS22" s="18">
        <v>23288</v>
      </c>
      <c r="MT22" s="18">
        <v>23288</v>
      </c>
      <c r="MU22" s="18">
        <v>17808</v>
      </c>
      <c r="MV22" s="18">
        <v>10959</v>
      </c>
      <c r="MW22" s="18">
        <v>5479</v>
      </c>
      <c r="MX22" s="18">
        <v>1370</v>
      </c>
      <c r="MY22" s="18"/>
      <c r="MZ22" s="18"/>
      <c r="NA22" s="18"/>
      <c r="NB22" s="18"/>
      <c r="NC22" s="18"/>
      <c r="ND22" s="18"/>
      <c r="NE22" s="18"/>
      <c r="NF22" s="19">
        <f t="shared" si="21"/>
        <v>136986</v>
      </c>
      <c r="NG22" s="39">
        <v>2</v>
      </c>
      <c r="NH22" s="19">
        <f t="shared" si="39"/>
        <v>273972</v>
      </c>
      <c r="NI22" s="104"/>
      <c r="NK22" s="101"/>
      <c r="NL22" s="22" t="s">
        <v>43</v>
      </c>
      <c r="NM22" s="18"/>
      <c r="NN22" s="18"/>
      <c r="NO22" s="18"/>
      <c r="NP22" s="18"/>
      <c r="NQ22" s="18"/>
      <c r="NR22" s="18"/>
      <c r="NS22" s="18">
        <v>1370</v>
      </c>
      <c r="NT22" s="18">
        <v>5479</v>
      </c>
      <c r="NU22" s="18">
        <v>10959</v>
      </c>
      <c r="NV22" s="18">
        <v>16438</v>
      </c>
      <c r="NW22" s="18">
        <v>20548</v>
      </c>
      <c r="NX22" s="18">
        <v>23288</v>
      </c>
      <c r="NY22" s="18">
        <v>23288</v>
      </c>
      <c r="NZ22" s="18">
        <v>17808</v>
      </c>
      <c r="OA22" s="18">
        <v>10959</v>
      </c>
      <c r="OB22" s="18">
        <v>5479</v>
      </c>
      <c r="OC22" s="18">
        <v>1370</v>
      </c>
      <c r="OD22" s="18"/>
      <c r="OE22" s="18"/>
      <c r="OF22" s="18"/>
      <c r="OG22" s="18"/>
      <c r="OH22" s="18"/>
      <c r="OI22" s="18"/>
      <c r="OJ22" s="18"/>
      <c r="OK22" s="19">
        <f t="shared" si="23"/>
        <v>136986</v>
      </c>
      <c r="OL22" s="39">
        <v>2</v>
      </c>
      <c r="OM22" s="19">
        <f t="shared" si="40"/>
        <v>273972</v>
      </c>
      <c r="ON22" s="104"/>
      <c r="OP22" s="101"/>
      <c r="OQ22" s="22" t="s">
        <v>43</v>
      </c>
      <c r="OR22" s="18"/>
      <c r="OS22" s="18"/>
      <c r="OT22" s="18"/>
      <c r="OU22" s="18"/>
      <c r="OV22" s="18"/>
      <c r="OW22" s="18"/>
      <c r="OX22" s="18">
        <v>1370</v>
      </c>
      <c r="OY22" s="18">
        <v>5479</v>
      </c>
      <c r="OZ22" s="18">
        <v>10959</v>
      </c>
      <c r="PA22" s="18">
        <v>16438</v>
      </c>
      <c r="PB22" s="18">
        <v>20548</v>
      </c>
      <c r="PC22" s="18">
        <v>23288</v>
      </c>
      <c r="PD22" s="18">
        <v>23288</v>
      </c>
      <c r="PE22" s="18">
        <v>17808</v>
      </c>
      <c r="PF22" s="18">
        <v>10959</v>
      </c>
      <c r="PG22" s="18">
        <v>5479</v>
      </c>
      <c r="PH22" s="18">
        <v>1370</v>
      </c>
      <c r="PI22" s="18"/>
      <c r="PJ22" s="18"/>
      <c r="PK22" s="18"/>
      <c r="PL22" s="18"/>
      <c r="PM22" s="18"/>
      <c r="PN22" s="18"/>
      <c r="PO22" s="18"/>
      <c r="PP22" s="19">
        <f t="shared" si="25"/>
        <v>136986</v>
      </c>
      <c r="PQ22" s="39">
        <v>2</v>
      </c>
      <c r="PR22" s="19">
        <f t="shared" si="41"/>
        <v>273972</v>
      </c>
      <c r="PS22" s="104"/>
      <c r="PU22" s="101"/>
      <c r="PV22" s="22" t="s">
        <v>43</v>
      </c>
      <c r="PW22" s="18"/>
      <c r="PX22" s="18"/>
      <c r="PY22" s="18"/>
      <c r="PZ22" s="18"/>
      <c r="QA22" s="18"/>
      <c r="QB22" s="18"/>
      <c r="QC22" s="18">
        <v>1366</v>
      </c>
      <c r="QD22" s="18">
        <v>5464</v>
      </c>
      <c r="QE22" s="18">
        <v>10929</v>
      </c>
      <c r="QF22" s="18">
        <v>16393</v>
      </c>
      <c r="QG22" s="18">
        <v>20492</v>
      </c>
      <c r="QH22" s="18">
        <v>23224</v>
      </c>
      <c r="QI22" s="18">
        <v>23224</v>
      </c>
      <c r="QJ22" s="18">
        <v>17760</v>
      </c>
      <c r="QK22" s="18">
        <v>10929</v>
      </c>
      <c r="QL22" s="18">
        <v>5464</v>
      </c>
      <c r="QM22" s="18">
        <v>1366</v>
      </c>
      <c r="QN22" s="18"/>
      <c r="QO22" s="18"/>
      <c r="QP22" s="18"/>
      <c r="QQ22" s="18"/>
      <c r="QR22" s="18"/>
      <c r="QS22" s="18"/>
      <c r="QT22" s="18"/>
      <c r="QU22" s="19">
        <f t="shared" si="27"/>
        <v>136611</v>
      </c>
      <c r="QV22" s="47">
        <v>0</v>
      </c>
      <c r="QW22" s="19">
        <f t="shared" si="42"/>
        <v>0</v>
      </c>
      <c r="QX22" s="104"/>
    </row>
    <row r="23" spans="1:466" x14ac:dyDescent="0.35">
      <c r="A23" s="99">
        <v>46143</v>
      </c>
      <c r="B23" s="17" t="s">
        <v>40</v>
      </c>
      <c r="C23" s="18"/>
      <c r="D23" s="18"/>
      <c r="E23" s="18"/>
      <c r="F23" s="18"/>
      <c r="G23" s="18"/>
      <c r="H23" s="18"/>
      <c r="I23" s="18">
        <v>1370</v>
      </c>
      <c r="J23" s="18">
        <v>5479</v>
      </c>
      <c r="K23" s="18">
        <v>10959</v>
      </c>
      <c r="L23" s="18">
        <v>16438</v>
      </c>
      <c r="M23" s="18">
        <v>20548</v>
      </c>
      <c r="N23" s="18">
        <v>23288</v>
      </c>
      <c r="O23" s="18">
        <v>23288</v>
      </c>
      <c r="P23" s="18">
        <v>17808</v>
      </c>
      <c r="Q23" s="18">
        <v>10959</v>
      </c>
      <c r="R23" s="18">
        <v>5479</v>
      </c>
      <c r="S23" s="18">
        <v>1370</v>
      </c>
      <c r="T23" s="18"/>
      <c r="U23" s="18"/>
      <c r="V23" s="18"/>
      <c r="W23" s="18"/>
      <c r="X23" s="18"/>
      <c r="Y23" s="18"/>
      <c r="Z23" s="18"/>
      <c r="AA23" s="19">
        <f t="shared" si="0"/>
        <v>136986</v>
      </c>
      <c r="AB23" s="37">
        <v>19</v>
      </c>
      <c r="AC23" s="19">
        <f t="shared" si="1"/>
        <v>2602734</v>
      </c>
      <c r="AD23" s="102">
        <f>+SUM(AC23:AC26)</f>
        <v>4246566</v>
      </c>
      <c r="AF23" s="99">
        <v>46508</v>
      </c>
      <c r="AG23" s="17" t="s">
        <v>40</v>
      </c>
      <c r="AH23" s="18"/>
      <c r="AI23" s="18"/>
      <c r="AJ23" s="18"/>
      <c r="AK23" s="18"/>
      <c r="AL23" s="18"/>
      <c r="AM23" s="18"/>
      <c r="AN23" s="18">
        <v>1370</v>
      </c>
      <c r="AO23" s="18">
        <v>5479</v>
      </c>
      <c r="AP23" s="18">
        <v>10959</v>
      </c>
      <c r="AQ23" s="18">
        <v>16438</v>
      </c>
      <c r="AR23" s="18">
        <v>20548</v>
      </c>
      <c r="AS23" s="18">
        <v>23288</v>
      </c>
      <c r="AT23" s="18">
        <v>23288</v>
      </c>
      <c r="AU23" s="18">
        <v>17808</v>
      </c>
      <c r="AV23" s="18">
        <v>10959</v>
      </c>
      <c r="AW23" s="18">
        <v>5479</v>
      </c>
      <c r="AX23" s="18">
        <v>1370</v>
      </c>
      <c r="AY23" s="18"/>
      <c r="AZ23" s="18"/>
      <c r="BA23" s="18"/>
      <c r="BB23" s="18"/>
      <c r="BC23" s="18"/>
      <c r="BD23" s="18"/>
      <c r="BE23" s="18"/>
      <c r="BF23" s="19">
        <f t="shared" si="2"/>
        <v>136986</v>
      </c>
      <c r="BG23" s="37">
        <v>19</v>
      </c>
      <c r="BH23" s="19">
        <f t="shared" si="29"/>
        <v>2602734</v>
      </c>
      <c r="BI23" s="102">
        <f>+SUM(BH23:BH26)</f>
        <v>4246566</v>
      </c>
      <c r="BK23" s="99">
        <v>46874</v>
      </c>
      <c r="BL23" s="17" t="s">
        <v>40</v>
      </c>
      <c r="BM23" s="18"/>
      <c r="BN23" s="18"/>
      <c r="BO23" s="18"/>
      <c r="BP23" s="18"/>
      <c r="BQ23" s="18"/>
      <c r="BR23" s="18"/>
      <c r="BS23" s="18">
        <v>1366</v>
      </c>
      <c r="BT23" s="18">
        <v>5464</v>
      </c>
      <c r="BU23" s="18">
        <v>10929</v>
      </c>
      <c r="BV23" s="18">
        <v>16393</v>
      </c>
      <c r="BW23" s="18">
        <v>20492</v>
      </c>
      <c r="BX23" s="18">
        <v>23224</v>
      </c>
      <c r="BY23" s="18">
        <v>23224</v>
      </c>
      <c r="BZ23" s="18">
        <v>17760</v>
      </c>
      <c r="CA23" s="18">
        <v>10929</v>
      </c>
      <c r="CB23" s="18">
        <v>5464</v>
      </c>
      <c r="CC23" s="18">
        <v>1366</v>
      </c>
      <c r="CD23" s="18"/>
      <c r="CE23" s="18"/>
      <c r="CF23" s="18"/>
      <c r="CG23" s="18"/>
      <c r="CH23" s="18"/>
      <c r="CI23" s="18"/>
      <c r="CJ23" s="18"/>
      <c r="CK23" s="19">
        <f t="shared" si="4"/>
        <v>136611</v>
      </c>
      <c r="CL23" s="37">
        <v>21</v>
      </c>
      <c r="CM23" s="19">
        <f t="shared" si="30"/>
        <v>2868831</v>
      </c>
      <c r="CN23" s="102">
        <f>+SUM(CM23:CM26)</f>
        <v>4234941</v>
      </c>
      <c r="CP23" s="99">
        <v>47239</v>
      </c>
      <c r="CQ23" s="17" t="s">
        <v>40</v>
      </c>
      <c r="CR23" s="18"/>
      <c r="CS23" s="18"/>
      <c r="CT23" s="18"/>
      <c r="CU23" s="18"/>
      <c r="CV23" s="18"/>
      <c r="CW23" s="18"/>
      <c r="CX23" s="18">
        <v>1370</v>
      </c>
      <c r="CY23" s="18">
        <v>5479</v>
      </c>
      <c r="CZ23" s="18">
        <v>10959</v>
      </c>
      <c r="DA23" s="18">
        <v>16438</v>
      </c>
      <c r="DB23" s="18">
        <v>20548</v>
      </c>
      <c r="DC23" s="18">
        <v>23288</v>
      </c>
      <c r="DD23" s="18">
        <v>23288</v>
      </c>
      <c r="DE23" s="18">
        <v>17808</v>
      </c>
      <c r="DF23" s="18">
        <v>10959</v>
      </c>
      <c r="DG23" s="18">
        <v>5479</v>
      </c>
      <c r="DH23" s="18">
        <v>1370</v>
      </c>
      <c r="DI23" s="18"/>
      <c r="DJ23" s="18"/>
      <c r="DK23" s="18"/>
      <c r="DL23" s="18"/>
      <c r="DM23" s="18"/>
      <c r="DN23" s="18"/>
      <c r="DO23" s="18"/>
      <c r="DP23" s="19">
        <f t="shared" si="6"/>
        <v>136986</v>
      </c>
      <c r="DQ23" s="37">
        <v>21</v>
      </c>
      <c r="DR23" s="19">
        <f t="shared" si="31"/>
        <v>2876706</v>
      </c>
      <c r="DS23" s="102">
        <f>+SUM(DR23:DR26)</f>
        <v>4246566</v>
      </c>
      <c r="DV23" s="99">
        <v>47604</v>
      </c>
      <c r="DW23" s="17" t="s">
        <v>40</v>
      </c>
      <c r="DX23" s="18"/>
      <c r="DY23" s="18"/>
      <c r="DZ23" s="18"/>
      <c r="EA23" s="18"/>
      <c r="EB23" s="18"/>
      <c r="EC23" s="18"/>
      <c r="ED23" s="18">
        <v>1370</v>
      </c>
      <c r="EE23" s="18">
        <v>5479</v>
      </c>
      <c r="EF23" s="18">
        <v>10959</v>
      </c>
      <c r="EG23" s="18">
        <v>16438</v>
      </c>
      <c r="EH23" s="18">
        <v>20548</v>
      </c>
      <c r="EI23" s="18">
        <v>23288</v>
      </c>
      <c r="EJ23" s="18">
        <v>23288</v>
      </c>
      <c r="EK23" s="18">
        <v>17808</v>
      </c>
      <c r="EL23" s="18">
        <v>10959</v>
      </c>
      <c r="EM23" s="18">
        <v>5479</v>
      </c>
      <c r="EN23" s="18">
        <v>1370</v>
      </c>
      <c r="EO23" s="18"/>
      <c r="EP23" s="18"/>
      <c r="EQ23" s="18"/>
      <c r="ER23" s="18"/>
      <c r="ES23" s="18"/>
      <c r="ET23" s="18"/>
      <c r="EU23" s="18"/>
      <c r="EV23" s="19">
        <f t="shared" si="8"/>
        <v>136986</v>
      </c>
      <c r="EW23" s="37">
        <v>22</v>
      </c>
      <c r="EX23" s="19">
        <f t="shared" si="32"/>
        <v>3013692</v>
      </c>
      <c r="EY23" s="102">
        <f>+SUM(EX23:EX26)</f>
        <v>4246566</v>
      </c>
      <c r="FB23" s="99">
        <v>47969</v>
      </c>
      <c r="FC23" s="17" t="s">
        <v>40</v>
      </c>
      <c r="FD23" s="18"/>
      <c r="FE23" s="18"/>
      <c r="FF23" s="18"/>
      <c r="FG23" s="18"/>
      <c r="FH23" s="18"/>
      <c r="FI23" s="18"/>
      <c r="FJ23" s="18">
        <v>1370</v>
      </c>
      <c r="FK23" s="18">
        <v>5479</v>
      </c>
      <c r="FL23" s="18">
        <v>10959</v>
      </c>
      <c r="FM23" s="18">
        <v>16438</v>
      </c>
      <c r="FN23" s="18">
        <v>20548</v>
      </c>
      <c r="FO23" s="18">
        <v>23288</v>
      </c>
      <c r="FP23" s="18">
        <v>23288</v>
      </c>
      <c r="FQ23" s="18">
        <v>17808</v>
      </c>
      <c r="FR23" s="18">
        <v>10959</v>
      </c>
      <c r="FS23" s="18">
        <v>5479</v>
      </c>
      <c r="FT23" s="18">
        <v>1370</v>
      </c>
      <c r="FU23" s="18"/>
      <c r="FV23" s="18"/>
      <c r="FW23" s="18"/>
      <c r="FX23" s="18"/>
      <c r="FY23" s="18"/>
      <c r="FZ23" s="18"/>
      <c r="GA23" s="18"/>
      <c r="GB23" s="19">
        <f t="shared" si="9"/>
        <v>136986</v>
      </c>
      <c r="GC23" s="37">
        <v>20</v>
      </c>
      <c r="GD23" s="19">
        <f t="shared" si="33"/>
        <v>2739720</v>
      </c>
      <c r="GE23" s="102">
        <f>+SUM(GD23:GD26)</f>
        <v>4246566</v>
      </c>
      <c r="GG23" s="99">
        <v>48335</v>
      </c>
      <c r="GH23" s="17" t="s">
        <v>40</v>
      </c>
      <c r="GI23" s="18"/>
      <c r="GJ23" s="18"/>
      <c r="GK23" s="18"/>
      <c r="GL23" s="18"/>
      <c r="GM23" s="18"/>
      <c r="GN23" s="18"/>
      <c r="GO23" s="18">
        <v>1366</v>
      </c>
      <c r="GP23" s="18">
        <v>5464</v>
      </c>
      <c r="GQ23" s="18">
        <v>10929</v>
      </c>
      <c r="GR23" s="18">
        <v>16393</v>
      </c>
      <c r="GS23" s="18">
        <v>20492</v>
      </c>
      <c r="GT23" s="18">
        <v>23224</v>
      </c>
      <c r="GU23" s="18">
        <v>23224</v>
      </c>
      <c r="GV23" s="18">
        <v>17760</v>
      </c>
      <c r="GW23" s="18">
        <v>10929</v>
      </c>
      <c r="GX23" s="18">
        <v>5464</v>
      </c>
      <c r="GY23" s="18">
        <v>1366</v>
      </c>
      <c r="GZ23" s="18"/>
      <c r="HA23" s="18"/>
      <c r="HB23" s="18"/>
      <c r="HC23" s="18"/>
      <c r="HD23" s="18"/>
      <c r="HE23" s="18"/>
      <c r="HF23" s="18"/>
      <c r="HG23" s="19">
        <f t="shared" si="11"/>
        <v>136611</v>
      </c>
      <c r="HH23" s="37">
        <v>19</v>
      </c>
      <c r="HI23" s="19">
        <f t="shared" si="34"/>
        <v>2595609</v>
      </c>
      <c r="HJ23" s="102">
        <f>+SUM(HI23:HI26)</f>
        <v>4234941</v>
      </c>
      <c r="HL23" s="99">
        <v>48700</v>
      </c>
      <c r="HM23" s="17" t="s">
        <v>40</v>
      </c>
      <c r="HN23" s="18"/>
      <c r="HO23" s="18"/>
      <c r="HP23" s="18"/>
      <c r="HQ23" s="18"/>
      <c r="HR23" s="18"/>
      <c r="HS23" s="18"/>
      <c r="HT23" s="18">
        <v>1370</v>
      </c>
      <c r="HU23" s="18">
        <v>5479</v>
      </c>
      <c r="HV23" s="18">
        <v>10959</v>
      </c>
      <c r="HW23" s="18">
        <v>16438</v>
      </c>
      <c r="HX23" s="18">
        <v>20548</v>
      </c>
      <c r="HY23" s="18">
        <v>23288</v>
      </c>
      <c r="HZ23" s="18">
        <v>23288</v>
      </c>
      <c r="IA23" s="18">
        <v>17808</v>
      </c>
      <c r="IB23" s="18">
        <v>10959</v>
      </c>
      <c r="IC23" s="18">
        <v>5479</v>
      </c>
      <c r="ID23" s="18">
        <v>1370</v>
      </c>
      <c r="IE23" s="18"/>
      <c r="IF23" s="18"/>
      <c r="IG23" s="18"/>
      <c r="IH23" s="18"/>
      <c r="II23" s="18"/>
      <c r="IJ23" s="18"/>
      <c r="IK23" s="18"/>
      <c r="IL23" s="19">
        <f t="shared" si="13"/>
        <v>136986</v>
      </c>
      <c r="IM23" s="37">
        <v>21</v>
      </c>
      <c r="IN23" s="19">
        <f t="shared" si="35"/>
        <v>2876706</v>
      </c>
      <c r="IO23" s="102">
        <f>+SUM(IN23:IN26)</f>
        <v>4246566</v>
      </c>
      <c r="IQ23" s="99">
        <v>49065</v>
      </c>
      <c r="IR23" s="17" t="s">
        <v>40</v>
      </c>
      <c r="IS23" s="18"/>
      <c r="IT23" s="18"/>
      <c r="IU23" s="18"/>
      <c r="IV23" s="18"/>
      <c r="IW23" s="18"/>
      <c r="IX23" s="18"/>
      <c r="IY23" s="18">
        <v>1370</v>
      </c>
      <c r="IZ23" s="18">
        <v>5479</v>
      </c>
      <c r="JA23" s="18">
        <v>10959</v>
      </c>
      <c r="JB23" s="18">
        <v>16438</v>
      </c>
      <c r="JC23" s="18">
        <v>20548</v>
      </c>
      <c r="JD23" s="18">
        <v>23288</v>
      </c>
      <c r="JE23" s="18">
        <v>23288</v>
      </c>
      <c r="JF23" s="18">
        <v>17808</v>
      </c>
      <c r="JG23" s="18">
        <v>10959</v>
      </c>
      <c r="JH23" s="18">
        <v>5479</v>
      </c>
      <c r="JI23" s="18">
        <v>1370</v>
      </c>
      <c r="JJ23" s="18"/>
      <c r="JK23" s="18"/>
      <c r="JL23" s="18"/>
      <c r="JM23" s="18"/>
      <c r="JN23" s="18"/>
      <c r="JO23" s="18"/>
      <c r="JP23" s="18"/>
      <c r="JQ23" s="19">
        <f t="shared" si="15"/>
        <v>136986</v>
      </c>
      <c r="JR23" s="37">
        <v>21</v>
      </c>
      <c r="JS23" s="19">
        <f t="shared" si="36"/>
        <v>2876706</v>
      </c>
      <c r="JT23" s="102">
        <f>+SUM(JS23:JS26)</f>
        <v>4246566</v>
      </c>
      <c r="JV23" s="99">
        <v>49430</v>
      </c>
      <c r="JW23" s="17" t="s">
        <v>40</v>
      </c>
      <c r="JX23" s="18"/>
      <c r="JY23" s="18"/>
      <c r="JZ23" s="18"/>
      <c r="KA23" s="18"/>
      <c r="KB23" s="18"/>
      <c r="KC23" s="18"/>
      <c r="KD23" s="18"/>
      <c r="KE23" s="18">
        <v>1370</v>
      </c>
      <c r="KF23" s="18">
        <v>5479</v>
      </c>
      <c r="KG23" s="18">
        <v>10959</v>
      </c>
      <c r="KH23" s="18">
        <v>16438</v>
      </c>
      <c r="KI23" s="18">
        <v>20548</v>
      </c>
      <c r="KJ23" s="18">
        <v>23288</v>
      </c>
      <c r="KK23" s="18">
        <v>23288</v>
      </c>
      <c r="KL23" s="18">
        <v>17808</v>
      </c>
      <c r="KM23" s="18">
        <v>10959</v>
      </c>
      <c r="KN23" s="18">
        <v>5479</v>
      </c>
      <c r="KO23" s="18">
        <v>1370</v>
      </c>
      <c r="KP23" s="18"/>
      <c r="KQ23" s="18"/>
      <c r="KR23" s="18"/>
      <c r="KS23" s="18"/>
      <c r="KT23" s="18"/>
      <c r="KU23" s="18"/>
      <c r="KV23" s="19">
        <f t="shared" si="17"/>
        <v>136986</v>
      </c>
      <c r="KW23" s="37">
        <v>20</v>
      </c>
      <c r="KX23" s="19">
        <f t="shared" si="37"/>
        <v>2739720</v>
      </c>
      <c r="KY23" s="102">
        <f>+SUM(KX23:KX26)</f>
        <v>4246566</v>
      </c>
      <c r="LA23" s="99">
        <v>49796</v>
      </c>
      <c r="LB23" s="17" t="s">
        <v>40</v>
      </c>
      <c r="LC23" s="18"/>
      <c r="LD23" s="18"/>
      <c r="LE23" s="18"/>
      <c r="LF23" s="18"/>
      <c r="LG23" s="18"/>
      <c r="LH23" s="18"/>
      <c r="LI23" s="18">
        <v>1366</v>
      </c>
      <c r="LJ23" s="18">
        <v>5464</v>
      </c>
      <c r="LK23" s="18">
        <v>10929</v>
      </c>
      <c r="LL23" s="18">
        <v>16393</v>
      </c>
      <c r="LM23" s="18">
        <v>20492</v>
      </c>
      <c r="LN23" s="18">
        <v>23224</v>
      </c>
      <c r="LO23" s="18">
        <v>23224</v>
      </c>
      <c r="LP23" s="18">
        <v>17760</v>
      </c>
      <c r="LQ23" s="18">
        <v>10929</v>
      </c>
      <c r="LR23" s="18">
        <v>5464</v>
      </c>
      <c r="LS23" s="18">
        <v>1366</v>
      </c>
      <c r="LT23" s="18"/>
      <c r="LU23" s="18"/>
      <c r="LV23" s="18"/>
      <c r="LW23" s="18"/>
      <c r="LX23" s="18"/>
      <c r="LY23" s="18"/>
      <c r="LZ23" s="18"/>
      <c r="MA23" s="19">
        <f t="shared" si="19"/>
        <v>136611</v>
      </c>
      <c r="MB23" s="37">
        <v>20</v>
      </c>
      <c r="MC23" s="19">
        <f t="shared" si="38"/>
        <v>2732220</v>
      </c>
      <c r="MD23" s="102">
        <f>+SUM(MC23:MC26)</f>
        <v>4234941</v>
      </c>
      <c r="MF23" s="99">
        <v>50161</v>
      </c>
      <c r="MG23" s="17" t="s">
        <v>40</v>
      </c>
      <c r="MH23" s="18"/>
      <c r="MI23" s="18"/>
      <c r="MJ23" s="18"/>
      <c r="MK23" s="18"/>
      <c r="ML23" s="18"/>
      <c r="MM23" s="18"/>
      <c r="MN23" s="18">
        <v>1370</v>
      </c>
      <c r="MO23" s="18">
        <v>5479</v>
      </c>
      <c r="MP23" s="18">
        <v>10959</v>
      </c>
      <c r="MQ23" s="18">
        <v>16438</v>
      </c>
      <c r="MR23" s="18">
        <v>20548</v>
      </c>
      <c r="MS23" s="18">
        <v>23288</v>
      </c>
      <c r="MT23" s="18">
        <v>23288</v>
      </c>
      <c r="MU23" s="18">
        <v>17808</v>
      </c>
      <c r="MV23" s="18">
        <v>10959</v>
      </c>
      <c r="MW23" s="18">
        <v>5479</v>
      </c>
      <c r="MX23" s="18">
        <v>1370</v>
      </c>
      <c r="MY23" s="18"/>
      <c r="MZ23" s="18"/>
      <c r="NA23" s="18"/>
      <c r="NB23" s="18"/>
      <c r="NC23" s="18"/>
      <c r="ND23" s="18"/>
      <c r="NE23" s="18"/>
      <c r="NF23" s="19">
        <f t="shared" si="21"/>
        <v>136986</v>
      </c>
      <c r="NG23" s="37">
        <v>19</v>
      </c>
      <c r="NH23" s="19">
        <f t="shared" si="39"/>
        <v>2602734</v>
      </c>
      <c r="NI23" s="102">
        <f>+SUM(NH23:NH26)</f>
        <v>4246566</v>
      </c>
      <c r="NK23" s="99">
        <v>50526</v>
      </c>
      <c r="NL23" s="17" t="s">
        <v>40</v>
      </c>
      <c r="NM23" s="18"/>
      <c r="NN23" s="18"/>
      <c r="NO23" s="18"/>
      <c r="NP23" s="18"/>
      <c r="NQ23" s="18"/>
      <c r="NR23" s="18"/>
      <c r="NS23" s="18">
        <v>1370</v>
      </c>
      <c r="NT23" s="18">
        <v>5479</v>
      </c>
      <c r="NU23" s="18">
        <v>10959</v>
      </c>
      <c r="NV23" s="18">
        <v>16438</v>
      </c>
      <c r="NW23" s="18">
        <v>20548</v>
      </c>
      <c r="NX23" s="18">
        <v>23288</v>
      </c>
      <c r="NY23" s="18">
        <v>23288</v>
      </c>
      <c r="NZ23" s="18">
        <v>17808</v>
      </c>
      <c r="OA23" s="18">
        <v>10959</v>
      </c>
      <c r="OB23" s="18">
        <v>5479</v>
      </c>
      <c r="OC23" s="18">
        <v>1370</v>
      </c>
      <c r="OD23" s="18"/>
      <c r="OE23" s="18"/>
      <c r="OF23" s="18"/>
      <c r="OG23" s="18"/>
      <c r="OH23" s="18"/>
      <c r="OI23" s="18"/>
      <c r="OJ23" s="18"/>
      <c r="OK23" s="19">
        <f t="shared" si="23"/>
        <v>136986</v>
      </c>
      <c r="OL23" s="37">
        <v>21</v>
      </c>
      <c r="OM23" s="19">
        <f t="shared" si="40"/>
        <v>2876706</v>
      </c>
      <c r="ON23" s="102">
        <f>+SUM(OM23:OM26)</f>
        <v>4246566</v>
      </c>
      <c r="OP23" s="99">
        <v>50891</v>
      </c>
      <c r="OQ23" s="17" t="s">
        <v>40</v>
      </c>
      <c r="OR23" s="18"/>
      <c r="OS23" s="18"/>
      <c r="OT23" s="18"/>
      <c r="OU23" s="18"/>
      <c r="OV23" s="18"/>
      <c r="OW23" s="18"/>
      <c r="OX23" s="18">
        <v>1370</v>
      </c>
      <c r="OY23" s="18">
        <v>5479</v>
      </c>
      <c r="OZ23" s="18">
        <v>10959</v>
      </c>
      <c r="PA23" s="18">
        <v>16438</v>
      </c>
      <c r="PB23" s="18">
        <v>20548</v>
      </c>
      <c r="PC23" s="18">
        <v>23288</v>
      </c>
      <c r="PD23" s="18">
        <v>23288</v>
      </c>
      <c r="PE23" s="18">
        <v>17808</v>
      </c>
      <c r="PF23" s="18">
        <v>10959</v>
      </c>
      <c r="PG23" s="18">
        <v>5479</v>
      </c>
      <c r="PH23" s="18">
        <v>1370</v>
      </c>
      <c r="PI23" s="18"/>
      <c r="PJ23" s="18"/>
      <c r="PK23" s="18"/>
      <c r="PL23" s="18"/>
      <c r="PM23" s="18"/>
      <c r="PN23" s="18"/>
      <c r="PO23" s="18"/>
      <c r="PP23" s="19">
        <f t="shared" si="25"/>
        <v>136986</v>
      </c>
      <c r="PQ23" s="37">
        <v>21</v>
      </c>
      <c r="PR23" s="19">
        <f t="shared" si="41"/>
        <v>2876706</v>
      </c>
      <c r="PS23" s="102">
        <f>+SUM(PR23:PR26)</f>
        <v>4246566</v>
      </c>
      <c r="PU23" s="99">
        <v>51257</v>
      </c>
      <c r="PV23" s="17" t="s">
        <v>40</v>
      </c>
      <c r="PW23" s="18"/>
      <c r="PX23" s="18"/>
      <c r="PY23" s="18"/>
      <c r="PZ23" s="18"/>
      <c r="QA23" s="18"/>
      <c r="QB23" s="18"/>
      <c r="QC23" s="18">
        <v>1366</v>
      </c>
      <c r="QD23" s="18">
        <v>5464</v>
      </c>
      <c r="QE23" s="18">
        <v>10929</v>
      </c>
      <c r="QF23" s="18">
        <v>16393</v>
      </c>
      <c r="QG23" s="18">
        <v>20492</v>
      </c>
      <c r="QH23" s="18">
        <v>23224</v>
      </c>
      <c r="QI23" s="18">
        <v>23224</v>
      </c>
      <c r="QJ23" s="18">
        <v>17760</v>
      </c>
      <c r="QK23" s="18">
        <v>10929</v>
      </c>
      <c r="QL23" s="18">
        <v>5464</v>
      </c>
      <c r="QM23" s="18">
        <v>1366</v>
      </c>
      <c r="QN23" s="18"/>
      <c r="QO23" s="18"/>
      <c r="QP23" s="18"/>
      <c r="QQ23" s="18"/>
      <c r="QR23" s="18"/>
      <c r="QS23" s="18"/>
      <c r="QT23" s="18"/>
      <c r="QU23" s="19">
        <f t="shared" si="27"/>
        <v>136611</v>
      </c>
      <c r="QV23" s="46">
        <v>21</v>
      </c>
      <c r="QW23" s="19">
        <f t="shared" si="42"/>
        <v>2868831</v>
      </c>
      <c r="QX23" s="102">
        <f>+SUM(QW23:QW26)</f>
        <v>4234941</v>
      </c>
    </row>
    <row r="24" spans="1:466" x14ac:dyDescent="0.35">
      <c r="A24" s="100"/>
      <c r="B24" s="21" t="s">
        <v>41</v>
      </c>
      <c r="C24" s="18"/>
      <c r="D24" s="18"/>
      <c r="E24" s="18"/>
      <c r="F24" s="18"/>
      <c r="G24" s="18"/>
      <c r="H24" s="18"/>
      <c r="I24" s="18">
        <v>1370</v>
      </c>
      <c r="J24" s="18">
        <v>5479</v>
      </c>
      <c r="K24" s="18">
        <v>10959</v>
      </c>
      <c r="L24" s="18">
        <v>16438</v>
      </c>
      <c r="M24" s="18">
        <v>20548</v>
      </c>
      <c r="N24" s="18">
        <v>23288</v>
      </c>
      <c r="O24" s="18">
        <v>23288</v>
      </c>
      <c r="P24" s="18">
        <v>17808</v>
      </c>
      <c r="Q24" s="18">
        <v>10959</v>
      </c>
      <c r="R24" s="18">
        <v>5479</v>
      </c>
      <c r="S24" s="18">
        <v>1370</v>
      </c>
      <c r="T24" s="18"/>
      <c r="U24" s="18"/>
      <c r="V24" s="18"/>
      <c r="W24" s="18"/>
      <c r="X24" s="18"/>
      <c r="Y24" s="18"/>
      <c r="Z24" s="18"/>
      <c r="AA24" s="19">
        <f t="shared" si="0"/>
        <v>136986</v>
      </c>
      <c r="AB24" s="38">
        <v>5</v>
      </c>
      <c r="AC24" s="19">
        <f t="shared" si="1"/>
        <v>684930</v>
      </c>
      <c r="AD24" s="103"/>
      <c r="AF24" s="100"/>
      <c r="AG24" s="21" t="s">
        <v>41</v>
      </c>
      <c r="AH24" s="18"/>
      <c r="AI24" s="18"/>
      <c r="AJ24" s="18"/>
      <c r="AK24" s="18"/>
      <c r="AL24" s="18"/>
      <c r="AM24" s="18"/>
      <c r="AN24" s="18">
        <v>1370</v>
      </c>
      <c r="AO24" s="18">
        <v>5479</v>
      </c>
      <c r="AP24" s="18">
        <v>10959</v>
      </c>
      <c r="AQ24" s="18">
        <v>16438</v>
      </c>
      <c r="AR24" s="18">
        <v>20548</v>
      </c>
      <c r="AS24" s="18">
        <v>23288</v>
      </c>
      <c r="AT24" s="18">
        <v>23288</v>
      </c>
      <c r="AU24" s="18">
        <v>17808</v>
      </c>
      <c r="AV24" s="18">
        <v>10959</v>
      </c>
      <c r="AW24" s="18">
        <v>5479</v>
      </c>
      <c r="AX24" s="18">
        <v>1370</v>
      </c>
      <c r="AY24" s="18"/>
      <c r="AZ24" s="18"/>
      <c r="BA24" s="18"/>
      <c r="BB24" s="18"/>
      <c r="BC24" s="18"/>
      <c r="BD24" s="18"/>
      <c r="BE24" s="18"/>
      <c r="BF24" s="19">
        <f t="shared" si="2"/>
        <v>136986</v>
      </c>
      <c r="BG24" s="38">
        <v>4</v>
      </c>
      <c r="BH24" s="19">
        <f t="shared" si="29"/>
        <v>547944</v>
      </c>
      <c r="BI24" s="103"/>
      <c r="BK24" s="100"/>
      <c r="BL24" s="21" t="s">
        <v>41</v>
      </c>
      <c r="BM24" s="18"/>
      <c r="BN24" s="18"/>
      <c r="BO24" s="18"/>
      <c r="BP24" s="18"/>
      <c r="BQ24" s="18"/>
      <c r="BR24" s="18"/>
      <c r="BS24" s="18">
        <v>1366</v>
      </c>
      <c r="BT24" s="18">
        <v>5464</v>
      </c>
      <c r="BU24" s="18">
        <v>10929</v>
      </c>
      <c r="BV24" s="18">
        <v>16393</v>
      </c>
      <c r="BW24" s="18">
        <v>20492</v>
      </c>
      <c r="BX24" s="18">
        <v>23224</v>
      </c>
      <c r="BY24" s="18">
        <v>23224</v>
      </c>
      <c r="BZ24" s="18">
        <v>17760</v>
      </c>
      <c r="CA24" s="18">
        <v>10929</v>
      </c>
      <c r="CB24" s="18">
        <v>5464</v>
      </c>
      <c r="CC24" s="18">
        <v>1366</v>
      </c>
      <c r="CD24" s="18"/>
      <c r="CE24" s="18"/>
      <c r="CF24" s="18"/>
      <c r="CG24" s="18"/>
      <c r="CH24" s="18"/>
      <c r="CI24" s="18"/>
      <c r="CJ24" s="18"/>
      <c r="CK24" s="19">
        <f t="shared" si="4"/>
        <v>136611</v>
      </c>
      <c r="CL24" s="38">
        <v>4</v>
      </c>
      <c r="CM24" s="19">
        <f t="shared" si="30"/>
        <v>546444</v>
      </c>
      <c r="CN24" s="103"/>
      <c r="CP24" s="100"/>
      <c r="CQ24" s="21" t="s">
        <v>41</v>
      </c>
      <c r="CR24" s="18"/>
      <c r="CS24" s="18"/>
      <c r="CT24" s="18"/>
      <c r="CU24" s="18"/>
      <c r="CV24" s="18"/>
      <c r="CW24" s="18"/>
      <c r="CX24" s="18">
        <v>1370</v>
      </c>
      <c r="CY24" s="18">
        <v>5479</v>
      </c>
      <c r="CZ24" s="18">
        <v>10959</v>
      </c>
      <c r="DA24" s="18">
        <v>16438</v>
      </c>
      <c r="DB24" s="18">
        <v>20548</v>
      </c>
      <c r="DC24" s="18">
        <v>23288</v>
      </c>
      <c r="DD24" s="18">
        <v>23288</v>
      </c>
      <c r="DE24" s="18">
        <v>17808</v>
      </c>
      <c r="DF24" s="18">
        <v>10959</v>
      </c>
      <c r="DG24" s="18">
        <v>5479</v>
      </c>
      <c r="DH24" s="18">
        <v>1370</v>
      </c>
      <c r="DI24" s="18"/>
      <c r="DJ24" s="18"/>
      <c r="DK24" s="18"/>
      <c r="DL24" s="18"/>
      <c r="DM24" s="18"/>
      <c r="DN24" s="18"/>
      <c r="DO24" s="18"/>
      <c r="DP24" s="19">
        <f t="shared" si="6"/>
        <v>136986</v>
      </c>
      <c r="DQ24" s="38">
        <v>4</v>
      </c>
      <c r="DR24" s="19">
        <f t="shared" si="31"/>
        <v>547944</v>
      </c>
      <c r="DS24" s="103"/>
      <c r="DV24" s="100"/>
      <c r="DW24" s="21" t="s">
        <v>41</v>
      </c>
      <c r="DX24" s="18"/>
      <c r="DY24" s="18"/>
      <c r="DZ24" s="18"/>
      <c r="EA24" s="18"/>
      <c r="EB24" s="18"/>
      <c r="EC24" s="18"/>
      <c r="ED24" s="18">
        <v>1370</v>
      </c>
      <c r="EE24" s="18">
        <v>5479</v>
      </c>
      <c r="EF24" s="18">
        <v>10959</v>
      </c>
      <c r="EG24" s="18">
        <v>16438</v>
      </c>
      <c r="EH24" s="18">
        <v>20548</v>
      </c>
      <c r="EI24" s="18">
        <v>23288</v>
      </c>
      <c r="EJ24" s="18">
        <v>23288</v>
      </c>
      <c r="EK24" s="18">
        <v>17808</v>
      </c>
      <c r="EL24" s="18">
        <v>10959</v>
      </c>
      <c r="EM24" s="18">
        <v>5479</v>
      </c>
      <c r="EN24" s="18">
        <v>1370</v>
      </c>
      <c r="EO24" s="18"/>
      <c r="EP24" s="18"/>
      <c r="EQ24" s="18"/>
      <c r="ER24" s="18"/>
      <c r="ES24" s="18"/>
      <c r="ET24" s="18"/>
      <c r="EU24" s="18"/>
      <c r="EV24" s="19">
        <f t="shared" si="8"/>
        <v>136986</v>
      </c>
      <c r="EW24" s="38">
        <v>4</v>
      </c>
      <c r="EX24" s="19">
        <f t="shared" si="32"/>
        <v>547944</v>
      </c>
      <c r="EY24" s="103"/>
      <c r="FB24" s="100"/>
      <c r="FC24" s="21" t="s">
        <v>41</v>
      </c>
      <c r="FD24" s="18"/>
      <c r="FE24" s="18"/>
      <c r="FF24" s="18"/>
      <c r="FG24" s="18"/>
      <c r="FH24" s="18"/>
      <c r="FI24" s="18"/>
      <c r="FJ24" s="18">
        <v>1370</v>
      </c>
      <c r="FK24" s="18">
        <v>5479</v>
      </c>
      <c r="FL24" s="18">
        <v>10959</v>
      </c>
      <c r="FM24" s="18">
        <v>16438</v>
      </c>
      <c r="FN24" s="18">
        <v>20548</v>
      </c>
      <c r="FO24" s="18">
        <v>23288</v>
      </c>
      <c r="FP24" s="18">
        <v>23288</v>
      </c>
      <c r="FQ24" s="18">
        <v>17808</v>
      </c>
      <c r="FR24" s="18">
        <v>10959</v>
      </c>
      <c r="FS24" s="18">
        <v>5479</v>
      </c>
      <c r="FT24" s="18">
        <v>1370</v>
      </c>
      <c r="FU24" s="18"/>
      <c r="FV24" s="18"/>
      <c r="FW24" s="18"/>
      <c r="FX24" s="18"/>
      <c r="FY24" s="18"/>
      <c r="FZ24" s="18"/>
      <c r="GA24" s="18"/>
      <c r="GB24" s="19">
        <f t="shared" si="9"/>
        <v>136986</v>
      </c>
      <c r="GC24" s="38">
        <v>5</v>
      </c>
      <c r="GD24" s="19">
        <f t="shared" si="33"/>
        <v>684930</v>
      </c>
      <c r="GE24" s="103"/>
      <c r="GG24" s="100"/>
      <c r="GH24" s="21" t="s">
        <v>41</v>
      </c>
      <c r="GI24" s="18"/>
      <c r="GJ24" s="18"/>
      <c r="GK24" s="18"/>
      <c r="GL24" s="18"/>
      <c r="GM24" s="18"/>
      <c r="GN24" s="18"/>
      <c r="GO24" s="18">
        <v>1366</v>
      </c>
      <c r="GP24" s="18">
        <v>5464</v>
      </c>
      <c r="GQ24" s="18">
        <v>10929</v>
      </c>
      <c r="GR24" s="18">
        <v>16393</v>
      </c>
      <c r="GS24" s="18">
        <v>20492</v>
      </c>
      <c r="GT24" s="18">
        <v>23224</v>
      </c>
      <c r="GU24" s="18">
        <v>23224</v>
      </c>
      <c r="GV24" s="18">
        <v>17760</v>
      </c>
      <c r="GW24" s="18">
        <v>10929</v>
      </c>
      <c r="GX24" s="18">
        <v>5464</v>
      </c>
      <c r="GY24" s="18">
        <v>1366</v>
      </c>
      <c r="GZ24" s="18"/>
      <c r="HA24" s="18"/>
      <c r="HB24" s="18"/>
      <c r="HC24" s="18"/>
      <c r="HD24" s="18"/>
      <c r="HE24" s="18"/>
      <c r="HF24" s="18"/>
      <c r="HG24" s="19">
        <f t="shared" si="11"/>
        <v>136611</v>
      </c>
      <c r="HH24" s="38">
        <v>4</v>
      </c>
      <c r="HI24" s="19">
        <f t="shared" si="34"/>
        <v>546444</v>
      </c>
      <c r="HJ24" s="103"/>
      <c r="HL24" s="100"/>
      <c r="HM24" s="21" t="s">
        <v>41</v>
      </c>
      <c r="HN24" s="18"/>
      <c r="HO24" s="18"/>
      <c r="HP24" s="18"/>
      <c r="HQ24" s="18"/>
      <c r="HR24" s="18"/>
      <c r="HS24" s="18"/>
      <c r="HT24" s="18">
        <v>1370</v>
      </c>
      <c r="HU24" s="18">
        <v>5479</v>
      </c>
      <c r="HV24" s="18">
        <v>10959</v>
      </c>
      <c r="HW24" s="18">
        <v>16438</v>
      </c>
      <c r="HX24" s="18">
        <v>20548</v>
      </c>
      <c r="HY24" s="18">
        <v>23288</v>
      </c>
      <c r="HZ24" s="18">
        <v>23288</v>
      </c>
      <c r="IA24" s="18">
        <v>17808</v>
      </c>
      <c r="IB24" s="18">
        <v>10959</v>
      </c>
      <c r="IC24" s="18">
        <v>5479</v>
      </c>
      <c r="ID24" s="18">
        <v>1370</v>
      </c>
      <c r="IE24" s="18"/>
      <c r="IF24" s="18"/>
      <c r="IG24" s="18"/>
      <c r="IH24" s="18"/>
      <c r="II24" s="18"/>
      <c r="IJ24" s="18"/>
      <c r="IK24" s="18"/>
      <c r="IL24" s="19">
        <f t="shared" si="13"/>
        <v>136986</v>
      </c>
      <c r="IM24" s="38">
        <v>4</v>
      </c>
      <c r="IN24" s="19">
        <f t="shared" si="35"/>
        <v>547944</v>
      </c>
      <c r="IO24" s="103"/>
      <c r="IQ24" s="100"/>
      <c r="IR24" s="21" t="s">
        <v>41</v>
      </c>
      <c r="IS24" s="18"/>
      <c r="IT24" s="18"/>
      <c r="IU24" s="18"/>
      <c r="IV24" s="18"/>
      <c r="IW24" s="18"/>
      <c r="IX24" s="18"/>
      <c r="IY24" s="18">
        <v>1370</v>
      </c>
      <c r="IZ24" s="18">
        <v>5479</v>
      </c>
      <c r="JA24" s="18">
        <v>10959</v>
      </c>
      <c r="JB24" s="18">
        <v>16438</v>
      </c>
      <c r="JC24" s="18">
        <v>20548</v>
      </c>
      <c r="JD24" s="18">
        <v>23288</v>
      </c>
      <c r="JE24" s="18">
        <v>23288</v>
      </c>
      <c r="JF24" s="18">
        <v>17808</v>
      </c>
      <c r="JG24" s="18">
        <v>10959</v>
      </c>
      <c r="JH24" s="18">
        <v>5479</v>
      </c>
      <c r="JI24" s="18">
        <v>1370</v>
      </c>
      <c r="JJ24" s="18"/>
      <c r="JK24" s="18"/>
      <c r="JL24" s="18"/>
      <c r="JM24" s="18"/>
      <c r="JN24" s="18"/>
      <c r="JO24" s="18"/>
      <c r="JP24" s="18"/>
      <c r="JQ24" s="19">
        <f t="shared" si="15"/>
        <v>136986</v>
      </c>
      <c r="JR24" s="38">
        <v>4</v>
      </c>
      <c r="JS24" s="19">
        <f t="shared" si="36"/>
        <v>547944</v>
      </c>
      <c r="JT24" s="103"/>
      <c r="JV24" s="100"/>
      <c r="JW24" s="21" t="s">
        <v>41</v>
      </c>
      <c r="JX24" s="18"/>
      <c r="JY24" s="18"/>
      <c r="JZ24" s="18"/>
      <c r="KA24" s="18"/>
      <c r="KB24" s="18"/>
      <c r="KC24" s="18"/>
      <c r="KD24" s="18"/>
      <c r="KE24" s="18">
        <v>1370</v>
      </c>
      <c r="KF24" s="18">
        <v>5479</v>
      </c>
      <c r="KG24" s="18">
        <v>10959</v>
      </c>
      <c r="KH24" s="18">
        <v>16438</v>
      </c>
      <c r="KI24" s="18">
        <v>20548</v>
      </c>
      <c r="KJ24" s="18">
        <v>23288</v>
      </c>
      <c r="KK24" s="18">
        <v>23288</v>
      </c>
      <c r="KL24" s="18">
        <v>17808</v>
      </c>
      <c r="KM24" s="18">
        <v>10959</v>
      </c>
      <c r="KN24" s="18">
        <v>5479</v>
      </c>
      <c r="KO24" s="18">
        <v>1370</v>
      </c>
      <c r="KP24" s="18"/>
      <c r="KQ24" s="18"/>
      <c r="KR24" s="18"/>
      <c r="KS24" s="18"/>
      <c r="KT24" s="18"/>
      <c r="KU24" s="18"/>
      <c r="KV24" s="19">
        <f t="shared" si="17"/>
        <v>136986</v>
      </c>
      <c r="KW24" s="38">
        <v>4</v>
      </c>
      <c r="KX24" s="19">
        <f t="shared" si="37"/>
        <v>547944</v>
      </c>
      <c r="KY24" s="103"/>
      <c r="LA24" s="100"/>
      <c r="LB24" s="21" t="s">
        <v>41</v>
      </c>
      <c r="LC24" s="18"/>
      <c r="LD24" s="18"/>
      <c r="LE24" s="18"/>
      <c r="LF24" s="18"/>
      <c r="LG24" s="18"/>
      <c r="LH24" s="18"/>
      <c r="LI24" s="18">
        <v>1366</v>
      </c>
      <c r="LJ24" s="18">
        <v>5464</v>
      </c>
      <c r="LK24" s="18">
        <v>10929</v>
      </c>
      <c r="LL24" s="18">
        <v>16393</v>
      </c>
      <c r="LM24" s="18">
        <v>20492</v>
      </c>
      <c r="LN24" s="18">
        <v>23224</v>
      </c>
      <c r="LO24" s="18">
        <v>23224</v>
      </c>
      <c r="LP24" s="18">
        <v>17760</v>
      </c>
      <c r="LQ24" s="18">
        <v>10929</v>
      </c>
      <c r="LR24" s="18">
        <v>5464</v>
      </c>
      <c r="LS24" s="18">
        <v>1366</v>
      </c>
      <c r="LT24" s="18"/>
      <c r="LU24" s="18"/>
      <c r="LV24" s="18"/>
      <c r="LW24" s="18"/>
      <c r="LX24" s="18"/>
      <c r="LY24" s="18"/>
      <c r="LZ24" s="18"/>
      <c r="MA24" s="19">
        <f t="shared" si="19"/>
        <v>136611</v>
      </c>
      <c r="MB24" s="38">
        <v>5</v>
      </c>
      <c r="MC24" s="19">
        <f t="shared" si="38"/>
        <v>683055</v>
      </c>
      <c r="MD24" s="103"/>
      <c r="MF24" s="100"/>
      <c r="MG24" s="21" t="s">
        <v>41</v>
      </c>
      <c r="MH24" s="18"/>
      <c r="MI24" s="18"/>
      <c r="MJ24" s="18"/>
      <c r="MK24" s="18"/>
      <c r="ML24" s="18"/>
      <c r="MM24" s="18"/>
      <c r="MN24" s="18">
        <v>1370</v>
      </c>
      <c r="MO24" s="18">
        <v>5479</v>
      </c>
      <c r="MP24" s="18">
        <v>10959</v>
      </c>
      <c r="MQ24" s="18">
        <v>16438</v>
      </c>
      <c r="MR24" s="18">
        <v>20548</v>
      </c>
      <c r="MS24" s="18">
        <v>23288</v>
      </c>
      <c r="MT24" s="18">
        <v>23288</v>
      </c>
      <c r="MU24" s="18">
        <v>17808</v>
      </c>
      <c r="MV24" s="18">
        <v>10959</v>
      </c>
      <c r="MW24" s="18">
        <v>5479</v>
      </c>
      <c r="MX24" s="18">
        <v>1370</v>
      </c>
      <c r="MY24" s="18"/>
      <c r="MZ24" s="18"/>
      <c r="NA24" s="18"/>
      <c r="NB24" s="18"/>
      <c r="NC24" s="18"/>
      <c r="ND24" s="18"/>
      <c r="NE24" s="18"/>
      <c r="NF24" s="19">
        <f t="shared" si="21"/>
        <v>136986</v>
      </c>
      <c r="NG24" s="38">
        <v>5</v>
      </c>
      <c r="NH24" s="19">
        <f t="shared" si="39"/>
        <v>684930</v>
      </c>
      <c r="NI24" s="103"/>
      <c r="NK24" s="100"/>
      <c r="NL24" s="21" t="s">
        <v>41</v>
      </c>
      <c r="NM24" s="18"/>
      <c r="NN24" s="18"/>
      <c r="NO24" s="18"/>
      <c r="NP24" s="18"/>
      <c r="NQ24" s="18"/>
      <c r="NR24" s="18"/>
      <c r="NS24" s="18">
        <v>1370</v>
      </c>
      <c r="NT24" s="18">
        <v>5479</v>
      </c>
      <c r="NU24" s="18">
        <v>10959</v>
      </c>
      <c r="NV24" s="18">
        <v>16438</v>
      </c>
      <c r="NW24" s="18">
        <v>20548</v>
      </c>
      <c r="NX24" s="18">
        <v>23288</v>
      </c>
      <c r="NY24" s="18">
        <v>23288</v>
      </c>
      <c r="NZ24" s="18">
        <v>17808</v>
      </c>
      <c r="OA24" s="18">
        <v>10959</v>
      </c>
      <c r="OB24" s="18">
        <v>5479</v>
      </c>
      <c r="OC24" s="18">
        <v>1370</v>
      </c>
      <c r="OD24" s="18"/>
      <c r="OE24" s="18"/>
      <c r="OF24" s="18"/>
      <c r="OG24" s="18"/>
      <c r="OH24" s="18"/>
      <c r="OI24" s="18"/>
      <c r="OJ24" s="18"/>
      <c r="OK24" s="19">
        <f t="shared" si="23"/>
        <v>136986</v>
      </c>
      <c r="OL24" s="38">
        <v>4</v>
      </c>
      <c r="OM24" s="19">
        <f t="shared" si="40"/>
        <v>547944</v>
      </c>
      <c r="ON24" s="103"/>
      <c r="OP24" s="100"/>
      <c r="OQ24" s="21" t="s">
        <v>41</v>
      </c>
      <c r="OR24" s="18"/>
      <c r="OS24" s="18"/>
      <c r="OT24" s="18"/>
      <c r="OU24" s="18"/>
      <c r="OV24" s="18"/>
      <c r="OW24" s="18"/>
      <c r="OX24" s="18">
        <v>1370</v>
      </c>
      <c r="OY24" s="18">
        <v>5479</v>
      </c>
      <c r="OZ24" s="18">
        <v>10959</v>
      </c>
      <c r="PA24" s="18">
        <v>16438</v>
      </c>
      <c r="PB24" s="18">
        <v>20548</v>
      </c>
      <c r="PC24" s="18">
        <v>23288</v>
      </c>
      <c r="PD24" s="18">
        <v>23288</v>
      </c>
      <c r="PE24" s="18">
        <v>17808</v>
      </c>
      <c r="PF24" s="18">
        <v>10959</v>
      </c>
      <c r="PG24" s="18">
        <v>5479</v>
      </c>
      <c r="PH24" s="18">
        <v>1370</v>
      </c>
      <c r="PI24" s="18"/>
      <c r="PJ24" s="18"/>
      <c r="PK24" s="18"/>
      <c r="PL24" s="18"/>
      <c r="PM24" s="18"/>
      <c r="PN24" s="18"/>
      <c r="PO24" s="18"/>
      <c r="PP24" s="19">
        <f t="shared" si="25"/>
        <v>136986</v>
      </c>
      <c r="PQ24" s="38">
        <v>4</v>
      </c>
      <c r="PR24" s="19">
        <f t="shared" si="41"/>
        <v>547944</v>
      </c>
      <c r="PS24" s="103"/>
      <c r="PU24" s="100"/>
      <c r="PV24" s="21" t="s">
        <v>41</v>
      </c>
      <c r="PW24" s="18"/>
      <c r="PX24" s="18"/>
      <c r="PY24" s="18"/>
      <c r="PZ24" s="18"/>
      <c r="QA24" s="18"/>
      <c r="QB24" s="18"/>
      <c r="QC24" s="18">
        <v>1366</v>
      </c>
      <c r="QD24" s="18">
        <v>5464</v>
      </c>
      <c r="QE24" s="18">
        <v>10929</v>
      </c>
      <c r="QF24" s="18">
        <v>16393</v>
      </c>
      <c r="QG24" s="18">
        <v>20492</v>
      </c>
      <c r="QH24" s="18">
        <v>23224</v>
      </c>
      <c r="QI24" s="18">
        <v>23224</v>
      </c>
      <c r="QJ24" s="18">
        <v>17760</v>
      </c>
      <c r="QK24" s="18">
        <v>10929</v>
      </c>
      <c r="QL24" s="18">
        <v>5464</v>
      </c>
      <c r="QM24" s="18">
        <v>1366</v>
      </c>
      <c r="QN24" s="18"/>
      <c r="QO24" s="18"/>
      <c r="QP24" s="18"/>
      <c r="QQ24" s="18"/>
      <c r="QR24" s="18"/>
      <c r="QS24" s="18"/>
      <c r="QT24" s="18"/>
      <c r="QU24" s="19">
        <f t="shared" si="27"/>
        <v>136611</v>
      </c>
      <c r="QV24" s="45">
        <v>4</v>
      </c>
      <c r="QW24" s="19">
        <f t="shared" si="42"/>
        <v>546444</v>
      </c>
      <c r="QX24" s="103"/>
    </row>
    <row r="25" spans="1:466" x14ac:dyDescent="0.35">
      <c r="A25" s="100"/>
      <c r="B25" s="21" t="s">
        <v>42</v>
      </c>
      <c r="C25" s="18"/>
      <c r="D25" s="18"/>
      <c r="E25" s="18"/>
      <c r="F25" s="18"/>
      <c r="G25" s="18"/>
      <c r="H25" s="18"/>
      <c r="I25" s="18">
        <v>1370</v>
      </c>
      <c r="J25" s="18">
        <v>5479</v>
      </c>
      <c r="K25" s="18">
        <v>10959</v>
      </c>
      <c r="L25" s="18">
        <v>16438</v>
      </c>
      <c r="M25" s="18">
        <v>20548</v>
      </c>
      <c r="N25" s="18">
        <v>23288</v>
      </c>
      <c r="O25" s="18">
        <v>23288</v>
      </c>
      <c r="P25" s="18">
        <v>17808</v>
      </c>
      <c r="Q25" s="18">
        <v>10959</v>
      </c>
      <c r="R25" s="18">
        <v>5479</v>
      </c>
      <c r="S25" s="18">
        <v>1370</v>
      </c>
      <c r="T25" s="18"/>
      <c r="U25" s="18"/>
      <c r="V25" s="18"/>
      <c r="W25" s="18"/>
      <c r="X25" s="18"/>
      <c r="Y25" s="18"/>
      <c r="Z25" s="18"/>
      <c r="AA25" s="19">
        <f t="shared" si="0"/>
        <v>136986</v>
      </c>
      <c r="AB25" s="38">
        <v>5</v>
      </c>
      <c r="AC25" s="19">
        <f t="shared" si="1"/>
        <v>684930</v>
      </c>
      <c r="AD25" s="103"/>
      <c r="AF25" s="100"/>
      <c r="AG25" s="21" t="s">
        <v>42</v>
      </c>
      <c r="AH25" s="18"/>
      <c r="AI25" s="18"/>
      <c r="AJ25" s="18"/>
      <c r="AK25" s="18"/>
      <c r="AL25" s="18"/>
      <c r="AM25" s="18"/>
      <c r="AN25" s="18">
        <v>1370</v>
      </c>
      <c r="AO25" s="18">
        <v>5479</v>
      </c>
      <c r="AP25" s="18">
        <v>10959</v>
      </c>
      <c r="AQ25" s="18">
        <v>16438</v>
      </c>
      <c r="AR25" s="18">
        <v>20548</v>
      </c>
      <c r="AS25" s="18">
        <v>23288</v>
      </c>
      <c r="AT25" s="18">
        <v>23288</v>
      </c>
      <c r="AU25" s="18">
        <v>17808</v>
      </c>
      <c r="AV25" s="18">
        <v>10959</v>
      </c>
      <c r="AW25" s="18">
        <v>5479</v>
      </c>
      <c r="AX25" s="18">
        <v>1370</v>
      </c>
      <c r="AY25" s="18"/>
      <c r="AZ25" s="18"/>
      <c r="BA25" s="18"/>
      <c r="BB25" s="18"/>
      <c r="BC25" s="18"/>
      <c r="BD25" s="18"/>
      <c r="BE25" s="18"/>
      <c r="BF25" s="19">
        <f t="shared" si="2"/>
        <v>136986</v>
      </c>
      <c r="BG25" s="38">
        <v>5</v>
      </c>
      <c r="BH25" s="19">
        <f t="shared" si="29"/>
        <v>684930</v>
      </c>
      <c r="BI25" s="103"/>
      <c r="BK25" s="100"/>
      <c r="BL25" s="21" t="s">
        <v>42</v>
      </c>
      <c r="BM25" s="18"/>
      <c r="BN25" s="18"/>
      <c r="BO25" s="18"/>
      <c r="BP25" s="18"/>
      <c r="BQ25" s="18"/>
      <c r="BR25" s="18"/>
      <c r="BS25" s="18">
        <v>1366</v>
      </c>
      <c r="BT25" s="18">
        <v>5464</v>
      </c>
      <c r="BU25" s="18">
        <v>10929</v>
      </c>
      <c r="BV25" s="18">
        <v>16393</v>
      </c>
      <c r="BW25" s="18">
        <v>20492</v>
      </c>
      <c r="BX25" s="18">
        <v>23224</v>
      </c>
      <c r="BY25" s="18">
        <v>23224</v>
      </c>
      <c r="BZ25" s="18">
        <v>17760</v>
      </c>
      <c r="CA25" s="18">
        <v>10929</v>
      </c>
      <c r="CB25" s="18">
        <v>5464</v>
      </c>
      <c r="CC25" s="18">
        <v>1366</v>
      </c>
      <c r="CD25" s="18"/>
      <c r="CE25" s="18"/>
      <c r="CF25" s="18"/>
      <c r="CG25" s="18"/>
      <c r="CH25" s="18"/>
      <c r="CI25" s="18"/>
      <c r="CJ25" s="18"/>
      <c r="CK25" s="19">
        <f t="shared" si="4"/>
        <v>136611</v>
      </c>
      <c r="CL25" s="38">
        <v>4</v>
      </c>
      <c r="CM25" s="19">
        <f t="shared" si="30"/>
        <v>546444</v>
      </c>
      <c r="CN25" s="103"/>
      <c r="CP25" s="100"/>
      <c r="CQ25" s="21" t="s">
        <v>42</v>
      </c>
      <c r="CR25" s="18"/>
      <c r="CS25" s="18"/>
      <c r="CT25" s="18"/>
      <c r="CU25" s="18"/>
      <c r="CV25" s="18"/>
      <c r="CW25" s="18"/>
      <c r="CX25" s="18">
        <v>1370</v>
      </c>
      <c r="CY25" s="18">
        <v>5479</v>
      </c>
      <c r="CZ25" s="18">
        <v>10959</v>
      </c>
      <c r="DA25" s="18">
        <v>16438</v>
      </c>
      <c r="DB25" s="18">
        <v>20548</v>
      </c>
      <c r="DC25" s="18">
        <v>23288</v>
      </c>
      <c r="DD25" s="18">
        <v>23288</v>
      </c>
      <c r="DE25" s="18">
        <v>17808</v>
      </c>
      <c r="DF25" s="18">
        <v>10959</v>
      </c>
      <c r="DG25" s="18">
        <v>5479</v>
      </c>
      <c r="DH25" s="18">
        <v>1370</v>
      </c>
      <c r="DI25" s="18"/>
      <c r="DJ25" s="18"/>
      <c r="DK25" s="18"/>
      <c r="DL25" s="18"/>
      <c r="DM25" s="18"/>
      <c r="DN25" s="18"/>
      <c r="DO25" s="18"/>
      <c r="DP25" s="19">
        <f t="shared" si="6"/>
        <v>136986</v>
      </c>
      <c r="DQ25" s="38">
        <v>4</v>
      </c>
      <c r="DR25" s="19">
        <f t="shared" si="31"/>
        <v>547944</v>
      </c>
      <c r="DS25" s="103"/>
      <c r="DV25" s="100"/>
      <c r="DW25" s="21" t="s">
        <v>42</v>
      </c>
      <c r="DX25" s="18"/>
      <c r="DY25" s="18"/>
      <c r="DZ25" s="18"/>
      <c r="EA25" s="18"/>
      <c r="EB25" s="18"/>
      <c r="EC25" s="18"/>
      <c r="ED25" s="18">
        <v>1370</v>
      </c>
      <c r="EE25" s="18">
        <v>5479</v>
      </c>
      <c r="EF25" s="18">
        <v>10959</v>
      </c>
      <c r="EG25" s="18">
        <v>16438</v>
      </c>
      <c r="EH25" s="18">
        <v>20548</v>
      </c>
      <c r="EI25" s="18">
        <v>23288</v>
      </c>
      <c r="EJ25" s="18">
        <v>23288</v>
      </c>
      <c r="EK25" s="18">
        <v>17808</v>
      </c>
      <c r="EL25" s="18">
        <v>10959</v>
      </c>
      <c r="EM25" s="18">
        <v>5479</v>
      </c>
      <c r="EN25" s="18">
        <v>1370</v>
      </c>
      <c r="EO25" s="18"/>
      <c r="EP25" s="18"/>
      <c r="EQ25" s="18"/>
      <c r="ER25" s="18"/>
      <c r="ES25" s="18"/>
      <c r="ET25" s="18"/>
      <c r="EU25" s="18"/>
      <c r="EV25" s="19">
        <f t="shared" si="8"/>
        <v>136986</v>
      </c>
      <c r="EW25" s="38">
        <v>4</v>
      </c>
      <c r="EX25" s="19">
        <f t="shared" si="32"/>
        <v>547944</v>
      </c>
      <c r="EY25" s="103"/>
      <c r="FB25" s="100"/>
      <c r="FC25" s="21" t="s">
        <v>42</v>
      </c>
      <c r="FD25" s="18"/>
      <c r="FE25" s="18"/>
      <c r="FF25" s="18"/>
      <c r="FG25" s="18"/>
      <c r="FH25" s="18"/>
      <c r="FI25" s="18"/>
      <c r="FJ25" s="18">
        <v>1370</v>
      </c>
      <c r="FK25" s="18">
        <v>5479</v>
      </c>
      <c r="FL25" s="18">
        <v>10959</v>
      </c>
      <c r="FM25" s="18">
        <v>16438</v>
      </c>
      <c r="FN25" s="18">
        <v>20548</v>
      </c>
      <c r="FO25" s="18">
        <v>23288</v>
      </c>
      <c r="FP25" s="18">
        <v>23288</v>
      </c>
      <c r="FQ25" s="18">
        <v>17808</v>
      </c>
      <c r="FR25" s="18">
        <v>10959</v>
      </c>
      <c r="FS25" s="18">
        <v>5479</v>
      </c>
      <c r="FT25" s="18">
        <v>1370</v>
      </c>
      <c r="FU25" s="18"/>
      <c r="FV25" s="18"/>
      <c r="FW25" s="18"/>
      <c r="FX25" s="18"/>
      <c r="FY25" s="18"/>
      <c r="FZ25" s="18"/>
      <c r="GA25" s="18"/>
      <c r="GB25" s="19">
        <f t="shared" si="9"/>
        <v>136986</v>
      </c>
      <c r="GC25" s="38">
        <v>4</v>
      </c>
      <c r="GD25" s="19">
        <f t="shared" si="33"/>
        <v>547944</v>
      </c>
      <c r="GE25" s="103"/>
      <c r="GG25" s="100"/>
      <c r="GH25" s="21" t="s">
        <v>42</v>
      </c>
      <c r="GI25" s="18"/>
      <c r="GJ25" s="18"/>
      <c r="GK25" s="18"/>
      <c r="GL25" s="18"/>
      <c r="GM25" s="18"/>
      <c r="GN25" s="18"/>
      <c r="GO25" s="18">
        <v>1366</v>
      </c>
      <c r="GP25" s="18">
        <v>5464</v>
      </c>
      <c r="GQ25" s="18">
        <v>10929</v>
      </c>
      <c r="GR25" s="18">
        <v>16393</v>
      </c>
      <c r="GS25" s="18">
        <v>20492</v>
      </c>
      <c r="GT25" s="18">
        <v>23224</v>
      </c>
      <c r="GU25" s="18">
        <v>23224</v>
      </c>
      <c r="GV25" s="18">
        <v>17760</v>
      </c>
      <c r="GW25" s="18">
        <v>10929</v>
      </c>
      <c r="GX25" s="18">
        <v>5464</v>
      </c>
      <c r="GY25" s="18">
        <v>1366</v>
      </c>
      <c r="GZ25" s="18"/>
      <c r="HA25" s="18"/>
      <c r="HB25" s="18"/>
      <c r="HC25" s="18"/>
      <c r="HD25" s="18"/>
      <c r="HE25" s="18"/>
      <c r="HF25" s="18"/>
      <c r="HG25" s="19">
        <f t="shared" si="11"/>
        <v>136611</v>
      </c>
      <c r="HH25" s="38">
        <v>5</v>
      </c>
      <c r="HI25" s="19">
        <f t="shared" si="34"/>
        <v>683055</v>
      </c>
      <c r="HJ25" s="103"/>
      <c r="HL25" s="100"/>
      <c r="HM25" s="21" t="s">
        <v>42</v>
      </c>
      <c r="HN25" s="18"/>
      <c r="HO25" s="18"/>
      <c r="HP25" s="18"/>
      <c r="HQ25" s="18"/>
      <c r="HR25" s="18"/>
      <c r="HS25" s="18"/>
      <c r="HT25" s="18">
        <v>1370</v>
      </c>
      <c r="HU25" s="18">
        <v>5479</v>
      </c>
      <c r="HV25" s="18">
        <v>10959</v>
      </c>
      <c r="HW25" s="18">
        <v>16438</v>
      </c>
      <c r="HX25" s="18">
        <v>20548</v>
      </c>
      <c r="HY25" s="18">
        <v>23288</v>
      </c>
      <c r="HZ25" s="18">
        <v>23288</v>
      </c>
      <c r="IA25" s="18">
        <v>17808</v>
      </c>
      <c r="IB25" s="18">
        <v>10959</v>
      </c>
      <c r="IC25" s="18">
        <v>5479</v>
      </c>
      <c r="ID25" s="18">
        <v>1370</v>
      </c>
      <c r="IE25" s="18"/>
      <c r="IF25" s="18"/>
      <c r="IG25" s="18"/>
      <c r="IH25" s="18"/>
      <c r="II25" s="18"/>
      <c r="IJ25" s="18"/>
      <c r="IK25" s="18"/>
      <c r="IL25" s="19">
        <f t="shared" si="13"/>
        <v>136986</v>
      </c>
      <c r="IM25" s="38">
        <v>4</v>
      </c>
      <c r="IN25" s="19">
        <f t="shared" si="35"/>
        <v>547944</v>
      </c>
      <c r="IO25" s="103"/>
      <c r="IQ25" s="100"/>
      <c r="IR25" s="21" t="s">
        <v>42</v>
      </c>
      <c r="IS25" s="18"/>
      <c r="IT25" s="18"/>
      <c r="IU25" s="18"/>
      <c r="IV25" s="18"/>
      <c r="IW25" s="18"/>
      <c r="IX25" s="18"/>
      <c r="IY25" s="18">
        <v>1370</v>
      </c>
      <c r="IZ25" s="18">
        <v>5479</v>
      </c>
      <c r="JA25" s="18">
        <v>10959</v>
      </c>
      <c r="JB25" s="18">
        <v>16438</v>
      </c>
      <c r="JC25" s="18">
        <v>20548</v>
      </c>
      <c r="JD25" s="18">
        <v>23288</v>
      </c>
      <c r="JE25" s="18">
        <v>23288</v>
      </c>
      <c r="JF25" s="18">
        <v>17808</v>
      </c>
      <c r="JG25" s="18">
        <v>10959</v>
      </c>
      <c r="JH25" s="18">
        <v>5479</v>
      </c>
      <c r="JI25" s="18">
        <v>1370</v>
      </c>
      <c r="JJ25" s="18"/>
      <c r="JK25" s="18"/>
      <c r="JL25" s="18"/>
      <c r="JM25" s="18"/>
      <c r="JN25" s="18"/>
      <c r="JO25" s="18"/>
      <c r="JP25" s="18"/>
      <c r="JQ25" s="19">
        <f t="shared" si="15"/>
        <v>136986</v>
      </c>
      <c r="JR25" s="38">
        <v>4</v>
      </c>
      <c r="JS25" s="19">
        <f t="shared" si="36"/>
        <v>547944</v>
      </c>
      <c r="JT25" s="103"/>
      <c r="JV25" s="100"/>
      <c r="JW25" s="21" t="s">
        <v>42</v>
      </c>
      <c r="JX25" s="18"/>
      <c r="JY25" s="18"/>
      <c r="JZ25" s="18"/>
      <c r="KA25" s="18"/>
      <c r="KB25" s="18"/>
      <c r="KC25" s="18"/>
      <c r="KD25" s="18"/>
      <c r="KE25" s="18">
        <v>1370</v>
      </c>
      <c r="KF25" s="18">
        <v>5479</v>
      </c>
      <c r="KG25" s="18">
        <v>10959</v>
      </c>
      <c r="KH25" s="18">
        <v>16438</v>
      </c>
      <c r="KI25" s="18">
        <v>20548</v>
      </c>
      <c r="KJ25" s="18">
        <v>23288</v>
      </c>
      <c r="KK25" s="18">
        <v>23288</v>
      </c>
      <c r="KL25" s="18">
        <v>17808</v>
      </c>
      <c r="KM25" s="18">
        <v>10959</v>
      </c>
      <c r="KN25" s="18">
        <v>5479</v>
      </c>
      <c r="KO25" s="18">
        <v>1370</v>
      </c>
      <c r="KP25" s="18"/>
      <c r="KQ25" s="18"/>
      <c r="KR25" s="18"/>
      <c r="KS25" s="18"/>
      <c r="KT25" s="18"/>
      <c r="KU25" s="18"/>
      <c r="KV25" s="19">
        <f t="shared" si="17"/>
        <v>136986</v>
      </c>
      <c r="KW25" s="38">
        <v>4</v>
      </c>
      <c r="KX25" s="19">
        <f t="shared" si="37"/>
        <v>547944</v>
      </c>
      <c r="KY25" s="103"/>
      <c r="LA25" s="100"/>
      <c r="LB25" s="21" t="s">
        <v>42</v>
      </c>
      <c r="LC25" s="18"/>
      <c r="LD25" s="18"/>
      <c r="LE25" s="18"/>
      <c r="LF25" s="18"/>
      <c r="LG25" s="18"/>
      <c r="LH25" s="18"/>
      <c r="LI25" s="18">
        <v>1366</v>
      </c>
      <c r="LJ25" s="18">
        <v>5464</v>
      </c>
      <c r="LK25" s="18">
        <v>10929</v>
      </c>
      <c r="LL25" s="18">
        <v>16393</v>
      </c>
      <c r="LM25" s="18">
        <v>20492</v>
      </c>
      <c r="LN25" s="18">
        <v>23224</v>
      </c>
      <c r="LO25" s="18">
        <v>23224</v>
      </c>
      <c r="LP25" s="18">
        <v>17760</v>
      </c>
      <c r="LQ25" s="18">
        <v>10929</v>
      </c>
      <c r="LR25" s="18">
        <v>5464</v>
      </c>
      <c r="LS25" s="18">
        <v>1366</v>
      </c>
      <c r="LT25" s="18"/>
      <c r="LU25" s="18"/>
      <c r="LV25" s="18"/>
      <c r="LW25" s="18"/>
      <c r="LX25" s="18"/>
      <c r="LY25" s="18"/>
      <c r="LZ25" s="18"/>
      <c r="MA25" s="19">
        <f t="shared" si="19"/>
        <v>136611</v>
      </c>
      <c r="MB25" s="38">
        <v>4</v>
      </c>
      <c r="MC25" s="19">
        <f t="shared" si="38"/>
        <v>546444</v>
      </c>
      <c r="MD25" s="103"/>
      <c r="MF25" s="100"/>
      <c r="MG25" s="21" t="s">
        <v>42</v>
      </c>
      <c r="MH25" s="18"/>
      <c r="MI25" s="18"/>
      <c r="MJ25" s="18"/>
      <c r="MK25" s="18"/>
      <c r="ML25" s="18"/>
      <c r="MM25" s="18"/>
      <c r="MN25" s="18">
        <v>1370</v>
      </c>
      <c r="MO25" s="18">
        <v>5479</v>
      </c>
      <c r="MP25" s="18">
        <v>10959</v>
      </c>
      <c r="MQ25" s="18">
        <v>16438</v>
      </c>
      <c r="MR25" s="18">
        <v>20548</v>
      </c>
      <c r="MS25" s="18">
        <v>23288</v>
      </c>
      <c r="MT25" s="18">
        <v>23288</v>
      </c>
      <c r="MU25" s="18">
        <v>17808</v>
      </c>
      <c r="MV25" s="18">
        <v>10959</v>
      </c>
      <c r="MW25" s="18">
        <v>5479</v>
      </c>
      <c r="MX25" s="18">
        <v>1370</v>
      </c>
      <c r="MY25" s="18"/>
      <c r="MZ25" s="18"/>
      <c r="NA25" s="18"/>
      <c r="NB25" s="18"/>
      <c r="NC25" s="18"/>
      <c r="ND25" s="18"/>
      <c r="NE25" s="18"/>
      <c r="NF25" s="19">
        <f t="shared" si="21"/>
        <v>136986</v>
      </c>
      <c r="NG25" s="38">
        <v>5</v>
      </c>
      <c r="NH25" s="19">
        <f t="shared" si="39"/>
        <v>684930</v>
      </c>
      <c r="NI25" s="103"/>
      <c r="NK25" s="100"/>
      <c r="NL25" s="21" t="s">
        <v>42</v>
      </c>
      <c r="NM25" s="18"/>
      <c r="NN25" s="18"/>
      <c r="NO25" s="18"/>
      <c r="NP25" s="18"/>
      <c r="NQ25" s="18"/>
      <c r="NR25" s="18"/>
      <c r="NS25" s="18">
        <v>1370</v>
      </c>
      <c r="NT25" s="18">
        <v>5479</v>
      </c>
      <c r="NU25" s="18">
        <v>10959</v>
      </c>
      <c r="NV25" s="18">
        <v>16438</v>
      </c>
      <c r="NW25" s="18">
        <v>20548</v>
      </c>
      <c r="NX25" s="18">
        <v>23288</v>
      </c>
      <c r="NY25" s="18">
        <v>23288</v>
      </c>
      <c r="NZ25" s="18">
        <v>17808</v>
      </c>
      <c r="OA25" s="18">
        <v>10959</v>
      </c>
      <c r="OB25" s="18">
        <v>5479</v>
      </c>
      <c r="OC25" s="18">
        <v>1370</v>
      </c>
      <c r="OD25" s="18"/>
      <c r="OE25" s="18"/>
      <c r="OF25" s="18"/>
      <c r="OG25" s="18"/>
      <c r="OH25" s="18"/>
      <c r="OI25" s="18"/>
      <c r="OJ25" s="18"/>
      <c r="OK25" s="19">
        <f t="shared" si="23"/>
        <v>136986</v>
      </c>
      <c r="OL25" s="38">
        <v>5</v>
      </c>
      <c r="OM25" s="19">
        <f t="shared" si="40"/>
        <v>684930</v>
      </c>
      <c r="ON25" s="103"/>
      <c r="OP25" s="100"/>
      <c r="OQ25" s="21" t="s">
        <v>42</v>
      </c>
      <c r="OR25" s="18"/>
      <c r="OS25" s="18"/>
      <c r="OT25" s="18"/>
      <c r="OU25" s="18"/>
      <c r="OV25" s="18"/>
      <c r="OW25" s="18"/>
      <c r="OX25" s="18">
        <v>1370</v>
      </c>
      <c r="OY25" s="18">
        <v>5479</v>
      </c>
      <c r="OZ25" s="18">
        <v>10959</v>
      </c>
      <c r="PA25" s="18">
        <v>16438</v>
      </c>
      <c r="PB25" s="18">
        <v>20548</v>
      </c>
      <c r="PC25" s="18">
        <v>23288</v>
      </c>
      <c r="PD25" s="18">
        <v>23288</v>
      </c>
      <c r="PE25" s="18">
        <v>17808</v>
      </c>
      <c r="PF25" s="18">
        <v>10959</v>
      </c>
      <c r="PG25" s="18">
        <v>5479</v>
      </c>
      <c r="PH25" s="18">
        <v>1370</v>
      </c>
      <c r="PI25" s="18"/>
      <c r="PJ25" s="18"/>
      <c r="PK25" s="18"/>
      <c r="PL25" s="18"/>
      <c r="PM25" s="18"/>
      <c r="PN25" s="18"/>
      <c r="PO25" s="18"/>
      <c r="PP25" s="19">
        <f t="shared" si="25"/>
        <v>136986</v>
      </c>
      <c r="PQ25" s="38">
        <v>4</v>
      </c>
      <c r="PR25" s="19">
        <f t="shared" si="41"/>
        <v>547944</v>
      </c>
      <c r="PS25" s="103"/>
      <c r="PU25" s="100"/>
      <c r="PV25" s="21" t="s">
        <v>42</v>
      </c>
      <c r="PW25" s="18"/>
      <c r="PX25" s="18"/>
      <c r="PY25" s="18"/>
      <c r="PZ25" s="18"/>
      <c r="QA25" s="18"/>
      <c r="QB25" s="18"/>
      <c r="QC25" s="18">
        <v>1366</v>
      </c>
      <c r="QD25" s="18">
        <v>5464</v>
      </c>
      <c r="QE25" s="18">
        <v>10929</v>
      </c>
      <c r="QF25" s="18">
        <v>16393</v>
      </c>
      <c r="QG25" s="18">
        <v>20492</v>
      </c>
      <c r="QH25" s="18">
        <v>23224</v>
      </c>
      <c r="QI25" s="18">
        <v>23224</v>
      </c>
      <c r="QJ25" s="18">
        <v>17760</v>
      </c>
      <c r="QK25" s="18">
        <v>10929</v>
      </c>
      <c r="QL25" s="18">
        <v>5464</v>
      </c>
      <c r="QM25" s="18">
        <v>1366</v>
      </c>
      <c r="QN25" s="18"/>
      <c r="QO25" s="18"/>
      <c r="QP25" s="18"/>
      <c r="QQ25" s="18"/>
      <c r="QR25" s="18"/>
      <c r="QS25" s="18"/>
      <c r="QT25" s="18"/>
      <c r="QU25" s="19">
        <f t="shared" si="27"/>
        <v>136611</v>
      </c>
      <c r="QV25" s="45">
        <v>4</v>
      </c>
      <c r="QW25" s="19">
        <f t="shared" si="42"/>
        <v>546444</v>
      </c>
      <c r="QX25" s="103"/>
    </row>
    <row r="26" spans="1:466" ht="15" thickBot="1" x14ac:dyDescent="0.4">
      <c r="A26" s="101"/>
      <c r="B26" s="22" t="s">
        <v>43</v>
      </c>
      <c r="C26" s="18"/>
      <c r="D26" s="18"/>
      <c r="E26" s="18"/>
      <c r="F26" s="18"/>
      <c r="G26" s="18"/>
      <c r="H26" s="18"/>
      <c r="I26" s="18">
        <v>1370</v>
      </c>
      <c r="J26" s="18">
        <v>5479</v>
      </c>
      <c r="K26" s="18">
        <v>10959</v>
      </c>
      <c r="L26" s="18">
        <v>16438</v>
      </c>
      <c r="M26" s="18">
        <v>20548</v>
      </c>
      <c r="N26" s="18">
        <v>23288</v>
      </c>
      <c r="O26" s="18">
        <v>23288</v>
      </c>
      <c r="P26" s="18">
        <v>17808</v>
      </c>
      <c r="Q26" s="18">
        <v>10959</v>
      </c>
      <c r="R26" s="18">
        <v>5479</v>
      </c>
      <c r="S26" s="18">
        <v>1370</v>
      </c>
      <c r="T26" s="18"/>
      <c r="U26" s="18"/>
      <c r="V26" s="18"/>
      <c r="W26" s="18"/>
      <c r="X26" s="18"/>
      <c r="Y26" s="18"/>
      <c r="Z26" s="18"/>
      <c r="AA26" s="19">
        <f t="shared" si="0"/>
        <v>136986</v>
      </c>
      <c r="AB26" s="39">
        <v>2</v>
      </c>
      <c r="AC26" s="19">
        <f t="shared" si="1"/>
        <v>273972</v>
      </c>
      <c r="AD26" s="104"/>
      <c r="AF26" s="101"/>
      <c r="AG26" s="22" t="s">
        <v>43</v>
      </c>
      <c r="AH26" s="18"/>
      <c r="AI26" s="18"/>
      <c r="AJ26" s="18"/>
      <c r="AK26" s="18"/>
      <c r="AL26" s="18"/>
      <c r="AM26" s="18"/>
      <c r="AN26" s="18">
        <v>1370</v>
      </c>
      <c r="AO26" s="18">
        <v>5479</v>
      </c>
      <c r="AP26" s="18">
        <v>10959</v>
      </c>
      <c r="AQ26" s="18">
        <v>16438</v>
      </c>
      <c r="AR26" s="18">
        <v>20548</v>
      </c>
      <c r="AS26" s="18">
        <v>23288</v>
      </c>
      <c r="AT26" s="18">
        <v>23288</v>
      </c>
      <c r="AU26" s="18">
        <v>17808</v>
      </c>
      <c r="AV26" s="18">
        <v>10959</v>
      </c>
      <c r="AW26" s="18">
        <v>5479</v>
      </c>
      <c r="AX26" s="18">
        <v>1370</v>
      </c>
      <c r="AY26" s="18"/>
      <c r="AZ26" s="18"/>
      <c r="BA26" s="18"/>
      <c r="BB26" s="18"/>
      <c r="BC26" s="18"/>
      <c r="BD26" s="18"/>
      <c r="BE26" s="18"/>
      <c r="BF26" s="19">
        <f t="shared" si="2"/>
        <v>136986</v>
      </c>
      <c r="BG26" s="39">
        <v>3</v>
      </c>
      <c r="BH26" s="19">
        <f t="shared" si="29"/>
        <v>410958</v>
      </c>
      <c r="BI26" s="104"/>
      <c r="BK26" s="101"/>
      <c r="BL26" s="22" t="s">
        <v>43</v>
      </c>
      <c r="BM26" s="18"/>
      <c r="BN26" s="18"/>
      <c r="BO26" s="18"/>
      <c r="BP26" s="18"/>
      <c r="BQ26" s="18"/>
      <c r="BR26" s="18"/>
      <c r="BS26" s="18">
        <v>1366</v>
      </c>
      <c r="BT26" s="18">
        <v>5464</v>
      </c>
      <c r="BU26" s="18">
        <v>10929</v>
      </c>
      <c r="BV26" s="18">
        <v>16393</v>
      </c>
      <c r="BW26" s="18">
        <v>20492</v>
      </c>
      <c r="BX26" s="18">
        <v>23224</v>
      </c>
      <c r="BY26" s="18">
        <v>23224</v>
      </c>
      <c r="BZ26" s="18">
        <v>17760</v>
      </c>
      <c r="CA26" s="18">
        <v>10929</v>
      </c>
      <c r="CB26" s="18">
        <v>5464</v>
      </c>
      <c r="CC26" s="18">
        <v>1366</v>
      </c>
      <c r="CD26" s="18"/>
      <c r="CE26" s="18"/>
      <c r="CF26" s="18"/>
      <c r="CG26" s="18"/>
      <c r="CH26" s="18"/>
      <c r="CI26" s="18"/>
      <c r="CJ26" s="18"/>
      <c r="CK26" s="19">
        <f t="shared" si="4"/>
        <v>136611</v>
      </c>
      <c r="CL26" s="39">
        <v>2</v>
      </c>
      <c r="CM26" s="19">
        <f t="shared" si="30"/>
        <v>273222</v>
      </c>
      <c r="CN26" s="104"/>
      <c r="CP26" s="101"/>
      <c r="CQ26" s="22" t="s">
        <v>43</v>
      </c>
      <c r="CR26" s="18"/>
      <c r="CS26" s="18"/>
      <c r="CT26" s="18"/>
      <c r="CU26" s="18"/>
      <c r="CV26" s="18"/>
      <c r="CW26" s="18"/>
      <c r="CX26" s="18">
        <v>1370</v>
      </c>
      <c r="CY26" s="18">
        <v>5479</v>
      </c>
      <c r="CZ26" s="18">
        <v>10959</v>
      </c>
      <c r="DA26" s="18">
        <v>16438</v>
      </c>
      <c r="DB26" s="18">
        <v>20548</v>
      </c>
      <c r="DC26" s="18">
        <v>23288</v>
      </c>
      <c r="DD26" s="18">
        <v>23288</v>
      </c>
      <c r="DE26" s="18">
        <v>17808</v>
      </c>
      <c r="DF26" s="18">
        <v>10959</v>
      </c>
      <c r="DG26" s="18">
        <v>5479</v>
      </c>
      <c r="DH26" s="18">
        <v>1370</v>
      </c>
      <c r="DI26" s="18"/>
      <c r="DJ26" s="18"/>
      <c r="DK26" s="18"/>
      <c r="DL26" s="18"/>
      <c r="DM26" s="18"/>
      <c r="DN26" s="18"/>
      <c r="DO26" s="18"/>
      <c r="DP26" s="19">
        <f t="shared" si="6"/>
        <v>136986</v>
      </c>
      <c r="DQ26" s="39">
        <v>2</v>
      </c>
      <c r="DR26" s="19">
        <f t="shared" si="31"/>
        <v>273972</v>
      </c>
      <c r="DS26" s="104"/>
      <c r="DV26" s="101"/>
      <c r="DW26" s="22" t="s">
        <v>43</v>
      </c>
      <c r="DX26" s="18"/>
      <c r="DY26" s="18"/>
      <c r="DZ26" s="18"/>
      <c r="EA26" s="18"/>
      <c r="EB26" s="18"/>
      <c r="EC26" s="18"/>
      <c r="ED26" s="18">
        <v>1370</v>
      </c>
      <c r="EE26" s="18">
        <v>5479</v>
      </c>
      <c r="EF26" s="18">
        <v>10959</v>
      </c>
      <c r="EG26" s="18">
        <v>16438</v>
      </c>
      <c r="EH26" s="18">
        <v>20548</v>
      </c>
      <c r="EI26" s="18">
        <v>23288</v>
      </c>
      <c r="EJ26" s="18">
        <v>23288</v>
      </c>
      <c r="EK26" s="18">
        <v>17808</v>
      </c>
      <c r="EL26" s="18">
        <v>10959</v>
      </c>
      <c r="EM26" s="18">
        <v>5479</v>
      </c>
      <c r="EN26" s="18">
        <v>1370</v>
      </c>
      <c r="EO26" s="18"/>
      <c r="EP26" s="18"/>
      <c r="EQ26" s="18"/>
      <c r="ER26" s="18"/>
      <c r="ES26" s="18"/>
      <c r="ET26" s="18"/>
      <c r="EU26" s="18"/>
      <c r="EV26" s="19">
        <f t="shared" si="8"/>
        <v>136986</v>
      </c>
      <c r="EW26" s="39">
        <v>1</v>
      </c>
      <c r="EX26" s="19">
        <f t="shared" si="32"/>
        <v>136986</v>
      </c>
      <c r="EY26" s="104"/>
      <c r="FB26" s="101"/>
      <c r="FC26" s="22" t="s">
        <v>43</v>
      </c>
      <c r="FD26" s="18"/>
      <c r="FE26" s="18"/>
      <c r="FF26" s="18"/>
      <c r="FG26" s="18"/>
      <c r="FH26" s="18"/>
      <c r="FI26" s="18"/>
      <c r="FJ26" s="18">
        <v>1370</v>
      </c>
      <c r="FK26" s="18">
        <v>5479</v>
      </c>
      <c r="FL26" s="18">
        <v>10959</v>
      </c>
      <c r="FM26" s="18">
        <v>16438</v>
      </c>
      <c r="FN26" s="18">
        <v>20548</v>
      </c>
      <c r="FO26" s="18">
        <v>23288</v>
      </c>
      <c r="FP26" s="18">
        <v>23288</v>
      </c>
      <c r="FQ26" s="18">
        <v>17808</v>
      </c>
      <c r="FR26" s="18">
        <v>10959</v>
      </c>
      <c r="FS26" s="18">
        <v>5479</v>
      </c>
      <c r="FT26" s="18">
        <v>1370</v>
      </c>
      <c r="FU26" s="18"/>
      <c r="FV26" s="18"/>
      <c r="FW26" s="18"/>
      <c r="FX26" s="18"/>
      <c r="FY26" s="18"/>
      <c r="FZ26" s="18"/>
      <c r="GA26" s="18"/>
      <c r="GB26" s="19">
        <f t="shared" si="9"/>
        <v>136986</v>
      </c>
      <c r="GC26" s="39">
        <v>2</v>
      </c>
      <c r="GD26" s="19">
        <f t="shared" si="33"/>
        <v>273972</v>
      </c>
      <c r="GE26" s="104"/>
      <c r="GG26" s="101"/>
      <c r="GH26" s="22" t="s">
        <v>43</v>
      </c>
      <c r="GI26" s="18"/>
      <c r="GJ26" s="18"/>
      <c r="GK26" s="18"/>
      <c r="GL26" s="18"/>
      <c r="GM26" s="18"/>
      <c r="GN26" s="18"/>
      <c r="GO26" s="18">
        <v>1366</v>
      </c>
      <c r="GP26" s="18">
        <v>5464</v>
      </c>
      <c r="GQ26" s="18">
        <v>10929</v>
      </c>
      <c r="GR26" s="18">
        <v>16393</v>
      </c>
      <c r="GS26" s="18">
        <v>20492</v>
      </c>
      <c r="GT26" s="18">
        <v>23224</v>
      </c>
      <c r="GU26" s="18">
        <v>23224</v>
      </c>
      <c r="GV26" s="18">
        <v>17760</v>
      </c>
      <c r="GW26" s="18">
        <v>10929</v>
      </c>
      <c r="GX26" s="18">
        <v>5464</v>
      </c>
      <c r="GY26" s="18">
        <v>1366</v>
      </c>
      <c r="GZ26" s="18"/>
      <c r="HA26" s="18"/>
      <c r="HB26" s="18"/>
      <c r="HC26" s="18"/>
      <c r="HD26" s="18"/>
      <c r="HE26" s="18"/>
      <c r="HF26" s="18"/>
      <c r="HG26" s="19">
        <f t="shared" si="11"/>
        <v>136611</v>
      </c>
      <c r="HH26" s="39">
        <v>3</v>
      </c>
      <c r="HI26" s="19">
        <f t="shared" si="34"/>
        <v>409833</v>
      </c>
      <c r="HJ26" s="104"/>
      <c r="HL26" s="101"/>
      <c r="HM26" s="22" t="s">
        <v>43</v>
      </c>
      <c r="HN26" s="18"/>
      <c r="HO26" s="18"/>
      <c r="HP26" s="18"/>
      <c r="HQ26" s="18"/>
      <c r="HR26" s="18"/>
      <c r="HS26" s="18"/>
      <c r="HT26" s="18">
        <v>1370</v>
      </c>
      <c r="HU26" s="18">
        <v>5479</v>
      </c>
      <c r="HV26" s="18">
        <v>10959</v>
      </c>
      <c r="HW26" s="18">
        <v>16438</v>
      </c>
      <c r="HX26" s="18">
        <v>20548</v>
      </c>
      <c r="HY26" s="18">
        <v>23288</v>
      </c>
      <c r="HZ26" s="18">
        <v>23288</v>
      </c>
      <c r="IA26" s="18">
        <v>17808</v>
      </c>
      <c r="IB26" s="18">
        <v>10959</v>
      </c>
      <c r="IC26" s="18">
        <v>5479</v>
      </c>
      <c r="ID26" s="18">
        <v>1370</v>
      </c>
      <c r="IE26" s="18"/>
      <c r="IF26" s="18"/>
      <c r="IG26" s="18"/>
      <c r="IH26" s="18"/>
      <c r="II26" s="18"/>
      <c r="IJ26" s="18"/>
      <c r="IK26" s="18"/>
      <c r="IL26" s="19">
        <f t="shared" si="13"/>
        <v>136986</v>
      </c>
      <c r="IM26" s="39">
        <v>2</v>
      </c>
      <c r="IN26" s="19">
        <f t="shared" si="35"/>
        <v>273972</v>
      </c>
      <c r="IO26" s="104"/>
      <c r="IQ26" s="101"/>
      <c r="IR26" s="22" t="s">
        <v>43</v>
      </c>
      <c r="IS26" s="18"/>
      <c r="IT26" s="18"/>
      <c r="IU26" s="18"/>
      <c r="IV26" s="18"/>
      <c r="IW26" s="18"/>
      <c r="IX26" s="18"/>
      <c r="IY26" s="18">
        <v>1370</v>
      </c>
      <c r="IZ26" s="18">
        <v>5479</v>
      </c>
      <c r="JA26" s="18">
        <v>10959</v>
      </c>
      <c r="JB26" s="18">
        <v>16438</v>
      </c>
      <c r="JC26" s="18">
        <v>20548</v>
      </c>
      <c r="JD26" s="18">
        <v>23288</v>
      </c>
      <c r="JE26" s="18">
        <v>23288</v>
      </c>
      <c r="JF26" s="18">
        <v>17808</v>
      </c>
      <c r="JG26" s="18">
        <v>10959</v>
      </c>
      <c r="JH26" s="18">
        <v>5479</v>
      </c>
      <c r="JI26" s="18">
        <v>1370</v>
      </c>
      <c r="JJ26" s="18"/>
      <c r="JK26" s="18"/>
      <c r="JL26" s="18"/>
      <c r="JM26" s="18"/>
      <c r="JN26" s="18"/>
      <c r="JO26" s="18"/>
      <c r="JP26" s="18"/>
      <c r="JQ26" s="19">
        <f t="shared" si="15"/>
        <v>136986</v>
      </c>
      <c r="JR26" s="39">
        <v>2</v>
      </c>
      <c r="JS26" s="19">
        <f t="shared" si="36"/>
        <v>273972</v>
      </c>
      <c r="JT26" s="104"/>
      <c r="JV26" s="101"/>
      <c r="JW26" s="22" t="s">
        <v>43</v>
      </c>
      <c r="JX26" s="18"/>
      <c r="JY26" s="18"/>
      <c r="JZ26" s="18"/>
      <c r="KA26" s="18"/>
      <c r="KB26" s="18"/>
      <c r="KC26" s="18"/>
      <c r="KD26" s="18"/>
      <c r="KE26" s="18">
        <v>1370</v>
      </c>
      <c r="KF26" s="18">
        <v>5479</v>
      </c>
      <c r="KG26" s="18">
        <v>10959</v>
      </c>
      <c r="KH26" s="18">
        <v>16438</v>
      </c>
      <c r="KI26" s="18">
        <v>20548</v>
      </c>
      <c r="KJ26" s="18">
        <v>23288</v>
      </c>
      <c r="KK26" s="18">
        <v>23288</v>
      </c>
      <c r="KL26" s="18">
        <v>17808</v>
      </c>
      <c r="KM26" s="18">
        <v>10959</v>
      </c>
      <c r="KN26" s="18">
        <v>5479</v>
      </c>
      <c r="KO26" s="18">
        <v>1370</v>
      </c>
      <c r="KP26" s="18"/>
      <c r="KQ26" s="18"/>
      <c r="KR26" s="18"/>
      <c r="KS26" s="18"/>
      <c r="KT26" s="18"/>
      <c r="KU26" s="18"/>
      <c r="KV26" s="19">
        <f t="shared" si="17"/>
        <v>136986</v>
      </c>
      <c r="KW26" s="39">
        <v>3</v>
      </c>
      <c r="KX26" s="19">
        <f t="shared" si="37"/>
        <v>410958</v>
      </c>
      <c r="KY26" s="104"/>
      <c r="LA26" s="101"/>
      <c r="LB26" s="22" t="s">
        <v>43</v>
      </c>
      <c r="LC26" s="18"/>
      <c r="LD26" s="18"/>
      <c r="LE26" s="18"/>
      <c r="LF26" s="18"/>
      <c r="LG26" s="18"/>
      <c r="LH26" s="18"/>
      <c r="LI26" s="18">
        <v>1366</v>
      </c>
      <c r="LJ26" s="18">
        <v>5464</v>
      </c>
      <c r="LK26" s="18">
        <v>10929</v>
      </c>
      <c r="LL26" s="18">
        <v>16393</v>
      </c>
      <c r="LM26" s="18">
        <v>20492</v>
      </c>
      <c r="LN26" s="18">
        <v>23224</v>
      </c>
      <c r="LO26" s="18">
        <v>23224</v>
      </c>
      <c r="LP26" s="18">
        <v>17760</v>
      </c>
      <c r="LQ26" s="18">
        <v>10929</v>
      </c>
      <c r="LR26" s="18">
        <v>5464</v>
      </c>
      <c r="LS26" s="18">
        <v>1366</v>
      </c>
      <c r="LT26" s="18"/>
      <c r="LU26" s="18"/>
      <c r="LV26" s="18"/>
      <c r="LW26" s="18"/>
      <c r="LX26" s="18"/>
      <c r="LY26" s="18"/>
      <c r="LZ26" s="18"/>
      <c r="MA26" s="19">
        <f t="shared" si="19"/>
        <v>136611</v>
      </c>
      <c r="MB26" s="39">
        <v>2</v>
      </c>
      <c r="MC26" s="19">
        <f t="shared" si="38"/>
        <v>273222</v>
      </c>
      <c r="MD26" s="104"/>
      <c r="MF26" s="101"/>
      <c r="MG26" s="22" t="s">
        <v>43</v>
      </c>
      <c r="MH26" s="18"/>
      <c r="MI26" s="18"/>
      <c r="MJ26" s="18"/>
      <c r="MK26" s="18"/>
      <c r="ML26" s="18"/>
      <c r="MM26" s="18"/>
      <c r="MN26" s="18">
        <v>1370</v>
      </c>
      <c r="MO26" s="18">
        <v>5479</v>
      </c>
      <c r="MP26" s="18">
        <v>10959</v>
      </c>
      <c r="MQ26" s="18">
        <v>16438</v>
      </c>
      <c r="MR26" s="18">
        <v>20548</v>
      </c>
      <c r="MS26" s="18">
        <v>23288</v>
      </c>
      <c r="MT26" s="18">
        <v>23288</v>
      </c>
      <c r="MU26" s="18">
        <v>17808</v>
      </c>
      <c r="MV26" s="18">
        <v>10959</v>
      </c>
      <c r="MW26" s="18">
        <v>5479</v>
      </c>
      <c r="MX26" s="18">
        <v>1370</v>
      </c>
      <c r="MY26" s="18"/>
      <c r="MZ26" s="18"/>
      <c r="NA26" s="18"/>
      <c r="NB26" s="18"/>
      <c r="NC26" s="18"/>
      <c r="ND26" s="18"/>
      <c r="NE26" s="18"/>
      <c r="NF26" s="19">
        <f t="shared" si="21"/>
        <v>136986</v>
      </c>
      <c r="NG26" s="39">
        <v>2</v>
      </c>
      <c r="NH26" s="19">
        <f t="shared" si="39"/>
        <v>273972</v>
      </c>
      <c r="NI26" s="104"/>
      <c r="NK26" s="101"/>
      <c r="NL26" s="22" t="s">
        <v>43</v>
      </c>
      <c r="NM26" s="18"/>
      <c r="NN26" s="18"/>
      <c r="NO26" s="18"/>
      <c r="NP26" s="18"/>
      <c r="NQ26" s="18"/>
      <c r="NR26" s="18"/>
      <c r="NS26" s="18">
        <v>1370</v>
      </c>
      <c r="NT26" s="18">
        <v>5479</v>
      </c>
      <c r="NU26" s="18">
        <v>10959</v>
      </c>
      <c r="NV26" s="18">
        <v>16438</v>
      </c>
      <c r="NW26" s="18">
        <v>20548</v>
      </c>
      <c r="NX26" s="18">
        <v>23288</v>
      </c>
      <c r="NY26" s="18">
        <v>23288</v>
      </c>
      <c r="NZ26" s="18">
        <v>17808</v>
      </c>
      <c r="OA26" s="18">
        <v>10959</v>
      </c>
      <c r="OB26" s="18">
        <v>5479</v>
      </c>
      <c r="OC26" s="18">
        <v>1370</v>
      </c>
      <c r="OD26" s="18"/>
      <c r="OE26" s="18"/>
      <c r="OF26" s="18"/>
      <c r="OG26" s="18"/>
      <c r="OH26" s="18"/>
      <c r="OI26" s="18"/>
      <c r="OJ26" s="18"/>
      <c r="OK26" s="19">
        <f t="shared" si="23"/>
        <v>136986</v>
      </c>
      <c r="OL26" s="39">
        <v>1</v>
      </c>
      <c r="OM26" s="19">
        <f t="shared" si="40"/>
        <v>136986</v>
      </c>
      <c r="ON26" s="104"/>
      <c r="OP26" s="101"/>
      <c r="OQ26" s="22" t="s">
        <v>43</v>
      </c>
      <c r="OR26" s="18"/>
      <c r="OS26" s="18"/>
      <c r="OT26" s="18"/>
      <c r="OU26" s="18"/>
      <c r="OV26" s="18"/>
      <c r="OW26" s="18"/>
      <c r="OX26" s="18">
        <v>1370</v>
      </c>
      <c r="OY26" s="18">
        <v>5479</v>
      </c>
      <c r="OZ26" s="18">
        <v>10959</v>
      </c>
      <c r="PA26" s="18">
        <v>16438</v>
      </c>
      <c r="PB26" s="18">
        <v>20548</v>
      </c>
      <c r="PC26" s="18">
        <v>23288</v>
      </c>
      <c r="PD26" s="18">
        <v>23288</v>
      </c>
      <c r="PE26" s="18">
        <v>17808</v>
      </c>
      <c r="PF26" s="18">
        <v>10959</v>
      </c>
      <c r="PG26" s="18">
        <v>5479</v>
      </c>
      <c r="PH26" s="18">
        <v>1370</v>
      </c>
      <c r="PI26" s="18"/>
      <c r="PJ26" s="18"/>
      <c r="PK26" s="18"/>
      <c r="PL26" s="18"/>
      <c r="PM26" s="18"/>
      <c r="PN26" s="18"/>
      <c r="PO26" s="18"/>
      <c r="PP26" s="19">
        <f t="shared" si="25"/>
        <v>136986</v>
      </c>
      <c r="PQ26" s="39">
        <v>2</v>
      </c>
      <c r="PR26" s="19">
        <f t="shared" si="41"/>
        <v>273972</v>
      </c>
      <c r="PS26" s="104"/>
      <c r="PU26" s="101"/>
      <c r="PV26" s="22" t="s">
        <v>43</v>
      </c>
      <c r="PW26" s="18"/>
      <c r="PX26" s="18"/>
      <c r="PY26" s="18"/>
      <c r="PZ26" s="18"/>
      <c r="QA26" s="18"/>
      <c r="QB26" s="18"/>
      <c r="QC26" s="18">
        <v>1366</v>
      </c>
      <c r="QD26" s="18">
        <v>5464</v>
      </c>
      <c r="QE26" s="18">
        <v>10929</v>
      </c>
      <c r="QF26" s="18">
        <v>16393</v>
      </c>
      <c r="QG26" s="18">
        <v>20492</v>
      </c>
      <c r="QH26" s="18">
        <v>23224</v>
      </c>
      <c r="QI26" s="18">
        <v>23224</v>
      </c>
      <c r="QJ26" s="18">
        <v>17760</v>
      </c>
      <c r="QK26" s="18">
        <v>10929</v>
      </c>
      <c r="QL26" s="18">
        <v>5464</v>
      </c>
      <c r="QM26" s="18">
        <v>1366</v>
      </c>
      <c r="QN26" s="18"/>
      <c r="QO26" s="18"/>
      <c r="QP26" s="18"/>
      <c r="QQ26" s="18"/>
      <c r="QR26" s="18"/>
      <c r="QS26" s="18"/>
      <c r="QT26" s="18"/>
      <c r="QU26" s="19">
        <f t="shared" si="27"/>
        <v>136611</v>
      </c>
      <c r="QV26" s="47">
        <v>2</v>
      </c>
      <c r="QW26" s="19">
        <f t="shared" si="42"/>
        <v>273222</v>
      </c>
      <c r="QX26" s="104"/>
    </row>
    <row r="27" spans="1:466" x14ac:dyDescent="0.35">
      <c r="A27" s="99">
        <v>46174</v>
      </c>
      <c r="B27" s="17" t="s">
        <v>40</v>
      </c>
      <c r="C27" s="18"/>
      <c r="D27" s="18"/>
      <c r="E27" s="18"/>
      <c r="F27" s="18"/>
      <c r="G27" s="18"/>
      <c r="H27" s="18"/>
      <c r="I27" s="18">
        <v>1370</v>
      </c>
      <c r="J27" s="18">
        <v>5479</v>
      </c>
      <c r="K27" s="18">
        <v>10959</v>
      </c>
      <c r="L27" s="18">
        <v>16438</v>
      </c>
      <c r="M27" s="18">
        <v>20548</v>
      </c>
      <c r="N27" s="18">
        <v>23288</v>
      </c>
      <c r="O27" s="18">
        <v>23288</v>
      </c>
      <c r="P27" s="18">
        <v>17808</v>
      </c>
      <c r="Q27" s="18">
        <v>10959</v>
      </c>
      <c r="R27" s="18">
        <v>5479</v>
      </c>
      <c r="S27" s="18">
        <v>1370</v>
      </c>
      <c r="T27" s="18"/>
      <c r="U27" s="18"/>
      <c r="V27" s="18"/>
      <c r="W27" s="18"/>
      <c r="X27" s="18"/>
      <c r="Y27" s="18"/>
      <c r="Z27" s="18"/>
      <c r="AA27" s="19">
        <f t="shared" si="0"/>
        <v>136986</v>
      </c>
      <c r="AB27" s="37">
        <v>19</v>
      </c>
      <c r="AC27" s="19">
        <f t="shared" si="1"/>
        <v>2602734</v>
      </c>
      <c r="AD27" s="102">
        <f>+SUM(AC27:AC30)</f>
        <v>4109580</v>
      </c>
      <c r="AF27" s="99">
        <v>46539</v>
      </c>
      <c r="AG27" s="17" t="s">
        <v>40</v>
      </c>
      <c r="AH27" s="18"/>
      <c r="AI27" s="18"/>
      <c r="AJ27" s="18"/>
      <c r="AK27" s="18"/>
      <c r="AL27" s="18"/>
      <c r="AM27" s="18"/>
      <c r="AN27" s="18">
        <v>1370</v>
      </c>
      <c r="AO27" s="18">
        <v>5479</v>
      </c>
      <c r="AP27" s="18">
        <v>10959</v>
      </c>
      <c r="AQ27" s="18">
        <v>16438</v>
      </c>
      <c r="AR27" s="18">
        <v>20548</v>
      </c>
      <c r="AS27" s="18">
        <v>23288</v>
      </c>
      <c r="AT27" s="18">
        <v>23288</v>
      </c>
      <c r="AU27" s="18">
        <v>17808</v>
      </c>
      <c r="AV27" s="18">
        <v>10959</v>
      </c>
      <c r="AW27" s="18">
        <v>5479</v>
      </c>
      <c r="AX27" s="18">
        <v>1370</v>
      </c>
      <c r="AY27" s="18"/>
      <c r="AZ27" s="18"/>
      <c r="BA27" s="18"/>
      <c r="BB27" s="18"/>
      <c r="BC27" s="18"/>
      <c r="BD27" s="18"/>
      <c r="BE27" s="18"/>
      <c r="BF27" s="19">
        <f t="shared" si="2"/>
        <v>136986</v>
      </c>
      <c r="BG27" s="37">
        <v>21</v>
      </c>
      <c r="BH27" s="19">
        <f t="shared" si="29"/>
        <v>2876706</v>
      </c>
      <c r="BI27" s="102">
        <f>+SUM(BH27:BH30)</f>
        <v>4109580</v>
      </c>
      <c r="BK27" s="99">
        <v>46905</v>
      </c>
      <c r="BL27" s="17" t="s">
        <v>40</v>
      </c>
      <c r="BM27" s="18"/>
      <c r="BN27" s="18"/>
      <c r="BO27" s="18"/>
      <c r="BP27" s="18"/>
      <c r="BQ27" s="18"/>
      <c r="BR27" s="18"/>
      <c r="BS27" s="18">
        <v>1366</v>
      </c>
      <c r="BT27" s="18">
        <v>5464</v>
      </c>
      <c r="BU27" s="18">
        <v>10929</v>
      </c>
      <c r="BV27" s="18">
        <v>16393</v>
      </c>
      <c r="BW27" s="18">
        <v>20492</v>
      </c>
      <c r="BX27" s="18">
        <v>23224</v>
      </c>
      <c r="BY27" s="18">
        <v>23224</v>
      </c>
      <c r="BZ27" s="18">
        <v>17760</v>
      </c>
      <c r="CA27" s="18">
        <v>10929</v>
      </c>
      <c r="CB27" s="18">
        <v>5464</v>
      </c>
      <c r="CC27" s="18">
        <v>1366</v>
      </c>
      <c r="CD27" s="18"/>
      <c r="CE27" s="18"/>
      <c r="CF27" s="18"/>
      <c r="CG27" s="18"/>
      <c r="CH27" s="18"/>
      <c r="CI27" s="18"/>
      <c r="CJ27" s="18"/>
      <c r="CK27" s="19">
        <f t="shared" si="4"/>
        <v>136611</v>
      </c>
      <c r="CL27" s="37">
        <v>20</v>
      </c>
      <c r="CM27" s="19">
        <f t="shared" si="30"/>
        <v>2732220</v>
      </c>
      <c r="CN27" s="102">
        <f>+SUM(CM27:CM30)</f>
        <v>4098330</v>
      </c>
      <c r="CP27" s="99">
        <v>47270</v>
      </c>
      <c r="CQ27" s="17" t="s">
        <v>40</v>
      </c>
      <c r="CR27" s="18"/>
      <c r="CS27" s="18"/>
      <c r="CT27" s="18"/>
      <c r="CU27" s="18"/>
      <c r="CV27" s="18"/>
      <c r="CW27" s="18"/>
      <c r="CX27" s="18">
        <v>1370</v>
      </c>
      <c r="CY27" s="18">
        <v>5479</v>
      </c>
      <c r="CZ27" s="18">
        <v>10959</v>
      </c>
      <c r="DA27" s="18">
        <v>16438</v>
      </c>
      <c r="DB27" s="18">
        <v>20548</v>
      </c>
      <c r="DC27" s="18">
        <v>23288</v>
      </c>
      <c r="DD27" s="18">
        <v>23288</v>
      </c>
      <c r="DE27" s="18">
        <v>17808</v>
      </c>
      <c r="DF27" s="18">
        <v>10959</v>
      </c>
      <c r="DG27" s="18">
        <v>5479</v>
      </c>
      <c r="DH27" s="18">
        <v>1370</v>
      </c>
      <c r="DI27" s="18"/>
      <c r="DJ27" s="18"/>
      <c r="DK27" s="18"/>
      <c r="DL27" s="18"/>
      <c r="DM27" s="18"/>
      <c r="DN27" s="18"/>
      <c r="DO27" s="18"/>
      <c r="DP27" s="19">
        <f t="shared" si="6"/>
        <v>136986</v>
      </c>
      <c r="DQ27" s="37">
        <v>19</v>
      </c>
      <c r="DR27" s="19">
        <f t="shared" si="31"/>
        <v>2602734</v>
      </c>
      <c r="DS27" s="102">
        <f>+SUM(DR27:DR30)</f>
        <v>4109580</v>
      </c>
      <c r="DV27" s="99">
        <v>47635</v>
      </c>
      <c r="DW27" s="17" t="s">
        <v>40</v>
      </c>
      <c r="DX27" s="18"/>
      <c r="DY27" s="18"/>
      <c r="DZ27" s="18"/>
      <c r="EA27" s="18"/>
      <c r="EB27" s="18"/>
      <c r="EC27" s="18"/>
      <c r="ED27" s="18">
        <v>1370</v>
      </c>
      <c r="EE27" s="18">
        <v>5479</v>
      </c>
      <c r="EF27" s="18">
        <v>10959</v>
      </c>
      <c r="EG27" s="18">
        <v>16438</v>
      </c>
      <c r="EH27" s="18">
        <v>20548</v>
      </c>
      <c r="EI27" s="18">
        <v>23288</v>
      </c>
      <c r="EJ27" s="18">
        <v>23288</v>
      </c>
      <c r="EK27" s="18">
        <v>17808</v>
      </c>
      <c r="EL27" s="18">
        <v>10959</v>
      </c>
      <c r="EM27" s="18">
        <v>5479</v>
      </c>
      <c r="EN27" s="18">
        <v>1370</v>
      </c>
      <c r="EO27" s="18"/>
      <c r="EP27" s="18"/>
      <c r="EQ27" s="18"/>
      <c r="ER27" s="18"/>
      <c r="ES27" s="18"/>
      <c r="ET27" s="18"/>
      <c r="EU27" s="18"/>
      <c r="EV27" s="19">
        <f t="shared" si="8"/>
        <v>136986</v>
      </c>
      <c r="EW27" s="37">
        <v>18</v>
      </c>
      <c r="EX27" s="19">
        <f t="shared" si="32"/>
        <v>2465748</v>
      </c>
      <c r="EY27" s="102">
        <f>+SUM(EX27:EX30)</f>
        <v>4109580</v>
      </c>
      <c r="FB27" s="99">
        <v>48000</v>
      </c>
      <c r="FC27" s="17" t="s">
        <v>40</v>
      </c>
      <c r="FD27" s="18"/>
      <c r="FE27" s="18"/>
      <c r="FF27" s="18"/>
      <c r="FG27" s="18"/>
      <c r="FH27" s="18"/>
      <c r="FI27" s="18"/>
      <c r="FJ27" s="18">
        <v>1370</v>
      </c>
      <c r="FK27" s="18">
        <v>5479</v>
      </c>
      <c r="FL27" s="18">
        <v>10959</v>
      </c>
      <c r="FM27" s="18">
        <v>16438</v>
      </c>
      <c r="FN27" s="18">
        <v>20548</v>
      </c>
      <c r="FO27" s="18">
        <v>23288</v>
      </c>
      <c r="FP27" s="18">
        <v>23288</v>
      </c>
      <c r="FQ27" s="18">
        <v>17808</v>
      </c>
      <c r="FR27" s="18">
        <v>10959</v>
      </c>
      <c r="FS27" s="18">
        <v>5479</v>
      </c>
      <c r="FT27" s="18">
        <v>1370</v>
      </c>
      <c r="FU27" s="18"/>
      <c r="FV27" s="18"/>
      <c r="FW27" s="18"/>
      <c r="FX27" s="18"/>
      <c r="FY27" s="18"/>
      <c r="FZ27" s="18"/>
      <c r="GA27" s="18"/>
      <c r="GB27" s="19">
        <f t="shared" si="9"/>
        <v>136986</v>
      </c>
      <c r="GC27" s="37">
        <v>18</v>
      </c>
      <c r="GD27" s="19">
        <f t="shared" si="33"/>
        <v>2465748</v>
      </c>
      <c r="GE27" s="102">
        <f>+SUM(GD27:GD30)</f>
        <v>4109580</v>
      </c>
      <c r="GG27" s="99">
        <v>48366</v>
      </c>
      <c r="GH27" s="17" t="s">
        <v>40</v>
      </c>
      <c r="GI27" s="18"/>
      <c r="GJ27" s="18"/>
      <c r="GK27" s="18"/>
      <c r="GL27" s="18"/>
      <c r="GM27" s="18"/>
      <c r="GN27" s="18"/>
      <c r="GO27" s="18">
        <v>1366</v>
      </c>
      <c r="GP27" s="18">
        <v>5464</v>
      </c>
      <c r="GQ27" s="18">
        <v>10929</v>
      </c>
      <c r="GR27" s="18">
        <v>16393</v>
      </c>
      <c r="GS27" s="18">
        <v>20492</v>
      </c>
      <c r="GT27" s="18">
        <v>23224</v>
      </c>
      <c r="GU27" s="18">
        <v>23224</v>
      </c>
      <c r="GV27" s="18">
        <v>17760</v>
      </c>
      <c r="GW27" s="18">
        <v>10929</v>
      </c>
      <c r="GX27" s="18">
        <v>5464</v>
      </c>
      <c r="GY27" s="18">
        <v>1366</v>
      </c>
      <c r="GZ27" s="18"/>
      <c r="HA27" s="18"/>
      <c r="HB27" s="18"/>
      <c r="HC27" s="18"/>
      <c r="HD27" s="18"/>
      <c r="HE27" s="18"/>
      <c r="HF27" s="18"/>
      <c r="HG27" s="19">
        <f t="shared" si="11"/>
        <v>136611</v>
      </c>
      <c r="HH27" s="37">
        <v>21</v>
      </c>
      <c r="HI27" s="19">
        <f t="shared" si="34"/>
        <v>2868831</v>
      </c>
      <c r="HJ27" s="102">
        <f>+SUM(HI27:HI30)</f>
        <v>4098330</v>
      </c>
      <c r="HL27" s="99">
        <v>48731</v>
      </c>
      <c r="HM27" s="17" t="s">
        <v>40</v>
      </c>
      <c r="HN27" s="18"/>
      <c r="HO27" s="18"/>
      <c r="HP27" s="18"/>
      <c r="HQ27" s="18"/>
      <c r="HR27" s="18"/>
      <c r="HS27" s="18"/>
      <c r="HT27" s="18">
        <v>1370</v>
      </c>
      <c r="HU27" s="18">
        <v>5479</v>
      </c>
      <c r="HV27" s="18">
        <v>10959</v>
      </c>
      <c r="HW27" s="18">
        <v>16438</v>
      </c>
      <c r="HX27" s="18">
        <v>20548</v>
      </c>
      <c r="HY27" s="18">
        <v>23288</v>
      </c>
      <c r="HZ27" s="18">
        <v>23288</v>
      </c>
      <c r="IA27" s="18">
        <v>17808</v>
      </c>
      <c r="IB27" s="18">
        <v>10959</v>
      </c>
      <c r="IC27" s="18">
        <v>5479</v>
      </c>
      <c r="ID27" s="18">
        <v>1370</v>
      </c>
      <c r="IE27" s="18"/>
      <c r="IF27" s="18"/>
      <c r="IG27" s="18"/>
      <c r="IH27" s="18"/>
      <c r="II27" s="18"/>
      <c r="IJ27" s="18"/>
      <c r="IK27" s="18"/>
      <c r="IL27" s="19">
        <f t="shared" si="13"/>
        <v>136986</v>
      </c>
      <c r="IM27" s="37">
        <v>20</v>
      </c>
      <c r="IN27" s="19">
        <f t="shared" si="35"/>
        <v>2739720</v>
      </c>
      <c r="IO27" s="102">
        <f>+SUM(IN27:IN30)</f>
        <v>4109580</v>
      </c>
      <c r="IQ27" s="99">
        <v>49096</v>
      </c>
      <c r="IR27" s="17" t="s">
        <v>40</v>
      </c>
      <c r="IS27" s="18"/>
      <c r="IT27" s="18"/>
      <c r="IU27" s="18"/>
      <c r="IV27" s="18"/>
      <c r="IW27" s="18"/>
      <c r="IX27" s="18"/>
      <c r="IY27" s="18">
        <v>1370</v>
      </c>
      <c r="IZ27" s="18">
        <v>5479</v>
      </c>
      <c r="JA27" s="18">
        <v>10959</v>
      </c>
      <c r="JB27" s="18">
        <v>16438</v>
      </c>
      <c r="JC27" s="18">
        <v>20548</v>
      </c>
      <c r="JD27" s="18">
        <v>23288</v>
      </c>
      <c r="JE27" s="18">
        <v>23288</v>
      </c>
      <c r="JF27" s="18">
        <v>17808</v>
      </c>
      <c r="JG27" s="18">
        <v>10959</v>
      </c>
      <c r="JH27" s="18">
        <v>5479</v>
      </c>
      <c r="JI27" s="18">
        <v>1370</v>
      </c>
      <c r="JJ27" s="18"/>
      <c r="JK27" s="18"/>
      <c r="JL27" s="18"/>
      <c r="JM27" s="18"/>
      <c r="JN27" s="18"/>
      <c r="JO27" s="18"/>
      <c r="JP27" s="18"/>
      <c r="JQ27" s="19">
        <f t="shared" si="15"/>
        <v>136986</v>
      </c>
      <c r="JR27" s="37">
        <v>20</v>
      </c>
      <c r="JS27" s="19">
        <f t="shared" si="36"/>
        <v>2739720</v>
      </c>
      <c r="JT27" s="102">
        <f>+SUM(JS27:JS30)</f>
        <v>4109580</v>
      </c>
      <c r="JV27" s="99">
        <v>49461</v>
      </c>
      <c r="JW27" s="17" t="s">
        <v>40</v>
      </c>
      <c r="JX27" s="18"/>
      <c r="JY27" s="18"/>
      <c r="JZ27" s="18"/>
      <c r="KA27" s="18"/>
      <c r="KB27" s="18"/>
      <c r="KC27" s="18"/>
      <c r="KD27" s="18"/>
      <c r="KE27" s="18">
        <v>1370</v>
      </c>
      <c r="KF27" s="18">
        <v>5479</v>
      </c>
      <c r="KG27" s="18">
        <v>10959</v>
      </c>
      <c r="KH27" s="18">
        <v>16438</v>
      </c>
      <c r="KI27" s="18">
        <v>20548</v>
      </c>
      <c r="KJ27" s="18">
        <v>23288</v>
      </c>
      <c r="KK27" s="18">
        <v>23288</v>
      </c>
      <c r="KL27" s="18">
        <v>17808</v>
      </c>
      <c r="KM27" s="18">
        <v>10959</v>
      </c>
      <c r="KN27" s="18">
        <v>5479</v>
      </c>
      <c r="KO27" s="18">
        <v>1370</v>
      </c>
      <c r="KP27" s="18"/>
      <c r="KQ27" s="18"/>
      <c r="KR27" s="18"/>
      <c r="KS27" s="18"/>
      <c r="KT27" s="18"/>
      <c r="KU27" s="18"/>
      <c r="KV27" s="19">
        <f t="shared" si="17"/>
        <v>136986</v>
      </c>
      <c r="KW27" s="37">
        <v>20</v>
      </c>
      <c r="KX27" s="19">
        <f t="shared" si="37"/>
        <v>2739720</v>
      </c>
      <c r="KY27" s="102">
        <f>+SUM(KX27:KX30)</f>
        <v>4109580</v>
      </c>
      <c r="LA27" s="99">
        <v>49827</v>
      </c>
      <c r="LB27" s="17" t="s">
        <v>40</v>
      </c>
      <c r="LC27" s="18"/>
      <c r="LD27" s="18"/>
      <c r="LE27" s="18"/>
      <c r="LF27" s="18"/>
      <c r="LG27" s="18"/>
      <c r="LH27" s="18"/>
      <c r="LI27" s="18">
        <v>1366</v>
      </c>
      <c r="LJ27" s="18">
        <v>5464</v>
      </c>
      <c r="LK27" s="18">
        <v>10929</v>
      </c>
      <c r="LL27" s="18">
        <v>16393</v>
      </c>
      <c r="LM27" s="18">
        <v>20492</v>
      </c>
      <c r="LN27" s="18">
        <v>23224</v>
      </c>
      <c r="LO27" s="18">
        <v>23224</v>
      </c>
      <c r="LP27" s="18">
        <v>17760</v>
      </c>
      <c r="LQ27" s="18">
        <v>10929</v>
      </c>
      <c r="LR27" s="18">
        <v>5464</v>
      </c>
      <c r="LS27" s="18">
        <v>1366</v>
      </c>
      <c r="LT27" s="18"/>
      <c r="LU27" s="18"/>
      <c r="LV27" s="18"/>
      <c r="LW27" s="18"/>
      <c r="LX27" s="18"/>
      <c r="LY27" s="18"/>
      <c r="LZ27" s="18"/>
      <c r="MA27" s="19">
        <f t="shared" si="19"/>
        <v>136611</v>
      </c>
      <c r="MB27" s="37">
        <v>18</v>
      </c>
      <c r="MC27" s="19">
        <f t="shared" si="38"/>
        <v>2458998</v>
      </c>
      <c r="MD27" s="102">
        <f>+SUM(MC27:MC30)</f>
        <v>4098330</v>
      </c>
      <c r="MF27" s="99">
        <v>50192</v>
      </c>
      <c r="MG27" s="17" t="s">
        <v>40</v>
      </c>
      <c r="MH27" s="18"/>
      <c r="MI27" s="18"/>
      <c r="MJ27" s="18"/>
      <c r="MK27" s="18"/>
      <c r="ML27" s="18"/>
      <c r="MM27" s="18"/>
      <c r="MN27" s="18">
        <v>1370</v>
      </c>
      <c r="MO27" s="18">
        <v>5479</v>
      </c>
      <c r="MP27" s="18">
        <v>10959</v>
      </c>
      <c r="MQ27" s="18">
        <v>16438</v>
      </c>
      <c r="MR27" s="18">
        <v>20548</v>
      </c>
      <c r="MS27" s="18">
        <v>23288</v>
      </c>
      <c r="MT27" s="18">
        <v>23288</v>
      </c>
      <c r="MU27" s="18">
        <v>17808</v>
      </c>
      <c r="MV27" s="18">
        <v>10959</v>
      </c>
      <c r="MW27" s="18">
        <v>5479</v>
      </c>
      <c r="MX27" s="18">
        <v>1370</v>
      </c>
      <c r="MY27" s="18"/>
      <c r="MZ27" s="18"/>
      <c r="NA27" s="18"/>
      <c r="NB27" s="18"/>
      <c r="NC27" s="18"/>
      <c r="ND27" s="18"/>
      <c r="NE27" s="18"/>
      <c r="NF27" s="19">
        <f t="shared" si="21"/>
        <v>136986</v>
      </c>
      <c r="NG27" s="37">
        <v>19</v>
      </c>
      <c r="NH27" s="19">
        <f t="shared" si="39"/>
        <v>2602734</v>
      </c>
      <c r="NI27" s="102">
        <f>+SUM(NH27:NH30)</f>
        <v>4109580</v>
      </c>
      <c r="NK27" s="99">
        <v>50557</v>
      </c>
      <c r="NL27" s="17" t="s">
        <v>40</v>
      </c>
      <c r="NM27" s="18"/>
      <c r="NN27" s="18"/>
      <c r="NO27" s="18"/>
      <c r="NP27" s="18"/>
      <c r="NQ27" s="18"/>
      <c r="NR27" s="18"/>
      <c r="NS27" s="18">
        <v>1370</v>
      </c>
      <c r="NT27" s="18">
        <v>5479</v>
      </c>
      <c r="NU27" s="18">
        <v>10959</v>
      </c>
      <c r="NV27" s="18">
        <v>16438</v>
      </c>
      <c r="NW27" s="18">
        <v>20548</v>
      </c>
      <c r="NX27" s="18">
        <v>23288</v>
      </c>
      <c r="NY27" s="18">
        <v>23288</v>
      </c>
      <c r="NZ27" s="18">
        <v>17808</v>
      </c>
      <c r="OA27" s="18">
        <v>10959</v>
      </c>
      <c r="OB27" s="18">
        <v>5479</v>
      </c>
      <c r="OC27" s="18">
        <v>1370</v>
      </c>
      <c r="OD27" s="18"/>
      <c r="OE27" s="18"/>
      <c r="OF27" s="18"/>
      <c r="OG27" s="18"/>
      <c r="OH27" s="18"/>
      <c r="OI27" s="18"/>
      <c r="OJ27" s="18"/>
      <c r="OK27" s="19">
        <f t="shared" si="23"/>
        <v>136986</v>
      </c>
      <c r="OL27" s="37">
        <v>20</v>
      </c>
      <c r="OM27" s="19">
        <f t="shared" si="40"/>
        <v>2739720</v>
      </c>
      <c r="ON27" s="102">
        <f>+SUM(OM27:OM30)</f>
        <v>4109580</v>
      </c>
      <c r="OP27" s="99">
        <v>50922</v>
      </c>
      <c r="OQ27" s="17" t="s">
        <v>40</v>
      </c>
      <c r="OR27" s="18"/>
      <c r="OS27" s="18"/>
      <c r="OT27" s="18"/>
      <c r="OU27" s="18"/>
      <c r="OV27" s="18"/>
      <c r="OW27" s="18"/>
      <c r="OX27" s="18">
        <v>1370</v>
      </c>
      <c r="OY27" s="18">
        <v>5479</v>
      </c>
      <c r="OZ27" s="18">
        <v>10959</v>
      </c>
      <c r="PA27" s="18">
        <v>16438</v>
      </c>
      <c r="PB27" s="18">
        <v>20548</v>
      </c>
      <c r="PC27" s="18">
        <v>23288</v>
      </c>
      <c r="PD27" s="18">
        <v>23288</v>
      </c>
      <c r="PE27" s="18">
        <v>17808</v>
      </c>
      <c r="PF27" s="18">
        <v>10959</v>
      </c>
      <c r="PG27" s="18">
        <v>5479</v>
      </c>
      <c r="PH27" s="18">
        <v>1370</v>
      </c>
      <c r="PI27" s="18"/>
      <c r="PJ27" s="18"/>
      <c r="PK27" s="18"/>
      <c r="PL27" s="18"/>
      <c r="PM27" s="18"/>
      <c r="PN27" s="18"/>
      <c r="PO27" s="18"/>
      <c r="PP27" s="19">
        <f t="shared" si="25"/>
        <v>136986</v>
      </c>
      <c r="PQ27" s="37">
        <v>20</v>
      </c>
      <c r="PR27" s="19">
        <f t="shared" si="41"/>
        <v>2739720</v>
      </c>
      <c r="PS27" s="102">
        <f>+SUM(PR27:PR30)</f>
        <v>4109580</v>
      </c>
      <c r="PU27" s="99">
        <v>51288</v>
      </c>
      <c r="PV27" s="17" t="s">
        <v>40</v>
      </c>
      <c r="PW27" s="18"/>
      <c r="PX27" s="18"/>
      <c r="PY27" s="18"/>
      <c r="PZ27" s="18"/>
      <c r="QA27" s="18"/>
      <c r="QB27" s="18"/>
      <c r="QC27" s="18">
        <v>1366</v>
      </c>
      <c r="QD27" s="18">
        <v>5464</v>
      </c>
      <c r="QE27" s="18">
        <v>10929</v>
      </c>
      <c r="QF27" s="18">
        <v>16393</v>
      </c>
      <c r="QG27" s="18">
        <v>20492</v>
      </c>
      <c r="QH27" s="18">
        <v>23224</v>
      </c>
      <c r="QI27" s="18">
        <v>23224</v>
      </c>
      <c r="QJ27" s="18">
        <v>17760</v>
      </c>
      <c r="QK27" s="18">
        <v>10929</v>
      </c>
      <c r="QL27" s="18">
        <v>5464</v>
      </c>
      <c r="QM27" s="18">
        <v>1366</v>
      </c>
      <c r="QN27" s="18"/>
      <c r="QO27" s="18"/>
      <c r="QP27" s="18"/>
      <c r="QQ27" s="18"/>
      <c r="QR27" s="18"/>
      <c r="QS27" s="18"/>
      <c r="QT27" s="18"/>
      <c r="QU27" s="19">
        <f t="shared" si="27"/>
        <v>136611</v>
      </c>
      <c r="QV27" s="46">
        <v>19</v>
      </c>
      <c r="QW27" s="19">
        <f t="shared" si="42"/>
        <v>2595609</v>
      </c>
      <c r="QX27" s="102">
        <f>+SUM(QW27:QW30)</f>
        <v>4098330</v>
      </c>
    </row>
    <row r="28" spans="1:466" x14ac:dyDescent="0.35">
      <c r="A28" s="100"/>
      <c r="B28" s="21" t="s">
        <v>41</v>
      </c>
      <c r="C28" s="18"/>
      <c r="D28" s="18"/>
      <c r="E28" s="18"/>
      <c r="F28" s="18"/>
      <c r="G28" s="18"/>
      <c r="H28" s="18"/>
      <c r="I28" s="18">
        <v>1370</v>
      </c>
      <c r="J28" s="18">
        <v>5479</v>
      </c>
      <c r="K28" s="18">
        <v>10959</v>
      </c>
      <c r="L28" s="18">
        <v>16438</v>
      </c>
      <c r="M28" s="18">
        <v>20548</v>
      </c>
      <c r="N28" s="18">
        <v>23288</v>
      </c>
      <c r="O28" s="18">
        <v>23288</v>
      </c>
      <c r="P28" s="18">
        <v>17808</v>
      </c>
      <c r="Q28" s="18">
        <v>10959</v>
      </c>
      <c r="R28" s="18">
        <v>5479</v>
      </c>
      <c r="S28" s="18">
        <v>1370</v>
      </c>
      <c r="T28" s="18"/>
      <c r="U28" s="18"/>
      <c r="V28" s="18"/>
      <c r="W28" s="18"/>
      <c r="X28" s="18"/>
      <c r="Y28" s="18"/>
      <c r="Z28" s="18"/>
      <c r="AA28" s="19">
        <f t="shared" si="0"/>
        <v>136986</v>
      </c>
      <c r="AB28" s="38">
        <v>4</v>
      </c>
      <c r="AC28" s="19">
        <f t="shared" si="1"/>
        <v>547944</v>
      </c>
      <c r="AD28" s="103"/>
      <c r="AF28" s="100"/>
      <c r="AG28" s="21" t="s">
        <v>41</v>
      </c>
      <c r="AH28" s="18"/>
      <c r="AI28" s="18"/>
      <c r="AJ28" s="18"/>
      <c r="AK28" s="18"/>
      <c r="AL28" s="18"/>
      <c r="AM28" s="18"/>
      <c r="AN28" s="18">
        <v>1370</v>
      </c>
      <c r="AO28" s="18">
        <v>5479</v>
      </c>
      <c r="AP28" s="18">
        <v>10959</v>
      </c>
      <c r="AQ28" s="18">
        <v>16438</v>
      </c>
      <c r="AR28" s="18">
        <v>20548</v>
      </c>
      <c r="AS28" s="18">
        <v>23288</v>
      </c>
      <c r="AT28" s="18">
        <v>23288</v>
      </c>
      <c r="AU28" s="18">
        <v>17808</v>
      </c>
      <c r="AV28" s="18">
        <v>10959</v>
      </c>
      <c r="AW28" s="18">
        <v>5479</v>
      </c>
      <c r="AX28" s="18">
        <v>1370</v>
      </c>
      <c r="AY28" s="18"/>
      <c r="AZ28" s="18"/>
      <c r="BA28" s="18"/>
      <c r="BB28" s="18"/>
      <c r="BC28" s="18"/>
      <c r="BD28" s="18"/>
      <c r="BE28" s="18"/>
      <c r="BF28" s="19">
        <f t="shared" si="2"/>
        <v>136986</v>
      </c>
      <c r="BG28" s="38">
        <v>4</v>
      </c>
      <c r="BH28" s="19">
        <f t="shared" si="29"/>
        <v>547944</v>
      </c>
      <c r="BI28" s="103"/>
      <c r="BK28" s="100"/>
      <c r="BL28" s="21" t="s">
        <v>41</v>
      </c>
      <c r="BM28" s="18"/>
      <c r="BN28" s="18"/>
      <c r="BO28" s="18"/>
      <c r="BP28" s="18"/>
      <c r="BQ28" s="18"/>
      <c r="BR28" s="18"/>
      <c r="BS28" s="18">
        <v>1366</v>
      </c>
      <c r="BT28" s="18">
        <v>5464</v>
      </c>
      <c r="BU28" s="18">
        <v>10929</v>
      </c>
      <c r="BV28" s="18">
        <v>16393</v>
      </c>
      <c r="BW28" s="18">
        <v>20492</v>
      </c>
      <c r="BX28" s="18">
        <v>23224</v>
      </c>
      <c r="BY28" s="18">
        <v>23224</v>
      </c>
      <c r="BZ28" s="18">
        <v>17760</v>
      </c>
      <c r="CA28" s="18">
        <v>10929</v>
      </c>
      <c r="CB28" s="18">
        <v>5464</v>
      </c>
      <c r="CC28" s="18">
        <v>1366</v>
      </c>
      <c r="CD28" s="18"/>
      <c r="CE28" s="18"/>
      <c r="CF28" s="18"/>
      <c r="CG28" s="18"/>
      <c r="CH28" s="18"/>
      <c r="CI28" s="18"/>
      <c r="CJ28" s="18"/>
      <c r="CK28" s="19">
        <f t="shared" si="4"/>
        <v>136611</v>
      </c>
      <c r="CL28" s="38">
        <v>4</v>
      </c>
      <c r="CM28" s="19">
        <f t="shared" si="30"/>
        <v>546444</v>
      </c>
      <c r="CN28" s="103"/>
      <c r="CP28" s="100"/>
      <c r="CQ28" s="21" t="s">
        <v>41</v>
      </c>
      <c r="CR28" s="18"/>
      <c r="CS28" s="18"/>
      <c r="CT28" s="18"/>
      <c r="CU28" s="18"/>
      <c r="CV28" s="18"/>
      <c r="CW28" s="18"/>
      <c r="CX28" s="18">
        <v>1370</v>
      </c>
      <c r="CY28" s="18">
        <v>5479</v>
      </c>
      <c r="CZ28" s="18">
        <v>10959</v>
      </c>
      <c r="DA28" s="18">
        <v>16438</v>
      </c>
      <c r="DB28" s="18">
        <v>20548</v>
      </c>
      <c r="DC28" s="18">
        <v>23288</v>
      </c>
      <c r="DD28" s="18">
        <v>23288</v>
      </c>
      <c r="DE28" s="18">
        <v>17808</v>
      </c>
      <c r="DF28" s="18">
        <v>10959</v>
      </c>
      <c r="DG28" s="18">
        <v>5479</v>
      </c>
      <c r="DH28" s="18">
        <v>1370</v>
      </c>
      <c r="DI28" s="18"/>
      <c r="DJ28" s="18"/>
      <c r="DK28" s="18"/>
      <c r="DL28" s="18"/>
      <c r="DM28" s="18"/>
      <c r="DN28" s="18"/>
      <c r="DO28" s="18"/>
      <c r="DP28" s="19">
        <f t="shared" si="6"/>
        <v>136986</v>
      </c>
      <c r="DQ28" s="38">
        <v>5</v>
      </c>
      <c r="DR28" s="19">
        <f t="shared" si="31"/>
        <v>684930</v>
      </c>
      <c r="DS28" s="103"/>
      <c r="DV28" s="100"/>
      <c r="DW28" s="21" t="s">
        <v>41</v>
      </c>
      <c r="DX28" s="18"/>
      <c r="DY28" s="18"/>
      <c r="DZ28" s="18"/>
      <c r="EA28" s="18"/>
      <c r="EB28" s="18"/>
      <c r="EC28" s="18"/>
      <c r="ED28" s="18">
        <v>1370</v>
      </c>
      <c r="EE28" s="18">
        <v>5479</v>
      </c>
      <c r="EF28" s="18">
        <v>10959</v>
      </c>
      <c r="EG28" s="18">
        <v>16438</v>
      </c>
      <c r="EH28" s="18">
        <v>20548</v>
      </c>
      <c r="EI28" s="18">
        <v>23288</v>
      </c>
      <c r="EJ28" s="18">
        <v>23288</v>
      </c>
      <c r="EK28" s="18">
        <v>17808</v>
      </c>
      <c r="EL28" s="18">
        <v>10959</v>
      </c>
      <c r="EM28" s="18">
        <v>5479</v>
      </c>
      <c r="EN28" s="18">
        <v>1370</v>
      </c>
      <c r="EO28" s="18"/>
      <c r="EP28" s="18"/>
      <c r="EQ28" s="18"/>
      <c r="ER28" s="18"/>
      <c r="ES28" s="18"/>
      <c r="ET28" s="18"/>
      <c r="EU28" s="18"/>
      <c r="EV28" s="19">
        <f t="shared" si="8"/>
        <v>136986</v>
      </c>
      <c r="EW28" s="38">
        <v>5</v>
      </c>
      <c r="EX28" s="19">
        <f t="shared" si="32"/>
        <v>684930</v>
      </c>
      <c r="EY28" s="103"/>
      <c r="FB28" s="100"/>
      <c r="FC28" s="21" t="s">
        <v>41</v>
      </c>
      <c r="FD28" s="18"/>
      <c r="FE28" s="18"/>
      <c r="FF28" s="18"/>
      <c r="FG28" s="18"/>
      <c r="FH28" s="18"/>
      <c r="FI28" s="18"/>
      <c r="FJ28" s="18">
        <v>1370</v>
      </c>
      <c r="FK28" s="18">
        <v>5479</v>
      </c>
      <c r="FL28" s="18">
        <v>10959</v>
      </c>
      <c r="FM28" s="18">
        <v>16438</v>
      </c>
      <c r="FN28" s="18">
        <v>20548</v>
      </c>
      <c r="FO28" s="18">
        <v>23288</v>
      </c>
      <c r="FP28" s="18">
        <v>23288</v>
      </c>
      <c r="FQ28" s="18">
        <v>17808</v>
      </c>
      <c r="FR28" s="18">
        <v>10959</v>
      </c>
      <c r="FS28" s="18">
        <v>5479</v>
      </c>
      <c r="FT28" s="18">
        <v>1370</v>
      </c>
      <c r="FU28" s="18"/>
      <c r="FV28" s="18"/>
      <c r="FW28" s="18"/>
      <c r="FX28" s="18"/>
      <c r="FY28" s="18"/>
      <c r="FZ28" s="18"/>
      <c r="GA28" s="18"/>
      <c r="GB28" s="19">
        <f t="shared" si="9"/>
        <v>136986</v>
      </c>
      <c r="GC28" s="38">
        <v>4</v>
      </c>
      <c r="GD28" s="19">
        <f t="shared" si="33"/>
        <v>547944</v>
      </c>
      <c r="GE28" s="103"/>
      <c r="GG28" s="100"/>
      <c r="GH28" s="21" t="s">
        <v>41</v>
      </c>
      <c r="GI28" s="18"/>
      <c r="GJ28" s="18"/>
      <c r="GK28" s="18"/>
      <c r="GL28" s="18"/>
      <c r="GM28" s="18"/>
      <c r="GN28" s="18"/>
      <c r="GO28" s="18">
        <v>1366</v>
      </c>
      <c r="GP28" s="18">
        <v>5464</v>
      </c>
      <c r="GQ28" s="18">
        <v>10929</v>
      </c>
      <c r="GR28" s="18">
        <v>16393</v>
      </c>
      <c r="GS28" s="18">
        <v>20492</v>
      </c>
      <c r="GT28" s="18">
        <v>23224</v>
      </c>
      <c r="GU28" s="18">
        <v>23224</v>
      </c>
      <c r="GV28" s="18">
        <v>17760</v>
      </c>
      <c r="GW28" s="18">
        <v>10929</v>
      </c>
      <c r="GX28" s="18">
        <v>5464</v>
      </c>
      <c r="GY28" s="18">
        <v>1366</v>
      </c>
      <c r="GZ28" s="18"/>
      <c r="HA28" s="18"/>
      <c r="HB28" s="18"/>
      <c r="HC28" s="18"/>
      <c r="HD28" s="18"/>
      <c r="HE28" s="18"/>
      <c r="HF28" s="18"/>
      <c r="HG28" s="19">
        <f t="shared" si="11"/>
        <v>136611</v>
      </c>
      <c r="HH28" s="38">
        <v>4</v>
      </c>
      <c r="HI28" s="19">
        <f t="shared" si="34"/>
        <v>546444</v>
      </c>
      <c r="HJ28" s="103"/>
      <c r="HL28" s="100"/>
      <c r="HM28" s="21" t="s">
        <v>41</v>
      </c>
      <c r="HN28" s="18"/>
      <c r="HO28" s="18"/>
      <c r="HP28" s="18"/>
      <c r="HQ28" s="18"/>
      <c r="HR28" s="18"/>
      <c r="HS28" s="18"/>
      <c r="HT28" s="18">
        <v>1370</v>
      </c>
      <c r="HU28" s="18">
        <v>5479</v>
      </c>
      <c r="HV28" s="18">
        <v>10959</v>
      </c>
      <c r="HW28" s="18">
        <v>16438</v>
      </c>
      <c r="HX28" s="18">
        <v>20548</v>
      </c>
      <c r="HY28" s="18">
        <v>23288</v>
      </c>
      <c r="HZ28" s="18">
        <v>23288</v>
      </c>
      <c r="IA28" s="18">
        <v>17808</v>
      </c>
      <c r="IB28" s="18">
        <v>10959</v>
      </c>
      <c r="IC28" s="18">
        <v>5479</v>
      </c>
      <c r="ID28" s="18">
        <v>1370</v>
      </c>
      <c r="IE28" s="18"/>
      <c r="IF28" s="18"/>
      <c r="IG28" s="18"/>
      <c r="IH28" s="18"/>
      <c r="II28" s="18"/>
      <c r="IJ28" s="18"/>
      <c r="IK28" s="18"/>
      <c r="IL28" s="19">
        <f t="shared" si="13"/>
        <v>136986</v>
      </c>
      <c r="IM28" s="38">
        <v>4</v>
      </c>
      <c r="IN28" s="19">
        <f t="shared" si="35"/>
        <v>547944</v>
      </c>
      <c r="IO28" s="103"/>
      <c r="IQ28" s="100"/>
      <c r="IR28" s="21" t="s">
        <v>41</v>
      </c>
      <c r="IS28" s="18"/>
      <c r="IT28" s="18"/>
      <c r="IU28" s="18"/>
      <c r="IV28" s="18"/>
      <c r="IW28" s="18"/>
      <c r="IX28" s="18"/>
      <c r="IY28" s="18">
        <v>1370</v>
      </c>
      <c r="IZ28" s="18">
        <v>5479</v>
      </c>
      <c r="JA28" s="18">
        <v>10959</v>
      </c>
      <c r="JB28" s="18">
        <v>16438</v>
      </c>
      <c r="JC28" s="18">
        <v>20548</v>
      </c>
      <c r="JD28" s="18">
        <v>23288</v>
      </c>
      <c r="JE28" s="18">
        <v>23288</v>
      </c>
      <c r="JF28" s="18">
        <v>17808</v>
      </c>
      <c r="JG28" s="18">
        <v>10959</v>
      </c>
      <c r="JH28" s="18">
        <v>5479</v>
      </c>
      <c r="JI28" s="18">
        <v>1370</v>
      </c>
      <c r="JJ28" s="18"/>
      <c r="JK28" s="18"/>
      <c r="JL28" s="18"/>
      <c r="JM28" s="18"/>
      <c r="JN28" s="18"/>
      <c r="JO28" s="18"/>
      <c r="JP28" s="18"/>
      <c r="JQ28" s="19">
        <f t="shared" si="15"/>
        <v>136986</v>
      </c>
      <c r="JR28" s="38">
        <v>4</v>
      </c>
      <c r="JS28" s="19">
        <f t="shared" si="36"/>
        <v>547944</v>
      </c>
      <c r="JT28" s="103"/>
      <c r="JV28" s="100"/>
      <c r="JW28" s="21" t="s">
        <v>41</v>
      </c>
      <c r="JX28" s="18"/>
      <c r="JY28" s="18"/>
      <c r="JZ28" s="18"/>
      <c r="KA28" s="18"/>
      <c r="KB28" s="18"/>
      <c r="KC28" s="18"/>
      <c r="KD28" s="18"/>
      <c r="KE28" s="18">
        <v>1370</v>
      </c>
      <c r="KF28" s="18">
        <v>5479</v>
      </c>
      <c r="KG28" s="18">
        <v>10959</v>
      </c>
      <c r="KH28" s="18">
        <v>16438</v>
      </c>
      <c r="KI28" s="18">
        <v>20548</v>
      </c>
      <c r="KJ28" s="18">
        <v>23288</v>
      </c>
      <c r="KK28" s="18">
        <v>23288</v>
      </c>
      <c r="KL28" s="18">
        <v>17808</v>
      </c>
      <c r="KM28" s="18">
        <v>10959</v>
      </c>
      <c r="KN28" s="18">
        <v>5479</v>
      </c>
      <c r="KO28" s="18">
        <v>1370</v>
      </c>
      <c r="KP28" s="18"/>
      <c r="KQ28" s="18"/>
      <c r="KR28" s="18"/>
      <c r="KS28" s="18"/>
      <c r="KT28" s="18"/>
      <c r="KU28" s="18"/>
      <c r="KV28" s="19">
        <f t="shared" si="17"/>
        <v>136986</v>
      </c>
      <c r="KW28" s="38">
        <v>5</v>
      </c>
      <c r="KX28" s="19">
        <f t="shared" si="37"/>
        <v>684930</v>
      </c>
      <c r="KY28" s="103"/>
      <c r="LA28" s="100"/>
      <c r="LB28" s="21" t="s">
        <v>41</v>
      </c>
      <c r="LC28" s="18"/>
      <c r="LD28" s="18"/>
      <c r="LE28" s="18"/>
      <c r="LF28" s="18"/>
      <c r="LG28" s="18"/>
      <c r="LH28" s="18"/>
      <c r="LI28" s="18">
        <v>1366</v>
      </c>
      <c r="LJ28" s="18">
        <v>5464</v>
      </c>
      <c r="LK28" s="18">
        <v>10929</v>
      </c>
      <c r="LL28" s="18">
        <v>16393</v>
      </c>
      <c r="LM28" s="18">
        <v>20492</v>
      </c>
      <c r="LN28" s="18">
        <v>23224</v>
      </c>
      <c r="LO28" s="18">
        <v>23224</v>
      </c>
      <c r="LP28" s="18">
        <v>17760</v>
      </c>
      <c r="LQ28" s="18">
        <v>10929</v>
      </c>
      <c r="LR28" s="18">
        <v>5464</v>
      </c>
      <c r="LS28" s="18">
        <v>1366</v>
      </c>
      <c r="LT28" s="18"/>
      <c r="LU28" s="18"/>
      <c r="LV28" s="18"/>
      <c r="LW28" s="18"/>
      <c r="LX28" s="18"/>
      <c r="LY28" s="18"/>
      <c r="LZ28" s="18"/>
      <c r="MA28" s="19">
        <f t="shared" si="19"/>
        <v>136611</v>
      </c>
      <c r="MB28" s="38">
        <v>4</v>
      </c>
      <c r="MC28" s="19">
        <f t="shared" si="38"/>
        <v>546444</v>
      </c>
      <c r="MD28" s="103"/>
      <c r="MF28" s="100"/>
      <c r="MG28" s="21" t="s">
        <v>41</v>
      </c>
      <c r="MH28" s="18"/>
      <c r="MI28" s="18"/>
      <c r="MJ28" s="18"/>
      <c r="MK28" s="18"/>
      <c r="ML28" s="18"/>
      <c r="MM28" s="18"/>
      <c r="MN28" s="18">
        <v>1370</v>
      </c>
      <c r="MO28" s="18">
        <v>5479</v>
      </c>
      <c r="MP28" s="18">
        <v>10959</v>
      </c>
      <c r="MQ28" s="18">
        <v>16438</v>
      </c>
      <c r="MR28" s="18">
        <v>20548</v>
      </c>
      <c r="MS28" s="18">
        <v>23288</v>
      </c>
      <c r="MT28" s="18">
        <v>23288</v>
      </c>
      <c r="MU28" s="18">
        <v>17808</v>
      </c>
      <c r="MV28" s="18">
        <v>10959</v>
      </c>
      <c r="MW28" s="18">
        <v>5479</v>
      </c>
      <c r="MX28" s="18">
        <v>1370</v>
      </c>
      <c r="MY28" s="18"/>
      <c r="MZ28" s="18"/>
      <c r="NA28" s="18"/>
      <c r="NB28" s="18"/>
      <c r="NC28" s="18"/>
      <c r="ND28" s="18"/>
      <c r="NE28" s="18"/>
      <c r="NF28" s="19">
        <f t="shared" si="21"/>
        <v>136986</v>
      </c>
      <c r="NG28" s="38">
        <v>4</v>
      </c>
      <c r="NH28" s="19">
        <f t="shared" si="39"/>
        <v>547944</v>
      </c>
      <c r="NI28" s="103"/>
      <c r="NK28" s="100"/>
      <c r="NL28" s="21" t="s">
        <v>41</v>
      </c>
      <c r="NM28" s="18"/>
      <c r="NN28" s="18"/>
      <c r="NO28" s="18"/>
      <c r="NP28" s="18"/>
      <c r="NQ28" s="18"/>
      <c r="NR28" s="18"/>
      <c r="NS28" s="18">
        <v>1370</v>
      </c>
      <c r="NT28" s="18">
        <v>5479</v>
      </c>
      <c r="NU28" s="18">
        <v>10959</v>
      </c>
      <c r="NV28" s="18">
        <v>16438</v>
      </c>
      <c r="NW28" s="18">
        <v>20548</v>
      </c>
      <c r="NX28" s="18">
        <v>23288</v>
      </c>
      <c r="NY28" s="18">
        <v>23288</v>
      </c>
      <c r="NZ28" s="18">
        <v>17808</v>
      </c>
      <c r="OA28" s="18">
        <v>10959</v>
      </c>
      <c r="OB28" s="18">
        <v>5479</v>
      </c>
      <c r="OC28" s="18">
        <v>1370</v>
      </c>
      <c r="OD28" s="18"/>
      <c r="OE28" s="18"/>
      <c r="OF28" s="18"/>
      <c r="OG28" s="18"/>
      <c r="OH28" s="18"/>
      <c r="OI28" s="18"/>
      <c r="OJ28" s="18"/>
      <c r="OK28" s="19">
        <f t="shared" si="23"/>
        <v>136986</v>
      </c>
      <c r="OL28" s="38">
        <v>4</v>
      </c>
      <c r="OM28" s="19">
        <f t="shared" si="40"/>
        <v>547944</v>
      </c>
      <c r="ON28" s="103"/>
      <c r="OP28" s="100"/>
      <c r="OQ28" s="21" t="s">
        <v>41</v>
      </c>
      <c r="OR28" s="18"/>
      <c r="OS28" s="18"/>
      <c r="OT28" s="18"/>
      <c r="OU28" s="18"/>
      <c r="OV28" s="18"/>
      <c r="OW28" s="18"/>
      <c r="OX28" s="18">
        <v>1370</v>
      </c>
      <c r="OY28" s="18">
        <v>5479</v>
      </c>
      <c r="OZ28" s="18">
        <v>10959</v>
      </c>
      <c r="PA28" s="18">
        <v>16438</v>
      </c>
      <c r="PB28" s="18">
        <v>20548</v>
      </c>
      <c r="PC28" s="18">
        <v>23288</v>
      </c>
      <c r="PD28" s="18">
        <v>23288</v>
      </c>
      <c r="PE28" s="18">
        <v>17808</v>
      </c>
      <c r="PF28" s="18">
        <v>10959</v>
      </c>
      <c r="PG28" s="18">
        <v>5479</v>
      </c>
      <c r="PH28" s="18">
        <v>1370</v>
      </c>
      <c r="PI28" s="18"/>
      <c r="PJ28" s="18"/>
      <c r="PK28" s="18"/>
      <c r="PL28" s="18"/>
      <c r="PM28" s="18"/>
      <c r="PN28" s="18"/>
      <c r="PO28" s="18"/>
      <c r="PP28" s="19">
        <f t="shared" si="25"/>
        <v>136986</v>
      </c>
      <c r="PQ28" s="38">
        <v>4</v>
      </c>
      <c r="PR28" s="19">
        <f t="shared" si="41"/>
        <v>547944</v>
      </c>
      <c r="PS28" s="103"/>
      <c r="PU28" s="100"/>
      <c r="PV28" s="21" t="s">
        <v>41</v>
      </c>
      <c r="PW28" s="18"/>
      <c r="PX28" s="18"/>
      <c r="PY28" s="18"/>
      <c r="PZ28" s="18"/>
      <c r="QA28" s="18"/>
      <c r="QB28" s="18"/>
      <c r="QC28" s="18">
        <v>1366</v>
      </c>
      <c r="QD28" s="18">
        <v>5464</v>
      </c>
      <c r="QE28" s="18">
        <v>10929</v>
      </c>
      <c r="QF28" s="18">
        <v>16393</v>
      </c>
      <c r="QG28" s="18">
        <v>20492</v>
      </c>
      <c r="QH28" s="18">
        <v>23224</v>
      </c>
      <c r="QI28" s="18">
        <v>23224</v>
      </c>
      <c r="QJ28" s="18">
        <v>17760</v>
      </c>
      <c r="QK28" s="18">
        <v>10929</v>
      </c>
      <c r="QL28" s="18">
        <v>5464</v>
      </c>
      <c r="QM28" s="18">
        <v>1366</v>
      </c>
      <c r="QN28" s="18"/>
      <c r="QO28" s="18"/>
      <c r="QP28" s="18"/>
      <c r="QQ28" s="18"/>
      <c r="QR28" s="18"/>
      <c r="QS28" s="18"/>
      <c r="QT28" s="18"/>
      <c r="QU28" s="19">
        <f t="shared" si="27"/>
        <v>136611</v>
      </c>
      <c r="QV28" s="45">
        <v>5</v>
      </c>
      <c r="QW28" s="19">
        <f t="shared" si="42"/>
        <v>683055</v>
      </c>
      <c r="QX28" s="103"/>
    </row>
    <row r="29" spans="1:466" x14ac:dyDescent="0.35">
      <c r="A29" s="100"/>
      <c r="B29" s="21" t="s">
        <v>42</v>
      </c>
      <c r="C29" s="18"/>
      <c r="D29" s="18"/>
      <c r="E29" s="18"/>
      <c r="F29" s="18"/>
      <c r="G29" s="18"/>
      <c r="H29" s="18"/>
      <c r="I29" s="18">
        <v>1370</v>
      </c>
      <c r="J29" s="18">
        <v>5479</v>
      </c>
      <c r="K29" s="18">
        <v>10959</v>
      </c>
      <c r="L29" s="18">
        <v>16438</v>
      </c>
      <c r="M29" s="18">
        <v>20548</v>
      </c>
      <c r="N29" s="18">
        <v>23288</v>
      </c>
      <c r="O29" s="18">
        <v>23288</v>
      </c>
      <c r="P29" s="18">
        <v>17808</v>
      </c>
      <c r="Q29" s="18">
        <v>10959</v>
      </c>
      <c r="R29" s="18">
        <v>5479</v>
      </c>
      <c r="S29" s="18">
        <v>1370</v>
      </c>
      <c r="T29" s="18"/>
      <c r="U29" s="18"/>
      <c r="V29" s="18"/>
      <c r="W29" s="18"/>
      <c r="X29" s="18"/>
      <c r="Y29" s="18"/>
      <c r="Z29" s="18"/>
      <c r="AA29" s="19">
        <f t="shared" si="0"/>
        <v>136986</v>
      </c>
      <c r="AB29" s="38">
        <v>4</v>
      </c>
      <c r="AC29" s="19">
        <f t="shared" si="1"/>
        <v>547944</v>
      </c>
      <c r="AD29" s="103"/>
      <c r="AF29" s="100"/>
      <c r="AG29" s="21" t="s">
        <v>42</v>
      </c>
      <c r="AH29" s="18"/>
      <c r="AI29" s="18"/>
      <c r="AJ29" s="18"/>
      <c r="AK29" s="18"/>
      <c r="AL29" s="18"/>
      <c r="AM29" s="18"/>
      <c r="AN29" s="18">
        <v>1370</v>
      </c>
      <c r="AO29" s="18">
        <v>5479</v>
      </c>
      <c r="AP29" s="18">
        <v>10959</v>
      </c>
      <c r="AQ29" s="18">
        <v>16438</v>
      </c>
      <c r="AR29" s="18">
        <v>20548</v>
      </c>
      <c r="AS29" s="18">
        <v>23288</v>
      </c>
      <c r="AT29" s="18">
        <v>23288</v>
      </c>
      <c r="AU29" s="18">
        <v>17808</v>
      </c>
      <c r="AV29" s="18">
        <v>10959</v>
      </c>
      <c r="AW29" s="18">
        <v>5479</v>
      </c>
      <c r="AX29" s="18">
        <v>1370</v>
      </c>
      <c r="AY29" s="18"/>
      <c r="AZ29" s="18"/>
      <c r="BA29" s="18"/>
      <c r="BB29" s="18"/>
      <c r="BC29" s="18"/>
      <c r="BD29" s="18"/>
      <c r="BE29" s="18"/>
      <c r="BF29" s="19">
        <f t="shared" si="2"/>
        <v>136986</v>
      </c>
      <c r="BG29" s="38">
        <v>4</v>
      </c>
      <c r="BH29" s="19">
        <f t="shared" si="29"/>
        <v>547944</v>
      </c>
      <c r="BI29" s="103"/>
      <c r="BK29" s="100"/>
      <c r="BL29" s="21" t="s">
        <v>42</v>
      </c>
      <c r="BM29" s="18"/>
      <c r="BN29" s="18"/>
      <c r="BO29" s="18"/>
      <c r="BP29" s="18"/>
      <c r="BQ29" s="18"/>
      <c r="BR29" s="18"/>
      <c r="BS29" s="18">
        <v>1366</v>
      </c>
      <c r="BT29" s="18">
        <v>5464</v>
      </c>
      <c r="BU29" s="18">
        <v>10929</v>
      </c>
      <c r="BV29" s="18">
        <v>16393</v>
      </c>
      <c r="BW29" s="18">
        <v>20492</v>
      </c>
      <c r="BX29" s="18">
        <v>23224</v>
      </c>
      <c r="BY29" s="18">
        <v>23224</v>
      </c>
      <c r="BZ29" s="18">
        <v>17760</v>
      </c>
      <c r="CA29" s="18">
        <v>10929</v>
      </c>
      <c r="CB29" s="18">
        <v>5464</v>
      </c>
      <c r="CC29" s="18">
        <v>1366</v>
      </c>
      <c r="CD29" s="18"/>
      <c r="CE29" s="18"/>
      <c r="CF29" s="18"/>
      <c r="CG29" s="18"/>
      <c r="CH29" s="18"/>
      <c r="CI29" s="18"/>
      <c r="CJ29" s="18"/>
      <c r="CK29" s="19">
        <f t="shared" si="4"/>
        <v>136611</v>
      </c>
      <c r="CL29" s="38">
        <v>4</v>
      </c>
      <c r="CM29" s="19">
        <f t="shared" si="30"/>
        <v>546444</v>
      </c>
      <c r="CN29" s="103"/>
      <c r="CP29" s="100"/>
      <c r="CQ29" s="21" t="s">
        <v>42</v>
      </c>
      <c r="CR29" s="18"/>
      <c r="CS29" s="18"/>
      <c r="CT29" s="18"/>
      <c r="CU29" s="18"/>
      <c r="CV29" s="18"/>
      <c r="CW29" s="18"/>
      <c r="CX29" s="18">
        <v>1370</v>
      </c>
      <c r="CY29" s="18">
        <v>5479</v>
      </c>
      <c r="CZ29" s="18">
        <v>10959</v>
      </c>
      <c r="DA29" s="18">
        <v>16438</v>
      </c>
      <c r="DB29" s="18">
        <v>20548</v>
      </c>
      <c r="DC29" s="18">
        <v>23288</v>
      </c>
      <c r="DD29" s="18">
        <v>23288</v>
      </c>
      <c r="DE29" s="18">
        <v>17808</v>
      </c>
      <c r="DF29" s="18">
        <v>10959</v>
      </c>
      <c r="DG29" s="18">
        <v>5479</v>
      </c>
      <c r="DH29" s="18">
        <v>1370</v>
      </c>
      <c r="DI29" s="18"/>
      <c r="DJ29" s="18"/>
      <c r="DK29" s="18"/>
      <c r="DL29" s="18"/>
      <c r="DM29" s="18"/>
      <c r="DN29" s="18"/>
      <c r="DO29" s="18"/>
      <c r="DP29" s="19">
        <f t="shared" si="6"/>
        <v>136986</v>
      </c>
      <c r="DQ29" s="38">
        <v>4</v>
      </c>
      <c r="DR29" s="19">
        <f t="shared" si="31"/>
        <v>547944</v>
      </c>
      <c r="DS29" s="103"/>
      <c r="DV29" s="100"/>
      <c r="DW29" s="21" t="s">
        <v>42</v>
      </c>
      <c r="DX29" s="18"/>
      <c r="DY29" s="18"/>
      <c r="DZ29" s="18"/>
      <c r="EA29" s="18"/>
      <c r="EB29" s="18"/>
      <c r="EC29" s="18"/>
      <c r="ED29" s="18">
        <v>1370</v>
      </c>
      <c r="EE29" s="18">
        <v>5479</v>
      </c>
      <c r="EF29" s="18">
        <v>10959</v>
      </c>
      <c r="EG29" s="18">
        <v>16438</v>
      </c>
      <c r="EH29" s="18">
        <v>20548</v>
      </c>
      <c r="EI29" s="18">
        <v>23288</v>
      </c>
      <c r="EJ29" s="18">
        <v>23288</v>
      </c>
      <c r="EK29" s="18">
        <v>17808</v>
      </c>
      <c r="EL29" s="18">
        <v>10959</v>
      </c>
      <c r="EM29" s="18">
        <v>5479</v>
      </c>
      <c r="EN29" s="18">
        <v>1370</v>
      </c>
      <c r="EO29" s="18"/>
      <c r="EP29" s="18"/>
      <c r="EQ29" s="18"/>
      <c r="ER29" s="18"/>
      <c r="ES29" s="18"/>
      <c r="ET29" s="18"/>
      <c r="EU29" s="18"/>
      <c r="EV29" s="19">
        <f t="shared" si="8"/>
        <v>136986</v>
      </c>
      <c r="EW29" s="38">
        <v>5</v>
      </c>
      <c r="EX29" s="19">
        <f t="shared" si="32"/>
        <v>684930</v>
      </c>
      <c r="EY29" s="103"/>
      <c r="FB29" s="100"/>
      <c r="FC29" s="21" t="s">
        <v>42</v>
      </c>
      <c r="FD29" s="18"/>
      <c r="FE29" s="18"/>
      <c r="FF29" s="18"/>
      <c r="FG29" s="18"/>
      <c r="FH29" s="18"/>
      <c r="FI29" s="18"/>
      <c r="FJ29" s="18">
        <v>1370</v>
      </c>
      <c r="FK29" s="18">
        <v>5479</v>
      </c>
      <c r="FL29" s="18">
        <v>10959</v>
      </c>
      <c r="FM29" s="18">
        <v>16438</v>
      </c>
      <c r="FN29" s="18">
        <v>20548</v>
      </c>
      <c r="FO29" s="18">
        <v>23288</v>
      </c>
      <c r="FP29" s="18">
        <v>23288</v>
      </c>
      <c r="FQ29" s="18">
        <v>17808</v>
      </c>
      <c r="FR29" s="18">
        <v>10959</v>
      </c>
      <c r="FS29" s="18">
        <v>5479</v>
      </c>
      <c r="FT29" s="18">
        <v>1370</v>
      </c>
      <c r="FU29" s="18"/>
      <c r="FV29" s="18"/>
      <c r="FW29" s="18"/>
      <c r="FX29" s="18"/>
      <c r="FY29" s="18"/>
      <c r="FZ29" s="18"/>
      <c r="GA29" s="18"/>
      <c r="GB29" s="19">
        <f t="shared" si="9"/>
        <v>136986</v>
      </c>
      <c r="GC29" s="38">
        <v>5</v>
      </c>
      <c r="GD29" s="19">
        <f t="shared" si="33"/>
        <v>684930</v>
      </c>
      <c r="GE29" s="103"/>
      <c r="GG29" s="100"/>
      <c r="GH29" s="21" t="s">
        <v>42</v>
      </c>
      <c r="GI29" s="18"/>
      <c r="GJ29" s="18"/>
      <c r="GK29" s="18"/>
      <c r="GL29" s="18"/>
      <c r="GM29" s="18"/>
      <c r="GN29" s="18"/>
      <c r="GO29" s="18">
        <v>1366</v>
      </c>
      <c r="GP29" s="18">
        <v>5464</v>
      </c>
      <c r="GQ29" s="18">
        <v>10929</v>
      </c>
      <c r="GR29" s="18">
        <v>16393</v>
      </c>
      <c r="GS29" s="18">
        <v>20492</v>
      </c>
      <c r="GT29" s="18">
        <v>23224</v>
      </c>
      <c r="GU29" s="18">
        <v>23224</v>
      </c>
      <c r="GV29" s="18">
        <v>17760</v>
      </c>
      <c r="GW29" s="18">
        <v>10929</v>
      </c>
      <c r="GX29" s="18">
        <v>5464</v>
      </c>
      <c r="GY29" s="18">
        <v>1366</v>
      </c>
      <c r="GZ29" s="18"/>
      <c r="HA29" s="18"/>
      <c r="HB29" s="18"/>
      <c r="HC29" s="18"/>
      <c r="HD29" s="18"/>
      <c r="HE29" s="18"/>
      <c r="HF29" s="18"/>
      <c r="HG29" s="19">
        <f t="shared" si="11"/>
        <v>136611</v>
      </c>
      <c r="HH29" s="38">
        <v>4</v>
      </c>
      <c r="HI29" s="19">
        <f t="shared" si="34"/>
        <v>546444</v>
      </c>
      <c r="HJ29" s="103"/>
      <c r="HL29" s="100"/>
      <c r="HM29" s="21" t="s">
        <v>42</v>
      </c>
      <c r="HN29" s="18"/>
      <c r="HO29" s="18"/>
      <c r="HP29" s="18"/>
      <c r="HQ29" s="18"/>
      <c r="HR29" s="18"/>
      <c r="HS29" s="18"/>
      <c r="HT29" s="18">
        <v>1370</v>
      </c>
      <c r="HU29" s="18">
        <v>5479</v>
      </c>
      <c r="HV29" s="18">
        <v>10959</v>
      </c>
      <c r="HW29" s="18">
        <v>16438</v>
      </c>
      <c r="HX29" s="18">
        <v>20548</v>
      </c>
      <c r="HY29" s="18">
        <v>23288</v>
      </c>
      <c r="HZ29" s="18">
        <v>23288</v>
      </c>
      <c r="IA29" s="18">
        <v>17808</v>
      </c>
      <c r="IB29" s="18">
        <v>10959</v>
      </c>
      <c r="IC29" s="18">
        <v>5479</v>
      </c>
      <c r="ID29" s="18">
        <v>1370</v>
      </c>
      <c r="IE29" s="18"/>
      <c r="IF29" s="18"/>
      <c r="IG29" s="18"/>
      <c r="IH29" s="18"/>
      <c r="II29" s="18"/>
      <c r="IJ29" s="18"/>
      <c r="IK29" s="18"/>
      <c r="IL29" s="19">
        <f t="shared" si="13"/>
        <v>136986</v>
      </c>
      <c r="IM29" s="38">
        <v>4</v>
      </c>
      <c r="IN29" s="19">
        <f t="shared" si="35"/>
        <v>547944</v>
      </c>
      <c r="IO29" s="103"/>
      <c r="IQ29" s="100"/>
      <c r="IR29" s="21" t="s">
        <v>42</v>
      </c>
      <c r="IS29" s="18"/>
      <c r="IT29" s="18"/>
      <c r="IU29" s="18"/>
      <c r="IV29" s="18"/>
      <c r="IW29" s="18"/>
      <c r="IX29" s="18"/>
      <c r="IY29" s="18">
        <v>1370</v>
      </c>
      <c r="IZ29" s="18">
        <v>5479</v>
      </c>
      <c r="JA29" s="18">
        <v>10959</v>
      </c>
      <c r="JB29" s="18">
        <v>16438</v>
      </c>
      <c r="JC29" s="18">
        <v>20548</v>
      </c>
      <c r="JD29" s="18">
        <v>23288</v>
      </c>
      <c r="JE29" s="18">
        <v>23288</v>
      </c>
      <c r="JF29" s="18">
        <v>17808</v>
      </c>
      <c r="JG29" s="18">
        <v>10959</v>
      </c>
      <c r="JH29" s="18">
        <v>5479</v>
      </c>
      <c r="JI29" s="18">
        <v>1370</v>
      </c>
      <c r="JJ29" s="18"/>
      <c r="JK29" s="18"/>
      <c r="JL29" s="18"/>
      <c r="JM29" s="18"/>
      <c r="JN29" s="18"/>
      <c r="JO29" s="18"/>
      <c r="JP29" s="18"/>
      <c r="JQ29" s="19">
        <f t="shared" si="15"/>
        <v>136986</v>
      </c>
      <c r="JR29" s="38">
        <v>4</v>
      </c>
      <c r="JS29" s="19">
        <f t="shared" si="36"/>
        <v>547944</v>
      </c>
      <c r="JT29" s="103"/>
      <c r="JV29" s="100"/>
      <c r="JW29" s="21" t="s">
        <v>42</v>
      </c>
      <c r="JX29" s="18"/>
      <c r="JY29" s="18"/>
      <c r="JZ29" s="18"/>
      <c r="KA29" s="18"/>
      <c r="KB29" s="18"/>
      <c r="KC29" s="18"/>
      <c r="KD29" s="18"/>
      <c r="KE29" s="18">
        <v>1370</v>
      </c>
      <c r="KF29" s="18">
        <v>5479</v>
      </c>
      <c r="KG29" s="18">
        <v>10959</v>
      </c>
      <c r="KH29" s="18">
        <v>16438</v>
      </c>
      <c r="KI29" s="18">
        <v>20548</v>
      </c>
      <c r="KJ29" s="18">
        <v>23288</v>
      </c>
      <c r="KK29" s="18">
        <v>23288</v>
      </c>
      <c r="KL29" s="18">
        <v>17808</v>
      </c>
      <c r="KM29" s="18">
        <v>10959</v>
      </c>
      <c r="KN29" s="18">
        <v>5479</v>
      </c>
      <c r="KO29" s="18">
        <v>1370</v>
      </c>
      <c r="KP29" s="18"/>
      <c r="KQ29" s="18"/>
      <c r="KR29" s="18"/>
      <c r="KS29" s="18"/>
      <c r="KT29" s="18"/>
      <c r="KU29" s="18"/>
      <c r="KV29" s="19">
        <f t="shared" si="17"/>
        <v>136986</v>
      </c>
      <c r="KW29" s="38">
        <v>4</v>
      </c>
      <c r="KX29" s="19">
        <f t="shared" si="37"/>
        <v>547944</v>
      </c>
      <c r="KY29" s="103"/>
      <c r="LA29" s="100"/>
      <c r="LB29" s="21" t="s">
        <v>42</v>
      </c>
      <c r="LC29" s="18"/>
      <c r="LD29" s="18"/>
      <c r="LE29" s="18"/>
      <c r="LF29" s="18"/>
      <c r="LG29" s="18"/>
      <c r="LH29" s="18"/>
      <c r="LI29" s="18">
        <v>1366</v>
      </c>
      <c r="LJ29" s="18">
        <v>5464</v>
      </c>
      <c r="LK29" s="18">
        <v>10929</v>
      </c>
      <c r="LL29" s="18">
        <v>16393</v>
      </c>
      <c r="LM29" s="18">
        <v>20492</v>
      </c>
      <c r="LN29" s="18">
        <v>23224</v>
      </c>
      <c r="LO29" s="18">
        <v>23224</v>
      </c>
      <c r="LP29" s="18">
        <v>17760</v>
      </c>
      <c r="LQ29" s="18">
        <v>10929</v>
      </c>
      <c r="LR29" s="18">
        <v>5464</v>
      </c>
      <c r="LS29" s="18">
        <v>1366</v>
      </c>
      <c r="LT29" s="18"/>
      <c r="LU29" s="18"/>
      <c r="LV29" s="18"/>
      <c r="LW29" s="18"/>
      <c r="LX29" s="18"/>
      <c r="LY29" s="18"/>
      <c r="LZ29" s="18"/>
      <c r="MA29" s="19">
        <f t="shared" si="19"/>
        <v>136611</v>
      </c>
      <c r="MB29" s="38">
        <v>5</v>
      </c>
      <c r="MC29" s="19">
        <f t="shared" si="38"/>
        <v>683055</v>
      </c>
      <c r="MD29" s="103"/>
      <c r="MF29" s="100"/>
      <c r="MG29" s="21" t="s">
        <v>42</v>
      </c>
      <c r="MH29" s="18"/>
      <c r="MI29" s="18"/>
      <c r="MJ29" s="18"/>
      <c r="MK29" s="18"/>
      <c r="ML29" s="18"/>
      <c r="MM29" s="18"/>
      <c r="MN29" s="18">
        <v>1370</v>
      </c>
      <c r="MO29" s="18">
        <v>5479</v>
      </c>
      <c r="MP29" s="18">
        <v>10959</v>
      </c>
      <c r="MQ29" s="18">
        <v>16438</v>
      </c>
      <c r="MR29" s="18">
        <v>20548</v>
      </c>
      <c r="MS29" s="18">
        <v>23288</v>
      </c>
      <c r="MT29" s="18">
        <v>23288</v>
      </c>
      <c r="MU29" s="18">
        <v>17808</v>
      </c>
      <c r="MV29" s="18">
        <v>10959</v>
      </c>
      <c r="MW29" s="18">
        <v>5479</v>
      </c>
      <c r="MX29" s="18">
        <v>1370</v>
      </c>
      <c r="MY29" s="18"/>
      <c r="MZ29" s="18"/>
      <c r="NA29" s="18"/>
      <c r="NB29" s="18"/>
      <c r="NC29" s="18"/>
      <c r="ND29" s="18"/>
      <c r="NE29" s="18"/>
      <c r="NF29" s="19">
        <f t="shared" si="21"/>
        <v>136986</v>
      </c>
      <c r="NG29" s="38">
        <v>4</v>
      </c>
      <c r="NH29" s="19">
        <f t="shared" si="39"/>
        <v>547944</v>
      </c>
      <c r="NI29" s="103"/>
      <c r="NK29" s="100"/>
      <c r="NL29" s="21" t="s">
        <v>42</v>
      </c>
      <c r="NM29" s="18"/>
      <c r="NN29" s="18"/>
      <c r="NO29" s="18"/>
      <c r="NP29" s="18"/>
      <c r="NQ29" s="18"/>
      <c r="NR29" s="18"/>
      <c r="NS29" s="18">
        <v>1370</v>
      </c>
      <c r="NT29" s="18">
        <v>5479</v>
      </c>
      <c r="NU29" s="18">
        <v>10959</v>
      </c>
      <c r="NV29" s="18">
        <v>16438</v>
      </c>
      <c r="NW29" s="18">
        <v>20548</v>
      </c>
      <c r="NX29" s="18">
        <v>23288</v>
      </c>
      <c r="NY29" s="18">
        <v>23288</v>
      </c>
      <c r="NZ29" s="18">
        <v>17808</v>
      </c>
      <c r="OA29" s="18">
        <v>10959</v>
      </c>
      <c r="OB29" s="18">
        <v>5479</v>
      </c>
      <c r="OC29" s="18">
        <v>1370</v>
      </c>
      <c r="OD29" s="18"/>
      <c r="OE29" s="18"/>
      <c r="OF29" s="18"/>
      <c r="OG29" s="18"/>
      <c r="OH29" s="18"/>
      <c r="OI29" s="18"/>
      <c r="OJ29" s="18"/>
      <c r="OK29" s="19">
        <f t="shared" si="23"/>
        <v>136986</v>
      </c>
      <c r="OL29" s="38">
        <v>4</v>
      </c>
      <c r="OM29" s="19">
        <f t="shared" si="40"/>
        <v>547944</v>
      </c>
      <c r="ON29" s="103"/>
      <c r="OP29" s="100"/>
      <c r="OQ29" s="21" t="s">
        <v>42</v>
      </c>
      <c r="OR29" s="18"/>
      <c r="OS29" s="18"/>
      <c r="OT29" s="18"/>
      <c r="OU29" s="18"/>
      <c r="OV29" s="18"/>
      <c r="OW29" s="18"/>
      <c r="OX29" s="18">
        <v>1370</v>
      </c>
      <c r="OY29" s="18">
        <v>5479</v>
      </c>
      <c r="OZ29" s="18">
        <v>10959</v>
      </c>
      <c r="PA29" s="18">
        <v>16438</v>
      </c>
      <c r="PB29" s="18">
        <v>20548</v>
      </c>
      <c r="PC29" s="18">
        <v>23288</v>
      </c>
      <c r="PD29" s="18">
        <v>23288</v>
      </c>
      <c r="PE29" s="18">
        <v>17808</v>
      </c>
      <c r="PF29" s="18">
        <v>10959</v>
      </c>
      <c r="PG29" s="18">
        <v>5479</v>
      </c>
      <c r="PH29" s="18">
        <v>1370</v>
      </c>
      <c r="PI29" s="18"/>
      <c r="PJ29" s="18"/>
      <c r="PK29" s="18"/>
      <c r="PL29" s="18"/>
      <c r="PM29" s="18"/>
      <c r="PN29" s="18"/>
      <c r="PO29" s="18"/>
      <c r="PP29" s="19">
        <f t="shared" si="25"/>
        <v>136986</v>
      </c>
      <c r="PQ29" s="38">
        <v>4</v>
      </c>
      <c r="PR29" s="19">
        <f t="shared" si="41"/>
        <v>547944</v>
      </c>
      <c r="PS29" s="103"/>
      <c r="PU29" s="100"/>
      <c r="PV29" s="21" t="s">
        <v>42</v>
      </c>
      <c r="PW29" s="18"/>
      <c r="PX29" s="18"/>
      <c r="PY29" s="18"/>
      <c r="PZ29" s="18"/>
      <c r="QA29" s="18"/>
      <c r="QB29" s="18"/>
      <c r="QC29" s="18">
        <v>1366</v>
      </c>
      <c r="QD29" s="18">
        <v>5464</v>
      </c>
      <c r="QE29" s="18">
        <v>10929</v>
      </c>
      <c r="QF29" s="18">
        <v>16393</v>
      </c>
      <c r="QG29" s="18">
        <v>20492</v>
      </c>
      <c r="QH29" s="18">
        <v>23224</v>
      </c>
      <c r="QI29" s="18">
        <v>23224</v>
      </c>
      <c r="QJ29" s="18">
        <v>17760</v>
      </c>
      <c r="QK29" s="18">
        <v>10929</v>
      </c>
      <c r="QL29" s="18">
        <v>5464</v>
      </c>
      <c r="QM29" s="18">
        <v>1366</v>
      </c>
      <c r="QN29" s="18"/>
      <c r="QO29" s="18"/>
      <c r="QP29" s="18"/>
      <c r="QQ29" s="18"/>
      <c r="QR29" s="18"/>
      <c r="QS29" s="18"/>
      <c r="QT29" s="18"/>
      <c r="QU29" s="19">
        <f t="shared" si="27"/>
        <v>136611</v>
      </c>
      <c r="QV29" s="45">
        <v>4</v>
      </c>
      <c r="QW29" s="19">
        <f t="shared" si="42"/>
        <v>546444</v>
      </c>
      <c r="QX29" s="103"/>
    </row>
    <row r="30" spans="1:466" ht="15" thickBot="1" x14ac:dyDescent="0.4">
      <c r="A30" s="101"/>
      <c r="B30" s="22" t="s">
        <v>43</v>
      </c>
      <c r="C30" s="18"/>
      <c r="D30" s="18"/>
      <c r="E30" s="18"/>
      <c r="F30" s="18"/>
      <c r="G30" s="18"/>
      <c r="H30" s="18"/>
      <c r="I30" s="18">
        <v>1370</v>
      </c>
      <c r="J30" s="18">
        <v>5479</v>
      </c>
      <c r="K30" s="18">
        <v>10959</v>
      </c>
      <c r="L30" s="18">
        <v>16438</v>
      </c>
      <c r="M30" s="18">
        <v>20548</v>
      </c>
      <c r="N30" s="18">
        <v>23288</v>
      </c>
      <c r="O30" s="18">
        <v>23288</v>
      </c>
      <c r="P30" s="18">
        <v>17808</v>
      </c>
      <c r="Q30" s="18">
        <v>10959</v>
      </c>
      <c r="R30" s="18">
        <v>5479</v>
      </c>
      <c r="S30" s="18">
        <v>1370</v>
      </c>
      <c r="T30" s="18"/>
      <c r="U30" s="18"/>
      <c r="V30" s="18"/>
      <c r="W30" s="18"/>
      <c r="X30" s="18"/>
      <c r="Y30" s="18"/>
      <c r="Z30" s="18"/>
      <c r="AA30" s="19">
        <f t="shared" si="0"/>
        <v>136986</v>
      </c>
      <c r="AB30" s="39">
        <v>3</v>
      </c>
      <c r="AC30" s="19">
        <f t="shared" si="1"/>
        <v>410958</v>
      </c>
      <c r="AD30" s="104"/>
      <c r="AF30" s="101"/>
      <c r="AG30" s="22" t="s">
        <v>43</v>
      </c>
      <c r="AH30" s="18"/>
      <c r="AI30" s="18"/>
      <c r="AJ30" s="18"/>
      <c r="AK30" s="18"/>
      <c r="AL30" s="18"/>
      <c r="AM30" s="18"/>
      <c r="AN30" s="18">
        <v>1370</v>
      </c>
      <c r="AO30" s="18">
        <v>5479</v>
      </c>
      <c r="AP30" s="18">
        <v>10959</v>
      </c>
      <c r="AQ30" s="18">
        <v>16438</v>
      </c>
      <c r="AR30" s="18">
        <v>20548</v>
      </c>
      <c r="AS30" s="18">
        <v>23288</v>
      </c>
      <c r="AT30" s="18">
        <v>23288</v>
      </c>
      <c r="AU30" s="18">
        <v>17808</v>
      </c>
      <c r="AV30" s="18">
        <v>10959</v>
      </c>
      <c r="AW30" s="18">
        <v>5479</v>
      </c>
      <c r="AX30" s="18">
        <v>1370</v>
      </c>
      <c r="AY30" s="18"/>
      <c r="AZ30" s="18"/>
      <c r="BA30" s="18"/>
      <c r="BB30" s="18"/>
      <c r="BC30" s="18"/>
      <c r="BD30" s="18"/>
      <c r="BE30" s="18"/>
      <c r="BF30" s="19">
        <f t="shared" si="2"/>
        <v>136986</v>
      </c>
      <c r="BG30" s="39">
        <v>1</v>
      </c>
      <c r="BH30" s="19">
        <f t="shared" si="29"/>
        <v>136986</v>
      </c>
      <c r="BI30" s="104"/>
      <c r="BK30" s="101"/>
      <c r="BL30" s="22" t="s">
        <v>43</v>
      </c>
      <c r="BM30" s="18"/>
      <c r="BN30" s="18"/>
      <c r="BO30" s="18"/>
      <c r="BP30" s="18"/>
      <c r="BQ30" s="18"/>
      <c r="BR30" s="18"/>
      <c r="BS30" s="18">
        <v>1366</v>
      </c>
      <c r="BT30" s="18">
        <v>5464</v>
      </c>
      <c r="BU30" s="18">
        <v>10929</v>
      </c>
      <c r="BV30" s="18">
        <v>16393</v>
      </c>
      <c r="BW30" s="18">
        <v>20492</v>
      </c>
      <c r="BX30" s="18">
        <v>23224</v>
      </c>
      <c r="BY30" s="18">
        <v>23224</v>
      </c>
      <c r="BZ30" s="18">
        <v>17760</v>
      </c>
      <c r="CA30" s="18">
        <v>10929</v>
      </c>
      <c r="CB30" s="18">
        <v>5464</v>
      </c>
      <c r="CC30" s="18">
        <v>1366</v>
      </c>
      <c r="CD30" s="18"/>
      <c r="CE30" s="18"/>
      <c r="CF30" s="18"/>
      <c r="CG30" s="18"/>
      <c r="CH30" s="18"/>
      <c r="CI30" s="18"/>
      <c r="CJ30" s="18"/>
      <c r="CK30" s="19">
        <f t="shared" si="4"/>
        <v>136611</v>
      </c>
      <c r="CL30" s="39">
        <v>2</v>
      </c>
      <c r="CM30" s="19">
        <f t="shared" si="30"/>
        <v>273222</v>
      </c>
      <c r="CN30" s="104"/>
      <c r="CP30" s="101"/>
      <c r="CQ30" s="22" t="s">
        <v>43</v>
      </c>
      <c r="CR30" s="18"/>
      <c r="CS30" s="18"/>
      <c r="CT30" s="18"/>
      <c r="CU30" s="18"/>
      <c r="CV30" s="18"/>
      <c r="CW30" s="18"/>
      <c r="CX30" s="18">
        <v>1370</v>
      </c>
      <c r="CY30" s="18">
        <v>5479</v>
      </c>
      <c r="CZ30" s="18">
        <v>10959</v>
      </c>
      <c r="DA30" s="18">
        <v>16438</v>
      </c>
      <c r="DB30" s="18">
        <v>20548</v>
      </c>
      <c r="DC30" s="18">
        <v>23288</v>
      </c>
      <c r="DD30" s="18">
        <v>23288</v>
      </c>
      <c r="DE30" s="18">
        <v>17808</v>
      </c>
      <c r="DF30" s="18">
        <v>10959</v>
      </c>
      <c r="DG30" s="18">
        <v>5479</v>
      </c>
      <c r="DH30" s="18">
        <v>1370</v>
      </c>
      <c r="DI30" s="18"/>
      <c r="DJ30" s="18"/>
      <c r="DK30" s="18"/>
      <c r="DL30" s="18"/>
      <c r="DM30" s="18"/>
      <c r="DN30" s="18"/>
      <c r="DO30" s="18"/>
      <c r="DP30" s="19">
        <f t="shared" si="6"/>
        <v>136986</v>
      </c>
      <c r="DQ30" s="39">
        <v>2</v>
      </c>
      <c r="DR30" s="19">
        <f t="shared" si="31"/>
        <v>273972</v>
      </c>
      <c r="DS30" s="104"/>
      <c r="DV30" s="101"/>
      <c r="DW30" s="22" t="s">
        <v>43</v>
      </c>
      <c r="DX30" s="18"/>
      <c r="DY30" s="18"/>
      <c r="DZ30" s="18"/>
      <c r="EA30" s="18"/>
      <c r="EB30" s="18"/>
      <c r="EC30" s="18"/>
      <c r="ED30" s="18">
        <v>1370</v>
      </c>
      <c r="EE30" s="18">
        <v>5479</v>
      </c>
      <c r="EF30" s="18">
        <v>10959</v>
      </c>
      <c r="EG30" s="18">
        <v>16438</v>
      </c>
      <c r="EH30" s="18">
        <v>20548</v>
      </c>
      <c r="EI30" s="18">
        <v>23288</v>
      </c>
      <c r="EJ30" s="18">
        <v>23288</v>
      </c>
      <c r="EK30" s="18">
        <v>17808</v>
      </c>
      <c r="EL30" s="18">
        <v>10959</v>
      </c>
      <c r="EM30" s="18">
        <v>5479</v>
      </c>
      <c r="EN30" s="18">
        <v>1370</v>
      </c>
      <c r="EO30" s="18"/>
      <c r="EP30" s="18"/>
      <c r="EQ30" s="18"/>
      <c r="ER30" s="18"/>
      <c r="ES30" s="18"/>
      <c r="ET30" s="18"/>
      <c r="EU30" s="18"/>
      <c r="EV30" s="19">
        <f t="shared" si="8"/>
        <v>136986</v>
      </c>
      <c r="EW30" s="39">
        <v>2</v>
      </c>
      <c r="EX30" s="19">
        <f t="shared" si="32"/>
        <v>273972</v>
      </c>
      <c r="EY30" s="104"/>
      <c r="FB30" s="101"/>
      <c r="FC30" s="22" t="s">
        <v>43</v>
      </c>
      <c r="FD30" s="18"/>
      <c r="FE30" s="18"/>
      <c r="FF30" s="18"/>
      <c r="FG30" s="18"/>
      <c r="FH30" s="18"/>
      <c r="FI30" s="18"/>
      <c r="FJ30" s="18">
        <v>1370</v>
      </c>
      <c r="FK30" s="18">
        <v>5479</v>
      </c>
      <c r="FL30" s="18">
        <v>10959</v>
      </c>
      <c r="FM30" s="18">
        <v>16438</v>
      </c>
      <c r="FN30" s="18">
        <v>20548</v>
      </c>
      <c r="FO30" s="18">
        <v>23288</v>
      </c>
      <c r="FP30" s="18">
        <v>23288</v>
      </c>
      <c r="FQ30" s="18">
        <v>17808</v>
      </c>
      <c r="FR30" s="18">
        <v>10959</v>
      </c>
      <c r="FS30" s="18">
        <v>5479</v>
      </c>
      <c r="FT30" s="18">
        <v>1370</v>
      </c>
      <c r="FU30" s="18"/>
      <c r="FV30" s="18"/>
      <c r="FW30" s="18"/>
      <c r="FX30" s="18"/>
      <c r="FY30" s="18"/>
      <c r="FZ30" s="18"/>
      <c r="GA30" s="18"/>
      <c r="GB30" s="19">
        <f t="shared" si="9"/>
        <v>136986</v>
      </c>
      <c r="GC30" s="39">
        <v>3</v>
      </c>
      <c r="GD30" s="19">
        <f t="shared" si="33"/>
        <v>410958</v>
      </c>
      <c r="GE30" s="104"/>
      <c r="GG30" s="101"/>
      <c r="GH30" s="22" t="s">
        <v>43</v>
      </c>
      <c r="GI30" s="18"/>
      <c r="GJ30" s="18"/>
      <c r="GK30" s="18"/>
      <c r="GL30" s="18"/>
      <c r="GM30" s="18"/>
      <c r="GN30" s="18"/>
      <c r="GO30" s="18">
        <v>1366</v>
      </c>
      <c r="GP30" s="18">
        <v>5464</v>
      </c>
      <c r="GQ30" s="18">
        <v>10929</v>
      </c>
      <c r="GR30" s="18">
        <v>16393</v>
      </c>
      <c r="GS30" s="18">
        <v>20492</v>
      </c>
      <c r="GT30" s="18">
        <v>23224</v>
      </c>
      <c r="GU30" s="18">
        <v>23224</v>
      </c>
      <c r="GV30" s="18">
        <v>17760</v>
      </c>
      <c r="GW30" s="18">
        <v>10929</v>
      </c>
      <c r="GX30" s="18">
        <v>5464</v>
      </c>
      <c r="GY30" s="18">
        <v>1366</v>
      </c>
      <c r="GZ30" s="18"/>
      <c r="HA30" s="18"/>
      <c r="HB30" s="18"/>
      <c r="HC30" s="18"/>
      <c r="HD30" s="18"/>
      <c r="HE30" s="18"/>
      <c r="HF30" s="18"/>
      <c r="HG30" s="19">
        <f t="shared" si="11"/>
        <v>136611</v>
      </c>
      <c r="HH30" s="39">
        <v>1</v>
      </c>
      <c r="HI30" s="19">
        <f t="shared" si="34"/>
        <v>136611</v>
      </c>
      <c r="HJ30" s="104"/>
      <c r="HL30" s="101"/>
      <c r="HM30" s="22" t="s">
        <v>43</v>
      </c>
      <c r="HN30" s="18"/>
      <c r="HO30" s="18"/>
      <c r="HP30" s="18"/>
      <c r="HQ30" s="18"/>
      <c r="HR30" s="18"/>
      <c r="HS30" s="18"/>
      <c r="HT30" s="18">
        <v>1370</v>
      </c>
      <c r="HU30" s="18">
        <v>5479</v>
      </c>
      <c r="HV30" s="18">
        <v>10959</v>
      </c>
      <c r="HW30" s="18">
        <v>16438</v>
      </c>
      <c r="HX30" s="18">
        <v>20548</v>
      </c>
      <c r="HY30" s="18">
        <v>23288</v>
      </c>
      <c r="HZ30" s="18">
        <v>23288</v>
      </c>
      <c r="IA30" s="18">
        <v>17808</v>
      </c>
      <c r="IB30" s="18">
        <v>10959</v>
      </c>
      <c r="IC30" s="18">
        <v>5479</v>
      </c>
      <c r="ID30" s="18">
        <v>1370</v>
      </c>
      <c r="IE30" s="18"/>
      <c r="IF30" s="18"/>
      <c r="IG30" s="18"/>
      <c r="IH30" s="18"/>
      <c r="II30" s="18"/>
      <c r="IJ30" s="18"/>
      <c r="IK30" s="18"/>
      <c r="IL30" s="19">
        <f t="shared" si="13"/>
        <v>136986</v>
      </c>
      <c r="IM30" s="39">
        <v>2</v>
      </c>
      <c r="IN30" s="19">
        <f t="shared" si="35"/>
        <v>273972</v>
      </c>
      <c r="IO30" s="104"/>
      <c r="IQ30" s="101"/>
      <c r="IR30" s="22" t="s">
        <v>43</v>
      </c>
      <c r="IS30" s="18"/>
      <c r="IT30" s="18"/>
      <c r="IU30" s="18"/>
      <c r="IV30" s="18"/>
      <c r="IW30" s="18"/>
      <c r="IX30" s="18"/>
      <c r="IY30" s="18">
        <v>1370</v>
      </c>
      <c r="IZ30" s="18">
        <v>5479</v>
      </c>
      <c r="JA30" s="18">
        <v>10959</v>
      </c>
      <c r="JB30" s="18">
        <v>16438</v>
      </c>
      <c r="JC30" s="18">
        <v>20548</v>
      </c>
      <c r="JD30" s="18">
        <v>23288</v>
      </c>
      <c r="JE30" s="18">
        <v>23288</v>
      </c>
      <c r="JF30" s="18">
        <v>17808</v>
      </c>
      <c r="JG30" s="18">
        <v>10959</v>
      </c>
      <c r="JH30" s="18">
        <v>5479</v>
      </c>
      <c r="JI30" s="18">
        <v>1370</v>
      </c>
      <c r="JJ30" s="18"/>
      <c r="JK30" s="18"/>
      <c r="JL30" s="18"/>
      <c r="JM30" s="18"/>
      <c r="JN30" s="18"/>
      <c r="JO30" s="18"/>
      <c r="JP30" s="18"/>
      <c r="JQ30" s="19">
        <f t="shared" si="15"/>
        <v>136986</v>
      </c>
      <c r="JR30" s="39">
        <v>2</v>
      </c>
      <c r="JS30" s="19">
        <f t="shared" si="36"/>
        <v>273972</v>
      </c>
      <c r="JT30" s="104"/>
      <c r="JV30" s="101"/>
      <c r="JW30" s="22" t="s">
        <v>43</v>
      </c>
      <c r="JX30" s="18"/>
      <c r="JY30" s="18"/>
      <c r="JZ30" s="18"/>
      <c r="KA30" s="18"/>
      <c r="KB30" s="18"/>
      <c r="KC30" s="18"/>
      <c r="KD30" s="18"/>
      <c r="KE30" s="18">
        <v>1370</v>
      </c>
      <c r="KF30" s="18">
        <v>5479</v>
      </c>
      <c r="KG30" s="18">
        <v>10959</v>
      </c>
      <c r="KH30" s="18">
        <v>16438</v>
      </c>
      <c r="KI30" s="18">
        <v>20548</v>
      </c>
      <c r="KJ30" s="18">
        <v>23288</v>
      </c>
      <c r="KK30" s="18">
        <v>23288</v>
      </c>
      <c r="KL30" s="18">
        <v>17808</v>
      </c>
      <c r="KM30" s="18">
        <v>10959</v>
      </c>
      <c r="KN30" s="18">
        <v>5479</v>
      </c>
      <c r="KO30" s="18">
        <v>1370</v>
      </c>
      <c r="KP30" s="18"/>
      <c r="KQ30" s="18"/>
      <c r="KR30" s="18"/>
      <c r="KS30" s="18"/>
      <c r="KT30" s="18"/>
      <c r="KU30" s="18"/>
      <c r="KV30" s="19">
        <f t="shared" si="17"/>
        <v>136986</v>
      </c>
      <c r="KW30" s="39">
        <v>1</v>
      </c>
      <c r="KX30" s="19">
        <f t="shared" si="37"/>
        <v>136986</v>
      </c>
      <c r="KY30" s="104"/>
      <c r="LA30" s="101"/>
      <c r="LB30" s="22" t="s">
        <v>43</v>
      </c>
      <c r="LC30" s="18"/>
      <c r="LD30" s="18"/>
      <c r="LE30" s="18"/>
      <c r="LF30" s="18"/>
      <c r="LG30" s="18"/>
      <c r="LH30" s="18"/>
      <c r="LI30" s="18">
        <v>1366</v>
      </c>
      <c r="LJ30" s="18">
        <v>5464</v>
      </c>
      <c r="LK30" s="18">
        <v>10929</v>
      </c>
      <c r="LL30" s="18">
        <v>16393</v>
      </c>
      <c r="LM30" s="18">
        <v>20492</v>
      </c>
      <c r="LN30" s="18">
        <v>23224</v>
      </c>
      <c r="LO30" s="18">
        <v>23224</v>
      </c>
      <c r="LP30" s="18">
        <v>17760</v>
      </c>
      <c r="LQ30" s="18">
        <v>10929</v>
      </c>
      <c r="LR30" s="18">
        <v>5464</v>
      </c>
      <c r="LS30" s="18">
        <v>1366</v>
      </c>
      <c r="LT30" s="18"/>
      <c r="LU30" s="18"/>
      <c r="LV30" s="18"/>
      <c r="LW30" s="18"/>
      <c r="LX30" s="18"/>
      <c r="LY30" s="18"/>
      <c r="LZ30" s="18"/>
      <c r="MA30" s="19">
        <f t="shared" si="19"/>
        <v>136611</v>
      </c>
      <c r="MB30" s="39">
        <v>3</v>
      </c>
      <c r="MC30" s="19">
        <f t="shared" si="38"/>
        <v>409833</v>
      </c>
      <c r="MD30" s="104"/>
      <c r="MF30" s="101"/>
      <c r="MG30" s="22" t="s">
        <v>43</v>
      </c>
      <c r="MH30" s="18"/>
      <c r="MI30" s="18"/>
      <c r="MJ30" s="18"/>
      <c r="MK30" s="18"/>
      <c r="ML30" s="18"/>
      <c r="MM30" s="18"/>
      <c r="MN30" s="18">
        <v>1370</v>
      </c>
      <c r="MO30" s="18">
        <v>5479</v>
      </c>
      <c r="MP30" s="18">
        <v>10959</v>
      </c>
      <c r="MQ30" s="18">
        <v>16438</v>
      </c>
      <c r="MR30" s="18">
        <v>20548</v>
      </c>
      <c r="MS30" s="18">
        <v>23288</v>
      </c>
      <c r="MT30" s="18">
        <v>23288</v>
      </c>
      <c r="MU30" s="18">
        <v>17808</v>
      </c>
      <c r="MV30" s="18">
        <v>10959</v>
      </c>
      <c r="MW30" s="18">
        <v>5479</v>
      </c>
      <c r="MX30" s="18">
        <v>1370</v>
      </c>
      <c r="MY30" s="18"/>
      <c r="MZ30" s="18"/>
      <c r="NA30" s="18"/>
      <c r="NB30" s="18"/>
      <c r="NC30" s="18"/>
      <c r="ND30" s="18"/>
      <c r="NE30" s="18"/>
      <c r="NF30" s="19">
        <f t="shared" si="21"/>
        <v>136986</v>
      </c>
      <c r="NG30" s="39">
        <v>3</v>
      </c>
      <c r="NH30" s="19">
        <f t="shared" si="39"/>
        <v>410958</v>
      </c>
      <c r="NI30" s="104"/>
      <c r="NK30" s="101"/>
      <c r="NL30" s="22" t="s">
        <v>43</v>
      </c>
      <c r="NM30" s="18"/>
      <c r="NN30" s="18"/>
      <c r="NO30" s="18"/>
      <c r="NP30" s="18"/>
      <c r="NQ30" s="18"/>
      <c r="NR30" s="18"/>
      <c r="NS30" s="18">
        <v>1370</v>
      </c>
      <c r="NT30" s="18">
        <v>5479</v>
      </c>
      <c r="NU30" s="18">
        <v>10959</v>
      </c>
      <c r="NV30" s="18">
        <v>16438</v>
      </c>
      <c r="NW30" s="18">
        <v>20548</v>
      </c>
      <c r="NX30" s="18">
        <v>23288</v>
      </c>
      <c r="NY30" s="18">
        <v>23288</v>
      </c>
      <c r="NZ30" s="18">
        <v>17808</v>
      </c>
      <c r="OA30" s="18">
        <v>10959</v>
      </c>
      <c r="OB30" s="18">
        <v>5479</v>
      </c>
      <c r="OC30" s="18">
        <v>1370</v>
      </c>
      <c r="OD30" s="18"/>
      <c r="OE30" s="18"/>
      <c r="OF30" s="18"/>
      <c r="OG30" s="18"/>
      <c r="OH30" s="18"/>
      <c r="OI30" s="18"/>
      <c r="OJ30" s="18"/>
      <c r="OK30" s="19">
        <f t="shared" si="23"/>
        <v>136986</v>
      </c>
      <c r="OL30" s="39">
        <v>2</v>
      </c>
      <c r="OM30" s="19">
        <f t="shared" si="40"/>
        <v>273972</v>
      </c>
      <c r="ON30" s="104"/>
      <c r="OP30" s="101"/>
      <c r="OQ30" s="22" t="s">
        <v>43</v>
      </c>
      <c r="OR30" s="18"/>
      <c r="OS30" s="18"/>
      <c r="OT30" s="18"/>
      <c r="OU30" s="18"/>
      <c r="OV30" s="18"/>
      <c r="OW30" s="18"/>
      <c r="OX30" s="18">
        <v>1370</v>
      </c>
      <c r="OY30" s="18">
        <v>5479</v>
      </c>
      <c r="OZ30" s="18">
        <v>10959</v>
      </c>
      <c r="PA30" s="18">
        <v>16438</v>
      </c>
      <c r="PB30" s="18">
        <v>20548</v>
      </c>
      <c r="PC30" s="18">
        <v>23288</v>
      </c>
      <c r="PD30" s="18">
        <v>23288</v>
      </c>
      <c r="PE30" s="18">
        <v>17808</v>
      </c>
      <c r="PF30" s="18">
        <v>10959</v>
      </c>
      <c r="PG30" s="18">
        <v>5479</v>
      </c>
      <c r="PH30" s="18">
        <v>1370</v>
      </c>
      <c r="PI30" s="18"/>
      <c r="PJ30" s="18"/>
      <c r="PK30" s="18"/>
      <c r="PL30" s="18"/>
      <c r="PM30" s="18"/>
      <c r="PN30" s="18"/>
      <c r="PO30" s="18"/>
      <c r="PP30" s="19">
        <f t="shared" si="25"/>
        <v>136986</v>
      </c>
      <c r="PQ30" s="39">
        <v>2</v>
      </c>
      <c r="PR30" s="19">
        <f t="shared" si="41"/>
        <v>273972</v>
      </c>
      <c r="PS30" s="104"/>
      <c r="PU30" s="101"/>
      <c r="PV30" s="22" t="s">
        <v>43</v>
      </c>
      <c r="PW30" s="18"/>
      <c r="PX30" s="18"/>
      <c r="PY30" s="18"/>
      <c r="PZ30" s="18"/>
      <c r="QA30" s="18"/>
      <c r="QB30" s="18"/>
      <c r="QC30" s="18">
        <v>1366</v>
      </c>
      <c r="QD30" s="18">
        <v>5464</v>
      </c>
      <c r="QE30" s="18">
        <v>10929</v>
      </c>
      <c r="QF30" s="18">
        <v>16393</v>
      </c>
      <c r="QG30" s="18">
        <v>20492</v>
      </c>
      <c r="QH30" s="18">
        <v>23224</v>
      </c>
      <c r="QI30" s="18">
        <v>23224</v>
      </c>
      <c r="QJ30" s="18">
        <v>17760</v>
      </c>
      <c r="QK30" s="18">
        <v>10929</v>
      </c>
      <c r="QL30" s="18">
        <v>5464</v>
      </c>
      <c r="QM30" s="18">
        <v>1366</v>
      </c>
      <c r="QN30" s="18"/>
      <c r="QO30" s="18"/>
      <c r="QP30" s="18"/>
      <c r="QQ30" s="18"/>
      <c r="QR30" s="18"/>
      <c r="QS30" s="18"/>
      <c r="QT30" s="18"/>
      <c r="QU30" s="19">
        <f t="shared" si="27"/>
        <v>136611</v>
      </c>
      <c r="QV30" s="47">
        <v>2</v>
      </c>
      <c r="QW30" s="19">
        <f t="shared" si="42"/>
        <v>273222</v>
      </c>
      <c r="QX30" s="104"/>
    </row>
    <row r="31" spans="1:466" x14ac:dyDescent="0.35">
      <c r="A31" s="99">
        <v>46204</v>
      </c>
      <c r="B31" s="17" t="s">
        <v>40</v>
      </c>
      <c r="C31" s="18"/>
      <c r="D31" s="18"/>
      <c r="E31" s="18"/>
      <c r="F31" s="18"/>
      <c r="G31" s="18"/>
      <c r="H31" s="18"/>
      <c r="I31" s="18">
        <v>1370</v>
      </c>
      <c r="J31" s="18">
        <v>5479</v>
      </c>
      <c r="K31" s="18">
        <v>10959</v>
      </c>
      <c r="L31" s="18">
        <v>16438</v>
      </c>
      <c r="M31" s="18">
        <v>20548</v>
      </c>
      <c r="N31" s="18">
        <v>23288</v>
      </c>
      <c r="O31" s="18">
        <v>23288</v>
      </c>
      <c r="P31" s="18">
        <v>17808</v>
      </c>
      <c r="Q31" s="18">
        <v>10959</v>
      </c>
      <c r="R31" s="18">
        <v>5479</v>
      </c>
      <c r="S31" s="18">
        <v>1370</v>
      </c>
      <c r="T31" s="18"/>
      <c r="U31" s="18"/>
      <c r="V31" s="18"/>
      <c r="W31" s="18"/>
      <c r="X31" s="18"/>
      <c r="Y31" s="18"/>
      <c r="Z31" s="18"/>
      <c r="AA31" s="19">
        <f t="shared" si="0"/>
        <v>136986</v>
      </c>
      <c r="AB31" s="37">
        <v>22</v>
      </c>
      <c r="AC31" s="19">
        <f t="shared" si="1"/>
        <v>3013692</v>
      </c>
      <c r="AD31" s="102">
        <f>+SUM(AC31:AC34)</f>
        <v>4246566</v>
      </c>
      <c r="AF31" s="99">
        <v>46569</v>
      </c>
      <c r="AG31" s="17" t="s">
        <v>40</v>
      </c>
      <c r="AH31" s="18"/>
      <c r="AI31" s="18"/>
      <c r="AJ31" s="18"/>
      <c r="AK31" s="18"/>
      <c r="AL31" s="18"/>
      <c r="AM31" s="18"/>
      <c r="AN31" s="18">
        <v>1370</v>
      </c>
      <c r="AO31" s="18">
        <v>5479</v>
      </c>
      <c r="AP31" s="18">
        <v>10959</v>
      </c>
      <c r="AQ31" s="18">
        <v>16438</v>
      </c>
      <c r="AR31" s="18">
        <v>20548</v>
      </c>
      <c r="AS31" s="18">
        <v>23288</v>
      </c>
      <c r="AT31" s="18">
        <v>23288</v>
      </c>
      <c r="AU31" s="18">
        <v>17808</v>
      </c>
      <c r="AV31" s="18">
        <v>10959</v>
      </c>
      <c r="AW31" s="18">
        <v>5479</v>
      </c>
      <c r="AX31" s="18">
        <v>1370</v>
      </c>
      <c r="AY31" s="18"/>
      <c r="AZ31" s="18"/>
      <c r="BA31" s="18"/>
      <c r="BB31" s="18"/>
      <c r="BC31" s="18"/>
      <c r="BD31" s="18"/>
      <c r="BE31" s="18"/>
      <c r="BF31" s="19">
        <f t="shared" si="2"/>
        <v>136986</v>
      </c>
      <c r="BG31" s="37">
        <v>20</v>
      </c>
      <c r="BH31" s="19">
        <f t="shared" si="29"/>
        <v>2739720</v>
      </c>
      <c r="BI31" s="102">
        <f>+SUM(BH31:BH34)</f>
        <v>4246566</v>
      </c>
      <c r="BK31" s="99">
        <v>46935</v>
      </c>
      <c r="BL31" s="17" t="s">
        <v>40</v>
      </c>
      <c r="BM31" s="18"/>
      <c r="BN31" s="18"/>
      <c r="BO31" s="18"/>
      <c r="BP31" s="18"/>
      <c r="BQ31" s="18"/>
      <c r="BR31" s="18"/>
      <c r="BS31" s="18">
        <v>1366</v>
      </c>
      <c r="BT31" s="18">
        <v>5464</v>
      </c>
      <c r="BU31" s="18">
        <v>10929</v>
      </c>
      <c r="BV31" s="18">
        <v>16393</v>
      </c>
      <c r="BW31" s="18">
        <v>20492</v>
      </c>
      <c r="BX31" s="18">
        <v>23224</v>
      </c>
      <c r="BY31" s="18">
        <v>23224</v>
      </c>
      <c r="BZ31" s="18">
        <v>17760</v>
      </c>
      <c r="CA31" s="18">
        <v>10929</v>
      </c>
      <c r="CB31" s="18">
        <v>5464</v>
      </c>
      <c r="CC31" s="18">
        <v>1366</v>
      </c>
      <c r="CD31" s="18"/>
      <c r="CE31" s="18"/>
      <c r="CF31" s="18"/>
      <c r="CG31" s="18"/>
      <c r="CH31" s="18"/>
      <c r="CI31" s="18"/>
      <c r="CJ31" s="18"/>
      <c r="CK31" s="19">
        <f t="shared" si="4"/>
        <v>136611</v>
      </c>
      <c r="CL31" s="37">
        <v>19</v>
      </c>
      <c r="CM31" s="19">
        <f t="shared" si="30"/>
        <v>2595609</v>
      </c>
      <c r="CN31" s="102">
        <f>+SUM(CM31:CM34)</f>
        <v>4234941</v>
      </c>
      <c r="CP31" s="99">
        <v>47300</v>
      </c>
      <c r="CQ31" s="17" t="s">
        <v>40</v>
      </c>
      <c r="CR31" s="18"/>
      <c r="CS31" s="18"/>
      <c r="CT31" s="18"/>
      <c r="CU31" s="18"/>
      <c r="CV31" s="18"/>
      <c r="CW31" s="18"/>
      <c r="CX31" s="18">
        <v>1370</v>
      </c>
      <c r="CY31" s="18">
        <v>5479</v>
      </c>
      <c r="CZ31" s="18">
        <v>10959</v>
      </c>
      <c r="DA31" s="18">
        <v>16438</v>
      </c>
      <c r="DB31" s="18">
        <v>20548</v>
      </c>
      <c r="DC31" s="18">
        <v>23288</v>
      </c>
      <c r="DD31" s="18">
        <v>23288</v>
      </c>
      <c r="DE31" s="18">
        <v>17808</v>
      </c>
      <c r="DF31" s="18">
        <v>10959</v>
      </c>
      <c r="DG31" s="18">
        <v>5479</v>
      </c>
      <c r="DH31" s="18">
        <v>1370</v>
      </c>
      <c r="DI31" s="18"/>
      <c r="DJ31" s="18"/>
      <c r="DK31" s="18"/>
      <c r="DL31" s="18"/>
      <c r="DM31" s="18"/>
      <c r="DN31" s="18"/>
      <c r="DO31" s="18"/>
      <c r="DP31" s="19">
        <f t="shared" si="6"/>
        <v>136986</v>
      </c>
      <c r="DQ31" s="37">
        <v>20</v>
      </c>
      <c r="DR31" s="19">
        <f t="shared" si="31"/>
        <v>2739720</v>
      </c>
      <c r="DS31" s="102">
        <f>+SUM(DR31:DR34)</f>
        <v>4246566</v>
      </c>
      <c r="DV31" s="99">
        <v>47665</v>
      </c>
      <c r="DW31" s="17" t="s">
        <v>40</v>
      </c>
      <c r="DX31" s="18"/>
      <c r="DY31" s="18"/>
      <c r="DZ31" s="18"/>
      <c r="EA31" s="18"/>
      <c r="EB31" s="18"/>
      <c r="EC31" s="18"/>
      <c r="ED31" s="18">
        <v>1370</v>
      </c>
      <c r="EE31" s="18">
        <v>5479</v>
      </c>
      <c r="EF31" s="18">
        <v>10959</v>
      </c>
      <c r="EG31" s="18">
        <v>16438</v>
      </c>
      <c r="EH31" s="18">
        <v>20548</v>
      </c>
      <c r="EI31" s="18">
        <v>23288</v>
      </c>
      <c r="EJ31" s="18">
        <v>23288</v>
      </c>
      <c r="EK31" s="18">
        <v>17808</v>
      </c>
      <c r="EL31" s="18">
        <v>10959</v>
      </c>
      <c r="EM31" s="18">
        <v>5479</v>
      </c>
      <c r="EN31" s="18">
        <v>1370</v>
      </c>
      <c r="EO31" s="18"/>
      <c r="EP31" s="18"/>
      <c r="EQ31" s="18"/>
      <c r="ER31" s="18"/>
      <c r="ES31" s="18"/>
      <c r="ET31" s="18"/>
      <c r="EU31" s="18"/>
      <c r="EV31" s="19">
        <f t="shared" si="8"/>
        <v>136986</v>
      </c>
      <c r="EW31" s="37">
        <v>22</v>
      </c>
      <c r="EX31" s="19">
        <f t="shared" si="32"/>
        <v>3013692</v>
      </c>
      <c r="EY31" s="102">
        <f>+SUM(EX31:EX34)</f>
        <v>4246566</v>
      </c>
      <c r="FB31" s="99">
        <v>48030</v>
      </c>
      <c r="FC31" s="17" t="s">
        <v>40</v>
      </c>
      <c r="FD31" s="18"/>
      <c r="FE31" s="18"/>
      <c r="FF31" s="18"/>
      <c r="FG31" s="18"/>
      <c r="FH31" s="18"/>
      <c r="FI31" s="18"/>
      <c r="FJ31" s="18">
        <v>1370</v>
      </c>
      <c r="FK31" s="18">
        <v>5479</v>
      </c>
      <c r="FL31" s="18">
        <v>10959</v>
      </c>
      <c r="FM31" s="18">
        <v>16438</v>
      </c>
      <c r="FN31" s="18">
        <v>20548</v>
      </c>
      <c r="FO31" s="18">
        <v>23288</v>
      </c>
      <c r="FP31" s="18">
        <v>23288</v>
      </c>
      <c r="FQ31" s="18">
        <v>17808</v>
      </c>
      <c r="FR31" s="18">
        <v>10959</v>
      </c>
      <c r="FS31" s="18">
        <v>5479</v>
      </c>
      <c r="FT31" s="18">
        <v>1370</v>
      </c>
      <c r="FU31" s="18"/>
      <c r="FV31" s="18"/>
      <c r="FW31" s="18"/>
      <c r="FX31" s="18"/>
      <c r="FY31" s="18"/>
      <c r="FZ31" s="18"/>
      <c r="GA31" s="18"/>
      <c r="GB31" s="19">
        <f t="shared" si="9"/>
        <v>136986</v>
      </c>
      <c r="GC31" s="37">
        <v>23</v>
      </c>
      <c r="GD31" s="19">
        <f t="shared" si="33"/>
        <v>3150678</v>
      </c>
      <c r="GE31" s="102">
        <f>+SUM(GD31:GD34)</f>
        <v>4246566</v>
      </c>
      <c r="GG31" s="99">
        <v>48396</v>
      </c>
      <c r="GH31" s="17" t="s">
        <v>40</v>
      </c>
      <c r="GI31" s="18"/>
      <c r="GJ31" s="18"/>
      <c r="GK31" s="18"/>
      <c r="GL31" s="18"/>
      <c r="GM31" s="18"/>
      <c r="GN31" s="18"/>
      <c r="GO31" s="18">
        <v>1366</v>
      </c>
      <c r="GP31" s="18">
        <v>5464</v>
      </c>
      <c r="GQ31" s="18">
        <v>10929</v>
      </c>
      <c r="GR31" s="18">
        <v>16393</v>
      </c>
      <c r="GS31" s="18">
        <v>20492</v>
      </c>
      <c r="GT31" s="18">
        <v>23224</v>
      </c>
      <c r="GU31" s="18">
        <v>23224</v>
      </c>
      <c r="GV31" s="18">
        <v>17760</v>
      </c>
      <c r="GW31" s="18">
        <v>10929</v>
      </c>
      <c r="GX31" s="18">
        <v>5464</v>
      </c>
      <c r="GY31" s="18">
        <v>1366</v>
      </c>
      <c r="GZ31" s="18"/>
      <c r="HA31" s="18"/>
      <c r="HB31" s="18"/>
      <c r="HC31" s="18"/>
      <c r="HD31" s="18"/>
      <c r="HE31" s="18"/>
      <c r="HF31" s="18"/>
      <c r="HG31" s="19">
        <f t="shared" si="11"/>
        <v>136611</v>
      </c>
      <c r="HH31" s="37">
        <v>20</v>
      </c>
      <c r="HI31" s="19">
        <f t="shared" si="34"/>
        <v>2732220</v>
      </c>
      <c r="HJ31" s="102">
        <f>+SUM(HI31:HI34)</f>
        <v>4234941</v>
      </c>
      <c r="HL31" s="99">
        <v>48761</v>
      </c>
      <c r="HM31" s="17" t="s">
        <v>40</v>
      </c>
      <c r="HN31" s="18"/>
      <c r="HO31" s="18"/>
      <c r="HP31" s="18"/>
      <c r="HQ31" s="18"/>
      <c r="HR31" s="18"/>
      <c r="HS31" s="18"/>
      <c r="HT31" s="18">
        <v>1370</v>
      </c>
      <c r="HU31" s="18">
        <v>5479</v>
      </c>
      <c r="HV31" s="18">
        <v>10959</v>
      </c>
      <c r="HW31" s="18">
        <v>16438</v>
      </c>
      <c r="HX31" s="18">
        <v>20548</v>
      </c>
      <c r="HY31" s="18">
        <v>23288</v>
      </c>
      <c r="HZ31" s="18">
        <v>23288</v>
      </c>
      <c r="IA31" s="18">
        <v>17808</v>
      </c>
      <c r="IB31" s="18">
        <v>10959</v>
      </c>
      <c r="IC31" s="18">
        <v>5479</v>
      </c>
      <c r="ID31" s="18">
        <v>1370</v>
      </c>
      <c r="IE31" s="18"/>
      <c r="IF31" s="18"/>
      <c r="IG31" s="18"/>
      <c r="IH31" s="18"/>
      <c r="II31" s="18"/>
      <c r="IJ31" s="18"/>
      <c r="IK31" s="18"/>
      <c r="IL31" s="19">
        <f t="shared" si="13"/>
        <v>136986</v>
      </c>
      <c r="IM31" s="37">
        <v>19</v>
      </c>
      <c r="IN31" s="19">
        <f t="shared" si="35"/>
        <v>2602734</v>
      </c>
      <c r="IO31" s="102">
        <f>+SUM(IN31:IN34)</f>
        <v>4246566</v>
      </c>
      <c r="IQ31" s="99">
        <v>49126</v>
      </c>
      <c r="IR31" s="17" t="s">
        <v>40</v>
      </c>
      <c r="IS31" s="18"/>
      <c r="IT31" s="18"/>
      <c r="IU31" s="18"/>
      <c r="IV31" s="18"/>
      <c r="IW31" s="18"/>
      <c r="IX31" s="18"/>
      <c r="IY31" s="18">
        <v>1370</v>
      </c>
      <c r="IZ31" s="18">
        <v>5479</v>
      </c>
      <c r="JA31" s="18">
        <v>10959</v>
      </c>
      <c r="JB31" s="18">
        <v>16438</v>
      </c>
      <c r="JC31" s="18">
        <v>20548</v>
      </c>
      <c r="JD31" s="18">
        <v>23288</v>
      </c>
      <c r="JE31" s="18">
        <v>23288</v>
      </c>
      <c r="JF31" s="18">
        <v>17808</v>
      </c>
      <c r="JG31" s="18">
        <v>10959</v>
      </c>
      <c r="JH31" s="18">
        <v>5479</v>
      </c>
      <c r="JI31" s="18">
        <v>1370</v>
      </c>
      <c r="JJ31" s="18"/>
      <c r="JK31" s="18"/>
      <c r="JL31" s="18"/>
      <c r="JM31" s="18"/>
      <c r="JN31" s="18"/>
      <c r="JO31" s="18"/>
      <c r="JP31" s="18"/>
      <c r="JQ31" s="19">
        <f t="shared" si="15"/>
        <v>136986</v>
      </c>
      <c r="JR31" s="37">
        <v>19</v>
      </c>
      <c r="JS31" s="19">
        <f t="shared" si="36"/>
        <v>2602734</v>
      </c>
      <c r="JT31" s="102">
        <f>+SUM(JS31:JS34)</f>
        <v>4246566</v>
      </c>
      <c r="JV31" s="99">
        <v>49491</v>
      </c>
      <c r="JW31" s="17" t="s">
        <v>40</v>
      </c>
      <c r="JX31" s="18"/>
      <c r="JY31" s="18"/>
      <c r="JZ31" s="18"/>
      <c r="KA31" s="18"/>
      <c r="KB31" s="18"/>
      <c r="KC31" s="18"/>
      <c r="KD31" s="18"/>
      <c r="KE31" s="18">
        <v>1370</v>
      </c>
      <c r="KF31" s="18">
        <v>5479</v>
      </c>
      <c r="KG31" s="18">
        <v>10959</v>
      </c>
      <c r="KH31" s="18">
        <v>16438</v>
      </c>
      <c r="KI31" s="18">
        <v>20548</v>
      </c>
      <c r="KJ31" s="18">
        <v>23288</v>
      </c>
      <c r="KK31" s="18">
        <v>23288</v>
      </c>
      <c r="KL31" s="18">
        <v>17808</v>
      </c>
      <c r="KM31" s="18">
        <v>10959</v>
      </c>
      <c r="KN31" s="18">
        <v>5479</v>
      </c>
      <c r="KO31" s="18">
        <v>1370</v>
      </c>
      <c r="KP31" s="18"/>
      <c r="KQ31" s="18"/>
      <c r="KR31" s="18"/>
      <c r="KS31" s="18"/>
      <c r="KT31" s="18"/>
      <c r="KU31" s="18"/>
      <c r="KV31" s="19">
        <f t="shared" si="17"/>
        <v>136986</v>
      </c>
      <c r="KW31" s="37">
        <v>20</v>
      </c>
      <c r="KX31" s="19">
        <f t="shared" si="37"/>
        <v>2739720</v>
      </c>
      <c r="KY31" s="102">
        <f>+SUM(KX31:KX34)</f>
        <v>4246566</v>
      </c>
      <c r="LA31" s="99">
        <v>49857</v>
      </c>
      <c r="LB31" s="17" t="s">
        <v>40</v>
      </c>
      <c r="LC31" s="18"/>
      <c r="LD31" s="18"/>
      <c r="LE31" s="18"/>
      <c r="LF31" s="18"/>
      <c r="LG31" s="18"/>
      <c r="LH31" s="18"/>
      <c r="LI31" s="18">
        <v>1366</v>
      </c>
      <c r="LJ31" s="18">
        <v>5464</v>
      </c>
      <c r="LK31" s="18">
        <v>10929</v>
      </c>
      <c r="LL31" s="18">
        <v>16393</v>
      </c>
      <c r="LM31" s="18">
        <v>20492</v>
      </c>
      <c r="LN31" s="18">
        <v>23224</v>
      </c>
      <c r="LO31" s="18">
        <v>23224</v>
      </c>
      <c r="LP31" s="18">
        <v>17760</v>
      </c>
      <c r="LQ31" s="18">
        <v>10929</v>
      </c>
      <c r="LR31" s="18">
        <v>5464</v>
      </c>
      <c r="LS31" s="18">
        <v>1366</v>
      </c>
      <c r="LT31" s="18"/>
      <c r="LU31" s="18"/>
      <c r="LV31" s="18"/>
      <c r="LW31" s="18"/>
      <c r="LX31" s="18"/>
      <c r="LY31" s="18"/>
      <c r="LZ31" s="18"/>
      <c r="MA31" s="19">
        <f t="shared" si="19"/>
        <v>136611</v>
      </c>
      <c r="MB31" s="37">
        <v>23</v>
      </c>
      <c r="MC31" s="19">
        <f t="shared" si="38"/>
        <v>3142053</v>
      </c>
      <c r="MD31" s="102">
        <f>+SUM(MC31:MC34)</f>
        <v>4234941</v>
      </c>
      <c r="MF31" s="99">
        <v>50222</v>
      </c>
      <c r="MG31" s="17" t="s">
        <v>40</v>
      </c>
      <c r="MH31" s="18"/>
      <c r="MI31" s="18"/>
      <c r="MJ31" s="18"/>
      <c r="MK31" s="18"/>
      <c r="ML31" s="18"/>
      <c r="MM31" s="18"/>
      <c r="MN31" s="18">
        <v>1370</v>
      </c>
      <c r="MO31" s="18">
        <v>5479</v>
      </c>
      <c r="MP31" s="18">
        <v>10959</v>
      </c>
      <c r="MQ31" s="18">
        <v>16438</v>
      </c>
      <c r="MR31" s="18">
        <v>20548</v>
      </c>
      <c r="MS31" s="18">
        <v>23288</v>
      </c>
      <c r="MT31" s="18">
        <v>23288</v>
      </c>
      <c r="MU31" s="18">
        <v>17808</v>
      </c>
      <c r="MV31" s="18">
        <v>10959</v>
      </c>
      <c r="MW31" s="18">
        <v>5479</v>
      </c>
      <c r="MX31" s="18">
        <v>1370</v>
      </c>
      <c r="MY31" s="18"/>
      <c r="MZ31" s="18"/>
      <c r="NA31" s="18"/>
      <c r="NB31" s="18"/>
      <c r="NC31" s="18"/>
      <c r="ND31" s="18"/>
      <c r="NE31" s="18"/>
      <c r="NF31" s="19">
        <f t="shared" si="21"/>
        <v>136986</v>
      </c>
      <c r="NG31" s="37">
        <v>22</v>
      </c>
      <c r="NH31" s="19">
        <f t="shared" si="39"/>
        <v>3013692</v>
      </c>
      <c r="NI31" s="102">
        <f>+SUM(NH31:NH34)</f>
        <v>4246566</v>
      </c>
      <c r="NK31" s="99">
        <v>50587</v>
      </c>
      <c r="NL31" s="17" t="s">
        <v>40</v>
      </c>
      <c r="NM31" s="18"/>
      <c r="NN31" s="18"/>
      <c r="NO31" s="18"/>
      <c r="NP31" s="18"/>
      <c r="NQ31" s="18"/>
      <c r="NR31" s="18"/>
      <c r="NS31" s="18">
        <v>1370</v>
      </c>
      <c r="NT31" s="18">
        <v>5479</v>
      </c>
      <c r="NU31" s="18">
        <v>10959</v>
      </c>
      <c r="NV31" s="18">
        <v>16438</v>
      </c>
      <c r="NW31" s="18">
        <v>20548</v>
      </c>
      <c r="NX31" s="18">
        <v>23288</v>
      </c>
      <c r="NY31" s="18">
        <v>23288</v>
      </c>
      <c r="NZ31" s="18">
        <v>17808</v>
      </c>
      <c r="OA31" s="18">
        <v>10959</v>
      </c>
      <c r="OB31" s="18">
        <v>5479</v>
      </c>
      <c r="OC31" s="18">
        <v>1370</v>
      </c>
      <c r="OD31" s="18"/>
      <c r="OE31" s="18"/>
      <c r="OF31" s="18"/>
      <c r="OG31" s="18"/>
      <c r="OH31" s="18"/>
      <c r="OI31" s="18"/>
      <c r="OJ31" s="18"/>
      <c r="OK31" s="19">
        <f t="shared" si="23"/>
        <v>136986</v>
      </c>
      <c r="OL31" s="37">
        <v>20</v>
      </c>
      <c r="OM31" s="19">
        <f t="shared" si="40"/>
        <v>2739720</v>
      </c>
      <c r="ON31" s="102">
        <f>+SUM(OM31:OM34)</f>
        <v>4246566</v>
      </c>
      <c r="OP31" s="99">
        <v>50952</v>
      </c>
      <c r="OQ31" s="17" t="s">
        <v>40</v>
      </c>
      <c r="OR31" s="18"/>
      <c r="OS31" s="18"/>
      <c r="OT31" s="18"/>
      <c r="OU31" s="18"/>
      <c r="OV31" s="18"/>
      <c r="OW31" s="18"/>
      <c r="OX31" s="18">
        <v>1370</v>
      </c>
      <c r="OY31" s="18">
        <v>5479</v>
      </c>
      <c r="OZ31" s="18">
        <v>10959</v>
      </c>
      <c r="PA31" s="18">
        <v>16438</v>
      </c>
      <c r="PB31" s="18">
        <v>20548</v>
      </c>
      <c r="PC31" s="18">
        <v>23288</v>
      </c>
      <c r="PD31" s="18">
        <v>23288</v>
      </c>
      <c r="PE31" s="18">
        <v>17808</v>
      </c>
      <c r="PF31" s="18">
        <v>10959</v>
      </c>
      <c r="PG31" s="18">
        <v>5479</v>
      </c>
      <c r="PH31" s="18">
        <v>1370</v>
      </c>
      <c r="PI31" s="18"/>
      <c r="PJ31" s="18"/>
      <c r="PK31" s="18"/>
      <c r="PL31" s="18"/>
      <c r="PM31" s="18"/>
      <c r="PN31" s="18"/>
      <c r="PO31" s="18"/>
      <c r="PP31" s="19">
        <f t="shared" si="25"/>
        <v>136986</v>
      </c>
      <c r="PQ31" s="37">
        <v>19</v>
      </c>
      <c r="PR31" s="19">
        <f t="shared" si="41"/>
        <v>2602734</v>
      </c>
      <c r="PS31" s="102">
        <f>+SUM(PR31:PR34)</f>
        <v>4246566</v>
      </c>
      <c r="PU31" s="99">
        <v>51318</v>
      </c>
      <c r="PV31" s="17" t="s">
        <v>40</v>
      </c>
      <c r="PW31" s="18"/>
      <c r="PX31" s="18"/>
      <c r="PY31" s="18"/>
      <c r="PZ31" s="18"/>
      <c r="QA31" s="18"/>
      <c r="QB31" s="18"/>
      <c r="QC31" s="18">
        <v>1366</v>
      </c>
      <c r="QD31" s="18">
        <v>5464</v>
      </c>
      <c r="QE31" s="18">
        <v>10929</v>
      </c>
      <c r="QF31" s="18">
        <v>16393</v>
      </c>
      <c r="QG31" s="18">
        <v>20492</v>
      </c>
      <c r="QH31" s="18">
        <v>23224</v>
      </c>
      <c r="QI31" s="18">
        <v>23224</v>
      </c>
      <c r="QJ31" s="18">
        <v>17760</v>
      </c>
      <c r="QK31" s="18">
        <v>10929</v>
      </c>
      <c r="QL31" s="18">
        <v>5464</v>
      </c>
      <c r="QM31" s="18">
        <v>1366</v>
      </c>
      <c r="QN31" s="18"/>
      <c r="QO31" s="18"/>
      <c r="QP31" s="18"/>
      <c r="QQ31" s="18"/>
      <c r="QR31" s="18"/>
      <c r="QS31" s="18"/>
      <c r="QT31" s="18"/>
      <c r="QU31" s="19">
        <f t="shared" si="27"/>
        <v>136611</v>
      </c>
      <c r="QV31" s="46">
        <v>20</v>
      </c>
      <c r="QW31" s="19">
        <f t="shared" si="42"/>
        <v>2732220</v>
      </c>
      <c r="QX31" s="102">
        <f>+SUM(QW31:QW34)</f>
        <v>4234941</v>
      </c>
    </row>
    <row r="32" spans="1:466" x14ac:dyDescent="0.35">
      <c r="A32" s="100"/>
      <c r="B32" s="21" t="s">
        <v>41</v>
      </c>
      <c r="C32" s="18"/>
      <c r="D32" s="18"/>
      <c r="E32" s="18"/>
      <c r="F32" s="18"/>
      <c r="G32" s="18"/>
      <c r="H32" s="18"/>
      <c r="I32" s="18">
        <v>1370</v>
      </c>
      <c r="J32" s="18">
        <v>5479</v>
      </c>
      <c r="K32" s="18">
        <v>10959</v>
      </c>
      <c r="L32" s="18">
        <v>16438</v>
      </c>
      <c r="M32" s="18">
        <v>20548</v>
      </c>
      <c r="N32" s="18">
        <v>23288</v>
      </c>
      <c r="O32" s="18">
        <v>23288</v>
      </c>
      <c r="P32" s="18">
        <v>17808</v>
      </c>
      <c r="Q32" s="18">
        <v>10959</v>
      </c>
      <c r="R32" s="18">
        <v>5479</v>
      </c>
      <c r="S32" s="18">
        <v>1370</v>
      </c>
      <c r="T32" s="18"/>
      <c r="U32" s="18"/>
      <c r="V32" s="18"/>
      <c r="W32" s="18"/>
      <c r="X32" s="18"/>
      <c r="Y32" s="18"/>
      <c r="Z32" s="18"/>
      <c r="AA32" s="19">
        <f t="shared" si="0"/>
        <v>136986</v>
      </c>
      <c r="AB32" s="38">
        <v>4</v>
      </c>
      <c r="AC32" s="19">
        <f t="shared" si="1"/>
        <v>547944</v>
      </c>
      <c r="AD32" s="103"/>
      <c r="AF32" s="100"/>
      <c r="AG32" s="21" t="s">
        <v>41</v>
      </c>
      <c r="AH32" s="18"/>
      <c r="AI32" s="18"/>
      <c r="AJ32" s="18"/>
      <c r="AK32" s="18"/>
      <c r="AL32" s="18"/>
      <c r="AM32" s="18"/>
      <c r="AN32" s="18">
        <v>1370</v>
      </c>
      <c r="AO32" s="18">
        <v>5479</v>
      </c>
      <c r="AP32" s="18">
        <v>10959</v>
      </c>
      <c r="AQ32" s="18">
        <v>16438</v>
      </c>
      <c r="AR32" s="18">
        <v>20548</v>
      </c>
      <c r="AS32" s="18">
        <v>23288</v>
      </c>
      <c r="AT32" s="18">
        <v>23288</v>
      </c>
      <c r="AU32" s="18">
        <v>17808</v>
      </c>
      <c r="AV32" s="18">
        <v>10959</v>
      </c>
      <c r="AW32" s="18">
        <v>5479</v>
      </c>
      <c r="AX32" s="18">
        <v>1370</v>
      </c>
      <c r="AY32" s="18"/>
      <c r="AZ32" s="18"/>
      <c r="BA32" s="18"/>
      <c r="BB32" s="18"/>
      <c r="BC32" s="18"/>
      <c r="BD32" s="18"/>
      <c r="BE32" s="18"/>
      <c r="BF32" s="19">
        <f t="shared" si="2"/>
        <v>136986</v>
      </c>
      <c r="BG32" s="38">
        <v>5</v>
      </c>
      <c r="BH32" s="19">
        <f t="shared" si="29"/>
        <v>684930</v>
      </c>
      <c r="BI32" s="103"/>
      <c r="BK32" s="100"/>
      <c r="BL32" s="21" t="s">
        <v>41</v>
      </c>
      <c r="BM32" s="18"/>
      <c r="BN32" s="18"/>
      <c r="BO32" s="18"/>
      <c r="BP32" s="18"/>
      <c r="BQ32" s="18"/>
      <c r="BR32" s="18"/>
      <c r="BS32" s="18">
        <v>1366</v>
      </c>
      <c r="BT32" s="18">
        <v>5464</v>
      </c>
      <c r="BU32" s="18">
        <v>10929</v>
      </c>
      <c r="BV32" s="18">
        <v>16393</v>
      </c>
      <c r="BW32" s="18">
        <v>20492</v>
      </c>
      <c r="BX32" s="18">
        <v>23224</v>
      </c>
      <c r="BY32" s="18">
        <v>23224</v>
      </c>
      <c r="BZ32" s="18">
        <v>17760</v>
      </c>
      <c r="CA32" s="18">
        <v>10929</v>
      </c>
      <c r="CB32" s="18">
        <v>5464</v>
      </c>
      <c r="CC32" s="18">
        <v>1366</v>
      </c>
      <c r="CD32" s="18"/>
      <c r="CE32" s="18"/>
      <c r="CF32" s="18"/>
      <c r="CG32" s="18"/>
      <c r="CH32" s="18"/>
      <c r="CI32" s="18"/>
      <c r="CJ32" s="18"/>
      <c r="CK32" s="19">
        <f t="shared" si="4"/>
        <v>136611</v>
      </c>
      <c r="CL32" s="38">
        <v>5</v>
      </c>
      <c r="CM32" s="19">
        <f t="shared" si="30"/>
        <v>683055</v>
      </c>
      <c r="CN32" s="103"/>
      <c r="CP32" s="100"/>
      <c r="CQ32" s="21" t="s">
        <v>41</v>
      </c>
      <c r="CR32" s="18"/>
      <c r="CS32" s="18"/>
      <c r="CT32" s="18"/>
      <c r="CU32" s="18"/>
      <c r="CV32" s="18"/>
      <c r="CW32" s="18"/>
      <c r="CX32" s="18">
        <v>1370</v>
      </c>
      <c r="CY32" s="18">
        <v>5479</v>
      </c>
      <c r="CZ32" s="18">
        <v>10959</v>
      </c>
      <c r="DA32" s="18">
        <v>16438</v>
      </c>
      <c r="DB32" s="18">
        <v>20548</v>
      </c>
      <c r="DC32" s="18">
        <v>23288</v>
      </c>
      <c r="DD32" s="18">
        <v>23288</v>
      </c>
      <c r="DE32" s="18">
        <v>17808</v>
      </c>
      <c r="DF32" s="18">
        <v>10959</v>
      </c>
      <c r="DG32" s="18">
        <v>5479</v>
      </c>
      <c r="DH32" s="18">
        <v>1370</v>
      </c>
      <c r="DI32" s="18"/>
      <c r="DJ32" s="18"/>
      <c r="DK32" s="18"/>
      <c r="DL32" s="18"/>
      <c r="DM32" s="18"/>
      <c r="DN32" s="18"/>
      <c r="DO32" s="18"/>
      <c r="DP32" s="19">
        <f t="shared" si="6"/>
        <v>136986</v>
      </c>
      <c r="DQ32" s="38">
        <v>4</v>
      </c>
      <c r="DR32" s="19">
        <f t="shared" si="31"/>
        <v>547944</v>
      </c>
      <c r="DS32" s="103"/>
      <c r="DV32" s="100"/>
      <c r="DW32" s="21" t="s">
        <v>41</v>
      </c>
      <c r="DX32" s="18"/>
      <c r="DY32" s="18"/>
      <c r="DZ32" s="18"/>
      <c r="EA32" s="18"/>
      <c r="EB32" s="18"/>
      <c r="EC32" s="18"/>
      <c r="ED32" s="18">
        <v>1370</v>
      </c>
      <c r="EE32" s="18">
        <v>5479</v>
      </c>
      <c r="EF32" s="18">
        <v>10959</v>
      </c>
      <c r="EG32" s="18">
        <v>16438</v>
      </c>
      <c r="EH32" s="18">
        <v>20548</v>
      </c>
      <c r="EI32" s="18">
        <v>23288</v>
      </c>
      <c r="EJ32" s="18">
        <v>23288</v>
      </c>
      <c r="EK32" s="18">
        <v>17808</v>
      </c>
      <c r="EL32" s="18">
        <v>10959</v>
      </c>
      <c r="EM32" s="18">
        <v>5479</v>
      </c>
      <c r="EN32" s="18">
        <v>1370</v>
      </c>
      <c r="EO32" s="18"/>
      <c r="EP32" s="18"/>
      <c r="EQ32" s="18"/>
      <c r="ER32" s="18"/>
      <c r="ES32" s="18"/>
      <c r="ET32" s="18"/>
      <c r="EU32" s="18"/>
      <c r="EV32" s="19">
        <f t="shared" si="8"/>
        <v>136986</v>
      </c>
      <c r="EW32" s="38">
        <v>3</v>
      </c>
      <c r="EX32" s="19">
        <f t="shared" si="32"/>
        <v>410958</v>
      </c>
      <c r="EY32" s="103"/>
      <c r="FB32" s="100"/>
      <c r="FC32" s="21" t="s">
        <v>41</v>
      </c>
      <c r="FD32" s="18"/>
      <c r="FE32" s="18"/>
      <c r="FF32" s="18"/>
      <c r="FG32" s="18"/>
      <c r="FH32" s="18"/>
      <c r="FI32" s="18"/>
      <c r="FJ32" s="18">
        <v>1370</v>
      </c>
      <c r="FK32" s="18">
        <v>5479</v>
      </c>
      <c r="FL32" s="18">
        <v>10959</v>
      </c>
      <c r="FM32" s="18">
        <v>16438</v>
      </c>
      <c r="FN32" s="18">
        <v>20548</v>
      </c>
      <c r="FO32" s="18">
        <v>23288</v>
      </c>
      <c r="FP32" s="18">
        <v>23288</v>
      </c>
      <c r="FQ32" s="18">
        <v>17808</v>
      </c>
      <c r="FR32" s="18">
        <v>10959</v>
      </c>
      <c r="FS32" s="18">
        <v>5479</v>
      </c>
      <c r="FT32" s="18">
        <v>1370</v>
      </c>
      <c r="FU32" s="18"/>
      <c r="FV32" s="18"/>
      <c r="FW32" s="18"/>
      <c r="FX32" s="18"/>
      <c r="FY32" s="18"/>
      <c r="FZ32" s="18"/>
      <c r="GA32" s="18"/>
      <c r="GB32" s="19">
        <f t="shared" si="9"/>
        <v>136986</v>
      </c>
      <c r="GC32" s="38">
        <v>4</v>
      </c>
      <c r="GD32" s="19">
        <f t="shared" si="33"/>
        <v>547944</v>
      </c>
      <c r="GE32" s="103"/>
      <c r="GG32" s="100"/>
      <c r="GH32" s="21" t="s">
        <v>41</v>
      </c>
      <c r="GI32" s="18"/>
      <c r="GJ32" s="18"/>
      <c r="GK32" s="18"/>
      <c r="GL32" s="18"/>
      <c r="GM32" s="18"/>
      <c r="GN32" s="18"/>
      <c r="GO32" s="18">
        <v>1366</v>
      </c>
      <c r="GP32" s="18">
        <v>5464</v>
      </c>
      <c r="GQ32" s="18">
        <v>10929</v>
      </c>
      <c r="GR32" s="18">
        <v>16393</v>
      </c>
      <c r="GS32" s="18">
        <v>20492</v>
      </c>
      <c r="GT32" s="18">
        <v>23224</v>
      </c>
      <c r="GU32" s="18">
        <v>23224</v>
      </c>
      <c r="GV32" s="18">
        <v>17760</v>
      </c>
      <c r="GW32" s="18">
        <v>10929</v>
      </c>
      <c r="GX32" s="18">
        <v>5464</v>
      </c>
      <c r="GY32" s="18">
        <v>1366</v>
      </c>
      <c r="GZ32" s="18"/>
      <c r="HA32" s="18"/>
      <c r="HB32" s="18"/>
      <c r="HC32" s="18"/>
      <c r="HD32" s="18"/>
      <c r="HE32" s="18"/>
      <c r="HF32" s="18"/>
      <c r="HG32" s="19">
        <f t="shared" si="11"/>
        <v>136611</v>
      </c>
      <c r="HH32" s="38">
        <v>5</v>
      </c>
      <c r="HI32" s="19">
        <f t="shared" si="34"/>
        <v>683055</v>
      </c>
      <c r="HJ32" s="103"/>
      <c r="HL32" s="100"/>
      <c r="HM32" s="21" t="s">
        <v>41</v>
      </c>
      <c r="HN32" s="18"/>
      <c r="HO32" s="18"/>
      <c r="HP32" s="18"/>
      <c r="HQ32" s="18"/>
      <c r="HR32" s="18"/>
      <c r="HS32" s="18"/>
      <c r="HT32" s="18">
        <v>1370</v>
      </c>
      <c r="HU32" s="18">
        <v>5479</v>
      </c>
      <c r="HV32" s="18">
        <v>10959</v>
      </c>
      <c r="HW32" s="18">
        <v>16438</v>
      </c>
      <c r="HX32" s="18">
        <v>20548</v>
      </c>
      <c r="HY32" s="18">
        <v>23288</v>
      </c>
      <c r="HZ32" s="18">
        <v>23288</v>
      </c>
      <c r="IA32" s="18">
        <v>17808</v>
      </c>
      <c r="IB32" s="18">
        <v>10959</v>
      </c>
      <c r="IC32" s="18">
        <v>5479</v>
      </c>
      <c r="ID32" s="18">
        <v>1370</v>
      </c>
      <c r="IE32" s="18"/>
      <c r="IF32" s="18"/>
      <c r="IG32" s="18"/>
      <c r="IH32" s="18"/>
      <c r="II32" s="18"/>
      <c r="IJ32" s="18"/>
      <c r="IK32" s="18"/>
      <c r="IL32" s="19">
        <f t="shared" si="13"/>
        <v>136986</v>
      </c>
      <c r="IM32" s="38">
        <v>5</v>
      </c>
      <c r="IN32" s="19">
        <f t="shared" si="35"/>
        <v>684930</v>
      </c>
      <c r="IO32" s="103"/>
      <c r="IQ32" s="100"/>
      <c r="IR32" s="21" t="s">
        <v>41</v>
      </c>
      <c r="IS32" s="18"/>
      <c r="IT32" s="18"/>
      <c r="IU32" s="18"/>
      <c r="IV32" s="18"/>
      <c r="IW32" s="18"/>
      <c r="IX32" s="18"/>
      <c r="IY32" s="18">
        <v>1370</v>
      </c>
      <c r="IZ32" s="18">
        <v>5479</v>
      </c>
      <c r="JA32" s="18">
        <v>10959</v>
      </c>
      <c r="JB32" s="18">
        <v>16438</v>
      </c>
      <c r="JC32" s="18">
        <v>20548</v>
      </c>
      <c r="JD32" s="18">
        <v>23288</v>
      </c>
      <c r="JE32" s="18">
        <v>23288</v>
      </c>
      <c r="JF32" s="18">
        <v>17808</v>
      </c>
      <c r="JG32" s="18">
        <v>10959</v>
      </c>
      <c r="JH32" s="18">
        <v>5479</v>
      </c>
      <c r="JI32" s="18">
        <v>1370</v>
      </c>
      <c r="JJ32" s="18"/>
      <c r="JK32" s="18"/>
      <c r="JL32" s="18"/>
      <c r="JM32" s="18"/>
      <c r="JN32" s="18"/>
      <c r="JO32" s="18"/>
      <c r="JP32" s="18"/>
      <c r="JQ32" s="19">
        <f t="shared" si="15"/>
        <v>136986</v>
      </c>
      <c r="JR32" s="38">
        <v>5</v>
      </c>
      <c r="JS32" s="19">
        <f t="shared" si="36"/>
        <v>684930</v>
      </c>
      <c r="JT32" s="103"/>
      <c r="JV32" s="100"/>
      <c r="JW32" s="21" t="s">
        <v>41</v>
      </c>
      <c r="JX32" s="18"/>
      <c r="JY32" s="18"/>
      <c r="JZ32" s="18"/>
      <c r="KA32" s="18"/>
      <c r="KB32" s="18"/>
      <c r="KC32" s="18"/>
      <c r="KD32" s="18"/>
      <c r="KE32" s="18">
        <v>1370</v>
      </c>
      <c r="KF32" s="18">
        <v>5479</v>
      </c>
      <c r="KG32" s="18">
        <v>10959</v>
      </c>
      <c r="KH32" s="18">
        <v>16438</v>
      </c>
      <c r="KI32" s="18">
        <v>20548</v>
      </c>
      <c r="KJ32" s="18">
        <v>23288</v>
      </c>
      <c r="KK32" s="18">
        <v>23288</v>
      </c>
      <c r="KL32" s="18">
        <v>17808</v>
      </c>
      <c r="KM32" s="18">
        <v>10959</v>
      </c>
      <c r="KN32" s="18">
        <v>5479</v>
      </c>
      <c r="KO32" s="18">
        <v>1370</v>
      </c>
      <c r="KP32" s="18"/>
      <c r="KQ32" s="18"/>
      <c r="KR32" s="18"/>
      <c r="KS32" s="18"/>
      <c r="KT32" s="18"/>
      <c r="KU32" s="18"/>
      <c r="KV32" s="19">
        <f t="shared" si="17"/>
        <v>136986</v>
      </c>
      <c r="KW32" s="38">
        <v>4</v>
      </c>
      <c r="KX32" s="19">
        <f t="shared" si="37"/>
        <v>547944</v>
      </c>
      <c r="KY32" s="103"/>
      <c r="LA32" s="100"/>
      <c r="LB32" s="21" t="s">
        <v>41</v>
      </c>
      <c r="LC32" s="18"/>
      <c r="LD32" s="18"/>
      <c r="LE32" s="18"/>
      <c r="LF32" s="18"/>
      <c r="LG32" s="18"/>
      <c r="LH32" s="18"/>
      <c r="LI32" s="18">
        <v>1366</v>
      </c>
      <c r="LJ32" s="18">
        <v>5464</v>
      </c>
      <c r="LK32" s="18">
        <v>10929</v>
      </c>
      <c r="LL32" s="18">
        <v>16393</v>
      </c>
      <c r="LM32" s="18">
        <v>20492</v>
      </c>
      <c r="LN32" s="18">
        <v>23224</v>
      </c>
      <c r="LO32" s="18">
        <v>23224</v>
      </c>
      <c r="LP32" s="18">
        <v>17760</v>
      </c>
      <c r="LQ32" s="18">
        <v>10929</v>
      </c>
      <c r="LR32" s="18">
        <v>5464</v>
      </c>
      <c r="LS32" s="18">
        <v>1366</v>
      </c>
      <c r="LT32" s="18"/>
      <c r="LU32" s="18"/>
      <c r="LV32" s="18"/>
      <c r="LW32" s="18"/>
      <c r="LX32" s="18"/>
      <c r="LY32" s="18"/>
      <c r="LZ32" s="18"/>
      <c r="MA32" s="19">
        <f t="shared" si="19"/>
        <v>136611</v>
      </c>
      <c r="MB32" s="38">
        <v>4</v>
      </c>
      <c r="MC32" s="19">
        <f t="shared" si="38"/>
        <v>546444</v>
      </c>
      <c r="MD32" s="103"/>
      <c r="MF32" s="100"/>
      <c r="MG32" s="21" t="s">
        <v>41</v>
      </c>
      <c r="MH32" s="18"/>
      <c r="MI32" s="18"/>
      <c r="MJ32" s="18"/>
      <c r="MK32" s="18"/>
      <c r="ML32" s="18"/>
      <c r="MM32" s="18"/>
      <c r="MN32" s="18">
        <v>1370</v>
      </c>
      <c r="MO32" s="18">
        <v>5479</v>
      </c>
      <c r="MP32" s="18">
        <v>10959</v>
      </c>
      <c r="MQ32" s="18">
        <v>16438</v>
      </c>
      <c r="MR32" s="18">
        <v>20548</v>
      </c>
      <c r="MS32" s="18">
        <v>23288</v>
      </c>
      <c r="MT32" s="18">
        <v>23288</v>
      </c>
      <c r="MU32" s="18">
        <v>17808</v>
      </c>
      <c r="MV32" s="18">
        <v>10959</v>
      </c>
      <c r="MW32" s="18">
        <v>5479</v>
      </c>
      <c r="MX32" s="18">
        <v>1370</v>
      </c>
      <c r="MY32" s="18"/>
      <c r="MZ32" s="18"/>
      <c r="NA32" s="18"/>
      <c r="NB32" s="18"/>
      <c r="NC32" s="18"/>
      <c r="ND32" s="18"/>
      <c r="NE32" s="18"/>
      <c r="NF32" s="19">
        <f t="shared" si="21"/>
        <v>136986</v>
      </c>
      <c r="NG32" s="38">
        <v>4</v>
      </c>
      <c r="NH32" s="19">
        <f t="shared" si="39"/>
        <v>547944</v>
      </c>
      <c r="NI32" s="103"/>
      <c r="NK32" s="100"/>
      <c r="NL32" s="21" t="s">
        <v>41</v>
      </c>
      <c r="NM32" s="18"/>
      <c r="NN32" s="18"/>
      <c r="NO32" s="18"/>
      <c r="NP32" s="18"/>
      <c r="NQ32" s="18"/>
      <c r="NR32" s="18"/>
      <c r="NS32" s="18">
        <v>1370</v>
      </c>
      <c r="NT32" s="18">
        <v>5479</v>
      </c>
      <c r="NU32" s="18">
        <v>10959</v>
      </c>
      <c r="NV32" s="18">
        <v>16438</v>
      </c>
      <c r="NW32" s="18">
        <v>20548</v>
      </c>
      <c r="NX32" s="18">
        <v>23288</v>
      </c>
      <c r="NY32" s="18">
        <v>23288</v>
      </c>
      <c r="NZ32" s="18">
        <v>17808</v>
      </c>
      <c r="OA32" s="18">
        <v>10959</v>
      </c>
      <c r="OB32" s="18">
        <v>5479</v>
      </c>
      <c r="OC32" s="18">
        <v>1370</v>
      </c>
      <c r="OD32" s="18"/>
      <c r="OE32" s="18"/>
      <c r="OF32" s="18"/>
      <c r="OG32" s="18"/>
      <c r="OH32" s="18"/>
      <c r="OI32" s="18"/>
      <c r="OJ32" s="18"/>
      <c r="OK32" s="19">
        <f t="shared" si="23"/>
        <v>136986</v>
      </c>
      <c r="OL32" s="38">
        <v>5</v>
      </c>
      <c r="OM32" s="19">
        <f t="shared" si="40"/>
        <v>684930</v>
      </c>
      <c r="ON32" s="103"/>
      <c r="OP32" s="100"/>
      <c r="OQ32" s="21" t="s">
        <v>41</v>
      </c>
      <c r="OR32" s="18"/>
      <c r="OS32" s="18"/>
      <c r="OT32" s="18"/>
      <c r="OU32" s="18"/>
      <c r="OV32" s="18"/>
      <c r="OW32" s="18"/>
      <c r="OX32" s="18">
        <v>1370</v>
      </c>
      <c r="OY32" s="18">
        <v>5479</v>
      </c>
      <c r="OZ32" s="18">
        <v>10959</v>
      </c>
      <c r="PA32" s="18">
        <v>16438</v>
      </c>
      <c r="PB32" s="18">
        <v>20548</v>
      </c>
      <c r="PC32" s="18">
        <v>23288</v>
      </c>
      <c r="PD32" s="18">
        <v>23288</v>
      </c>
      <c r="PE32" s="18">
        <v>17808</v>
      </c>
      <c r="PF32" s="18">
        <v>10959</v>
      </c>
      <c r="PG32" s="18">
        <v>5479</v>
      </c>
      <c r="PH32" s="18">
        <v>1370</v>
      </c>
      <c r="PI32" s="18"/>
      <c r="PJ32" s="18"/>
      <c r="PK32" s="18"/>
      <c r="PL32" s="18"/>
      <c r="PM32" s="18"/>
      <c r="PN32" s="18"/>
      <c r="PO32" s="18"/>
      <c r="PP32" s="19">
        <f t="shared" si="25"/>
        <v>136986</v>
      </c>
      <c r="PQ32" s="38">
        <v>5</v>
      </c>
      <c r="PR32" s="19">
        <f t="shared" si="41"/>
        <v>684930</v>
      </c>
      <c r="PS32" s="103"/>
      <c r="PU32" s="100"/>
      <c r="PV32" s="21" t="s">
        <v>41</v>
      </c>
      <c r="PW32" s="18"/>
      <c r="PX32" s="18"/>
      <c r="PY32" s="18"/>
      <c r="PZ32" s="18"/>
      <c r="QA32" s="18"/>
      <c r="QB32" s="18"/>
      <c r="QC32" s="18">
        <v>1366</v>
      </c>
      <c r="QD32" s="18">
        <v>5464</v>
      </c>
      <c r="QE32" s="18">
        <v>10929</v>
      </c>
      <c r="QF32" s="18">
        <v>16393</v>
      </c>
      <c r="QG32" s="18">
        <v>20492</v>
      </c>
      <c r="QH32" s="18">
        <v>23224</v>
      </c>
      <c r="QI32" s="18">
        <v>23224</v>
      </c>
      <c r="QJ32" s="18">
        <v>17760</v>
      </c>
      <c r="QK32" s="18">
        <v>10929</v>
      </c>
      <c r="QL32" s="18">
        <v>5464</v>
      </c>
      <c r="QM32" s="18">
        <v>1366</v>
      </c>
      <c r="QN32" s="18"/>
      <c r="QO32" s="18"/>
      <c r="QP32" s="18"/>
      <c r="QQ32" s="18"/>
      <c r="QR32" s="18"/>
      <c r="QS32" s="18"/>
      <c r="QT32" s="18"/>
      <c r="QU32" s="19">
        <f t="shared" si="27"/>
        <v>136611</v>
      </c>
      <c r="QV32" s="45">
        <v>4</v>
      </c>
      <c r="QW32" s="19">
        <f t="shared" si="42"/>
        <v>546444</v>
      </c>
      <c r="QX32" s="103"/>
    </row>
    <row r="33" spans="1:466" x14ac:dyDescent="0.35">
      <c r="A33" s="100"/>
      <c r="B33" s="21" t="s">
        <v>42</v>
      </c>
      <c r="C33" s="18"/>
      <c r="D33" s="18"/>
      <c r="E33" s="18"/>
      <c r="F33" s="18"/>
      <c r="G33" s="18"/>
      <c r="H33" s="18"/>
      <c r="I33" s="18">
        <v>1370</v>
      </c>
      <c r="J33" s="18">
        <v>5479</v>
      </c>
      <c r="K33" s="18">
        <v>10959</v>
      </c>
      <c r="L33" s="18">
        <v>16438</v>
      </c>
      <c r="M33" s="18">
        <v>20548</v>
      </c>
      <c r="N33" s="18">
        <v>23288</v>
      </c>
      <c r="O33" s="18">
        <v>23288</v>
      </c>
      <c r="P33" s="18">
        <v>17808</v>
      </c>
      <c r="Q33" s="18">
        <v>10959</v>
      </c>
      <c r="R33" s="18">
        <v>5479</v>
      </c>
      <c r="S33" s="18">
        <v>1370</v>
      </c>
      <c r="T33" s="18"/>
      <c r="U33" s="18"/>
      <c r="V33" s="18"/>
      <c r="W33" s="18"/>
      <c r="X33" s="18"/>
      <c r="Y33" s="18"/>
      <c r="Z33" s="18"/>
      <c r="AA33" s="19">
        <f t="shared" si="0"/>
        <v>136986</v>
      </c>
      <c r="AB33" s="38">
        <v>4</v>
      </c>
      <c r="AC33" s="19">
        <f t="shared" si="1"/>
        <v>547944</v>
      </c>
      <c r="AD33" s="103"/>
      <c r="AF33" s="100"/>
      <c r="AG33" s="21" t="s">
        <v>42</v>
      </c>
      <c r="AH33" s="18"/>
      <c r="AI33" s="18"/>
      <c r="AJ33" s="18"/>
      <c r="AK33" s="18"/>
      <c r="AL33" s="18"/>
      <c r="AM33" s="18"/>
      <c r="AN33" s="18">
        <v>1370</v>
      </c>
      <c r="AO33" s="18">
        <v>5479</v>
      </c>
      <c r="AP33" s="18">
        <v>10959</v>
      </c>
      <c r="AQ33" s="18">
        <v>16438</v>
      </c>
      <c r="AR33" s="18">
        <v>20548</v>
      </c>
      <c r="AS33" s="18">
        <v>23288</v>
      </c>
      <c r="AT33" s="18">
        <v>23288</v>
      </c>
      <c r="AU33" s="18">
        <v>17808</v>
      </c>
      <c r="AV33" s="18">
        <v>10959</v>
      </c>
      <c r="AW33" s="18">
        <v>5479</v>
      </c>
      <c r="AX33" s="18">
        <v>1370</v>
      </c>
      <c r="AY33" s="18"/>
      <c r="AZ33" s="18"/>
      <c r="BA33" s="18"/>
      <c r="BB33" s="18"/>
      <c r="BC33" s="18"/>
      <c r="BD33" s="18"/>
      <c r="BE33" s="18"/>
      <c r="BF33" s="19">
        <f t="shared" si="2"/>
        <v>136986</v>
      </c>
      <c r="BG33" s="38">
        <v>4</v>
      </c>
      <c r="BH33" s="19">
        <f t="shared" si="29"/>
        <v>547944</v>
      </c>
      <c r="BI33" s="103"/>
      <c r="BK33" s="100"/>
      <c r="BL33" s="21" t="s">
        <v>42</v>
      </c>
      <c r="BM33" s="18"/>
      <c r="BN33" s="18"/>
      <c r="BO33" s="18"/>
      <c r="BP33" s="18"/>
      <c r="BQ33" s="18"/>
      <c r="BR33" s="18"/>
      <c r="BS33" s="18">
        <v>1366</v>
      </c>
      <c r="BT33" s="18">
        <v>5464</v>
      </c>
      <c r="BU33" s="18">
        <v>10929</v>
      </c>
      <c r="BV33" s="18">
        <v>16393</v>
      </c>
      <c r="BW33" s="18">
        <v>20492</v>
      </c>
      <c r="BX33" s="18">
        <v>23224</v>
      </c>
      <c r="BY33" s="18">
        <v>23224</v>
      </c>
      <c r="BZ33" s="18">
        <v>17760</v>
      </c>
      <c r="CA33" s="18">
        <v>10929</v>
      </c>
      <c r="CB33" s="18">
        <v>5464</v>
      </c>
      <c r="CC33" s="18">
        <v>1366</v>
      </c>
      <c r="CD33" s="18"/>
      <c r="CE33" s="18"/>
      <c r="CF33" s="18"/>
      <c r="CG33" s="18"/>
      <c r="CH33" s="18"/>
      <c r="CI33" s="18"/>
      <c r="CJ33" s="18"/>
      <c r="CK33" s="19">
        <f t="shared" si="4"/>
        <v>136611</v>
      </c>
      <c r="CL33" s="38">
        <v>5</v>
      </c>
      <c r="CM33" s="19">
        <f t="shared" si="30"/>
        <v>683055</v>
      </c>
      <c r="CN33" s="103"/>
      <c r="CP33" s="100"/>
      <c r="CQ33" s="21" t="s">
        <v>42</v>
      </c>
      <c r="CR33" s="18"/>
      <c r="CS33" s="18"/>
      <c r="CT33" s="18"/>
      <c r="CU33" s="18"/>
      <c r="CV33" s="18"/>
      <c r="CW33" s="18"/>
      <c r="CX33" s="18">
        <v>1370</v>
      </c>
      <c r="CY33" s="18">
        <v>5479</v>
      </c>
      <c r="CZ33" s="18">
        <v>10959</v>
      </c>
      <c r="DA33" s="18">
        <v>16438</v>
      </c>
      <c r="DB33" s="18">
        <v>20548</v>
      </c>
      <c r="DC33" s="18">
        <v>23288</v>
      </c>
      <c r="DD33" s="18">
        <v>23288</v>
      </c>
      <c r="DE33" s="18">
        <v>17808</v>
      </c>
      <c r="DF33" s="18">
        <v>10959</v>
      </c>
      <c r="DG33" s="18">
        <v>5479</v>
      </c>
      <c r="DH33" s="18">
        <v>1370</v>
      </c>
      <c r="DI33" s="18"/>
      <c r="DJ33" s="18"/>
      <c r="DK33" s="18"/>
      <c r="DL33" s="18"/>
      <c r="DM33" s="18"/>
      <c r="DN33" s="18"/>
      <c r="DO33" s="18"/>
      <c r="DP33" s="19">
        <f t="shared" si="6"/>
        <v>136986</v>
      </c>
      <c r="DQ33" s="38">
        <v>5</v>
      </c>
      <c r="DR33" s="19">
        <f t="shared" si="31"/>
        <v>684930</v>
      </c>
      <c r="DS33" s="103"/>
      <c r="DV33" s="100"/>
      <c r="DW33" s="21" t="s">
        <v>42</v>
      </c>
      <c r="DX33" s="18"/>
      <c r="DY33" s="18"/>
      <c r="DZ33" s="18"/>
      <c r="EA33" s="18"/>
      <c r="EB33" s="18"/>
      <c r="EC33" s="18"/>
      <c r="ED33" s="18">
        <v>1370</v>
      </c>
      <c r="EE33" s="18">
        <v>5479</v>
      </c>
      <c r="EF33" s="18">
        <v>10959</v>
      </c>
      <c r="EG33" s="18">
        <v>16438</v>
      </c>
      <c r="EH33" s="18">
        <v>20548</v>
      </c>
      <c r="EI33" s="18">
        <v>23288</v>
      </c>
      <c r="EJ33" s="18">
        <v>23288</v>
      </c>
      <c r="EK33" s="18">
        <v>17808</v>
      </c>
      <c r="EL33" s="18">
        <v>10959</v>
      </c>
      <c r="EM33" s="18">
        <v>5479</v>
      </c>
      <c r="EN33" s="18">
        <v>1370</v>
      </c>
      <c r="EO33" s="18"/>
      <c r="EP33" s="18"/>
      <c r="EQ33" s="18"/>
      <c r="ER33" s="18"/>
      <c r="ES33" s="18"/>
      <c r="ET33" s="18"/>
      <c r="EU33" s="18"/>
      <c r="EV33" s="19">
        <f t="shared" si="8"/>
        <v>136986</v>
      </c>
      <c r="EW33" s="38">
        <v>4</v>
      </c>
      <c r="EX33" s="19">
        <f t="shared" si="32"/>
        <v>547944</v>
      </c>
      <c r="EY33" s="103"/>
      <c r="FB33" s="100"/>
      <c r="FC33" s="21" t="s">
        <v>42</v>
      </c>
      <c r="FD33" s="18"/>
      <c r="FE33" s="18"/>
      <c r="FF33" s="18"/>
      <c r="FG33" s="18"/>
      <c r="FH33" s="18"/>
      <c r="FI33" s="18"/>
      <c r="FJ33" s="18">
        <v>1370</v>
      </c>
      <c r="FK33" s="18">
        <v>5479</v>
      </c>
      <c r="FL33" s="18">
        <v>10959</v>
      </c>
      <c r="FM33" s="18">
        <v>16438</v>
      </c>
      <c r="FN33" s="18">
        <v>20548</v>
      </c>
      <c r="FO33" s="18">
        <v>23288</v>
      </c>
      <c r="FP33" s="18">
        <v>23288</v>
      </c>
      <c r="FQ33" s="18">
        <v>17808</v>
      </c>
      <c r="FR33" s="18">
        <v>10959</v>
      </c>
      <c r="FS33" s="18">
        <v>5479</v>
      </c>
      <c r="FT33" s="18">
        <v>1370</v>
      </c>
      <c r="FU33" s="18"/>
      <c r="FV33" s="18"/>
      <c r="FW33" s="18"/>
      <c r="FX33" s="18"/>
      <c r="FY33" s="18"/>
      <c r="FZ33" s="18"/>
      <c r="GA33" s="18"/>
      <c r="GB33" s="19">
        <f t="shared" si="9"/>
        <v>136986</v>
      </c>
      <c r="GC33" s="38">
        <v>3</v>
      </c>
      <c r="GD33" s="19">
        <f t="shared" si="33"/>
        <v>410958</v>
      </c>
      <c r="GE33" s="103"/>
      <c r="GG33" s="100"/>
      <c r="GH33" s="21" t="s">
        <v>42</v>
      </c>
      <c r="GI33" s="18"/>
      <c r="GJ33" s="18"/>
      <c r="GK33" s="18"/>
      <c r="GL33" s="18"/>
      <c r="GM33" s="18"/>
      <c r="GN33" s="18"/>
      <c r="GO33" s="18">
        <v>1366</v>
      </c>
      <c r="GP33" s="18">
        <v>5464</v>
      </c>
      <c r="GQ33" s="18">
        <v>10929</v>
      </c>
      <c r="GR33" s="18">
        <v>16393</v>
      </c>
      <c r="GS33" s="18">
        <v>20492</v>
      </c>
      <c r="GT33" s="18">
        <v>23224</v>
      </c>
      <c r="GU33" s="18">
        <v>23224</v>
      </c>
      <c r="GV33" s="18">
        <v>17760</v>
      </c>
      <c r="GW33" s="18">
        <v>10929</v>
      </c>
      <c r="GX33" s="18">
        <v>5464</v>
      </c>
      <c r="GY33" s="18">
        <v>1366</v>
      </c>
      <c r="GZ33" s="18"/>
      <c r="HA33" s="18"/>
      <c r="HB33" s="18"/>
      <c r="HC33" s="18"/>
      <c r="HD33" s="18"/>
      <c r="HE33" s="18"/>
      <c r="HF33" s="18"/>
      <c r="HG33" s="19">
        <f t="shared" si="11"/>
        <v>136611</v>
      </c>
      <c r="HH33" s="38">
        <v>4</v>
      </c>
      <c r="HI33" s="19">
        <f t="shared" si="34"/>
        <v>546444</v>
      </c>
      <c r="HJ33" s="103"/>
      <c r="HL33" s="100"/>
      <c r="HM33" s="21" t="s">
        <v>42</v>
      </c>
      <c r="HN33" s="18"/>
      <c r="HO33" s="18"/>
      <c r="HP33" s="18"/>
      <c r="HQ33" s="18"/>
      <c r="HR33" s="18"/>
      <c r="HS33" s="18"/>
      <c r="HT33" s="18">
        <v>1370</v>
      </c>
      <c r="HU33" s="18">
        <v>5479</v>
      </c>
      <c r="HV33" s="18">
        <v>10959</v>
      </c>
      <c r="HW33" s="18">
        <v>16438</v>
      </c>
      <c r="HX33" s="18">
        <v>20548</v>
      </c>
      <c r="HY33" s="18">
        <v>23288</v>
      </c>
      <c r="HZ33" s="18">
        <v>23288</v>
      </c>
      <c r="IA33" s="18">
        <v>17808</v>
      </c>
      <c r="IB33" s="18">
        <v>10959</v>
      </c>
      <c r="IC33" s="18">
        <v>5479</v>
      </c>
      <c r="ID33" s="18">
        <v>1370</v>
      </c>
      <c r="IE33" s="18"/>
      <c r="IF33" s="18"/>
      <c r="IG33" s="18"/>
      <c r="IH33" s="18"/>
      <c r="II33" s="18"/>
      <c r="IJ33" s="18"/>
      <c r="IK33" s="18"/>
      <c r="IL33" s="19">
        <f t="shared" si="13"/>
        <v>136986</v>
      </c>
      <c r="IM33" s="38">
        <v>5</v>
      </c>
      <c r="IN33" s="19">
        <f t="shared" si="35"/>
        <v>684930</v>
      </c>
      <c r="IO33" s="103"/>
      <c r="IQ33" s="100"/>
      <c r="IR33" s="21" t="s">
        <v>42</v>
      </c>
      <c r="IS33" s="18"/>
      <c r="IT33" s="18"/>
      <c r="IU33" s="18"/>
      <c r="IV33" s="18"/>
      <c r="IW33" s="18"/>
      <c r="IX33" s="18"/>
      <c r="IY33" s="18">
        <v>1370</v>
      </c>
      <c r="IZ33" s="18">
        <v>5479</v>
      </c>
      <c r="JA33" s="18">
        <v>10959</v>
      </c>
      <c r="JB33" s="18">
        <v>16438</v>
      </c>
      <c r="JC33" s="18">
        <v>20548</v>
      </c>
      <c r="JD33" s="18">
        <v>23288</v>
      </c>
      <c r="JE33" s="18">
        <v>23288</v>
      </c>
      <c r="JF33" s="18">
        <v>17808</v>
      </c>
      <c r="JG33" s="18">
        <v>10959</v>
      </c>
      <c r="JH33" s="18">
        <v>5479</v>
      </c>
      <c r="JI33" s="18">
        <v>1370</v>
      </c>
      <c r="JJ33" s="18"/>
      <c r="JK33" s="18"/>
      <c r="JL33" s="18"/>
      <c r="JM33" s="18"/>
      <c r="JN33" s="18"/>
      <c r="JO33" s="18"/>
      <c r="JP33" s="18"/>
      <c r="JQ33" s="19">
        <f t="shared" si="15"/>
        <v>136986</v>
      </c>
      <c r="JR33" s="38">
        <v>5</v>
      </c>
      <c r="JS33" s="19">
        <f t="shared" si="36"/>
        <v>684930</v>
      </c>
      <c r="JT33" s="103"/>
      <c r="JV33" s="100"/>
      <c r="JW33" s="21" t="s">
        <v>42</v>
      </c>
      <c r="JX33" s="18"/>
      <c r="JY33" s="18"/>
      <c r="JZ33" s="18"/>
      <c r="KA33" s="18"/>
      <c r="KB33" s="18"/>
      <c r="KC33" s="18"/>
      <c r="KD33" s="18"/>
      <c r="KE33" s="18">
        <v>1370</v>
      </c>
      <c r="KF33" s="18">
        <v>5479</v>
      </c>
      <c r="KG33" s="18">
        <v>10959</v>
      </c>
      <c r="KH33" s="18">
        <v>16438</v>
      </c>
      <c r="KI33" s="18">
        <v>20548</v>
      </c>
      <c r="KJ33" s="18">
        <v>23288</v>
      </c>
      <c r="KK33" s="18">
        <v>23288</v>
      </c>
      <c r="KL33" s="18">
        <v>17808</v>
      </c>
      <c r="KM33" s="18">
        <v>10959</v>
      </c>
      <c r="KN33" s="18">
        <v>5479</v>
      </c>
      <c r="KO33" s="18">
        <v>1370</v>
      </c>
      <c r="KP33" s="18"/>
      <c r="KQ33" s="18"/>
      <c r="KR33" s="18"/>
      <c r="KS33" s="18"/>
      <c r="KT33" s="18"/>
      <c r="KU33" s="18"/>
      <c r="KV33" s="19">
        <f t="shared" si="17"/>
        <v>136986</v>
      </c>
      <c r="KW33" s="38">
        <v>5</v>
      </c>
      <c r="KX33" s="19">
        <f t="shared" si="37"/>
        <v>684930</v>
      </c>
      <c r="KY33" s="103"/>
      <c r="LA33" s="100"/>
      <c r="LB33" s="21" t="s">
        <v>42</v>
      </c>
      <c r="LC33" s="18"/>
      <c r="LD33" s="18"/>
      <c r="LE33" s="18"/>
      <c r="LF33" s="18"/>
      <c r="LG33" s="18"/>
      <c r="LH33" s="18"/>
      <c r="LI33" s="18">
        <v>1366</v>
      </c>
      <c r="LJ33" s="18">
        <v>5464</v>
      </c>
      <c r="LK33" s="18">
        <v>10929</v>
      </c>
      <c r="LL33" s="18">
        <v>16393</v>
      </c>
      <c r="LM33" s="18">
        <v>20492</v>
      </c>
      <c r="LN33" s="18">
        <v>23224</v>
      </c>
      <c r="LO33" s="18">
        <v>23224</v>
      </c>
      <c r="LP33" s="18">
        <v>17760</v>
      </c>
      <c r="LQ33" s="18">
        <v>10929</v>
      </c>
      <c r="LR33" s="18">
        <v>5464</v>
      </c>
      <c r="LS33" s="18">
        <v>1366</v>
      </c>
      <c r="LT33" s="18"/>
      <c r="LU33" s="18"/>
      <c r="LV33" s="18"/>
      <c r="LW33" s="18"/>
      <c r="LX33" s="18"/>
      <c r="LY33" s="18"/>
      <c r="LZ33" s="18"/>
      <c r="MA33" s="19">
        <f t="shared" si="19"/>
        <v>136611</v>
      </c>
      <c r="MB33" s="38">
        <v>3</v>
      </c>
      <c r="MC33" s="19">
        <f t="shared" si="38"/>
        <v>409833</v>
      </c>
      <c r="MD33" s="103"/>
      <c r="MF33" s="100"/>
      <c r="MG33" s="21" t="s">
        <v>42</v>
      </c>
      <c r="MH33" s="18"/>
      <c r="MI33" s="18"/>
      <c r="MJ33" s="18"/>
      <c r="MK33" s="18"/>
      <c r="ML33" s="18"/>
      <c r="MM33" s="18"/>
      <c r="MN33" s="18">
        <v>1370</v>
      </c>
      <c r="MO33" s="18">
        <v>5479</v>
      </c>
      <c r="MP33" s="18">
        <v>10959</v>
      </c>
      <c r="MQ33" s="18">
        <v>16438</v>
      </c>
      <c r="MR33" s="18">
        <v>20548</v>
      </c>
      <c r="MS33" s="18">
        <v>23288</v>
      </c>
      <c r="MT33" s="18">
        <v>23288</v>
      </c>
      <c r="MU33" s="18">
        <v>17808</v>
      </c>
      <c r="MV33" s="18">
        <v>10959</v>
      </c>
      <c r="MW33" s="18">
        <v>5479</v>
      </c>
      <c r="MX33" s="18">
        <v>1370</v>
      </c>
      <c r="MY33" s="18"/>
      <c r="MZ33" s="18"/>
      <c r="NA33" s="18"/>
      <c r="NB33" s="18"/>
      <c r="NC33" s="18"/>
      <c r="ND33" s="18"/>
      <c r="NE33" s="18"/>
      <c r="NF33" s="19">
        <f t="shared" si="21"/>
        <v>136986</v>
      </c>
      <c r="NG33" s="38">
        <v>4</v>
      </c>
      <c r="NH33" s="19">
        <f t="shared" si="39"/>
        <v>547944</v>
      </c>
      <c r="NI33" s="103"/>
      <c r="NK33" s="100"/>
      <c r="NL33" s="21" t="s">
        <v>42</v>
      </c>
      <c r="NM33" s="18"/>
      <c r="NN33" s="18"/>
      <c r="NO33" s="18"/>
      <c r="NP33" s="18"/>
      <c r="NQ33" s="18"/>
      <c r="NR33" s="18"/>
      <c r="NS33" s="18">
        <v>1370</v>
      </c>
      <c r="NT33" s="18">
        <v>5479</v>
      </c>
      <c r="NU33" s="18">
        <v>10959</v>
      </c>
      <c r="NV33" s="18">
        <v>16438</v>
      </c>
      <c r="NW33" s="18">
        <v>20548</v>
      </c>
      <c r="NX33" s="18">
        <v>23288</v>
      </c>
      <c r="NY33" s="18">
        <v>23288</v>
      </c>
      <c r="NZ33" s="18">
        <v>17808</v>
      </c>
      <c r="OA33" s="18">
        <v>10959</v>
      </c>
      <c r="OB33" s="18">
        <v>5479</v>
      </c>
      <c r="OC33" s="18">
        <v>1370</v>
      </c>
      <c r="OD33" s="18"/>
      <c r="OE33" s="18"/>
      <c r="OF33" s="18"/>
      <c r="OG33" s="18"/>
      <c r="OH33" s="18"/>
      <c r="OI33" s="18"/>
      <c r="OJ33" s="18"/>
      <c r="OK33" s="19">
        <f t="shared" si="23"/>
        <v>136986</v>
      </c>
      <c r="OL33" s="38">
        <v>4</v>
      </c>
      <c r="OM33" s="19">
        <f t="shared" si="40"/>
        <v>547944</v>
      </c>
      <c r="ON33" s="103"/>
      <c r="OP33" s="100"/>
      <c r="OQ33" s="21" t="s">
        <v>42</v>
      </c>
      <c r="OR33" s="18"/>
      <c r="OS33" s="18"/>
      <c r="OT33" s="18"/>
      <c r="OU33" s="18"/>
      <c r="OV33" s="18"/>
      <c r="OW33" s="18"/>
      <c r="OX33" s="18">
        <v>1370</v>
      </c>
      <c r="OY33" s="18">
        <v>5479</v>
      </c>
      <c r="OZ33" s="18">
        <v>10959</v>
      </c>
      <c r="PA33" s="18">
        <v>16438</v>
      </c>
      <c r="PB33" s="18">
        <v>20548</v>
      </c>
      <c r="PC33" s="18">
        <v>23288</v>
      </c>
      <c r="PD33" s="18">
        <v>23288</v>
      </c>
      <c r="PE33" s="18">
        <v>17808</v>
      </c>
      <c r="PF33" s="18">
        <v>10959</v>
      </c>
      <c r="PG33" s="18">
        <v>5479</v>
      </c>
      <c r="PH33" s="18">
        <v>1370</v>
      </c>
      <c r="PI33" s="18"/>
      <c r="PJ33" s="18"/>
      <c r="PK33" s="18"/>
      <c r="PL33" s="18"/>
      <c r="PM33" s="18"/>
      <c r="PN33" s="18"/>
      <c r="PO33" s="18"/>
      <c r="PP33" s="19">
        <f t="shared" si="25"/>
        <v>136986</v>
      </c>
      <c r="PQ33" s="38">
        <v>5</v>
      </c>
      <c r="PR33" s="19">
        <f t="shared" si="41"/>
        <v>684930</v>
      </c>
      <c r="PS33" s="103"/>
      <c r="PU33" s="100"/>
      <c r="PV33" s="21" t="s">
        <v>42</v>
      </c>
      <c r="PW33" s="18"/>
      <c r="PX33" s="18"/>
      <c r="PY33" s="18"/>
      <c r="PZ33" s="18"/>
      <c r="QA33" s="18"/>
      <c r="QB33" s="18"/>
      <c r="QC33" s="18">
        <v>1366</v>
      </c>
      <c r="QD33" s="18">
        <v>5464</v>
      </c>
      <c r="QE33" s="18">
        <v>10929</v>
      </c>
      <c r="QF33" s="18">
        <v>16393</v>
      </c>
      <c r="QG33" s="18">
        <v>20492</v>
      </c>
      <c r="QH33" s="18">
        <v>23224</v>
      </c>
      <c r="QI33" s="18">
        <v>23224</v>
      </c>
      <c r="QJ33" s="18">
        <v>17760</v>
      </c>
      <c r="QK33" s="18">
        <v>10929</v>
      </c>
      <c r="QL33" s="18">
        <v>5464</v>
      </c>
      <c r="QM33" s="18">
        <v>1366</v>
      </c>
      <c r="QN33" s="18"/>
      <c r="QO33" s="18"/>
      <c r="QP33" s="18"/>
      <c r="QQ33" s="18"/>
      <c r="QR33" s="18"/>
      <c r="QS33" s="18"/>
      <c r="QT33" s="18"/>
      <c r="QU33" s="19">
        <f t="shared" si="27"/>
        <v>136611</v>
      </c>
      <c r="QV33" s="45">
        <v>5</v>
      </c>
      <c r="QW33" s="19">
        <f t="shared" si="42"/>
        <v>683055</v>
      </c>
      <c r="QX33" s="103"/>
    </row>
    <row r="34" spans="1:466" ht="15" thickBot="1" x14ac:dyDescent="0.4">
      <c r="A34" s="101"/>
      <c r="B34" s="22" t="s">
        <v>43</v>
      </c>
      <c r="C34" s="18"/>
      <c r="D34" s="18"/>
      <c r="E34" s="18"/>
      <c r="F34" s="18"/>
      <c r="G34" s="18"/>
      <c r="H34" s="18"/>
      <c r="I34" s="18">
        <v>1370</v>
      </c>
      <c r="J34" s="18">
        <v>5479</v>
      </c>
      <c r="K34" s="18">
        <v>10959</v>
      </c>
      <c r="L34" s="18">
        <v>16438</v>
      </c>
      <c r="M34" s="18">
        <v>20548</v>
      </c>
      <c r="N34" s="18">
        <v>23288</v>
      </c>
      <c r="O34" s="18">
        <v>23288</v>
      </c>
      <c r="P34" s="18">
        <v>17808</v>
      </c>
      <c r="Q34" s="18">
        <v>10959</v>
      </c>
      <c r="R34" s="18">
        <v>5479</v>
      </c>
      <c r="S34" s="18">
        <v>1370</v>
      </c>
      <c r="T34" s="18"/>
      <c r="U34" s="18"/>
      <c r="V34" s="18"/>
      <c r="W34" s="18"/>
      <c r="X34" s="18"/>
      <c r="Y34" s="18"/>
      <c r="Z34" s="18"/>
      <c r="AA34" s="19">
        <f t="shared" si="0"/>
        <v>136986</v>
      </c>
      <c r="AB34" s="39">
        <v>1</v>
      </c>
      <c r="AC34" s="19">
        <f t="shared" si="1"/>
        <v>136986</v>
      </c>
      <c r="AD34" s="104"/>
      <c r="AF34" s="101"/>
      <c r="AG34" s="22" t="s">
        <v>43</v>
      </c>
      <c r="AH34" s="18"/>
      <c r="AI34" s="18"/>
      <c r="AJ34" s="18"/>
      <c r="AK34" s="18"/>
      <c r="AL34" s="18"/>
      <c r="AM34" s="18"/>
      <c r="AN34" s="18">
        <v>1370</v>
      </c>
      <c r="AO34" s="18">
        <v>5479</v>
      </c>
      <c r="AP34" s="18">
        <v>10959</v>
      </c>
      <c r="AQ34" s="18">
        <v>16438</v>
      </c>
      <c r="AR34" s="18">
        <v>20548</v>
      </c>
      <c r="AS34" s="18">
        <v>23288</v>
      </c>
      <c r="AT34" s="18">
        <v>23288</v>
      </c>
      <c r="AU34" s="18">
        <v>17808</v>
      </c>
      <c r="AV34" s="18">
        <v>10959</v>
      </c>
      <c r="AW34" s="18">
        <v>5479</v>
      </c>
      <c r="AX34" s="18">
        <v>1370</v>
      </c>
      <c r="AY34" s="18"/>
      <c r="AZ34" s="18"/>
      <c r="BA34" s="18"/>
      <c r="BB34" s="18"/>
      <c r="BC34" s="18"/>
      <c r="BD34" s="18"/>
      <c r="BE34" s="18"/>
      <c r="BF34" s="19">
        <f t="shared" si="2"/>
        <v>136986</v>
      </c>
      <c r="BG34" s="39">
        <v>2</v>
      </c>
      <c r="BH34" s="19">
        <f t="shared" si="29"/>
        <v>273972</v>
      </c>
      <c r="BI34" s="104"/>
      <c r="BK34" s="101"/>
      <c r="BL34" s="22" t="s">
        <v>43</v>
      </c>
      <c r="BM34" s="18"/>
      <c r="BN34" s="18"/>
      <c r="BO34" s="18"/>
      <c r="BP34" s="18"/>
      <c r="BQ34" s="18"/>
      <c r="BR34" s="18"/>
      <c r="BS34" s="18">
        <v>1366</v>
      </c>
      <c r="BT34" s="18">
        <v>5464</v>
      </c>
      <c r="BU34" s="18">
        <v>10929</v>
      </c>
      <c r="BV34" s="18">
        <v>16393</v>
      </c>
      <c r="BW34" s="18">
        <v>20492</v>
      </c>
      <c r="BX34" s="18">
        <v>23224</v>
      </c>
      <c r="BY34" s="18">
        <v>23224</v>
      </c>
      <c r="BZ34" s="18">
        <v>17760</v>
      </c>
      <c r="CA34" s="18">
        <v>10929</v>
      </c>
      <c r="CB34" s="18">
        <v>5464</v>
      </c>
      <c r="CC34" s="18">
        <v>1366</v>
      </c>
      <c r="CD34" s="18"/>
      <c r="CE34" s="18"/>
      <c r="CF34" s="18"/>
      <c r="CG34" s="18"/>
      <c r="CH34" s="18"/>
      <c r="CI34" s="18"/>
      <c r="CJ34" s="18"/>
      <c r="CK34" s="19">
        <f t="shared" si="4"/>
        <v>136611</v>
      </c>
      <c r="CL34" s="39">
        <v>2</v>
      </c>
      <c r="CM34" s="19">
        <f t="shared" si="30"/>
        <v>273222</v>
      </c>
      <c r="CN34" s="104"/>
      <c r="CP34" s="101"/>
      <c r="CQ34" s="22" t="s">
        <v>43</v>
      </c>
      <c r="CR34" s="18"/>
      <c r="CS34" s="18"/>
      <c r="CT34" s="18"/>
      <c r="CU34" s="18"/>
      <c r="CV34" s="18"/>
      <c r="CW34" s="18"/>
      <c r="CX34" s="18">
        <v>1370</v>
      </c>
      <c r="CY34" s="18">
        <v>5479</v>
      </c>
      <c r="CZ34" s="18">
        <v>10959</v>
      </c>
      <c r="DA34" s="18">
        <v>16438</v>
      </c>
      <c r="DB34" s="18">
        <v>20548</v>
      </c>
      <c r="DC34" s="18">
        <v>23288</v>
      </c>
      <c r="DD34" s="18">
        <v>23288</v>
      </c>
      <c r="DE34" s="18">
        <v>17808</v>
      </c>
      <c r="DF34" s="18">
        <v>10959</v>
      </c>
      <c r="DG34" s="18">
        <v>5479</v>
      </c>
      <c r="DH34" s="18">
        <v>1370</v>
      </c>
      <c r="DI34" s="18"/>
      <c r="DJ34" s="18"/>
      <c r="DK34" s="18"/>
      <c r="DL34" s="18"/>
      <c r="DM34" s="18"/>
      <c r="DN34" s="18"/>
      <c r="DO34" s="18"/>
      <c r="DP34" s="19">
        <f t="shared" si="6"/>
        <v>136986</v>
      </c>
      <c r="DQ34" s="39">
        <v>2</v>
      </c>
      <c r="DR34" s="19">
        <f t="shared" si="31"/>
        <v>273972</v>
      </c>
      <c r="DS34" s="104"/>
      <c r="DV34" s="101"/>
      <c r="DW34" s="22" t="s">
        <v>43</v>
      </c>
      <c r="DX34" s="18"/>
      <c r="DY34" s="18"/>
      <c r="DZ34" s="18"/>
      <c r="EA34" s="18"/>
      <c r="EB34" s="18"/>
      <c r="EC34" s="18"/>
      <c r="ED34" s="18">
        <v>1370</v>
      </c>
      <c r="EE34" s="18">
        <v>5479</v>
      </c>
      <c r="EF34" s="18">
        <v>10959</v>
      </c>
      <c r="EG34" s="18">
        <v>16438</v>
      </c>
      <c r="EH34" s="18">
        <v>20548</v>
      </c>
      <c r="EI34" s="18">
        <v>23288</v>
      </c>
      <c r="EJ34" s="18">
        <v>23288</v>
      </c>
      <c r="EK34" s="18">
        <v>17808</v>
      </c>
      <c r="EL34" s="18">
        <v>10959</v>
      </c>
      <c r="EM34" s="18">
        <v>5479</v>
      </c>
      <c r="EN34" s="18">
        <v>1370</v>
      </c>
      <c r="EO34" s="18"/>
      <c r="EP34" s="18"/>
      <c r="EQ34" s="18"/>
      <c r="ER34" s="18"/>
      <c r="ES34" s="18"/>
      <c r="ET34" s="18"/>
      <c r="EU34" s="18"/>
      <c r="EV34" s="19">
        <f t="shared" si="8"/>
        <v>136986</v>
      </c>
      <c r="EW34" s="39">
        <v>2</v>
      </c>
      <c r="EX34" s="19">
        <f t="shared" si="32"/>
        <v>273972</v>
      </c>
      <c r="EY34" s="104"/>
      <c r="FB34" s="101"/>
      <c r="FC34" s="22" t="s">
        <v>43</v>
      </c>
      <c r="FD34" s="18"/>
      <c r="FE34" s="18"/>
      <c r="FF34" s="18"/>
      <c r="FG34" s="18"/>
      <c r="FH34" s="18"/>
      <c r="FI34" s="18"/>
      <c r="FJ34" s="18">
        <v>1370</v>
      </c>
      <c r="FK34" s="18">
        <v>5479</v>
      </c>
      <c r="FL34" s="18">
        <v>10959</v>
      </c>
      <c r="FM34" s="18">
        <v>16438</v>
      </c>
      <c r="FN34" s="18">
        <v>20548</v>
      </c>
      <c r="FO34" s="18">
        <v>23288</v>
      </c>
      <c r="FP34" s="18">
        <v>23288</v>
      </c>
      <c r="FQ34" s="18">
        <v>17808</v>
      </c>
      <c r="FR34" s="18">
        <v>10959</v>
      </c>
      <c r="FS34" s="18">
        <v>5479</v>
      </c>
      <c r="FT34" s="18">
        <v>1370</v>
      </c>
      <c r="FU34" s="18"/>
      <c r="FV34" s="18"/>
      <c r="FW34" s="18"/>
      <c r="FX34" s="18"/>
      <c r="FY34" s="18"/>
      <c r="FZ34" s="18"/>
      <c r="GA34" s="18"/>
      <c r="GB34" s="19">
        <f t="shared" si="9"/>
        <v>136986</v>
      </c>
      <c r="GC34" s="39">
        <v>1</v>
      </c>
      <c r="GD34" s="19">
        <f t="shared" si="33"/>
        <v>136986</v>
      </c>
      <c r="GE34" s="104"/>
      <c r="GG34" s="101"/>
      <c r="GH34" s="22" t="s">
        <v>43</v>
      </c>
      <c r="GI34" s="18"/>
      <c r="GJ34" s="18"/>
      <c r="GK34" s="18"/>
      <c r="GL34" s="18"/>
      <c r="GM34" s="18"/>
      <c r="GN34" s="18"/>
      <c r="GO34" s="18">
        <v>1366</v>
      </c>
      <c r="GP34" s="18">
        <v>5464</v>
      </c>
      <c r="GQ34" s="18">
        <v>10929</v>
      </c>
      <c r="GR34" s="18">
        <v>16393</v>
      </c>
      <c r="GS34" s="18">
        <v>20492</v>
      </c>
      <c r="GT34" s="18">
        <v>23224</v>
      </c>
      <c r="GU34" s="18">
        <v>23224</v>
      </c>
      <c r="GV34" s="18">
        <v>17760</v>
      </c>
      <c r="GW34" s="18">
        <v>10929</v>
      </c>
      <c r="GX34" s="18">
        <v>5464</v>
      </c>
      <c r="GY34" s="18">
        <v>1366</v>
      </c>
      <c r="GZ34" s="18"/>
      <c r="HA34" s="18"/>
      <c r="HB34" s="18"/>
      <c r="HC34" s="18"/>
      <c r="HD34" s="18"/>
      <c r="HE34" s="18"/>
      <c r="HF34" s="18"/>
      <c r="HG34" s="19">
        <f t="shared" si="11"/>
        <v>136611</v>
      </c>
      <c r="HH34" s="39">
        <v>2</v>
      </c>
      <c r="HI34" s="19">
        <f t="shared" si="34"/>
        <v>273222</v>
      </c>
      <c r="HJ34" s="104"/>
      <c r="HL34" s="101"/>
      <c r="HM34" s="22" t="s">
        <v>43</v>
      </c>
      <c r="HN34" s="18"/>
      <c r="HO34" s="18"/>
      <c r="HP34" s="18"/>
      <c r="HQ34" s="18"/>
      <c r="HR34" s="18"/>
      <c r="HS34" s="18"/>
      <c r="HT34" s="18">
        <v>1370</v>
      </c>
      <c r="HU34" s="18">
        <v>5479</v>
      </c>
      <c r="HV34" s="18">
        <v>10959</v>
      </c>
      <c r="HW34" s="18">
        <v>16438</v>
      </c>
      <c r="HX34" s="18">
        <v>20548</v>
      </c>
      <c r="HY34" s="18">
        <v>23288</v>
      </c>
      <c r="HZ34" s="18">
        <v>23288</v>
      </c>
      <c r="IA34" s="18">
        <v>17808</v>
      </c>
      <c r="IB34" s="18">
        <v>10959</v>
      </c>
      <c r="IC34" s="18">
        <v>5479</v>
      </c>
      <c r="ID34" s="18">
        <v>1370</v>
      </c>
      <c r="IE34" s="18"/>
      <c r="IF34" s="18"/>
      <c r="IG34" s="18"/>
      <c r="IH34" s="18"/>
      <c r="II34" s="18"/>
      <c r="IJ34" s="18"/>
      <c r="IK34" s="18"/>
      <c r="IL34" s="19">
        <f t="shared" si="13"/>
        <v>136986</v>
      </c>
      <c r="IM34" s="39">
        <v>2</v>
      </c>
      <c r="IN34" s="19">
        <f t="shared" si="35"/>
        <v>273972</v>
      </c>
      <c r="IO34" s="104"/>
      <c r="IQ34" s="101"/>
      <c r="IR34" s="22" t="s">
        <v>43</v>
      </c>
      <c r="IS34" s="18"/>
      <c r="IT34" s="18"/>
      <c r="IU34" s="18"/>
      <c r="IV34" s="18"/>
      <c r="IW34" s="18"/>
      <c r="IX34" s="18"/>
      <c r="IY34" s="18">
        <v>1370</v>
      </c>
      <c r="IZ34" s="18">
        <v>5479</v>
      </c>
      <c r="JA34" s="18">
        <v>10959</v>
      </c>
      <c r="JB34" s="18">
        <v>16438</v>
      </c>
      <c r="JC34" s="18">
        <v>20548</v>
      </c>
      <c r="JD34" s="18">
        <v>23288</v>
      </c>
      <c r="JE34" s="18">
        <v>23288</v>
      </c>
      <c r="JF34" s="18">
        <v>17808</v>
      </c>
      <c r="JG34" s="18">
        <v>10959</v>
      </c>
      <c r="JH34" s="18">
        <v>5479</v>
      </c>
      <c r="JI34" s="18">
        <v>1370</v>
      </c>
      <c r="JJ34" s="18"/>
      <c r="JK34" s="18"/>
      <c r="JL34" s="18"/>
      <c r="JM34" s="18"/>
      <c r="JN34" s="18"/>
      <c r="JO34" s="18"/>
      <c r="JP34" s="18"/>
      <c r="JQ34" s="19">
        <f t="shared" si="15"/>
        <v>136986</v>
      </c>
      <c r="JR34" s="39">
        <v>2</v>
      </c>
      <c r="JS34" s="19">
        <f t="shared" si="36"/>
        <v>273972</v>
      </c>
      <c r="JT34" s="104"/>
      <c r="JV34" s="101"/>
      <c r="JW34" s="22" t="s">
        <v>43</v>
      </c>
      <c r="JX34" s="18"/>
      <c r="JY34" s="18"/>
      <c r="JZ34" s="18"/>
      <c r="KA34" s="18"/>
      <c r="KB34" s="18"/>
      <c r="KC34" s="18"/>
      <c r="KD34" s="18"/>
      <c r="KE34" s="18">
        <v>1370</v>
      </c>
      <c r="KF34" s="18">
        <v>5479</v>
      </c>
      <c r="KG34" s="18">
        <v>10959</v>
      </c>
      <c r="KH34" s="18">
        <v>16438</v>
      </c>
      <c r="KI34" s="18">
        <v>20548</v>
      </c>
      <c r="KJ34" s="18">
        <v>23288</v>
      </c>
      <c r="KK34" s="18">
        <v>23288</v>
      </c>
      <c r="KL34" s="18">
        <v>17808</v>
      </c>
      <c r="KM34" s="18">
        <v>10959</v>
      </c>
      <c r="KN34" s="18">
        <v>5479</v>
      </c>
      <c r="KO34" s="18">
        <v>1370</v>
      </c>
      <c r="KP34" s="18"/>
      <c r="KQ34" s="18"/>
      <c r="KR34" s="18"/>
      <c r="KS34" s="18"/>
      <c r="KT34" s="18"/>
      <c r="KU34" s="18"/>
      <c r="KV34" s="19">
        <f t="shared" si="17"/>
        <v>136986</v>
      </c>
      <c r="KW34" s="39">
        <v>2</v>
      </c>
      <c r="KX34" s="19">
        <f t="shared" si="37"/>
        <v>273972</v>
      </c>
      <c r="KY34" s="104"/>
      <c r="LA34" s="101"/>
      <c r="LB34" s="22" t="s">
        <v>43</v>
      </c>
      <c r="LC34" s="18"/>
      <c r="LD34" s="18"/>
      <c r="LE34" s="18"/>
      <c r="LF34" s="18"/>
      <c r="LG34" s="18"/>
      <c r="LH34" s="18"/>
      <c r="LI34" s="18">
        <v>1366</v>
      </c>
      <c r="LJ34" s="18">
        <v>5464</v>
      </c>
      <c r="LK34" s="18">
        <v>10929</v>
      </c>
      <c r="LL34" s="18">
        <v>16393</v>
      </c>
      <c r="LM34" s="18">
        <v>20492</v>
      </c>
      <c r="LN34" s="18">
        <v>23224</v>
      </c>
      <c r="LO34" s="18">
        <v>23224</v>
      </c>
      <c r="LP34" s="18">
        <v>17760</v>
      </c>
      <c r="LQ34" s="18">
        <v>10929</v>
      </c>
      <c r="LR34" s="18">
        <v>5464</v>
      </c>
      <c r="LS34" s="18">
        <v>1366</v>
      </c>
      <c r="LT34" s="18"/>
      <c r="LU34" s="18"/>
      <c r="LV34" s="18"/>
      <c r="LW34" s="18"/>
      <c r="LX34" s="18"/>
      <c r="LY34" s="18"/>
      <c r="LZ34" s="18"/>
      <c r="MA34" s="19">
        <f t="shared" si="19"/>
        <v>136611</v>
      </c>
      <c r="MB34" s="39">
        <v>1</v>
      </c>
      <c r="MC34" s="19">
        <f t="shared" si="38"/>
        <v>136611</v>
      </c>
      <c r="MD34" s="104"/>
      <c r="MF34" s="101"/>
      <c r="MG34" s="22" t="s">
        <v>43</v>
      </c>
      <c r="MH34" s="18"/>
      <c r="MI34" s="18"/>
      <c r="MJ34" s="18"/>
      <c r="MK34" s="18"/>
      <c r="ML34" s="18"/>
      <c r="MM34" s="18"/>
      <c r="MN34" s="18">
        <v>1370</v>
      </c>
      <c r="MO34" s="18">
        <v>5479</v>
      </c>
      <c r="MP34" s="18">
        <v>10959</v>
      </c>
      <c r="MQ34" s="18">
        <v>16438</v>
      </c>
      <c r="MR34" s="18">
        <v>20548</v>
      </c>
      <c r="MS34" s="18">
        <v>23288</v>
      </c>
      <c r="MT34" s="18">
        <v>23288</v>
      </c>
      <c r="MU34" s="18">
        <v>17808</v>
      </c>
      <c r="MV34" s="18">
        <v>10959</v>
      </c>
      <c r="MW34" s="18">
        <v>5479</v>
      </c>
      <c r="MX34" s="18">
        <v>1370</v>
      </c>
      <c r="MY34" s="18"/>
      <c r="MZ34" s="18"/>
      <c r="NA34" s="18"/>
      <c r="NB34" s="18"/>
      <c r="NC34" s="18"/>
      <c r="ND34" s="18"/>
      <c r="NE34" s="18"/>
      <c r="NF34" s="19">
        <f t="shared" si="21"/>
        <v>136986</v>
      </c>
      <c r="NG34" s="39">
        <v>1</v>
      </c>
      <c r="NH34" s="19">
        <f t="shared" si="39"/>
        <v>136986</v>
      </c>
      <c r="NI34" s="104"/>
      <c r="NK34" s="101"/>
      <c r="NL34" s="22" t="s">
        <v>43</v>
      </c>
      <c r="NM34" s="18"/>
      <c r="NN34" s="18"/>
      <c r="NO34" s="18"/>
      <c r="NP34" s="18"/>
      <c r="NQ34" s="18"/>
      <c r="NR34" s="18"/>
      <c r="NS34" s="18">
        <v>1370</v>
      </c>
      <c r="NT34" s="18">
        <v>5479</v>
      </c>
      <c r="NU34" s="18">
        <v>10959</v>
      </c>
      <c r="NV34" s="18">
        <v>16438</v>
      </c>
      <c r="NW34" s="18">
        <v>20548</v>
      </c>
      <c r="NX34" s="18">
        <v>23288</v>
      </c>
      <c r="NY34" s="18">
        <v>23288</v>
      </c>
      <c r="NZ34" s="18">
        <v>17808</v>
      </c>
      <c r="OA34" s="18">
        <v>10959</v>
      </c>
      <c r="OB34" s="18">
        <v>5479</v>
      </c>
      <c r="OC34" s="18">
        <v>1370</v>
      </c>
      <c r="OD34" s="18"/>
      <c r="OE34" s="18"/>
      <c r="OF34" s="18"/>
      <c r="OG34" s="18"/>
      <c r="OH34" s="18"/>
      <c r="OI34" s="18"/>
      <c r="OJ34" s="18"/>
      <c r="OK34" s="19">
        <f t="shared" si="23"/>
        <v>136986</v>
      </c>
      <c r="OL34" s="39">
        <v>2</v>
      </c>
      <c r="OM34" s="19">
        <f t="shared" si="40"/>
        <v>273972</v>
      </c>
      <c r="ON34" s="104"/>
      <c r="OP34" s="101"/>
      <c r="OQ34" s="22" t="s">
        <v>43</v>
      </c>
      <c r="OR34" s="18"/>
      <c r="OS34" s="18"/>
      <c r="OT34" s="18"/>
      <c r="OU34" s="18"/>
      <c r="OV34" s="18"/>
      <c r="OW34" s="18"/>
      <c r="OX34" s="18">
        <v>1370</v>
      </c>
      <c r="OY34" s="18">
        <v>5479</v>
      </c>
      <c r="OZ34" s="18">
        <v>10959</v>
      </c>
      <c r="PA34" s="18">
        <v>16438</v>
      </c>
      <c r="PB34" s="18">
        <v>20548</v>
      </c>
      <c r="PC34" s="18">
        <v>23288</v>
      </c>
      <c r="PD34" s="18">
        <v>23288</v>
      </c>
      <c r="PE34" s="18">
        <v>17808</v>
      </c>
      <c r="PF34" s="18">
        <v>10959</v>
      </c>
      <c r="PG34" s="18">
        <v>5479</v>
      </c>
      <c r="PH34" s="18">
        <v>1370</v>
      </c>
      <c r="PI34" s="18"/>
      <c r="PJ34" s="18"/>
      <c r="PK34" s="18"/>
      <c r="PL34" s="18"/>
      <c r="PM34" s="18"/>
      <c r="PN34" s="18"/>
      <c r="PO34" s="18"/>
      <c r="PP34" s="19">
        <f t="shared" si="25"/>
        <v>136986</v>
      </c>
      <c r="PQ34" s="39">
        <v>2</v>
      </c>
      <c r="PR34" s="19">
        <f t="shared" si="41"/>
        <v>273972</v>
      </c>
      <c r="PS34" s="104"/>
      <c r="PU34" s="101"/>
      <c r="PV34" s="22" t="s">
        <v>43</v>
      </c>
      <c r="PW34" s="18"/>
      <c r="PX34" s="18"/>
      <c r="PY34" s="18"/>
      <c r="PZ34" s="18"/>
      <c r="QA34" s="18"/>
      <c r="QB34" s="18"/>
      <c r="QC34" s="18">
        <v>1366</v>
      </c>
      <c r="QD34" s="18">
        <v>5464</v>
      </c>
      <c r="QE34" s="18">
        <v>10929</v>
      </c>
      <c r="QF34" s="18">
        <v>16393</v>
      </c>
      <c r="QG34" s="18">
        <v>20492</v>
      </c>
      <c r="QH34" s="18">
        <v>23224</v>
      </c>
      <c r="QI34" s="18">
        <v>23224</v>
      </c>
      <c r="QJ34" s="18">
        <v>17760</v>
      </c>
      <c r="QK34" s="18">
        <v>10929</v>
      </c>
      <c r="QL34" s="18">
        <v>5464</v>
      </c>
      <c r="QM34" s="18">
        <v>1366</v>
      </c>
      <c r="QN34" s="18"/>
      <c r="QO34" s="18"/>
      <c r="QP34" s="18"/>
      <c r="QQ34" s="18"/>
      <c r="QR34" s="18"/>
      <c r="QS34" s="18"/>
      <c r="QT34" s="18"/>
      <c r="QU34" s="19">
        <f t="shared" si="27"/>
        <v>136611</v>
      </c>
      <c r="QV34" s="47">
        <v>2</v>
      </c>
      <c r="QW34" s="19">
        <f t="shared" si="42"/>
        <v>273222</v>
      </c>
      <c r="QX34" s="104"/>
    </row>
    <row r="35" spans="1:466" x14ac:dyDescent="0.35">
      <c r="A35" s="99">
        <v>46235</v>
      </c>
      <c r="B35" s="17" t="s">
        <v>40</v>
      </c>
      <c r="C35" s="18"/>
      <c r="D35" s="18"/>
      <c r="E35" s="18"/>
      <c r="F35" s="18"/>
      <c r="G35" s="18"/>
      <c r="H35" s="18"/>
      <c r="I35" s="18">
        <v>1370</v>
      </c>
      <c r="J35" s="18">
        <v>5479</v>
      </c>
      <c r="K35" s="18">
        <v>10959</v>
      </c>
      <c r="L35" s="18">
        <v>16438</v>
      </c>
      <c r="M35" s="18">
        <v>20548</v>
      </c>
      <c r="N35" s="18">
        <v>23288</v>
      </c>
      <c r="O35" s="18">
        <v>23288</v>
      </c>
      <c r="P35" s="18">
        <v>17808</v>
      </c>
      <c r="Q35" s="18">
        <v>10959</v>
      </c>
      <c r="R35" s="18">
        <v>5479</v>
      </c>
      <c r="S35" s="18">
        <v>1370</v>
      </c>
      <c r="T35" s="18"/>
      <c r="U35" s="18"/>
      <c r="V35" s="18"/>
      <c r="W35" s="18"/>
      <c r="X35" s="18"/>
      <c r="Y35" s="18"/>
      <c r="Z35" s="18"/>
      <c r="AA35" s="19">
        <f t="shared" si="0"/>
        <v>136986</v>
      </c>
      <c r="AB35" s="37">
        <v>19</v>
      </c>
      <c r="AC35" s="19">
        <f t="shared" si="1"/>
        <v>2602734</v>
      </c>
      <c r="AD35" s="102">
        <f>+SUM(AC35:AC38)</f>
        <v>4246566</v>
      </c>
      <c r="AF35" s="99">
        <v>46600</v>
      </c>
      <c r="AG35" s="17" t="s">
        <v>40</v>
      </c>
      <c r="AH35" s="18"/>
      <c r="AI35" s="18"/>
      <c r="AJ35" s="18"/>
      <c r="AK35" s="18"/>
      <c r="AL35" s="18"/>
      <c r="AM35" s="18"/>
      <c r="AN35" s="18">
        <v>1370</v>
      </c>
      <c r="AO35" s="18">
        <v>5479</v>
      </c>
      <c r="AP35" s="18">
        <v>10959</v>
      </c>
      <c r="AQ35" s="18">
        <v>16438</v>
      </c>
      <c r="AR35" s="18">
        <v>20548</v>
      </c>
      <c r="AS35" s="18">
        <v>23288</v>
      </c>
      <c r="AT35" s="18">
        <v>23288</v>
      </c>
      <c r="AU35" s="18">
        <v>17808</v>
      </c>
      <c r="AV35" s="18">
        <v>10959</v>
      </c>
      <c r="AW35" s="18">
        <v>5479</v>
      </c>
      <c r="AX35" s="18">
        <v>1370</v>
      </c>
      <c r="AY35" s="18"/>
      <c r="AZ35" s="18"/>
      <c r="BA35" s="18"/>
      <c r="BB35" s="18"/>
      <c r="BC35" s="18"/>
      <c r="BD35" s="18"/>
      <c r="BE35" s="18"/>
      <c r="BF35" s="19">
        <f t="shared" si="2"/>
        <v>136986</v>
      </c>
      <c r="BG35" s="37">
        <v>21</v>
      </c>
      <c r="BH35" s="19">
        <f t="shared" si="29"/>
        <v>2876706</v>
      </c>
      <c r="BI35" s="102">
        <f>+SUM(BH35:BH38)</f>
        <v>4246566</v>
      </c>
      <c r="BK35" s="99">
        <v>46966</v>
      </c>
      <c r="BL35" s="17" t="s">
        <v>40</v>
      </c>
      <c r="BM35" s="18"/>
      <c r="BN35" s="18"/>
      <c r="BO35" s="18"/>
      <c r="BP35" s="18"/>
      <c r="BQ35" s="18"/>
      <c r="BR35" s="18"/>
      <c r="BS35" s="18">
        <v>1366</v>
      </c>
      <c r="BT35" s="18">
        <v>5464</v>
      </c>
      <c r="BU35" s="18">
        <v>10929</v>
      </c>
      <c r="BV35" s="18">
        <v>16393</v>
      </c>
      <c r="BW35" s="18">
        <v>20492</v>
      </c>
      <c r="BX35" s="18">
        <v>23224</v>
      </c>
      <c r="BY35" s="18">
        <v>23224</v>
      </c>
      <c r="BZ35" s="18">
        <v>17760</v>
      </c>
      <c r="CA35" s="18">
        <v>10929</v>
      </c>
      <c r="CB35" s="18">
        <v>5464</v>
      </c>
      <c r="CC35" s="18">
        <v>1366</v>
      </c>
      <c r="CD35" s="18"/>
      <c r="CE35" s="18"/>
      <c r="CF35" s="18"/>
      <c r="CG35" s="18"/>
      <c r="CH35" s="18"/>
      <c r="CI35" s="18"/>
      <c r="CJ35" s="18"/>
      <c r="CK35" s="19">
        <f t="shared" si="4"/>
        <v>136611</v>
      </c>
      <c r="CL35" s="37">
        <v>21</v>
      </c>
      <c r="CM35" s="19">
        <f t="shared" si="30"/>
        <v>2868831</v>
      </c>
      <c r="CN35" s="102">
        <f>+SUM(CM35:CM38)</f>
        <v>4234941</v>
      </c>
      <c r="CP35" s="99">
        <v>47331</v>
      </c>
      <c r="CQ35" s="17" t="s">
        <v>40</v>
      </c>
      <c r="CR35" s="18"/>
      <c r="CS35" s="18"/>
      <c r="CT35" s="18"/>
      <c r="CU35" s="18"/>
      <c r="CV35" s="18"/>
      <c r="CW35" s="18"/>
      <c r="CX35" s="18">
        <v>1370</v>
      </c>
      <c r="CY35" s="18">
        <v>5479</v>
      </c>
      <c r="CZ35" s="18">
        <v>10959</v>
      </c>
      <c r="DA35" s="18">
        <v>16438</v>
      </c>
      <c r="DB35" s="18">
        <v>20548</v>
      </c>
      <c r="DC35" s="18">
        <v>23288</v>
      </c>
      <c r="DD35" s="18">
        <v>23288</v>
      </c>
      <c r="DE35" s="18">
        <v>17808</v>
      </c>
      <c r="DF35" s="18">
        <v>10959</v>
      </c>
      <c r="DG35" s="18">
        <v>5479</v>
      </c>
      <c r="DH35" s="18">
        <v>1370</v>
      </c>
      <c r="DI35" s="18"/>
      <c r="DJ35" s="18"/>
      <c r="DK35" s="18"/>
      <c r="DL35" s="18"/>
      <c r="DM35" s="18"/>
      <c r="DN35" s="18"/>
      <c r="DO35" s="18"/>
      <c r="DP35" s="19">
        <f t="shared" si="6"/>
        <v>136986</v>
      </c>
      <c r="DQ35" s="37">
        <v>21</v>
      </c>
      <c r="DR35" s="19">
        <f t="shared" si="31"/>
        <v>2876706</v>
      </c>
      <c r="DS35" s="102">
        <f>+SUM(DR35:DR38)</f>
        <v>4246566</v>
      </c>
      <c r="DV35" s="99">
        <v>47696</v>
      </c>
      <c r="DW35" s="17" t="s">
        <v>40</v>
      </c>
      <c r="DX35" s="18"/>
      <c r="DY35" s="18"/>
      <c r="DZ35" s="18"/>
      <c r="EA35" s="18"/>
      <c r="EB35" s="18"/>
      <c r="EC35" s="18"/>
      <c r="ED35" s="18">
        <v>1370</v>
      </c>
      <c r="EE35" s="18">
        <v>5479</v>
      </c>
      <c r="EF35" s="18">
        <v>10959</v>
      </c>
      <c r="EG35" s="18">
        <v>16438</v>
      </c>
      <c r="EH35" s="18">
        <v>20548</v>
      </c>
      <c r="EI35" s="18">
        <v>23288</v>
      </c>
      <c r="EJ35" s="18">
        <v>23288</v>
      </c>
      <c r="EK35" s="18">
        <v>17808</v>
      </c>
      <c r="EL35" s="18">
        <v>10959</v>
      </c>
      <c r="EM35" s="18">
        <v>5479</v>
      </c>
      <c r="EN35" s="18">
        <v>1370</v>
      </c>
      <c r="EO35" s="18"/>
      <c r="EP35" s="18"/>
      <c r="EQ35" s="18"/>
      <c r="ER35" s="18"/>
      <c r="ES35" s="18"/>
      <c r="ET35" s="18"/>
      <c r="EU35" s="18"/>
      <c r="EV35" s="19">
        <f t="shared" si="8"/>
        <v>136986</v>
      </c>
      <c r="EW35" s="37">
        <v>20</v>
      </c>
      <c r="EX35" s="19">
        <f t="shared" si="32"/>
        <v>2739720</v>
      </c>
      <c r="EY35" s="102">
        <f>+SUM(EX35:EX38)</f>
        <v>4246566</v>
      </c>
      <c r="FB35" s="99">
        <v>48061</v>
      </c>
      <c r="FC35" s="17" t="s">
        <v>40</v>
      </c>
      <c r="FD35" s="18"/>
      <c r="FE35" s="18"/>
      <c r="FF35" s="18"/>
      <c r="FG35" s="18"/>
      <c r="FH35" s="18"/>
      <c r="FI35" s="18"/>
      <c r="FJ35" s="18">
        <v>1370</v>
      </c>
      <c r="FK35" s="18">
        <v>5479</v>
      </c>
      <c r="FL35" s="18">
        <v>10959</v>
      </c>
      <c r="FM35" s="18">
        <v>16438</v>
      </c>
      <c r="FN35" s="18">
        <v>20548</v>
      </c>
      <c r="FO35" s="18">
        <v>23288</v>
      </c>
      <c r="FP35" s="18">
        <v>23288</v>
      </c>
      <c r="FQ35" s="18">
        <v>17808</v>
      </c>
      <c r="FR35" s="18">
        <v>10959</v>
      </c>
      <c r="FS35" s="18">
        <v>5479</v>
      </c>
      <c r="FT35" s="18">
        <v>1370</v>
      </c>
      <c r="FU35" s="18"/>
      <c r="FV35" s="18"/>
      <c r="FW35" s="18"/>
      <c r="FX35" s="18"/>
      <c r="FY35" s="18"/>
      <c r="FZ35" s="18"/>
      <c r="GA35" s="18"/>
      <c r="GB35" s="19">
        <f t="shared" si="9"/>
        <v>136986</v>
      </c>
      <c r="GC35" s="37">
        <v>19</v>
      </c>
      <c r="GD35" s="19">
        <f t="shared" si="33"/>
        <v>2602734</v>
      </c>
      <c r="GE35" s="102">
        <f>+SUM(GD35:GD38)</f>
        <v>4246566</v>
      </c>
      <c r="GG35" s="99">
        <v>48427</v>
      </c>
      <c r="GH35" s="17" t="s">
        <v>40</v>
      </c>
      <c r="GI35" s="18"/>
      <c r="GJ35" s="18"/>
      <c r="GK35" s="18"/>
      <c r="GL35" s="18"/>
      <c r="GM35" s="18"/>
      <c r="GN35" s="18"/>
      <c r="GO35" s="18">
        <v>1366</v>
      </c>
      <c r="GP35" s="18">
        <v>5464</v>
      </c>
      <c r="GQ35" s="18">
        <v>10929</v>
      </c>
      <c r="GR35" s="18">
        <v>16393</v>
      </c>
      <c r="GS35" s="18">
        <v>20492</v>
      </c>
      <c r="GT35" s="18">
        <v>23224</v>
      </c>
      <c r="GU35" s="18">
        <v>23224</v>
      </c>
      <c r="GV35" s="18">
        <v>17760</v>
      </c>
      <c r="GW35" s="18">
        <v>10929</v>
      </c>
      <c r="GX35" s="18">
        <v>5464</v>
      </c>
      <c r="GY35" s="18">
        <v>1366</v>
      </c>
      <c r="GZ35" s="18"/>
      <c r="HA35" s="18"/>
      <c r="HB35" s="18"/>
      <c r="HC35" s="18"/>
      <c r="HD35" s="18"/>
      <c r="HE35" s="18"/>
      <c r="HF35" s="18"/>
      <c r="HG35" s="19">
        <f t="shared" si="11"/>
        <v>136611</v>
      </c>
      <c r="HH35" s="37">
        <v>21</v>
      </c>
      <c r="HI35" s="19">
        <f t="shared" si="34"/>
        <v>2868831</v>
      </c>
      <c r="HJ35" s="102">
        <f>+SUM(HI35:HI38)</f>
        <v>4234941</v>
      </c>
      <c r="HL35" s="99">
        <v>48792</v>
      </c>
      <c r="HM35" s="17" t="s">
        <v>40</v>
      </c>
      <c r="HN35" s="18"/>
      <c r="HO35" s="18"/>
      <c r="HP35" s="18"/>
      <c r="HQ35" s="18"/>
      <c r="HR35" s="18"/>
      <c r="HS35" s="18"/>
      <c r="HT35" s="18">
        <v>1370</v>
      </c>
      <c r="HU35" s="18">
        <v>5479</v>
      </c>
      <c r="HV35" s="18">
        <v>10959</v>
      </c>
      <c r="HW35" s="18">
        <v>16438</v>
      </c>
      <c r="HX35" s="18">
        <v>20548</v>
      </c>
      <c r="HY35" s="18">
        <v>23288</v>
      </c>
      <c r="HZ35" s="18">
        <v>23288</v>
      </c>
      <c r="IA35" s="18">
        <v>17808</v>
      </c>
      <c r="IB35" s="18">
        <v>10959</v>
      </c>
      <c r="IC35" s="18">
        <v>5479</v>
      </c>
      <c r="ID35" s="18">
        <v>1370</v>
      </c>
      <c r="IE35" s="18"/>
      <c r="IF35" s="18"/>
      <c r="IG35" s="18"/>
      <c r="IH35" s="18"/>
      <c r="II35" s="18"/>
      <c r="IJ35" s="18"/>
      <c r="IK35" s="18"/>
      <c r="IL35" s="19">
        <f t="shared" si="13"/>
        <v>136986</v>
      </c>
      <c r="IM35" s="37">
        <v>22</v>
      </c>
      <c r="IN35" s="19">
        <f t="shared" si="35"/>
        <v>3013692</v>
      </c>
      <c r="IO35" s="102">
        <f>+SUM(IN35:IN38)</f>
        <v>4246566</v>
      </c>
      <c r="IQ35" s="99">
        <v>49157</v>
      </c>
      <c r="IR35" s="17" t="s">
        <v>40</v>
      </c>
      <c r="IS35" s="18"/>
      <c r="IT35" s="18"/>
      <c r="IU35" s="18"/>
      <c r="IV35" s="18"/>
      <c r="IW35" s="18"/>
      <c r="IX35" s="18"/>
      <c r="IY35" s="18">
        <v>1370</v>
      </c>
      <c r="IZ35" s="18">
        <v>5479</v>
      </c>
      <c r="JA35" s="18">
        <v>10959</v>
      </c>
      <c r="JB35" s="18">
        <v>16438</v>
      </c>
      <c r="JC35" s="18">
        <v>20548</v>
      </c>
      <c r="JD35" s="18">
        <v>23288</v>
      </c>
      <c r="JE35" s="18">
        <v>23288</v>
      </c>
      <c r="JF35" s="18">
        <v>17808</v>
      </c>
      <c r="JG35" s="18">
        <v>10959</v>
      </c>
      <c r="JH35" s="18">
        <v>5479</v>
      </c>
      <c r="JI35" s="18">
        <v>1370</v>
      </c>
      <c r="JJ35" s="18"/>
      <c r="JK35" s="18"/>
      <c r="JL35" s="18"/>
      <c r="JM35" s="18"/>
      <c r="JN35" s="18"/>
      <c r="JO35" s="18"/>
      <c r="JP35" s="18"/>
      <c r="JQ35" s="19">
        <f t="shared" si="15"/>
        <v>136986</v>
      </c>
      <c r="JR35" s="37">
        <v>21</v>
      </c>
      <c r="JS35" s="19">
        <f t="shared" si="36"/>
        <v>2876706</v>
      </c>
      <c r="JT35" s="102">
        <f>+SUM(JS35:JS38)</f>
        <v>4246566</v>
      </c>
      <c r="JV35" s="99">
        <v>49522</v>
      </c>
      <c r="JW35" s="17" t="s">
        <v>40</v>
      </c>
      <c r="JX35" s="18"/>
      <c r="JY35" s="18"/>
      <c r="JZ35" s="18"/>
      <c r="KA35" s="18"/>
      <c r="KB35" s="18"/>
      <c r="KC35" s="18"/>
      <c r="KD35" s="18"/>
      <c r="KE35" s="18">
        <v>1370</v>
      </c>
      <c r="KF35" s="18">
        <v>5479</v>
      </c>
      <c r="KG35" s="18">
        <v>10959</v>
      </c>
      <c r="KH35" s="18">
        <v>16438</v>
      </c>
      <c r="KI35" s="18">
        <v>20548</v>
      </c>
      <c r="KJ35" s="18">
        <v>23288</v>
      </c>
      <c r="KK35" s="18">
        <v>23288</v>
      </c>
      <c r="KL35" s="18">
        <v>17808</v>
      </c>
      <c r="KM35" s="18">
        <v>10959</v>
      </c>
      <c r="KN35" s="18">
        <v>5479</v>
      </c>
      <c r="KO35" s="18">
        <v>1370</v>
      </c>
      <c r="KP35" s="18"/>
      <c r="KQ35" s="18"/>
      <c r="KR35" s="18"/>
      <c r="KS35" s="18"/>
      <c r="KT35" s="18"/>
      <c r="KU35" s="18"/>
      <c r="KV35" s="19">
        <f t="shared" si="17"/>
        <v>136986</v>
      </c>
      <c r="KW35" s="37">
        <v>21</v>
      </c>
      <c r="KX35" s="19">
        <f t="shared" si="37"/>
        <v>2876706</v>
      </c>
      <c r="KY35" s="102">
        <f>+SUM(KX35:KX38)</f>
        <v>4246566</v>
      </c>
      <c r="LA35" s="99">
        <v>49888</v>
      </c>
      <c r="LB35" s="17" t="s">
        <v>40</v>
      </c>
      <c r="LC35" s="18"/>
      <c r="LD35" s="18"/>
      <c r="LE35" s="18"/>
      <c r="LF35" s="18"/>
      <c r="LG35" s="18"/>
      <c r="LH35" s="18"/>
      <c r="LI35" s="18">
        <v>1366</v>
      </c>
      <c r="LJ35" s="18">
        <v>5464</v>
      </c>
      <c r="LK35" s="18">
        <v>10929</v>
      </c>
      <c r="LL35" s="18">
        <v>16393</v>
      </c>
      <c r="LM35" s="18">
        <v>20492</v>
      </c>
      <c r="LN35" s="18">
        <v>23224</v>
      </c>
      <c r="LO35" s="18">
        <v>23224</v>
      </c>
      <c r="LP35" s="18">
        <v>17760</v>
      </c>
      <c r="LQ35" s="18">
        <v>10929</v>
      </c>
      <c r="LR35" s="18">
        <v>5464</v>
      </c>
      <c r="LS35" s="18">
        <v>1366</v>
      </c>
      <c r="LT35" s="18"/>
      <c r="LU35" s="18"/>
      <c r="LV35" s="18"/>
      <c r="LW35" s="18"/>
      <c r="LX35" s="18"/>
      <c r="LY35" s="18"/>
      <c r="LZ35" s="18"/>
      <c r="MA35" s="19">
        <f t="shared" si="19"/>
        <v>136611</v>
      </c>
      <c r="MB35" s="37">
        <v>19</v>
      </c>
      <c r="MC35" s="19">
        <f t="shared" si="38"/>
        <v>2595609</v>
      </c>
      <c r="MD35" s="102">
        <f>+SUM(MC35:MC38)</f>
        <v>4234941</v>
      </c>
      <c r="MF35" s="99">
        <v>50253</v>
      </c>
      <c r="MG35" s="17" t="s">
        <v>40</v>
      </c>
      <c r="MH35" s="18"/>
      <c r="MI35" s="18"/>
      <c r="MJ35" s="18"/>
      <c r="MK35" s="18"/>
      <c r="ML35" s="18"/>
      <c r="MM35" s="18"/>
      <c r="MN35" s="18">
        <v>1370</v>
      </c>
      <c r="MO35" s="18">
        <v>5479</v>
      </c>
      <c r="MP35" s="18">
        <v>10959</v>
      </c>
      <c r="MQ35" s="18">
        <v>16438</v>
      </c>
      <c r="MR35" s="18">
        <v>20548</v>
      </c>
      <c r="MS35" s="18">
        <v>23288</v>
      </c>
      <c r="MT35" s="18">
        <v>23288</v>
      </c>
      <c r="MU35" s="18">
        <v>17808</v>
      </c>
      <c r="MV35" s="18">
        <v>10959</v>
      </c>
      <c r="MW35" s="18">
        <v>5479</v>
      </c>
      <c r="MX35" s="18">
        <v>1370</v>
      </c>
      <c r="MY35" s="18"/>
      <c r="MZ35" s="18"/>
      <c r="NA35" s="18"/>
      <c r="NB35" s="18"/>
      <c r="NC35" s="18"/>
      <c r="ND35" s="18"/>
      <c r="NE35" s="18"/>
      <c r="NF35" s="19">
        <f t="shared" si="21"/>
        <v>136986</v>
      </c>
      <c r="NG35" s="37">
        <v>19</v>
      </c>
      <c r="NH35" s="19">
        <f t="shared" si="39"/>
        <v>2602734</v>
      </c>
      <c r="NI35" s="102">
        <f>+SUM(NH35:NH38)</f>
        <v>4246566</v>
      </c>
      <c r="NK35" s="99">
        <v>50618</v>
      </c>
      <c r="NL35" s="17" t="s">
        <v>40</v>
      </c>
      <c r="NM35" s="18"/>
      <c r="NN35" s="18"/>
      <c r="NO35" s="18"/>
      <c r="NP35" s="18"/>
      <c r="NQ35" s="18"/>
      <c r="NR35" s="18"/>
      <c r="NS35" s="18">
        <v>1370</v>
      </c>
      <c r="NT35" s="18">
        <v>5479</v>
      </c>
      <c r="NU35" s="18">
        <v>10959</v>
      </c>
      <c r="NV35" s="18">
        <v>16438</v>
      </c>
      <c r="NW35" s="18">
        <v>20548</v>
      </c>
      <c r="NX35" s="18">
        <v>23288</v>
      </c>
      <c r="NY35" s="18">
        <v>23288</v>
      </c>
      <c r="NZ35" s="18">
        <v>17808</v>
      </c>
      <c r="OA35" s="18">
        <v>10959</v>
      </c>
      <c r="OB35" s="18">
        <v>5479</v>
      </c>
      <c r="OC35" s="18">
        <v>1370</v>
      </c>
      <c r="OD35" s="18"/>
      <c r="OE35" s="18"/>
      <c r="OF35" s="18"/>
      <c r="OG35" s="18"/>
      <c r="OH35" s="18"/>
      <c r="OI35" s="18"/>
      <c r="OJ35" s="18"/>
      <c r="OK35" s="19">
        <f t="shared" si="23"/>
        <v>136986</v>
      </c>
      <c r="OL35" s="37">
        <v>21</v>
      </c>
      <c r="OM35" s="19">
        <f t="shared" si="40"/>
        <v>2876706</v>
      </c>
      <c r="ON35" s="102">
        <f>+SUM(OM35:OM38)</f>
        <v>4246566</v>
      </c>
      <c r="OP35" s="99">
        <v>50983</v>
      </c>
      <c r="OQ35" s="17" t="s">
        <v>40</v>
      </c>
      <c r="OR35" s="18"/>
      <c r="OS35" s="18"/>
      <c r="OT35" s="18"/>
      <c r="OU35" s="18"/>
      <c r="OV35" s="18"/>
      <c r="OW35" s="18"/>
      <c r="OX35" s="18">
        <v>1370</v>
      </c>
      <c r="OY35" s="18">
        <v>5479</v>
      </c>
      <c r="OZ35" s="18">
        <v>10959</v>
      </c>
      <c r="PA35" s="18">
        <v>16438</v>
      </c>
      <c r="PB35" s="18">
        <v>20548</v>
      </c>
      <c r="PC35" s="18">
        <v>23288</v>
      </c>
      <c r="PD35" s="18">
        <v>23288</v>
      </c>
      <c r="PE35" s="18">
        <v>17808</v>
      </c>
      <c r="PF35" s="18">
        <v>10959</v>
      </c>
      <c r="PG35" s="18">
        <v>5479</v>
      </c>
      <c r="PH35" s="18">
        <v>1370</v>
      </c>
      <c r="PI35" s="18"/>
      <c r="PJ35" s="18"/>
      <c r="PK35" s="18"/>
      <c r="PL35" s="18"/>
      <c r="PM35" s="18"/>
      <c r="PN35" s="18"/>
      <c r="PO35" s="18"/>
      <c r="PP35" s="19">
        <f t="shared" si="25"/>
        <v>136986</v>
      </c>
      <c r="PQ35" s="37">
        <v>22</v>
      </c>
      <c r="PR35" s="19">
        <f t="shared" si="41"/>
        <v>3013692</v>
      </c>
      <c r="PS35" s="102">
        <f>+SUM(PR35:PR38)</f>
        <v>4246566</v>
      </c>
      <c r="PU35" s="99">
        <v>51349</v>
      </c>
      <c r="PV35" s="17" t="s">
        <v>40</v>
      </c>
      <c r="PW35" s="18"/>
      <c r="PX35" s="18"/>
      <c r="PY35" s="18"/>
      <c r="PZ35" s="18"/>
      <c r="QA35" s="18"/>
      <c r="QB35" s="18"/>
      <c r="QC35" s="18">
        <v>1366</v>
      </c>
      <c r="QD35" s="18">
        <v>5464</v>
      </c>
      <c r="QE35" s="18">
        <v>10929</v>
      </c>
      <c r="QF35" s="18">
        <v>16393</v>
      </c>
      <c r="QG35" s="18">
        <v>20492</v>
      </c>
      <c r="QH35" s="18">
        <v>23224</v>
      </c>
      <c r="QI35" s="18">
        <v>23224</v>
      </c>
      <c r="QJ35" s="18">
        <v>17760</v>
      </c>
      <c r="QK35" s="18">
        <v>10929</v>
      </c>
      <c r="QL35" s="18">
        <v>5464</v>
      </c>
      <c r="QM35" s="18">
        <v>1366</v>
      </c>
      <c r="QN35" s="18"/>
      <c r="QO35" s="18"/>
      <c r="QP35" s="18"/>
      <c r="QQ35" s="18"/>
      <c r="QR35" s="18"/>
      <c r="QS35" s="18"/>
      <c r="QT35" s="18"/>
      <c r="QU35" s="19">
        <f t="shared" si="27"/>
        <v>136611</v>
      </c>
      <c r="QV35" s="46">
        <v>21</v>
      </c>
      <c r="QW35" s="19">
        <f t="shared" si="42"/>
        <v>2868831</v>
      </c>
      <c r="QX35" s="102">
        <f>+SUM(QW35:QW38)</f>
        <v>4234941</v>
      </c>
    </row>
    <row r="36" spans="1:466" x14ac:dyDescent="0.35">
      <c r="A36" s="100"/>
      <c r="B36" s="21" t="s">
        <v>41</v>
      </c>
      <c r="C36" s="18"/>
      <c r="D36" s="18"/>
      <c r="E36" s="18"/>
      <c r="F36" s="18"/>
      <c r="G36" s="18"/>
      <c r="H36" s="18"/>
      <c r="I36" s="18">
        <v>1370</v>
      </c>
      <c r="J36" s="18">
        <v>5479</v>
      </c>
      <c r="K36" s="18">
        <v>10959</v>
      </c>
      <c r="L36" s="18">
        <v>16438</v>
      </c>
      <c r="M36" s="18">
        <v>20548</v>
      </c>
      <c r="N36" s="18">
        <v>23288</v>
      </c>
      <c r="O36" s="18">
        <v>23288</v>
      </c>
      <c r="P36" s="18">
        <v>17808</v>
      </c>
      <c r="Q36" s="18">
        <v>10959</v>
      </c>
      <c r="R36" s="18">
        <v>5479</v>
      </c>
      <c r="S36" s="18">
        <v>1370</v>
      </c>
      <c r="T36" s="18"/>
      <c r="U36" s="18"/>
      <c r="V36" s="18"/>
      <c r="W36" s="18"/>
      <c r="X36" s="18"/>
      <c r="Y36" s="18"/>
      <c r="Z36" s="18"/>
      <c r="AA36" s="19">
        <f t="shared" si="0"/>
        <v>136986</v>
      </c>
      <c r="AB36" s="38">
        <v>5</v>
      </c>
      <c r="AC36" s="19">
        <f t="shared" si="1"/>
        <v>684930</v>
      </c>
      <c r="AD36" s="103"/>
      <c r="AF36" s="100"/>
      <c r="AG36" s="21" t="s">
        <v>41</v>
      </c>
      <c r="AH36" s="18"/>
      <c r="AI36" s="18"/>
      <c r="AJ36" s="18"/>
      <c r="AK36" s="18"/>
      <c r="AL36" s="18"/>
      <c r="AM36" s="18"/>
      <c r="AN36" s="18">
        <v>1370</v>
      </c>
      <c r="AO36" s="18">
        <v>5479</v>
      </c>
      <c r="AP36" s="18">
        <v>10959</v>
      </c>
      <c r="AQ36" s="18">
        <v>16438</v>
      </c>
      <c r="AR36" s="18">
        <v>20548</v>
      </c>
      <c r="AS36" s="18">
        <v>23288</v>
      </c>
      <c r="AT36" s="18">
        <v>23288</v>
      </c>
      <c r="AU36" s="18">
        <v>17808</v>
      </c>
      <c r="AV36" s="18">
        <v>10959</v>
      </c>
      <c r="AW36" s="18">
        <v>5479</v>
      </c>
      <c r="AX36" s="18">
        <v>1370</v>
      </c>
      <c r="AY36" s="18"/>
      <c r="AZ36" s="18"/>
      <c r="BA36" s="18"/>
      <c r="BB36" s="18"/>
      <c r="BC36" s="18"/>
      <c r="BD36" s="18"/>
      <c r="BE36" s="18"/>
      <c r="BF36" s="19">
        <f t="shared" si="2"/>
        <v>136986</v>
      </c>
      <c r="BG36" s="38">
        <v>3</v>
      </c>
      <c r="BH36" s="19">
        <f t="shared" si="29"/>
        <v>410958</v>
      </c>
      <c r="BI36" s="103"/>
      <c r="BK36" s="100"/>
      <c r="BL36" s="21" t="s">
        <v>41</v>
      </c>
      <c r="BM36" s="18"/>
      <c r="BN36" s="18"/>
      <c r="BO36" s="18"/>
      <c r="BP36" s="18"/>
      <c r="BQ36" s="18"/>
      <c r="BR36" s="18"/>
      <c r="BS36" s="18">
        <v>1366</v>
      </c>
      <c r="BT36" s="18">
        <v>5464</v>
      </c>
      <c r="BU36" s="18">
        <v>10929</v>
      </c>
      <c r="BV36" s="18">
        <v>16393</v>
      </c>
      <c r="BW36" s="18">
        <v>20492</v>
      </c>
      <c r="BX36" s="18">
        <v>23224</v>
      </c>
      <c r="BY36" s="18">
        <v>23224</v>
      </c>
      <c r="BZ36" s="18">
        <v>17760</v>
      </c>
      <c r="CA36" s="18">
        <v>10929</v>
      </c>
      <c r="CB36" s="18">
        <v>5464</v>
      </c>
      <c r="CC36" s="18">
        <v>1366</v>
      </c>
      <c r="CD36" s="18"/>
      <c r="CE36" s="18"/>
      <c r="CF36" s="18"/>
      <c r="CG36" s="18"/>
      <c r="CH36" s="18"/>
      <c r="CI36" s="18"/>
      <c r="CJ36" s="18"/>
      <c r="CK36" s="19">
        <f t="shared" si="4"/>
        <v>136611</v>
      </c>
      <c r="CL36" s="38">
        <v>4</v>
      </c>
      <c r="CM36" s="19">
        <f t="shared" si="30"/>
        <v>546444</v>
      </c>
      <c r="CN36" s="103"/>
      <c r="CP36" s="100"/>
      <c r="CQ36" s="21" t="s">
        <v>41</v>
      </c>
      <c r="CR36" s="18"/>
      <c r="CS36" s="18"/>
      <c r="CT36" s="18"/>
      <c r="CU36" s="18"/>
      <c r="CV36" s="18"/>
      <c r="CW36" s="18"/>
      <c r="CX36" s="18">
        <v>1370</v>
      </c>
      <c r="CY36" s="18">
        <v>5479</v>
      </c>
      <c r="CZ36" s="18">
        <v>10959</v>
      </c>
      <c r="DA36" s="18">
        <v>16438</v>
      </c>
      <c r="DB36" s="18">
        <v>20548</v>
      </c>
      <c r="DC36" s="18">
        <v>23288</v>
      </c>
      <c r="DD36" s="18">
        <v>23288</v>
      </c>
      <c r="DE36" s="18">
        <v>17808</v>
      </c>
      <c r="DF36" s="18">
        <v>10959</v>
      </c>
      <c r="DG36" s="18">
        <v>5479</v>
      </c>
      <c r="DH36" s="18">
        <v>1370</v>
      </c>
      <c r="DI36" s="18"/>
      <c r="DJ36" s="18"/>
      <c r="DK36" s="18"/>
      <c r="DL36" s="18"/>
      <c r="DM36" s="18"/>
      <c r="DN36" s="18"/>
      <c r="DO36" s="18"/>
      <c r="DP36" s="19">
        <f t="shared" si="6"/>
        <v>136986</v>
      </c>
      <c r="DQ36" s="38">
        <v>4</v>
      </c>
      <c r="DR36" s="19">
        <f t="shared" si="31"/>
        <v>547944</v>
      </c>
      <c r="DS36" s="103"/>
      <c r="DV36" s="100"/>
      <c r="DW36" s="21" t="s">
        <v>41</v>
      </c>
      <c r="DX36" s="18"/>
      <c r="DY36" s="18"/>
      <c r="DZ36" s="18"/>
      <c r="EA36" s="18"/>
      <c r="EB36" s="18"/>
      <c r="EC36" s="18"/>
      <c r="ED36" s="18">
        <v>1370</v>
      </c>
      <c r="EE36" s="18">
        <v>5479</v>
      </c>
      <c r="EF36" s="18">
        <v>10959</v>
      </c>
      <c r="EG36" s="18">
        <v>16438</v>
      </c>
      <c r="EH36" s="18">
        <v>20548</v>
      </c>
      <c r="EI36" s="18">
        <v>23288</v>
      </c>
      <c r="EJ36" s="18">
        <v>23288</v>
      </c>
      <c r="EK36" s="18">
        <v>17808</v>
      </c>
      <c r="EL36" s="18">
        <v>10959</v>
      </c>
      <c r="EM36" s="18">
        <v>5479</v>
      </c>
      <c r="EN36" s="18">
        <v>1370</v>
      </c>
      <c r="EO36" s="18"/>
      <c r="EP36" s="18"/>
      <c r="EQ36" s="18"/>
      <c r="ER36" s="18"/>
      <c r="ES36" s="18"/>
      <c r="ET36" s="18"/>
      <c r="EU36" s="18"/>
      <c r="EV36" s="19">
        <f t="shared" si="8"/>
        <v>136986</v>
      </c>
      <c r="EW36" s="38">
        <v>5</v>
      </c>
      <c r="EX36" s="19">
        <f t="shared" si="32"/>
        <v>684930</v>
      </c>
      <c r="EY36" s="103"/>
      <c r="FB36" s="100"/>
      <c r="FC36" s="21" t="s">
        <v>41</v>
      </c>
      <c r="FD36" s="18"/>
      <c r="FE36" s="18"/>
      <c r="FF36" s="18"/>
      <c r="FG36" s="18"/>
      <c r="FH36" s="18"/>
      <c r="FI36" s="18"/>
      <c r="FJ36" s="18">
        <v>1370</v>
      </c>
      <c r="FK36" s="18">
        <v>5479</v>
      </c>
      <c r="FL36" s="18">
        <v>10959</v>
      </c>
      <c r="FM36" s="18">
        <v>16438</v>
      </c>
      <c r="FN36" s="18">
        <v>20548</v>
      </c>
      <c r="FO36" s="18">
        <v>23288</v>
      </c>
      <c r="FP36" s="18">
        <v>23288</v>
      </c>
      <c r="FQ36" s="18">
        <v>17808</v>
      </c>
      <c r="FR36" s="18">
        <v>10959</v>
      </c>
      <c r="FS36" s="18">
        <v>5479</v>
      </c>
      <c r="FT36" s="18">
        <v>1370</v>
      </c>
      <c r="FU36" s="18"/>
      <c r="FV36" s="18"/>
      <c r="FW36" s="18"/>
      <c r="FX36" s="18"/>
      <c r="FY36" s="18"/>
      <c r="FZ36" s="18"/>
      <c r="GA36" s="18"/>
      <c r="GB36" s="19">
        <f t="shared" si="9"/>
        <v>136986</v>
      </c>
      <c r="GC36" s="38">
        <v>5</v>
      </c>
      <c r="GD36" s="19">
        <f t="shared" si="33"/>
        <v>684930</v>
      </c>
      <c r="GE36" s="103"/>
      <c r="GG36" s="100"/>
      <c r="GH36" s="21" t="s">
        <v>41</v>
      </c>
      <c r="GI36" s="18"/>
      <c r="GJ36" s="18"/>
      <c r="GK36" s="18"/>
      <c r="GL36" s="18"/>
      <c r="GM36" s="18"/>
      <c r="GN36" s="18"/>
      <c r="GO36" s="18">
        <v>1366</v>
      </c>
      <c r="GP36" s="18">
        <v>5464</v>
      </c>
      <c r="GQ36" s="18">
        <v>10929</v>
      </c>
      <c r="GR36" s="18">
        <v>16393</v>
      </c>
      <c r="GS36" s="18">
        <v>20492</v>
      </c>
      <c r="GT36" s="18">
        <v>23224</v>
      </c>
      <c r="GU36" s="18">
        <v>23224</v>
      </c>
      <c r="GV36" s="18">
        <v>17760</v>
      </c>
      <c r="GW36" s="18">
        <v>10929</v>
      </c>
      <c r="GX36" s="18">
        <v>5464</v>
      </c>
      <c r="GY36" s="18">
        <v>1366</v>
      </c>
      <c r="GZ36" s="18"/>
      <c r="HA36" s="18"/>
      <c r="HB36" s="18"/>
      <c r="HC36" s="18"/>
      <c r="HD36" s="18"/>
      <c r="HE36" s="18"/>
      <c r="HF36" s="18"/>
      <c r="HG36" s="19">
        <f t="shared" si="11"/>
        <v>136611</v>
      </c>
      <c r="HH36" s="38">
        <v>3</v>
      </c>
      <c r="HI36" s="19">
        <f t="shared" si="34"/>
        <v>409833</v>
      </c>
      <c r="HJ36" s="103"/>
      <c r="HL36" s="100"/>
      <c r="HM36" s="21" t="s">
        <v>41</v>
      </c>
      <c r="HN36" s="18"/>
      <c r="HO36" s="18"/>
      <c r="HP36" s="18"/>
      <c r="HQ36" s="18"/>
      <c r="HR36" s="18"/>
      <c r="HS36" s="18"/>
      <c r="HT36" s="18">
        <v>1370</v>
      </c>
      <c r="HU36" s="18">
        <v>5479</v>
      </c>
      <c r="HV36" s="18">
        <v>10959</v>
      </c>
      <c r="HW36" s="18">
        <v>16438</v>
      </c>
      <c r="HX36" s="18">
        <v>20548</v>
      </c>
      <c r="HY36" s="18">
        <v>23288</v>
      </c>
      <c r="HZ36" s="18">
        <v>23288</v>
      </c>
      <c r="IA36" s="18">
        <v>17808</v>
      </c>
      <c r="IB36" s="18">
        <v>10959</v>
      </c>
      <c r="IC36" s="18">
        <v>5479</v>
      </c>
      <c r="ID36" s="18">
        <v>1370</v>
      </c>
      <c r="IE36" s="18"/>
      <c r="IF36" s="18"/>
      <c r="IG36" s="18"/>
      <c r="IH36" s="18"/>
      <c r="II36" s="18"/>
      <c r="IJ36" s="18"/>
      <c r="IK36" s="18"/>
      <c r="IL36" s="19">
        <f t="shared" si="13"/>
        <v>136986</v>
      </c>
      <c r="IM36" s="38">
        <v>4</v>
      </c>
      <c r="IN36" s="19">
        <f t="shared" si="35"/>
        <v>547944</v>
      </c>
      <c r="IO36" s="103"/>
      <c r="IQ36" s="100"/>
      <c r="IR36" s="21" t="s">
        <v>41</v>
      </c>
      <c r="IS36" s="18"/>
      <c r="IT36" s="18"/>
      <c r="IU36" s="18"/>
      <c r="IV36" s="18"/>
      <c r="IW36" s="18"/>
      <c r="IX36" s="18"/>
      <c r="IY36" s="18">
        <v>1370</v>
      </c>
      <c r="IZ36" s="18">
        <v>5479</v>
      </c>
      <c r="JA36" s="18">
        <v>10959</v>
      </c>
      <c r="JB36" s="18">
        <v>16438</v>
      </c>
      <c r="JC36" s="18">
        <v>20548</v>
      </c>
      <c r="JD36" s="18">
        <v>23288</v>
      </c>
      <c r="JE36" s="18">
        <v>23288</v>
      </c>
      <c r="JF36" s="18">
        <v>17808</v>
      </c>
      <c r="JG36" s="18">
        <v>10959</v>
      </c>
      <c r="JH36" s="18">
        <v>5479</v>
      </c>
      <c r="JI36" s="18">
        <v>1370</v>
      </c>
      <c r="JJ36" s="18"/>
      <c r="JK36" s="18"/>
      <c r="JL36" s="18"/>
      <c r="JM36" s="18"/>
      <c r="JN36" s="18"/>
      <c r="JO36" s="18"/>
      <c r="JP36" s="18"/>
      <c r="JQ36" s="19">
        <f t="shared" si="15"/>
        <v>136986</v>
      </c>
      <c r="JR36" s="38">
        <v>4</v>
      </c>
      <c r="JS36" s="19">
        <f t="shared" si="36"/>
        <v>547944</v>
      </c>
      <c r="JT36" s="103"/>
      <c r="JV36" s="100"/>
      <c r="JW36" s="21" t="s">
        <v>41</v>
      </c>
      <c r="JX36" s="18"/>
      <c r="JY36" s="18"/>
      <c r="JZ36" s="18"/>
      <c r="KA36" s="18"/>
      <c r="KB36" s="18"/>
      <c r="KC36" s="18"/>
      <c r="KD36" s="18"/>
      <c r="KE36" s="18">
        <v>1370</v>
      </c>
      <c r="KF36" s="18">
        <v>5479</v>
      </c>
      <c r="KG36" s="18">
        <v>10959</v>
      </c>
      <c r="KH36" s="18">
        <v>16438</v>
      </c>
      <c r="KI36" s="18">
        <v>20548</v>
      </c>
      <c r="KJ36" s="18">
        <v>23288</v>
      </c>
      <c r="KK36" s="18">
        <v>23288</v>
      </c>
      <c r="KL36" s="18">
        <v>17808</v>
      </c>
      <c r="KM36" s="18">
        <v>10959</v>
      </c>
      <c r="KN36" s="18">
        <v>5479</v>
      </c>
      <c r="KO36" s="18">
        <v>1370</v>
      </c>
      <c r="KP36" s="18"/>
      <c r="KQ36" s="18"/>
      <c r="KR36" s="18"/>
      <c r="KS36" s="18"/>
      <c r="KT36" s="18"/>
      <c r="KU36" s="18"/>
      <c r="KV36" s="19">
        <f t="shared" si="17"/>
        <v>136986</v>
      </c>
      <c r="KW36" s="38">
        <v>4</v>
      </c>
      <c r="KX36" s="19">
        <f t="shared" si="37"/>
        <v>547944</v>
      </c>
      <c r="KY36" s="103"/>
      <c r="LA36" s="100"/>
      <c r="LB36" s="21" t="s">
        <v>41</v>
      </c>
      <c r="LC36" s="18"/>
      <c r="LD36" s="18"/>
      <c r="LE36" s="18"/>
      <c r="LF36" s="18"/>
      <c r="LG36" s="18"/>
      <c r="LH36" s="18"/>
      <c r="LI36" s="18">
        <v>1366</v>
      </c>
      <c r="LJ36" s="18">
        <v>5464</v>
      </c>
      <c r="LK36" s="18">
        <v>10929</v>
      </c>
      <c r="LL36" s="18">
        <v>16393</v>
      </c>
      <c r="LM36" s="18">
        <v>20492</v>
      </c>
      <c r="LN36" s="18">
        <v>23224</v>
      </c>
      <c r="LO36" s="18">
        <v>23224</v>
      </c>
      <c r="LP36" s="18">
        <v>17760</v>
      </c>
      <c r="LQ36" s="18">
        <v>10929</v>
      </c>
      <c r="LR36" s="18">
        <v>5464</v>
      </c>
      <c r="LS36" s="18">
        <v>1366</v>
      </c>
      <c r="LT36" s="18"/>
      <c r="LU36" s="18"/>
      <c r="LV36" s="18"/>
      <c r="LW36" s="18"/>
      <c r="LX36" s="18"/>
      <c r="LY36" s="18"/>
      <c r="LZ36" s="18"/>
      <c r="MA36" s="19">
        <f t="shared" si="19"/>
        <v>136611</v>
      </c>
      <c r="MB36" s="38">
        <v>5</v>
      </c>
      <c r="MC36" s="19">
        <f t="shared" si="38"/>
        <v>683055</v>
      </c>
      <c r="MD36" s="103"/>
      <c r="MF36" s="100"/>
      <c r="MG36" s="21" t="s">
        <v>41</v>
      </c>
      <c r="MH36" s="18"/>
      <c r="MI36" s="18"/>
      <c r="MJ36" s="18"/>
      <c r="MK36" s="18"/>
      <c r="ML36" s="18"/>
      <c r="MM36" s="18"/>
      <c r="MN36" s="18">
        <v>1370</v>
      </c>
      <c r="MO36" s="18">
        <v>5479</v>
      </c>
      <c r="MP36" s="18">
        <v>10959</v>
      </c>
      <c r="MQ36" s="18">
        <v>16438</v>
      </c>
      <c r="MR36" s="18">
        <v>20548</v>
      </c>
      <c r="MS36" s="18">
        <v>23288</v>
      </c>
      <c r="MT36" s="18">
        <v>23288</v>
      </c>
      <c r="MU36" s="18">
        <v>17808</v>
      </c>
      <c r="MV36" s="18">
        <v>10959</v>
      </c>
      <c r="MW36" s="18">
        <v>5479</v>
      </c>
      <c r="MX36" s="18">
        <v>1370</v>
      </c>
      <c r="MY36" s="18"/>
      <c r="MZ36" s="18"/>
      <c r="NA36" s="18"/>
      <c r="NB36" s="18"/>
      <c r="NC36" s="18"/>
      <c r="ND36" s="18"/>
      <c r="NE36" s="18"/>
      <c r="NF36" s="19">
        <f t="shared" si="21"/>
        <v>136986</v>
      </c>
      <c r="NG36" s="38">
        <v>5</v>
      </c>
      <c r="NH36" s="19">
        <f t="shared" si="39"/>
        <v>684930</v>
      </c>
      <c r="NI36" s="103"/>
      <c r="NK36" s="100"/>
      <c r="NL36" s="21" t="s">
        <v>41</v>
      </c>
      <c r="NM36" s="18"/>
      <c r="NN36" s="18"/>
      <c r="NO36" s="18"/>
      <c r="NP36" s="18"/>
      <c r="NQ36" s="18"/>
      <c r="NR36" s="18"/>
      <c r="NS36" s="18">
        <v>1370</v>
      </c>
      <c r="NT36" s="18">
        <v>5479</v>
      </c>
      <c r="NU36" s="18">
        <v>10959</v>
      </c>
      <c r="NV36" s="18">
        <v>16438</v>
      </c>
      <c r="NW36" s="18">
        <v>20548</v>
      </c>
      <c r="NX36" s="18">
        <v>23288</v>
      </c>
      <c r="NY36" s="18">
        <v>23288</v>
      </c>
      <c r="NZ36" s="18">
        <v>17808</v>
      </c>
      <c r="OA36" s="18">
        <v>10959</v>
      </c>
      <c r="OB36" s="18">
        <v>5479</v>
      </c>
      <c r="OC36" s="18">
        <v>1370</v>
      </c>
      <c r="OD36" s="18"/>
      <c r="OE36" s="18"/>
      <c r="OF36" s="18"/>
      <c r="OG36" s="18"/>
      <c r="OH36" s="18"/>
      <c r="OI36" s="18"/>
      <c r="OJ36" s="18"/>
      <c r="OK36" s="19">
        <f t="shared" si="23"/>
        <v>136986</v>
      </c>
      <c r="OL36" s="38">
        <v>3</v>
      </c>
      <c r="OM36" s="19">
        <f t="shared" si="40"/>
        <v>410958</v>
      </c>
      <c r="ON36" s="103"/>
      <c r="OP36" s="100"/>
      <c r="OQ36" s="21" t="s">
        <v>41</v>
      </c>
      <c r="OR36" s="18"/>
      <c r="OS36" s="18"/>
      <c r="OT36" s="18"/>
      <c r="OU36" s="18"/>
      <c r="OV36" s="18"/>
      <c r="OW36" s="18"/>
      <c r="OX36" s="18">
        <v>1370</v>
      </c>
      <c r="OY36" s="18">
        <v>5479</v>
      </c>
      <c r="OZ36" s="18">
        <v>10959</v>
      </c>
      <c r="PA36" s="18">
        <v>16438</v>
      </c>
      <c r="PB36" s="18">
        <v>20548</v>
      </c>
      <c r="PC36" s="18">
        <v>23288</v>
      </c>
      <c r="PD36" s="18">
        <v>23288</v>
      </c>
      <c r="PE36" s="18">
        <v>17808</v>
      </c>
      <c r="PF36" s="18">
        <v>10959</v>
      </c>
      <c r="PG36" s="18">
        <v>5479</v>
      </c>
      <c r="PH36" s="18">
        <v>1370</v>
      </c>
      <c r="PI36" s="18"/>
      <c r="PJ36" s="18"/>
      <c r="PK36" s="18"/>
      <c r="PL36" s="18"/>
      <c r="PM36" s="18"/>
      <c r="PN36" s="18"/>
      <c r="PO36" s="18"/>
      <c r="PP36" s="19">
        <f t="shared" si="25"/>
        <v>136986</v>
      </c>
      <c r="PQ36" s="38">
        <v>4</v>
      </c>
      <c r="PR36" s="19">
        <f t="shared" si="41"/>
        <v>547944</v>
      </c>
      <c r="PS36" s="103"/>
      <c r="PU36" s="100"/>
      <c r="PV36" s="21" t="s">
        <v>41</v>
      </c>
      <c r="PW36" s="18"/>
      <c r="PX36" s="18"/>
      <c r="PY36" s="18"/>
      <c r="PZ36" s="18"/>
      <c r="QA36" s="18"/>
      <c r="QB36" s="18"/>
      <c r="QC36" s="18">
        <v>1366</v>
      </c>
      <c r="QD36" s="18">
        <v>5464</v>
      </c>
      <c r="QE36" s="18">
        <v>10929</v>
      </c>
      <c r="QF36" s="18">
        <v>16393</v>
      </c>
      <c r="QG36" s="18">
        <v>20492</v>
      </c>
      <c r="QH36" s="18">
        <v>23224</v>
      </c>
      <c r="QI36" s="18">
        <v>23224</v>
      </c>
      <c r="QJ36" s="18">
        <v>17760</v>
      </c>
      <c r="QK36" s="18">
        <v>10929</v>
      </c>
      <c r="QL36" s="18">
        <v>5464</v>
      </c>
      <c r="QM36" s="18">
        <v>1366</v>
      </c>
      <c r="QN36" s="18"/>
      <c r="QO36" s="18"/>
      <c r="QP36" s="18"/>
      <c r="QQ36" s="18"/>
      <c r="QR36" s="18"/>
      <c r="QS36" s="18"/>
      <c r="QT36" s="18"/>
      <c r="QU36" s="19">
        <f t="shared" si="27"/>
        <v>136611</v>
      </c>
      <c r="QV36" s="45">
        <v>4</v>
      </c>
      <c r="QW36" s="19">
        <f t="shared" si="42"/>
        <v>546444</v>
      </c>
      <c r="QX36" s="103"/>
    </row>
    <row r="37" spans="1:466" x14ac:dyDescent="0.35">
      <c r="A37" s="100"/>
      <c r="B37" s="21" t="s">
        <v>42</v>
      </c>
      <c r="C37" s="18"/>
      <c r="D37" s="18"/>
      <c r="E37" s="18"/>
      <c r="F37" s="18"/>
      <c r="G37" s="18"/>
      <c r="H37" s="18"/>
      <c r="I37" s="18">
        <v>1370</v>
      </c>
      <c r="J37" s="18">
        <v>5479</v>
      </c>
      <c r="K37" s="18">
        <v>10959</v>
      </c>
      <c r="L37" s="18">
        <v>16438</v>
      </c>
      <c r="M37" s="18">
        <v>20548</v>
      </c>
      <c r="N37" s="18">
        <v>23288</v>
      </c>
      <c r="O37" s="18">
        <v>23288</v>
      </c>
      <c r="P37" s="18">
        <v>17808</v>
      </c>
      <c r="Q37" s="18">
        <v>10959</v>
      </c>
      <c r="R37" s="18">
        <v>5479</v>
      </c>
      <c r="S37" s="18">
        <v>1370</v>
      </c>
      <c r="T37" s="18"/>
      <c r="U37" s="18"/>
      <c r="V37" s="18"/>
      <c r="W37" s="18"/>
      <c r="X37" s="18"/>
      <c r="Y37" s="18"/>
      <c r="Z37" s="18"/>
      <c r="AA37" s="19">
        <f t="shared" si="0"/>
        <v>136986</v>
      </c>
      <c r="AB37" s="38">
        <v>5</v>
      </c>
      <c r="AC37" s="19">
        <f t="shared" si="1"/>
        <v>684930</v>
      </c>
      <c r="AD37" s="103"/>
      <c r="AF37" s="100"/>
      <c r="AG37" s="21" t="s">
        <v>42</v>
      </c>
      <c r="AH37" s="18"/>
      <c r="AI37" s="18"/>
      <c r="AJ37" s="18"/>
      <c r="AK37" s="18"/>
      <c r="AL37" s="18"/>
      <c r="AM37" s="18"/>
      <c r="AN37" s="18">
        <v>1370</v>
      </c>
      <c r="AO37" s="18">
        <v>5479</v>
      </c>
      <c r="AP37" s="18">
        <v>10959</v>
      </c>
      <c r="AQ37" s="18">
        <v>16438</v>
      </c>
      <c r="AR37" s="18">
        <v>20548</v>
      </c>
      <c r="AS37" s="18">
        <v>23288</v>
      </c>
      <c r="AT37" s="18">
        <v>23288</v>
      </c>
      <c r="AU37" s="18">
        <v>17808</v>
      </c>
      <c r="AV37" s="18">
        <v>10959</v>
      </c>
      <c r="AW37" s="18">
        <v>5479</v>
      </c>
      <c r="AX37" s="18">
        <v>1370</v>
      </c>
      <c r="AY37" s="18"/>
      <c r="AZ37" s="18"/>
      <c r="BA37" s="18"/>
      <c r="BB37" s="18"/>
      <c r="BC37" s="18"/>
      <c r="BD37" s="18"/>
      <c r="BE37" s="18"/>
      <c r="BF37" s="19">
        <f t="shared" si="2"/>
        <v>136986</v>
      </c>
      <c r="BG37" s="38">
        <v>5</v>
      </c>
      <c r="BH37" s="19">
        <f t="shared" si="29"/>
        <v>684930</v>
      </c>
      <c r="BI37" s="103"/>
      <c r="BK37" s="100"/>
      <c r="BL37" s="21" t="s">
        <v>42</v>
      </c>
      <c r="BM37" s="18"/>
      <c r="BN37" s="18"/>
      <c r="BO37" s="18"/>
      <c r="BP37" s="18"/>
      <c r="BQ37" s="18"/>
      <c r="BR37" s="18"/>
      <c r="BS37" s="18">
        <v>1366</v>
      </c>
      <c r="BT37" s="18">
        <v>5464</v>
      </c>
      <c r="BU37" s="18">
        <v>10929</v>
      </c>
      <c r="BV37" s="18">
        <v>16393</v>
      </c>
      <c r="BW37" s="18">
        <v>20492</v>
      </c>
      <c r="BX37" s="18">
        <v>23224</v>
      </c>
      <c r="BY37" s="18">
        <v>23224</v>
      </c>
      <c r="BZ37" s="18">
        <v>17760</v>
      </c>
      <c r="CA37" s="18">
        <v>10929</v>
      </c>
      <c r="CB37" s="18">
        <v>5464</v>
      </c>
      <c r="CC37" s="18">
        <v>1366</v>
      </c>
      <c r="CD37" s="18"/>
      <c r="CE37" s="18"/>
      <c r="CF37" s="18"/>
      <c r="CG37" s="18"/>
      <c r="CH37" s="18"/>
      <c r="CI37" s="18"/>
      <c r="CJ37" s="18"/>
      <c r="CK37" s="19">
        <f t="shared" si="4"/>
        <v>136611</v>
      </c>
      <c r="CL37" s="38">
        <v>4</v>
      </c>
      <c r="CM37" s="19">
        <f t="shared" si="30"/>
        <v>546444</v>
      </c>
      <c r="CN37" s="103"/>
      <c r="CP37" s="100"/>
      <c r="CQ37" s="21" t="s">
        <v>42</v>
      </c>
      <c r="CR37" s="18"/>
      <c r="CS37" s="18"/>
      <c r="CT37" s="18"/>
      <c r="CU37" s="18"/>
      <c r="CV37" s="18"/>
      <c r="CW37" s="18"/>
      <c r="CX37" s="18">
        <v>1370</v>
      </c>
      <c r="CY37" s="18">
        <v>5479</v>
      </c>
      <c r="CZ37" s="18">
        <v>10959</v>
      </c>
      <c r="DA37" s="18">
        <v>16438</v>
      </c>
      <c r="DB37" s="18">
        <v>20548</v>
      </c>
      <c r="DC37" s="18">
        <v>23288</v>
      </c>
      <c r="DD37" s="18">
        <v>23288</v>
      </c>
      <c r="DE37" s="18">
        <v>17808</v>
      </c>
      <c r="DF37" s="18">
        <v>10959</v>
      </c>
      <c r="DG37" s="18">
        <v>5479</v>
      </c>
      <c r="DH37" s="18">
        <v>1370</v>
      </c>
      <c r="DI37" s="18"/>
      <c r="DJ37" s="18"/>
      <c r="DK37" s="18"/>
      <c r="DL37" s="18"/>
      <c r="DM37" s="18"/>
      <c r="DN37" s="18"/>
      <c r="DO37" s="18"/>
      <c r="DP37" s="19">
        <f t="shared" si="6"/>
        <v>136986</v>
      </c>
      <c r="DQ37" s="38">
        <v>4</v>
      </c>
      <c r="DR37" s="19">
        <f t="shared" si="31"/>
        <v>547944</v>
      </c>
      <c r="DS37" s="103"/>
      <c r="DV37" s="100"/>
      <c r="DW37" s="21" t="s">
        <v>42</v>
      </c>
      <c r="DX37" s="18"/>
      <c r="DY37" s="18"/>
      <c r="DZ37" s="18"/>
      <c r="EA37" s="18"/>
      <c r="EB37" s="18"/>
      <c r="EC37" s="18"/>
      <c r="ED37" s="18">
        <v>1370</v>
      </c>
      <c r="EE37" s="18">
        <v>5479</v>
      </c>
      <c r="EF37" s="18">
        <v>10959</v>
      </c>
      <c r="EG37" s="18">
        <v>16438</v>
      </c>
      <c r="EH37" s="18">
        <v>20548</v>
      </c>
      <c r="EI37" s="18">
        <v>23288</v>
      </c>
      <c r="EJ37" s="18">
        <v>23288</v>
      </c>
      <c r="EK37" s="18">
        <v>17808</v>
      </c>
      <c r="EL37" s="18">
        <v>10959</v>
      </c>
      <c r="EM37" s="18">
        <v>5479</v>
      </c>
      <c r="EN37" s="18">
        <v>1370</v>
      </c>
      <c r="EO37" s="18"/>
      <c r="EP37" s="18"/>
      <c r="EQ37" s="18"/>
      <c r="ER37" s="18"/>
      <c r="ES37" s="18"/>
      <c r="ET37" s="18"/>
      <c r="EU37" s="18"/>
      <c r="EV37" s="19">
        <f t="shared" si="8"/>
        <v>136986</v>
      </c>
      <c r="EW37" s="38">
        <v>4</v>
      </c>
      <c r="EX37" s="19">
        <f t="shared" si="32"/>
        <v>547944</v>
      </c>
      <c r="EY37" s="103"/>
      <c r="FB37" s="100"/>
      <c r="FC37" s="21" t="s">
        <v>42</v>
      </c>
      <c r="FD37" s="18"/>
      <c r="FE37" s="18"/>
      <c r="FF37" s="18"/>
      <c r="FG37" s="18"/>
      <c r="FH37" s="18"/>
      <c r="FI37" s="18"/>
      <c r="FJ37" s="18">
        <v>1370</v>
      </c>
      <c r="FK37" s="18">
        <v>5479</v>
      </c>
      <c r="FL37" s="18">
        <v>10959</v>
      </c>
      <c r="FM37" s="18">
        <v>16438</v>
      </c>
      <c r="FN37" s="18">
        <v>20548</v>
      </c>
      <c r="FO37" s="18">
        <v>23288</v>
      </c>
      <c r="FP37" s="18">
        <v>23288</v>
      </c>
      <c r="FQ37" s="18">
        <v>17808</v>
      </c>
      <c r="FR37" s="18">
        <v>10959</v>
      </c>
      <c r="FS37" s="18">
        <v>5479</v>
      </c>
      <c r="FT37" s="18">
        <v>1370</v>
      </c>
      <c r="FU37" s="18"/>
      <c r="FV37" s="18"/>
      <c r="FW37" s="18"/>
      <c r="FX37" s="18"/>
      <c r="FY37" s="18"/>
      <c r="FZ37" s="18"/>
      <c r="GA37" s="18"/>
      <c r="GB37" s="19">
        <f t="shared" si="9"/>
        <v>136986</v>
      </c>
      <c r="GC37" s="38">
        <v>5</v>
      </c>
      <c r="GD37" s="19">
        <f t="shared" si="33"/>
        <v>684930</v>
      </c>
      <c r="GE37" s="103"/>
      <c r="GG37" s="100"/>
      <c r="GH37" s="21" t="s">
        <v>42</v>
      </c>
      <c r="GI37" s="18"/>
      <c r="GJ37" s="18"/>
      <c r="GK37" s="18"/>
      <c r="GL37" s="18"/>
      <c r="GM37" s="18"/>
      <c r="GN37" s="18"/>
      <c r="GO37" s="18">
        <v>1366</v>
      </c>
      <c r="GP37" s="18">
        <v>5464</v>
      </c>
      <c r="GQ37" s="18">
        <v>10929</v>
      </c>
      <c r="GR37" s="18">
        <v>16393</v>
      </c>
      <c r="GS37" s="18">
        <v>20492</v>
      </c>
      <c r="GT37" s="18">
        <v>23224</v>
      </c>
      <c r="GU37" s="18">
        <v>23224</v>
      </c>
      <c r="GV37" s="18">
        <v>17760</v>
      </c>
      <c r="GW37" s="18">
        <v>10929</v>
      </c>
      <c r="GX37" s="18">
        <v>5464</v>
      </c>
      <c r="GY37" s="18">
        <v>1366</v>
      </c>
      <c r="GZ37" s="18"/>
      <c r="HA37" s="18"/>
      <c r="HB37" s="18"/>
      <c r="HC37" s="18"/>
      <c r="HD37" s="18"/>
      <c r="HE37" s="18"/>
      <c r="HF37" s="18"/>
      <c r="HG37" s="19">
        <f t="shared" si="11"/>
        <v>136611</v>
      </c>
      <c r="HH37" s="38">
        <v>5</v>
      </c>
      <c r="HI37" s="19">
        <f t="shared" si="34"/>
        <v>683055</v>
      </c>
      <c r="HJ37" s="103"/>
      <c r="HL37" s="100"/>
      <c r="HM37" s="21" t="s">
        <v>42</v>
      </c>
      <c r="HN37" s="18"/>
      <c r="HO37" s="18"/>
      <c r="HP37" s="18"/>
      <c r="HQ37" s="18"/>
      <c r="HR37" s="18"/>
      <c r="HS37" s="18"/>
      <c r="HT37" s="18">
        <v>1370</v>
      </c>
      <c r="HU37" s="18">
        <v>5479</v>
      </c>
      <c r="HV37" s="18">
        <v>10959</v>
      </c>
      <c r="HW37" s="18">
        <v>16438</v>
      </c>
      <c r="HX37" s="18">
        <v>20548</v>
      </c>
      <c r="HY37" s="18">
        <v>23288</v>
      </c>
      <c r="HZ37" s="18">
        <v>23288</v>
      </c>
      <c r="IA37" s="18">
        <v>17808</v>
      </c>
      <c r="IB37" s="18">
        <v>10959</v>
      </c>
      <c r="IC37" s="18">
        <v>5479</v>
      </c>
      <c r="ID37" s="18">
        <v>1370</v>
      </c>
      <c r="IE37" s="18"/>
      <c r="IF37" s="18"/>
      <c r="IG37" s="18"/>
      <c r="IH37" s="18"/>
      <c r="II37" s="18"/>
      <c r="IJ37" s="18"/>
      <c r="IK37" s="18"/>
      <c r="IL37" s="19">
        <f t="shared" si="13"/>
        <v>136986</v>
      </c>
      <c r="IM37" s="80">
        <v>3</v>
      </c>
      <c r="IN37" s="19">
        <f t="shared" si="35"/>
        <v>410958</v>
      </c>
      <c r="IO37" s="103"/>
      <c r="IQ37" s="100"/>
      <c r="IR37" s="21" t="s">
        <v>42</v>
      </c>
      <c r="IS37" s="18"/>
      <c r="IT37" s="18"/>
      <c r="IU37" s="18"/>
      <c r="IV37" s="18"/>
      <c r="IW37" s="18"/>
      <c r="IX37" s="18"/>
      <c r="IY37" s="18">
        <v>1370</v>
      </c>
      <c r="IZ37" s="18">
        <v>5479</v>
      </c>
      <c r="JA37" s="18">
        <v>10959</v>
      </c>
      <c r="JB37" s="18">
        <v>16438</v>
      </c>
      <c r="JC37" s="18">
        <v>20548</v>
      </c>
      <c r="JD37" s="18">
        <v>23288</v>
      </c>
      <c r="JE37" s="18">
        <v>23288</v>
      </c>
      <c r="JF37" s="18">
        <v>17808</v>
      </c>
      <c r="JG37" s="18">
        <v>10959</v>
      </c>
      <c r="JH37" s="18">
        <v>5479</v>
      </c>
      <c r="JI37" s="18">
        <v>1370</v>
      </c>
      <c r="JJ37" s="18"/>
      <c r="JK37" s="18"/>
      <c r="JL37" s="18"/>
      <c r="JM37" s="18"/>
      <c r="JN37" s="18"/>
      <c r="JO37" s="18"/>
      <c r="JP37" s="18"/>
      <c r="JQ37" s="19">
        <f t="shared" si="15"/>
        <v>136986</v>
      </c>
      <c r="JR37" s="38">
        <v>4</v>
      </c>
      <c r="JS37" s="19">
        <f t="shared" si="36"/>
        <v>547944</v>
      </c>
      <c r="JT37" s="103"/>
      <c r="JV37" s="100"/>
      <c r="JW37" s="21" t="s">
        <v>42</v>
      </c>
      <c r="JX37" s="18"/>
      <c r="JY37" s="18"/>
      <c r="JZ37" s="18"/>
      <c r="KA37" s="18"/>
      <c r="KB37" s="18"/>
      <c r="KC37" s="18"/>
      <c r="KD37" s="18"/>
      <c r="KE37" s="18">
        <v>1370</v>
      </c>
      <c r="KF37" s="18">
        <v>5479</v>
      </c>
      <c r="KG37" s="18">
        <v>10959</v>
      </c>
      <c r="KH37" s="18">
        <v>16438</v>
      </c>
      <c r="KI37" s="18">
        <v>20548</v>
      </c>
      <c r="KJ37" s="18">
        <v>23288</v>
      </c>
      <c r="KK37" s="18">
        <v>23288</v>
      </c>
      <c r="KL37" s="18">
        <v>17808</v>
      </c>
      <c r="KM37" s="18">
        <v>10959</v>
      </c>
      <c r="KN37" s="18">
        <v>5479</v>
      </c>
      <c r="KO37" s="18">
        <v>1370</v>
      </c>
      <c r="KP37" s="18"/>
      <c r="KQ37" s="18"/>
      <c r="KR37" s="18"/>
      <c r="KS37" s="18"/>
      <c r="KT37" s="18"/>
      <c r="KU37" s="18"/>
      <c r="KV37" s="19">
        <f t="shared" si="17"/>
        <v>136986</v>
      </c>
      <c r="KW37" s="38">
        <v>4</v>
      </c>
      <c r="KX37" s="19">
        <f t="shared" si="37"/>
        <v>547944</v>
      </c>
      <c r="KY37" s="103"/>
      <c r="LA37" s="100"/>
      <c r="LB37" s="21" t="s">
        <v>42</v>
      </c>
      <c r="LC37" s="18"/>
      <c r="LD37" s="18"/>
      <c r="LE37" s="18"/>
      <c r="LF37" s="18"/>
      <c r="LG37" s="18"/>
      <c r="LH37" s="18"/>
      <c r="LI37" s="18">
        <v>1366</v>
      </c>
      <c r="LJ37" s="18">
        <v>5464</v>
      </c>
      <c r="LK37" s="18">
        <v>10929</v>
      </c>
      <c r="LL37" s="18">
        <v>16393</v>
      </c>
      <c r="LM37" s="18">
        <v>20492</v>
      </c>
      <c r="LN37" s="18">
        <v>23224</v>
      </c>
      <c r="LO37" s="18">
        <v>23224</v>
      </c>
      <c r="LP37" s="18">
        <v>17760</v>
      </c>
      <c r="LQ37" s="18">
        <v>10929</v>
      </c>
      <c r="LR37" s="18">
        <v>5464</v>
      </c>
      <c r="LS37" s="18">
        <v>1366</v>
      </c>
      <c r="LT37" s="18"/>
      <c r="LU37" s="18"/>
      <c r="LV37" s="18"/>
      <c r="LW37" s="18"/>
      <c r="LX37" s="18"/>
      <c r="LY37" s="18"/>
      <c r="LZ37" s="18"/>
      <c r="MA37" s="19">
        <f t="shared" si="19"/>
        <v>136611</v>
      </c>
      <c r="MB37" s="38">
        <v>5</v>
      </c>
      <c r="MC37" s="19">
        <f t="shared" si="38"/>
        <v>683055</v>
      </c>
      <c r="MD37" s="103"/>
      <c r="MF37" s="100"/>
      <c r="MG37" s="21" t="s">
        <v>42</v>
      </c>
      <c r="MH37" s="18"/>
      <c r="MI37" s="18"/>
      <c r="MJ37" s="18"/>
      <c r="MK37" s="18"/>
      <c r="ML37" s="18"/>
      <c r="MM37" s="18"/>
      <c r="MN37" s="18">
        <v>1370</v>
      </c>
      <c r="MO37" s="18">
        <v>5479</v>
      </c>
      <c r="MP37" s="18">
        <v>10959</v>
      </c>
      <c r="MQ37" s="18">
        <v>16438</v>
      </c>
      <c r="MR37" s="18">
        <v>20548</v>
      </c>
      <c r="MS37" s="18">
        <v>23288</v>
      </c>
      <c r="MT37" s="18">
        <v>23288</v>
      </c>
      <c r="MU37" s="18">
        <v>17808</v>
      </c>
      <c r="MV37" s="18">
        <v>10959</v>
      </c>
      <c r="MW37" s="18">
        <v>5479</v>
      </c>
      <c r="MX37" s="18">
        <v>1370</v>
      </c>
      <c r="MY37" s="18"/>
      <c r="MZ37" s="18"/>
      <c r="NA37" s="18"/>
      <c r="NB37" s="18"/>
      <c r="NC37" s="18"/>
      <c r="ND37" s="18"/>
      <c r="NE37" s="18"/>
      <c r="NF37" s="19">
        <f t="shared" si="21"/>
        <v>136986</v>
      </c>
      <c r="NG37" s="38">
        <v>5</v>
      </c>
      <c r="NH37" s="19">
        <f t="shared" si="39"/>
        <v>684930</v>
      </c>
      <c r="NI37" s="103"/>
      <c r="NK37" s="100"/>
      <c r="NL37" s="21" t="s">
        <v>42</v>
      </c>
      <c r="NM37" s="18"/>
      <c r="NN37" s="18"/>
      <c r="NO37" s="18"/>
      <c r="NP37" s="18"/>
      <c r="NQ37" s="18"/>
      <c r="NR37" s="18"/>
      <c r="NS37" s="18">
        <v>1370</v>
      </c>
      <c r="NT37" s="18">
        <v>5479</v>
      </c>
      <c r="NU37" s="18">
        <v>10959</v>
      </c>
      <c r="NV37" s="18">
        <v>16438</v>
      </c>
      <c r="NW37" s="18">
        <v>20548</v>
      </c>
      <c r="NX37" s="18">
        <v>23288</v>
      </c>
      <c r="NY37" s="18">
        <v>23288</v>
      </c>
      <c r="NZ37" s="18">
        <v>17808</v>
      </c>
      <c r="OA37" s="18">
        <v>10959</v>
      </c>
      <c r="OB37" s="18">
        <v>5479</v>
      </c>
      <c r="OC37" s="18">
        <v>1370</v>
      </c>
      <c r="OD37" s="18"/>
      <c r="OE37" s="18"/>
      <c r="OF37" s="18"/>
      <c r="OG37" s="18"/>
      <c r="OH37" s="18"/>
      <c r="OI37" s="18"/>
      <c r="OJ37" s="18"/>
      <c r="OK37" s="19">
        <f t="shared" si="23"/>
        <v>136986</v>
      </c>
      <c r="OL37" s="38">
        <v>5</v>
      </c>
      <c r="OM37" s="19">
        <f t="shared" si="40"/>
        <v>684930</v>
      </c>
      <c r="ON37" s="103"/>
      <c r="OP37" s="100"/>
      <c r="OQ37" s="21" t="s">
        <v>42</v>
      </c>
      <c r="OR37" s="18"/>
      <c r="OS37" s="18"/>
      <c r="OT37" s="18"/>
      <c r="OU37" s="18"/>
      <c r="OV37" s="18"/>
      <c r="OW37" s="18"/>
      <c r="OX37" s="18">
        <v>1370</v>
      </c>
      <c r="OY37" s="18">
        <v>5479</v>
      </c>
      <c r="OZ37" s="18">
        <v>10959</v>
      </c>
      <c r="PA37" s="18">
        <v>16438</v>
      </c>
      <c r="PB37" s="18">
        <v>20548</v>
      </c>
      <c r="PC37" s="18">
        <v>23288</v>
      </c>
      <c r="PD37" s="18">
        <v>23288</v>
      </c>
      <c r="PE37" s="18">
        <v>17808</v>
      </c>
      <c r="PF37" s="18">
        <v>10959</v>
      </c>
      <c r="PG37" s="18">
        <v>5479</v>
      </c>
      <c r="PH37" s="18">
        <v>1370</v>
      </c>
      <c r="PI37" s="18"/>
      <c r="PJ37" s="18"/>
      <c r="PK37" s="18"/>
      <c r="PL37" s="18"/>
      <c r="PM37" s="18"/>
      <c r="PN37" s="18"/>
      <c r="PO37" s="18"/>
      <c r="PP37" s="19">
        <f t="shared" si="25"/>
        <v>136986</v>
      </c>
      <c r="PQ37" s="38">
        <v>3</v>
      </c>
      <c r="PR37" s="19">
        <f t="shared" si="41"/>
        <v>410958</v>
      </c>
      <c r="PS37" s="103"/>
      <c r="PU37" s="100"/>
      <c r="PV37" s="21" t="s">
        <v>42</v>
      </c>
      <c r="PW37" s="18"/>
      <c r="PX37" s="18"/>
      <c r="PY37" s="18"/>
      <c r="PZ37" s="18"/>
      <c r="QA37" s="18"/>
      <c r="QB37" s="18"/>
      <c r="QC37" s="18">
        <v>1366</v>
      </c>
      <c r="QD37" s="18">
        <v>5464</v>
      </c>
      <c r="QE37" s="18">
        <v>10929</v>
      </c>
      <c r="QF37" s="18">
        <v>16393</v>
      </c>
      <c r="QG37" s="18">
        <v>20492</v>
      </c>
      <c r="QH37" s="18">
        <v>23224</v>
      </c>
      <c r="QI37" s="18">
        <v>23224</v>
      </c>
      <c r="QJ37" s="18">
        <v>17760</v>
      </c>
      <c r="QK37" s="18">
        <v>10929</v>
      </c>
      <c r="QL37" s="18">
        <v>5464</v>
      </c>
      <c r="QM37" s="18">
        <v>1366</v>
      </c>
      <c r="QN37" s="18"/>
      <c r="QO37" s="18"/>
      <c r="QP37" s="18"/>
      <c r="QQ37" s="18"/>
      <c r="QR37" s="18"/>
      <c r="QS37" s="18"/>
      <c r="QT37" s="18"/>
      <c r="QU37" s="19">
        <f t="shared" si="27"/>
        <v>136611</v>
      </c>
      <c r="QV37" s="45">
        <v>4</v>
      </c>
      <c r="QW37" s="19">
        <f t="shared" si="42"/>
        <v>546444</v>
      </c>
      <c r="QX37" s="103"/>
    </row>
    <row r="38" spans="1:466" ht="15" thickBot="1" x14ac:dyDescent="0.4">
      <c r="A38" s="101"/>
      <c r="B38" s="22" t="s">
        <v>43</v>
      </c>
      <c r="C38" s="18"/>
      <c r="D38" s="18"/>
      <c r="E38" s="18"/>
      <c r="F38" s="18"/>
      <c r="G38" s="18"/>
      <c r="H38" s="18"/>
      <c r="I38" s="18">
        <v>1370</v>
      </c>
      <c r="J38" s="18">
        <v>5479</v>
      </c>
      <c r="K38" s="18">
        <v>10959</v>
      </c>
      <c r="L38" s="18">
        <v>16438</v>
      </c>
      <c r="M38" s="18">
        <v>20548</v>
      </c>
      <c r="N38" s="18">
        <v>23288</v>
      </c>
      <c r="O38" s="18">
        <v>23288</v>
      </c>
      <c r="P38" s="18">
        <v>17808</v>
      </c>
      <c r="Q38" s="18">
        <v>10959</v>
      </c>
      <c r="R38" s="18">
        <v>5479</v>
      </c>
      <c r="S38" s="18">
        <v>1370</v>
      </c>
      <c r="T38" s="18"/>
      <c r="U38" s="18"/>
      <c r="V38" s="18"/>
      <c r="W38" s="18"/>
      <c r="X38" s="18"/>
      <c r="Y38" s="18"/>
      <c r="Z38" s="18"/>
      <c r="AA38" s="19">
        <f t="shared" si="0"/>
        <v>136986</v>
      </c>
      <c r="AB38" s="39">
        <v>2</v>
      </c>
      <c r="AC38" s="19">
        <f t="shared" si="1"/>
        <v>273972</v>
      </c>
      <c r="AD38" s="104"/>
      <c r="AF38" s="101"/>
      <c r="AG38" s="22" t="s">
        <v>43</v>
      </c>
      <c r="AH38" s="18"/>
      <c r="AI38" s="18"/>
      <c r="AJ38" s="18"/>
      <c r="AK38" s="18"/>
      <c r="AL38" s="18"/>
      <c r="AM38" s="18"/>
      <c r="AN38" s="18">
        <v>1370</v>
      </c>
      <c r="AO38" s="18">
        <v>5479</v>
      </c>
      <c r="AP38" s="18">
        <v>10959</v>
      </c>
      <c r="AQ38" s="18">
        <v>16438</v>
      </c>
      <c r="AR38" s="18">
        <v>20548</v>
      </c>
      <c r="AS38" s="18">
        <v>23288</v>
      </c>
      <c r="AT38" s="18">
        <v>23288</v>
      </c>
      <c r="AU38" s="18">
        <v>17808</v>
      </c>
      <c r="AV38" s="18">
        <v>10959</v>
      </c>
      <c r="AW38" s="18">
        <v>5479</v>
      </c>
      <c r="AX38" s="18">
        <v>1370</v>
      </c>
      <c r="AY38" s="18"/>
      <c r="AZ38" s="18"/>
      <c r="BA38" s="18"/>
      <c r="BB38" s="18"/>
      <c r="BC38" s="18"/>
      <c r="BD38" s="18"/>
      <c r="BE38" s="18"/>
      <c r="BF38" s="19">
        <f t="shared" si="2"/>
        <v>136986</v>
      </c>
      <c r="BG38" s="39">
        <v>2</v>
      </c>
      <c r="BH38" s="19">
        <f t="shared" si="29"/>
        <v>273972</v>
      </c>
      <c r="BI38" s="104"/>
      <c r="BK38" s="101"/>
      <c r="BL38" s="22" t="s">
        <v>43</v>
      </c>
      <c r="BM38" s="18"/>
      <c r="BN38" s="18"/>
      <c r="BO38" s="18"/>
      <c r="BP38" s="18"/>
      <c r="BQ38" s="18"/>
      <c r="BR38" s="18"/>
      <c r="BS38" s="18">
        <v>1366</v>
      </c>
      <c r="BT38" s="18">
        <v>5464</v>
      </c>
      <c r="BU38" s="18">
        <v>10929</v>
      </c>
      <c r="BV38" s="18">
        <v>16393</v>
      </c>
      <c r="BW38" s="18">
        <v>20492</v>
      </c>
      <c r="BX38" s="18">
        <v>23224</v>
      </c>
      <c r="BY38" s="18">
        <v>23224</v>
      </c>
      <c r="BZ38" s="18">
        <v>17760</v>
      </c>
      <c r="CA38" s="18">
        <v>10929</v>
      </c>
      <c r="CB38" s="18">
        <v>5464</v>
      </c>
      <c r="CC38" s="18">
        <v>1366</v>
      </c>
      <c r="CD38" s="18"/>
      <c r="CE38" s="18"/>
      <c r="CF38" s="18"/>
      <c r="CG38" s="18"/>
      <c r="CH38" s="18"/>
      <c r="CI38" s="18"/>
      <c r="CJ38" s="18"/>
      <c r="CK38" s="19">
        <f t="shared" si="4"/>
        <v>136611</v>
      </c>
      <c r="CL38" s="39">
        <v>2</v>
      </c>
      <c r="CM38" s="19">
        <f t="shared" si="30"/>
        <v>273222</v>
      </c>
      <c r="CN38" s="104"/>
      <c r="CP38" s="101"/>
      <c r="CQ38" s="22" t="s">
        <v>43</v>
      </c>
      <c r="CR38" s="18"/>
      <c r="CS38" s="18"/>
      <c r="CT38" s="18"/>
      <c r="CU38" s="18"/>
      <c r="CV38" s="18"/>
      <c r="CW38" s="18"/>
      <c r="CX38" s="18">
        <v>1370</v>
      </c>
      <c r="CY38" s="18">
        <v>5479</v>
      </c>
      <c r="CZ38" s="18">
        <v>10959</v>
      </c>
      <c r="DA38" s="18">
        <v>16438</v>
      </c>
      <c r="DB38" s="18">
        <v>20548</v>
      </c>
      <c r="DC38" s="18">
        <v>23288</v>
      </c>
      <c r="DD38" s="18">
        <v>23288</v>
      </c>
      <c r="DE38" s="18">
        <v>17808</v>
      </c>
      <c r="DF38" s="18">
        <v>10959</v>
      </c>
      <c r="DG38" s="18">
        <v>5479</v>
      </c>
      <c r="DH38" s="18">
        <v>1370</v>
      </c>
      <c r="DI38" s="18"/>
      <c r="DJ38" s="18"/>
      <c r="DK38" s="18"/>
      <c r="DL38" s="18"/>
      <c r="DM38" s="18"/>
      <c r="DN38" s="18"/>
      <c r="DO38" s="18"/>
      <c r="DP38" s="19">
        <f t="shared" si="6"/>
        <v>136986</v>
      </c>
      <c r="DQ38" s="39">
        <v>2</v>
      </c>
      <c r="DR38" s="19">
        <f t="shared" si="31"/>
        <v>273972</v>
      </c>
      <c r="DS38" s="104"/>
      <c r="DV38" s="101"/>
      <c r="DW38" s="22" t="s">
        <v>43</v>
      </c>
      <c r="DX38" s="18"/>
      <c r="DY38" s="18"/>
      <c r="DZ38" s="18"/>
      <c r="EA38" s="18"/>
      <c r="EB38" s="18"/>
      <c r="EC38" s="18"/>
      <c r="ED38" s="18">
        <v>1370</v>
      </c>
      <c r="EE38" s="18">
        <v>5479</v>
      </c>
      <c r="EF38" s="18">
        <v>10959</v>
      </c>
      <c r="EG38" s="18">
        <v>16438</v>
      </c>
      <c r="EH38" s="18">
        <v>20548</v>
      </c>
      <c r="EI38" s="18">
        <v>23288</v>
      </c>
      <c r="EJ38" s="18">
        <v>23288</v>
      </c>
      <c r="EK38" s="18">
        <v>17808</v>
      </c>
      <c r="EL38" s="18">
        <v>10959</v>
      </c>
      <c r="EM38" s="18">
        <v>5479</v>
      </c>
      <c r="EN38" s="18">
        <v>1370</v>
      </c>
      <c r="EO38" s="18"/>
      <c r="EP38" s="18"/>
      <c r="EQ38" s="18"/>
      <c r="ER38" s="18"/>
      <c r="ES38" s="18"/>
      <c r="ET38" s="18"/>
      <c r="EU38" s="18"/>
      <c r="EV38" s="19">
        <f t="shared" si="8"/>
        <v>136986</v>
      </c>
      <c r="EW38" s="39">
        <v>2</v>
      </c>
      <c r="EX38" s="19">
        <f t="shared" si="32"/>
        <v>273972</v>
      </c>
      <c r="EY38" s="104"/>
      <c r="FB38" s="101"/>
      <c r="FC38" s="22" t="s">
        <v>43</v>
      </c>
      <c r="FD38" s="18"/>
      <c r="FE38" s="18"/>
      <c r="FF38" s="18"/>
      <c r="FG38" s="18"/>
      <c r="FH38" s="18"/>
      <c r="FI38" s="18"/>
      <c r="FJ38" s="18">
        <v>1370</v>
      </c>
      <c r="FK38" s="18">
        <v>5479</v>
      </c>
      <c r="FL38" s="18">
        <v>10959</v>
      </c>
      <c r="FM38" s="18">
        <v>16438</v>
      </c>
      <c r="FN38" s="18">
        <v>20548</v>
      </c>
      <c r="FO38" s="18">
        <v>23288</v>
      </c>
      <c r="FP38" s="18">
        <v>23288</v>
      </c>
      <c r="FQ38" s="18">
        <v>17808</v>
      </c>
      <c r="FR38" s="18">
        <v>10959</v>
      </c>
      <c r="FS38" s="18">
        <v>5479</v>
      </c>
      <c r="FT38" s="18">
        <v>1370</v>
      </c>
      <c r="FU38" s="18"/>
      <c r="FV38" s="18"/>
      <c r="FW38" s="18"/>
      <c r="FX38" s="18"/>
      <c r="FY38" s="18"/>
      <c r="FZ38" s="18"/>
      <c r="GA38" s="18"/>
      <c r="GB38" s="19">
        <f t="shared" si="9"/>
        <v>136986</v>
      </c>
      <c r="GC38" s="39">
        <v>2</v>
      </c>
      <c r="GD38" s="19">
        <f t="shared" si="33"/>
        <v>273972</v>
      </c>
      <c r="GE38" s="104"/>
      <c r="GG38" s="101"/>
      <c r="GH38" s="22" t="s">
        <v>43</v>
      </c>
      <c r="GI38" s="18"/>
      <c r="GJ38" s="18"/>
      <c r="GK38" s="18"/>
      <c r="GL38" s="18"/>
      <c r="GM38" s="18"/>
      <c r="GN38" s="18"/>
      <c r="GO38" s="18">
        <v>1366</v>
      </c>
      <c r="GP38" s="18">
        <v>5464</v>
      </c>
      <c r="GQ38" s="18">
        <v>10929</v>
      </c>
      <c r="GR38" s="18">
        <v>16393</v>
      </c>
      <c r="GS38" s="18">
        <v>20492</v>
      </c>
      <c r="GT38" s="18">
        <v>23224</v>
      </c>
      <c r="GU38" s="18">
        <v>23224</v>
      </c>
      <c r="GV38" s="18">
        <v>17760</v>
      </c>
      <c r="GW38" s="18">
        <v>10929</v>
      </c>
      <c r="GX38" s="18">
        <v>5464</v>
      </c>
      <c r="GY38" s="18">
        <v>1366</v>
      </c>
      <c r="GZ38" s="18"/>
      <c r="HA38" s="18"/>
      <c r="HB38" s="18"/>
      <c r="HC38" s="18"/>
      <c r="HD38" s="18"/>
      <c r="HE38" s="18"/>
      <c r="HF38" s="18"/>
      <c r="HG38" s="19">
        <f t="shared" si="11"/>
        <v>136611</v>
      </c>
      <c r="HH38" s="39">
        <v>2</v>
      </c>
      <c r="HI38" s="19">
        <f t="shared" si="34"/>
        <v>273222</v>
      </c>
      <c r="HJ38" s="104"/>
      <c r="HL38" s="101"/>
      <c r="HM38" s="22" t="s">
        <v>43</v>
      </c>
      <c r="HN38" s="18"/>
      <c r="HO38" s="18"/>
      <c r="HP38" s="18"/>
      <c r="HQ38" s="18"/>
      <c r="HR38" s="18"/>
      <c r="HS38" s="18"/>
      <c r="HT38" s="18">
        <v>1370</v>
      </c>
      <c r="HU38" s="18">
        <v>5479</v>
      </c>
      <c r="HV38" s="18">
        <v>10959</v>
      </c>
      <c r="HW38" s="18">
        <v>16438</v>
      </c>
      <c r="HX38" s="18">
        <v>20548</v>
      </c>
      <c r="HY38" s="18">
        <v>23288</v>
      </c>
      <c r="HZ38" s="18">
        <v>23288</v>
      </c>
      <c r="IA38" s="18">
        <v>17808</v>
      </c>
      <c r="IB38" s="18">
        <v>10959</v>
      </c>
      <c r="IC38" s="18">
        <v>5479</v>
      </c>
      <c r="ID38" s="18">
        <v>1370</v>
      </c>
      <c r="IE38" s="18"/>
      <c r="IF38" s="18"/>
      <c r="IG38" s="18"/>
      <c r="IH38" s="18"/>
      <c r="II38" s="18"/>
      <c r="IJ38" s="18"/>
      <c r="IK38" s="18"/>
      <c r="IL38" s="19">
        <f t="shared" si="13"/>
        <v>136986</v>
      </c>
      <c r="IM38" s="81">
        <v>2</v>
      </c>
      <c r="IN38" s="19">
        <f t="shared" si="35"/>
        <v>273972</v>
      </c>
      <c r="IO38" s="104"/>
      <c r="IQ38" s="101"/>
      <c r="IR38" s="22" t="s">
        <v>43</v>
      </c>
      <c r="IS38" s="18"/>
      <c r="IT38" s="18"/>
      <c r="IU38" s="18"/>
      <c r="IV38" s="18"/>
      <c r="IW38" s="18"/>
      <c r="IX38" s="18"/>
      <c r="IY38" s="18">
        <v>1370</v>
      </c>
      <c r="IZ38" s="18">
        <v>5479</v>
      </c>
      <c r="JA38" s="18">
        <v>10959</v>
      </c>
      <c r="JB38" s="18">
        <v>16438</v>
      </c>
      <c r="JC38" s="18">
        <v>20548</v>
      </c>
      <c r="JD38" s="18">
        <v>23288</v>
      </c>
      <c r="JE38" s="18">
        <v>23288</v>
      </c>
      <c r="JF38" s="18">
        <v>17808</v>
      </c>
      <c r="JG38" s="18">
        <v>10959</v>
      </c>
      <c r="JH38" s="18">
        <v>5479</v>
      </c>
      <c r="JI38" s="18">
        <v>1370</v>
      </c>
      <c r="JJ38" s="18"/>
      <c r="JK38" s="18"/>
      <c r="JL38" s="18"/>
      <c r="JM38" s="18"/>
      <c r="JN38" s="18"/>
      <c r="JO38" s="18"/>
      <c r="JP38" s="18"/>
      <c r="JQ38" s="19">
        <f t="shared" si="15"/>
        <v>136986</v>
      </c>
      <c r="JR38" s="39">
        <v>2</v>
      </c>
      <c r="JS38" s="19">
        <f t="shared" si="36"/>
        <v>273972</v>
      </c>
      <c r="JT38" s="104"/>
      <c r="JV38" s="101"/>
      <c r="JW38" s="22" t="s">
        <v>43</v>
      </c>
      <c r="JX38" s="18"/>
      <c r="JY38" s="18"/>
      <c r="JZ38" s="18"/>
      <c r="KA38" s="18"/>
      <c r="KB38" s="18"/>
      <c r="KC38" s="18"/>
      <c r="KD38" s="18"/>
      <c r="KE38" s="18">
        <v>1370</v>
      </c>
      <c r="KF38" s="18">
        <v>5479</v>
      </c>
      <c r="KG38" s="18">
        <v>10959</v>
      </c>
      <c r="KH38" s="18">
        <v>16438</v>
      </c>
      <c r="KI38" s="18">
        <v>20548</v>
      </c>
      <c r="KJ38" s="18">
        <v>23288</v>
      </c>
      <c r="KK38" s="18">
        <v>23288</v>
      </c>
      <c r="KL38" s="18">
        <v>17808</v>
      </c>
      <c r="KM38" s="18">
        <v>10959</v>
      </c>
      <c r="KN38" s="18">
        <v>5479</v>
      </c>
      <c r="KO38" s="18">
        <v>1370</v>
      </c>
      <c r="KP38" s="18"/>
      <c r="KQ38" s="18"/>
      <c r="KR38" s="18"/>
      <c r="KS38" s="18"/>
      <c r="KT38" s="18"/>
      <c r="KU38" s="18"/>
      <c r="KV38" s="19">
        <f t="shared" si="17"/>
        <v>136986</v>
      </c>
      <c r="KW38" s="39">
        <v>2</v>
      </c>
      <c r="KX38" s="19">
        <f t="shared" si="37"/>
        <v>273972</v>
      </c>
      <c r="KY38" s="104"/>
      <c r="LA38" s="101"/>
      <c r="LB38" s="22" t="s">
        <v>43</v>
      </c>
      <c r="LC38" s="18"/>
      <c r="LD38" s="18"/>
      <c r="LE38" s="18"/>
      <c r="LF38" s="18"/>
      <c r="LG38" s="18"/>
      <c r="LH38" s="18"/>
      <c r="LI38" s="18">
        <v>1366</v>
      </c>
      <c r="LJ38" s="18">
        <v>5464</v>
      </c>
      <c r="LK38" s="18">
        <v>10929</v>
      </c>
      <c r="LL38" s="18">
        <v>16393</v>
      </c>
      <c r="LM38" s="18">
        <v>20492</v>
      </c>
      <c r="LN38" s="18">
        <v>23224</v>
      </c>
      <c r="LO38" s="18">
        <v>23224</v>
      </c>
      <c r="LP38" s="18">
        <v>17760</v>
      </c>
      <c r="LQ38" s="18">
        <v>10929</v>
      </c>
      <c r="LR38" s="18">
        <v>5464</v>
      </c>
      <c r="LS38" s="18">
        <v>1366</v>
      </c>
      <c r="LT38" s="18"/>
      <c r="LU38" s="18"/>
      <c r="LV38" s="18"/>
      <c r="LW38" s="18"/>
      <c r="LX38" s="18"/>
      <c r="LY38" s="18"/>
      <c r="LZ38" s="18"/>
      <c r="MA38" s="19">
        <f t="shared" si="19"/>
        <v>136611</v>
      </c>
      <c r="MB38" s="39">
        <v>2</v>
      </c>
      <c r="MC38" s="19">
        <f t="shared" si="38"/>
        <v>273222</v>
      </c>
      <c r="MD38" s="104"/>
      <c r="MF38" s="101"/>
      <c r="MG38" s="22" t="s">
        <v>43</v>
      </c>
      <c r="MH38" s="18"/>
      <c r="MI38" s="18"/>
      <c r="MJ38" s="18"/>
      <c r="MK38" s="18"/>
      <c r="ML38" s="18"/>
      <c r="MM38" s="18"/>
      <c r="MN38" s="18">
        <v>1370</v>
      </c>
      <c r="MO38" s="18">
        <v>5479</v>
      </c>
      <c r="MP38" s="18">
        <v>10959</v>
      </c>
      <c r="MQ38" s="18">
        <v>16438</v>
      </c>
      <c r="MR38" s="18">
        <v>20548</v>
      </c>
      <c r="MS38" s="18">
        <v>23288</v>
      </c>
      <c r="MT38" s="18">
        <v>23288</v>
      </c>
      <c r="MU38" s="18">
        <v>17808</v>
      </c>
      <c r="MV38" s="18">
        <v>10959</v>
      </c>
      <c r="MW38" s="18">
        <v>5479</v>
      </c>
      <c r="MX38" s="18">
        <v>1370</v>
      </c>
      <c r="MY38" s="18"/>
      <c r="MZ38" s="18"/>
      <c r="NA38" s="18"/>
      <c r="NB38" s="18"/>
      <c r="NC38" s="18"/>
      <c r="ND38" s="18"/>
      <c r="NE38" s="18"/>
      <c r="NF38" s="19">
        <f t="shared" si="21"/>
        <v>136986</v>
      </c>
      <c r="NG38" s="39">
        <v>2</v>
      </c>
      <c r="NH38" s="19">
        <f t="shared" si="39"/>
        <v>273972</v>
      </c>
      <c r="NI38" s="104"/>
      <c r="NK38" s="101"/>
      <c r="NL38" s="22" t="s">
        <v>43</v>
      </c>
      <c r="NM38" s="18"/>
      <c r="NN38" s="18"/>
      <c r="NO38" s="18"/>
      <c r="NP38" s="18"/>
      <c r="NQ38" s="18"/>
      <c r="NR38" s="18"/>
      <c r="NS38" s="18">
        <v>1370</v>
      </c>
      <c r="NT38" s="18">
        <v>5479</v>
      </c>
      <c r="NU38" s="18">
        <v>10959</v>
      </c>
      <c r="NV38" s="18">
        <v>16438</v>
      </c>
      <c r="NW38" s="18">
        <v>20548</v>
      </c>
      <c r="NX38" s="18">
        <v>23288</v>
      </c>
      <c r="NY38" s="18">
        <v>23288</v>
      </c>
      <c r="NZ38" s="18">
        <v>17808</v>
      </c>
      <c r="OA38" s="18">
        <v>10959</v>
      </c>
      <c r="OB38" s="18">
        <v>5479</v>
      </c>
      <c r="OC38" s="18">
        <v>1370</v>
      </c>
      <c r="OD38" s="18"/>
      <c r="OE38" s="18"/>
      <c r="OF38" s="18"/>
      <c r="OG38" s="18"/>
      <c r="OH38" s="18"/>
      <c r="OI38" s="18"/>
      <c r="OJ38" s="18"/>
      <c r="OK38" s="19">
        <f t="shared" si="23"/>
        <v>136986</v>
      </c>
      <c r="OL38" s="39">
        <v>2</v>
      </c>
      <c r="OM38" s="19">
        <f t="shared" si="40"/>
        <v>273972</v>
      </c>
      <c r="ON38" s="104"/>
      <c r="OP38" s="101"/>
      <c r="OQ38" s="22" t="s">
        <v>43</v>
      </c>
      <c r="OR38" s="18"/>
      <c r="OS38" s="18"/>
      <c r="OT38" s="18"/>
      <c r="OU38" s="18"/>
      <c r="OV38" s="18"/>
      <c r="OW38" s="18"/>
      <c r="OX38" s="18">
        <v>1370</v>
      </c>
      <c r="OY38" s="18">
        <v>5479</v>
      </c>
      <c r="OZ38" s="18">
        <v>10959</v>
      </c>
      <c r="PA38" s="18">
        <v>16438</v>
      </c>
      <c r="PB38" s="18">
        <v>20548</v>
      </c>
      <c r="PC38" s="18">
        <v>23288</v>
      </c>
      <c r="PD38" s="18">
        <v>23288</v>
      </c>
      <c r="PE38" s="18">
        <v>17808</v>
      </c>
      <c r="PF38" s="18">
        <v>10959</v>
      </c>
      <c r="PG38" s="18">
        <v>5479</v>
      </c>
      <c r="PH38" s="18">
        <v>1370</v>
      </c>
      <c r="PI38" s="18"/>
      <c r="PJ38" s="18"/>
      <c r="PK38" s="18"/>
      <c r="PL38" s="18"/>
      <c r="PM38" s="18"/>
      <c r="PN38" s="18"/>
      <c r="PO38" s="18"/>
      <c r="PP38" s="19">
        <f t="shared" si="25"/>
        <v>136986</v>
      </c>
      <c r="PQ38" s="39">
        <v>2</v>
      </c>
      <c r="PR38" s="19">
        <f t="shared" si="41"/>
        <v>273972</v>
      </c>
      <c r="PS38" s="104"/>
      <c r="PU38" s="101"/>
      <c r="PV38" s="22" t="s">
        <v>43</v>
      </c>
      <c r="PW38" s="18"/>
      <c r="PX38" s="18"/>
      <c r="PY38" s="18"/>
      <c r="PZ38" s="18"/>
      <c r="QA38" s="18"/>
      <c r="QB38" s="18"/>
      <c r="QC38" s="18">
        <v>1366</v>
      </c>
      <c r="QD38" s="18">
        <v>5464</v>
      </c>
      <c r="QE38" s="18">
        <v>10929</v>
      </c>
      <c r="QF38" s="18">
        <v>16393</v>
      </c>
      <c r="QG38" s="18">
        <v>20492</v>
      </c>
      <c r="QH38" s="18">
        <v>23224</v>
      </c>
      <c r="QI38" s="18">
        <v>23224</v>
      </c>
      <c r="QJ38" s="18">
        <v>17760</v>
      </c>
      <c r="QK38" s="18">
        <v>10929</v>
      </c>
      <c r="QL38" s="18">
        <v>5464</v>
      </c>
      <c r="QM38" s="18">
        <v>1366</v>
      </c>
      <c r="QN38" s="18"/>
      <c r="QO38" s="18"/>
      <c r="QP38" s="18"/>
      <c r="QQ38" s="18"/>
      <c r="QR38" s="18"/>
      <c r="QS38" s="18"/>
      <c r="QT38" s="18"/>
      <c r="QU38" s="19">
        <f t="shared" si="27"/>
        <v>136611</v>
      </c>
      <c r="QV38" s="47">
        <v>2</v>
      </c>
      <c r="QW38" s="19">
        <f t="shared" si="42"/>
        <v>273222</v>
      </c>
      <c r="QX38" s="104"/>
    </row>
    <row r="39" spans="1:466" x14ac:dyDescent="0.35">
      <c r="A39" s="99">
        <v>46266</v>
      </c>
      <c r="B39" s="17" t="s">
        <v>40</v>
      </c>
      <c r="C39" s="18"/>
      <c r="D39" s="18"/>
      <c r="E39" s="18"/>
      <c r="F39" s="18"/>
      <c r="G39" s="18"/>
      <c r="H39" s="18"/>
      <c r="I39" s="18">
        <v>1370</v>
      </c>
      <c r="J39" s="18">
        <v>5479</v>
      </c>
      <c r="K39" s="18">
        <v>10959</v>
      </c>
      <c r="L39" s="18">
        <v>16438</v>
      </c>
      <c r="M39" s="18">
        <v>20548</v>
      </c>
      <c r="N39" s="18">
        <v>23288</v>
      </c>
      <c r="O39" s="18">
        <v>23288</v>
      </c>
      <c r="P39" s="18">
        <v>17808</v>
      </c>
      <c r="Q39" s="18">
        <v>10959</v>
      </c>
      <c r="R39" s="18">
        <v>5479</v>
      </c>
      <c r="S39" s="18">
        <v>1370</v>
      </c>
      <c r="T39" s="18"/>
      <c r="U39" s="18"/>
      <c r="V39" s="18"/>
      <c r="W39" s="18"/>
      <c r="X39" s="18"/>
      <c r="Y39" s="18"/>
      <c r="Z39" s="18"/>
      <c r="AA39" s="19">
        <f t="shared" si="0"/>
        <v>136986</v>
      </c>
      <c r="AB39" s="37">
        <v>22</v>
      </c>
      <c r="AC39" s="19">
        <f t="shared" si="1"/>
        <v>3013692</v>
      </c>
      <c r="AD39" s="102">
        <f>+SUM(AC39:AC42)</f>
        <v>4109580</v>
      </c>
      <c r="AF39" s="99">
        <v>46631</v>
      </c>
      <c r="AG39" s="17" t="s">
        <v>40</v>
      </c>
      <c r="AH39" s="18"/>
      <c r="AI39" s="18"/>
      <c r="AJ39" s="18"/>
      <c r="AK39" s="18"/>
      <c r="AL39" s="18"/>
      <c r="AM39" s="18"/>
      <c r="AN39" s="18">
        <v>1370</v>
      </c>
      <c r="AO39" s="18">
        <v>5479</v>
      </c>
      <c r="AP39" s="18">
        <v>10959</v>
      </c>
      <c r="AQ39" s="18">
        <v>16438</v>
      </c>
      <c r="AR39" s="18">
        <v>20548</v>
      </c>
      <c r="AS39" s="18">
        <v>23288</v>
      </c>
      <c r="AT39" s="18">
        <v>23288</v>
      </c>
      <c r="AU39" s="18">
        <v>17808</v>
      </c>
      <c r="AV39" s="18">
        <v>10959</v>
      </c>
      <c r="AW39" s="18">
        <v>5479</v>
      </c>
      <c r="AX39" s="18">
        <v>1370</v>
      </c>
      <c r="AY39" s="18"/>
      <c r="AZ39" s="18"/>
      <c r="BA39" s="18"/>
      <c r="BB39" s="18"/>
      <c r="BC39" s="18"/>
      <c r="BD39" s="18"/>
      <c r="BE39" s="18"/>
      <c r="BF39" s="19">
        <f t="shared" si="2"/>
        <v>136986</v>
      </c>
      <c r="BG39" s="37">
        <v>22</v>
      </c>
      <c r="BH39" s="19">
        <f t="shared" si="29"/>
        <v>3013692</v>
      </c>
      <c r="BI39" s="102">
        <f>+SUM(BH39:BH42)</f>
        <v>4109580</v>
      </c>
      <c r="BK39" s="99">
        <v>46997</v>
      </c>
      <c r="BL39" s="17" t="s">
        <v>40</v>
      </c>
      <c r="BM39" s="18"/>
      <c r="BN39" s="18"/>
      <c r="BO39" s="18"/>
      <c r="BP39" s="18"/>
      <c r="BQ39" s="18"/>
      <c r="BR39" s="18"/>
      <c r="BS39" s="18">
        <v>1366</v>
      </c>
      <c r="BT39" s="18">
        <v>5464</v>
      </c>
      <c r="BU39" s="18">
        <v>10929</v>
      </c>
      <c r="BV39" s="18">
        <v>16393</v>
      </c>
      <c r="BW39" s="18">
        <v>20492</v>
      </c>
      <c r="BX39" s="18">
        <v>23224</v>
      </c>
      <c r="BY39" s="18">
        <v>23224</v>
      </c>
      <c r="BZ39" s="18">
        <v>17760</v>
      </c>
      <c r="CA39" s="18">
        <v>10929</v>
      </c>
      <c r="CB39" s="18">
        <v>5464</v>
      </c>
      <c r="CC39" s="18">
        <v>1366</v>
      </c>
      <c r="CD39" s="18"/>
      <c r="CE39" s="18"/>
      <c r="CF39" s="18"/>
      <c r="CG39" s="18"/>
      <c r="CH39" s="18"/>
      <c r="CI39" s="18"/>
      <c r="CJ39" s="18"/>
      <c r="CK39" s="19">
        <f t="shared" si="4"/>
        <v>136611</v>
      </c>
      <c r="CL39" s="37">
        <v>21</v>
      </c>
      <c r="CM39" s="19">
        <f t="shared" si="30"/>
        <v>2868831</v>
      </c>
      <c r="CN39" s="102">
        <f>+SUM(CM39:CM42)</f>
        <v>4098330</v>
      </c>
      <c r="CP39" s="99">
        <v>47362</v>
      </c>
      <c r="CQ39" s="17" t="s">
        <v>40</v>
      </c>
      <c r="CR39" s="18"/>
      <c r="CS39" s="18"/>
      <c r="CT39" s="18"/>
      <c r="CU39" s="18"/>
      <c r="CV39" s="18"/>
      <c r="CW39" s="18"/>
      <c r="CX39" s="18">
        <v>1370</v>
      </c>
      <c r="CY39" s="18">
        <v>5479</v>
      </c>
      <c r="CZ39" s="18">
        <v>10959</v>
      </c>
      <c r="DA39" s="18">
        <v>16438</v>
      </c>
      <c r="DB39" s="18">
        <v>20548</v>
      </c>
      <c r="DC39" s="18">
        <v>23288</v>
      </c>
      <c r="DD39" s="18">
        <v>23288</v>
      </c>
      <c r="DE39" s="18">
        <v>17808</v>
      </c>
      <c r="DF39" s="18">
        <v>10959</v>
      </c>
      <c r="DG39" s="18">
        <v>5479</v>
      </c>
      <c r="DH39" s="18">
        <v>1370</v>
      </c>
      <c r="DI39" s="18"/>
      <c r="DJ39" s="18"/>
      <c r="DK39" s="18"/>
      <c r="DL39" s="18"/>
      <c r="DM39" s="18"/>
      <c r="DN39" s="18"/>
      <c r="DO39" s="18"/>
      <c r="DP39" s="19">
        <f t="shared" si="6"/>
        <v>136986</v>
      </c>
      <c r="DQ39" s="37">
        <v>20</v>
      </c>
      <c r="DR39" s="19">
        <f t="shared" si="31"/>
        <v>2739720</v>
      </c>
      <c r="DS39" s="102">
        <f>+SUM(DR39:DR42)</f>
        <v>4109580</v>
      </c>
      <c r="DV39" s="99">
        <v>47727</v>
      </c>
      <c r="DW39" s="17" t="s">
        <v>40</v>
      </c>
      <c r="DX39" s="18"/>
      <c r="DY39" s="18"/>
      <c r="DZ39" s="18"/>
      <c r="EA39" s="18"/>
      <c r="EB39" s="18"/>
      <c r="EC39" s="18"/>
      <c r="ED39" s="18">
        <v>1370</v>
      </c>
      <c r="EE39" s="18">
        <v>5479</v>
      </c>
      <c r="EF39" s="18">
        <v>10959</v>
      </c>
      <c r="EG39" s="18">
        <v>16438</v>
      </c>
      <c r="EH39" s="18">
        <v>20548</v>
      </c>
      <c r="EI39" s="18">
        <v>23288</v>
      </c>
      <c r="EJ39" s="18">
        <v>23288</v>
      </c>
      <c r="EK39" s="18">
        <v>17808</v>
      </c>
      <c r="EL39" s="18">
        <v>10959</v>
      </c>
      <c r="EM39" s="18">
        <v>5479</v>
      </c>
      <c r="EN39" s="18">
        <v>1370</v>
      </c>
      <c r="EO39" s="18"/>
      <c r="EP39" s="18"/>
      <c r="EQ39" s="18"/>
      <c r="ER39" s="18"/>
      <c r="ES39" s="18"/>
      <c r="ET39" s="18"/>
      <c r="EU39" s="18"/>
      <c r="EV39" s="19">
        <f t="shared" si="8"/>
        <v>136986</v>
      </c>
      <c r="EW39" s="37">
        <v>21</v>
      </c>
      <c r="EX39" s="19">
        <f t="shared" si="32"/>
        <v>2876706</v>
      </c>
      <c r="EY39" s="102">
        <f>+SUM(EX39:EX42)</f>
        <v>4109580</v>
      </c>
      <c r="FB39" s="99">
        <v>48092</v>
      </c>
      <c r="FC39" s="17" t="s">
        <v>40</v>
      </c>
      <c r="FD39" s="18"/>
      <c r="FE39" s="18"/>
      <c r="FF39" s="18"/>
      <c r="FG39" s="18"/>
      <c r="FH39" s="18"/>
      <c r="FI39" s="18"/>
      <c r="FJ39" s="18">
        <v>1370</v>
      </c>
      <c r="FK39" s="18">
        <v>5479</v>
      </c>
      <c r="FL39" s="18">
        <v>10959</v>
      </c>
      <c r="FM39" s="18">
        <v>16438</v>
      </c>
      <c r="FN39" s="18">
        <v>20548</v>
      </c>
      <c r="FO39" s="18">
        <v>23288</v>
      </c>
      <c r="FP39" s="18">
        <v>23288</v>
      </c>
      <c r="FQ39" s="18">
        <v>17808</v>
      </c>
      <c r="FR39" s="18">
        <v>10959</v>
      </c>
      <c r="FS39" s="18">
        <v>5479</v>
      </c>
      <c r="FT39" s="18">
        <v>1370</v>
      </c>
      <c r="FU39" s="18"/>
      <c r="FV39" s="18"/>
      <c r="FW39" s="18"/>
      <c r="FX39" s="18"/>
      <c r="FY39" s="18"/>
      <c r="FZ39" s="18"/>
      <c r="GA39" s="18"/>
      <c r="GB39" s="19">
        <f t="shared" si="9"/>
        <v>136986</v>
      </c>
      <c r="GC39" s="37">
        <v>22</v>
      </c>
      <c r="GD39" s="19">
        <f t="shared" si="33"/>
        <v>3013692</v>
      </c>
      <c r="GE39" s="102">
        <f>+SUM(GD39:GD42)</f>
        <v>4109580</v>
      </c>
      <c r="GG39" s="99">
        <v>48458</v>
      </c>
      <c r="GH39" s="17" t="s">
        <v>40</v>
      </c>
      <c r="GI39" s="18"/>
      <c r="GJ39" s="18"/>
      <c r="GK39" s="18"/>
      <c r="GL39" s="18"/>
      <c r="GM39" s="18"/>
      <c r="GN39" s="18"/>
      <c r="GO39" s="18">
        <v>1366</v>
      </c>
      <c r="GP39" s="18">
        <v>5464</v>
      </c>
      <c r="GQ39" s="18">
        <v>10929</v>
      </c>
      <c r="GR39" s="18">
        <v>16393</v>
      </c>
      <c r="GS39" s="18">
        <v>20492</v>
      </c>
      <c r="GT39" s="18">
        <v>23224</v>
      </c>
      <c r="GU39" s="18">
        <v>23224</v>
      </c>
      <c r="GV39" s="18">
        <v>17760</v>
      </c>
      <c r="GW39" s="18">
        <v>10929</v>
      </c>
      <c r="GX39" s="18">
        <v>5464</v>
      </c>
      <c r="GY39" s="18">
        <v>1366</v>
      </c>
      <c r="GZ39" s="18"/>
      <c r="HA39" s="18"/>
      <c r="HB39" s="18"/>
      <c r="HC39" s="18"/>
      <c r="HD39" s="18"/>
      <c r="HE39" s="18"/>
      <c r="HF39" s="18"/>
      <c r="HG39" s="19">
        <f t="shared" si="11"/>
        <v>136611</v>
      </c>
      <c r="HH39" s="37">
        <v>22</v>
      </c>
      <c r="HI39" s="19">
        <f t="shared" si="34"/>
        <v>3005442</v>
      </c>
      <c r="HJ39" s="102">
        <f>+SUM(HI39:HI42)</f>
        <v>4098330</v>
      </c>
      <c r="HL39" s="99">
        <v>48823</v>
      </c>
      <c r="HM39" s="17" t="s">
        <v>40</v>
      </c>
      <c r="HN39" s="18"/>
      <c r="HO39" s="18"/>
      <c r="HP39" s="18"/>
      <c r="HQ39" s="18"/>
      <c r="HR39" s="18"/>
      <c r="HS39" s="18"/>
      <c r="HT39" s="18">
        <v>1370</v>
      </c>
      <c r="HU39" s="18">
        <v>5479</v>
      </c>
      <c r="HV39" s="18">
        <v>10959</v>
      </c>
      <c r="HW39" s="18">
        <v>16438</v>
      </c>
      <c r="HX39" s="18">
        <v>20548</v>
      </c>
      <c r="HY39" s="18">
        <v>23288</v>
      </c>
      <c r="HZ39" s="18">
        <v>23288</v>
      </c>
      <c r="IA39" s="18">
        <v>17808</v>
      </c>
      <c r="IB39" s="18">
        <v>10959</v>
      </c>
      <c r="IC39" s="18">
        <v>5479</v>
      </c>
      <c r="ID39" s="18">
        <v>1370</v>
      </c>
      <c r="IE39" s="18"/>
      <c r="IF39" s="18"/>
      <c r="IG39" s="18"/>
      <c r="IH39" s="18"/>
      <c r="II39" s="18"/>
      <c r="IJ39" s="18"/>
      <c r="IK39" s="18"/>
      <c r="IL39" s="19">
        <f t="shared" si="13"/>
        <v>136986</v>
      </c>
      <c r="IM39" s="37">
        <v>22</v>
      </c>
      <c r="IN39" s="19">
        <f t="shared" si="35"/>
        <v>3013692</v>
      </c>
      <c r="IO39" s="102">
        <f>+SUM(IN39:IN42)</f>
        <v>4109580</v>
      </c>
      <c r="IQ39" s="99">
        <v>49188</v>
      </c>
      <c r="IR39" s="17" t="s">
        <v>40</v>
      </c>
      <c r="IS39" s="18"/>
      <c r="IT39" s="18"/>
      <c r="IU39" s="18"/>
      <c r="IV39" s="18"/>
      <c r="IW39" s="18"/>
      <c r="IX39" s="18"/>
      <c r="IY39" s="18">
        <v>1370</v>
      </c>
      <c r="IZ39" s="18">
        <v>5479</v>
      </c>
      <c r="JA39" s="18">
        <v>10959</v>
      </c>
      <c r="JB39" s="18">
        <v>16438</v>
      </c>
      <c r="JC39" s="18">
        <v>20548</v>
      </c>
      <c r="JD39" s="18">
        <v>23288</v>
      </c>
      <c r="JE39" s="18">
        <v>23288</v>
      </c>
      <c r="JF39" s="18">
        <v>17808</v>
      </c>
      <c r="JG39" s="18">
        <v>10959</v>
      </c>
      <c r="JH39" s="18">
        <v>5479</v>
      </c>
      <c r="JI39" s="18">
        <v>1370</v>
      </c>
      <c r="JJ39" s="18"/>
      <c r="JK39" s="18"/>
      <c r="JL39" s="18"/>
      <c r="JM39" s="18"/>
      <c r="JN39" s="18"/>
      <c r="JO39" s="18"/>
      <c r="JP39" s="18"/>
      <c r="JQ39" s="19">
        <f t="shared" si="15"/>
        <v>136986</v>
      </c>
      <c r="JR39" s="37">
        <v>21</v>
      </c>
      <c r="JS39" s="19">
        <f t="shared" si="36"/>
        <v>2876706</v>
      </c>
      <c r="JT39" s="102">
        <f>+SUM(JS39:JS42)</f>
        <v>4109580</v>
      </c>
      <c r="JV39" s="99">
        <v>49553</v>
      </c>
      <c r="JW39" s="17" t="s">
        <v>40</v>
      </c>
      <c r="JX39" s="18"/>
      <c r="JY39" s="18"/>
      <c r="JZ39" s="18"/>
      <c r="KA39" s="18"/>
      <c r="KB39" s="18"/>
      <c r="KC39" s="18"/>
      <c r="KD39" s="18"/>
      <c r="KE39" s="18">
        <v>1370</v>
      </c>
      <c r="KF39" s="18">
        <v>5479</v>
      </c>
      <c r="KG39" s="18">
        <v>10959</v>
      </c>
      <c r="KH39" s="18">
        <v>16438</v>
      </c>
      <c r="KI39" s="18">
        <v>20548</v>
      </c>
      <c r="KJ39" s="18">
        <v>23288</v>
      </c>
      <c r="KK39" s="18">
        <v>23288</v>
      </c>
      <c r="KL39" s="18">
        <v>17808</v>
      </c>
      <c r="KM39" s="18">
        <v>10959</v>
      </c>
      <c r="KN39" s="18">
        <v>5479</v>
      </c>
      <c r="KO39" s="18">
        <v>1370</v>
      </c>
      <c r="KP39" s="18"/>
      <c r="KQ39" s="18"/>
      <c r="KR39" s="18"/>
      <c r="KS39" s="18"/>
      <c r="KT39" s="18"/>
      <c r="KU39" s="18"/>
      <c r="KV39" s="19">
        <f t="shared" si="17"/>
        <v>136986</v>
      </c>
      <c r="KW39" s="37">
        <v>20</v>
      </c>
      <c r="KX39" s="19">
        <f t="shared" si="37"/>
        <v>2739720</v>
      </c>
      <c r="KY39" s="102">
        <f>+SUM(KX39:KX42)</f>
        <v>4109580</v>
      </c>
      <c r="LA39" s="99">
        <v>49919</v>
      </c>
      <c r="LB39" s="17" t="s">
        <v>40</v>
      </c>
      <c r="LC39" s="18"/>
      <c r="LD39" s="18"/>
      <c r="LE39" s="18"/>
      <c r="LF39" s="18"/>
      <c r="LG39" s="18"/>
      <c r="LH39" s="18"/>
      <c r="LI39" s="18">
        <v>1366</v>
      </c>
      <c r="LJ39" s="18">
        <v>5464</v>
      </c>
      <c r="LK39" s="18">
        <v>10929</v>
      </c>
      <c r="LL39" s="18">
        <v>16393</v>
      </c>
      <c r="LM39" s="18">
        <v>20492</v>
      </c>
      <c r="LN39" s="18">
        <v>23224</v>
      </c>
      <c r="LO39" s="18">
        <v>23224</v>
      </c>
      <c r="LP39" s="18">
        <v>17760</v>
      </c>
      <c r="LQ39" s="18">
        <v>10929</v>
      </c>
      <c r="LR39" s="18">
        <v>5464</v>
      </c>
      <c r="LS39" s="18">
        <v>1366</v>
      </c>
      <c r="LT39" s="18"/>
      <c r="LU39" s="18"/>
      <c r="LV39" s="18"/>
      <c r="LW39" s="18"/>
      <c r="LX39" s="18"/>
      <c r="LY39" s="18"/>
      <c r="LZ39" s="18"/>
      <c r="MA39" s="19">
        <f t="shared" si="19"/>
        <v>136611</v>
      </c>
      <c r="MB39" s="37">
        <v>22</v>
      </c>
      <c r="MC39" s="19">
        <f t="shared" si="38"/>
        <v>3005442</v>
      </c>
      <c r="MD39" s="102">
        <f>+SUM(MC39:MC42)</f>
        <v>4098330</v>
      </c>
      <c r="MF39" s="99">
        <v>50284</v>
      </c>
      <c r="MG39" s="17" t="s">
        <v>40</v>
      </c>
      <c r="MH39" s="18"/>
      <c r="MI39" s="18"/>
      <c r="MJ39" s="18"/>
      <c r="MK39" s="18"/>
      <c r="ML39" s="18"/>
      <c r="MM39" s="18"/>
      <c r="MN39" s="18">
        <v>1370</v>
      </c>
      <c r="MO39" s="18">
        <v>5479</v>
      </c>
      <c r="MP39" s="18">
        <v>10959</v>
      </c>
      <c r="MQ39" s="18">
        <v>16438</v>
      </c>
      <c r="MR39" s="18">
        <v>20548</v>
      </c>
      <c r="MS39" s="18">
        <v>23288</v>
      </c>
      <c r="MT39" s="18">
        <v>23288</v>
      </c>
      <c r="MU39" s="18">
        <v>17808</v>
      </c>
      <c r="MV39" s="18">
        <v>10959</v>
      </c>
      <c r="MW39" s="18">
        <v>5479</v>
      </c>
      <c r="MX39" s="18">
        <v>1370</v>
      </c>
      <c r="MY39" s="18"/>
      <c r="MZ39" s="18"/>
      <c r="NA39" s="18"/>
      <c r="NB39" s="18"/>
      <c r="NC39" s="18"/>
      <c r="ND39" s="18"/>
      <c r="NE39" s="18"/>
      <c r="NF39" s="19">
        <f t="shared" si="21"/>
        <v>136986</v>
      </c>
      <c r="NG39" s="37">
        <v>22</v>
      </c>
      <c r="NH39" s="19">
        <f t="shared" si="39"/>
        <v>3013692</v>
      </c>
      <c r="NI39" s="102">
        <f>+SUM(NH39:NH42)</f>
        <v>4109580</v>
      </c>
      <c r="NK39" s="99">
        <v>50649</v>
      </c>
      <c r="NL39" s="17" t="s">
        <v>40</v>
      </c>
      <c r="NM39" s="18"/>
      <c r="NN39" s="18"/>
      <c r="NO39" s="18"/>
      <c r="NP39" s="18"/>
      <c r="NQ39" s="18"/>
      <c r="NR39" s="18"/>
      <c r="NS39" s="18">
        <v>1370</v>
      </c>
      <c r="NT39" s="18">
        <v>5479</v>
      </c>
      <c r="NU39" s="18">
        <v>10959</v>
      </c>
      <c r="NV39" s="18">
        <v>16438</v>
      </c>
      <c r="NW39" s="18">
        <v>20548</v>
      </c>
      <c r="NX39" s="18">
        <v>23288</v>
      </c>
      <c r="NY39" s="18">
        <v>23288</v>
      </c>
      <c r="NZ39" s="18">
        <v>17808</v>
      </c>
      <c r="OA39" s="18">
        <v>10959</v>
      </c>
      <c r="OB39" s="18">
        <v>5479</v>
      </c>
      <c r="OC39" s="18">
        <v>1370</v>
      </c>
      <c r="OD39" s="18"/>
      <c r="OE39" s="18"/>
      <c r="OF39" s="18"/>
      <c r="OG39" s="18"/>
      <c r="OH39" s="18"/>
      <c r="OI39" s="18"/>
      <c r="OJ39" s="18"/>
      <c r="OK39" s="19">
        <f t="shared" si="23"/>
        <v>136986</v>
      </c>
      <c r="OL39" s="37">
        <v>22</v>
      </c>
      <c r="OM39" s="19">
        <f t="shared" si="40"/>
        <v>3013692</v>
      </c>
      <c r="ON39" s="102">
        <f>+SUM(OM39:OM42)</f>
        <v>4109580</v>
      </c>
      <c r="OP39" s="99">
        <v>51014</v>
      </c>
      <c r="OQ39" s="17" t="s">
        <v>40</v>
      </c>
      <c r="OR39" s="18"/>
      <c r="OS39" s="18"/>
      <c r="OT39" s="18"/>
      <c r="OU39" s="18"/>
      <c r="OV39" s="18"/>
      <c r="OW39" s="18"/>
      <c r="OX39" s="18">
        <v>1370</v>
      </c>
      <c r="OY39" s="18">
        <v>5479</v>
      </c>
      <c r="OZ39" s="18">
        <v>10959</v>
      </c>
      <c r="PA39" s="18">
        <v>16438</v>
      </c>
      <c r="PB39" s="18">
        <v>20548</v>
      </c>
      <c r="PC39" s="18">
        <v>23288</v>
      </c>
      <c r="PD39" s="18">
        <v>23288</v>
      </c>
      <c r="PE39" s="18">
        <v>17808</v>
      </c>
      <c r="PF39" s="18">
        <v>10959</v>
      </c>
      <c r="PG39" s="18">
        <v>5479</v>
      </c>
      <c r="PH39" s="18">
        <v>1370</v>
      </c>
      <c r="PI39" s="18"/>
      <c r="PJ39" s="18"/>
      <c r="PK39" s="18"/>
      <c r="PL39" s="18"/>
      <c r="PM39" s="18"/>
      <c r="PN39" s="18"/>
      <c r="PO39" s="18"/>
      <c r="PP39" s="19">
        <f t="shared" si="25"/>
        <v>136986</v>
      </c>
      <c r="PQ39" s="37">
        <v>22</v>
      </c>
      <c r="PR39" s="19">
        <f t="shared" si="41"/>
        <v>3013692</v>
      </c>
      <c r="PS39" s="102">
        <f>+SUM(PR39:PR42)</f>
        <v>4109580</v>
      </c>
      <c r="PU39" s="99">
        <v>51380</v>
      </c>
      <c r="PV39" s="17" t="s">
        <v>40</v>
      </c>
      <c r="PW39" s="18"/>
      <c r="PX39" s="18"/>
      <c r="PY39" s="18"/>
      <c r="PZ39" s="18"/>
      <c r="QA39" s="18"/>
      <c r="QB39" s="18"/>
      <c r="QC39" s="18">
        <v>1366</v>
      </c>
      <c r="QD39" s="18">
        <v>5464</v>
      </c>
      <c r="QE39" s="18">
        <v>10929</v>
      </c>
      <c r="QF39" s="18">
        <v>16393</v>
      </c>
      <c r="QG39" s="18">
        <v>20492</v>
      </c>
      <c r="QH39" s="18">
        <v>23224</v>
      </c>
      <c r="QI39" s="18">
        <v>23224</v>
      </c>
      <c r="QJ39" s="18">
        <v>17760</v>
      </c>
      <c r="QK39" s="18">
        <v>10929</v>
      </c>
      <c r="QL39" s="18">
        <v>5464</v>
      </c>
      <c r="QM39" s="18">
        <v>1366</v>
      </c>
      <c r="QN39" s="18"/>
      <c r="QO39" s="18"/>
      <c r="QP39" s="18"/>
      <c r="QQ39" s="18"/>
      <c r="QR39" s="18"/>
      <c r="QS39" s="18"/>
      <c r="QT39" s="18"/>
      <c r="QU39" s="19">
        <f t="shared" si="27"/>
        <v>136611</v>
      </c>
      <c r="QV39" s="46">
        <v>20</v>
      </c>
      <c r="QW39" s="19">
        <f t="shared" si="42"/>
        <v>2732220</v>
      </c>
      <c r="QX39" s="102">
        <f>+SUM(QW39:QW42)</f>
        <v>4098330</v>
      </c>
    </row>
    <row r="40" spans="1:466" x14ac:dyDescent="0.35">
      <c r="A40" s="100"/>
      <c r="B40" s="21" t="s">
        <v>41</v>
      </c>
      <c r="C40" s="18"/>
      <c r="D40" s="18"/>
      <c r="E40" s="18"/>
      <c r="F40" s="18"/>
      <c r="G40" s="18"/>
      <c r="H40" s="18"/>
      <c r="I40" s="18">
        <v>1370</v>
      </c>
      <c r="J40" s="18">
        <v>5479</v>
      </c>
      <c r="K40" s="18">
        <v>10959</v>
      </c>
      <c r="L40" s="18">
        <v>16438</v>
      </c>
      <c r="M40" s="18">
        <v>20548</v>
      </c>
      <c r="N40" s="18">
        <v>23288</v>
      </c>
      <c r="O40" s="18">
        <v>23288</v>
      </c>
      <c r="P40" s="18">
        <v>17808</v>
      </c>
      <c r="Q40" s="18">
        <v>10959</v>
      </c>
      <c r="R40" s="18">
        <v>5479</v>
      </c>
      <c r="S40" s="18">
        <v>1370</v>
      </c>
      <c r="T40" s="18"/>
      <c r="U40" s="18"/>
      <c r="V40" s="18"/>
      <c r="W40" s="18"/>
      <c r="X40" s="18"/>
      <c r="Y40" s="18"/>
      <c r="Z40" s="18"/>
      <c r="AA40" s="19">
        <f t="shared" si="0"/>
        <v>136986</v>
      </c>
      <c r="AB40" s="38">
        <v>4</v>
      </c>
      <c r="AC40" s="19">
        <f t="shared" si="1"/>
        <v>547944</v>
      </c>
      <c r="AD40" s="103"/>
      <c r="AF40" s="100"/>
      <c r="AG40" s="21" t="s">
        <v>41</v>
      </c>
      <c r="AH40" s="18"/>
      <c r="AI40" s="18"/>
      <c r="AJ40" s="18"/>
      <c r="AK40" s="18"/>
      <c r="AL40" s="18"/>
      <c r="AM40" s="18"/>
      <c r="AN40" s="18">
        <v>1370</v>
      </c>
      <c r="AO40" s="18">
        <v>5479</v>
      </c>
      <c r="AP40" s="18">
        <v>10959</v>
      </c>
      <c r="AQ40" s="18">
        <v>16438</v>
      </c>
      <c r="AR40" s="18">
        <v>20548</v>
      </c>
      <c r="AS40" s="18">
        <v>23288</v>
      </c>
      <c r="AT40" s="18">
        <v>23288</v>
      </c>
      <c r="AU40" s="18">
        <v>17808</v>
      </c>
      <c r="AV40" s="18">
        <v>10959</v>
      </c>
      <c r="AW40" s="18">
        <v>5479</v>
      </c>
      <c r="AX40" s="18">
        <v>1370</v>
      </c>
      <c r="AY40" s="18"/>
      <c r="AZ40" s="18"/>
      <c r="BA40" s="18"/>
      <c r="BB40" s="18"/>
      <c r="BC40" s="18"/>
      <c r="BD40" s="18"/>
      <c r="BE40" s="18"/>
      <c r="BF40" s="19">
        <f t="shared" si="2"/>
        <v>136986</v>
      </c>
      <c r="BG40" s="38">
        <v>4</v>
      </c>
      <c r="BH40" s="19">
        <f t="shared" si="29"/>
        <v>547944</v>
      </c>
      <c r="BI40" s="103"/>
      <c r="BK40" s="100"/>
      <c r="BL40" s="21" t="s">
        <v>41</v>
      </c>
      <c r="BM40" s="18"/>
      <c r="BN40" s="18"/>
      <c r="BO40" s="18"/>
      <c r="BP40" s="18"/>
      <c r="BQ40" s="18"/>
      <c r="BR40" s="18"/>
      <c r="BS40" s="18">
        <v>1366</v>
      </c>
      <c r="BT40" s="18">
        <v>5464</v>
      </c>
      <c r="BU40" s="18">
        <v>10929</v>
      </c>
      <c r="BV40" s="18">
        <v>16393</v>
      </c>
      <c r="BW40" s="18">
        <v>20492</v>
      </c>
      <c r="BX40" s="18">
        <v>23224</v>
      </c>
      <c r="BY40" s="18">
        <v>23224</v>
      </c>
      <c r="BZ40" s="18">
        <v>17760</v>
      </c>
      <c r="CA40" s="18">
        <v>10929</v>
      </c>
      <c r="CB40" s="18">
        <v>5464</v>
      </c>
      <c r="CC40" s="18">
        <v>1366</v>
      </c>
      <c r="CD40" s="18"/>
      <c r="CE40" s="18"/>
      <c r="CF40" s="18"/>
      <c r="CG40" s="18"/>
      <c r="CH40" s="18"/>
      <c r="CI40" s="18"/>
      <c r="CJ40" s="18"/>
      <c r="CK40" s="19">
        <f t="shared" si="4"/>
        <v>136611</v>
      </c>
      <c r="CL40" s="38">
        <v>5</v>
      </c>
      <c r="CM40" s="19">
        <f t="shared" si="30"/>
        <v>683055</v>
      </c>
      <c r="CN40" s="103"/>
      <c r="CP40" s="100"/>
      <c r="CQ40" s="21" t="s">
        <v>41</v>
      </c>
      <c r="CR40" s="18"/>
      <c r="CS40" s="18"/>
      <c r="CT40" s="18"/>
      <c r="CU40" s="18"/>
      <c r="CV40" s="18"/>
      <c r="CW40" s="18"/>
      <c r="CX40" s="18">
        <v>1370</v>
      </c>
      <c r="CY40" s="18">
        <v>5479</v>
      </c>
      <c r="CZ40" s="18">
        <v>10959</v>
      </c>
      <c r="DA40" s="18">
        <v>16438</v>
      </c>
      <c r="DB40" s="18">
        <v>20548</v>
      </c>
      <c r="DC40" s="18">
        <v>23288</v>
      </c>
      <c r="DD40" s="18">
        <v>23288</v>
      </c>
      <c r="DE40" s="18">
        <v>17808</v>
      </c>
      <c r="DF40" s="18">
        <v>10959</v>
      </c>
      <c r="DG40" s="18">
        <v>5479</v>
      </c>
      <c r="DH40" s="18">
        <v>1370</v>
      </c>
      <c r="DI40" s="18"/>
      <c r="DJ40" s="18"/>
      <c r="DK40" s="18"/>
      <c r="DL40" s="18"/>
      <c r="DM40" s="18"/>
      <c r="DN40" s="18"/>
      <c r="DO40" s="18"/>
      <c r="DP40" s="19">
        <f t="shared" si="6"/>
        <v>136986</v>
      </c>
      <c r="DQ40" s="38">
        <v>5</v>
      </c>
      <c r="DR40" s="19">
        <f t="shared" si="31"/>
        <v>684930</v>
      </c>
      <c r="DS40" s="103"/>
      <c r="DV40" s="100"/>
      <c r="DW40" s="21" t="s">
        <v>41</v>
      </c>
      <c r="DX40" s="18"/>
      <c r="DY40" s="18"/>
      <c r="DZ40" s="18"/>
      <c r="EA40" s="18"/>
      <c r="EB40" s="18"/>
      <c r="EC40" s="18"/>
      <c r="ED40" s="18">
        <v>1370</v>
      </c>
      <c r="EE40" s="18">
        <v>5479</v>
      </c>
      <c r="EF40" s="18">
        <v>10959</v>
      </c>
      <c r="EG40" s="18">
        <v>16438</v>
      </c>
      <c r="EH40" s="18">
        <v>20548</v>
      </c>
      <c r="EI40" s="18">
        <v>23288</v>
      </c>
      <c r="EJ40" s="18">
        <v>23288</v>
      </c>
      <c r="EK40" s="18">
        <v>17808</v>
      </c>
      <c r="EL40" s="18">
        <v>10959</v>
      </c>
      <c r="EM40" s="18">
        <v>5479</v>
      </c>
      <c r="EN40" s="18">
        <v>1370</v>
      </c>
      <c r="EO40" s="18"/>
      <c r="EP40" s="18"/>
      <c r="EQ40" s="18"/>
      <c r="ER40" s="18"/>
      <c r="ES40" s="18"/>
      <c r="ET40" s="18"/>
      <c r="EU40" s="18"/>
      <c r="EV40" s="19">
        <f t="shared" si="8"/>
        <v>136986</v>
      </c>
      <c r="EW40" s="38">
        <v>4</v>
      </c>
      <c r="EX40" s="19">
        <f t="shared" si="32"/>
        <v>547944</v>
      </c>
      <c r="EY40" s="103"/>
      <c r="FB40" s="100"/>
      <c r="FC40" s="21" t="s">
        <v>41</v>
      </c>
      <c r="FD40" s="18"/>
      <c r="FE40" s="18"/>
      <c r="FF40" s="18"/>
      <c r="FG40" s="18"/>
      <c r="FH40" s="18"/>
      <c r="FI40" s="18"/>
      <c r="FJ40" s="18">
        <v>1370</v>
      </c>
      <c r="FK40" s="18">
        <v>5479</v>
      </c>
      <c r="FL40" s="18">
        <v>10959</v>
      </c>
      <c r="FM40" s="18">
        <v>16438</v>
      </c>
      <c r="FN40" s="18">
        <v>20548</v>
      </c>
      <c r="FO40" s="18">
        <v>23288</v>
      </c>
      <c r="FP40" s="18">
        <v>23288</v>
      </c>
      <c r="FQ40" s="18">
        <v>17808</v>
      </c>
      <c r="FR40" s="18">
        <v>10959</v>
      </c>
      <c r="FS40" s="18">
        <v>5479</v>
      </c>
      <c r="FT40" s="18">
        <v>1370</v>
      </c>
      <c r="FU40" s="18"/>
      <c r="FV40" s="18"/>
      <c r="FW40" s="18"/>
      <c r="FX40" s="18"/>
      <c r="FY40" s="18"/>
      <c r="FZ40" s="18"/>
      <c r="GA40" s="18"/>
      <c r="GB40" s="19">
        <f t="shared" si="9"/>
        <v>136986</v>
      </c>
      <c r="GC40" s="38">
        <v>4</v>
      </c>
      <c r="GD40" s="19">
        <f t="shared" si="33"/>
        <v>547944</v>
      </c>
      <c r="GE40" s="103"/>
      <c r="GG40" s="100"/>
      <c r="GH40" s="21" t="s">
        <v>41</v>
      </c>
      <c r="GI40" s="18"/>
      <c r="GJ40" s="18"/>
      <c r="GK40" s="18"/>
      <c r="GL40" s="18"/>
      <c r="GM40" s="18"/>
      <c r="GN40" s="18"/>
      <c r="GO40" s="18">
        <v>1366</v>
      </c>
      <c r="GP40" s="18">
        <v>5464</v>
      </c>
      <c r="GQ40" s="18">
        <v>10929</v>
      </c>
      <c r="GR40" s="18">
        <v>16393</v>
      </c>
      <c r="GS40" s="18">
        <v>20492</v>
      </c>
      <c r="GT40" s="18">
        <v>23224</v>
      </c>
      <c r="GU40" s="18">
        <v>23224</v>
      </c>
      <c r="GV40" s="18">
        <v>17760</v>
      </c>
      <c r="GW40" s="18">
        <v>10929</v>
      </c>
      <c r="GX40" s="18">
        <v>5464</v>
      </c>
      <c r="GY40" s="18">
        <v>1366</v>
      </c>
      <c r="GZ40" s="18"/>
      <c r="HA40" s="18"/>
      <c r="HB40" s="18"/>
      <c r="HC40" s="18"/>
      <c r="HD40" s="18"/>
      <c r="HE40" s="18"/>
      <c r="HF40" s="18"/>
      <c r="HG40" s="19">
        <f t="shared" si="11"/>
        <v>136611</v>
      </c>
      <c r="HH40" s="38">
        <v>4</v>
      </c>
      <c r="HI40" s="19">
        <f t="shared" si="34"/>
        <v>546444</v>
      </c>
      <c r="HJ40" s="103"/>
      <c r="HL40" s="100"/>
      <c r="HM40" s="21" t="s">
        <v>41</v>
      </c>
      <c r="HN40" s="18"/>
      <c r="HO40" s="18"/>
      <c r="HP40" s="18"/>
      <c r="HQ40" s="18"/>
      <c r="HR40" s="18"/>
      <c r="HS40" s="18"/>
      <c r="HT40" s="18">
        <v>1370</v>
      </c>
      <c r="HU40" s="18">
        <v>5479</v>
      </c>
      <c r="HV40" s="18">
        <v>10959</v>
      </c>
      <c r="HW40" s="18">
        <v>16438</v>
      </c>
      <c r="HX40" s="18">
        <v>20548</v>
      </c>
      <c r="HY40" s="18">
        <v>23288</v>
      </c>
      <c r="HZ40" s="18">
        <v>23288</v>
      </c>
      <c r="IA40" s="18">
        <v>17808</v>
      </c>
      <c r="IB40" s="18">
        <v>10959</v>
      </c>
      <c r="IC40" s="18">
        <v>5479</v>
      </c>
      <c r="ID40" s="18">
        <v>1370</v>
      </c>
      <c r="IE40" s="18"/>
      <c r="IF40" s="18"/>
      <c r="IG40" s="18"/>
      <c r="IH40" s="18"/>
      <c r="II40" s="18"/>
      <c r="IJ40" s="18"/>
      <c r="IK40" s="18"/>
      <c r="IL40" s="19">
        <f t="shared" si="13"/>
        <v>136986</v>
      </c>
      <c r="IM40" s="38">
        <v>4</v>
      </c>
      <c r="IN40" s="19">
        <f t="shared" si="35"/>
        <v>547944</v>
      </c>
      <c r="IO40" s="103"/>
      <c r="IQ40" s="100"/>
      <c r="IR40" s="21" t="s">
        <v>41</v>
      </c>
      <c r="IS40" s="18"/>
      <c r="IT40" s="18"/>
      <c r="IU40" s="18"/>
      <c r="IV40" s="18"/>
      <c r="IW40" s="18"/>
      <c r="IX40" s="18"/>
      <c r="IY40" s="18">
        <v>1370</v>
      </c>
      <c r="IZ40" s="18">
        <v>5479</v>
      </c>
      <c r="JA40" s="18">
        <v>10959</v>
      </c>
      <c r="JB40" s="18">
        <v>16438</v>
      </c>
      <c r="JC40" s="18">
        <v>20548</v>
      </c>
      <c r="JD40" s="18">
        <v>23288</v>
      </c>
      <c r="JE40" s="18">
        <v>23288</v>
      </c>
      <c r="JF40" s="18">
        <v>17808</v>
      </c>
      <c r="JG40" s="18">
        <v>10959</v>
      </c>
      <c r="JH40" s="18">
        <v>5479</v>
      </c>
      <c r="JI40" s="18">
        <v>1370</v>
      </c>
      <c r="JJ40" s="18"/>
      <c r="JK40" s="18"/>
      <c r="JL40" s="18"/>
      <c r="JM40" s="18"/>
      <c r="JN40" s="18"/>
      <c r="JO40" s="18"/>
      <c r="JP40" s="18"/>
      <c r="JQ40" s="19">
        <f t="shared" si="15"/>
        <v>136986</v>
      </c>
      <c r="JR40" s="38">
        <v>5</v>
      </c>
      <c r="JS40" s="19">
        <f t="shared" si="36"/>
        <v>684930</v>
      </c>
      <c r="JT40" s="103"/>
      <c r="JV40" s="100"/>
      <c r="JW40" s="21" t="s">
        <v>41</v>
      </c>
      <c r="JX40" s="18"/>
      <c r="JY40" s="18"/>
      <c r="JZ40" s="18"/>
      <c r="KA40" s="18"/>
      <c r="KB40" s="18"/>
      <c r="KC40" s="18"/>
      <c r="KD40" s="18"/>
      <c r="KE40" s="18">
        <v>1370</v>
      </c>
      <c r="KF40" s="18">
        <v>5479</v>
      </c>
      <c r="KG40" s="18">
        <v>10959</v>
      </c>
      <c r="KH40" s="18">
        <v>16438</v>
      </c>
      <c r="KI40" s="18">
        <v>20548</v>
      </c>
      <c r="KJ40" s="18">
        <v>23288</v>
      </c>
      <c r="KK40" s="18">
        <v>23288</v>
      </c>
      <c r="KL40" s="18">
        <v>17808</v>
      </c>
      <c r="KM40" s="18">
        <v>10959</v>
      </c>
      <c r="KN40" s="18">
        <v>5479</v>
      </c>
      <c r="KO40" s="18">
        <v>1370</v>
      </c>
      <c r="KP40" s="18"/>
      <c r="KQ40" s="18"/>
      <c r="KR40" s="18"/>
      <c r="KS40" s="18"/>
      <c r="KT40" s="18"/>
      <c r="KU40" s="18"/>
      <c r="KV40" s="19">
        <f t="shared" si="17"/>
        <v>136986</v>
      </c>
      <c r="KW40" s="38">
        <v>5</v>
      </c>
      <c r="KX40" s="19">
        <f t="shared" si="37"/>
        <v>684930</v>
      </c>
      <c r="KY40" s="103"/>
      <c r="LA40" s="100"/>
      <c r="LB40" s="21" t="s">
        <v>41</v>
      </c>
      <c r="LC40" s="18"/>
      <c r="LD40" s="18"/>
      <c r="LE40" s="18"/>
      <c r="LF40" s="18"/>
      <c r="LG40" s="18"/>
      <c r="LH40" s="18"/>
      <c r="LI40" s="18">
        <v>1366</v>
      </c>
      <c r="LJ40" s="18">
        <v>5464</v>
      </c>
      <c r="LK40" s="18">
        <v>10929</v>
      </c>
      <c r="LL40" s="18">
        <v>16393</v>
      </c>
      <c r="LM40" s="18">
        <v>20492</v>
      </c>
      <c r="LN40" s="18">
        <v>23224</v>
      </c>
      <c r="LO40" s="18">
        <v>23224</v>
      </c>
      <c r="LP40" s="18">
        <v>17760</v>
      </c>
      <c r="LQ40" s="18">
        <v>10929</v>
      </c>
      <c r="LR40" s="18">
        <v>5464</v>
      </c>
      <c r="LS40" s="18">
        <v>1366</v>
      </c>
      <c r="LT40" s="18"/>
      <c r="LU40" s="18"/>
      <c r="LV40" s="18"/>
      <c r="LW40" s="18"/>
      <c r="LX40" s="18"/>
      <c r="LY40" s="18"/>
      <c r="LZ40" s="18"/>
      <c r="MA40" s="19">
        <f t="shared" si="19"/>
        <v>136611</v>
      </c>
      <c r="MB40" s="38">
        <v>4</v>
      </c>
      <c r="MC40" s="19">
        <f t="shared" si="38"/>
        <v>546444</v>
      </c>
      <c r="MD40" s="103"/>
      <c r="MF40" s="100"/>
      <c r="MG40" s="21" t="s">
        <v>41</v>
      </c>
      <c r="MH40" s="18"/>
      <c r="MI40" s="18"/>
      <c r="MJ40" s="18"/>
      <c r="MK40" s="18"/>
      <c r="ML40" s="18"/>
      <c r="MM40" s="18"/>
      <c r="MN40" s="18">
        <v>1370</v>
      </c>
      <c r="MO40" s="18">
        <v>5479</v>
      </c>
      <c r="MP40" s="18">
        <v>10959</v>
      </c>
      <c r="MQ40" s="18">
        <v>16438</v>
      </c>
      <c r="MR40" s="18">
        <v>20548</v>
      </c>
      <c r="MS40" s="18">
        <v>23288</v>
      </c>
      <c r="MT40" s="18">
        <v>23288</v>
      </c>
      <c r="MU40" s="18">
        <v>17808</v>
      </c>
      <c r="MV40" s="18">
        <v>10959</v>
      </c>
      <c r="MW40" s="18">
        <v>5479</v>
      </c>
      <c r="MX40" s="18">
        <v>1370</v>
      </c>
      <c r="MY40" s="18"/>
      <c r="MZ40" s="18"/>
      <c r="NA40" s="18"/>
      <c r="NB40" s="18"/>
      <c r="NC40" s="18"/>
      <c r="ND40" s="18"/>
      <c r="NE40" s="18"/>
      <c r="NF40" s="19">
        <f t="shared" si="21"/>
        <v>136986</v>
      </c>
      <c r="NG40" s="38">
        <v>4</v>
      </c>
      <c r="NH40" s="19">
        <f t="shared" si="39"/>
        <v>547944</v>
      </c>
      <c r="NI40" s="103"/>
      <c r="NK40" s="100"/>
      <c r="NL40" s="21" t="s">
        <v>41</v>
      </c>
      <c r="NM40" s="18"/>
      <c r="NN40" s="18"/>
      <c r="NO40" s="18"/>
      <c r="NP40" s="18"/>
      <c r="NQ40" s="18"/>
      <c r="NR40" s="18"/>
      <c r="NS40" s="18">
        <v>1370</v>
      </c>
      <c r="NT40" s="18">
        <v>5479</v>
      </c>
      <c r="NU40" s="18">
        <v>10959</v>
      </c>
      <c r="NV40" s="18">
        <v>16438</v>
      </c>
      <c r="NW40" s="18">
        <v>20548</v>
      </c>
      <c r="NX40" s="18">
        <v>23288</v>
      </c>
      <c r="NY40" s="18">
        <v>23288</v>
      </c>
      <c r="NZ40" s="18">
        <v>17808</v>
      </c>
      <c r="OA40" s="18">
        <v>10959</v>
      </c>
      <c r="OB40" s="18">
        <v>5479</v>
      </c>
      <c r="OC40" s="18">
        <v>1370</v>
      </c>
      <c r="OD40" s="18"/>
      <c r="OE40" s="18"/>
      <c r="OF40" s="18"/>
      <c r="OG40" s="18"/>
      <c r="OH40" s="18"/>
      <c r="OI40" s="18"/>
      <c r="OJ40" s="18"/>
      <c r="OK40" s="19">
        <f t="shared" si="23"/>
        <v>136986</v>
      </c>
      <c r="OL40" s="38">
        <v>4</v>
      </c>
      <c r="OM40" s="19">
        <f t="shared" si="40"/>
        <v>547944</v>
      </c>
      <c r="ON40" s="103"/>
      <c r="OP40" s="100"/>
      <c r="OQ40" s="21" t="s">
        <v>41</v>
      </c>
      <c r="OR40" s="18"/>
      <c r="OS40" s="18"/>
      <c r="OT40" s="18"/>
      <c r="OU40" s="18"/>
      <c r="OV40" s="18"/>
      <c r="OW40" s="18"/>
      <c r="OX40" s="18">
        <v>1370</v>
      </c>
      <c r="OY40" s="18">
        <v>5479</v>
      </c>
      <c r="OZ40" s="18">
        <v>10959</v>
      </c>
      <c r="PA40" s="18">
        <v>16438</v>
      </c>
      <c r="PB40" s="18">
        <v>20548</v>
      </c>
      <c r="PC40" s="18">
        <v>23288</v>
      </c>
      <c r="PD40" s="18">
        <v>23288</v>
      </c>
      <c r="PE40" s="18">
        <v>17808</v>
      </c>
      <c r="PF40" s="18">
        <v>10959</v>
      </c>
      <c r="PG40" s="18">
        <v>5479</v>
      </c>
      <c r="PH40" s="18">
        <v>1370</v>
      </c>
      <c r="PI40" s="18"/>
      <c r="PJ40" s="18"/>
      <c r="PK40" s="18"/>
      <c r="PL40" s="18"/>
      <c r="PM40" s="18"/>
      <c r="PN40" s="18"/>
      <c r="PO40" s="18"/>
      <c r="PP40" s="19">
        <f t="shared" si="25"/>
        <v>136986</v>
      </c>
      <c r="PQ40" s="38">
        <v>4</v>
      </c>
      <c r="PR40" s="19">
        <f t="shared" si="41"/>
        <v>547944</v>
      </c>
      <c r="PS40" s="103"/>
      <c r="PU40" s="100"/>
      <c r="PV40" s="21" t="s">
        <v>41</v>
      </c>
      <c r="PW40" s="18"/>
      <c r="PX40" s="18"/>
      <c r="PY40" s="18"/>
      <c r="PZ40" s="18"/>
      <c r="QA40" s="18"/>
      <c r="QB40" s="18"/>
      <c r="QC40" s="18">
        <v>1366</v>
      </c>
      <c r="QD40" s="18">
        <v>5464</v>
      </c>
      <c r="QE40" s="18">
        <v>10929</v>
      </c>
      <c r="QF40" s="18">
        <v>16393</v>
      </c>
      <c r="QG40" s="18">
        <v>20492</v>
      </c>
      <c r="QH40" s="18">
        <v>23224</v>
      </c>
      <c r="QI40" s="18">
        <v>23224</v>
      </c>
      <c r="QJ40" s="18">
        <v>17760</v>
      </c>
      <c r="QK40" s="18">
        <v>10929</v>
      </c>
      <c r="QL40" s="18">
        <v>5464</v>
      </c>
      <c r="QM40" s="18">
        <v>1366</v>
      </c>
      <c r="QN40" s="18"/>
      <c r="QO40" s="18"/>
      <c r="QP40" s="18"/>
      <c r="QQ40" s="18"/>
      <c r="QR40" s="18"/>
      <c r="QS40" s="18"/>
      <c r="QT40" s="18"/>
      <c r="QU40" s="19">
        <f t="shared" si="27"/>
        <v>136611</v>
      </c>
      <c r="QV40" s="45">
        <v>5</v>
      </c>
      <c r="QW40" s="19">
        <f t="shared" si="42"/>
        <v>683055</v>
      </c>
      <c r="QX40" s="103"/>
    </row>
    <row r="41" spans="1:466" x14ac:dyDescent="0.35">
      <c r="A41" s="100"/>
      <c r="B41" s="21" t="s">
        <v>42</v>
      </c>
      <c r="C41" s="18"/>
      <c r="D41" s="18"/>
      <c r="E41" s="18"/>
      <c r="F41" s="18"/>
      <c r="G41" s="18"/>
      <c r="H41" s="18"/>
      <c r="I41" s="18">
        <v>1370</v>
      </c>
      <c r="J41" s="18">
        <v>5479</v>
      </c>
      <c r="K41" s="18">
        <v>10959</v>
      </c>
      <c r="L41" s="18">
        <v>16438</v>
      </c>
      <c r="M41" s="18">
        <v>20548</v>
      </c>
      <c r="N41" s="18">
        <v>23288</v>
      </c>
      <c r="O41" s="18">
        <v>23288</v>
      </c>
      <c r="P41" s="18">
        <v>17808</v>
      </c>
      <c r="Q41" s="18">
        <v>10959</v>
      </c>
      <c r="R41" s="18">
        <v>5479</v>
      </c>
      <c r="S41" s="18">
        <v>1370</v>
      </c>
      <c r="T41" s="18"/>
      <c r="U41" s="18"/>
      <c r="V41" s="18"/>
      <c r="W41" s="18"/>
      <c r="X41" s="18"/>
      <c r="Y41" s="18"/>
      <c r="Z41" s="18"/>
      <c r="AA41" s="19">
        <f t="shared" si="0"/>
        <v>136986</v>
      </c>
      <c r="AB41" s="38">
        <v>4</v>
      </c>
      <c r="AC41" s="19">
        <f t="shared" si="1"/>
        <v>547944</v>
      </c>
      <c r="AD41" s="103"/>
      <c r="AF41" s="100"/>
      <c r="AG41" s="21" t="s">
        <v>42</v>
      </c>
      <c r="AH41" s="18"/>
      <c r="AI41" s="18"/>
      <c r="AJ41" s="18"/>
      <c r="AK41" s="18"/>
      <c r="AL41" s="18"/>
      <c r="AM41" s="18"/>
      <c r="AN41" s="18">
        <v>1370</v>
      </c>
      <c r="AO41" s="18">
        <v>5479</v>
      </c>
      <c r="AP41" s="18">
        <v>10959</v>
      </c>
      <c r="AQ41" s="18">
        <v>16438</v>
      </c>
      <c r="AR41" s="18">
        <v>20548</v>
      </c>
      <c r="AS41" s="18">
        <v>23288</v>
      </c>
      <c r="AT41" s="18">
        <v>23288</v>
      </c>
      <c r="AU41" s="18">
        <v>17808</v>
      </c>
      <c r="AV41" s="18">
        <v>10959</v>
      </c>
      <c r="AW41" s="18">
        <v>5479</v>
      </c>
      <c r="AX41" s="18">
        <v>1370</v>
      </c>
      <c r="AY41" s="18"/>
      <c r="AZ41" s="18"/>
      <c r="BA41" s="18"/>
      <c r="BB41" s="18"/>
      <c r="BC41" s="18"/>
      <c r="BD41" s="18"/>
      <c r="BE41" s="18"/>
      <c r="BF41" s="19">
        <f t="shared" si="2"/>
        <v>136986</v>
      </c>
      <c r="BG41" s="38">
        <v>4</v>
      </c>
      <c r="BH41" s="19">
        <f t="shared" si="29"/>
        <v>547944</v>
      </c>
      <c r="BI41" s="103"/>
      <c r="BK41" s="100"/>
      <c r="BL41" s="21" t="s">
        <v>42</v>
      </c>
      <c r="BM41" s="18"/>
      <c r="BN41" s="18"/>
      <c r="BO41" s="18"/>
      <c r="BP41" s="18"/>
      <c r="BQ41" s="18"/>
      <c r="BR41" s="18"/>
      <c r="BS41" s="18">
        <v>1366</v>
      </c>
      <c r="BT41" s="18">
        <v>5464</v>
      </c>
      <c r="BU41" s="18">
        <v>10929</v>
      </c>
      <c r="BV41" s="18">
        <v>16393</v>
      </c>
      <c r="BW41" s="18">
        <v>20492</v>
      </c>
      <c r="BX41" s="18">
        <v>23224</v>
      </c>
      <c r="BY41" s="18">
        <v>23224</v>
      </c>
      <c r="BZ41" s="18">
        <v>17760</v>
      </c>
      <c r="CA41" s="18">
        <v>10929</v>
      </c>
      <c r="CB41" s="18">
        <v>5464</v>
      </c>
      <c r="CC41" s="18">
        <v>1366</v>
      </c>
      <c r="CD41" s="18"/>
      <c r="CE41" s="18"/>
      <c r="CF41" s="18"/>
      <c r="CG41" s="18"/>
      <c r="CH41" s="18"/>
      <c r="CI41" s="18"/>
      <c r="CJ41" s="18"/>
      <c r="CK41" s="19">
        <f t="shared" si="4"/>
        <v>136611</v>
      </c>
      <c r="CL41" s="38">
        <v>4</v>
      </c>
      <c r="CM41" s="19">
        <f t="shared" si="30"/>
        <v>546444</v>
      </c>
      <c r="CN41" s="103"/>
      <c r="CP41" s="100"/>
      <c r="CQ41" s="21" t="s">
        <v>42</v>
      </c>
      <c r="CR41" s="18"/>
      <c r="CS41" s="18"/>
      <c r="CT41" s="18"/>
      <c r="CU41" s="18"/>
      <c r="CV41" s="18"/>
      <c r="CW41" s="18"/>
      <c r="CX41" s="18">
        <v>1370</v>
      </c>
      <c r="CY41" s="18">
        <v>5479</v>
      </c>
      <c r="CZ41" s="18">
        <v>10959</v>
      </c>
      <c r="DA41" s="18">
        <v>16438</v>
      </c>
      <c r="DB41" s="18">
        <v>20548</v>
      </c>
      <c r="DC41" s="18">
        <v>23288</v>
      </c>
      <c r="DD41" s="18">
        <v>23288</v>
      </c>
      <c r="DE41" s="18">
        <v>17808</v>
      </c>
      <c r="DF41" s="18">
        <v>10959</v>
      </c>
      <c r="DG41" s="18">
        <v>5479</v>
      </c>
      <c r="DH41" s="18">
        <v>1370</v>
      </c>
      <c r="DI41" s="18"/>
      <c r="DJ41" s="18"/>
      <c r="DK41" s="18"/>
      <c r="DL41" s="18"/>
      <c r="DM41" s="18"/>
      <c r="DN41" s="18"/>
      <c r="DO41" s="18"/>
      <c r="DP41" s="19">
        <f t="shared" si="6"/>
        <v>136986</v>
      </c>
      <c r="DQ41" s="38">
        <v>5</v>
      </c>
      <c r="DR41" s="19">
        <f t="shared" si="31"/>
        <v>684930</v>
      </c>
      <c r="DS41" s="103"/>
      <c r="DV41" s="100"/>
      <c r="DW41" s="21" t="s">
        <v>42</v>
      </c>
      <c r="DX41" s="18"/>
      <c r="DY41" s="18"/>
      <c r="DZ41" s="18"/>
      <c r="EA41" s="18"/>
      <c r="EB41" s="18"/>
      <c r="EC41" s="18"/>
      <c r="ED41" s="18">
        <v>1370</v>
      </c>
      <c r="EE41" s="18">
        <v>5479</v>
      </c>
      <c r="EF41" s="18">
        <v>10959</v>
      </c>
      <c r="EG41" s="18">
        <v>16438</v>
      </c>
      <c r="EH41" s="18">
        <v>20548</v>
      </c>
      <c r="EI41" s="18">
        <v>23288</v>
      </c>
      <c r="EJ41" s="18">
        <v>23288</v>
      </c>
      <c r="EK41" s="18">
        <v>17808</v>
      </c>
      <c r="EL41" s="18">
        <v>10959</v>
      </c>
      <c r="EM41" s="18">
        <v>5479</v>
      </c>
      <c r="EN41" s="18">
        <v>1370</v>
      </c>
      <c r="EO41" s="18"/>
      <c r="EP41" s="18"/>
      <c r="EQ41" s="18"/>
      <c r="ER41" s="18"/>
      <c r="ES41" s="18"/>
      <c r="ET41" s="18"/>
      <c r="EU41" s="18"/>
      <c r="EV41" s="19">
        <f t="shared" si="8"/>
        <v>136986</v>
      </c>
      <c r="EW41" s="38">
        <v>5</v>
      </c>
      <c r="EX41" s="19">
        <f t="shared" si="32"/>
        <v>684930</v>
      </c>
      <c r="EY41" s="103"/>
      <c r="FB41" s="100"/>
      <c r="FC41" s="21" t="s">
        <v>42</v>
      </c>
      <c r="FD41" s="18"/>
      <c r="FE41" s="18"/>
      <c r="FF41" s="18"/>
      <c r="FG41" s="18"/>
      <c r="FH41" s="18"/>
      <c r="FI41" s="18"/>
      <c r="FJ41" s="18">
        <v>1370</v>
      </c>
      <c r="FK41" s="18">
        <v>5479</v>
      </c>
      <c r="FL41" s="18">
        <v>10959</v>
      </c>
      <c r="FM41" s="18">
        <v>16438</v>
      </c>
      <c r="FN41" s="18">
        <v>20548</v>
      </c>
      <c r="FO41" s="18">
        <v>23288</v>
      </c>
      <c r="FP41" s="18">
        <v>23288</v>
      </c>
      <c r="FQ41" s="18">
        <v>17808</v>
      </c>
      <c r="FR41" s="18">
        <v>10959</v>
      </c>
      <c r="FS41" s="18">
        <v>5479</v>
      </c>
      <c r="FT41" s="18">
        <v>1370</v>
      </c>
      <c r="FU41" s="18"/>
      <c r="FV41" s="18"/>
      <c r="FW41" s="18"/>
      <c r="FX41" s="18"/>
      <c r="FY41" s="18"/>
      <c r="FZ41" s="18"/>
      <c r="GA41" s="18"/>
      <c r="GB41" s="19">
        <f t="shared" si="9"/>
        <v>136986</v>
      </c>
      <c r="GC41" s="38">
        <v>4</v>
      </c>
      <c r="GD41" s="19">
        <f t="shared" si="33"/>
        <v>547944</v>
      </c>
      <c r="GE41" s="103"/>
      <c r="GG41" s="100"/>
      <c r="GH41" s="21" t="s">
        <v>42</v>
      </c>
      <c r="GI41" s="18"/>
      <c r="GJ41" s="18"/>
      <c r="GK41" s="18"/>
      <c r="GL41" s="18"/>
      <c r="GM41" s="18"/>
      <c r="GN41" s="18"/>
      <c r="GO41" s="18">
        <v>1366</v>
      </c>
      <c r="GP41" s="18">
        <v>5464</v>
      </c>
      <c r="GQ41" s="18">
        <v>10929</v>
      </c>
      <c r="GR41" s="18">
        <v>16393</v>
      </c>
      <c r="GS41" s="18">
        <v>20492</v>
      </c>
      <c r="GT41" s="18">
        <v>23224</v>
      </c>
      <c r="GU41" s="18">
        <v>23224</v>
      </c>
      <c r="GV41" s="18">
        <v>17760</v>
      </c>
      <c r="GW41" s="18">
        <v>10929</v>
      </c>
      <c r="GX41" s="18">
        <v>5464</v>
      </c>
      <c r="GY41" s="18">
        <v>1366</v>
      </c>
      <c r="GZ41" s="18"/>
      <c r="HA41" s="18"/>
      <c r="HB41" s="18"/>
      <c r="HC41" s="18"/>
      <c r="HD41" s="18"/>
      <c r="HE41" s="18"/>
      <c r="HF41" s="18"/>
      <c r="HG41" s="19">
        <f t="shared" si="11"/>
        <v>136611</v>
      </c>
      <c r="HH41" s="38">
        <v>4</v>
      </c>
      <c r="HI41" s="19">
        <f t="shared" si="34"/>
        <v>546444</v>
      </c>
      <c r="HJ41" s="103"/>
      <c r="HL41" s="100"/>
      <c r="HM41" s="21" t="s">
        <v>42</v>
      </c>
      <c r="HN41" s="18"/>
      <c r="HO41" s="18"/>
      <c r="HP41" s="18"/>
      <c r="HQ41" s="18"/>
      <c r="HR41" s="18"/>
      <c r="HS41" s="18"/>
      <c r="HT41" s="18">
        <v>1370</v>
      </c>
      <c r="HU41" s="18">
        <v>5479</v>
      </c>
      <c r="HV41" s="18">
        <v>10959</v>
      </c>
      <c r="HW41" s="18">
        <v>16438</v>
      </c>
      <c r="HX41" s="18">
        <v>20548</v>
      </c>
      <c r="HY41" s="18">
        <v>23288</v>
      </c>
      <c r="HZ41" s="18">
        <v>23288</v>
      </c>
      <c r="IA41" s="18">
        <v>17808</v>
      </c>
      <c r="IB41" s="18">
        <v>10959</v>
      </c>
      <c r="IC41" s="18">
        <v>5479</v>
      </c>
      <c r="ID41" s="18">
        <v>1370</v>
      </c>
      <c r="IE41" s="18"/>
      <c r="IF41" s="18"/>
      <c r="IG41" s="18"/>
      <c r="IH41" s="18"/>
      <c r="II41" s="18"/>
      <c r="IJ41" s="18"/>
      <c r="IK41" s="18"/>
      <c r="IL41" s="19">
        <f t="shared" si="13"/>
        <v>136986</v>
      </c>
      <c r="IM41" s="38">
        <v>4</v>
      </c>
      <c r="IN41" s="19">
        <f t="shared" si="35"/>
        <v>547944</v>
      </c>
      <c r="IO41" s="103"/>
      <c r="IQ41" s="100"/>
      <c r="IR41" s="21" t="s">
        <v>42</v>
      </c>
      <c r="IS41" s="18"/>
      <c r="IT41" s="18"/>
      <c r="IU41" s="18"/>
      <c r="IV41" s="18"/>
      <c r="IW41" s="18"/>
      <c r="IX41" s="18"/>
      <c r="IY41" s="18">
        <v>1370</v>
      </c>
      <c r="IZ41" s="18">
        <v>5479</v>
      </c>
      <c r="JA41" s="18">
        <v>10959</v>
      </c>
      <c r="JB41" s="18">
        <v>16438</v>
      </c>
      <c r="JC41" s="18">
        <v>20548</v>
      </c>
      <c r="JD41" s="18">
        <v>23288</v>
      </c>
      <c r="JE41" s="18">
        <v>23288</v>
      </c>
      <c r="JF41" s="18">
        <v>17808</v>
      </c>
      <c r="JG41" s="18">
        <v>10959</v>
      </c>
      <c r="JH41" s="18">
        <v>5479</v>
      </c>
      <c r="JI41" s="18">
        <v>1370</v>
      </c>
      <c r="JJ41" s="18"/>
      <c r="JK41" s="18"/>
      <c r="JL41" s="18"/>
      <c r="JM41" s="18"/>
      <c r="JN41" s="18"/>
      <c r="JO41" s="18"/>
      <c r="JP41" s="18"/>
      <c r="JQ41" s="19">
        <f t="shared" si="15"/>
        <v>136986</v>
      </c>
      <c r="JR41" s="38">
        <v>4</v>
      </c>
      <c r="JS41" s="19">
        <f t="shared" si="36"/>
        <v>547944</v>
      </c>
      <c r="JT41" s="103"/>
      <c r="JV41" s="100"/>
      <c r="JW41" s="21" t="s">
        <v>42</v>
      </c>
      <c r="JX41" s="18"/>
      <c r="JY41" s="18"/>
      <c r="JZ41" s="18"/>
      <c r="KA41" s="18"/>
      <c r="KB41" s="18"/>
      <c r="KC41" s="18"/>
      <c r="KD41" s="18"/>
      <c r="KE41" s="18">
        <v>1370</v>
      </c>
      <c r="KF41" s="18">
        <v>5479</v>
      </c>
      <c r="KG41" s="18">
        <v>10959</v>
      </c>
      <c r="KH41" s="18">
        <v>16438</v>
      </c>
      <c r="KI41" s="18">
        <v>20548</v>
      </c>
      <c r="KJ41" s="18">
        <v>23288</v>
      </c>
      <c r="KK41" s="18">
        <v>23288</v>
      </c>
      <c r="KL41" s="18">
        <v>17808</v>
      </c>
      <c r="KM41" s="18">
        <v>10959</v>
      </c>
      <c r="KN41" s="18">
        <v>5479</v>
      </c>
      <c r="KO41" s="18">
        <v>1370</v>
      </c>
      <c r="KP41" s="18"/>
      <c r="KQ41" s="18"/>
      <c r="KR41" s="18"/>
      <c r="KS41" s="18"/>
      <c r="KT41" s="18"/>
      <c r="KU41" s="18"/>
      <c r="KV41" s="19">
        <f t="shared" si="17"/>
        <v>136986</v>
      </c>
      <c r="KW41" s="38">
        <v>5</v>
      </c>
      <c r="KX41" s="19">
        <f t="shared" si="37"/>
        <v>684930</v>
      </c>
      <c r="KY41" s="103"/>
      <c r="LA41" s="100"/>
      <c r="LB41" s="21" t="s">
        <v>42</v>
      </c>
      <c r="LC41" s="18"/>
      <c r="LD41" s="18"/>
      <c r="LE41" s="18"/>
      <c r="LF41" s="18"/>
      <c r="LG41" s="18"/>
      <c r="LH41" s="18"/>
      <c r="LI41" s="18">
        <v>1366</v>
      </c>
      <c r="LJ41" s="18">
        <v>5464</v>
      </c>
      <c r="LK41" s="18">
        <v>10929</v>
      </c>
      <c r="LL41" s="18">
        <v>16393</v>
      </c>
      <c r="LM41" s="18">
        <v>20492</v>
      </c>
      <c r="LN41" s="18">
        <v>23224</v>
      </c>
      <c r="LO41" s="18">
        <v>23224</v>
      </c>
      <c r="LP41" s="18">
        <v>17760</v>
      </c>
      <c r="LQ41" s="18">
        <v>10929</v>
      </c>
      <c r="LR41" s="18">
        <v>5464</v>
      </c>
      <c r="LS41" s="18">
        <v>1366</v>
      </c>
      <c r="LT41" s="18"/>
      <c r="LU41" s="18"/>
      <c r="LV41" s="18"/>
      <c r="LW41" s="18"/>
      <c r="LX41" s="18"/>
      <c r="LY41" s="18"/>
      <c r="LZ41" s="18"/>
      <c r="MA41" s="19">
        <f t="shared" si="19"/>
        <v>136611</v>
      </c>
      <c r="MB41" s="38">
        <v>4</v>
      </c>
      <c r="MC41" s="19">
        <f t="shared" si="38"/>
        <v>546444</v>
      </c>
      <c r="MD41" s="103"/>
      <c r="MF41" s="100"/>
      <c r="MG41" s="21" t="s">
        <v>42</v>
      </c>
      <c r="MH41" s="18"/>
      <c r="MI41" s="18"/>
      <c r="MJ41" s="18"/>
      <c r="MK41" s="18"/>
      <c r="ML41" s="18"/>
      <c r="MM41" s="18"/>
      <c r="MN41" s="18">
        <v>1370</v>
      </c>
      <c r="MO41" s="18">
        <v>5479</v>
      </c>
      <c r="MP41" s="18">
        <v>10959</v>
      </c>
      <c r="MQ41" s="18">
        <v>16438</v>
      </c>
      <c r="MR41" s="18">
        <v>20548</v>
      </c>
      <c r="MS41" s="18">
        <v>23288</v>
      </c>
      <c r="MT41" s="18">
        <v>23288</v>
      </c>
      <c r="MU41" s="18">
        <v>17808</v>
      </c>
      <c r="MV41" s="18">
        <v>10959</v>
      </c>
      <c r="MW41" s="18">
        <v>5479</v>
      </c>
      <c r="MX41" s="18">
        <v>1370</v>
      </c>
      <c r="MY41" s="18"/>
      <c r="MZ41" s="18"/>
      <c r="NA41" s="18"/>
      <c r="NB41" s="18"/>
      <c r="NC41" s="18"/>
      <c r="ND41" s="18"/>
      <c r="NE41" s="18"/>
      <c r="NF41" s="19">
        <f t="shared" si="21"/>
        <v>136986</v>
      </c>
      <c r="NG41" s="38">
        <v>4</v>
      </c>
      <c r="NH41" s="19">
        <f t="shared" si="39"/>
        <v>547944</v>
      </c>
      <c r="NI41" s="103"/>
      <c r="NK41" s="100"/>
      <c r="NL41" s="21" t="s">
        <v>42</v>
      </c>
      <c r="NM41" s="18"/>
      <c r="NN41" s="18"/>
      <c r="NO41" s="18"/>
      <c r="NP41" s="18"/>
      <c r="NQ41" s="18"/>
      <c r="NR41" s="18"/>
      <c r="NS41" s="18">
        <v>1370</v>
      </c>
      <c r="NT41" s="18">
        <v>5479</v>
      </c>
      <c r="NU41" s="18">
        <v>10959</v>
      </c>
      <c r="NV41" s="18">
        <v>16438</v>
      </c>
      <c r="NW41" s="18">
        <v>20548</v>
      </c>
      <c r="NX41" s="18">
        <v>23288</v>
      </c>
      <c r="NY41" s="18">
        <v>23288</v>
      </c>
      <c r="NZ41" s="18">
        <v>17808</v>
      </c>
      <c r="OA41" s="18">
        <v>10959</v>
      </c>
      <c r="OB41" s="18">
        <v>5479</v>
      </c>
      <c r="OC41" s="18">
        <v>1370</v>
      </c>
      <c r="OD41" s="18"/>
      <c r="OE41" s="18"/>
      <c r="OF41" s="18"/>
      <c r="OG41" s="18"/>
      <c r="OH41" s="18"/>
      <c r="OI41" s="18"/>
      <c r="OJ41" s="18"/>
      <c r="OK41" s="19">
        <f t="shared" si="23"/>
        <v>136986</v>
      </c>
      <c r="OL41" s="38">
        <v>4</v>
      </c>
      <c r="OM41" s="19">
        <f t="shared" si="40"/>
        <v>547944</v>
      </c>
      <c r="ON41" s="103"/>
      <c r="OP41" s="100"/>
      <c r="OQ41" s="21" t="s">
        <v>42</v>
      </c>
      <c r="OR41" s="18"/>
      <c r="OS41" s="18"/>
      <c r="OT41" s="18"/>
      <c r="OU41" s="18"/>
      <c r="OV41" s="18"/>
      <c r="OW41" s="18"/>
      <c r="OX41" s="18">
        <v>1370</v>
      </c>
      <c r="OY41" s="18">
        <v>5479</v>
      </c>
      <c r="OZ41" s="18">
        <v>10959</v>
      </c>
      <c r="PA41" s="18">
        <v>16438</v>
      </c>
      <c r="PB41" s="18">
        <v>20548</v>
      </c>
      <c r="PC41" s="18">
        <v>23288</v>
      </c>
      <c r="PD41" s="18">
        <v>23288</v>
      </c>
      <c r="PE41" s="18">
        <v>17808</v>
      </c>
      <c r="PF41" s="18">
        <v>10959</v>
      </c>
      <c r="PG41" s="18">
        <v>5479</v>
      </c>
      <c r="PH41" s="18">
        <v>1370</v>
      </c>
      <c r="PI41" s="18"/>
      <c r="PJ41" s="18"/>
      <c r="PK41" s="18"/>
      <c r="PL41" s="18"/>
      <c r="PM41" s="18"/>
      <c r="PN41" s="18"/>
      <c r="PO41" s="18"/>
      <c r="PP41" s="19">
        <f t="shared" si="25"/>
        <v>136986</v>
      </c>
      <c r="PQ41" s="38">
        <v>4</v>
      </c>
      <c r="PR41" s="19">
        <f t="shared" si="41"/>
        <v>547944</v>
      </c>
      <c r="PS41" s="103"/>
      <c r="PU41" s="100"/>
      <c r="PV41" s="21" t="s">
        <v>42</v>
      </c>
      <c r="PW41" s="18"/>
      <c r="PX41" s="18"/>
      <c r="PY41" s="18"/>
      <c r="PZ41" s="18"/>
      <c r="QA41" s="18"/>
      <c r="QB41" s="18"/>
      <c r="QC41" s="18">
        <v>1366</v>
      </c>
      <c r="QD41" s="18">
        <v>5464</v>
      </c>
      <c r="QE41" s="18">
        <v>10929</v>
      </c>
      <c r="QF41" s="18">
        <v>16393</v>
      </c>
      <c r="QG41" s="18">
        <v>20492</v>
      </c>
      <c r="QH41" s="18">
        <v>23224</v>
      </c>
      <c r="QI41" s="18">
        <v>23224</v>
      </c>
      <c r="QJ41" s="18">
        <v>17760</v>
      </c>
      <c r="QK41" s="18">
        <v>10929</v>
      </c>
      <c r="QL41" s="18">
        <v>5464</v>
      </c>
      <c r="QM41" s="18">
        <v>1366</v>
      </c>
      <c r="QN41" s="18"/>
      <c r="QO41" s="18"/>
      <c r="QP41" s="18"/>
      <c r="QQ41" s="18"/>
      <c r="QR41" s="18"/>
      <c r="QS41" s="18"/>
      <c r="QT41" s="18"/>
      <c r="QU41" s="19">
        <f t="shared" si="27"/>
        <v>136611</v>
      </c>
      <c r="QV41" s="45">
        <v>5</v>
      </c>
      <c r="QW41" s="19">
        <f t="shared" si="42"/>
        <v>683055</v>
      </c>
      <c r="QX41" s="103"/>
    </row>
    <row r="42" spans="1:466" ht="15" thickBot="1" x14ac:dyDescent="0.4">
      <c r="A42" s="101"/>
      <c r="B42" s="22" t="s">
        <v>43</v>
      </c>
      <c r="C42" s="18"/>
      <c r="D42" s="18"/>
      <c r="E42" s="18"/>
      <c r="F42" s="18"/>
      <c r="G42" s="18"/>
      <c r="H42" s="18"/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/>
      <c r="U42" s="18"/>
      <c r="V42" s="18"/>
      <c r="W42" s="18"/>
      <c r="X42" s="18"/>
      <c r="Y42" s="18"/>
      <c r="Z42" s="18"/>
      <c r="AA42" s="19">
        <f t="shared" si="0"/>
        <v>0</v>
      </c>
      <c r="AB42" s="39">
        <v>0</v>
      </c>
      <c r="AC42" s="19">
        <f t="shared" si="1"/>
        <v>0</v>
      </c>
      <c r="AD42" s="104"/>
      <c r="AF42" s="101"/>
      <c r="AG42" s="22" t="s">
        <v>43</v>
      </c>
      <c r="AH42" s="18"/>
      <c r="AI42" s="18"/>
      <c r="AJ42" s="18"/>
      <c r="AK42" s="18"/>
      <c r="AL42" s="18"/>
      <c r="AM42" s="18"/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0</v>
      </c>
      <c r="AX42" s="18">
        <v>0</v>
      </c>
      <c r="AY42" s="18"/>
      <c r="AZ42" s="18"/>
      <c r="BA42" s="18"/>
      <c r="BB42" s="18"/>
      <c r="BC42" s="18"/>
      <c r="BD42" s="18"/>
      <c r="BE42" s="18"/>
      <c r="BF42" s="19">
        <f t="shared" si="2"/>
        <v>0</v>
      </c>
      <c r="BG42" s="39">
        <v>0</v>
      </c>
      <c r="BH42" s="19">
        <f t="shared" si="29"/>
        <v>0</v>
      </c>
      <c r="BI42" s="104"/>
      <c r="BK42" s="101"/>
      <c r="BL42" s="22" t="s">
        <v>43</v>
      </c>
      <c r="BM42" s="18"/>
      <c r="BN42" s="18"/>
      <c r="BO42" s="18"/>
      <c r="BP42" s="18"/>
      <c r="BQ42" s="18"/>
      <c r="BR42" s="18"/>
      <c r="BS42" s="18">
        <v>0</v>
      </c>
      <c r="BT42" s="18">
        <v>0</v>
      </c>
      <c r="BU42" s="18">
        <v>0</v>
      </c>
      <c r="BV42" s="18">
        <v>0</v>
      </c>
      <c r="BW42" s="18">
        <v>0</v>
      </c>
      <c r="BX42" s="18">
        <v>0</v>
      </c>
      <c r="BY42" s="18">
        <v>0</v>
      </c>
      <c r="BZ42" s="18">
        <v>0</v>
      </c>
      <c r="CA42" s="18">
        <v>0</v>
      </c>
      <c r="CB42" s="18">
        <v>0</v>
      </c>
      <c r="CC42" s="18">
        <v>0</v>
      </c>
      <c r="CD42" s="18"/>
      <c r="CE42" s="18"/>
      <c r="CF42" s="18"/>
      <c r="CG42" s="18"/>
      <c r="CH42" s="18"/>
      <c r="CI42" s="18"/>
      <c r="CJ42" s="18"/>
      <c r="CK42" s="19">
        <f t="shared" si="4"/>
        <v>0</v>
      </c>
      <c r="CL42" s="39">
        <v>0</v>
      </c>
      <c r="CM42" s="19">
        <f t="shared" si="30"/>
        <v>0</v>
      </c>
      <c r="CN42" s="104"/>
      <c r="CP42" s="101"/>
      <c r="CQ42" s="22" t="s">
        <v>43</v>
      </c>
      <c r="CR42" s="18"/>
      <c r="CS42" s="18"/>
      <c r="CT42" s="18"/>
      <c r="CU42" s="18"/>
      <c r="CV42" s="18"/>
      <c r="CW42" s="18"/>
      <c r="CX42" s="18">
        <v>0</v>
      </c>
      <c r="CY42" s="18">
        <v>0</v>
      </c>
      <c r="CZ42" s="18">
        <v>0</v>
      </c>
      <c r="DA42" s="18">
        <v>0</v>
      </c>
      <c r="DB42" s="18">
        <v>0</v>
      </c>
      <c r="DC42" s="18">
        <v>0</v>
      </c>
      <c r="DD42" s="18">
        <v>0</v>
      </c>
      <c r="DE42" s="18">
        <v>0</v>
      </c>
      <c r="DF42" s="18">
        <v>0</v>
      </c>
      <c r="DG42" s="18">
        <v>0</v>
      </c>
      <c r="DH42" s="18">
        <v>0</v>
      </c>
      <c r="DI42" s="18"/>
      <c r="DJ42" s="18"/>
      <c r="DK42" s="18"/>
      <c r="DL42" s="18"/>
      <c r="DM42" s="18"/>
      <c r="DN42" s="18"/>
      <c r="DO42" s="18"/>
      <c r="DP42" s="19">
        <f t="shared" si="6"/>
        <v>0</v>
      </c>
      <c r="DQ42" s="39">
        <v>0</v>
      </c>
      <c r="DR42" s="19">
        <f t="shared" si="31"/>
        <v>0</v>
      </c>
      <c r="DS42" s="104"/>
      <c r="DV42" s="101"/>
      <c r="DW42" s="22" t="s">
        <v>43</v>
      </c>
      <c r="DX42" s="18"/>
      <c r="DY42" s="18"/>
      <c r="DZ42" s="18"/>
      <c r="EA42" s="18"/>
      <c r="EB42" s="18"/>
      <c r="EC42" s="18"/>
      <c r="ED42" s="18">
        <v>0</v>
      </c>
      <c r="EE42" s="18">
        <v>0</v>
      </c>
      <c r="EF42" s="18">
        <v>0</v>
      </c>
      <c r="EG42" s="18">
        <v>0</v>
      </c>
      <c r="EH42" s="18">
        <v>0</v>
      </c>
      <c r="EI42" s="18">
        <v>0</v>
      </c>
      <c r="EJ42" s="18">
        <v>0</v>
      </c>
      <c r="EK42" s="18">
        <v>0</v>
      </c>
      <c r="EL42" s="18">
        <v>0</v>
      </c>
      <c r="EM42" s="18">
        <v>0</v>
      </c>
      <c r="EN42" s="18">
        <v>0</v>
      </c>
      <c r="EO42" s="18"/>
      <c r="EP42" s="18"/>
      <c r="EQ42" s="18"/>
      <c r="ER42" s="18"/>
      <c r="ES42" s="18"/>
      <c r="ET42" s="18"/>
      <c r="EU42" s="18"/>
      <c r="EV42" s="19">
        <f t="shared" si="8"/>
        <v>0</v>
      </c>
      <c r="EW42" s="39">
        <v>0</v>
      </c>
      <c r="EX42" s="19">
        <f t="shared" si="32"/>
        <v>0</v>
      </c>
      <c r="EY42" s="104"/>
      <c r="FB42" s="101"/>
      <c r="FC42" s="22" t="s">
        <v>43</v>
      </c>
      <c r="FD42" s="18"/>
      <c r="FE42" s="18"/>
      <c r="FF42" s="18"/>
      <c r="FG42" s="18"/>
      <c r="FH42" s="18"/>
      <c r="FI42" s="18"/>
      <c r="FJ42" s="18">
        <v>0</v>
      </c>
      <c r="FK42" s="18">
        <v>0</v>
      </c>
      <c r="FL42" s="18">
        <v>0</v>
      </c>
      <c r="FM42" s="18">
        <v>0</v>
      </c>
      <c r="FN42" s="18">
        <v>0</v>
      </c>
      <c r="FO42" s="18">
        <v>0</v>
      </c>
      <c r="FP42" s="18">
        <v>0</v>
      </c>
      <c r="FQ42" s="18">
        <v>0</v>
      </c>
      <c r="FR42" s="18">
        <v>0</v>
      </c>
      <c r="FS42" s="18">
        <v>0</v>
      </c>
      <c r="FT42" s="18">
        <v>0</v>
      </c>
      <c r="FU42" s="18"/>
      <c r="FV42" s="18"/>
      <c r="FW42" s="18"/>
      <c r="FX42" s="18"/>
      <c r="FY42" s="18"/>
      <c r="FZ42" s="18"/>
      <c r="GA42" s="18"/>
      <c r="GB42" s="19">
        <f t="shared" si="9"/>
        <v>0</v>
      </c>
      <c r="GC42" s="39">
        <v>0</v>
      </c>
      <c r="GD42" s="19">
        <f t="shared" si="33"/>
        <v>0</v>
      </c>
      <c r="GE42" s="104"/>
      <c r="GG42" s="101"/>
      <c r="GH42" s="22" t="s">
        <v>43</v>
      </c>
      <c r="GI42" s="18"/>
      <c r="GJ42" s="18"/>
      <c r="GK42" s="18"/>
      <c r="GL42" s="18"/>
      <c r="GM42" s="18"/>
      <c r="GN42" s="18"/>
      <c r="GO42" s="18">
        <v>0</v>
      </c>
      <c r="GP42" s="18">
        <v>0</v>
      </c>
      <c r="GQ42" s="18">
        <v>0</v>
      </c>
      <c r="GR42" s="18">
        <v>0</v>
      </c>
      <c r="GS42" s="18">
        <v>0</v>
      </c>
      <c r="GT42" s="18">
        <v>0</v>
      </c>
      <c r="GU42" s="18">
        <v>0</v>
      </c>
      <c r="GV42" s="18">
        <v>0</v>
      </c>
      <c r="GW42" s="18">
        <v>0</v>
      </c>
      <c r="GX42" s="18">
        <v>0</v>
      </c>
      <c r="GY42" s="18">
        <v>0</v>
      </c>
      <c r="GZ42" s="18"/>
      <c r="HA42" s="18"/>
      <c r="HB42" s="18"/>
      <c r="HC42" s="18"/>
      <c r="HD42" s="18"/>
      <c r="HE42" s="18"/>
      <c r="HF42" s="18"/>
      <c r="HG42" s="19">
        <f t="shared" si="11"/>
        <v>0</v>
      </c>
      <c r="HH42" s="39">
        <v>0</v>
      </c>
      <c r="HI42" s="19">
        <f t="shared" si="34"/>
        <v>0</v>
      </c>
      <c r="HJ42" s="104"/>
      <c r="HL42" s="101"/>
      <c r="HM42" s="22" t="s">
        <v>43</v>
      </c>
      <c r="HN42" s="18"/>
      <c r="HO42" s="18"/>
      <c r="HP42" s="18"/>
      <c r="HQ42" s="18"/>
      <c r="HR42" s="18"/>
      <c r="HS42" s="18"/>
      <c r="HT42" s="18">
        <v>0</v>
      </c>
      <c r="HU42" s="18">
        <v>0</v>
      </c>
      <c r="HV42" s="18">
        <v>0</v>
      </c>
      <c r="HW42" s="18">
        <v>0</v>
      </c>
      <c r="HX42" s="18">
        <v>0</v>
      </c>
      <c r="HY42" s="18">
        <v>0</v>
      </c>
      <c r="HZ42" s="18">
        <v>0</v>
      </c>
      <c r="IA42" s="18">
        <v>0</v>
      </c>
      <c r="IB42" s="18">
        <v>0</v>
      </c>
      <c r="IC42" s="18">
        <v>0</v>
      </c>
      <c r="ID42" s="18">
        <v>0</v>
      </c>
      <c r="IE42" s="18"/>
      <c r="IF42" s="18"/>
      <c r="IG42" s="18"/>
      <c r="IH42" s="18"/>
      <c r="II42" s="18"/>
      <c r="IJ42" s="18"/>
      <c r="IK42" s="18"/>
      <c r="IL42" s="19">
        <f t="shared" si="13"/>
        <v>0</v>
      </c>
      <c r="IM42" s="39">
        <v>0</v>
      </c>
      <c r="IN42" s="19">
        <f t="shared" si="35"/>
        <v>0</v>
      </c>
      <c r="IO42" s="104"/>
      <c r="IQ42" s="101"/>
      <c r="IR42" s="22" t="s">
        <v>43</v>
      </c>
      <c r="IS42" s="18"/>
      <c r="IT42" s="18"/>
      <c r="IU42" s="18"/>
      <c r="IV42" s="18"/>
      <c r="IW42" s="18"/>
      <c r="IX42" s="18"/>
      <c r="IY42" s="18">
        <v>0</v>
      </c>
      <c r="IZ42" s="18">
        <v>0</v>
      </c>
      <c r="JA42" s="18">
        <v>0</v>
      </c>
      <c r="JB42" s="18">
        <v>0</v>
      </c>
      <c r="JC42" s="18">
        <v>0</v>
      </c>
      <c r="JD42" s="18">
        <v>0</v>
      </c>
      <c r="JE42" s="18">
        <v>0</v>
      </c>
      <c r="JF42" s="18">
        <v>0</v>
      </c>
      <c r="JG42" s="18">
        <v>0</v>
      </c>
      <c r="JH42" s="18">
        <v>0</v>
      </c>
      <c r="JI42" s="18">
        <v>0</v>
      </c>
      <c r="JJ42" s="18"/>
      <c r="JK42" s="18"/>
      <c r="JL42" s="18"/>
      <c r="JM42" s="18"/>
      <c r="JN42" s="18"/>
      <c r="JO42" s="18"/>
      <c r="JP42" s="18"/>
      <c r="JQ42" s="19">
        <f t="shared" si="15"/>
        <v>0</v>
      </c>
      <c r="JR42" s="39">
        <v>0</v>
      </c>
      <c r="JS42" s="19">
        <f t="shared" si="36"/>
        <v>0</v>
      </c>
      <c r="JT42" s="104"/>
      <c r="JV42" s="101"/>
      <c r="JW42" s="22" t="s">
        <v>43</v>
      </c>
      <c r="JX42" s="18"/>
      <c r="JY42" s="18"/>
      <c r="JZ42" s="18"/>
      <c r="KA42" s="18"/>
      <c r="KB42" s="18"/>
      <c r="KC42" s="18"/>
      <c r="KD42" s="18"/>
      <c r="KE42" s="18">
        <v>0</v>
      </c>
      <c r="KF42" s="18">
        <v>0</v>
      </c>
      <c r="KG42" s="18">
        <v>0</v>
      </c>
      <c r="KH42" s="18">
        <v>0</v>
      </c>
      <c r="KI42" s="18">
        <v>0</v>
      </c>
      <c r="KJ42" s="18">
        <v>0</v>
      </c>
      <c r="KK42" s="18">
        <v>0</v>
      </c>
      <c r="KL42" s="18">
        <v>0</v>
      </c>
      <c r="KM42" s="18">
        <v>0</v>
      </c>
      <c r="KN42" s="18">
        <v>0</v>
      </c>
      <c r="KO42" s="18">
        <v>0</v>
      </c>
      <c r="KP42" s="18"/>
      <c r="KQ42" s="18"/>
      <c r="KR42" s="18"/>
      <c r="KS42" s="18"/>
      <c r="KT42" s="18"/>
      <c r="KU42" s="18"/>
      <c r="KV42" s="19">
        <f t="shared" si="17"/>
        <v>0</v>
      </c>
      <c r="KW42" s="39">
        <v>0</v>
      </c>
      <c r="KX42" s="19">
        <f t="shared" si="37"/>
        <v>0</v>
      </c>
      <c r="KY42" s="104"/>
      <c r="LA42" s="101"/>
      <c r="LB42" s="22" t="s">
        <v>43</v>
      </c>
      <c r="LC42" s="18"/>
      <c r="LD42" s="18"/>
      <c r="LE42" s="18"/>
      <c r="LF42" s="18"/>
      <c r="LG42" s="18"/>
      <c r="LH42" s="18"/>
      <c r="LI42" s="18">
        <v>0</v>
      </c>
      <c r="LJ42" s="18">
        <v>0</v>
      </c>
      <c r="LK42" s="18">
        <v>0</v>
      </c>
      <c r="LL42" s="18">
        <v>0</v>
      </c>
      <c r="LM42" s="18">
        <v>0</v>
      </c>
      <c r="LN42" s="18">
        <v>0</v>
      </c>
      <c r="LO42" s="18">
        <v>0</v>
      </c>
      <c r="LP42" s="18">
        <v>0</v>
      </c>
      <c r="LQ42" s="18">
        <v>0</v>
      </c>
      <c r="LR42" s="18">
        <v>0</v>
      </c>
      <c r="LS42" s="18">
        <v>0</v>
      </c>
      <c r="LT42" s="18"/>
      <c r="LU42" s="18"/>
      <c r="LV42" s="18"/>
      <c r="LW42" s="18"/>
      <c r="LX42" s="18"/>
      <c r="LY42" s="18"/>
      <c r="LZ42" s="18"/>
      <c r="MA42" s="19">
        <f t="shared" si="19"/>
        <v>0</v>
      </c>
      <c r="MB42" s="39">
        <v>0</v>
      </c>
      <c r="MC42" s="19">
        <f t="shared" si="38"/>
        <v>0</v>
      </c>
      <c r="MD42" s="104"/>
      <c r="MF42" s="101"/>
      <c r="MG42" s="22" t="s">
        <v>43</v>
      </c>
      <c r="MH42" s="18"/>
      <c r="MI42" s="18"/>
      <c r="MJ42" s="18"/>
      <c r="MK42" s="18"/>
      <c r="ML42" s="18"/>
      <c r="MM42" s="18"/>
      <c r="MN42" s="18">
        <v>0</v>
      </c>
      <c r="MO42" s="18">
        <v>0</v>
      </c>
      <c r="MP42" s="18">
        <v>0</v>
      </c>
      <c r="MQ42" s="18">
        <v>0</v>
      </c>
      <c r="MR42" s="18">
        <v>0</v>
      </c>
      <c r="MS42" s="18">
        <v>0</v>
      </c>
      <c r="MT42" s="18">
        <v>0</v>
      </c>
      <c r="MU42" s="18">
        <v>0</v>
      </c>
      <c r="MV42" s="18">
        <v>0</v>
      </c>
      <c r="MW42" s="18">
        <v>0</v>
      </c>
      <c r="MX42" s="18">
        <v>0</v>
      </c>
      <c r="MY42" s="18"/>
      <c r="MZ42" s="18"/>
      <c r="NA42" s="18"/>
      <c r="NB42" s="18"/>
      <c r="NC42" s="18"/>
      <c r="ND42" s="18"/>
      <c r="NE42" s="18"/>
      <c r="NF42" s="19">
        <f t="shared" si="21"/>
        <v>0</v>
      </c>
      <c r="NG42" s="39">
        <v>0</v>
      </c>
      <c r="NH42" s="19">
        <f t="shared" si="39"/>
        <v>0</v>
      </c>
      <c r="NI42" s="104"/>
      <c r="NK42" s="101"/>
      <c r="NL42" s="22" t="s">
        <v>43</v>
      </c>
      <c r="NM42" s="18"/>
      <c r="NN42" s="18"/>
      <c r="NO42" s="18"/>
      <c r="NP42" s="18"/>
      <c r="NQ42" s="18"/>
      <c r="NR42" s="18"/>
      <c r="NS42" s="18">
        <v>0</v>
      </c>
      <c r="NT42" s="18">
        <v>0</v>
      </c>
      <c r="NU42" s="18">
        <v>0</v>
      </c>
      <c r="NV42" s="18">
        <v>0</v>
      </c>
      <c r="NW42" s="18">
        <v>0</v>
      </c>
      <c r="NX42" s="18">
        <v>0</v>
      </c>
      <c r="NY42" s="18">
        <v>0</v>
      </c>
      <c r="NZ42" s="18">
        <v>0</v>
      </c>
      <c r="OA42" s="18">
        <v>0</v>
      </c>
      <c r="OB42" s="18">
        <v>0</v>
      </c>
      <c r="OC42" s="18">
        <v>0</v>
      </c>
      <c r="OD42" s="18"/>
      <c r="OE42" s="18"/>
      <c r="OF42" s="18"/>
      <c r="OG42" s="18"/>
      <c r="OH42" s="18"/>
      <c r="OI42" s="18"/>
      <c r="OJ42" s="18"/>
      <c r="OK42" s="19">
        <f t="shared" si="23"/>
        <v>0</v>
      </c>
      <c r="OL42" s="39">
        <v>0</v>
      </c>
      <c r="OM42" s="19">
        <f t="shared" si="40"/>
        <v>0</v>
      </c>
      <c r="ON42" s="104"/>
      <c r="OP42" s="101"/>
      <c r="OQ42" s="22" t="s">
        <v>43</v>
      </c>
      <c r="OR42" s="18"/>
      <c r="OS42" s="18"/>
      <c r="OT42" s="18"/>
      <c r="OU42" s="18"/>
      <c r="OV42" s="18"/>
      <c r="OW42" s="18"/>
      <c r="OX42" s="18">
        <v>0</v>
      </c>
      <c r="OY42" s="18">
        <v>0</v>
      </c>
      <c r="OZ42" s="18">
        <v>0</v>
      </c>
      <c r="PA42" s="18">
        <v>0</v>
      </c>
      <c r="PB42" s="18">
        <v>0</v>
      </c>
      <c r="PC42" s="18">
        <v>0</v>
      </c>
      <c r="PD42" s="18">
        <v>0</v>
      </c>
      <c r="PE42" s="18">
        <v>0</v>
      </c>
      <c r="PF42" s="18">
        <v>0</v>
      </c>
      <c r="PG42" s="18">
        <v>0</v>
      </c>
      <c r="PH42" s="18">
        <v>0</v>
      </c>
      <c r="PI42" s="18"/>
      <c r="PJ42" s="18"/>
      <c r="PK42" s="18"/>
      <c r="PL42" s="18"/>
      <c r="PM42" s="18"/>
      <c r="PN42" s="18"/>
      <c r="PO42" s="18"/>
      <c r="PP42" s="19">
        <f t="shared" si="25"/>
        <v>0</v>
      </c>
      <c r="PQ42" s="39">
        <v>0</v>
      </c>
      <c r="PR42" s="19">
        <f t="shared" si="41"/>
        <v>0</v>
      </c>
      <c r="PS42" s="104"/>
      <c r="PU42" s="101"/>
      <c r="PV42" s="22" t="s">
        <v>43</v>
      </c>
      <c r="PW42" s="18"/>
      <c r="PX42" s="18"/>
      <c r="PY42" s="18"/>
      <c r="PZ42" s="18"/>
      <c r="QA42" s="18"/>
      <c r="QB42" s="18"/>
      <c r="QC42" s="18">
        <v>0</v>
      </c>
      <c r="QD42" s="18">
        <v>0</v>
      </c>
      <c r="QE42" s="18">
        <v>0</v>
      </c>
      <c r="QF42" s="18">
        <v>0</v>
      </c>
      <c r="QG42" s="18">
        <v>0</v>
      </c>
      <c r="QH42" s="18">
        <v>0</v>
      </c>
      <c r="QI42" s="18">
        <v>0</v>
      </c>
      <c r="QJ42" s="18">
        <v>0</v>
      </c>
      <c r="QK42" s="18">
        <v>0</v>
      </c>
      <c r="QL42" s="18">
        <v>0</v>
      </c>
      <c r="QM42" s="18">
        <v>0</v>
      </c>
      <c r="QN42" s="18"/>
      <c r="QO42" s="18"/>
      <c r="QP42" s="18"/>
      <c r="QQ42" s="18"/>
      <c r="QR42" s="18"/>
      <c r="QS42" s="18"/>
      <c r="QT42" s="18"/>
      <c r="QU42" s="19">
        <f t="shared" si="27"/>
        <v>0</v>
      </c>
      <c r="QV42" s="47">
        <v>0</v>
      </c>
      <c r="QW42" s="19">
        <f t="shared" si="42"/>
        <v>0</v>
      </c>
      <c r="QX42" s="104"/>
    </row>
    <row r="43" spans="1:466" x14ac:dyDescent="0.35">
      <c r="A43" s="99">
        <v>46296</v>
      </c>
      <c r="B43" s="17" t="s">
        <v>40</v>
      </c>
      <c r="C43" s="18"/>
      <c r="D43" s="18"/>
      <c r="E43" s="18"/>
      <c r="F43" s="18"/>
      <c r="G43" s="18"/>
      <c r="H43" s="18"/>
      <c r="I43" s="18">
        <v>1370</v>
      </c>
      <c r="J43" s="18">
        <v>5479</v>
      </c>
      <c r="K43" s="18">
        <v>10959</v>
      </c>
      <c r="L43" s="18">
        <v>16438</v>
      </c>
      <c r="M43" s="18">
        <v>20548</v>
      </c>
      <c r="N43" s="18">
        <v>23288</v>
      </c>
      <c r="O43" s="18">
        <v>23288</v>
      </c>
      <c r="P43" s="18">
        <v>17808</v>
      </c>
      <c r="Q43" s="18">
        <v>10959</v>
      </c>
      <c r="R43" s="18">
        <v>5479</v>
      </c>
      <c r="S43" s="18">
        <v>1370</v>
      </c>
      <c r="T43" s="18"/>
      <c r="U43" s="18"/>
      <c r="V43" s="18"/>
      <c r="W43" s="18"/>
      <c r="X43" s="18"/>
      <c r="Y43" s="18"/>
      <c r="Z43" s="18"/>
      <c r="AA43" s="19">
        <f t="shared" si="0"/>
        <v>136986</v>
      </c>
      <c r="AB43" s="37">
        <v>21</v>
      </c>
      <c r="AC43" s="19">
        <f t="shared" si="1"/>
        <v>2876706</v>
      </c>
      <c r="AD43" s="102">
        <f>+SUM(AC43:AC46)</f>
        <v>4246566</v>
      </c>
      <c r="AF43" s="99">
        <v>46661</v>
      </c>
      <c r="AG43" s="17" t="s">
        <v>40</v>
      </c>
      <c r="AH43" s="18"/>
      <c r="AI43" s="18"/>
      <c r="AJ43" s="18"/>
      <c r="AK43" s="18"/>
      <c r="AL43" s="18"/>
      <c r="AM43" s="18"/>
      <c r="AN43" s="18">
        <v>1370</v>
      </c>
      <c r="AO43" s="18">
        <v>5479</v>
      </c>
      <c r="AP43" s="18">
        <v>10959</v>
      </c>
      <c r="AQ43" s="18">
        <v>16438</v>
      </c>
      <c r="AR43" s="18">
        <v>20548</v>
      </c>
      <c r="AS43" s="18">
        <v>23288</v>
      </c>
      <c r="AT43" s="18">
        <v>23288</v>
      </c>
      <c r="AU43" s="18">
        <v>17808</v>
      </c>
      <c r="AV43" s="18">
        <v>10959</v>
      </c>
      <c r="AW43" s="18">
        <v>5479</v>
      </c>
      <c r="AX43" s="18">
        <v>1370</v>
      </c>
      <c r="AY43" s="18"/>
      <c r="AZ43" s="18"/>
      <c r="BA43" s="18"/>
      <c r="BB43" s="18"/>
      <c r="BC43" s="18"/>
      <c r="BD43" s="18"/>
      <c r="BE43" s="18"/>
      <c r="BF43" s="19">
        <f t="shared" si="2"/>
        <v>136986</v>
      </c>
      <c r="BG43" s="37">
        <v>20</v>
      </c>
      <c r="BH43" s="19">
        <f t="shared" si="29"/>
        <v>2739720</v>
      </c>
      <c r="BI43" s="102">
        <f>+SUM(BH43:BH46)</f>
        <v>4246566</v>
      </c>
      <c r="BK43" s="99">
        <v>47027</v>
      </c>
      <c r="BL43" s="17" t="s">
        <v>40</v>
      </c>
      <c r="BM43" s="18"/>
      <c r="BN43" s="18"/>
      <c r="BO43" s="18"/>
      <c r="BP43" s="18"/>
      <c r="BQ43" s="18"/>
      <c r="BR43" s="18"/>
      <c r="BS43" s="18">
        <v>1366</v>
      </c>
      <c r="BT43" s="18">
        <v>5464</v>
      </c>
      <c r="BU43" s="18">
        <v>10929</v>
      </c>
      <c r="BV43" s="18">
        <v>16393</v>
      </c>
      <c r="BW43" s="18">
        <v>20492</v>
      </c>
      <c r="BX43" s="18">
        <v>23224</v>
      </c>
      <c r="BY43" s="18">
        <v>23224</v>
      </c>
      <c r="BZ43" s="18">
        <v>17760</v>
      </c>
      <c r="CA43" s="18">
        <v>10929</v>
      </c>
      <c r="CB43" s="18">
        <v>5464</v>
      </c>
      <c r="CC43" s="18">
        <v>1366</v>
      </c>
      <c r="CD43" s="18"/>
      <c r="CE43" s="18"/>
      <c r="CF43" s="18"/>
      <c r="CG43" s="18"/>
      <c r="CH43" s="18"/>
      <c r="CI43" s="18"/>
      <c r="CJ43" s="18"/>
      <c r="CK43" s="19">
        <f t="shared" si="4"/>
        <v>136611</v>
      </c>
      <c r="CL43" s="37">
        <v>21</v>
      </c>
      <c r="CM43" s="19">
        <f t="shared" si="30"/>
        <v>2868831</v>
      </c>
      <c r="CN43" s="102">
        <f>+SUM(CM43:CM46)</f>
        <v>4234941</v>
      </c>
      <c r="CP43" s="99">
        <v>47392</v>
      </c>
      <c r="CQ43" s="17" t="s">
        <v>40</v>
      </c>
      <c r="CR43" s="18"/>
      <c r="CS43" s="18"/>
      <c r="CT43" s="18"/>
      <c r="CU43" s="18"/>
      <c r="CV43" s="18"/>
      <c r="CW43" s="18"/>
      <c r="CX43" s="18">
        <v>1370</v>
      </c>
      <c r="CY43" s="18">
        <v>5479</v>
      </c>
      <c r="CZ43" s="18">
        <v>10959</v>
      </c>
      <c r="DA43" s="18">
        <v>16438</v>
      </c>
      <c r="DB43" s="18">
        <v>20548</v>
      </c>
      <c r="DC43" s="18">
        <v>23288</v>
      </c>
      <c r="DD43" s="18">
        <v>23288</v>
      </c>
      <c r="DE43" s="18">
        <v>17808</v>
      </c>
      <c r="DF43" s="18">
        <v>10959</v>
      </c>
      <c r="DG43" s="18">
        <v>5479</v>
      </c>
      <c r="DH43" s="18">
        <v>1370</v>
      </c>
      <c r="DI43" s="18"/>
      <c r="DJ43" s="18"/>
      <c r="DK43" s="18"/>
      <c r="DL43" s="18"/>
      <c r="DM43" s="18"/>
      <c r="DN43" s="18"/>
      <c r="DO43" s="18"/>
      <c r="DP43" s="19">
        <f t="shared" si="6"/>
        <v>136986</v>
      </c>
      <c r="DQ43" s="37">
        <v>22</v>
      </c>
      <c r="DR43" s="19">
        <f t="shared" si="31"/>
        <v>3013692</v>
      </c>
      <c r="DS43" s="102">
        <f>+SUM(DR43:DR46)</f>
        <v>4246566</v>
      </c>
      <c r="DV43" s="99">
        <v>47757</v>
      </c>
      <c r="DW43" s="17" t="s">
        <v>40</v>
      </c>
      <c r="DX43" s="18"/>
      <c r="DY43" s="18"/>
      <c r="DZ43" s="18"/>
      <c r="EA43" s="18"/>
      <c r="EB43" s="18"/>
      <c r="EC43" s="18"/>
      <c r="ED43" s="18">
        <v>1370</v>
      </c>
      <c r="EE43" s="18">
        <v>5479</v>
      </c>
      <c r="EF43" s="18">
        <v>10959</v>
      </c>
      <c r="EG43" s="18">
        <v>16438</v>
      </c>
      <c r="EH43" s="18">
        <v>20548</v>
      </c>
      <c r="EI43" s="18">
        <v>23288</v>
      </c>
      <c r="EJ43" s="18">
        <v>23288</v>
      </c>
      <c r="EK43" s="18">
        <v>17808</v>
      </c>
      <c r="EL43" s="18">
        <v>10959</v>
      </c>
      <c r="EM43" s="18">
        <v>5479</v>
      </c>
      <c r="EN43" s="18">
        <v>1370</v>
      </c>
      <c r="EO43" s="18"/>
      <c r="EP43" s="18"/>
      <c r="EQ43" s="18"/>
      <c r="ER43" s="18"/>
      <c r="ES43" s="18"/>
      <c r="ET43" s="18"/>
      <c r="EU43" s="18"/>
      <c r="EV43" s="19">
        <f t="shared" si="8"/>
        <v>136986</v>
      </c>
      <c r="EW43" s="37">
        <v>22</v>
      </c>
      <c r="EX43" s="19">
        <f t="shared" si="32"/>
        <v>3013692</v>
      </c>
      <c r="EY43" s="102">
        <f>+SUM(EX43:EX46)</f>
        <v>4246566</v>
      </c>
      <c r="FB43" s="99">
        <v>48122</v>
      </c>
      <c r="FC43" s="17" t="s">
        <v>40</v>
      </c>
      <c r="FD43" s="18"/>
      <c r="FE43" s="18"/>
      <c r="FF43" s="18"/>
      <c r="FG43" s="18"/>
      <c r="FH43" s="18"/>
      <c r="FI43" s="18"/>
      <c r="FJ43" s="18">
        <v>1370</v>
      </c>
      <c r="FK43" s="18">
        <v>5479</v>
      </c>
      <c r="FL43" s="18">
        <v>10959</v>
      </c>
      <c r="FM43" s="18">
        <v>16438</v>
      </c>
      <c r="FN43" s="18">
        <v>20548</v>
      </c>
      <c r="FO43" s="18">
        <v>23288</v>
      </c>
      <c r="FP43" s="18">
        <v>23288</v>
      </c>
      <c r="FQ43" s="18">
        <v>17808</v>
      </c>
      <c r="FR43" s="18">
        <v>10959</v>
      </c>
      <c r="FS43" s="18">
        <v>5479</v>
      </c>
      <c r="FT43" s="18">
        <v>1370</v>
      </c>
      <c r="FU43" s="18"/>
      <c r="FV43" s="18"/>
      <c r="FW43" s="18"/>
      <c r="FX43" s="18"/>
      <c r="FY43" s="18"/>
      <c r="FZ43" s="18"/>
      <c r="GA43" s="18"/>
      <c r="GB43" s="19">
        <f t="shared" si="9"/>
        <v>136986</v>
      </c>
      <c r="GC43" s="37">
        <v>22</v>
      </c>
      <c r="GD43" s="19">
        <f t="shared" si="33"/>
        <v>3013692</v>
      </c>
      <c r="GE43" s="102">
        <f>+SUM(GD43:GD46)</f>
        <v>4246566</v>
      </c>
      <c r="GG43" s="99">
        <v>48488</v>
      </c>
      <c r="GH43" s="17" t="s">
        <v>40</v>
      </c>
      <c r="GI43" s="18"/>
      <c r="GJ43" s="18"/>
      <c r="GK43" s="18"/>
      <c r="GL43" s="18"/>
      <c r="GM43" s="18"/>
      <c r="GN43" s="18"/>
      <c r="GO43" s="18">
        <v>1366</v>
      </c>
      <c r="GP43" s="18">
        <v>5464</v>
      </c>
      <c r="GQ43" s="18">
        <v>10929</v>
      </c>
      <c r="GR43" s="18">
        <v>16393</v>
      </c>
      <c r="GS43" s="18">
        <v>20492</v>
      </c>
      <c r="GT43" s="18">
        <v>23224</v>
      </c>
      <c r="GU43" s="18">
        <v>23224</v>
      </c>
      <c r="GV43" s="18">
        <v>17760</v>
      </c>
      <c r="GW43" s="18">
        <v>10929</v>
      </c>
      <c r="GX43" s="18">
        <v>5464</v>
      </c>
      <c r="GY43" s="18">
        <v>1366</v>
      </c>
      <c r="GZ43" s="18"/>
      <c r="HA43" s="18"/>
      <c r="HB43" s="18"/>
      <c r="HC43" s="18"/>
      <c r="HD43" s="18"/>
      <c r="HE43" s="18"/>
      <c r="HF43" s="18"/>
      <c r="HG43" s="19">
        <f t="shared" si="11"/>
        <v>136611</v>
      </c>
      <c r="HH43" s="37">
        <v>20</v>
      </c>
      <c r="HI43" s="19">
        <f t="shared" si="34"/>
        <v>2732220</v>
      </c>
      <c r="HJ43" s="102">
        <f>+SUM(HI43:HI46)</f>
        <v>4234941</v>
      </c>
      <c r="HL43" s="99">
        <v>48853</v>
      </c>
      <c r="HM43" s="17" t="s">
        <v>40</v>
      </c>
      <c r="HN43" s="18"/>
      <c r="HO43" s="18"/>
      <c r="HP43" s="18"/>
      <c r="HQ43" s="18"/>
      <c r="HR43" s="18"/>
      <c r="HS43" s="18"/>
      <c r="HT43" s="18">
        <v>1370</v>
      </c>
      <c r="HU43" s="18">
        <v>5479</v>
      </c>
      <c r="HV43" s="18">
        <v>10959</v>
      </c>
      <c r="HW43" s="18">
        <v>16438</v>
      </c>
      <c r="HX43" s="18">
        <v>20548</v>
      </c>
      <c r="HY43" s="18">
        <v>23288</v>
      </c>
      <c r="HZ43" s="18">
        <v>23288</v>
      </c>
      <c r="IA43" s="18">
        <v>17808</v>
      </c>
      <c r="IB43" s="18">
        <v>10959</v>
      </c>
      <c r="IC43" s="18">
        <v>5479</v>
      </c>
      <c r="ID43" s="18">
        <v>1370</v>
      </c>
      <c r="IE43" s="18"/>
      <c r="IF43" s="18"/>
      <c r="IG43" s="18"/>
      <c r="IH43" s="18"/>
      <c r="II43" s="18"/>
      <c r="IJ43" s="18"/>
      <c r="IK43" s="18"/>
      <c r="IL43" s="19">
        <f t="shared" si="13"/>
        <v>136986</v>
      </c>
      <c r="IM43" s="37">
        <v>20</v>
      </c>
      <c r="IN43" s="19">
        <f t="shared" si="35"/>
        <v>2739720</v>
      </c>
      <c r="IO43" s="102">
        <f>+SUM(IN43:IN46)</f>
        <v>4246566</v>
      </c>
      <c r="IQ43" s="99">
        <v>49218</v>
      </c>
      <c r="IR43" s="17" t="s">
        <v>40</v>
      </c>
      <c r="IS43" s="18"/>
      <c r="IT43" s="18"/>
      <c r="IU43" s="18"/>
      <c r="IV43" s="18"/>
      <c r="IW43" s="18"/>
      <c r="IX43" s="18"/>
      <c r="IY43" s="18">
        <v>1370</v>
      </c>
      <c r="IZ43" s="18">
        <v>5479</v>
      </c>
      <c r="JA43" s="18">
        <v>10959</v>
      </c>
      <c r="JB43" s="18">
        <v>16438</v>
      </c>
      <c r="JC43" s="18">
        <v>20548</v>
      </c>
      <c r="JD43" s="18">
        <v>23288</v>
      </c>
      <c r="JE43" s="18">
        <v>23288</v>
      </c>
      <c r="JF43" s="18">
        <v>17808</v>
      </c>
      <c r="JG43" s="18">
        <v>10959</v>
      </c>
      <c r="JH43" s="18">
        <v>5479</v>
      </c>
      <c r="JI43" s="18">
        <v>1370</v>
      </c>
      <c r="JJ43" s="18"/>
      <c r="JK43" s="18"/>
      <c r="JL43" s="18"/>
      <c r="JM43" s="18"/>
      <c r="JN43" s="18"/>
      <c r="JO43" s="18"/>
      <c r="JP43" s="18"/>
      <c r="JQ43" s="19">
        <f t="shared" si="15"/>
        <v>136986</v>
      </c>
      <c r="JR43" s="37">
        <v>21</v>
      </c>
      <c r="JS43" s="19">
        <f t="shared" si="36"/>
        <v>2876706</v>
      </c>
      <c r="JT43" s="102">
        <f>+SUM(JS43:JS46)</f>
        <v>4246566</v>
      </c>
      <c r="JV43" s="99">
        <v>49583</v>
      </c>
      <c r="JW43" s="17" t="s">
        <v>40</v>
      </c>
      <c r="JX43" s="18"/>
      <c r="JY43" s="18"/>
      <c r="JZ43" s="18"/>
      <c r="KA43" s="18"/>
      <c r="KB43" s="18"/>
      <c r="KC43" s="18"/>
      <c r="KD43" s="18"/>
      <c r="KE43" s="18">
        <v>1370</v>
      </c>
      <c r="KF43" s="18">
        <v>5479</v>
      </c>
      <c r="KG43" s="18">
        <v>10959</v>
      </c>
      <c r="KH43" s="18">
        <v>16438</v>
      </c>
      <c r="KI43" s="18">
        <v>20548</v>
      </c>
      <c r="KJ43" s="18">
        <v>23288</v>
      </c>
      <c r="KK43" s="18">
        <v>23288</v>
      </c>
      <c r="KL43" s="18">
        <v>17808</v>
      </c>
      <c r="KM43" s="18">
        <v>10959</v>
      </c>
      <c r="KN43" s="18">
        <v>5479</v>
      </c>
      <c r="KO43" s="18">
        <v>1370</v>
      </c>
      <c r="KP43" s="18"/>
      <c r="KQ43" s="18"/>
      <c r="KR43" s="18"/>
      <c r="KS43" s="18"/>
      <c r="KT43" s="18"/>
      <c r="KU43" s="18"/>
      <c r="KV43" s="19">
        <f t="shared" si="17"/>
        <v>136986</v>
      </c>
      <c r="KW43" s="37">
        <v>22</v>
      </c>
      <c r="KX43" s="19">
        <f t="shared" si="37"/>
        <v>3013692</v>
      </c>
      <c r="KY43" s="102">
        <f>+SUM(KX43:KX46)</f>
        <v>4246566</v>
      </c>
      <c r="LA43" s="99">
        <v>49949</v>
      </c>
      <c r="LB43" s="17" t="s">
        <v>40</v>
      </c>
      <c r="LC43" s="18"/>
      <c r="LD43" s="18"/>
      <c r="LE43" s="18"/>
      <c r="LF43" s="18"/>
      <c r="LG43" s="18"/>
      <c r="LH43" s="18"/>
      <c r="LI43" s="18">
        <v>1366</v>
      </c>
      <c r="LJ43" s="18">
        <v>5464</v>
      </c>
      <c r="LK43" s="18">
        <v>10929</v>
      </c>
      <c r="LL43" s="18">
        <v>16393</v>
      </c>
      <c r="LM43" s="18">
        <v>20492</v>
      </c>
      <c r="LN43" s="18">
        <v>23224</v>
      </c>
      <c r="LO43" s="18">
        <v>23224</v>
      </c>
      <c r="LP43" s="18">
        <v>17760</v>
      </c>
      <c r="LQ43" s="18">
        <v>10929</v>
      </c>
      <c r="LR43" s="18">
        <v>5464</v>
      </c>
      <c r="LS43" s="18">
        <v>1366</v>
      </c>
      <c r="LT43" s="18"/>
      <c r="LU43" s="18"/>
      <c r="LV43" s="18"/>
      <c r="LW43" s="18"/>
      <c r="LX43" s="18"/>
      <c r="LY43" s="18"/>
      <c r="LZ43" s="18"/>
      <c r="MA43" s="19">
        <f t="shared" si="19"/>
        <v>136611</v>
      </c>
      <c r="MB43" s="37">
        <v>22</v>
      </c>
      <c r="MC43" s="19">
        <f t="shared" si="38"/>
        <v>3005442</v>
      </c>
      <c r="MD43" s="102">
        <f>+SUM(MC43:MC46)</f>
        <v>4234941</v>
      </c>
      <c r="MF43" s="99">
        <v>50314</v>
      </c>
      <c r="MG43" s="17" t="s">
        <v>40</v>
      </c>
      <c r="MH43" s="18"/>
      <c r="MI43" s="18"/>
      <c r="MJ43" s="18"/>
      <c r="MK43" s="18"/>
      <c r="ML43" s="18"/>
      <c r="MM43" s="18"/>
      <c r="MN43" s="18">
        <v>1370</v>
      </c>
      <c r="MO43" s="18">
        <v>5479</v>
      </c>
      <c r="MP43" s="18">
        <v>10959</v>
      </c>
      <c r="MQ43" s="18">
        <v>16438</v>
      </c>
      <c r="MR43" s="18">
        <v>20548</v>
      </c>
      <c r="MS43" s="18">
        <v>23288</v>
      </c>
      <c r="MT43" s="18">
        <v>23288</v>
      </c>
      <c r="MU43" s="18">
        <v>17808</v>
      </c>
      <c r="MV43" s="18">
        <v>10959</v>
      </c>
      <c r="MW43" s="18">
        <v>5479</v>
      </c>
      <c r="MX43" s="18">
        <v>1370</v>
      </c>
      <c r="MY43" s="18"/>
      <c r="MZ43" s="18"/>
      <c r="NA43" s="18"/>
      <c r="NB43" s="18"/>
      <c r="NC43" s="18"/>
      <c r="ND43" s="18"/>
      <c r="NE43" s="18"/>
      <c r="NF43" s="19">
        <f t="shared" si="21"/>
        <v>136986</v>
      </c>
      <c r="NG43" s="37">
        <v>21</v>
      </c>
      <c r="NH43" s="19">
        <f t="shared" si="39"/>
        <v>2876706</v>
      </c>
      <c r="NI43" s="102">
        <f>+SUM(NH43:NH46)</f>
        <v>4246566</v>
      </c>
      <c r="NK43" s="99">
        <v>50679</v>
      </c>
      <c r="NL43" s="17" t="s">
        <v>40</v>
      </c>
      <c r="NM43" s="18"/>
      <c r="NN43" s="18"/>
      <c r="NO43" s="18"/>
      <c r="NP43" s="18"/>
      <c r="NQ43" s="18"/>
      <c r="NR43" s="18"/>
      <c r="NS43" s="18">
        <v>1370</v>
      </c>
      <c r="NT43" s="18">
        <v>5479</v>
      </c>
      <c r="NU43" s="18">
        <v>10959</v>
      </c>
      <c r="NV43" s="18">
        <v>16438</v>
      </c>
      <c r="NW43" s="18">
        <v>20548</v>
      </c>
      <c r="NX43" s="18">
        <v>23288</v>
      </c>
      <c r="NY43" s="18">
        <v>23288</v>
      </c>
      <c r="NZ43" s="18">
        <v>17808</v>
      </c>
      <c r="OA43" s="18">
        <v>10959</v>
      </c>
      <c r="OB43" s="18">
        <v>5479</v>
      </c>
      <c r="OC43" s="18">
        <v>1370</v>
      </c>
      <c r="OD43" s="18"/>
      <c r="OE43" s="18"/>
      <c r="OF43" s="18"/>
      <c r="OG43" s="18"/>
      <c r="OH43" s="18"/>
      <c r="OI43" s="18"/>
      <c r="OJ43" s="18"/>
      <c r="OK43" s="19">
        <f t="shared" si="23"/>
        <v>136986</v>
      </c>
      <c r="OL43" s="37">
        <v>20</v>
      </c>
      <c r="OM43" s="19">
        <f t="shared" si="40"/>
        <v>2739720</v>
      </c>
      <c r="ON43" s="102">
        <f>+SUM(OM43:OM46)</f>
        <v>4246566</v>
      </c>
      <c r="OP43" s="99">
        <v>51044</v>
      </c>
      <c r="OQ43" s="17" t="s">
        <v>40</v>
      </c>
      <c r="OR43" s="18"/>
      <c r="OS43" s="18"/>
      <c r="OT43" s="18"/>
      <c r="OU43" s="18"/>
      <c r="OV43" s="18"/>
      <c r="OW43" s="18"/>
      <c r="OX43" s="18">
        <v>1370</v>
      </c>
      <c r="OY43" s="18">
        <v>5479</v>
      </c>
      <c r="OZ43" s="18">
        <v>10959</v>
      </c>
      <c r="PA43" s="18">
        <v>16438</v>
      </c>
      <c r="PB43" s="18">
        <v>20548</v>
      </c>
      <c r="PC43" s="18">
        <v>23288</v>
      </c>
      <c r="PD43" s="18">
        <v>23288</v>
      </c>
      <c r="PE43" s="18">
        <v>17808</v>
      </c>
      <c r="PF43" s="18">
        <v>10959</v>
      </c>
      <c r="PG43" s="18">
        <v>5479</v>
      </c>
      <c r="PH43" s="18">
        <v>1370</v>
      </c>
      <c r="PI43" s="18"/>
      <c r="PJ43" s="18"/>
      <c r="PK43" s="18"/>
      <c r="PL43" s="18"/>
      <c r="PM43" s="18"/>
      <c r="PN43" s="18"/>
      <c r="PO43" s="18"/>
      <c r="PP43" s="19">
        <f t="shared" si="25"/>
        <v>136986</v>
      </c>
      <c r="PQ43" s="37">
        <v>20</v>
      </c>
      <c r="PR43" s="19">
        <f t="shared" si="41"/>
        <v>2739720</v>
      </c>
      <c r="PS43" s="102">
        <f>+SUM(PR43:PR46)</f>
        <v>4246566</v>
      </c>
      <c r="PU43" s="99">
        <v>51410</v>
      </c>
      <c r="PV43" s="17" t="s">
        <v>40</v>
      </c>
      <c r="PW43" s="18"/>
      <c r="PX43" s="18"/>
      <c r="PY43" s="18"/>
      <c r="PZ43" s="18"/>
      <c r="QA43" s="18"/>
      <c r="QB43" s="18"/>
      <c r="QC43" s="18">
        <v>1366</v>
      </c>
      <c r="QD43" s="18">
        <v>5464</v>
      </c>
      <c r="QE43" s="18">
        <v>10929</v>
      </c>
      <c r="QF43" s="18">
        <v>16393</v>
      </c>
      <c r="QG43" s="18">
        <v>20492</v>
      </c>
      <c r="QH43" s="18">
        <v>23224</v>
      </c>
      <c r="QI43" s="18">
        <v>23224</v>
      </c>
      <c r="QJ43" s="18">
        <v>17760</v>
      </c>
      <c r="QK43" s="18">
        <v>10929</v>
      </c>
      <c r="QL43" s="18">
        <v>5464</v>
      </c>
      <c r="QM43" s="18">
        <v>1366</v>
      </c>
      <c r="QN43" s="18"/>
      <c r="QO43" s="18"/>
      <c r="QP43" s="18"/>
      <c r="QQ43" s="18"/>
      <c r="QR43" s="18"/>
      <c r="QS43" s="18"/>
      <c r="QT43" s="18"/>
      <c r="QU43" s="19">
        <f t="shared" si="27"/>
        <v>136611</v>
      </c>
      <c r="QV43" s="46">
        <v>22</v>
      </c>
      <c r="QW43" s="19">
        <f t="shared" si="42"/>
        <v>3005442</v>
      </c>
      <c r="QX43" s="102">
        <f>+SUM(QW43:QW46)</f>
        <v>4234941</v>
      </c>
    </row>
    <row r="44" spans="1:466" x14ac:dyDescent="0.35">
      <c r="A44" s="100"/>
      <c r="B44" s="21" t="s">
        <v>41</v>
      </c>
      <c r="C44" s="18"/>
      <c r="D44" s="18"/>
      <c r="E44" s="18"/>
      <c r="F44" s="18"/>
      <c r="G44" s="18"/>
      <c r="H44" s="18"/>
      <c r="I44" s="18">
        <v>1370</v>
      </c>
      <c r="J44" s="18">
        <v>5479</v>
      </c>
      <c r="K44" s="18">
        <v>10959</v>
      </c>
      <c r="L44" s="18">
        <v>16438</v>
      </c>
      <c r="M44" s="18">
        <v>20548</v>
      </c>
      <c r="N44" s="18">
        <v>23288</v>
      </c>
      <c r="O44" s="18">
        <v>23288</v>
      </c>
      <c r="P44" s="18">
        <v>17808</v>
      </c>
      <c r="Q44" s="18">
        <v>10959</v>
      </c>
      <c r="R44" s="18">
        <v>5479</v>
      </c>
      <c r="S44" s="18">
        <v>1370</v>
      </c>
      <c r="T44" s="18"/>
      <c r="U44" s="18"/>
      <c r="V44" s="18"/>
      <c r="W44" s="18"/>
      <c r="X44" s="18"/>
      <c r="Y44" s="18"/>
      <c r="Z44" s="18"/>
      <c r="AA44" s="19">
        <f t="shared" si="0"/>
        <v>136986</v>
      </c>
      <c r="AB44" s="38">
        <v>5</v>
      </c>
      <c r="AC44" s="19">
        <f t="shared" si="1"/>
        <v>684930</v>
      </c>
      <c r="AD44" s="103"/>
      <c r="AF44" s="100"/>
      <c r="AG44" s="21" t="s">
        <v>41</v>
      </c>
      <c r="AH44" s="18"/>
      <c r="AI44" s="18"/>
      <c r="AJ44" s="18"/>
      <c r="AK44" s="18"/>
      <c r="AL44" s="18"/>
      <c r="AM44" s="18"/>
      <c r="AN44" s="18">
        <v>1370</v>
      </c>
      <c r="AO44" s="18">
        <v>5479</v>
      </c>
      <c r="AP44" s="18">
        <v>10959</v>
      </c>
      <c r="AQ44" s="18">
        <v>16438</v>
      </c>
      <c r="AR44" s="18">
        <v>20548</v>
      </c>
      <c r="AS44" s="18">
        <v>23288</v>
      </c>
      <c r="AT44" s="18">
        <v>23288</v>
      </c>
      <c r="AU44" s="18">
        <v>17808</v>
      </c>
      <c r="AV44" s="18">
        <v>10959</v>
      </c>
      <c r="AW44" s="18">
        <v>5479</v>
      </c>
      <c r="AX44" s="18">
        <v>1370</v>
      </c>
      <c r="AY44" s="18"/>
      <c r="AZ44" s="18"/>
      <c r="BA44" s="18"/>
      <c r="BB44" s="18"/>
      <c r="BC44" s="18"/>
      <c r="BD44" s="18"/>
      <c r="BE44" s="18"/>
      <c r="BF44" s="19">
        <f t="shared" si="2"/>
        <v>136986</v>
      </c>
      <c r="BG44" s="38">
        <v>5</v>
      </c>
      <c r="BH44" s="19">
        <f t="shared" si="29"/>
        <v>684930</v>
      </c>
      <c r="BI44" s="103"/>
      <c r="BK44" s="100"/>
      <c r="BL44" s="21" t="s">
        <v>41</v>
      </c>
      <c r="BM44" s="18"/>
      <c r="BN44" s="18"/>
      <c r="BO44" s="18"/>
      <c r="BP44" s="18"/>
      <c r="BQ44" s="18"/>
      <c r="BR44" s="18"/>
      <c r="BS44" s="18">
        <v>1366</v>
      </c>
      <c r="BT44" s="18">
        <v>5464</v>
      </c>
      <c r="BU44" s="18">
        <v>10929</v>
      </c>
      <c r="BV44" s="18">
        <v>16393</v>
      </c>
      <c r="BW44" s="18">
        <v>20492</v>
      </c>
      <c r="BX44" s="18">
        <v>23224</v>
      </c>
      <c r="BY44" s="18">
        <v>23224</v>
      </c>
      <c r="BZ44" s="18">
        <v>17760</v>
      </c>
      <c r="CA44" s="18">
        <v>10929</v>
      </c>
      <c r="CB44" s="18">
        <v>5464</v>
      </c>
      <c r="CC44" s="18">
        <v>1366</v>
      </c>
      <c r="CD44" s="18"/>
      <c r="CE44" s="18"/>
      <c r="CF44" s="18"/>
      <c r="CG44" s="18"/>
      <c r="CH44" s="18"/>
      <c r="CI44" s="18"/>
      <c r="CJ44" s="18"/>
      <c r="CK44" s="19">
        <f t="shared" si="4"/>
        <v>136611</v>
      </c>
      <c r="CL44" s="38">
        <v>4</v>
      </c>
      <c r="CM44" s="19">
        <f t="shared" si="30"/>
        <v>546444</v>
      </c>
      <c r="CN44" s="103"/>
      <c r="CP44" s="100"/>
      <c r="CQ44" s="21" t="s">
        <v>41</v>
      </c>
      <c r="CR44" s="18"/>
      <c r="CS44" s="18"/>
      <c r="CT44" s="18"/>
      <c r="CU44" s="18"/>
      <c r="CV44" s="18"/>
      <c r="CW44" s="18"/>
      <c r="CX44" s="18">
        <v>1370</v>
      </c>
      <c r="CY44" s="18">
        <v>5479</v>
      </c>
      <c r="CZ44" s="18">
        <v>10959</v>
      </c>
      <c r="DA44" s="18">
        <v>16438</v>
      </c>
      <c r="DB44" s="18">
        <v>20548</v>
      </c>
      <c r="DC44" s="18">
        <v>23288</v>
      </c>
      <c r="DD44" s="18">
        <v>23288</v>
      </c>
      <c r="DE44" s="18">
        <v>17808</v>
      </c>
      <c r="DF44" s="18">
        <v>10959</v>
      </c>
      <c r="DG44" s="18">
        <v>5479</v>
      </c>
      <c r="DH44" s="18">
        <v>1370</v>
      </c>
      <c r="DI44" s="18"/>
      <c r="DJ44" s="18"/>
      <c r="DK44" s="18"/>
      <c r="DL44" s="18"/>
      <c r="DM44" s="18"/>
      <c r="DN44" s="18"/>
      <c r="DO44" s="18"/>
      <c r="DP44" s="19">
        <f t="shared" si="6"/>
        <v>136986</v>
      </c>
      <c r="DQ44" s="38">
        <v>4</v>
      </c>
      <c r="DR44" s="19">
        <f t="shared" si="31"/>
        <v>547944</v>
      </c>
      <c r="DS44" s="103"/>
      <c r="DV44" s="100"/>
      <c r="DW44" s="21" t="s">
        <v>41</v>
      </c>
      <c r="DX44" s="18"/>
      <c r="DY44" s="18"/>
      <c r="DZ44" s="18"/>
      <c r="EA44" s="18"/>
      <c r="EB44" s="18"/>
      <c r="EC44" s="18"/>
      <c r="ED44" s="18">
        <v>1370</v>
      </c>
      <c r="EE44" s="18">
        <v>5479</v>
      </c>
      <c r="EF44" s="18">
        <v>10959</v>
      </c>
      <c r="EG44" s="18">
        <v>16438</v>
      </c>
      <c r="EH44" s="18">
        <v>20548</v>
      </c>
      <c r="EI44" s="18">
        <v>23288</v>
      </c>
      <c r="EJ44" s="18">
        <v>23288</v>
      </c>
      <c r="EK44" s="18">
        <v>17808</v>
      </c>
      <c r="EL44" s="18">
        <v>10959</v>
      </c>
      <c r="EM44" s="18">
        <v>5479</v>
      </c>
      <c r="EN44" s="18">
        <v>1370</v>
      </c>
      <c r="EO44" s="18"/>
      <c r="EP44" s="18"/>
      <c r="EQ44" s="18"/>
      <c r="ER44" s="18"/>
      <c r="ES44" s="18"/>
      <c r="ET44" s="18"/>
      <c r="EU44" s="18"/>
      <c r="EV44" s="19">
        <f t="shared" si="8"/>
        <v>136986</v>
      </c>
      <c r="EW44" s="38">
        <v>4</v>
      </c>
      <c r="EX44" s="19">
        <f t="shared" si="32"/>
        <v>547944</v>
      </c>
      <c r="EY44" s="103"/>
      <c r="FB44" s="100"/>
      <c r="FC44" s="21" t="s">
        <v>41</v>
      </c>
      <c r="FD44" s="18"/>
      <c r="FE44" s="18"/>
      <c r="FF44" s="18"/>
      <c r="FG44" s="18"/>
      <c r="FH44" s="18"/>
      <c r="FI44" s="18"/>
      <c r="FJ44" s="18">
        <v>1370</v>
      </c>
      <c r="FK44" s="18">
        <v>5479</v>
      </c>
      <c r="FL44" s="18">
        <v>10959</v>
      </c>
      <c r="FM44" s="18">
        <v>16438</v>
      </c>
      <c r="FN44" s="18">
        <v>20548</v>
      </c>
      <c r="FO44" s="18">
        <v>23288</v>
      </c>
      <c r="FP44" s="18">
        <v>23288</v>
      </c>
      <c r="FQ44" s="18">
        <v>17808</v>
      </c>
      <c r="FR44" s="18">
        <v>10959</v>
      </c>
      <c r="FS44" s="18">
        <v>5479</v>
      </c>
      <c r="FT44" s="18">
        <v>1370</v>
      </c>
      <c r="FU44" s="18"/>
      <c r="FV44" s="18"/>
      <c r="FW44" s="18"/>
      <c r="FX44" s="18"/>
      <c r="FY44" s="18"/>
      <c r="FZ44" s="18"/>
      <c r="GA44" s="18"/>
      <c r="GB44" s="19">
        <f t="shared" si="9"/>
        <v>136986</v>
      </c>
      <c r="GC44" s="38">
        <v>4</v>
      </c>
      <c r="GD44" s="19">
        <f t="shared" si="33"/>
        <v>547944</v>
      </c>
      <c r="GE44" s="103"/>
      <c r="GG44" s="100"/>
      <c r="GH44" s="21" t="s">
        <v>41</v>
      </c>
      <c r="GI44" s="18"/>
      <c r="GJ44" s="18"/>
      <c r="GK44" s="18"/>
      <c r="GL44" s="18"/>
      <c r="GM44" s="18"/>
      <c r="GN44" s="18"/>
      <c r="GO44" s="18">
        <v>1366</v>
      </c>
      <c r="GP44" s="18">
        <v>5464</v>
      </c>
      <c r="GQ44" s="18">
        <v>10929</v>
      </c>
      <c r="GR44" s="18">
        <v>16393</v>
      </c>
      <c r="GS44" s="18">
        <v>20492</v>
      </c>
      <c r="GT44" s="18">
        <v>23224</v>
      </c>
      <c r="GU44" s="18">
        <v>23224</v>
      </c>
      <c r="GV44" s="18">
        <v>17760</v>
      </c>
      <c r="GW44" s="18">
        <v>10929</v>
      </c>
      <c r="GX44" s="18">
        <v>5464</v>
      </c>
      <c r="GY44" s="18">
        <v>1366</v>
      </c>
      <c r="GZ44" s="18"/>
      <c r="HA44" s="18"/>
      <c r="HB44" s="18"/>
      <c r="HC44" s="18"/>
      <c r="HD44" s="18"/>
      <c r="HE44" s="18"/>
      <c r="HF44" s="18"/>
      <c r="HG44" s="19">
        <f t="shared" si="11"/>
        <v>136611</v>
      </c>
      <c r="HH44" s="38">
        <v>5</v>
      </c>
      <c r="HI44" s="19">
        <f t="shared" si="34"/>
        <v>683055</v>
      </c>
      <c r="HJ44" s="103"/>
      <c r="HL44" s="100"/>
      <c r="HM44" s="21" t="s">
        <v>41</v>
      </c>
      <c r="HN44" s="18"/>
      <c r="HO44" s="18"/>
      <c r="HP44" s="18"/>
      <c r="HQ44" s="18"/>
      <c r="HR44" s="18"/>
      <c r="HS44" s="18"/>
      <c r="HT44" s="18">
        <v>1370</v>
      </c>
      <c r="HU44" s="18">
        <v>5479</v>
      </c>
      <c r="HV44" s="18">
        <v>10959</v>
      </c>
      <c r="HW44" s="18">
        <v>16438</v>
      </c>
      <c r="HX44" s="18">
        <v>20548</v>
      </c>
      <c r="HY44" s="18">
        <v>23288</v>
      </c>
      <c r="HZ44" s="18">
        <v>23288</v>
      </c>
      <c r="IA44" s="18">
        <v>17808</v>
      </c>
      <c r="IB44" s="18">
        <v>10959</v>
      </c>
      <c r="IC44" s="18">
        <v>5479</v>
      </c>
      <c r="ID44" s="18">
        <v>1370</v>
      </c>
      <c r="IE44" s="18"/>
      <c r="IF44" s="18"/>
      <c r="IG44" s="18"/>
      <c r="IH44" s="18"/>
      <c r="II44" s="18"/>
      <c r="IJ44" s="18"/>
      <c r="IK44" s="18"/>
      <c r="IL44" s="19">
        <f t="shared" si="13"/>
        <v>136986</v>
      </c>
      <c r="IM44" s="38">
        <v>5</v>
      </c>
      <c r="IN44" s="19">
        <f t="shared" si="35"/>
        <v>684930</v>
      </c>
      <c r="IO44" s="103"/>
      <c r="IQ44" s="100"/>
      <c r="IR44" s="21" t="s">
        <v>41</v>
      </c>
      <c r="IS44" s="18"/>
      <c r="IT44" s="18"/>
      <c r="IU44" s="18"/>
      <c r="IV44" s="18"/>
      <c r="IW44" s="18"/>
      <c r="IX44" s="18"/>
      <c r="IY44" s="18">
        <v>1370</v>
      </c>
      <c r="IZ44" s="18">
        <v>5479</v>
      </c>
      <c r="JA44" s="18">
        <v>10959</v>
      </c>
      <c r="JB44" s="18">
        <v>16438</v>
      </c>
      <c r="JC44" s="18">
        <v>20548</v>
      </c>
      <c r="JD44" s="18">
        <v>23288</v>
      </c>
      <c r="JE44" s="18">
        <v>23288</v>
      </c>
      <c r="JF44" s="18">
        <v>17808</v>
      </c>
      <c r="JG44" s="18">
        <v>10959</v>
      </c>
      <c r="JH44" s="18">
        <v>5479</v>
      </c>
      <c r="JI44" s="18">
        <v>1370</v>
      </c>
      <c r="JJ44" s="18"/>
      <c r="JK44" s="18"/>
      <c r="JL44" s="18"/>
      <c r="JM44" s="18"/>
      <c r="JN44" s="18"/>
      <c r="JO44" s="18"/>
      <c r="JP44" s="18"/>
      <c r="JQ44" s="19">
        <f t="shared" si="15"/>
        <v>136986</v>
      </c>
      <c r="JR44" s="38">
        <v>4</v>
      </c>
      <c r="JS44" s="19">
        <f t="shared" si="36"/>
        <v>547944</v>
      </c>
      <c r="JT44" s="103"/>
      <c r="JV44" s="100"/>
      <c r="JW44" s="21" t="s">
        <v>41</v>
      </c>
      <c r="JX44" s="18"/>
      <c r="JY44" s="18"/>
      <c r="JZ44" s="18"/>
      <c r="KA44" s="18"/>
      <c r="KB44" s="18"/>
      <c r="KC44" s="18"/>
      <c r="KD44" s="18"/>
      <c r="KE44" s="18">
        <v>1370</v>
      </c>
      <c r="KF44" s="18">
        <v>5479</v>
      </c>
      <c r="KG44" s="18">
        <v>10959</v>
      </c>
      <c r="KH44" s="18">
        <v>16438</v>
      </c>
      <c r="KI44" s="18">
        <v>20548</v>
      </c>
      <c r="KJ44" s="18">
        <v>23288</v>
      </c>
      <c r="KK44" s="18">
        <v>23288</v>
      </c>
      <c r="KL44" s="18">
        <v>17808</v>
      </c>
      <c r="KM44" s="18">
        <v>10959</v>
      </c>
      <c r="KN44" s="18">
        <v>5479</v>
      </c>
      <c r="KO44" s="18">
        <v>1370</v>
      </c>
      <c r="KP44" s="18"/>
      <c r="KQ44" s="18"/>
      <c r="KR44" s="18"/>
      <c r="KS44" s="18"/>
      <c r="KT44" s="18"/>
      <c r="KU44" s="18"/>
      <c r="KV44" s="19">
        <f t="shared" si="17"/>
        <v>136986</v>
      </c>
      <c r="KW44" s="38">
        <v>4</v>
      </c>
      <c r="KX44" s="19">
        <f t="shared" si="37"/>
        <v>547944</v>
      </c>
      <c r="KY44" s="103"/>
      <c r="LA44" s="100"/>
      <c r="LB44" s="21" t="s">
        <v>41</v>
      </c>
      <c r="LC44" s="18"/>
      <c r="LD44" s="18"/>
      <c r="LE44" s="18"/>
      <c r="LF44" s="18"/>
      <c r="LG44" s="18"/>
      <c r="LH44" s="18"/>
      <c r="LI44" s="18">
        <v>1366</v>
      </c>
      <c r="LJ44" s="18">
        <v>5464</v>
      </c>
      <c r="LK44" s="18">
        <v>10929</v>
      </c>
      <c r="LL44" s="18">
        <v>16393</v>
      </c>
      <c r="LM44" s="18">
        <v>20492</v>
      </c>
      <c r="LN44" s="18">
        <v>23224</v>
      </c>
      <c r="LO44" s="18">
        <v>23224</v>
      </c>
      <c r="LP44" s="18">
        <v>17760</v>
      </c>
      <c r="LQ44" s="18">
        <v>10929</v>
      </c>
      <c r="LR44" s="18">
        <v>5464</v>
      </c>
      <c r="LS44" s="18">
        <v>1366</v>
      </c>
      <c r="LT44" s="18"/>
      <c r="LU44" s="18"/>
      <c r="LV44" s="18"/>
      <c r="LW44" s="18"/>
      <c r="LX44" s="18"/>
      <c r="LY44" s="18"/>
      <c r="LZ44" s="18"/>
      <c r="MA44" s="19">
        <f t="shared" si="19"/>
        <v>136611</v>
      </c>
      <c r="MB44" s="38">
        <v>4</v>
      </c>
      <c r="MC44" s="19">
        <f t="shared" si="38"/>
        <v>546444</v>
      </c>
      <c r="MD44" s="103"/>
      <c r="MF44" s="100"/>
      <c r="MG44" s="21" t="s">
        <v>41</v>
      </c>
      <c r="MH44" s="18"/>
      <c r="MI44" s="18"/>
      <c r="MJ44" s="18"/>
      <c r="MK44" s="18"/>
      <c r="ML44" s="18"/>
      <c r="MM44" s="18"/>
      <c r="MN44" s="18">
        <v>1370</v>
      </c>
      <c r="MO44" s="18">
        <v>5479</v>
      </c>
      <c r="MP44" s="18">
        <v>10959</v>
      </c>
      <c r="MQ44" s="18">
        <v>16438</v>
      </c>
      <c r="MR44" s="18">
        <v>20548</v>
      </c>
      <c r="MS44" s="18">
        <v>23288</v>
      </c>
      <c r="MT44" s="18">
        <v>23288</v>
      </c>
      <c r="MU44" s="18">
        <v>17808</v>
      </c>
      <c r="MV44" s="18">
        <v>10959</v>
      </c>
      <c r="MW44" s="18">
        <v>5479</v>
      </c>
      <c r="MX44" s="18">
        <v>1370</v>
      </c>
      <c r="MY44" s="18"/>
      <c r="MZ44" s="18"/>
      <c r="NA44" s="18"/>
      <c r="NB44" s="18"/>
      <c r="NC44" s="18"/>
      <c r="ND44" s="18"/>
      <c r="NE44" s="18"/>
      <c r="NF44" s="19">
        <f t="shared" si="21"/>
        <v>136986</v>
      </c>
      <c r="NG44" s="38">
        <v>5</v>
      </c>
      <c r="NH44" s="19">
        <f t="shared" si="39"/>
        <v>684930</v>
      </c>
      <c r="NI44" s="103"/>
      <c r="NK44" s="100"/>
      <c r="NL44" s="21" t="s">
        <v>41</v>
      </c>
      <c r="NM44" s="18"/>
      <c r="NN44" s="18"/>
      <c r="NO44" s="18"/>
      <c r="NP44" s="18"/>
      <c r="NQ44" s="18"/>
      <c r="NR44" s="18"/>
      <c r="NS44" s="18">
        <v>1370</v>
      </c>
      <c r="NT44" s="18">
        <v>5479</v>
      </c>
      <c r="NU44" s="18">
        <v>10959</v>
      </c>
      <c r="NV44" s="18">
        <v>16438</v>
      </c>
      <c r="NW44" s="18">
        <v>20548</v>
      </c>
      <c r="NX44" s="18">
        <v>23288</v>
      </c>
      <c r="NY44" s="18">
        <v>23288</v>
      </c>
      <c r="NZ44" s="18">
        <v>17808</v>
      </c>
      <c r="OA44" s="18">
        <v>10959</v>
      </c>
      <c r="OB44" s="18">
        <v>5479</v>
      </c>
      <c r="OC44" s="18">
        <v>1370</v>
      </c>
      <c r="OD44" s="18"/>
      <c r="OE44" s="18"/>
      <c r="OF44" s="18"/>
      <c r="OG44" s="18"/>
      <c r="OH44" s="18"/>
      <c r="OI44" s="18"/>
      <c r="OJ44" s="18"/>
      <c r="OK44" s="19">
        <f t="shared" si="23"/>
        <v>136986</v>
      </c>
      <c r="OL44" s="38">
        <v>5</v>
      </c>
      <c r="OM44" s="19">
        <f t="shared" si="40"/>
        <v>684930</v>
      </c>
      <c r="ON44" s="103"/>
      <c r="OP44" s="100"/>
      <c r="OQ44" s="21" t="s">
        <v>41</v>
      </c>
      <c r="OR44" s="18"/>
      <c r="OS44" s="18"/>
      <c r="OT44" s="18"/>
      <c r="OU44" s="18"/>
      <c r="OV44" s="18"/>
      <c r="OW44" s="18"/>
      <c r="OX44" s="18">
        <v>1370</v>
      </c>
      <c r="OY44" s="18">
        <v>5479</v>
      </c>
      <c r="OZ44" s="18">
        <v>10959</v>
      </c>
      <c r="PA44" s="18">
        <v>16438</v>
      </c>
      <c r="PB44" s="18">
        <v>20548</v>
      </c>
      <c r="PC44" s="18">
        <v>23288</v>
      </c>
      <c r="PD44" s="18">
        <v>23288</v>
      </c>
      <c r="PE44" s="18">
        <v>17808</v>
      </c>
      <c r="PF44" s="18">
        <v>10959</v>
      </c>
      <c r="PG44" s="18">
        <v>5479</v>
      </c>
      <c r="PH44" s="18">
        <v>1370</v>
      </c>
      <c r="PI44" s="18"/>
      <c r="PJ44" s="18"/>
      <c r="PK44" s="18"/>
      <c r="PL44" s="18"/>
      <c r="PM44" s="18"/>
      <c r="PN44" s="18"/>
      <c r="PO44" s="18"/>
      <c r="PP44" s="19">
        <f t="shared" si="25"/>
        <v>136986</v>
      </c>
      <c r="PQ44" s="38">
        <v>5</v>
      </c>
      <c r="PR44" s="19">
        <f t="shared" si="41"/>
        <v>684930</v>
      </c>
      <c r="PS44" s="103"/>
      <c r="PU44" s="100"/>
      <c r="PV44" s="21" t="s">
        <v>41</v>
      </c>
      <c r="PW44" s="18"/>
      <c r="PX44" s="18"/>
      <c r="PY44" s="18"/>
      <c r="PZ44" s="18"/>
      <c r="QA44" s="18"/>
      <c r="QB44" s="18"/>
      <c r="QC44" s="18">
        <v>1366</v>
      </c>
      <c r="QD44" s="18">
        <v>5464</v>
      </c>
      <c r="QE44" s="18">
        <v>10929</v>
      </c>
      <c r="QF44" s="18">
        <v>16393</v>
      </c>
      <c r="QG44" s="18">
        <v>20492</v>
      </c>
      <c r="QH44" s="18">
        <v>23224</v>
      </c>
      <c r="QI44" s="18">
        <v>23224</v>
      </c>
      <c r="QJ44" s="18">
        <v>17760</v>
      </c>
      <c r="QK44" s="18">
        <v>10929</v>
      </c>
      <c r="QL44" s="18">
        <v>5464</v>
      </c>
      <c r="QM44" s="18">
        <v>1366</v>
      </c>
      <c r="QN44" s="18"/>
      <c r="QO44" s="18"/>
      <c r="QP44" s="18"/>
      <c r="QQ44" s="18"/>
      <c r="QR44" s="18"/>
      <c r="QS44" s="18"/>
      <c r="QT44" s="18"/>
      <c r="QU44" s="19">
        <f t="shared" si="27"/>
        <v>136611</v>
      </c>
      <c r="QV44" s="45">
        <v>4</v>
      </c>
      <c r="QW44" s="19">
        <f t="shared" si="42"/>
        <v>546444</v>
      </c>
      <c r="QX44" s="103"/>
    </row>
    <row r="45" spans="1:466" x14ac:dyDescent="0.35">
      <c r="A45" s="100"/>
      <c r="B45" s="21" t="s">
        <v>42</v>
      </c>
      <c r="C45" s="18"/>
      <c r="D45" s="18"/>
      <c r="E45" s="18"/>
      <c r="F45" s="18"/>
      <c r="G45" s="18"/>
      <c r="H45" s="18"/>
      <c r="I45" s="18">
        <v>1370</v>
      </c>
      <c r="J45" s="18">
        <v>5479</v>
      </c>
      <c r="K45" s="18">
        <v>10959</v>
      </c>
      <c r="L45" s="18">
        <v>16438</v>
      </c>
      <c r="M45" s="18">
        <v>20548</v>
      </c>
      <c r="N45" s="18">
        <v>23288</v>
      </c>
      <c r="O45" s="18">
        <v>23288</v>
      </c>
      <c r="P45" s="18">
        <v>17808</v>
      </c>
      <c r="Q45" s="18">
        <v>10959</v>
      </c>
      <c r="R45" s="18">
        <v>5479</v>
      </c>
      <c r="S45" s="18">
        <v>1370</v>
      </c>
      <c r="T45" s="18"/>
      <c r="U45" s="18"/>
      <c r="V45" s="18"/>
      <c r="W45" s="18"/>
      <c r="X45" s="18"/>
      <c r="Y45" s="18"/>
      <c r="Z45" s="18"/>
      <c r="AA45" s="19">
        <f t="shared" si="0"/>
        <v>136986</v>
      </c>
      <c r="AB45" s="38">
        <v>4</v>
      </c>
      <c r="AC45" s="19">
        <f t="shared" si="1"/>
        <v>547944</v>
      </c>
      <c r="AD45" s="103"/>
      <c r="AF45" s="100"/>
      <c r="AG45" s="21" t="s">
        <v>42</v>
      </c>
      <c r="AH45" s="18"/>
      <c r="AI45" s="18"/>
      <c r="AJ45" s="18"/>
      <c r="AK45" s="18"/>
      <c r="AL45" s="18"/>
      <c r="AM45" s="18"/>
      <c r="AN45" s="18">
        <v>1370</v>
      </c>
      <c r="AO45" s="18">
        <v>5479</v>
      </c>
      <c r="AP45" s="18">
        <v>10959</v>
      </c>
      <c r="AQ45" s="18">
        <v>16438</v>
      </c>
      <c r="AR45" s="18">
        <v>20548</v>
      </c>
      <c r="AS45" s="18">
        <v>23288</v>
      </c>
      <c r="AT45" s="18">
        <v>23288</v>
      </c>
      <c r="AU45" s="18">
        <v>17808</v>
      </c>
      <c r="AV45" s="18">
        <v>10959</v>
      </c>
      <c r="AW45" s="18">
        <v>5479</v>
      </c>
      <c r="AX45" s="18">
        <v>1370</v>
      </c>
      <c r="AY45" s="18"/>
      <c r="AZ45" s="18"/>
      <c r="BA45" s="18"/>
      <c r="BB45" s="18"/>
      <c r="BC45" s="18"/>
      <c r="BD45" s="18"/>
      <c r="BE45" s="18"/>
      <c r="BF45" s="19">
        <f t="shared" si="2"/>
        <v>136986</v>
      </c>
      <c r="BG45" s="38">
        <v>5</v>
      </c>
      <c r="BH45" s="19">
        <f t="shared" si="29"/>
        <v>684930</v>
      </c>
      <c r="BI45" s="103"/>
      <c r="BK45" s="100"/>
      <c r="BL45" s="21" t="s">
        <v>42</v>
      </c>
      <c r="BM45" s="18"/>
      <c r="BN45" s="18"/>
      <c r="BO45" s="18"/>
      <c r="BP45" s="18"/>
      <c r="BQ45" s="18"/>
      <c r="BR45" s="18"/>
      <c r="BS45" s="18">
        <v>1366</v>
      </c>
      <c r="BT45" s="18">
        <v>5464</v>
      </c>
      <c r="BU45" s="18">
        <v>10929</v>
      </c>
      <c r="BV45" s="18">
        <v>16393</v>
      </c>
      <c r="BW45" s="18">
        <v>20492</v>
      </c>
      <c r="BX45" s="18">
        <v>23224</v>
      </c>
      <c r="BY45" s="18">
        <v>23224</v>
      </c>
      <c r="BZ45" s="18">
        <v>17760</v>
      </c>
      <c r="CA45" s="18">
        <v>10929</v>
      </c>
      <c r="CB45" s="18">
        <v>5464</v>
      </c>
      <c r="CC45" s="18">
        <v>1366</v>
      </c>
      <c r="CD45" s="18"/>
      <c r="CE45" s="18"/>
      <c r="CF45" s="18"/>
      <c r="CG45" s="18"/>
      <c r="CH45" s="18"/>
      <c r="CI45" s="18"/>
      <c r="CJ45" s="18"/>
      <c r="CK45" s="19">
        <f t="shared" si="4"/>
        <v>136611</v>
      </c>
      <c r="CL45" s="38">
        <v>5</v>
      </c>
      <c r="CM45" s="19">
        <f t="shared" si="30"/>
        <v>683055</v>
      </c>
      <c r="CN45" s="103"/>
      <c r="CP45" s="100"/>
      <c r="CQ45" s="21" t="s">
        <v>42</v>
      </c>
      <c r="CR45" s="18"/>
      <c r="CS45" s="18"/>
      <c r="CT45" s="18"/>
      <c r="CU45" s="18"/>
      <c r="CV45" s="18"/>
      <c r="CW45" s="18"/>
      <c r="CX45" s="18">
        <v>1370</v>
      </c>
      <c r="CY45" s="18">
        <v>5479</v>
      </c>
      <c r="CZ45" s="18">
        <v>10959</v>
      </c>
      <c r="DA45" s="18">
        <v>16438</v>
      </c>
      <c r="DB45" s="18">
        <v>20548</v>
      </c>
      <c r="DC45" s="18">
        <v>23288</v>
      </c>
      <c r="DD45" s="18">
        <v>23288</v>
      </c>
      <c r="DE45" s="18">
        <v>17808</v>
      </c>
      <c r="DF45" s="18">
        <v>10959</v>
      </c>
      <c r="DG45" s="18">
        <v>5479</v>
      </c>
      <c r="DH45" s="18">
        <v>1370</v>
      </c>
      <c r="DI45" s="18"/>
      <c r="DJ45" s="18"/>
      <c r="DK45" s="18"/>
      <c r="DL45" s="18"/>
      <c r="DM45" s="18"/>
      <c r="DN45" s="18"/>
      <c r="DO45" s="18"/>
      <c r="DP45" s="19">
        <f t="shared" si="6"/>
        <v>136986</v>
      </c>
      <c r="DQ45" s="38">
        <v>4</v>
      </c>
      <c r="DR45" s="19">
        <f t="shared" si="31"/>
        <v>547944</v>
      </c>
      <c r="DS45" s="103"/>
      <c r="DV45" s="100"/>
      <c r="DW45" s="21" t="s">
        <v>42</v>
      </c>
      <c r="DX45" s="18"/>
      <c r="DY45" s="18"/>
      <c r="DZ45" s="18"/>
      <c r="EA45" s="18"/>
      <c r="EB45" s="18"/>
      <c r="EC45" s="18"/>
      <c r="ED45" s="18">
        <v>1370</v>
      </c>
      <c r="EE45" s="18">
        <v>5479</v>
      </c>
      <c r="EF45" s="18">
        <v>10959</v>
      </c>
      <c r="EG45" s="18">
        <v>16438</v>
      </c>
      <c r="EH45" s="18">
        <v>20548</v>
      </c>
      <c r="EI45" s="18">
        <v>23288</v>
      </c>
      <c r="EJ45" s="18">
        <v>23288</v>
      </c>
      <c r="EK45" s="18">
        <v>17808</v>
      </c>
      <c r="EL45" s="18">
        <v>10959</v>
      </c>
      <c r="EM45" s="18">
        <v>5479</v>
      </c>
      <c r="EN45" s="18">
        <v>1370</v>
      </c>
      <c r="EO45" s="18"/>
      <c r="EP45" s="18"/>
      <c r="EQ45" s="18"/>
      <c r="ER45" s="18"/>
      <c r="ES45" s="18"/>
      <c r="ET45" s="18"/>
      <c r="EU45" s="18"/>
      <c r="EV45" s="19">
        <f t="shared" si="8"/>
        <v>136986</v>
      </c>
      <c r="EW45" s="38">
        <v>4</v>
      </c>
      <c r="EX45" s="19">
        <f t="shared" si="32"/>
        <v>547944</v>
      </c>
      <c r="EY45" s="103"/>
      <c r="FB45" s="100"/>
      <c r="FC45" s="21" t="s">
        <v>42</v>
      </c>
      <c r="FD45" s="18"/>
      <c r="FE45" s="18"/>
      <c r="FF45" s="18"/>
      <c r="FG45" s="18"/>
      <c r="FH45" s="18"/>
      <c r="FI45" s="18"/>
      <c r="FJ45" s="18">
        <v>1370</v>
      </c>
      <c r="FK45" s="18">
        <v>5479</v>
      </c>
      <c r="FL45" s="18">
        <v>10959</v>
      </c>
      <c r="FM45" s="18">
        <v>16438</v>
      </c>
      <c r="FN45" s="18">
        <v>20548</v>
      </c>
      <c r="FO45" s="18">
        <v>23288</v>
      </c>
      <c r="FP45" s="18">
        <v>23288</v>
      </c>
      <c r="FQ45" s="18">
        <v>17808</v>
      </c>
      <c r="FR45" s="18">
        <v>10959</v>
      </c>
      <c r="FS45" s="18">
        <v>5479</v>
      </c>
      <c r="FT45" s="18">
        <v>1370</v>
      </c>
      <c r="FU45" s="18"/>
      <c r="FV45" s="18"/>
      <c r="FW45" s="18"/>
      <c r="FX45" s="18"/>
      <c r="FY45" s="18"/>
      <c r="FZ45" s="18"/>
      <c r="GA45" s="18"/>
      <c r="GB45" s="19">
        <f t="shared" si="9"/>
        <v>136986</v>
      </c>
      <c r="GC45" s="38">
        <v>4</v>
      </c>
      <c r="GD45" s="19">
        <f t="shared" si="33"/>
        <v>547944</v>
      </c>
      <c r="GE45" s="103"/>
      <c r="GG45" s="100"/>
      <c r="GH45" s="21" t="s">
        <v>42</v>
      </c>
      <c r="GI45" s="18"/>
      <c r="GJ45" s="18"/>
      <c r="GK45" s="18"/>
      <c r="GL45" s="18"/>
      <c r="GM45" s="18"/>
      <c r="GN45" s="18"/>
      <c r="GO45" s="18">
        <v>1366</v>
      </c>
      <c r="GP45" s="18">
        <v>5464</v>
      </c>
      <c r="GQ45" s="18">
        <v>10929</v>
      </c>
      <c r="GR45" s="18">
        <v>16393</v>
      </c>
      <c r="GS45" s="18">
        <v>20492</v>
      </c>
      <c r="GT45" s="18">
        <v>23224</v>
      </c>
      <c r="GU45" s="18">
        <v>23224</v>
      </c>
      <c r="GV45" s="18">
        <v>17760</v>
      </c>
      <c r="GW45" s="18">
        <v>10929</v>
      </c>
      <c r="GX45" s="18">
        <v>5464</v>
      </c>
      <c r="GY45" s="18">
        <v>1366</v>
      </c>
      <c r="GZ45" s="18"/>
      <c r="HA45" s="18"/>
      <c r="HB45" s="18"/>
      <c r="HC45" s="18"/>
      <c r="HD45" s="18"/>
      <c r="HE45" s="18"/>
      <c r="HF45" s="18"/>
      <c r="HG45" s="19">
        <f t="shared" si="11"/>
        <v>136611</v>
      </c>
      <c r="HH45" s="38">
        <v>5</v>
      </c>
      <c r="HI45" s="19">
        <f t="shared" si="34"/>
        <v>683055</v>
      </c>
      <c r="HJ45" s="103"/>
      <c r="HL45" s="100"/>
      <c r="HM45" s="21" t="s">
        <v>42</v>
      </c>
      <c r="HN45" s="18"/>
      <c r="HO45" s="18"/>
      <c r="HP45" s="18"/>
      <c r="HQ45" s="18"/>
      <c r="HR45" s="18"/>
      <c r="HS45" s="18"/>
      <c r="HT45" s="18">
        <v>1370</v>
      </c>
      <c r="HU45" s="18">
        <v>5479</v>
      </c>
      <c r="HV45" s="18">
        <v>10959</v>
      </c>
      <c r="HW45" s="18">
        <v>16438</v>
      </c>
      <c r="HX45" s="18">
        <v>20548</v>
      </c>
      <c r="HY45" s="18">
        <v>23288</v>
      </c>
      <c r="HZ45" s="18">
        <v>23288</v>
      </c>
      <c r="IA45" s="18">
        <v>17808</v>
      </c>
      <c r="IB45" s="18">
        <v>10959</v>
      </c>
      <c r="IC45" s="18">
        <v>5479</v>
      </c>
      <c r="ID45" s="18">
        <v>1370</v>
      </c>
      <c r="IE45" s="18"/>
      <c r="IF45" s="18"/>
      <c r="IG45" s="18"/>
      <c r="IH45" s="18"/>
      <c r="II45" s="18"/>
      <c r="IJ45" s="18"/>
      <c r="IK45" s="18"/>
      <c r="IL45" s="19">
        <f t="shared" si="13"/>
        <v>136986</v>
      </c>
      <c r="IM45" s="38">
        <v>5</v>
      </c>
      <c r="IN45" s="19">
        <f t="shared" si="35"/>
        <v>684930</v>
      </c>
      <c r="IO45" s="103"/>
      <c r="IQ45" s="100"/>
      <c r="IR45" s="21" t="s">
        <v>42</v>
      </c>
      <c r="IS45" s="18"/>
      <c r="IT45" s="18"/>
      <c r="IU45" s="18"/>
      <c r="IV45" s="18"/>
      <c r="IW45" s="18"/>
      <c r="IX45" s="18"/>
      <c r="IY45" s="18">
        <v>1370</v>
      </c>
      <c r="IZ45" s="18">
        <v>5479</v>
      </c>
      <c r="JA45" s="18">
        <v>10959</v>
      </c>
      <c r="JB45" s="18">
        <v>16438</v>
      </c>
      <c r="JC45" s="18">
        <v>20548</v>
      </c>
      <c r="JD45" s="18">
        <v>23288</v>
      </c>
      <c r="JE45" s="18">
        <v>23288</v>
      </c>
      <c r="JF45" s="18">
        <v>17808</v>
      </c>
      <c r="JG45" s="18">
        <v>10959</v>
      </c>
      <c r="JH45" s="18">
        <v>5479</v>
      </c>
      <c r="JI45" s="18">
        <v>1370</v>
      </c>
      <c r="JJ45" s="18"/>
      <c r="JK45" s="18"/>
      <c r="JL45" s="18"/>
      <c r="JM45" s="18"/>
      <c r="JN45" s="18"/>
      <c r="JO45" s="18"/>
      <c r="JP45" s="18"/>
      <c r="JQ45" s="19">
        <f t="shared" si="15"/>
        <v>136986</v>
      </c>
      <c r="JR45" s="38">
        <v>5</v>
      </c>
      <c r="JS45" s="19">
        <f t="shared" si="36"/>
        <v>684930</v>
      </c>
      <c r="JT45" s="103"/>
      <c r="JV45" s="100"/>
      <c r="JW45" s="21" t="s">
        <v>42</v>
      </c>
      <c r="JX45" s="18"/>
      <c r="JY45" s="18"/>
      <c r="JZ45" s="18"/>
      <c r="KA45" s="18"/>
      <c r="KB45" s="18"/>
      <c r="KC45" s="18"/>
      <c r="KD45" s="18"/>
      <c r="KE45" s="18">
        <v>1370</v>
      </c>
      <c r="KF45" s="18">
        <v>5479</v>
      </c>
      <c r="KG45" s="18">
        <v>10959</v>
      </c>
      <c r="KH45" s="18">
        <v>16438</v>
      </c>
      <c r="KI45" s="18">
        <v>20548</v>
      </c>
      <c r="KJ45" s="18">
        <v>23288</v>
      </c>
      <c r="KK45" s="18">
        <v>23288</v>
      </c>
      <c r="KL45" s="18">
        <v>17808</v>
      </c>
      <c r="KM45" s="18">
        <v>10959</v>
      </c>
      <c r="KN45" s="18">
        <v>5479</v>
      </c>
      <c r="KO45" s="18">
        <v>1370</v>
      </c>
      <c r="KP45" s="18"/>
      <c r="KQ45" s="18"/>
      <c r="KR45" s="18"/>
      <c r="KS45" s="18"/>
      <c r="KT45" s="18"/>
      <c r="KU45" s="18"/>
      <c r="KV45" s="19">
        <f t="shared" si="17"/>
        <v>136986</v>
      </c>
      <c r="KW45" s="38">
        <v>4</v>
      </c>
      <c r="KX45" s="19">
        <f t="shared" si="37"/>
        <v>547944</v>
      </c>
      <c r="KY45" s="103"/>
      <c r="LA45" s="100"/>
      <c r="LB45" s="21" t="s">
        <v>42</v>
      </c>
      <c r="LC45" s="18"/>
      <c r="LD45" s="18"/>
      <c r="LE45" s="18"/>
      <c r="LF45" s="18"/>
      <c r="LG45" s="18"/>
      <c r="LH45" s="18"/>
      <c r="LI45" s="18">
        <v>1366</v>
      </c>
      <c r="LJ45" s="18">
        <v>5464</v>
      </c>
      <c r="LK45" s="18">
        <v>10929</v>
      </c>
      <c r="LL45" s="18">
        <v>16393</v>
      </c>
      <c r="LM45" s="18">
        <v>20492</v>
      </c>
      <c r="LN45" s="18">
        <v>23224</v>
      </c>
      <c r="LO45" s="18">
        <v>23224</v>
      </c>
      <c r="LP45" s="18">
        <v>17760</v>
      </c>
      <c r="LQ45" s="18">
        <v>10929</v>
      </c>
      <c r="LR45" s="18">
        <v>5464</v>
      </c>
      <c r="LS45" s="18">
        <v>1366</v>
      </c>
      <c r="LT45" s="18"/>
      <c r="LU45" s="18"/>
      <c r="LV45" s="18"/>
      <c r="LW45" s="18"/>
      <c r="LX45" s="18"/>
      <c r="LY45" s="18"/>
      <c r="LZ45" s="18"/>
      <c r="MA45" s="19">
        <f t="shared" si="19"/>
        <v>136611</v>
      </c>
      <c r="MB45" s="38">
        <v>4</v>
      </c>
      <c r="MC45" s="19">
        <f t="shared" si="38"/>
        <v>546444</v>
      </c>
      <c r="MD45" s="103"/>
      <c r="MF45" s="100"/>
      <c r="MG45" s="21" t="s">
        <v>42</v>
      </c>
      <c r="MH45" s="18"/>
      <c r="MI45" s="18"/>
      <c r="MJ45" s="18"/>
      <c r="MK45" s="18"/>
      <c r="ML45" s="18"/>
      <c r="MM45" s="18"/>
      <c r="MN45" s="18">
        <v>1370</v>
      </c>
      <c r="MO45" s="18">
        <v>5479</v>
      </c>
      <c r="MP45" s="18">
        <v>10959</v>
      </c>
      <c r="MQ45" s="18">
        <v>16438</v>
      </c>
      <c r="MR45" s="18">
        <v>20548</v>
      </c>
      <c r="MS45" s="18">
        <v>23288</v>
      </c>
      <c r="MT45" s="18">
        <v>23288</v>
      </c>
      <c r="MU45" s="18">
        <v>17808</v>
      </c>
      <c r="MV45" s="18">
        <v>10959</v>
      </c>
      <c r="MW45" s="18">
        <v>5479</v>
      </c>
      <c r="MX45" s="18">
        <v>1370</v>
      </c>
      <c r="MY45" s="18"/>
      <c r="MZ45" s="18"/>
      <c r="NA45" s="18"/>
      <c r="NB45" s="18"/>
      <c r="NC45" s="18"/>
      <c r="ND45" s="18"/>
      <c r="NE45" s="18"/>
      <c r="NF45" s="19">
        <f t="shared" si="21"/>
        <v>136986</v>
      </c>
      <c r="NG45" s="38">
        <v>4</v>
      </c>
      <c r="NH45" s="19">
        <f t="shared" si="39"/>
        <v>547944</v>
      </c>
      <c r="NI45" s="103"/>
      <c r="NK45" s="100"/>
      <c r="NL45" s="21" t="s">
        <v>42</v>
      </c>
      <c r="NM45" s="18"/>
      <c r="NN45" s="18"/>
      <c r="NO45" s="18"/>
      <c r="NP45" s="18"/>
      <c r="NQ45" s="18"/>
      <c r="NR45" s="18"/>
      <c r="NS45" s="18">
        <v>1370</v>
      </c>
      <c r="NT45" s="18">
        <v>5479</v>
      </c>
      <c r="NU45" s="18">
        <v>10959</v>
      </c>
      <c r="NV45" s="18">
        <v>16438</v>
      </c>
      <c r="NW45" s="18">
        <v>20548</v>
      </c>
      <c r="NX45" s="18">
        <v>23288</v>
      </c>
      <c r="NY45" s="18">
        <v>23288</v>
      </c>
      <c r="NZ45" s="18">
        <v>17808</v>
      </c>
      <c r="OA45" s="18">
        <v>10959</v>
      </c>
      <c r="OB45" s="18">
        <v>5479</v>
      </c>
      <c r="OC45" s="18">
        <v>1370</v>
      </c>
      <c r="OD45" s="18"/>
      <c r="OE45" s="18"/>
      <c r="OF45" s="18"/>
      <c r="OG45" s="18"/>
      <c r="OH45" s="18"/>
      <c r="OI45" s="18"/>
      <c r="OJ45" s="18"/>
      <c r="OK45" s="19">
        <f t="shared" si="23"/>
        <v>136986</v>
      </c>
      <c r="OL45" s="38">
        <v>5</v>
      </c>
      <c r="OM45" s="19">
        <f t="shared" si="40"/>
        <v>684930</v>
      </c>
      <c r="ON45" s="103"/>
      <c r="OP45" s="100"/>
      <c r="OQ45" s="21" t="s">
        <v>42</v>
      </c>
      <c r="OR45" s="18"/>
      <c r="OS45" s="18"/>
      <c r="OT45" s="18"/>
      <c r="OU45" s="18"/>
      <c r="OV45" s="18"/>
      <c r="OW45" s="18"/>
      <c r="OX45" s="18">
        <v>1370</v>
      </c>
      <c r="OY45" s="18">
        <v>5479</v>
      </c>
      <c r="OZ45" s="18">
        <v>10959</v>
      </c>
      <c r="PA45" s="18">
        <v>16438</v>
      </c>
      <c r="PB45" s="18">
        <v>20548</v>
      </c>
      <c r="PC45" s="18">
        <v>23288</v>
      </c>
      <c r="PD45" s="18">
        <v>23288</v>
      </c>
      <c r="PE45" s="18">
        <v>17808</v>
      </c>
      <c r="PF45" s="18">
        <v>10959</v>
      </c>
      <c r="PG45" s="18">
        <v>5479</v>
      </c>
      <c r="PH45" s="18">
        <v>1370</v>
      </c>
      <c r="PI45" s="18"/>
      <c r="PJ45" s="18"/>
      <c r="PK45" s="18"/>
      <c r="PL45" s="18"/>
      <c r="PM45" s="18"/>
      <c r="PN45" s="18"/>
      <c r="PO45" s="18"/>
      <c r="PP45" s="19">
        <f t="shared" si="25"/>
        <v>136986</v>
      </c>
      <c r="PQ45" s="38">
        <v>5</v>
      </c>
      <c r="PR45" s="19">
        <f t="shared" si="41"/>
        <v>684930</v>
      </c>
      <c r="PS45" s="103"/>
      <c r="PU45" s="100"/>
      <c r="PV45" s="21" t="s">
        <v>42</v>
      </c>
      <c r="PW45" s="18"/>
      <c r="PX45" s="18"/>
      <c r="PY45" s="18"/>
      <c r="PZ45" s="18"/>
      <c r="QA45" s="18"/>
      <c r="QB45" s="18"/>
      <c r="QC45" s="18">
        <v>1366</v>
      </c>
      <c r="QD45" s="18">
        <v>5464</v>
      </c>
      <c r="QE45" s="18">
        <v>10929</v>
      </c>
      <c r="QF45" s="18">
        <v>16393</v>
      </c>
      <c r="QG45" s="18">
        <v>20492</v>
      </c>
      <c r="QH45" s="18">
        <v>23224</v>
      </c>
      <c r="QI45" s="18">
        <v>23224</v>
      </c>
      <c r="QJ45" s="18">
        <v>17760</v>
      </c>
      <c r="QK45" s="18">
        <v>10929</v>
      </c>
      <c r="QL45" s="18">
        <v>5464</v>
      </c>
      <c r="QM45" s="18">
        <v>1366</v>
      </c>
      <c r="QN45" s="18"/>
      <c r="QO45" s="18"/>
      <c r="QP45" s="18"/>
      <c r="QQ45" s="18"/>
      <c r="QR45" s="18"/>
      <c r="QS45" s="18"/>
      <c r="QT45" s="18"/>
      <c r="QU45" s="19">
        <f t="shared" si="27"/>
        <v>136611</v>
      </c>
      <c r="QV45" s="45">
        <v>4</v>
      </c>
      <c r="QW45" s="19">
        <f t="shared" si="42"/>
        <v>546444</v>
      </c>
      <c r="QX45" s="103"/>
    </row>
    <row r="46" spans="1:466" ht="15" thickBot="1" x14ac:dyDescent="0.4">
      <c r="A46" s="101"/>
      <c r="B46" s="22" t="s">
        <v>43</v>
      </c>
      <c r="C46" s="18"/>
      <c r="D46" s="18"/>
      <c r="E46" s="18"/>
      <c r="F46" s="18"/>
      <c r="G46" s="18"/>
      <c r="H46" s="18"/>
      <c r="I46" s="18">
        <v>1370</v>
      </c>
      <c r="J46" s="18">
        <v>5479</v>
      </c>
      <c r="K46" s="18">
        <v>10959</v>
      </c>
      <c r="L46" s="18">
        <v>16438</v>
      </c>
      <c r="M46" s="18">
        <v>20548</v>
      </c>
      <c r="N46" s="18">
        <v>23288</v>
      </c>
      <c r="O46" s="18">
        <v>23288</v>
      </c>
      <c r="P46" s="18">
        <v>17808</v>
      </c>
      <c r="Q46" s="18">
        <v>10959</v>
      </c>
      <c r="R46" s="18">
        <v>5479</v>
      </c>
      <c r="S46" s="18">
        <v>1370</v>
      </c>
      <c r="T46" s="18"/>
      <c r="U46" s="18"/>
      <c r="V46" s="18"/>
      <c r="W46" s="18"/>
      <c r="X46" s="18"/>
      <c r="Y46" s="18"/>
      <c r="Z46" s="18"/>
      <c r="AA46" s="19">
        <f t="shared" si="0"/>
        <v>136986</v>
      </c>
      <c r="AB46" s="39">
        <v>1</v>
      </c>
      <c r="AC46" s="19">
        <f t="shared" si="1"/>
        <v>136986</v>
      </c>
      <c r="AD46" s="104"/>
      <c r="AF46" s="101"/>
      <c r="AG46" s="22" t="s">
        <v>43</v>
      </c>
      <c r="AH46" s="18"/>
      <c r="AI46" s="18"/>
      <c r="AJ46" s="18"/>
      <c r="AK46" s="18"/>
      <c r="AL46" s="18"/>
      <c r="AM46" s="18"/>
      <c r="AN46" s="18">
        <v>1370</v>
      </c>
      <c r="AO46" s="18">
        <v>5479</v>
      </c>
      <c r="AP46" s="18">
        <v>10959</v>
      </c>
      <c r="AQ46" s="18">
        <v>16438</v>
      </c>
      <c r="AR46" s="18">
        <v>20548</v>
      </c>
      <c r="AS46" s="18">
        <v>23288</v>
      </c>
      <c r="AT46" s="18">
        <v>23288</v>
      </c>
      <c r="AU46" s="18">
        <v>17808</v>
      </c>
      <c r="AV46" s="18">
        <v>10959</v>
      </c>
      <c r="AW46" s="18">
        <v>5479</v>
      </c>
      <c r="AX46" s="18">
        <v>1370</v>
      </c>
      <c r="AY46" s="18"/>
      <c r="AZ46" s="18"/>
      <c r="BA46" s="18"/>
      <c r="BB46" s="18"/>
      <c r="BC46" s="18"/>
      <c r="BD46" s="18"/>
      <c r="BE46" s="18"/>
      <c r="BF46" s="19">
        <f t="shared" si="2"/>
        <v>136986</v>
      </c>
      <c r="BG46" s="39">
        <v>1</v>
      </c>
      <c r="BH46" s="19">
        <f t="shared" si="29"/>
        <v>136986</v>
      </c>
      <c r="BI46" s="104"/>
      <c r="BK46" s="101"/>
      <c r="BL46" s="22" t="s">
        <v>43</v>
      </c>
      <c r="BM46" s="18"/>
      <c r="BN46" s="18"/>
      <c r="BO46" s="18"/>
      <c r="BP46" s="18"/>
      <c r="BQ46" s="18"/>
      <c r="BR46" s="18"/>
      <c r="BS46" s="18">
        <v>1366</v>
      </c>
      <c r="BT46" s="18">
        <v>5464</v>
      </c>
      <c r="BU46" s="18">
        <v>10929</v>
      </c>
      <c r="BV46" s="18">
        <v>16393</v>
      </c>
      <c r="BW46" s="18">
        <v>20492</v>
      </c>
      <c r="BX46" s="18">
        <v>23224</v>
      </c>
      <c r="BY46" s="18">
        <v>23224</v>
      </c>
      <c r="BZ46" s="18">
        <v>17760</v>
      </c>
      <c r="CA46" s="18">
        <v>10929</v>
      </c>
      <c r="CB46" s="18">
        <v>5464</v>
      </c>
      <c r="CC46" s="18">
        <v>1366</v>
      </c>
      <c r="CD46" s="18"/>
      <c r="CE46" s="18"/>
      <c r="CF46" s="18"/>
      <c r="CG46" s="18"/>
      <c r="CH46" s="18"/>
      <c r="CI46" s="18"/>
      <c r="CJ46" s="18"/>
      <c r="CK46" s="19">
        <f t="shared" si="4"/>
        <v>136611</v>
      </c>
      <c r="CL46" s="39">
        <v>1</v>
      </c>
      <c r="CM46" s="19">
        <f t="shared" si="30"/>
        <v>136611</v>
      </c>
      <c r="CN46" s="104"/>
      <c r="CP46" s="101"/>
      <c r="CQ46" s="22" t="s">
        <v>43</v>
      </c>
      <c r="CR46" s="18"/>
      <c r="CS46" s="18"/>
      <c r="CT46" s="18"/>
      <c r="CU46" s="18"/>
      <c r="CV46" s="18"/>
      <c r="CW46" s="18"/>
      <c r="CX46" s="18">
        <v>1370</v>
      </c>
      <c r="CY46" s="18">
        <v>5479</v>
      </c>
      <c r="CZ46" s="18">
        <v>10959</v>
      </c>
      <c r="DA46" s="18">
        <v>16438</v>
      </c>
      <c r="DB46" s="18">
        <v>20548</v>
      </c>
      <c r="DC46" s="18">
        <v>23288</v>
      </c>
      <c r="DD46" s="18">
        <v>23288</v>
      </c>
      <c r="DE46" s="18">
        <v>17808</v>
      </c>
      <c r="DF46" s="18">
        <v>10959</v>
      </c>
      <c r="DG46" s="18">
        <v>5479</v>
      </c>
      <c r="DH46" s="18">
        <v>1370</v>
      </c>
      <c r="DI46" s="18"/>
      <c r="DJ46" s="18"/>
      <c r="DK46" s="18"/>
      <c r="DL46" s="18"/>
      <c r="DM46" s="18"/>
      <c r="DN46" s="18"/>
      <c r="DO46" s="18"/>
      <c r="DP46" s="19">
        <f t="shared" si="6"/>
        <v>136986</v>
      </c>
      <c r="DQ46" s="39">
        <v>1</v>
      </c>
      <c r="DR46" s="19">
        <f t="shared" si="31"/>
        <v>136986</v>
      </c>
      <c r="DS46" s="104"/>
      <c r="DV46" s="101"/>
      <c r="DW46" s="22" t="s">
        <v>43</v>
      </c>
      <c r="DX46" s="18"/>
      <c r="DY46" s="18"/>
      <c r="DZ46" s="18"/>
      <c r="EA46" s="18"/>
      <c r="EB46" s="18"/>
      <c r="EC46" s="18"/>
      <c r="ED46" s="18">
        <v>1370</v>
      </c>
      <c r="EE46" s="18">
        <v>5479</v>
      </c>
      <c r="EF46" s="18">
        <v>10959</v>
      </c>
      <c r="EG46" s="18">
        <v>16438</v>
      </c>
      <c r="EH46" s="18">
        <v>20548</v>
      </c>
      <c r="EI46" s="18">
        <v>23288</v>
      </c>
      <c r="EJ46" s="18">
        <v>23288</v>
      </c>
      <c r="EK46" s="18">
        <v>17808</v>
      </c>
      <c r="EL46" s="18">
        <v>10959</v>
      </c>
      <c r="EM46" s="18">
        <v>5479</v>
      </c>
      <c r="EN46" s="18">
        <v>1370</v>
      </c>
      <c r="EO46" s="18"/>
      <c r="EP46" s="18"/>
      <c r="EQ46" s="18"/>
      <c r="ER46" s="18"/>
      <c r="ES46" s="18"/>
      <c r="ET46" s="18"/>
      <c r="EU46" s="18"/>
      <c r="EV46" s="19">
        <f t="shared" si="8"/>
        <v>136986</v>
      </c>
      <c r="EW46" s="39">
        <v>1</v>
      </c>
      <c r="EX46" s="19">
        <f t="shared" si="32"/>
        <v>136986</v>
      </c>
      <c r="EY46" s="104"/>
      <c r="FB46" s="101"/>
      <c r="FC46" s="22" t="s">
        <v>43</v>
      </c>
      <c r="FD46" s="18"/>
      <c r="FE46" s="18"/>
      <c r="FF46" s="18"/>
      <c r="FG46" s="18"/>
      <c r="FH46" s="18"/>
      <c r="FI46" s="18"/>
      <c r="FJ46" s="18">
        <v>1370</v>
      </c>
      <c r="FK46" s="18">
        <v>5479</v>
      </c>
      <c r="FL46" s="18">
        <v>10959</v>
      </c>
      <c r="FM46" s="18">
        <v>16438</v>
      </c>
      <c r="FN46" s="18">
        <v>20548</v>
      </c>
      <c r="FO46" s="18">
        <v>23288</v>
      </c>
      <c r="FP46" s="18">
        <v>23288</v>
      </c>
      <c r="FQ46" s="18">
        <v>17808</v>
      </c>
      <c r="FR46" s="18">
        <v>10959</v>
      </c>
      <c r="FS46" s="18">
        <v>5479</v>
      </c>
      <c r="FT46" s="18">
        <v>1370</v>
      </c>
      <c r="FU46" s="18"/>
      <c r="FV46" s="18"/>
      <c r="FW46" s="18"/>
      <c r="FX46" s="18"/>
      <c r="FY46" s="18"/>
      <c r="FZ46" s="18"/>
      <c r="GA46" s="18"/>
      <c r="GB46" s="19">
        <f t="shared" si="9"/>
        <v>136986</v>
      </c>
      <c r="GC46" s="39">
        <v>1</v>
      </c>
      <c r="GD46" s="19">
        <f t="shared" si="33"/>
        <v>136986</v>
      </c>
      <c r="GE46" s="104"/>
      <c r="GG46" s="101"/>
      <c r="GH46" s="22" t="s">
        <v>43</v>
      </c>
      <c r="GI46" s="18"/>
      <c r="GJ46" s="18"/>
      <c r="GK46" s="18"/>
      <c r="GL46" s="18"/>
      <c r="GM46" s="18"/>
      <c r="GN46" s="18"/>
      <c r="GO46" s="18">
        <v>1366</v>
      </c>
      <c r="GP46" s="18">
        <v>5464</v>
      </c>
      <c r="GQ46" s="18">
        <v>10929</v>
      </c>
      <c r="GR46" s="18">
        <v>16393</v>
      </c>
      <c r="GS46" s="18">
        <v>20492</v>
      </c>
      <c r="GT46" s="18">
        <v>23224</v>
      </c>
      <c r="GU46" s="18">
        <v>23224</v>
      </c>
      <c r="GV46" s="18">
        <v>17760</v>
      </c>
      <c r="GW46" s="18">
        <v>10929</v>
      </c>
      <c r="GX46" s="18">
        <v>5464</v>
      </c>
      <c r="GY46" s="18">
        <v>1366</v>
      </c>
      <c r="GZ46" s="18"/>
      <c r="HA46" s="18"/>
      <c r="HB46" s="18"/>
      <c r="HC46" s="18"/>
      <c r="HD46" s="18"/>
      <c r="HE46" s="18"/>
      <c r="HF46" s="18"/>
      <c r="HG46" s="19">
        <f t="shared" si="11"/>
        <v>136611</v>
      </c>
      <c r="HH46" s="39">
        <v>1</v>
      </c>
      <c r="HI46" s="19">
        <f t="shared" si="34"/>
        <v>136611</v>
      </c>
      <c r="HJ46" s="104"/>
      <c r="HL46" s="101"/>
      <c r="HM46" s="22" t="s">
        <v>43</v>
      </c>
      <c r="HN46" s="18"/>
      <c r="HO46" s="18"/>
      <c r="HP46" s="18"/>
      <c r="HQ46" s="18"/>
      <c r="HR46" s="18"/>
      <c r="HS46" s="18"/>
      <c r="HT46" s="18">
        <v>1370</v>
      </c>
      <c r="HU46" s="18">
        <v>5479</v>
      </c>
      <c r="HV46" s="18">
        <v>10959</v>
      </c>
      <c r="HW46" s="18">
        <v>16438</v>
      </c>
      <c r="HX46" s="18">
        <v>20548</v>
      </c>
      <c r="HY46" s="18">
        <v>23288</v>
      </c>
      <c r="HZ46" s="18">
        <v>23288</v>
      </c>
      <c r="IA46" s="18">
        <v>17808</v>
      </c>
      <c r="IB46" s="18">
        <v>10959</v>
      </c>
      <c r="IC46" s="18">
        <v>5479</v>
      </c>
      <c r="ID46" s="18">
        <v>1370</v>
      </c>
      <c r="IE46" s="18"/>
      <c r="IF46" s="18"/>
      <c r="IG46" s="18"/>
      <c r="IH46" s="18"/>
      <c r="II46" s="18"/>
      <c r="IJ46" s="18"/>
      <c r="IK46" s="18"/>
      <c r="IL46" s="19">
        <f t="shared" si="13"/>
        <v>136986</v>
      </c>
      <c r="IM46" s="39">
        <v>1</v>
      </c>
      <c r="IN46" s="19">
        <f t="shared" si="35"/>
        <v>136986</v>
      </c>
      <c r="IO46" s="104"/>
      <c r="IQ46" s="101"/>
      <c r="IR46" s="22" t="s">
        <v>43</v>
      </c>
      <c r="IS46" s="18"/>
      <c r="IT46" s="18"/>
      <c r="IU46" s="18"/>
      <c r="IV46" s="18"/>
      <c r="IW46" s="18"/>
      <c r="IX46" s="18"/>
      <c r="IY46" s="18">
        <v>1370</v>
      </c>
      <c r="IZ46" s="18">
        <v>5479</v>
      </c>
      <c r="JA46" s="18">
        <v>10959</v>
      </c>
      <c r="JB46" s="18">
        <v>16438</v>
      </c>
      <c r="JC46" s="18">
        <v>20548</v>
      </c>
      <c r="JD46" s="18">
        <v>23288</v>
      </c>
      <c r="JE46" s="18">
        <v>23288</v>
      </c>
      <c r="JF46" s="18">
        <v>17808</v>
      </c>
      <c r="JG46" s="18">
        <v>10959</v>
      </c>
      <c r="JH46" s="18">
        <v>5479</v>
      </c>
      <c r="JI46" s="18">
        <v>1370</v>
      </c>
      <c r="JJ46" s="18"/>
      <c r="JK46" s="18"/>
      <c r="JL46" s="18"/>
      <c r="JM46" s="18"/>
      <c r="JN46" s="18"/>
      <c r="JO46" s="18"/>
      <c r="JP46" s="18"/>
      <c r="JQ46" s="19">
        <f t="shared" si="15"/>
        <v>136986</v>
      </c>
      <c r="JR46" s="39">
        <v>1</v>
      </c>
      <c r="JS46" s="19">
        <f t="shared" si="36"/>
        <v>136986</v>
      </c>
      <c r="JT46" s="104"/>
      <c r="JV46" s="101"/>
      <c r="JW46" s="22" t="s">
        <v>43</v>
      </c>
      <c r="JX46" s="18"/>
      <c r="JY46" s="18"/>
      <c r="JZ46" s="18"/>
      <c r="KA46" s="18"/>
      <c r="KB46" s="18"/>
      <c r="KC46" s="18"/>
      <c r="KD46" s="18"/>
      <c r="KE46" s="18">
        <v>1370</v>
      </c>
      <c r="KF46" s="18">
        <v>5479</v>
      </c>
      <c r="KG46" s="18">
        <v>10959</v>
      </c>
      <c r="KH46" s="18">
        <v>16438</v>
      </c>
      <c r="KI46" s="18">
        <v>20548</v>
      </c>
      <c r="KJ46" s="18">
        <v>23288</v>
      </c>
      <c r="KK46" s="18">
        <v>23288</v>
      </c>
      <c r="KL46" s="18">
        <v>17808</v>
      </c>
      <c r="KM46" s="18">
        <v>10959</v>
      </c>
      <c r="KN46" s="18">
        <v>5479</v>
      </c>
      <c r="KO46" s="18">
        <v>1370</v>
      </c>
      <c r="KP46" s="18"/>
      <c r="KQ46" s="18"/>
      <c r="KR46" s="18"/>
      <c r="KS46" s="18"/>
      <c r="KT46" s="18"/>
      <c r="KU46" s="18"/>
      <c r="KV46" s="19">
        <f t="shared" si="17"/>
        <v>136986</v>
      </c>
      <c r="KW46" s="39">
        <v>1</v>
      </c>
      <c r="KX46" s="19">
        <f t="shared" si="37"/>
        <v>136986</v>
      </c>
      <c r="KY46" s="104"/>
      <c r="LA46" s="101"/>
      <c r="LB46" s="22" t="s">
        <v>43</v>
      </c>
      <c r="LC46" s="18"/>
      <c r="LD46" s="18"/>
      <c r="LE46" s="18"/>
      <c r="LF46" s="18"/>
      <c r="LG46" s="18"/>
      <c r="LH46" s="18"/>
      <c r="LI46" s="18">
        <v>1366</v>
      </c>
      <c r="LJ46" s="18">
        <v>5464</v>
      </c>
      <c r="LK46" s="18">
        <v>10929</v>
      </c>
      <c r="LL46" s="18">
        <v>16393</v>
      </c>
      <c r="LM46" s="18">
        <v>20492</v>
      </c>
      <c r="LN46" s="18">
        <v>23224</v>
      </c>
      <c r="LO46" s="18">
        <v>23224</v>
      </c>
      <c r="LP46" s="18">
        <v>17760</v>
      </c>
      <c r="LQ46" s="18">
        <v>10929</v>
      </c>
      <c r="LR46" s="18">
        <v>5464</v>
      </c>
      <c r="LS46" s="18">
        <v>1366</v>
      </c>
      <c r="LT46" s="18"/>
      <c r="LU46" s="18"/>
      <c r="LV46" s="18"/>
      <c r="LW46" s="18"/>
      <c r="LX46" s="18"/>
      <c r="LY46" s="18"/>
      <c r="LZ46" s="18"/>
      <c r="MA46" s="19">
        <f t="shared" si="19"/>
        <v>136611</v>
      </c>
      <c r="MB46" s="39">
        <v>1</v>
      </c>
      <c r="MC46" s="19">
        <f t="shared" si="38"/>
        <v>136611</v>
      </c>
      <c r="MD46" s="104"/>
      <c r="MF46" s="101"/>
      <c r="MG46" s="22" t="s">
        <v>43</v>
      </c>
      <c r="MH46" s="18"/>
      <c r="MI46" s="18"/>
      <c r="MJ46" s="18"/>
      <c r="MK46" s="18"/>
      <c r="ML46" s="18"/>
      <c r="MM46" s="18"/>
      <c r="MN46" s="18">
        <v>1370</v>
      </c>
      <c r="MO46" s="18">
        <v>5479</v>
      </c>
      <c r="MP46" s="18">
        <v>10959</v>
      </c>
      <c r="MQ46" s="18">
        <v>16438</v>
      </c>
      <c r="MR46" s="18">
        <v>20548</v>
      </c>
      <c r="MS46" s="18">
        <v>23288</v>
      </c>
      <c r="MT46" s="18">
        <v>23288</v>
      </c>
      <c r="MU46" s="18">
        <v>17808</v>
      </c>
      <c r="MV46" s="18">
        <v>10959</v>
      </c>
      <c r="MW46" s="18">
        <v>5479</v>
      </c>
      <c r="MX46" s="18">
        <v>1370</v>
      </c>
      <c r="MY46" s="18"/>
      <c r="MZ46" s="18"/>
      <c r="NA46" s="18"/>
      <c r="NB46" s="18"/>
      <c r="NC46" s="18"/>
      <c r="ND46" s="18"/>
      <c r="NE46" s="18"/>
      <c r="NF46" s="19">
        <f t="shared" si="21"/>
        <v>136986</v>
      </c>
      <c r="NG46" s="39">
        <v>1</v>
      </c>
      <c r="NH46" s="19">
        <f t="shared" si="39"/>
        <v>136986</v>
      </c>
      <c r="NI46" s="104"/>
      <c r="NK46" s="101"/>
      <c r="NL46" s="22" t="s">
        <v>43</v>
      </c>
      <c r="NM46" s="18"/>
      <c r="NN46" s="18"/>
      <c r="NO46" s="18"/>
      <c r="NP46" s="18"/>
      <c r="NQ46" s="18"/>
      <c r="NR46" s="18"/>
      <c r="NS46" s="18">
        <v>1370</v>
      </c>
      <c r="NT46" s="18">
        <v>5479</v>
      </c>
      <c r="NU46" s="18">
        <v>10959</v>
      </c>
      <c r="NV46" s="18">
        <v>16438</v>
      </c>
      <c r="NW46" s="18">
        <v>20548</v>
      </c>
      <c r="NX46" s="18">
        <v>23288</v>
      </c>
      <c r="NY46" s="18">
        <v>23288</v>
      </c>
      <c r="NZ46" s="18">
        <v>17808</v>
      </c>
      <c r="OA46" s="18">
        <v>10959</v>
      </c>
      <c r="OB46" s="18">
        <v>5479</v>
      </c>
      <c r="OC46" s="18">
        <v>1370</v>
      </c>
      <c r="OD46" s="18"/>
      <c r="OE46" s="18"/>
      <c r="OF46" s="18"/>
      <c r="OG46" s="18"/>
      <c r="OH46" s="18"/>
      <c r="OI46" s="18"/>
      <c r="OJ46" s="18"/>
      <c r="OK46" s="19">
        <f t="shared" si="23"/>
        <v>136986</v>
      </c>
      <c r="OL46" s="39">
        <v>1</v>
      </c>
      <c r="OM46" s="19">
        <f t="shared" si="40"/>
        <v>136986</v>
      </c>
      <c r="ON46" s="104"/>
      <c r="OP46" s="101"/>
      <c r="OQ46" s="22" t="s">
        <v>43</v>
      </c>
      <c r="OR46" s="18"/>
      <c r="OS46" s="18"/>
      <c r="OT46" s="18"/>
      <c r="OU46" s="18"/>
      <c r="OV46" s="18"/>
      <c r="OW46" s="18"/>
      <c r="OX46" s="18">
        <v>1370</v>
      </c>
      <c r="OY46" s="18">
        <v>5479</v>
      </c>
      <c r="OZ46" s="18">
        <v>10959</v>
      </c>
      <c r="PA46" s="18">
        <v>16438</v>
      </c>
      <c r="PB46" s="18">
        <v>20548</v>
      </c>
      <c r="PC46" s="18">
        <v>23288</v>
      </c>
      <c r="PD46" s="18">
        <v>23288</v>
      </c>
      <c r="PE46" s="18">
        <v>17808</v>
      </c>
      <c r="PF46" s="18">
        <v>10959</v>
      </c>
      <c r="PG46" s="18">
        <v>5479</v>
      </c>
      <c r="PH46" s="18">
        <v>1370</v>
      </c>
      <c r="PI46" s="18"/>
      <c r="PJ46" s="18"/>
      <c r="PK46" s="18"/>
      <c r="PL46" s="18"/>
      <c r="PM46" s="18"/>
      <c r="PN46" s="18"/>
      <c r="PO46" s="18"/>
      <c r="PP46" s="19">
        <f t="shared" si="25"/>
        <v>136986</v>
      </c>
      <c r="PQ46" s="39">
        <v>1</v>
      </c>
      <c r="PR46" s="19">
        <f t="shared" si="41"/>
        <v>136986</v>
      </c>
      <c r="PS46" s="104"/>
      <c r="PU46" s="101"/>
      <c r="PV46" s="22" t="s">
        <v>43</v>
      </c>
      <c r="PW46" s="18"/>
      <c r="PX46" s="18"/>
      <c r="PY46" s="18"/>
      <c r="PZ46" s="18"/>
      <c r="QA46" s="18"/>
      <c r="QB46" s="18"/>
      <c r="QC46" s="18">
        <v>1366</v>
      </c>
      <c r="QD46" s="18">
        <v>5464</v>
      </c>
      <c r="QE46" s="18">
        <v>10929</v>
      </c>
      <c r="QF46" s="18">
        <v>16393</v>
      </c>
      <c r="QG46" s="18">
        <v>20492</v>
      </c>
      <c r="QH46" s="18">
        <v>23224</v>
      </c>
      <c r="QI46" s="18">
        <v>23224</v>
      </c>
      <c r="QJ46" s="18">
        <v>17760</v>
      </c>
      <c r="QK46" s="18">
        <v>10929</v>
      </c>
      <c r="QL46" s="18">
        <v>5464</v>
      </c>
      <c r="QM46" s="18">
        <v>1366</v>
      </c>
      <c r="QN46" s="18"/>
      <c r="QO46" s="18"/>
      <c r="QP46" s="18"/>
      <c r="QQ46" s="18"/>
      <c r="QR46" s="18"/>
      <c r="QS46" s="18"/>
      <c r="QT46" s="18"/>
      <c r="QU46" s="19">
        <f t="shared" si="27"/>
        <v>136611</v>
      </c>
      <c r="QV46" s="47">
        <v>1</v>
      </c>
      <c r="QW46" s="19">
        <f t="shared" si="42"/>
        <v>136611</v>
      </c>
      <c r="QX46" s="104"/>
    </row>
    <row r="47" spans="1:466" x14ac:dyDescent="0.35">
      <c r="A47" s="99">
        <v>46327</v>
      </c>
      <c r="B47" s="17" t="s">
        <v>40</v>
      </c>
      <c r="C47" s="18"/>
      <c r="D47" s="18"/>
      <c r="E47" s="18"/>
      <c r="F47" s="18"/>
      <c r="G47" s="18"/>
      <c r="H47" s="18"/>
      <c r="I47" s="18">
        <v>1370</v>
      </c>
      <c r="J47" s="18">
        <v>5479</v>
      </c>
      <c r="K47" s="18">
        <v>10959</v>
      </c>
      <c r="L47" s="18">
        <v>16438</v>
      </c>
      <c r="M47" s="18">
        <v>20548</v>
      </c>
      <c r="N47" s="18">
        <v>23288</v>
      </c>
      <c r="O47" s="18">
        <v>23288</v>
      </c>
      <c r="P47" s="18">
        <v>17808</v>
      </c>
      <c r="Q47" s="18">
        <v>10959</v>
      </c>
      <c r="R47" s="18">
        <v>5479</v>
      </c>
      <c r="S47" s="18">
        <v>1370</v>
      </c>
      <c r="T47" s="18"/>
      <c r="U47" s="18"/>
      <c r="V47" s="18"/>
      <c r="W47" s="18"/>
      <c r="X47" s="18"/>
      <c r="Y47" s="18"/>
      <c r="Z47" s="18"/>
      <c r="AA47" s="19">
        <f t="shared" si="0"/>
        <v>136986</v>
      </c>
      <c r="AB47" s="37">
        <v>19</v>
      </c>
      <c r="AC47" s="19">
        <f t="shared" si="1"/>
        <v>2602734</v>
      </c>
      <c r="AD47" s="102">
        <f>+SUM(AC47:AC50)</f>
        <v>4109580</v>
      </c>
      <c r="AF47" s="99">
        <v>46692</v>
      </c>
      <c r="AG47" s="17" t="s">
        <v>40</v>
      </c>
      <c r="AH47" s="18"/>
      <c r="AI47" s="18"/>
      <c r="AJ47" s="18"/>
      <c r="AK47" s="18"/>
      <c r="AL47" s="18"/>
      <c r="AM47" s="18"/>
      <c r="AN47" s="18">
        <v>1370</v>
      </c>
      <c r="AO47" s="18">
        <v>5479</v>
      </c>
      <c r="AP47" s="18">
        <v>10959</v>
      </c>
      <c r="AQ47" s="18">
        <v>16438</v>
      </c>
      <c r="AR47" s="18">
        <v>20548</v>
      </c>
      <c r="AS47" s="18">
        <v>23288</v>
      </c>
      <c r="AT47" s="18">
        <v>23288</v>
      </c>
      <c r="AU47" s="18">
        <v>17808</v>
      </c>
      <c r="AV47" s="18">
        <v>10959</v>
      </c>
      <c r="AW47" s="18">
        <v>5479</v>
      </c>
      <c r="AX47" s="18">
        <v>1370</v>
      </c>
      <c r="AY47" s="18"/>
      <c r="AZ47" s="18"/>
      <c r="BA47" s="18"/>
      <c r="BB47" s="18"/>
      <c r="BC47" s="18"/>
      <c r="BD47" s="18"/>
      <c r="BE47" s="18"/>
      <c r="BF47" s="19">
        <f t="shared" si="2"/>
        <v>136986</v>
      </c>
      <c r="BG47" s="37">
        <v>20</v>
      </c>
      <c r="BH47" s="19">
        <f t="shared" si="29"/>
        <v>2739720</v>
      </c>
      <c r="BI47" s="102">
        <f>+SUM(BH47:BH50)</f>
        <v>4109580</v>
      </c>
      <c r="BK47" s="99">
        <v>47058</v>
      </c>
      <c r="BL47" s="17" t="s">
        <v>40</v>
      </c>
      <c r="BM47" s="18"/>
      <c r="BN47" s="18"/>
      <c r="BO47" s="18"/>
      <c r="BP47" s="18"/>
      <c r="BQ47" s="18"/>
      <c r="BR47" s="18"/>
      <c r="BS47" s="18">
        <v>1366</v>
      </c>
      <c r="BT47" s="18">
        <v>5464</v>
      </c>
      <c r="BU47" s="18">
        <v>10929</v>
      </c>
      <c r="BV47" s="18">
        <v>16393</v>
      </c>
      <c r="BW47" s="18">
        <v>20492</v>
      </c>
      <c r="BX47" s="18">
        <v>23224</v>
      </c>
      <c r="BY47" s="18">
        <v>23224</v>
      </c>
      <c r="BZ47" s="18">
        <v>17760</v>
      </c>
      <c r="CA47" s="18">
        <v>10929</v>
      </c>
      <c r="CB47" s="18">
        <v>5464</v>
      </c>
      <c r="CC47" s="18">
        <v>1366</v>
      </c>
      <c r="CD47" s="18"/>
      <c r="CE47" s="18"/>
      <c r="CF47" s="18"/>
      <c r="CG47" s="18"/>
      <c r="CH47" s="18"/>
      <c r="CI47" s="18"/>
      <c r="CJ47" s="18"/>
      <c r="CK47" s="19">
        <f t="shared" si="4"/>
        <v>136611</v>
      </c>
      <c r="CL47" s="37">
        <v>20</v>
      </c>
      <c r="CM47" s="19">
        <f t="shared" si="30"/>
        <v>2732220</v>
      </c>
      <c r="CN47" s="102">
        <f>+SUM(CM47:CM50)</f>
        <v>4098330</v>
      </c>
      <c r="CP47" s="99">
        <v>47423</v>
      </c>
      <c r="CQ47" s="17" t="s">
        <v>40</v>
      </c>
      <c r="CR47" s="18"/>
      <c r="CS47" s="18"/>
      <c r="CT47" s="18"/>
      <c r="CU47" s="18"/>
      <c r="CV47" s="18"/>
      <c r="CW47" s="18"/>
      <c r="CX47" s="18">
        <v>1370</v>
      </c>
      <c r="CY47" s="18">
        <v>5479</v>
      </c>
      <c r="CZ47" s="18">
        <v>10959</v>
      </c>
      <c r="DA47" s="18">
        <v>16438</v>
      </c>
      <c r="DB47" s="18">
        <v>20548</v>
      </c>
      <c r="DC47" s="18">
        <v>23288</v>
      </c>
      <c r="DD47" s="18">
        <v>23288</v>
      </c>
      <c r="DE47" s="18">
        <v>17808</v>
      </c>
      <c r="DF47" s="18">
        <v>10959</v>
      </c>
      <c r="DG47" s="18">
        <v>5479</v>
      </c>
      <c r="DH47" s="18">
        <v>1370</v>
      </c>
      <c r="DI47" s="18"/>
      <c r="DJ47" s="18"/>
      <c r="DK47" s="18"/>
      <c r="DL47" s="18"/>
      <c r="DM47" s="18"/>
      <c r="DN47" s="18"/>
      <c r="DO47" s="18"/>
      <c r="DP47" s="19">
        <f t="shared" si="6"/>
        <v>136986</v>
      </c>
      <c r="DQ47" s="37">
        <v>20</v>
      </c>
      <c r="DR47" s="19">
        <f t="shared" si="31"/>
        <v>2739720</v>
      </c>
      <c r="DS47" s="102">
        <f>+SUM(DR47:DR50)</f>
        <v>4109580</v>
      </c>
      <c r="DV47" s="99">
        <v>47788</v>
      </c>
      <c r="DW47" s="17" t="s">
        <v>40</v>
      </c>
      <c r="DX47" s="18"/>
      <c r="DY47" s="18"/>
      <c r="DZ47" s="18"/>
      <c r="EA47" s="18"/>
      <c r="EB47" s="18"/>
      <c r="EC47" s="18"/>
      <c r="ED47" s="18">
        <v>1370</v>
      </c>
      <c r="EE47" s="18">
        <v>5479</v>
      </c>
      <c r="EF47" s="18">
        <v>10959</v>
      </c>
      <c r="EG47" s="18">
        <v>16438</v>
      </c>
      <c r="EH47" s="18">
        <v>20548</v>
      </c>
      <c r="EI47" s="18">
        <v>23288</v>
      </c>
      <c r="EJ47" s="18">
        <v>23288</v>
      </c>
      <c r="EK47" s="18">
        <v>17808</v>
      </c>
      <c r="EL47" s="18">
        <v>10959</v>
      </c>
      <c r="EM47" s="18">
        <v>5479</v>
      </c>
      <c r="EN47" s="18">
        <v>1370</v>
      </c>
      <c r="EO47" s="18"/>
      <c r="EP47" s="18"/>
      <c r="EQ47" s="18"/>
      <c r="ER47" s="18"/>
      <c r="ES47" s="18"/>
      <c r="ET47" s="18"/>
      <c r="EU47" s="18"/>
      <c r="EV47" s="19">
        <f t="shared" si="8"/>
        <v>136986</v>
      </c>
      <c r="EW47" s="37">
        <v>19</v>
      </c>
      <c r="EX47" s="19">
        <f t="shared" si="32"/>
        <v>2602734</v>
      </c>
      <c r="EY47" s="102">
        <f>+SUM(EX47:EX50)</f>
        <v>4109580</v>
      </c>
      <c r="FB47" s="99">
        <v>48153</v>
      </c>
      <c r="FC47" s="17" t="s">
        <v>40</v>
      </c>
      <c r="FD47" s="18"/>
      <c r="FE47" s="18"/>
      <c r="FF47" s="18"/>
      <c r="FG47" s="18"/>
      <c r="FH47" s="18"/>
      <c r="FI47" s="18"/>
      <c r="FJ47" s="18">
        <v>1370</v>
      </c>
      <c r="FK47" s="18">
        <v>5479</v>
      </c>
      <c r="FL47" s="18">
        <v>10959</v>
      </c>
      <c r="FM47" s="18">
        <v>16438</v>
      </c>
      <c r="FN47" s="18">
        <v>20548</v>
      </c>
      <c r="FO47" s="18">
        <v>23288</v>
      </c>
      <c r="FP47" s="18">
        <v>23288</v>
      </c>
      <c r="FQ47" s="18">
        <v>17808</v>
      </c>
      <c r="FR47" s="18">
        <v>10959</v>
      </c>
      <c r="FS47" s="18">
        <v>5479</v>
      </c>
      <c r="FT47" s="18">
        <v>1370</v>
      </c>
      <c r="FU47" s="18"/>
      <c r="FV47" s="18"/>
      <c r="FW47" s="18"/>
      <c r="FX47" s="18"/>
      <c r="FY47" s="18"/>
      <c r="FZ47" s="18"/>
      <c r="GA47" s="18"/>
      <c r="GB47" s="19">
        <f t="shared" si="9"/>
        <v>136986</v>
      </c>
      <c r="GC47" s="37">
        <v>18</v>
      </c>
      <c r="GD47" s="19">
        <f t="shared" si="33"/>
        <v>2465748</v>
      </c>
      <c r="GE47" s="102">
        <f>+SUM(GD47:GD50)</f>
        <v>4109580</v>
      </c>
      <c r="GG47" s="99">
        <v>48519</v>
      </c>
      <c r="GH47" s="17" t="s">
        <v>40</v>
      </c>
      <c r="GI47" s="18"/>
      <c r="GJ47" s="18"/>
      <c r="GK47" s="18"/>
      <c r="GL47" s="18"/>
      <c r="GM47" s="18"/>
      <c r="GN47" s="18"/>
      <c r="GO47" s="18">
        <v>1366</v>
      </c>
      <c r="GP47" s="18">
        <v>5464</v>
      </c>
      <c r="GQ47" s="18">
        <v>10929</v>
      </c>
      <c r="GR47" s="18">
        <v>16393</v>
      </c>
      <c r="GS47" s="18">
        <v>20492</v>
      </c>
      <c r="GT47" s="18">
        <v>23224</v>
      </c>
      <c r="GU47" s="18">
        <v>23224</v>
      </c>
      <c r="GV47" s="18">
        <v>17760</v>
      </c>
      <c r="GW47" s="18">
        <v>10929</v>
      </c>
      <c r="GX47" s="18">
        <v>5464</v>
      </c>
      <c r="GY47" s="18">
        <v>1366</v>
      </c>
      <c r="GZ47" s="18"/>
      <c r="HA47" s="18"/>
      <c r="HB47" s="18"/>
      <c r="HC47" s="18"/>
      <c r="HD47" s="18"/>
      <c r="HE47" s="18"/>
      <c r="HF47" s="18"/>
      <c r="HG47" s="19">
        <f t="shared" si="11"/>
        <v>136611</v>
      </c>
      <c r="HH47" s="37">
        <v>20</v>
      </c>
      <c r="HI47" s="19">
        <f t="shared" si="34"/>
        <v>2732220</v>
      </c>
      <c r="HJ47" s="102">
        <f>+SUM(HI47:HI50)</f>
        <v>4098330</v>
      </c>
      <c r="HL47" s="99">
        <v>48884</v>
      </c>
      <c r="HM47" s="17" t="s">
        <v>40</v>
      </c>
      <c r="HN47" s="18"/>
      <c r="HO47" s="18"/>
      <c r="HP47" s="18"/>
      <c r="HQ47" s="18"/>
      <c r="HR47" s="18"/>
      <c r="HS47" s="18"/>
      <c r="HT47" s="18">
        <v>1370</v>
      </c>
      <c r="HU47" s="18">
        <v>5479</v>
      </c>
      <c r="HV47" s="18">
        <v>10959</v>
      </c>
      <c r="HW47" s="18">
        <v>16438</v>
      </c>
      <c r="HX47" s="18">
        <v>20548</v>
      </c>
      <c r="HY47" s="18">
        <v>23288</v>
      </c>
      <c r="HZ47" s="18">
        <v>23288</v>
      </c>
      <c r="IA47" s="18">
        <v>17808</v>
      </c>
      <c r="IB47" s="18">
        <v>10959</v>
      </c>
      <c r="IC47" s="18">
        <v>5479</v>
      </c>
      <c r="ID47" s="18">
        <v>1370</v>
      </c>
      <c r="IE47" s="18"/>
      <c r="IF47" s="18"/>
      <c r="IG47" s="18"/>
      <c r="IH47" s="18"/>
      <c r="II47" s="18"/>
      <c r="IJ47" s="18"/>
      <c r="IK47" s="18"/>
      <c r="IL47" s="19">
        <f t="shared" si="13"/>
        <v>136986</v>
      </c>
      <c r="IM47" s="37">
        <v>20</v>
      </c>
      <c r="IN47" s="19">
        <f t="shared" si="35"/>
        <v>2739720</v>
      </c>
      <c r="IO47" s="102">
        <f>+SUM(IN47:IN50)</f>
        <v>4109580</v>
      </c>
      <c r="IQ47" s="99">
        <v>49249</v>
      </c>
      <c r="IR47" s="17" t="s">
        <v>40</v>
      </c>
      <c r="IS47" s="18"/>
      <c r="IT47" s="18"/>
      <c r="IU47" s="18"/>
      <c r="IV47" s="18"/>
      <c r="IW47" s="18"/>
      <c r="IX47" s="18"/>
      <c r="IY47" s="18">
        <v>1370</v>
      </c>
      <c r="IZ47" s="18">
        <v>5479</v>
      </c>
      <c r="JA47" s="18">
        <v>10959</v>
      </c>
      <c r="JB47" s="18">
        <v>16438</v>
      </c>
      <c r="JC47" s="18">
        <v>20548</v>
      </c>
      <c r="JD47" s="18">
        <v>23288</v>
      </c>
      <c r="JE47" s="18">
        <v>23288</v>
      </c>
      <c r="JF47" s="18">
        <v>17808</v>
      </c>
      <c r="JG47" s="18">
        <v>10959</v>
      </c>
      <c r="JH47" s="18">
        <v>5479</v>
      </c>
      <c r="JI47" s="18">
        <v>1370</v>
      </c>
      <c r="JJ47" s="18"/>
      <c r="JK47" s="18"/>
      <c r="JL47" s="18"/>
      <c r="JM47" s="18"/>
      <c r="JN47" s="18"/>
      <c r="JO47" s="18"/>
      <c r="JP47" s="18"/>
      <c r="JQ47" s="19">
        <f t="shared" si="15"/>
        <v>136986</v>
      </c>
      <c r="JR47" s="37">
        <v>20</v>
      </c>
      <c r="JS47" s="19">
        <f t="shared" si="36"/>
        <v>2739720</v>
      </c>
      <c r="JT47" s="102">
        <f>+SUM(JS47:JS50)</f>
        <v>4109580</v>
      </c>
      <c r="JV47" s="99">
        <v>49614</v>
      </c>
      <c r="JW47" s="17" t="s">
        <v>40</v>
      </c>
      <c r="JX47" s="18"/>
      <c r="JY47" s="18"/>
      <c r="JZ47" s="18"/>
      <c r="KA47" s="18"/>
      <c r="KB47" s="18"/>
      <c r="KC47" s="18"/>
      <c r="KD47" s="18"/>
      <c r="KE47" s="18">
        <v>1370</v>
      </c>
      <c r="KF47" s="18">
        <v>5479</v>
      </c>
      <c r="KG47" s="18">
        <v>10959</v>
      </c>
      <c r="KH47" s="18">
        <v>16438</v>
      </c>
      <c r="KI47" s="18">
        <v>20548</v>
      </c>
      <c r="KJ47" s="18">
        <v>23288</v>
      </c>
      <c r="KK47" s="18">
        <v>23288</v>
      </c>
      <c r="KL47" s="18">
        <v>17808</v>
      </c>
      <c r="KM47" s="18">
        <v>10959</v>
      </c>
      <c r="KN47" s="18">
        <v>5479</v>
      </c>
      <c r="KO47" s="18">
        <v>1370</v>
      </c>
      <c r="KP47" s="18"/>
      <c r="KQ47" s="18"/>
      <c r="KR47" s="18"/>
      <c r="KS47" s="18"/>
      <c r="KT47" s="18"/>
      <c r="KU47" s="18"/>
      <c r="KV47" s="19">
        <f t="shared" si="17"/>
        <v>136986</v>
      </c>
      <c r="KW47" s="37">
        <v>20</v>
      </c>
      <c r="KX47" s="19">
        <f t="shared" si="37"/>
        <v>2739720</v>
      </c>
      <c r="KY47" s="102">
        <f>+SUM(KX47:KX50)</f>
        <v>4109580</v>
      </c>
      <c r="LA47" s="99">
        <v>49980</v>
      </c>
      <c r="LB47" s="17" t="s">
        <v>40</v>
      </c>
      <c r="LC47" s="18"/>
      <c r="LD47" s="18"/>
      <c r="LE47" s="18"/>
      <c r="LF47" s="18"/>
      <c r="LG47" s="18"/>
      <c r="LH47" s="18"/>
      <c r="LI47" s="18">
        <v>1366</v>
      </c>
      <c r="LJ47" s="18">
        <v>5464</v>
      </c>
      <c r="LK47" s="18">
        <v>10929</v>
      </c>
      <c r="LL47" s="18">
        <v>16393</v>
      </c>
      <c r="LM47" s="18">
        <v>20492</v>
      </c>
      <c r="LN47" s="18">
        <v>23224</v>
      </c>
      <c r="LO47" s="18">
        <v>23224</v>
      </c>
      <c r="LP47" s="18">
        <v>17760</v>
      </c>
      <c r="LQ47" s="18">
        <v>10929</v>
      </c>
      <c r="LR47" s="18">
        <v>5464</v>
      </c>
      <c r="LS47" s="18">
        <v>1366</v>
      </c>
      <c r="LT47" s="18"/>
      <c r="LU47" s="18"/>
      <c r="LV47" s="18"/>
      <c r="LW47" s="18"/>
      <c r="LX47" s="18"/>
      <c r="LY47" s="18"/>
      <c r="LZ47" s="18"/>
      <c r="MA47" s="19">
        <f t="shared" si="19"/>
        <v>136611</v>
      </c>
      <c r="MB47" s="37">
        <v>18</v>
      </c>
      <c r="MC47" s="19">
        <f t="shared" si="38"/>
        <v>2458998</v>
      </c>
      <c r="MD47" s="102">
        <f>+SUM(MC47:MC50)</f>
        <v>4098330</v>
      </c>
      <c r="MF47" s="99">
        <v>50345</v>
      </c>
      <c r="MG47" s="17" t="s">
        <v>40</v>
      </c>
      <c r="MH47" s="18"/>
      <c r="MI47" s="18"/>
      <c r="MJ47" s="18"/>
      <c r="MK47" s="18"/>
      <c r="ML47" s="18"/>
      <c r="MM47" s="18"/>
      <c r="MN47" s="18">
        <v>1370</v>
      </c>
      <c r="MO47" s="18">
        <v>5479</v>
      </c>
      <c r="MP47" s="18">
        <v>10959</v>
      </c>
      <c r="MQ47" s="18">
        <v>16438</v>
      </c>
      <c r="MR47" s="18">
        <v>20548</v>
      </c>
      <c r="MS47" s="18">
        <v>23288</v>
      </c>
      <c r="MT47" s="18">
        <v>23288</v>
      </c>
      <c r="MU47" s="18">
        <v>17808</v>
      </c>
      <c r="MV47" s="18">
        <v>10959</v>
      </c>
      <c r="MW47" s="18">
        <v>5479</v>
      </c>
      <c r="MX47" s="18">
        <v>1370</v>
      </c>
      <c r="MY47" s="18"/>
      <c r="MZ47" s="18"/>
      <c r="NA47" s="18"/>
      <c r="NB47" s="18"/>
      <c r="NC47" s="18"/>
      <c r="ND47" s="18"/>
      <c r="NE47" s="18"/>
      <c r="NF47" s="19">
        <f t="shared" si="21"/>
        <v>136986</v>
      </c>
      <c r="NG47" s="37">
        <v>19</v>
      </c>
      <c r="NH47" s="19">
        <f t="shared" si="39"/>
        <v>2602734</v>
      </c>
      <c r="NI47" s="102">
        <f>+SUM(NH47:NH50)</f>
        <v>4109580</v>
      </c>
      <c r="NK47" s="99">
        <v>50710</v>
      </c>
      <c r="NL47" s="17" t="s">
        <v>40</v>
      </c>
      <c r="NM47" s="18"/>
      <c r="NN47" s="18"/>
      <c r="NO47" s="18"/>
      <c r="NP47" s="18"/>
      <c r="NQ47" s="18"/>
      <c r="NR47" s="18"/>
      <c r="NS47" s="18">
        <v>1370</v>
      </c>
      <c r="NT47" s="18">
        <v>5479</v>
      </c>
      <c r="NU47" s="18">
        <v>10959</v>
      </c>
      <c r="NV47" s="18">
        <v>16438</v>
      </c>
      <c r="NW47" s="18">
        <v>20548</v>
      </c>
      <c r="NX47" s="18">
        <v>23288</v>
      </c>
      <c r="NY47" s="18">
        <v>23288</v>
      </c>
      <c r="NZ47" s="18">
        <v>17808</v>
      </c>
      <c r="OA47" s="18">
        <v>10959</v>
      </c>
      <c r="OB47" s="18">
        <v>5479</v>
      </c>
      <c r="OC47" s="18">
        <v>1370</v>
      </c>
      <c r="OD47" s="18"/>
      <c r="OE47" s="18"/>
      <c r="OF47" s="18"/>
      <c r="OG47" s="18"/>
      <c r="OH47" s="18"/>
      <c r="OI47" s="18"/>
      <c r="OJ47" s="18"/>
      <c r="OK47" s="19">
        <f t="shared" si="23"/>
        <v>136986</v>
      </c>
      <c r="OL47" s="37">
        <v>20</v>
      </c>
      <c r="OM47" s="19">
        <f t="shared" si="40"/>
        <v>2739720</v>
      </c>
      <c r="ON47" s="102">
        <f>+SUM(OM47:OM50)</f>
        <v>4109580</v>
      </c>
      <c r="OP47" s="99">
        <v>51075</v>
      </c>
      <c r="OQ47" s="17" t="s">
        <v>40</v>
      </c>
      <c r="OR47" s="18"/>
      <c r="OS47" s="18"/>
      <c r="OT47" s="18"/>
      <c r="OU47" s="18"/>
      <c r="OV47" s="18"/>
      <c r="OW47" s="18"/>
      <c r="OX47" s="18">
        <v>1370</v>
      </c>
      <c r="OY47" s="18">
        <v>5479</v>
      </c>
      <c r="OZ47" s="18">
        <v>10959</v>
      </c>
      <c r="PA47" s="18">
        <v>16438</v>
      </c>
      <c r="PB47" s="18">
        <v>20548</v>
      </c>
      <c r="PC47" s="18">
        <v>23288</v>
      </c>
      <c r="PD47" s="18">
        <v>23288</v>
      </c>
      <c r="PE47" s="18">
        <v>17808</v>
      </c>
      <c r="PF47" s="18">
        <v>10959</v>
      </c>
      <c r="PG47" s="18">
        <v>5479</v>
      </c>
      <c r="PH47" s="18">
        <v>1370</v>
      </c>
      <c r="PI47" s="18"/>
      <c r="PJ47" s="18"/>
      <c r="PK47" s="18"/>
      <c r="PL47" s="18"/>
      <c r="PM47" s="18"/>
      <c r="PN47" s="18"/>
      <c r="PO47" s="18"/>
      <c r="PP47" s="19">
        <f t="shared" si="25"/>
        <v>136986</v>
      </c>
      <c r="PQ47" s="37">
        <v>20</v>
      </c>
      <c r="PR47" s="19">
        <f t="shared" si="41"/>
        <v>2739720</v>
      </c>
      <c r="PS47" s="102">
        <f>+SUM(PR47:PR50)</f>
        <v>4109580</v>
      </c>
      <c r="PU47" s="99">
        <v>51441</v>
      </c>
      <c r="PV47" s="17" t="s">
        <v>40</v>
      </c>
      <c r="PW47" s="18"/>
      <c r="PX47" s="18"/>
      <c r="PY47" s="18"/>
      <c r="PZ47" s="18"/>
      <c r="QA47" s="18"/>
      <c r="QB47" s="18"/>
      <c r="QC47" s="18">
        <v>1366</v>
      </c>
      <c r="QD47" s="18">
        <v>5464</v>
      </c>
      <c r="QE47" s="18">
        <v>10929</v>
      </c>
      <c r="QF47" s="18">
        <v>16393</v>
      </c>
      <c r="QG47" s="18">
        <v>20492</v>
      </c>
      <c r="QH47" s="18">
        <v>23224</v>
      </c>
      <c r="QI47" s="18">
        <v>23224</v>
      </c>
      <c r="QJ47" s="18">
        <v>17760</v>
      </c>
      <c r="QK47" s="18">
        <v>10929</v>
      </c>
      <c r="QL47" s="18">
        <v>5464</v>
      </c>
      <c r="QM47" s="18">
        <v>1366</v>
      </c>
      <c r="QN47" s="18"/>
      <c r="QO47" s="18"/>
      <c r="QP47" s="18"/>
      <c r="QQ47" s="18"/>
      <c r="QR47" s="18"/>
      <c r="QS47" s="18"/>
      <c r="QT47" s="18"/>
      <c r="QU47" s="19">
        <f t="shared" si="27"/>
        <v>136611</v>
      </c>
      <c r="QV47" s="46">
        <v>20</v>
      </c>
      <c r="QW47" s="19">
        <f t="shared" si="42"/>
        <v>2732220</v>
      </c>
      <c r="QX47" s="102">
        <f>+SUM(QW47:QW50)</f>
        <v>4098330</v>
      </c>
    </row>
    <row r="48" spans="1:466" x14ac:dyDescent="0.35">
      <c r="A48" s="100"/>
      <c r="B48" s="21" t="s">
        <v>41</v>
      </c>
      <c r="C48" s="18"/>
      <c r="D48" s="18"/>
      <c r="E48" s="18"/>
      <c r="F48" s="18"/>
      <c r="G48" s="18"/>
      <c r="H48" s="18"/>
      <c r="I48" s="18">
        <v>1370</v>
      </c>
      <c r="J48" s="18">
        <v>5479</v>
      </c>
      <c r="K48" s="18">
        <v>10959</v>
      </c>
      <c r="L48" s="18">
        <v>16438</v>
      </c>
      <c r="M48" s="18">
        <v>20548</v>
      </c>
      <c r="N48" s="18">
        <v>23288</v>
      </c>
      <c r="O48" s="18">
        <v>23288</v>
      </c>
      <c r="P48" s="18">
        <v>17808</v>
      </c>
      <c r="Q48" s="18">
        <v>10959</v>
      </c>
      <c r="R48" s="18">
        <v>5479</v>
      </c>
      <c r="S48" s="18">
        <v>1370</v>
      </c>
      <c r="T48" s="18"/>
      <c r="U48" s="18"/>
      <c r="V48" s="18"/>
      <c r="W48" s="18"/>
      <c r="X48" s="18"/>
      <c r="Y48" s="18"/>
      <c r="Z48" s="18"/>
      <c r="AA48" s="19">
        <f t="shared" si="0"/>
        <v>136986</v>
      </c>
      <c r="AB48" s="38">
        <v>4</v>
      </c>
      <c r="AC48" s="19">
        <f t="shared" si="1"/>
        <v>547944</v>
      </c>
      <c r="AD48" s="103"/>
      <c r="AF48" s="100"/>
      <c r="AG48" s="21" t="s">
        <v>41</v>
      </c>
      <c r="AH48" s="18"/>
      <c r="AI48" s="18"/>
      <c r="AJ48" s="18"/>
      <c r="AK48" s="18"/>
      <c r="AL48" s="18"/>
      <c r="AM48" s="18"/>
      <c r="AN48" s="18">
        <v>1370</v>
      </c>
      <c r="AO48" s="18">
        <v>5479</v>
      </c>
      <c r="AP48" s="18">
        <v>10959</v>
      </c>
      <c r="AQ48" s="18">
        <v>16438</v>
      </c>
      <c r="AR48" s="18">
        <v>20548</v>
      </c>
      <c r="AS48" s="18">
        <v>23288</v>
      </c>
      <c r="AT48" s="18">
        <v>23288</v>
      </c>
      <c r="AU48" s="18">
        <v>17808</v>
      </c>
      <c r="AV48" s="18">
        <v>10959</v>
      </c>
      <c r="AW48" s="18">
        <v>5479</v>
      </c>
      <c r="AX48" s="18">
        <v>1370</v>
      </c>
      <c r="AY48" s="18"/>
      <c r="AZ48" s="18"/>
      <c r="BA48" s="18"/>
      <c r="BB48" s="18"/>
      <c r="BC48" s="18"/>
      <c r="BD48" s="18"/>
      <c r="BE48" s="18"/>
      <c r="BF48" s="19">
        <f t="shared" si="2"/>
        <v>136986</v>
      </c>
      <c r="BG48" s="38">
        <v>4</v>
      </c>
      <c r="BH48" s="19">
        <f t="shared" si="29"/>
        <v>547944</v>
      </c>
      <c r="BI48" s="103"/>
      <c r="BK48" s="100"/>
      <c r="BL48" s="21" t="s">
        <v>41</v>
      </c>
      <c r="BM48" s="18"/>
      <c r="BN48" s="18"/>
      <c r="BO48" s="18"/>
      <c r="BP48" s="18"/>
      <c r="BQ48" s="18"/>
      <c r="BR48" s="18"/>
      <c r="BS48" s="18">
        <v>1366</v>
      </c>
      <c r="BT48" s="18">
        <v>5464</v>
      </c>
      <c r="BU48" s="18">
        <v>10929</v>
      </c>
      <c r="BV48" s="18">
        <v>16393</v>
      </c>
      <c r="BW48" s="18">
        <v>20492</v>
      </c>
      <c r="BX48" s="18">
        <v>23224</v>
      </c>
      <c r="BY48" s="18">
        <v>23224</v>
      </c>
      <c r="BZ48" s="18">
        <v>17760</v>
      </c>
      <c r="CA48" s="18">
        <v>10929</v>
      </c>
      <c r="CB48" s="18">
        <v>5464</v>
      </c>
      <c r="CC48" s="18">
        <v>1366</v>
      </c>
      <c r="CD48" s="18"/>
      <c r="CE48" s="18"/>
      <c r="CF48" s="18"/>
      <c r="CG48" s="18"/>
      <c r="CH48" s="18"/>
      <c r="CI48" s="18"/>
      <c r="CJ48" s="18"/>
      <c r="CK48" s="19">
        <f t="shared" si="4"/>
        <v>136611</v>
      </c>
      <c r="CL48" s="38">
        <v>4</v>
      </c>
      <c r="CM48" s="19">
        <f t="shared" si="30"/>
        <v>546444</v>
      </c>
      <c r="CN48" s="103"/>
      <c r="CP48" s="100"/>
      <c r="CQ48" s="21" t="s">
        <v>41</v>
      </c>
      <c r="CR48" s="18"/>
      <c r="CS48" s="18"/>
      <c r="CT48" s="18"/>
      <c r="CU48" s="18"/>
      <c r="CV48" s="18"/>
      <c r="CW48" s="18"/>
      <c r="CX48" s="18">
        <v>1370</v>
      </c>
      <c r="CY48" s="18">
        <v>5479</v>
      </c>
      <c r="CZ48" s="18">
        <v>10959</v>
      </c>
      <c r="DA48" s="18">
        <v>16438</v>
      </c>
      <c r="DB48" s="18">
        <v>20548</v>
      </c>
      <c r="DC48" s="18">
        <v>23288</v>
      </c>
      <c r="DD48" s="18">
        <v>23288</v>
      </c>
      <c r="DE48" s="18">
        <v>17808</v>
      </c>
      <c r="DF48" s="18">
        <v>10959</v>
      </c>
      <c r="DG48" s="18">
        <v>5479</v>
      </c>
      <c r="DH48" s="18">
        <v>1370</v>
      </c>
      <c r="DI48" s="18"/>
      <c r="DJ48" s="18"/>
      <c r="DK48" s="18"/>
      <c r="DL48" s="18"/>
      <c r="DM48" s="18"/>
      <c r="DN48" s="18"/>
      <c r="DO48" s="18"/>
      <c r="DP48" s="19">
        <f t="shared" si="6"/>
        <v>136986</v>
      </c>
      <c r="DQ48" s="38">
        <v>4</v>
      </c>
      <c r="DR48" s="19">
        <f t="shared" si="31"/>
        <v>547944</v>
      </c>
      <c r="DS48" s="103"/>
      <c r="DV48" s="100"/>
      <c r="DW48" s="21" t="s">
        <v>41</v>
      </c>
      <c r="DX48" s="18"/>
      <c r="DY48" s="18"/>
      <c r="DZ48" s="18"/>
      <c r="EA48" s="18"/>
      <c r="EB48" s="18"/>
      <c r="EC48" s="18"/>
      <c r="ED48" s="18">
        <v>1370</v>
      </c>
      <c r="EE48" s="18">
        <v>5479</v>
      </c>
      <c r="EF48" s="18">
        <v>10959</v>
      </c>
      <c r="EG48" s="18">
        <v>16438</v>
      </c>
      <c r="EH48" s="18">
        <v>20548</v>
      </c>
      <c r="EI48" s="18">
        <v>23288</v>
      </c>
      <c r="EJ48" s="18">
        <v>23288</v>
      </c>
      <c r="EK48" s="18">
        <v>17808</v>
      </c>
      <c r="EL48" s="18">
        <v>10959</v>
      </c>
      <c r="EM48" s="18">
        <v>5479</v>
      </c>
      <c r="EN48" s="18">
        <v>1370</v>
      </c>
      <c r="EO48" s="18"/>
      <c r="EP48" s="18"/>
      <c r="EQ48" s="18"/>
      <c r="ER48" s="18"/>
      <c r="ES48" s="18"/>
      <c r="ET48" s="18"/>
      <c r="EU48" s="18"/>
      <c r="EV48" s="19">
        <f t="shared" si="8"/>
        <v>136986</v>
      </c>
      <c r="EW48" s="38">
        <v>5</v>
      </c>
      <c r="EX48" s="19">
        <f t="shared" si="32"/>
        <v>684930</v>
      </c>
      <c r="EY48" s="103"/>
      <c r="FB48" s="100"/>
      <c r="FC48" s="21" t="s">
        <v>41</v>
      </c>
      <c r="FD48" s="18"/>
      <c r="FE48" s="18"/>
      <c r="FF48" s="18"/>
      <c r="FG48" s="18"/>
      <c r="FH48" s="18"/>
      <c r="FI48" s="18"/>
      <c r="FJ48" s="18">
        <v>1370</v>
      </c>
      <c r="FK48" s="18">
        <v>5479</v>
      </c>
      <c r="FL48" s="18">
        <v>10959</v>
      </c>
      <c r="FM48" s="18">
        <v>16438</v>
      </c>
      <c r="FN48" s="18">
        <v>20548</v>
      </c>
      <c r="FO48" s="18">
        <v>23288</v>
      </c>
      <c r="FP48" s="18">
        <v>23288</v>
      </c>
      <c r="FQ48" s="18">
        <v>17808</v>
      </c>
      <c r="FR48" s="18">
        <v>10959</v>
      </c>
      <c r="FS48" s="18">
        <v>5479</v>
      </c>
      <c r="FT48" s="18">
        <v>1370</v>
      </c>
      <c r="FU48" s="18"/>
      <c r="FV48" s="18"/>
      <c r="FW48" s="18"/>
      <c r="FX48" s="18"/>
      <c r="FY48" s="18"/>
      <c r="FZ48" s="18"/>
      <c r="GA48" s="18"/>
      <c r="GB48" s="19">
        <f t="shared" si="9"/>
        <v>136986</v>
      </c>
      <c r="GC48" s="38">
        <v>5</v>
      </c>
      <c r="GD48" s="19">
        <f t="shared" si="33"/>
        <v>684930</v>
      </c>
      <c r="GE48" s="103"/>
      <c r="GG48" s="100"/>
      <c r="GH48" s="21" t="s">
        <v>41</v>
      </c>
      <c r="GI48" s="18"/>
      <c r="GJ48" s="18"/>
      <c r="GK48" s="18"/>
      <c r="GL48" s="18"/>
      <c r="GM48" s="18"/>
      <c r="GN48" s="18"/>
      <c r="GO48" s="18">
        <v>1366</v>
      </c>
      <c r="GP48" s="18">
        <v>5464</v>
      </c>
      <c r="GQ48" s="18">
        <v>10929</v>
      </c>
      <c r="GR48" s="18">
        <v>16393</v>
      </c>
      <c r="GS48" s="18">
        <v>20492</v>
      </c>
      <c r="GT48" s="18">
        <v>23224</v>
      </c>
      <c r="GU48" s="18">
        <v>23224</v>
      </c>
      <c r="GV48" s="18">
        <v>17760</v>
      </c>
      <c r="GW48" s="18">
        <v>10929</v>
      </c>
      <c r="GX48" s="18">
        <v>5464</v>
      </c>
      <c r="GY48" s="18">
        <v>1366</v>
      </c>
      <c r="GZ48" s="18"/>
      <c r="HA48" s="18"/>
      <c r="HB48" s="18"/>
      <c r="HC48" s="18"/>
      <c r="HD48" s="18"/>
      <c r="HE48" s="18"/>
      <c r="HF48" s="18"/>
      <c r="HG48" s="19">
        <f t="shared" si="11"/>
        <v>136611</v>
      </c>
      <c r="HH48" s="38">
        <v>4</v>
      </c>
      <c r="HI48" s="19">
        <f t="shared" si="34"/>
        <v>546444</v>
      </c>
      <c r="HJ48" s="103"/>
      <c r="HL48" s="100"/>
      <c r="HM48" s="21" t="s">
        <v>41</v>
      </c>
      <c r="HN48" s="18"/>
      <c r="HO48" s="18"/>
      <c r="HP48" s="18"/>
      <c r="HQ48" s="18"/>
      <c r="HR48" s="18"/>
      <c r="HS48" s="18"/>
      <c r="HT48" s="18">
        <v>1370</v>
      </c>
      <c r="HU48" s="18">
        <v>5479</v>
      </c>
      <c r="HV48" s="18">
        <v>10959</v>
      </c>
      <c r="HW48" s="18">
        <v>16438</v>
      </c>
      <c r="HX48" s="18">
        <v>20548</v>
      </c>
      <c r="HY48" s="18">
        <v>23288</v>
      </c>
      <c r="HZ48" s="18">
        <v>23288</v>
      </c>
      <c r="IA48" s="18">
        <v>17808</v>
      </c>
      <c r="IB48" s="18">
        <v>10959</v>
      </c>
      <c r="IC48" s="18">
        <v>5479</v>
      </c>
      <c r="ID48" s="18">
        <v>1370</v>
      </c>
      <c r="IE48" s="18"/>
      <c r="IF48" s="18"/>
      <c r="IG48" s="18"/>
      <c r="IH48" s="18"/>
      <c r="II48" s="18"/>
      <c r="IJ48" s="18"/>
      <c r="IK48" s="18"/>
      <c r="IL48" s="19">
        <f t="shared" si="13"/>
        <v>136986</v>
      </c>
      <c r="IM48" s="38">
        <v>4</v>
      </c>
      <c r="IN48" s="19">
        <f t="shared" si="35"/>
        <v>547944</v>
      </c>
      <c r="IO48" s="103"/>
      <c r="IQ48" s="100"/>
      <c r="IR48" s="21" t="s">
        <v>41</v>
      </c>
      <c r="IS48" s="18"/>
      <c r="IT48" s="18"/>
      <c r="IU48" s="18"/>
      <c r="IV48" s="18"/>
      <c r="IW48" s="18"/>
      <c r="IX48" s="18"/>
      <c r="IY48" s="18">
        <v>1370</v>
      </c>
      <c r="IZ48" s="18">
        <v>5479</v>
      </c>
      <c r="JA48" s="18">
        <v>10959</v>
      </c>
      <c r="JB48" s="18">
        <v>16438</v>
      </c>
      <c r="JC48" s="18">
        <v>20548</v>
      </c>
      <c r="JD48" s="18">
        <v>23288</v>
      </c>
      <c r="JE48" s="18">
        <v>23288</v>
      </c>
      <c r="JF48" s="18">
        <v>17808</v>
      </c>
      <c r="JG48" s="18">
        <v>10959</v>
      </c>
      <c r="JH48" s="18">
        <v>5479</v>
      </c>
      <c r="JI48" s="18">
        <v>1370</v>
      </c>
      <c r="JJ48" s="18"/>
      <c r="JK48" s="18"/>
      <c r="JL48" s="18"/>
      <c r="JM48" s="18"/>
      <c r="JN48" s="18"/>
      <c r="JO48" s="18"/>
      <c r="JP48" s="18"/>
      <c r="JQ48" s="19">
        <f t="shared" si="15"/>
        <v>136986</v>
      </c>
      <c r="JR48" s="38">
        <v>4</v>
      </c>
      <c r="JS48" s="19">
        <f t="shared" si="36"/>
        <v>547944</v>
      </c>
      <c r="JT48" s="103"/>
      <c r="JV48" s="100"/>
      <c r="JW48" s="21" t="s">
        <v>41</v>
      </c>
      <c r="JX48" s="18"/>
      <c r="JY48" s="18"/>
      <c r="JZ48" s="18"/>
      <c r="KA48" s="18"/>
      <c r="KB48" s="18"/>
      <c r="KC48" s="18"/>
      <c r="KD48" s="18"/>
      <c r="KE48" s="18">
        <v>1370</v>
      </c>
      <c r="KF48" s="18">
        <v>5479</v>
      </c>
      <c r="KG48" s="18">
        <v>10959</v>
      </c>
      <c r="KH48" s="18">
        <v>16438</v>
      </c>
      <c r="KI48" s="18">
        <v>20548</v>
      </c>
      <c r="KJ48" s="18">
        <v>23288</v>
      </c>
      <c r="KK48" s="18">
        <v>23288</v>
      </c>
      <c r="KL48" s="18">
        <v>17808</v>
      </c>
      <c r="KM48" s="18">
        <v>10959</v>
      </c>
      <c r="KN48" s="18">
        <v>5479</v>
      </c>
      <c r="KO48" s="18">
        <v>1370</v>
      </c>
      <c r="KP48" s="18"/>
      <c r="KQ48" s="18"/>
      <c r="KR48" s="18"/>
      <c r="KS48" s="18"/>
      <c r="KT48" s="18"/>
      <c r="KU48" s="18"/>
      <c r="KV48" s="19">
        <f t="shared" si="17"/>
        <v>136986</v>
      </c>
      <c r="KW48" s="38">
        <v>4</v>
      </c>
      <c r="KX48" s="19">
        <f t="shared" si="37"/>
        <v>547944</v>
      </c>
      <c r="KY48" s="103"/>
      <c r="LA48" s="100"/>
      <c r="LB48" s="21" t="s">
        <v>41</v>
      </c>
      <c r="LC48" s="18"/>
      <c r="LD48" s="18"/>
      <c r="LE48" s="18"/>
      <c r="LF48" s="18"/>
      <c r="LG48" s="18"/>
      <c r="LH48" s="18"/>
      <c r="LI48" s="18">
        <v>1366</v>
      </c>
      <c r="LJ48" s="18">
        <v>5464</v>
      </c>
      <c r="LK48" s="18">
        <v>10929</v>
      </c>
      <c r="LL48" s="18">
        <v>16393</v>
      </c>
      <c r="LM48" s="18">
        <v>20492</v>
      </c>
      <c r="LN48" s="18">
        <v>23224</v>
      </c>
      <c r="LO48" s="18">
        <v>23224</v>
      </c>
      <c r="LP48" s="18">
        <v>17760</v>
      </c>
      <c r="LQ48" s="18">
        <v>10929</v>
      </c>
      <c r="LR48" s="18">
        <v>5464</v>
      </c>
      <c r="LS48" s="18">
        <v>1366</v>
      </c>
      <c r="LT48" s="18"/>
      <c r="LU48" s="18"/>
      <c r="LV48" s="18"/>
      <c r="LW48" s="18"/>
      <c r="LX48" s="18"/>
      <c r="LY48" s="18"/>
      <c r="LZ48" s="18"/>
      <c r="MA48" s="19">
        <f t="shared" si="19"/>
        <v>136611</v>
      </c>
      <c r="MB48" s="38">
        <v>5</v>
      </c>
      <c r="MC48" s="19">
        <f t="shared" si="38"/>
        <v>683055</v>
      </c>
      <c r="MD48" s="103"/>
      <c r="MF48" s="100"/>
      <c r="MG48" s="21" t="s">
        <v>41</v>
      </c>
      <c r="MH48" s="18"/>
      <c r="MI48" s="18"/>
      <c r="MJ48" s="18"/>
      <c r="MK48" s="18"/>
      <c r="ML48" s="18"/>
      <c r="MM48" s="18"/>
      <c r="MN48" s="18">
        <v>1370</v>
      </c>
      <c r="MO48" s="18">
        <v>5479</v>
      </c>
      <c r="MP48" s="18">
        <v>10959</v>
      </c>
      <c r="MQ48" s="18">
        <v>16438</v>
      </c>
      <c r="MR48" s="18">
        <v>20548</v>
      </c>
      <c r="MS48" s="18">
        <v>23288</v>
      </c>
      <c r="MT48" s="18">
        <v>23288</v>
      </c>
      <c r="MU48" s="18">
        <v>17808</v>
      </c>
      <c r="MV48" s="18">
        <v>10959</v>
      </c>
      <c r="MW48" s="18">
        <v>5479</v>
      </c>
      <c r="MX48" s="18">
        <v>1370</v>
      </c>
      <c r="MY48" s="18"/>
      <c r="MZ48" s="18"/>
      <c r="NA48" s="18"/>
      <c r="NB48" s="18"/>
      <c r="NC48" s="18"/>
      <c r="ND48" s="18"/>
      <c r="NE48" s="18"/>
      <c r="NF48" s="19">
        <f t="shared" si="21"/>
        <v>136986</v>
      </c>
      <c r="NG48" s="38">
        <v>4</v>
      </c>
      <c r="NH48" s="19">
        <f t="shared" si="39"/>
        <v>547944</v>
      </c>
      <c r="NI48" s="103"/>
      <c r="NK48" s="100"/>
      <c r="NL48" s="21" t="s">
        <v>41</v>
      </c>
      <c r="NM48" s="18"/>
      <c r="NN48" s="18"/>
      <c r="NO48" s="18"/>
      <c r="NP48" s="18"/>
      <c r="NQ48" s="18"/>
      <c r="NR48" s="18"/>
      <c r="NS48" s="18">
        <v>1370</v>
      </c>
      <c r="NT48" s="18">
        <v>5479</v>
      </c>
      <c r="NU48" s="18">
        <v>10959</v>
      </c>
      <c r="NV48" s="18">
        <v>16438</v>
      </c>
      <c r="NW48" s="18">
        <v>20548</v>
      </c>
      <c r="NX48" s="18">
        <v>23288</v>
      </c>
      <c r="NY48" s="18">
        <v>23288</v>
      </c>
      <c r="NZ48" s="18">
        <v>17808</v>
      </c>
      <c r="OA48" s="18">
        <v>10959</v>
      </c>
      <c r="OB48" s="18">
        <v>5479</v>
      </c>
      <c r="OC48" s="18">
        <v>1370</v>
      </c>
      <c r="OD48" s="18"/>
      <c r="OE48" s="18"/>
      <c r="OF48" s="18"/>
      <c r="OG48" s="18"/>
      <c r="OH48" s="18"/>
      <c r="OI48" s="18"/>
      <c r="OJ48" s="18"/>
      <c r="OK48" s="19">
        <f t="shared" si="23"/>
        <v>136986</v>
      </c>
      <c r="OL48" s="38">
        <v>4</v>
      </c>
      <c r="OM48" s="19">
        <f t="shared" si="40"/>
        <v>547944</v>
      </c>
      <c r="ON48" s="103"/>
      <c r="OP48" s="100"/>
      <c r="OQ48" s="21" t="s">
        <v>41</v>
      </c>
      <c r="OR48" s="18"/>
      <c r="OS48" s="18"/>
      <c r="OT48" s="18"/>
      <c r="OU48" s="18"/>
      <c r="OV48" s="18"/>
      <c r="OW48" s="18"/>
      <c r="OX48" s="18">
        <v>1370</v>
      </c>
      <c r="OY48" s="18">
        <v>5479</v>
      </c>
      <c r="OZ48" s="18">
        <v>10959</v>
      </c>
      <c r="PA48" s="18">
        <v>16438</v>
      </c>
      <c r="PB48" s="18">
        <v>20548</v>
      </c>
      <c r="PC48" s="18">
        <v>23288</v>
      </c>
      <c r="PD48" s="18">
        <v>23288</v>
      </c>
      <c r="PE48" s="18">
        <v>17808</v>
      </c>
      <c r="PF48" s="18">
        <v>10959</v>
      </c>
      <c r="PG48" s="18">
        <v>5479</v>
      </c>
      <c r="PH48" s="18">
        <v>1370</v>
      </c>
      <c r="PI48" s="18"/>
      <c r="PJ48" s="18"/>
      <c r="PK48" s="18"/>
      <c r="PL48" s="18"/>
      <c r="PM48" s="18"/>
      <c r="PN48" s="18"/>
      <c r="PO48" s="18"/>
      <c r="PP48" s="19">
        <f t="shared" si="25"/>
        <v>136986</v>
      </c>
      <c r="PQ48" s="38">
        <v>4</v>
      </c>
      <c r="PR48" s="19">
        <f t="shared" si="41"/>
        <v>547944</v>
      </c>
      <c r="PS48" s="103"/>
      <c r="PU48" s="100"/>
      <c r="PV48" s="21" t="s">
        <v>41</v>
      </c>
      <c r="PW48" s="18"/>
      <c r="PX48" s="18"/>
      <c r="PY48" s="18"/>
      <c r="PZ48" s="18"/>
      <c r="QA48" s="18"/>
      <c r="QB48" s="18"/>
      <c r="QC48" s="18">
        <v>1366</v>
      </c>
      <c r="QD48" s="18">
        <v>5464</v>
      </c>
      <c r="QE48" s="18">
        <v>10929</v>
      </c>
      <c r="QF48" s="18">
        <v>16393</v>
      </c>
      <c r="QG48" s="18">
        <v>20492</v>
      </c>
      <c r="QH48" s="18">
        <v>23224</v>
      </c>
      <c r="QI48" s="18">
        <v>23224</v>
      </c>
      <c r="QJ48" s="18">
        <v>17760</v>
      </c>
      <c r="QK48" s="18">
        <v>10929</v>
      </c>
      <c r="QL48" s="18">
        <v>5464</v>
      </c>
      <c r="QM48" s="18">
        <v>1366</v>
      </c>
      <c r="QN48" s="18"/>
      <c r="QO48" s="18"/>
      <c r="QP48" s="18"/>
      <c r="QQ48" s="18"/>
      <c r="QR48" s="18"/>
      <c r="QS48" s="18"/>
      <c r="QT48" s="18"/>
      <c r="QU48" s="19">
        <f t="shared" si="27"/>
        <v>136611</v>
      </c>
      <c r="QV48" s="45">
        <v>4</v>
      </c>
      <c r="QW48" s="19">
        <f t="shared" si="42"/>
        <v>546444</v>
      </c>
      <c r="QX48" s="103"/>
    </row>
    <row r="49" spans="1:466" x14ac:dyDescent="0.35">
      <c r="A49" s="100"/>
      <c r="B49" s="21" t="s">
        <v>42</v>
      </c>
      <c r="C49" s="18"/>
      <c r="D49" s="18"/>
      <c r="E49" s="18"/>
      <c r="F49" s="18"/>
      <c r="G49" s="18"/>
      <c r="H49" s="18"/>
      <c r="I49" s="18">
        <v>1370</v>
      </c>
      <c r="J49" s="18">
        <v>5479</v>
      </c>
      <c r="K49" s="18">
        <v>10959</v>
      </c>
      <c r="L49" s="18">
        <v>16438</v>
      </c>
      <c r="M49" s="18">
        <v>20548</v>
      </c>
      <c r="N49" s="18">
        <v>23288</v>
      </c>
      <c r="O49" s="18">
        <v>23288</v>
      </c>
      <c r="P49" s="18">
        <v>17808</v>
      </c>
      <c r="Q49" s="18">
        <v>10959</v>
      </c>
      <c r="R49" s="18">
        <v>5479</v>
      </c>
      <c r="S49" s="18">
        <v>1370</v>
      </c>
      <c r="T49" s="18"/>
      <c r="U49" s="18"/>
      <c r="V49" s="18"/>
      <c r="W49" s="18"/>
      <c r="X49" s="18"/>
      <c r="Y49" s="18"/>
      <c r="Z49" s="18"/>
      <c r="AA49" s="19">
        <f t="shared" si="0"/>
        <v>136986</v>
      </c>
      <c r="AB49" s="38">
        <v>5</v>
      </c>
      <c r="AC49" s="19">
        <f t="shared" si="1"/>
        <v>684930</v>
      </c>
      <c r="AD49" s="103"/>
      <c r="AF49" s="100"/>
      <c r="AG49" s="21" t="s">
        <v>42</v>
      </c>
      <c r="AH49" s="18"/>
      <c r="AI49" s="18"/>
      <c r="AJ49" s="18"/>
      <c r="AK49" s="18"/>
      <c r="AL49" s="18"/>
      <c r="AM49" s="18"/>
      <c r="AN49" s="18">
        <v>1370</v>
      </c>
      <c r="AO49" s="18">
        <v>5479</v>
      </c>
      <c r="AP49" s="18">
        <v>10959</v>
      </c>
      <c r="AQ49" s="18">
        <v>16438</v>
      </c>
      <c r="AR49" s="18">
        <v>20548</v>
      </c>
      <c r="AS49" s="18">
        <v>23288</v>
      </c>
      <c r="AT49" s="18">
        <v>23288</v>
      </c>
      <c r="AU49" s="18">
        <v>17808</v>
      </c>
      <c r="AV49" s="18">
        <v>10959</v>
      </c>
      <c r="AW49" s="18">
        <v>5479</v>
      </c>
      <c r="AX49" s="18">
        <v>1370</v>
      </c>
      <c r="AY49" s="18"/>
      <c r="AZ49" s="18"/>
      <c r="BA49" s="18"/>
      <c r="BB49" s="18"/>
      <c r="BC49" s="18"/>
      <c r="BD49" s="18"/>
      <c r="BE49" s="18"/>
      <c r="BF49" s="19">
        <f t="shared" si="2"/>
        <v>136986</v>
      </c>
      <c r="BG49" s="38">
        <v>4</v>
      </c>
      <c r="BH49" s="19">
        <f t="shared" si="29"/>
        <v>547944</v>
      </c>
      <c r="BI49" s="103"/>
      <c r="BK49" s="100"/>
      <c r="BL49" s="21" t="s">
        <v>42</v>
      </c>
      <c r="BM49" s="18"/>
      <c r="BN49" s="18"/>
      <c r="BO49" s="18"/>
      <c r="BP49" s="18"/>
      <c r="BQ49" s="18"/>
      <c r="BR49" s="18"/>
      <c r="BS49" s="18">
        <v>1366</v>
      </c>
      <c r="BT49" s="18">
        <v>5464</v>
      </c>
      <c r="BU49" s="18">
        <v>10929</v>
      </c>
      <c r="BV49" s="18">
        <v>16393</v>
      </c>
      <c r="BW49" s="18">
        <v>20492</v>
      </c>
      <c r="BX49" s="18">
        <v>23224</v>
      </c>
      <c r="BY49" s="18">
        <v>23224</v>
      </c>
      <c r="BZ49" s="18">
        <v>17760</v>
      </c>
      <c r="CA49" s="18">
        <v>10929</v>
      </c>
      <c r="CB49" s="18">
        <v>5464</v>
      </c>
      <c r="CC49" s="18">
        <v>1366</v>
      </c>
      <c r="CD49" s="18"/>
      <c r="CE49" s="18"/>
      <c r="CF49" s="18"/>
      <c r="CG49" s="18"/>
      <c r="CH49" s="18"/>
      <c r="CI49" s="18"/>
      <c r="CJ49" s="18"/>
      <c r="CK49" s="19">
        <f t="shared" si="4"/>
        <v>136611</v>
      </c>
      <c r="CL49" s="38">
        <v>4</v>
      </c>
      <c r="CM49" s="19">
        <f t="shared" si="30"/>
        <v>546444</v>
      </c>
      <c r="CN49" s="103"/>
      <c r="CP49" s="100"/>
      <c r="CQ49" s="21" t="s">
        <v>42</v>
      </c>
      <c r="CR49" s="18"/>
      <c r="CS49" s="18"/>
      <c r="CT49" s="18"/>
      <c r="CU49" s="18"/>
      <c r="CV49" s="18"/>
      <c r="CW49" s="18"/>
      <c r="CX49" s="18">
        <v>1370</v>
      </c>
      <c r="CY49" s="18">
        <v>5479</v>
      </c>
      <c r="CZ49" s="18">
        <v>10959</v>
      </c>
      <c r="DA49" s="18">
        <v>16438</v>
      </c>
      <c r="DB49" s="18">
        <v>20548</v>
      </c>
      <c r="DC49" s="18">
        <v>23288</v>
      </c>
      <c r="DD49" s="18">
        <v>23288</v>
      </c>
      <c r="DE49" s="18">
        <v>17808</v>
      </c>
      <c r="DF49" s="18">
        <v>10959</v>
      </c>
      <c r="DG49" s="18">
        <v>5479</v>
      </c>
      <c r="DH49" s="18">
        <v>1370</v>
      </c>
      <c r="DI49" s="18"/>
      <c r="DJ49" s="18"/>
      <c r="DK49" s="18"/>
      <c r="DL49" s="18"/>
      <c r="DM49" s="18"/>
      <c r="DN49" s="18"/>
      <c r="DO49" s="18"/>
      <c r="DP49" s="19">
        <f t="shared" si="6"/>
        <v>136986</v>
      </c>
      <c r="DQ49" s="38">
        <v>4</v>
      </c>
      <c r="DR49" s="19">
        <f t="shared" si="31"/>
        <v>547944</v>
      </c>
      <c r="DS49" s="103"/>
      <c r="DV49" s="100"/>
      <c r="DW49" s="21" t="s">
        <v>42</v>
      </c>
      <c r="DX49" s="18"/>
      <c r="DY49" s="18"/>
      <c r="DZ49" s="18"/>
      <c r="EA49" s="18"/>
      <c r="EB49" s="18"/>
      <c r="EC49" s="18"/>
      <c r="ED49" s="18">
        <v>1370</v>
      </c>
      <c r="EE49" s="18">
        <v>5479</v>
      </c>
      <c r="EF49" s="18">
        <v>10959</v>
      </c>
      <c r="EG49" s="18">
        <v>16438</v>
      </c>
      <c r="EH49" s="18">
        <v>20548</v>
      </c>
      <c r="EI49" s="18">
        <v>23288</v>
      </c>
      <c r="EJ49" s="18">
        <v>23288</v>
      </c>
      <c r="EK49" s="18">
        <v>17808</v>
      </c>
      <c r="EL49" s="18">
        <v>10959</v>
      </c>
      <c r="EM49" s="18">
        <v>5479</v>
      </c>
      <c r="EN49" s="18">
        <v>1370</v>
      </c>
      <c r="EO49" s="18"/>
      <c r="EP49" s="18"/>
      <c r="EQ49" s="18"/>
      <c r="ER49" s="18"/>
      <c r="ES49" s="18"/>
      <c r="ET49" s="18"/>
      <c r="EU49" s="18"/>
      <c r="EV49" s="19">
        <f t="shared" si="8"/>
        <v>136986</v>
      </c>
      <c r="EW49" s="38">
        <v>4</v>
      </c>
      <c r="EX49" s="19">
        <f t="shared" si="32"/>
        <v>547944</v>
      </c>
      <c r="EY49" s="103"/>
      <c r="FB49" s="100"/>
      <c r="FC49" s="21" t="s">
        <v>42</v>
      </c>
      <c r="FD49" s="18"/>
      <c r="FE49" s="18"/>
      <c r="FF49" s="18"/>
      <c r="FG49" s="18"/>
      <c r="FH49" s="18"/>
      <c r="FI49" s="18"/>
      <c r="FJ49" s="18">
        <v>1370</v>
      </c>
      <c r="FK49" s="18">
        <v>5479</v>
      </c>
      <c r="FL49" s="18">
        <v>10959</v>
      </c>
      <c r="FM49" s="18">
        <v>16438</v>
      </c>
      <c r="FN49" s="18">
        <v>20548</v>
      </c>
      <c r="FO49" s="18">
        <v>23288</v>
      </c>
      <c r="FP49" s="18">
        <v>23288</v>
      </c>
      <c r="FQ49" s="18">
        <v>17808</v>
      </c>
      <c r="FR49" s="18">
        <v>10959</v>
      </c>
      <c r="FS49" s="18">
        <v>5479</v>
      </c>
      <c r="FT49" s="18">
        <v>1370</v>
      </c>
      <c r="FU49" s="18"/>
      <c r="FV49" s="18"/>
      <c r="FW49" s="18"/>
      <c r="FX49" s="18"/>
      <c r="FY49" s="18"/>
      <c r="FZ49" s="18"/>
      <c r="GA49" s="18"/>
      <c r="GB49" s="19">
        <f t="shared" si="9"/>
        <v>136986</v>
      </c>
      <c r="GC49" s="38">
        <v>5</v>
      </c>
      <c r="GD49" s="19">
        <f t="shared" si="33"/>
        <v>684930</v>
      </c>
      <c r="GE49" s="103"/>
      <c r="GG49" s="100"/>
      <c r="GH49" s="21" t="s">
        <v>42</v>
      </c>
      <c r="GI49" s="18"/>
      <c r="GJ49" s="18"/>
      <c r="GK49" s="18"/>
      <c r="GL49" s="18"/>
      <c r="GM49" s="18"/>
      <c r="GN49" s="18"/>
      <c r="GO49" s="18">
        <v>1366</v>
      </c>
      <c r="GP49" s="18">
        <v>5464</v>
      </c>
      <c r="GQ49" s="18">
        <v>10929</v>
      </c>
      <c r="GR49" s="18">
        <v>16393</v>
      </c>
      <c r="GS49" s="18">
        <v>20492</v>
      </c>
      <c r="GT49" s="18">
        <v>23224</v>
      </c>
      <c r="GU49" s="18">
        <v>23224</v>
      </c>
      <c r="GV49" s="18">
        <v>17760</v>
      </c>
      <c r="GW49" s="18">
        <v>10929</v>
      </c>
      <c r="GX49" s="18">
        <v>5464</v>
      </c>
      <c r="GY49" s="18">
        <v>1366</v>
      </c>
      <c r="GZ49" s="18"/>
      <c r="HA49" s="18"/>
      <c r="HB49" s="18"/>
      <c r="HC49" s="18"/>
      <c r="HD49" s="18"/>
      <c r="HE49" s="18"/>
      <c r="HF49" s="18"/>
      <c r="HG49" s="19">
        <f t="shared" si="11"/>
        <v>136611</v>
      </c>
      <c r="HH49" s="38">
        <v>4</v>
      </c>
      <c r="HI49" s="19">
        <f t="shared" si="34"/>
        <v>546444</v>
      </c>
      <c r="HJ49" s="103"/>
      <c r="HL49" s="100"/>
      <c r="HM49" s="21" t="s">
        <v>42</v>
      </c>
      <c r="HN49" s="18"/>
      <c r="HO49" s="18"/>
      <c r="HP49" s="18"/>
      <c r="HQ49" s="18"/>
      <c r="HR49" s="18"/>
      <c r="HS49" s="18"/>
      <c r="HT49" s="18">
        <v>1370</v>
      </c>
      <c r="HU49" s="18">
        <v>5479</v>
      </c>
      <c r="HV49" s="18">
        <v>10959</v>
      </c>
      <c r="HW49" s="18">
        <v>16438</v>
      </c>
      <c r="HX49" s="18">
        <v>20548</v>
      </c>
      <c r="HY49" s="18">
        <v>23288</v>
      </c>
      <c r="HZ49" s="18">
        <v>23288</v>
      </c>
      <c r="IA49" s="18">
        <v>17808</v>
      </c>
      <c r="IB49" s="18">
        <v>10959</v>
      </c>
      <c r="IC49" s="18">
        <v>5479</v>
      </c>
      <c r="ID49" s="18">
        <v>1370</v>
      </c>
      <c r="IE49" s="18"/>
      <c r="IF49" s="18"/>
      <c r="IG49" s="18"/>
      <c r="IH49" s="18"/>
      <c r="II49" s="18"/>
      <c r="IJ49" s="18"/>
      <c r="IK49" s="18"/>
      <c r="IL49" s="19">
        <f t="shared" si="13"/>
        <v>136986</v>
      </c>
      <c r="IM49" s="38">
        <v>4</v>
      </c>
      <c r="IN49" s="19">
        <f t="shared" si="35"/>
        <v>547944</v>
      </c>
      <c r="IO49" s="103"/>
      <c r="IQ49" s="100"/>
      <c r="IR49" s="21" t="s">
        <v>42</v>
      </c>
      <c r="IS49" s="18"/>
      <c r="IT49" s="18"/>
      <c r="IU49" s="18"/>
      <c r="IV49" s="18"/>
      <c r="IW49" s="18"/>
      <c r="IX49" s="18"/>
      <c r="IY49" s="18">
        <v>1370</v>
      </c>
      <c r="IZ49" s="18">
        <v>5479</v>
      </c>
      <c r="JA49" s="18">
        <v>10959</v>
      </c>
      <c r="JB49" s="18">
        <v>16438</v>
      </c>
      <c r="JC49" s="18">
        <v>20548</v>
      </c>
      <c r="JD49" s="18">
        <v>23288</v>
      </c>
      <c r="JE49" s="18">
        <v>23288</v>
      </c>
      <c r="JF49" s="18">
        <v>17808</v>
      </c>
      <c r="JG49" s="18">
        <v>10959</v>
      </c>
      <c r="JH49" s="18">
        <v>5479</v>
      </c>
      <c r="JI49" s="18">
        <v>1370</v>
      </c>
      <c r="JJ49" s="18"/>
      <c r="JK49" s="18"/>
      <c r="JL49" s="18"/>
      <c r="JM49" s="18"/>
      <c r="JN49" s="18"/>
      <c r="JO49" s="18"/>
      <c r="JP49" s="18"/>
      <c r="JQ49" s="19">
        <f t="shared" si="15"/>
        <v>136986</v>
      </c>
      <c r="JR49" s="38">
        <v>4</v>
      </c>
      <c r="JS49" s="19">
        <f t="shared" si="36"/>
        <v>547944</v>
      </c>
      <c r="JT49" s="103"/>
      <c r="JV49" s="100"/>
      <c r="JW49" s="21" t="s">
        <v>42</v>
      </c>
      <c r="JX49" s="18"/>
      <c r="JY49" s="18"/>
      <c r="JZ49" s="18"/>
      <c r="KA49" s="18"/>
      <c r="KB49" s="18"/>
      <c r="KC49" s="18"/>
      <c r="KD49" s="18"/>
      <c r="KE49" s="18">
        <v>1370</v>
      </c>
      <c r="KF49" s="18">
        <v>5479</v>
      </c>
      <c r="KG49" s="18">
        <v>10959</v>
      </c>
      <c r="KH49" s="18">
        <v>16438</v>
      </c>
      <c r="KI49" s="18">
        <v>20548</v>
      </c>
      <c r="KJ49" s="18">
        <v>23288</v>
      </c>
      <c r="KK49" s="18">
        <v>23288</v>
      </c>
      <c r="KL49" s="18">
        <v>17808</v>
      </c>
      <c r="KM49" s="18">
        <v>10959</v>
      </c>
      <c r="KN49" s="18">
        <v>5479</v>
      </c>
      <c r="KO49" s="18">
        <v>1370</v>
      </c>
      <c r="KP49" s="18"/>
      <c r="KQ49" s="18"/>
      <c r="KR49" s="18"/>
      <c r="KS49" s="18"/>
      <c r="KT49" s="18"/>
      <c r="KU49" s="18"/>
      <c r="KV49" s="19">
        <f t="shared" si="17"/>
        <v>136986</v>
      </c>
      <c r="KW49" s="38">
        <v>4</v>
      </c>
      <c r="KX49" s="19">
        <f t="shared" si="37"/>
        <v>547944</v>
      </c>
      <c r="KY49" s="103"/>
      <c r="LA49" s="100"/>
      <c r="LB49" s="21" t="s">
        <v>42</v>
      </c>
      <c r="LC49" s="18"/>
      <c r="LD49" s="18"/>
      <c r="LE49" s="18"/>
      <c r="LF49" s="18"/>
      <c r="LG49" s="18"/>
      <c r="LH49" s="18"/>
      <c r="LI49" s="18">
        <v>1366</v>
      </c>
      <c r="LJ49" s="18">
        <v>5464</v>
      </c>
      <c r="LK49" s="18">
        <v>10929</v>
      </c>
      <c r="LL49" s="18">
        <v>16393</v>
      </c>
      <c r="LM49" s="18">
        <v>20492</v>
      </c>
      <c r="LN49" s="18">
        <v>23224</v>
      </c>
      <c r="LO49" s="18">
        <v>23224</v>
      </c>
      <c r="LP49" s="18">
        <v>17760</v>
      </c>
      <c r="LQ49" s="18">
        <v>10929</v>
      </c>
      <c r="LR49" s="18">
        <v>5464</v>
      </c>
      <c r="LS49" s="18">
        <v>1366</v>
      </c>
      <c r="LT49" s="18"/>
      <c r="LU49" s="18"/>
      <c r="LV49" s="18"/>
      <c r="LW49" s="18"/>
      <c r="LX49" s="18"/>
      <c r="LY49" s="18"/>
      <c r="LZ49" s="18"/>
      <c r="MA49" s="19">
        <f t="shared" si="19"/>
        <v>136611</v>
      </c>
      <c r="MB49" s="38">
        <v>5</v>
      </c>
      <c r="MC49" s="19">
        <f t="shared" si="38"/>
        <v>683055</v>
      </c>
      <c r="MD49" s="103"/>
      <c r="MF49" s="100"/>
      <c r="MG49" s="21" t="s">
        <v>42</v>
      </c>
      <c r="MH49" s="18"/>
      <c r="MI49" s="18"/>
      <c r="MJ49" s="18"/>
      <c r="MK49" s="18"/>
      <c r="ML49" s="18"/>
      <c r="MM49" s="18"/>
      <c r="MN49" s="18">
        <v>1370</v>
      </c>
      <c r="MO49" s="18">
        <v>5479</v>
      </c>
      <c r="MP49" s="18">
        <v>10959</v>
      </c>
      <c r="MQ49" s="18">
        <v>16438</v>
      </c>
      <c r="MR49" s="18">
        <v>20548</v>
      </c>
      <c r="MS49" s="18">
        <v>23288</v>
      </c>
      <c r="MT49" s="18">
        <v>23288</v>
      </c>
      <c r="MU49" s="18">
        <v>17808</v>
      </c>
      <c r="MV49" s="18">
        <v>10959</v>
      </c>
      <c r="MW49" s="18">
        <v>5479</v>
      </c>
      <c r="MX49" s="18">
        <v>1370</v>
      </c>
      <c r="MY49" s="18"/>
      <c r="MZ49" s="18"/>
      <c r="NA49" s="18"/>
      <c r="NB49" s="18"/>
      <c r="NC49" s="18"/>
      <c r="ND49" s="18"/>
      <c r="NE49" s="18"/>
      <c r="NF49" s="19">
        <f t="shared" si="21"/>
        <v>136986</v>
      </c>
      <c r="NG49" s="38">
        <v>5</v>
      </c>
      <c r="NH49" s="19">
        <f t="shared" si="39"/>
        <v>684930</v>
      </c>
      <c r="NI49" s="103"/>
      <c r="NK49" s="100"/>
      <c r="NL49" s="21" t="s">
        <v>42</v>
      </c>
      <c r="NM49" s="18"/>
      <c r="NN49" s="18"/>
      <c r="NO49" s="18"/>
      <c r="NP49" s="18"/>
      <c r="NQ49" s="18"/>
      <c r="NR49" s="18"/>
      <c r="NS49" s="18">
        <v>1370</v>
      </c>
      <c r="NT49" s="18">
        <v>5479</v>
      </c>
      <c r="NU49" s="18">
        <v>10959</v>
      </c>
      <c r="NV49" s="18">
        <v>16438</v>
      </c>
      <c r="NW49" s="18">
        <v>20548</v>
      </c>
      <c r="NX49" s="18">
        <v>23288</v>
      </c>
      <c r="NY49" s="18">
        <v>23288</v>
      </c>
      <c r="NZ49" s="18">
        <v>17808</v>
      </c>
      <c r="OA49" s="18">
        <v>10959</v>
      </c>
      <c r="OB49" s="18">
        <v>5479</v>
      </c>
      <c r="OC49" s="18">
        <v>1370</v>
      </c>
      <c r="OD49" s="18"/>
      <c r="OE49" s="18"/>
      <c r="OF49" s="18"/>
      <c r="OG49" s="18"/>
      <c r="OH49" s="18"/>
      <c r="OI49" s="18"/>
      <c r="OJ49" s="18"/>
      <c r="OK49" s="19">
        <f t="shared" si="23"/>
        <v>136986</v>
      </c>
      <c r="OL49" s="38">
        <v>4</v>
      </c>
      <c r="OM49" s="19">
        <f t="shared" si="40"/>
        <v>547944</v>
      </c>
      <c r="ON49" s="103"/>
      <c r="OP49" s="100"/>
      <c r="OQ49" s="21" t="s">
        <v>42</v>
      </c>
      <c r="OR49" s="18"/>
      <c r="OS49" s="18"/>
      <c r="OT49" s="18"/>
      <c r="OU49" s="18"/>
      <c r="OV49" s="18"/>
      <c r="OW49" s="18"/>
      <c r="OX49" s="18">
        <v>1370</v>
      </c>
      <c r="OY49" s="18">
        <v>5479</v>
      </c>
      <c r="OZ49" s="18">
        <v>10959</v>
      </c>
      <c r="PA49" s="18">
        <v>16438</v>
      </c>
      <c r="PB49" s="18">
        <v>20548</v>
      </c>
      <c r="PC49" s="18">
        <v>23288</v>
      </c>
      <c r="PD49" s="18">
        <v>23288</v>
      </c>
      <c r="PE49" s="18">
        <v>17808</v>
      </c>
      <c r="PF49" s="18">
        <v>10959</v>
      </c>
      <c r="PG49" s="18">
        <v>5479</v>
      </c>
      <c r="PH49" s="18">
        <v>1370</v>
      </c>
      <c r="PI49" s="18"/>
      <c r="PJ49" s="18"/>
      <c r="PK49" s="18"/>
      <c r="PL49" s="18"/>
      <c r="PM49" s="18"/>
      <c r="PN49" s="18"/>
      <c r="PO49" s="18"/>
      <c r="PP49" s="19">
        <f t="shared" si="25"/>
        <v>136986</v>
      </c>
      <c r="PQ49" s="38">
        <v>4</v>
      </c>
      <c r="PR49" s="19">
        <f t="shared" si="41"/>
        <v>547944</v>
      </c>
      <c r="PS49" s="103"/>
      <c r="PU49" s="100"/>
      <c r="PV49" s="21" t="s">
        <v>42</v>
      </c>
      <c r="PW49" s="18"/>
      <c r="PX49" s="18"/>
      <c r="PY49" s="18"/>
      <c r="PZ49" s="18"/>
      <c r="QA49" s="18"/>
      <c r="QB49" s="18"/>
      <c r="QC49" s="18">
        <v>1366</v>
      </c>
      <c r="QD49" s="18">
        <v>5464</v>
      </c>
      <c r="QE49" s="18">
        <v>10929</v>
      </c>
      <c r="QF49" s="18">
        <v>16393</v>
      </c>
      <c r="QG49" s="18">
        <v>20492</v>
      </c>
      <c r="QH49" s="18">
        <v>23224</v>
      </c>
      <c r="QI49" s="18">
        <v>23224</v>
      </c>
      <c r="QJ49" s="18">
        <v>17760</v>
      </c>
      <c r="QK49" s="18">
        <v>10929</v>
      </c>
      <c r="QL49" s="18">
        <v>5464</v>
      </c>
      <c r="QM49" s="18">
        <v>1366</v>
      </c>
      <c r="QN49" s="18"/>
      <c r="QO49" s="18"/>
      <c r="QP49" s="18"/>
      <c r="QQ49" s="18"/>
      <c r="QR49" s="18"/>
      <c r="QS49" s="18"/>
      <c r="QT49" s="18"/>
      <c r="QU49" s="19">
        <f t="shared" si="27"/>
        <v>136611</v>
      </c>
      <c r="QV49" s="45">
        <v>4</v>
      </c>
      <c r="QW49" s="19">
        <f t="shared" si="42"/>
        <v>546444</v>
      </c>
      <c r="QX49" s="103"/>
    </row>
    <row r="50" spans="1:466" ht="15" thickBot="1" x14ac:dyDescent="0.4">
      <c r="A50" s="101"/>
      <c r="B50" s="22" t="s">
        <v>43</v>
      </c>
      <c r="C50" s="18"/>
      <c r="D50" s="18"/>
      <c r="E50" s="18"/>
      <c r="F50" s="18"/>
      <c r="G50" s="18"/>
      <c r="H50" s="18"/>
      <c r="I50" s="18">
        <v>1370</v>
      </c>
      <c r="J50" s="18">
        <v>5479</v>
      </c>
      <c r="K50" s="18">
        <v>10959</v>
      </c>
      <c r="L50" s="18">
        <v>16438</v>
      </c>
      <c r="M50" s="18">
        <v>20548</v>
      </c>
      <c r="N50" s="18">
        <v>23288</v>
      </c>
      <c r="O50" s="18">
        <v>23288</v>
      </c>
      <c r="P50" s="18">
        <v>17808</v>
      </c>
      <c r="Q50" s="18">
        <v>10959</v>
      </c>
      <c r="R50" s="18">
        <v>5479</v>
      </c>
      <c r="S50" s="18">
        <v>1370</v>
      </c>
      <c r="T50" s="18"/>
      <c r="U50" s="18"/>
      <c r="V50" s="18"/>
      <c r="W50" s="18"/>
      <c r="X50" s="18"/>
      <c r="Y50" s="18"/>
      <c r="Z50" s="18"/>
      <c r="AA50" s="19">
        <f t="shared" si="0"/>
        <v>136986</v>
      </c>
      <c r="AB50" s="39">
        <v>2</v>
      </c>
      <c r="AC50" s="19">
        <f t="shared" si="1"/>
        <v>273972</v>
      </c>
      <c r="AD50" s="104"/>
      <c r="AF50" s="101"/>
      <c r="AG50" s="22" t="s">
        <v>43</v>
      </c>
      <c r="AH50" s="18"/>
      <c r="AI50" s="18"/>
      <c r="AJ50" s="18"/>
      <c r="AK50" s="18"/>
      <c r="AL50" s="18"/>
      <c r="AM50" s="18"/>
      <c r="AN50" s="18">
        <v>1370</v>
      </c>
      <c r="AO50" s="18">
        <v>5479</v>
      </c>
      <c r="AP50" s="18">
        <v>10959</v>
      </c>
      <c r="AQ50" s="18">
        <v>16438</v>
      </c>
      <c r="AR50" s="18">
        <v>20548</v>
      </c>
      <c r="AS50" s="18">
        <v>23288</v>
      </c>
      <c r="AT50" s="18">
        <v>23288</v>
      </c>
      <c r="AU50" s="18">
        <v>17808</v>
      </c>
      <c r="AV50" s="18">
        <v>10959</v>
      </c>
      <c r="AW50" s="18">
        <v>5479</v>
      </c>
      <c r="AX50" s="18">
        <v>1370</v>
      </c>
      <c r="AY50" s="18"/>
      <c r="AZ50" s="18"/>
      <c r="BA50" s="18"/>
      <c r="BB50" s="18"/>
      <c r="BC50" s="18"/>
      <c r="BD50" s="18"/>
      <c r="BE50" s="18"/>
      <c r="BF50" s="19">
        <f t="shared" si="2"/>
        <v>136986</v>
      </c>
      <c r="BG50" s="39">
        <v>2</v>
      </c>
      <c r="BH50" s="19">
        <f t="shared" si="29"/>
        <v>273972</v>
      </c>
      <c r="BI50" s="104"/>
      <c r="BK50" s="101"/>
      <c r="BL50" s="22" t="s">
        <v>43</v>
      </c>
      <c r="BM50" s="18"/>
      <c r="BN50" s="18"/>
      <c r="BO50" s="18"/>
      <c r="BP50" s="18"/>
      <c r="BQ50" s="18"/>
      <c r="BR50" s="18"/>
      <c r="BS50" s="18">
        <v>1366</v>
      </c>
      <c r="BT50" s="18">
        <v>5464</v>
      </c>
      <c r="BU50" s="18">
        <v>10929</v>
      </c>
      <c r="BV50" s="18">
        <v>16393</v>
      </c>
      <c r="BW50" s="18">
        <v>20492</v>
      </c>
      <c r="BX50" s="18">
        <v>23224</v>
      </c>
      <c r="BY50" s="18">
        <v>23224</v>
      </c>
      <c r="BZ50" s="18">
        <v>17760</v>
      </c>
      <c r="CA50" s="18">
        <v>10929</v>
      </c>
      <c r="CB50" s="18">
        <v>5464</v>
      </c>
      <c r="CC50" s="18">
        <v>1366</v>
      </c>
      <c r="CD50" s="18"/>
      <c r="CE50" s="18"/>
      <c r="CF50" s="18"/>
      <c r="CG50" s="18"/>
      <c r="CH50" s="18"/>
      <c r="CI50" s="18"/>
      <c r="CJ50" s="18"/>
      <c r="CK50" s="19">
        <f t="shared" si="4"/>
        <v>136611</v>
      </c>
      <c r="CL50" s="39">
        <v>2</v>
      </c>
      <c r="CM50" s="19">
        <f t="shared" si="30"/>
        <v>273222</v>
      </c>
      <c r="CN50" s="104"/>
      <c r="CP50" s="101"/>
      <c r="CQ50" s="22" t="s">
        <v>43</v>
      </c>
      <c r="CR50" s="18"/>
      <c r="CS50" s="18"/>
      <c r="CT50" s="18"/>
      <c r="CU50" s="18"/>
      <c r="CV50" s="18"/>
      <c r="CW50" s="18"/>
      <c r="CX50" s="18">
        <v>1370</v>
      </c>
      <c r="CY50" s="18">
        <v>5479</v>
      </c>
      <c r="CZ50" s="18">
        <v>10959</v>
      </c>
      <c r="DA50" s="18">
        <v>16438</v>
      </c>
      <c r="DB50" s="18">
        <v>20548</v>
      </c>
      <c r="DC50" s="18">
        <v>23288</v>
      </c>
      <c r="DD50" s="18">
        <v>23288</v>
      </c>
      <c r="DE50" s="18">
        <v>17808</v>
      </c>
      <c r="DF50" s="18">
        <v>10959</v>
      </c>
      <c r="DG50" s="18">
        <v>5479</v>
      </c>
      <c r="DH50" s="18">
        <v>1370</v>
      </c>
      <c r="DI50" s="18"/>
      <c r="DJ50" s="18"/>
      <c r="DK50" s="18"/>
      <c r="DL50" s="18"/>
      <c r="DM50" s="18"/>
      <c r="DN50" s="18"/>
      <c r="DO50" s="18"/>
      <c r="DP50" s="19">
        <f t="shared" si="6"/>
        <v>136986</v>
      </c>
      <c r="DQ50" s="39">
        <v>2</v>
      </c>
      <c r="DR50" s="19">
        <f t="shared" si="31"/>
        <v>273972</v>
      </c>
      <c r="DS50" s="104"/>
      <c r="DV50" s="101"/>
      <c r="DW50" s="22" t="s">
        <v>43</v>
      </c>
      <c r="DX50" s="18"/>
      <c r="DY50" s="18"/>
      <c r="DZ50" s="18"/>
      <c r="EA50" s="18"/>
      <c r="EB50" s="18"/>
      <c r="EC50" s="18"/>
      <c r="ED50" s="18">
        <v>1370</v>
      </c>
      <c r="EE50" s="18">
        <v>5479</v>
      </c>
      <c r="EF50" s="18">
        <v>10959</v>
      </c>
      <c r="EG50" s="18">
        <v>16438</v>
      </c>
      <c r="EH50" s="18">
        <v>20548</v>
      </c>
      <c r="EI50" s="18">
        <v>23288</v>
      </c>
      <c r="EJ50" s="18">
        <v>23288</v>
      </c>
      <c r="EK50" s="18">
        <v>17808</v>
      </c>
      <c r="EL50" s="18">
        <v>10959</v>
      </c>
      <c r="EM50" s="18">
        <v>5479</v>
      </c>
      <c r="EN50" s="18">
        <v>1370</v>
      </c>
      <c r="EO50" s="18"/>
      <c r="EP50" s="18"/>
      <c r="EQ50" s="18"/>
      <c r="ER50" s="18"/>
      <c r="ES50" s="18"/>
      <c r="ET50" s="18"/>
      <c r="EU50" s="18"/>
      <c r="EV50" s="19">
        <f t="shared" si="8"/>
        <v>136986</v>
      </c>
      <c r="EW50" s="39">
        <v>2</v>
      </c>
      <c r="EX50" s="19">
        <f t="shared" si="32"/>
        <v>273972</v>
      </c>
      <c r="EY50" s="104"/>
      <c r="FB50" s="101"/>
      <c r="FC50" s="22" t="s">
        <v>43</v>
      </c>
      <c r="FD50" s="18"/>
      <c r="FE50" s="18"/>
      <c r="FF50" s="18"/>
      <c r="FG50" s="18"/>
      <c r="FH50" s="18"/>
      <c r="FI50" s="18"/>
      <c r="FJ50" s="18">
        <v>1370</v>
      </c>
      <c r="FK50" s="18">
        <v>5479</v>
      </c>
      <c r="FL50" s="18">
        <v>10959</v>
      </c>
      <c r="FM50" s="18">
        <v>16438</v>
      </c>
      <c r="FN50" s="18">
        <v>20548</v>
      </c>
      <c r="FO50" s="18">
        <v>23288</v>
      </c>
      <c r="FP50" s="18">
        <v>23288</v>
      </c>
      <c r="FQ50" s="18">
        <v>17808</v>
      </c>
      <c r="FR50" s="18">
        <v>10959</v>
      </c>
      <c r="FS50" s="18">
        <v>5479</v>
      </c>
      <c r="FT50" s="18">
        <v>1370</v>
      </c>
      <c r="FU50" s="18"/>
      <c r="FV50" s="18"/>
      <c r="FW50" s="18"/>
      <c r="FX50" s="18"/>
      <c r="FY50" s="18"/>
      <c r="FZ50" s="18"/>
      <c r="GA50" s="18"/>
      <c r="GB50" s="19">
        <f t="shared" si="9"/>
        <v>136986</v>
      </c>
      <c r="GC50" s="39">
        <v>2</v>
      </c>
      <c r="GD50" s="19">
        <f t="shared" si="33"/>
        <v>273972</v>
      </c>
      <c r="GE50" s="104"/>
      <c r="GG50" s="101"/>
      <c r="GH50" s="22" t="s">
        <v>43</v>
      </c>
      <c r="GI50" s="18"/>
      <c r="GJ50" s="18"/>
      <c r="GK50" s="18"/>
      <c r="GL50" s="18"/>
      <c r="GM50" s="18"/>
      <c r="GN50" s="18"/>
      <c r="GO50" s="18">
        <v>1366</v>
      </c>
      <c r="GP50" s="18">
        <v>5464</v>
      </c>
      <c r="GQ50" s="18">
        <v>10929</v>
      </c>
      <c r="GR50" s="18">
        <v>16393</v>
      </c>
      <c r="GS50" s="18">
        <v>20492</v>
      </c>
      <c r="GT50" s="18">
        <v>23224</v>
      </c>
      <c r="GU50" s="18">
        <v>23224</v>
      </c>
      <c r="GV50" s="18">
        <v>17760</v>
      </c>
      <c r="GW50" s="18">
        <v>10929</v>
      </c>
      <c r="GX50" s="18">
        <v>5464</v>
      </c>
      <c r="GY50" s="18">
        <v>1366</v>
      </c>
      <c r="GZ50" s="18"/>
      <c r="HA50" s="18"/>
      <c r="HB50" s="18"/>
      <c r="HC50" s="18"/>
      <c r="HD50" s="18"/>
      <c r="HE50" s="18"/>
      <c r="HF50" s="18"/>
      <c r="HG50" s="19">
        <f t="shared" si="11"/>
        <v>136611</v>
      </c>
      <c r="HH50" s="39">
        <v>2</v>
      </c>
      <c r="HI50" s="19">
        <f t="shared" si="34"/>
        <v>273222</v>
      </c>
      <c r="HJ50" s="104"/>
      <c r="HL50" s="101"/>
      <c r="HM50" s="22" t="s">
        <v>43</v>
      </c>
      <c r="HN50" s="18"/>
      <c r="HO50" s="18"/>
      <c r="HP50" s="18"/>
      <c r="HQ50" s="18"/>
      <c r="HR50" s="18"/>
      <c r="HS50" s="18"/>
      <c r="HT50" s="18">
        <v>1370</v>
      </c>
      <c r="HU50" s="18">
        <v>5479</v>
      </c>
      <c r="HV50" s="18">
        <v>10959</v>
      </c>
      <c r="HW50" s="18">
        <v>16438</v>
      </c>
      <c r="HX50" s="18">
        <v>20548</v>
      </c>
      <c r="HY50" s="18">
        <v>23288</v>
      </c>
      <c r="HZ50" s="18">
        <v>23288</v>
      </c>
      <c r="IA50" s="18">
        <v>17808</v>
      </c>
      <c r="IB50" s="18">
        <v>10959</v>
      </c>
      <c r="IC50" s="18">
        <v>5479</v>
      </c>
      <c r="ID50" s="18">
        <v>1370</v>
      </c>
      <c r="IE50" s="18"/>
      <c r="IF50" s="18"/>
      <c r="IG50" s="18"/>
      <c r="IH50" s="18"/>
      <c r="II50" s="18"/>
      <c r="IJ50" s="18"/>
      <c r="IK50" s="18"/>
      <c r="IL50" s="19">
        <f t="shared" si="13"/>
        <v>136986</v>
      </c>
      <c r="IM50" s="39">
        <v>2</v>
      </c>
      <c r="IN50" s="19">
        <f t="shared" si="35"/>
        <v>273972</v>
      </c>
      <c r="IO50" s="104"/>
      <c r="IQ50" s="101"/>
      <c r="IR50" s="22" t="s">
        <v>43</v>
      </c>
      <c r="IS50" s="18"/>
      <c r="IT50" s="18"/>
      <c r="IU50" s="18"/>
      <c r="IV50" s="18"/>
      <c r="IW50" s="18"/>
      <c r="IX50" s="18"/>
      <c r="IY50" s="18">
        <v>1370</v>
      </c>
      <c r="IZ50" s="18">
        <v>5479</v>
      </c>
      <c r="JA50" s="18">
        <v>10959</v>
      </c>
      <c r="JB50" s="18">
        <v>16438</v>
      </c>
      <c r="JC50" s="18">
        <v>20548</v>
      </c>
      <c r="JD50" s="18">
        <v>23288</v>
      </c>
      <c r="JE50" s="18">
        <v>23288</v>
      </c>
      <c r="JF50" s="18">
        <v>17808</v>
      </c>
      <c r="JG50" s="18">
        <v>10959</v>
      </c>
      <c r="JH50" s="18">
        <v>5479</v>
      </c>
      <c r="JI50" s="18">
        <v>1370</v>
      </c>
      <c r="JJ50" s="18"/>
      <c r="JK50" s="18"/>
      <c r="JL50" s="18"/>
      <c r="JM50" s="18"/>
      <c r="JN50" s="18"/>
      <c r="JO50" s="18"/>
      <c r="JP50" s="18"/>
      <c r="JQ50" s="19">
        <f t="shared" si="15"/>
        <v>136986</v>
      </c>
      <c r="JR50" s="39">
        <v>2</v>
      </c>
      <c r="JS50" s="19">
        <f t="shared" si="36"/>
        <v>273972</v>
      </c>
      <c r="JT50" s="104"/>
      <c r="JV50" s="101"/>
      <c r="JW50" s="22" t="s">
        <v>43</v>
      </c>
      <c r="JX50" s="18"/>
      <c r="JY50" s="18"/>
      <c r="JZ50" s="18"/>
      <c r="KA50" s="18"/>
      <c r="KB50" s="18"/>
      <c r="KC50" s="18"/>
      <c r="KD50" s="18"/>
      <c r="KE50" s="18">
        <v>1370</v>
      </c>
      <c r="KF50" s="18">
        <v>5479</v>
      </c>
      <c r="KG50" s="18">
        <v>10959</v>
      </c>
      <c r="KH50" s="18">
        <v>16438</v>
      </c>
      <c r="KI50" s="18">
        <v>20548</v>
      </c>
      <c r="KJ50" s="18">
        <v>23288</v>
      </c>
      <c r="KK50" s="18">
        <v>23288</v>
      </c>
      <c r="KL50" s="18">
        <v>17808</v>
      </c>
      <c r="KM50" s="18">
        <v>10959</v>
      </c>
      <c r="KN50" s="18">
        <v>5479</v>
      </c>
      <c r="KO50" s="18">
        <v>1370</v>
      </c>
      <c r="KP50" s="18"/>
      <c r="KQ50" s="18"/>
      <c r="KR50" s="18"/>
      <c r="KS50" s="18"/>
      <c r="KT50" s="18"/>
      <c r="KU50" s="18"/>
      <c r="KV50" s="19">
        <f t="shared" si="17"/>
        <v>136986</v>
      </c>
      <c r="KW50" s="39">
        <v>2</v>
      </c>
      <c r="KX50" s="19">
        <f t="shared" si="37"/>
        <v>273972</v>
      </c>
      <c r="KY50" s="104"/>
      <c r="LA50" s="101"/>
      <c r="LB50" s="22" t="s">
        <v>43</v>
      </c>
      <c r="LC50" s="18"/>
      <c r="LD50" s="18"/>
      <c r="LE50" s="18"/>
      <c r="LF50" s="18"/>
      <c r="LG50" s="18"/>
      <c r="LH50" s="18"/>
      <c r="LI50" s="18">
        <v>1366</v>
      </c>
      <c r="LJ50" s="18">
        <v>5464</v>
      </c>
      <c r="LK50" s="18">
        <v>10929</v>
      </c>
      <c r="LL50" s="18">
        <v>16393</v>
      </c>
      <c r="LM50" s="18">
        <v>20492</v>
      </c>
      <c r="LN50" s="18">
        <v>23224</v>
      </c>
      <c r="LO50" s="18">
        <v>23224</v>
      </c>
      <c r="LP50" s="18">
        <v>17760</v>
      </c>
      <c r="LQ50" s="18">
        <v>10929</v>
      </c>
      <c r="LR50" s="18">
        <v>5464</v>
      </c>
      <c r="LS50" s="18">
        <v>1366</v>
      </c>
      <c r="LT50" s="18"/>
      <c r="LU50" s="18"/>
      <c r="LV50" s="18"/>
      <c r="LW50" s="18"/>
      <c r="LX50" s="18"/>
      <c r="LY50" s="18"/>
      <c r="LZ50" s="18"/>
      <c r="MA50" s="19">
        <f t="shared" si="19"/>
        <v>136611</v>
      </c>
      <c r="MB50" s="39">
        <v>2</v>
      </c>
      <c r="MC50" s="19">
        <f t="shared" si="38"/>
        <v>273222</v>
      </c>
      <c r="MD50" s="104"/>
      <c r="MF50" s="101"/>
      <c r="MG50" s="22" t="s">
        <v>43</v>
      </c>
      <c r="MH50" s="18"/>
      <c r="MI50" s="18"/>
      <c r="MJ50" s="18"/>
      <c r="MK50" s="18"/>
      <c r="ML50" s="18"/>
      <c r="MM50" s="18"/>
      <c r="MN50" s="18">
        <v>1370</v>
      </c>
      <c r="MO50" s="18">
        <v>5479</v>
      </c>
      <c r="MP50" s="18">
        <v>10959</v>
      </c>
      <c r="MQ50" s="18">
        <v>16438</v>
      </c>
      <c r="MR50" s="18">
        <v>20548</v>
      </c>
      <c r="MS50" s="18">
        <v>23288</v>
      </c>
      <c r="MT50" s="18">
        <v>23288</v>
      </c>
      <c r="MU50" s="18">
        <v>17808</v>
      </c>
      <c r="MV50" s="18">
        <v>10959</v>
      </c>
      <c r="MW50" s="18">
        <v>5479</v>
      </c>
      <c r="MX50" s="18">
        <v>1370</v>
      </c>
      <c r="MY50" s="18"/>
      <c r="MZ50" s="18"/>
      <c r="NA50" s="18"/>
      <c r="NB50" s="18"/>
      <c r="NC50" s="18"/>
      <c r="ND50" s="18"/>
      <c r="NE50" s="18"/>
      <c r="NF50" s="19">
        <f t="shared" si="21"/>
        <v>136986</v>
      </c>
      <c r="NG50" s="39">
        <v>2</v>
      </c>
      <c r="NH50" s="19">
        <f t="shared" si="39"/>
        <v>273972</v>
      </c>
      <c r="NI50" s="104"/>
      <c r="NK50" s="101"/>
      <c r="NL50" s="22" t="s">
        <v>43</v>
      </c>
      <c r="NM50" s="18"/>
      <c r="NN50" s="18"/>
      <c r="NO50" s="18"/>
      <c r="NP50" s="18"/>
      <c r="NQ50" s="18"/>
      <c r="NR50" s="18"/>
      <c r="NS50" s="18">
        <v>1370</v>
      </c>
      <c r="NT50" s="18">
        <v>5479</v>
      </c>
      <c r="NU50" s="18">
        <v>10959</v>
      </c>
      <c r="NV50" s="18">
        <v>16438</v>
      </c>
      <c r="NW50" s="18">
        <v>20548</v>
      </c>
      <c r="NX50" s="18">
        <v>23288</v>
      </c>
      <c r="NY50" s="18">
        <v>23288</v>
      </c>
      <c r="NZ50" s="18">
        <v>17808</v>
      </c>
      <c r="OA50" s="18">
        <v>10959</v>
      </c>
      <c r="OB50" s="18">
        <v>5479</v>
      </c>
      <c r="OC50" s="18">
        <v>1370</v>
      </c>
      <c r="OD50" s="18"/>
      <c r="OE50" s="18"/>
      <c r="OF50" s="18"/>
      <c r="OG50" s="18"/>
      <c r="OH50" s="18"/>
      <c r="OI50" s="18"/>
      <c r="OJ50" s="18"/>
      <c r="OK50" s="19">
        <f t="shared" si="23"/>
        <v>136986</v>
      </c>
      <c r="OL50" s="39">
        <v>2</v>
      </c>
      <c r="OM50" s="19">
        <f t="shared" si="40"/>
        <v>273972</v>
      </c>
      <c r="ON50" s="104"/>
      <c r="OP50" s="101"/>
      <c r="OQ50" s="22" t="s">
        <v>43</v>
      </c>
      <c r="OR50" s="18"/>
      <c r="OS50" s="18"/>
      <c r="OT50" s="18"/>
      <c r="OU50" s="18"/>
      <c r="OV50" s="18"/>
      <c r="OW50" s="18"/>
      <c r="OX50" s="18">
        <v>1370</v>
      </c>
      <c r="OY50" s="18">
        <v>5479</v>
      </c>
      <c r="OZ50" s="18">
        <v>10959</v>
      </c>
      <c r="PA50" s="18">
        <v>16438</v>
      </c>
      <c r="PB50" s="18">
        <v>20548</v>
      </c>
      <c r="PC50" s="18">
        <v>23288</v>
      </c>
      <c r="PD50" s="18">
        <v>23288</v>
      </c>
      <c r="PE50" s="18">
        <v>17808</v>
      </c>
      <c r="PF50" s="18">
        <v>10959</v>
      </c>
      <c r="PG50" s="18">
        <v>5479</v>
      </c>
      <c r="PH50" s="18">
        <v>1370</v>
      </c>
      <c r="PI50" s="18"/>
      <c r="PJ50" s="18"/>
      <c r="PK50" s="18"/>
      <c r="PL50" s="18"/>
      <c r="PM50" s="18"/>
      <c r="PN50" s="18"/>
      <c r="PO50" s="18"/>
      <c r="PP50" s="19">
        <f t="shared" si="25"/>
        <v>136986</v>
      </c>
      <c r="PQ50" s="39">
        <v>2</v>
      </c>
      <c r="PR50" s="19">
        <f t="shared" si="41"/>
        <v>273972</v>
      </c>
      <c r="PS50" s="104"/>
      <c r="PU50" s="101"/>
      <c r="PV50" s="22" t="s">
        <v>43</v>
      </c>
      <c r="PW50" s="18"/>
      <c r="PX50" s="18"/>
      <c r="PY50" s="18"/>
      <c r="PZ50" s="18"/>
      <c r="QA50" s="18"/>
      <c r="QB50" s="18"/>
      <c r="QC50" s="18">
        <v>1366</v>
      </c>
      <c r="QD50" s="18">
        <v>5464</v>
      </c>
      <c r="QE50" s="18">
        <v>10929</v>
      </c>
      <c r="QF50" s="18">
        <v>16393</v>
      </c>
      <c r="QG50" s="18">
        <v>20492</v>
      </c>
      <c r="QH50" s="18">
        <v>23224</v>
      </c>
      <c r="QI50" s="18">
        <v>23224</v>
      </c>
      <c r="QJ50" s="18">
        <v>17760</v>
      </c>
      <c r="QK50" s="18">
        <v>10929</v>
      </c>
      <c r="QL50" s="18">
        <v>5464</v>
      </c>
      <c r="QM50" s="18">
        <v>1366</v>
      </c>
      <c r="QN50" s="18"/>
      <c r="QO50" s="18"/>
      <c r="QP50" s="18"/>
      <c r="QQ50" s="18"/>
      <c r="QR50" s="18"/>
      <c r="QS50" s="18"/>
      <c r="QT50" s="18"/>
      <c r="QU50" s="19">
        <f t="shared" si="27"/>
        <v>136611</v>
      </c>
      <c r="QV50" s="47">
        <v>2</v>
      </c>
      <c r="QW50" s="19">
        <f t="shared" si="42"/>
        <v>273222</v>
      </c>
      <c r="QX50" s="104"/>
    </row>
    <row r="51" spans="1:466" x14ac:dyDescent="0.35">
      <c r="A51" s="99">
        <v>46357</v>
      </c>
      <c r="B51" s="17" t="s">
        <v>40</v>
      </c>
      <c r="C51" s="18"/>
      <c r="D51" s="18"/>
      <c r="E51" s="18"/>
      <c r="F51" s="18"/>
      <c r="G51" s="18"/>
      <c r="H51" s="18"/>
      <c r="I51" s="18">
        <v>1370</v>
      </c>
      <c r="J51" s="18">
        <v>5479</v>
      </c>
      <c r="K51" s="18">
        <v>10959</v>
      </c>
      <c r="L51" s="18">
        <v>16438</v>
      </c>
      <c r="M51" s="18">
        <v>20548</v>
      </c>
      <c r="N51" s="18">
        <v>23288</v>
      </c>
      <c r="O51" s="18">
        <v>23288</v>
      </c>
      <c r="P51" s="18">
        <v>17808</v>
      </c>
      <c r="Q51" s="18">
        <v>10959</v>
      </c>
      <c r="R51" s="18">
        <v>5479</v>
      </c>
      <c r="S51" s="18">
        <v>1370</v>
      </c>
      <c r="T51" s="18"/>
      <c r="U51" s="18"/>
      <c r="V51" s="18"/>
      <c r="W51" s="18"/>
      <c r="X51" s="18"/>
      <c r="Y51" s="18"/>
      <c r="Z51" s="18"/>
      <c r="AA51" s="19">
        <f t="shared" si="0"/>
        <v>136986</v>
      </c>
      <c r="AB51" s="37">
        <v>21</v>
      </c>
      <c r="AC51" s="19">
        <f t="shared" si="1"/>
        <v>2876706</v>
      </c>
      <c r="AD51" s="102">
        <f>+SUM(AC51:AC54)</f>
        <v>4246566</v>
      </c>
      <c r="AF51" s="99">
        <v>46722</v>
      </c>
      <c r="AG51" s="17" t="s">
        <v>40</v>
      </c>
      <c r="AH51" s="18"/>
      <c r="AI51" s="18"/>
      <c r="AJ51" s="18"/>
      <c r="AK51" s="18"/>
      <c r="AL51" s="18"/>
      <c r="AM51" s="18"/>
      <c r="AN51" s="18">
        <v>1370</v>
      </c>
      <c r="AO51" s="18">
        <v>5479</v>
      </c>
      <c r="AP51" s="18">
        <v>10959</v>
      </c>
      <c r="AQ51" s="18">
        <v>16438</v>
      </c>
      <c r="AR51" s="18">
        <v>20548</v>
      </c>
      <c r="AS51" s="18">
        <v>23288</v>
      </c>
      <c r="AT51" s="18">
        <v>23288</v>
      </c>
      <c r="AU51" s="18">
        <v>17808</v>
      </c>
      <c r="AV51" s="18">
        <v>10959</v>
      </c>
      <c r="AW51" s="18">
        <v>5479</v>
      </c>
      <c r="AX51" s="18">
        <v>1370</v>
      </c>
      <c r="AY51" s="18"/>
      <c r="AZ51" s="18"/>
      <c r="BA51" s="18"/>
      <c r="BB51" s="18"/>
      <c r="BC51" s="18"/>
      <c r="BD51" s="18"/>
      <c r="BE51" s="18"/>
      <c r="BF51" s="19">
        <f t="shared" si="2"/>
        <v>136986</v>
      </c>
      <c r="BG51" s="37">
        <v>22</v>
      </c>
      <c r="BH51" s="19">
        <f t="shared" si="29"/>
        <v>3013692</v>
      </c>
      <c r="BI51" s="102">
        <f>+SUM(BH51:BH54)</f>
        <v>4246566</v>
      </c>
      <c r="BK51" s="99">
        <v>47088</v>
      </c>
      <c r="BL51" s="17" t="s">
        <v>40</v>
      </c>
      <c r="BM51" s="18"/>
      <c r="BN51" s="18"/>
      <c r="BO51" s="18"/>
      <c r="BP51" s="18"/>
      <c r="BQ51" s="18"/>
      <c r="BR51" s="18"/>
      <c r="BS51" s="18">
        <v>1366</v>
      </c>
      <c r="BT51" s="18">
        <v>5464</v>
      </c>
      <c r="BU51" s="18">
        <v>10929</v>
      </c>
      <c r="BV51" s="18">
        <v>16393</v>
      </c>
      <c r="BW51" s="18">
        <v>20492</v>
      </c>
      <c r="BX51" s="18">
        <v>23224</v>
      </c>
      <c r="BY51" s="18">
        <v>23224</v>
      </c>
      <c r="BZ51" s="18">
        <v>17760</v>
      </c>
      <c r="CA51" s="18">
        <v>10929</v>
      </c>
      <c r="CB51" s="18">
        <v>5464</v>
      </c>
      <c r="CC51" s="18">
        <v>1366</v>
      </c>
      <c r="CD51" s="18"/>
      <c r="CE51" s="18"/>
      <c r="CF51" s="18"/>
      <c r="CG51" s="18"/>
      <c r="CH51" s="18"/>
      <c r="CI51" s="18"/>
      <c r="CJ51" s="18"/>
      <c r="CK51" s="19">
        <f t="shared" si="4"/>
        <v>136611</v>
      </c>
      <c r="CL51" s="37">
        <v>19</v>
      </c>
      <c r="CM51" s="19">
        <f t="shared" si="30"/>
        <v>2595609</v>
      </c>
      <c r="CN51" s="102">
        <f>+SUM(CM51:CM54)</f>
        <v>4234941</v>
      </c>
      <c r="CP51" s="99">
        <v>47453</v>
      </c>
      <c r="CQ51" s="17" t="s">
        <v>40</v>
      </c>
      <c r="CR51" s="18"/>
      <c r="CS51" s="18"/>
      <c r="CT51" s="18"/>
      <c r="CU51" s="18"/>
      <c r="CV51" s="18"/>
      <c r="CW51" s="18"/>
      <c r="CX51" s="18">
        <v>1370</v>
      </c>
      <c r="CY51" s="18">
        <v>5479</v>
      </c>
      <c r="CZ51" s="18">
        <v>10959</v>
      </c>
      <c r="DA51" s="18">
        <v>16438</v>
      </c>
      <c r="DB51" s="18">
        <v>20548</v>
      </c>
      <c r="DC51" s="18">
        <v>23288</v>
      </c>
      <c r="DD51" s="18">
        <v>23288</v>
      </c>
      <c r="DE51" s="18">
        <v>17808</v>
      </c>
      <c r="DF51" s="18">
        <v>10959</v>
      </c>
      <c r="DG51" s="18">
        <v>5479</v>
      </c>
      <c r="DH51" s="18">
        <v>1370</v>
      </c>
      <c r="DI51" s="18"/>
      <c r="DJ51" s="18"/>
      <c r="DK51" s="18"/>
      <c r="DL51" s="18"/>
      <c r="DM51" s="18"/>
      <c r="DN51" s="18"/>
      <c r="DO51" s="18"/>
      <c r="DP51" s="19">
        <f t="shared" si="6"/>
        <v>136986</v>
      </c>
      <c r="DQ51" s="37">
        <v>20</v>
      </c>
      <c r="DR51" s="19">
        <f t="shared" si="31"/>
        <v>2739720</v>
      </c>
      <c r="DS51" s="102">
        <f>+SUM(DR51:DR54)</f>
        <v>4246566</v>
      </c>
      <c r="DV51" s="99">
        <v>47818</v>
      </c>
      <c r="DW51" s="17" t="s">
        <v>40</v>
      </c>
      <c r="DX51" s="18"/>
      <c r="DY51" s="18"/>
      <c r="DZ51" s="18"/>
      <c r="EA51" s="18"/>
      <c r="EB51" s="18"/>
      <c r="EC51" s="18"/>
      <c r="ED51" s="18">
        <v>1370</v>
      </c>
      <c r="EE51" s="18">
        <v>5479</v>
      </c>
      <c r="EF51" s="18">
        <v>10959</v>
      </c>
      <c r="EG51" s="18">
        <v>16438</v>
      </c>
      <c r="EH51" s="18">
        <v>20548</v>
      </c>
      <c r="EI51" s="18">
        <v>23288</v>
      </c>
      <c r="EJ51" s="18">
        <v>23288</v>
      </c>
      <c r="EK51" s="18">
        <v>17808</v>
      </c>
      <c r="EL51" s="18">
        <v>10959</v>
      </c>
      <c r="EM51" s="18">
        <v>5479</v>
      </c>
      <c r="EN51" s="18">
        <v>1370</v>
      </c>
      <c r="EO51" s="18"/>
      <c r="EP51" s="18"/>
      <c r="EQ51" s="18"/>
      <c r="ER51" s="18"/>
      <c r="ES51" s="18"/>
      <c r="ET51" s="18"/>
      <c r="EU51" s="18"/>
      <c r="EV51" s="19">
        <f t="shared" si="8"/>
        <v>136986</v>
      </c>
      <c r="EW51" s="37">
        <v>21</v>
      </c>
      <c r="EX51" s="19">
        <f t="shared" si="32"/>
        <v>2876706</v>
      </c>
      <c r="EY51" s="102">
        <f>+SUM(EX51:EX54)</f>
        <v>4246566</v>
      </c>
      <c r="FB51" s="99">
        <v>48183</v>
      </c>
      <c r="FC51" s="17" t="s">
        <v>40</v>
      </c>
      <c r="FD51" s="18"/>
      <c r="FE51" s="18"/>
      <c r="FF51" s="18"/>
      <c r="FG51" s="18"/>
      <c r="FH51" s="18"/>
      <c r="FI51" s="18"/>
      <c r="FJ51" s="18">
        <v>1370</v>
      </c>
      <c r="FK51" s="18">
        <v>5479</v>
      </c>
      <c r="FL51" s="18">
        <v>10959</v>
      </c>
      <c r="FM51" s="18">
        <v>16438</v>
      </c>
      <c r="FN51" s="18">
        <v>20548</v>
      </c>
      <c r="FO51" s="18">
        <v>23288</v>
      </c>
      <c r="FP51" s="18">
        <v>23288</v>
      </c>
      <c r="FQ51" s="18">
        <v>17808</v>
      </c>
      <c r="FR51" s="18">
        <v>10959</v>
      </c>
      <c r="FS51" s="18">
        <v>5479</v>
      </c>
      <c r="FT51" s="18">
        <v>1370</v>
      </c>
      <c r="FU51" s="18"/>
      <c r="FV51" s="18"/>
      <c r="FW51" s="18"/>
      <c r="FX51" s="18"/>
      <c r="FY51" s="18"/>
      <c r="FZ51" s="18"/>
      <c r="GA51" s="18"/>
      <c r="GB51" s="19">
        <f t="shared" si="9"/>
        <v>136986</v>
      </c>
      <c r="GC51" s="37">
        <v>21</v>
      </c>
      <c r="GD51" s="19">
        <f t="shared" si="33"/>
        <v>2876706</v>
      </c>
      <c r="GE51" s="102">
        <f>+SUM(GD51:GD54)</f>
        <v>4246566</v>
      </c>
      <c r="GG51" s="99">
        <v>48549</v>
      </c>
      <c r="GH51" s="17" t="s">
        <v>40</v>
      </c>
      <c r="GI51" s="18"/>
      <c r="GJ51" s="18"/>
      <c r="GK51" s="18"/>
      <c r="GL51" s="18"/>
      <c r="GM51" s="18"/>
      <c r="GN51" s="18"/>
      <c r="GO51" s="18">
        <v>1366</v>
      </c>
      <c r="GP51" s="18">
        <v>5464</v>
      </c>
      <c r="GQ51" s="18">
        <v>10929</v>
      </c>
      <c r="GR51" s="18">
        <v>16393</v>
      </c>
      <c r="GS51" s="18">
        <v>20492</v>
      </c>
      <c r="GT51" s="18">
        <v>23224</v>
      </c>
      <c r="GU51" s="18">
        <v>23224</v>
      </c>
      <c r="GV51" s="18">
        <v>17760</v>
      </c>
      <c r="GW51" s="18">
        <v>10929</v>
      </c>
      <c r="GX51" s="18">
        <v>5464</v>
      </c>
      <c r="GY51" s="18">
        <v>1366</v>
      </c>
      <c r="GZ51" s="18"/>
      <c r="HA51" s="18"/>
      <c r="HB51" s="18"/>
      <c r="HC51" s="18"/>
      <c r="HD51" s="18"/>
      <c r="HE51" s="18"/>
      <c r="HF51" s="18"/>
      <c r="HG51" s="19">
        <f t="shared" si="11"/>
        <v>136611</v>
      </c>
      <c r="HH51" s="37">
        <v>22</v>
      </c>
      <c r="HI51" s="19">
        <f t="shared" si="34"/>
        <v>3005442</v>
      </c>
      <c r="HJ51" s="102">
        <f>+SUM(HI51:HI54)</f>
        <v>4234941</v>
      </c>
      <c r="HL51" s="99">
        <v>48914</v>
      </c>
      <c r="HM51" s="17" t="s">
        <v>40</v>
      </c>
      <c r="HN51" s="18"/>
      <c r="HO51" s="18"/>
      <c r="HP51" s="18"/>
      <c r="HQ51" s="18"/>
      <c r="HR51" s="18"/>
      <c r="HS51" s="18"/>
      <c r="HT51" s="18">
        <v>1370</v>
      </c>
      <c r="HU51" s="18">
        <v>5479</v>
      </c>
      <c r="HV51" s="18">
        <v>10959</v>
      </c>
      <c r="HW51" s="18">
        <v>16438</v>
      </c>
      <c r="HX51" s="18">
        <v>20548</v>
      </c>
      <c r="HY51" s="18">
        <v>23288</v>
      </c>
      <c r="HZ51" s="18">
        <v>23288</v>
      </c>
      <c r="IA51" s="18">
        <v>17808</v>
      </c>
      <c r="IB51" s="18">
        <v>10959</v>
      </c>
      <c r="IC51" s="18">
        <v>5479</v>
      </c>
      <c r="ID51" s="18">
        <v>1370</v>
      </c>
      <c r="IE51" s="18"/>
      <c r="IF51" s="18"/>
      <c r="IG51" s="18"/>
      <c r="IH51" s="18"/>
      <c r="II51" s="18"/>
      <c r="IJ51" s="18"/>
      <c r="IK51" s="18"/>
      <c r="IL51" s="19">
        <f t="shared" si="13"/>
        <v>136986</v>
      </c>
      <c r="IM51" s="37">
        <v>21</v>
      </c>
      <c r="IN51" s="19">
        <f t="shared" si="35"/>
        <v>2876706</v>
      </c>
      <c r="IO51" s="102">
        <f>+SUM(IN51:IN54)</f>
        <v>4246566</v>
      </c>
      <c r="IQ51" s="99">
        <v>49279</v>
      </c>
      <c r="IR51" s="17" t="s">
        <v>40</v>
      </c>
      <c r="IS51" s="18"/>
      <c r="IT51" s="18"/>
      <c r="IU51" s="18"/>
      <c r="IV51" s="18"/>
      <c r="IW51" s="18"/>
      <c r="IX51" s="18"/>
      <c r="IY51" s="18">
        <v>1370</v>
      </c>
      <c r="IZ51" s="18">
        <v>5479</v>
      </c>
      <c r="JA51" s="18">
        <v>10959</v>
      </c>
      <c r="JB51" s="18">
        <v>16438</v>
      </c>
      <c r="JC51" s="18">
        <v>20548</v>
      </c>
      <c r="JD51" s="18">
        <v>23288</v>
      </c>
      <c r="JE51" s="18">
        <v>23288</v>
      </c>
      <c r="JF51" s="18">
        <v>17808</v>
      </c>
      <c r="JG51" s="18">
        <v>10959</v>
      </c>
      <c r="JH51" s="18">
        <v>5479</v>
      </c>
      <c r="JI51" s="18">
        <v>1370</v>
      </c>
      <c r="JJ51" s="18"/>
      <c r="JK51" s="18"/>
      <c r="JL51" s="18"/>
      <c r="JM51" s="18"/>
      <c r="JN51" s="18"/>
      <c r="JO51" s="18"/>
      <c r="JP51" s="18"/>
      <c r="JQ51" s="19">
        <f t="shared" si="15"/>
        <v>136986</v>
      </c>
      <c r="JR51" s="37">
        <v>19</v>
      </c>
      <c r="JS51" s="19">
        <f t="shared" si="36"/>
        <v>2602734</v>
      </c>
      <c r="JT51" s="102">
        <f>+SUM(JS51:JS54)</f>
        <v>4246566</v>
      </c>
      <c r="JV51" s="99">
        <v>49644</v>
      </c>
      <c r="JW51" s="17" t="s">
        <v>40</v>
      </c>
      <c r="JX51" s="18"/>
      <c r="JY51" s="18"/>
      <c r="JZ51" s="18"/>
      <c r="KA51" s="18"/>
      <c r="KB51" s="18"/>
      <c r="KC51" s="18"/>
      <c r="KD51" s="18"/>
      <c r="KE51" s="18">
        <v>1370</v>
      </c>
      <c r="KF51" s="18">
        <v>5479</v>
      </c>
      <c r="KG51" s="18">
        <v>10959</v>
      </c>
      <c r="KH51" s="18">
        <v>16438</v>
      </c>
      <c r="KI51" s="18">
        <v>20548</v>
      </c>
      <c r="KJ51" s="18">
        <v>23288</v>
      </c>
      <c r="KK51" s="18">
        <v>23288</v>
      </c>
      <c r="KL51" s="18">
        <v>17808</v>
      </c>
      <c r="KM51" s="18">
        <v>10959</v>
      </c>
      <c r="KN51" s="18">
        <v>5479</v>
      </c>
      <c r="KO51" s="18">
        <v>1370</v>
      </c>
      <c r="KP51" s="18"/>
      <c r="KQ51" s="18"/>
      <c r="KR51" s="18"/>
      <c r="KS51" s="18"/>
      <c r="KT51" s="18"/>
      <c r="KU51" s="18"/>
      <c r="KV51" s="19">
        <f t="shared" si="17"/>
        <v>136986</v>
      </c>
      <c r="KW51" s="37">
        <v>20</v>
      </c>
      <c r="KX51" s="19">
        <f t="shared" si="37"/>
        <v>2739720</v>
      </c>
      <c r="KY51" s="102">
        <f>+SUM(KX51:KX54)</f>
        <v>4246566</v>
      </c>
      <c r="LA51" s="99">
        <v>50010</v>
      </c>
      <c r="LB51" s="17" t="s">
        <v>40</v>
      </c>
      <c r="LC51" s="18"/>
      <c r="LD51" s="18"/>
      <c r="LE51" s="18"/>
      <c r="LF51" s="18"/>
      <c r="LG51" s="18"/>
      <c r="LH51" s="18"/>
      <c r="LI51" s="18">
        <v>1366</v>
      </c>
      <c r="LJ51" s="18">
        <v>5464</v>
      </c>
      <c r="LK51" s="18">
        <v>10929</v>
      </c>
      <c r="LL51" s="18">
        <v>16393</v>
      </c>
      <c r="LM51" s="18">
        <v>20492</v>
      </c>
      <c r="LN51" s="18">
        <v>23224</v>
      </c>
      <c r="LO51" s="18">
        <v>23224</v>
      </c>
      <c r="LP51" s="18">
        <v>17760</v>
      </c>
      <c r="LQ51" s="18">
        <v>10929</v>
      </c>
      <c r="LR51" s="18">
        <v>5464</v>
      </c>
      <c r="LS51" s="18">
        <v>1366</v>
      </c>
      <c r="LT51" s="18"/>
      <c r="LU51" s="18"/>
      <c r="LV51" s="18"/>
      <c r="LW51" s="18"/>
      <c r="LX51" s="18"/>
      <c r="LY51" s="18"/>
      <c r="LZ51" s="18"/>
      <c r="MA51" s="19">
        <f t="shared" si="19"/>
        <v>136611</v>
      </c>
      <c r="MB51" s="37">
        <v>21</v>
      </c>
      <c r="MC51" s="19">
        <f t="shared" si="38"/>
        <v>2868831</v>
      </c>
      <c r="MD51" s="102">
        <f>+SUM(MC51:MC54)</f>
        <v>4234941</v>
      </c>
      <c r="MF51" s="99">
        <v>50375</v>
      </c>
      <c r="MG51" s="17" t="s">
        <v>40</v>
      </c>
      <c r="MH51" s="18"/>
      <c r="MI51" s="18"/>
      <c r="MJ51" s="18"/>
      <c r="MK51" s="18"/>
      <c r="ML51" s="18"/>
      <c r="MM51" s="18"/>
      <c r="MN51" s="18">
        <v>1370</v>
      </c>
      <c r="MO51" s="18">
        <v>5479</v>
      </c>
      <c r="MP51" s="18">
        <v>10959</v>
      </c>
      <c r="MQ51" s="18">
        <v>16438</v>
      </c>
      <c r="MR51" s="18">
        <v>20548</v>
      </c>
      <c r="MS51" s="18">
        <v>23288</v>
      </c>
      <c r="MT51" s="18">
        <v>23288</v>
      </c>
      <c r="MU51" s="18">
        <v>17808</v>
      </c>
      <c r="MV51" s="18">
        <v>10959</v>
      </c>
      <c r="MW51" s="18">
        <v>5479</v>
      </c>
      <c r="MX51" s="18">
        <v>1370</v>
      </c>
      <c r="MY51" s="18"/>
      <c r="MZ51" s="18"/>
      <c r="NA51" s="18"/>
      <c r="NB51" s="18"/>
      <c r="NC51" s="18"/>
      <c r="ND51" s="18"/>
      <c r="NE51" s="18"/>
      <c r="NF51" s="19">
        <f t="shared" si="21"/>
        <v>136986</v>
      </c>
      <c r="NG51" s="37">
        <v>21</v>
      </c>
      <c r="NH51" s="19">
        <f t="shared" si="39"/>
        <v>2876706</v>
      </c>
      <c r="NI51" s="102">
        <f>+SUM(NH51:NH54)</f>
        <v>4246566</v>
      </c>
      <c r="NK51" s="99">
        <v>50740</v>
      </c>
      <c r="NL51" s="17" t="s">
        <v>40</v>
      </c>
      <c r="NM51" s="18"/>
      <c r="NN51" s="18"/>
      <c r="NO51" s="18"/>
      <c r="NP51" s="18"/>
      <c r="NQ51" s="18"/>
      <c r="NR51" s="18"/>
      <c r="NS51" s="18">
        <v>1370</v>
      </c>
      <c r="NT51" s="18">
        <v>5479</v>
      </c>
      <c r="NU51" s="18">
        <v>10959</v>
      </c>
      <c r="NV51" s="18">
        <v>16438</v>
      </c>
      <c r="NW51" s="18">
        <v>20548</v>
      </c>
      <c r="NX51" s="18">
        <v>23288</v>
      </c>
      <c r="NY51" s="18">
        <v>23288</v>
      </c>
      <c r="NZ51" s="18">
        <v>17808</v>
      </c>
      <c r="OA51" s="18">
        <v>10959</v>
      </c>
      <c r="OB51" s="18">
        <v>5479</v>
      </c>
      <c r="OC51" s="18">
        <v>1370</v>
      </c>
      <c r="OD51" s="18"/>
      <c r="OE51" s="18"/>
      <c r="OF51" s="18"/>
      <c r="OG51" s="18"/>
      <c r="OH51" s="18"/>
      <c r="OI51" s="18"/>
      <c r="OJ51" s="18"/>
      <c r="OK51" s="19">
        <f t="shared" si="23"/>
        <v>136986</v>
      </c>
      <c r="OL51" s="82">
        <v>22</v>
      </c>
      <c r="OM51" s="19">
        <f t="shared" si="40"/>
        <v>3013692</v>
      </c>
      <c r="ON51" s="102">
        <f>+SUM(OM51:OM54)</f>
        <v>4246566</v>
      </c>
      <c r="OP51" s="99">
        <v>51105</v>
      </c>
      <c r="OQ51" s="17" t="s">
        <v>40</v>
      </c>
      <c r="OR51" s="18"/>
      <c r="OS51" s="18"/>
      <c r="OT51" s="18"/>
      <c r="OU51" s="18"/>
      <c r="OV51" s="18"/>
      <c r="OW51" s="18"/>
      <c r="OX51" s="18">
        <v>1370</v>
      </c>
      <c r="OY51" s="18">
        <v>5479</v>
      </c>
      <c r="OZ51" s="18">
        <v>10959</v>
      </c>
      <c r="PA51" s="18">
        <v>16438</v>
      </c>
      <c r="PB51" s="18">
        <v>20548</v>
      </c>
      <c r="PC51" s="18">
        <v>23288</v>
      </c>
      <c r="PD51" s="18">
        <v>23288</v>
      </c>
      <c r="PE51" s="18">
        <v>17808</v>
      </c>
      <c r="PF51" s="18">
        <v>10959</v>
      </c>
      <c r="PG51" s="18">
        <v>5479</v>
      </c>
      <c r="PH51" s="18">
        <v>1370</v>
      </c>
      <c r="PI51" s="18"/>
      <c r="PJ51" s="18"/>
      <c r="PK51" s="18"/>
      <c r="PL51" s="18"/>
      <c r="PM51" s="18"/>
      <c r="PN51" s="18"/>
      <c r="PO51" s="18"/>
      <c r="PP51" s="19">
        <f t="shared" si="25"/>
        <v>136986</v>
      </c>
      <c r="PQ51" s="37">
        <v>21</v>
      </c>
      <c r="PR51" s="19">
        <f t="shared" si="41"/>
        <v>2876706</v>
      </c>
      <c r="PS51" s="102">
        <f>+SUM(PR51:PR54)</f>
        <v>4246566</v>
      </c>
      <c r="PU51" s="99">
        <v>51471</v>
      </c>
      <c r="PV51" s="17" t="s">
        <v>40</v>
      </c>
      <c r="PW51" s="18"/>
      <c r="PX51" s="18"/>
      <c r="PY51" s="18"/>
      <c r="PZ51" s="18"/>
      <c r="QA51" s="18"/>
      <c r="QB51" s="18"/>
      <c r="QC51" s="18">
        <v>1366</v>
      </c>
      <c r="QD51" s="18">
        <v>5464</v>
      </c>
      <c r="QE51" s="18">
        <v>10929</v>
      </c>
      <c r="QF51" s="18">
        <v>16393</v>
      </c>
      <c r="QG51" s="18">
        <v>20492</v>
      </c>
      <c r="QH51" s="18">
        <v>23224</v>
      </c>
      <c r="QI51" s="18">
        <v>23224</v>
      </c>
      <c r="QJ51" s="18">
        <v>17760</v>
      </c>
      <c r="QK51" s="18">
        <v>10929</v>
      </c>
      <c r="QL51" s="18">
        <v>5464</v>
      </c>
      <c r="QM51" s="18">
        <v>1366</v>
      </c>
      <c r="QN51" s="18"/>
      <c r="QO51" s="18"/>
      <c r="QP51" s="18"/>
      <c r="QQ51" s="18"/>
      <c r="QR51" s="18"/>
      <c r="QS51" s="18"/>
      <c r="QT51" s="18"/>
      <c r="QU51" s="19">
        <f t="shared" si="27"/>
        <v>136611</v>
      </c>
      <c r="QV51" s="46">
        <v>20</v>
      </c>
      <c r="QW51" s="19">
        <f t="shared" si="42"/>
        <v>2732220</v>
      </c>
      <c r="QX51" s="102">
        <f>+SUM(QW51:QW54)</f>
        <v>4234941</v>
      </c>
    </row>
    <row r="52" spans="1:466" x14ac:dyDescent="0.35">
      <c r="A52" s="100"/>
      <c r="B52" s="21" t="s">
        <v>41</v>
      </c>
      <c r="C52" s="18"/>
      <c r="D52" s="18"/>
      <c r="E52" s="18"/>
      <c r="F52" s="18"/>
      <c r="G52" s="18"/>
      <c r="H52" s="18"/>
      <c r="I52" s="18">
        <v>1370</v>
      </c>
      <c r="J52" s="18">
        <v>5479</v>
      </c>
      <c r="K52" s="18">
        <v>10959</v>
      </c>
      <c r="L52" s="18">
        <v>16438</v>
      </c>
      <c r="M52" s="18">
        <v>20548</v>
      </c>
      <c r="N52" s="18">
        <v>23288</v>
      </c>
      <c r="O52" s="18">
        <v>23288</v>
      </c>
      <c r="P52" s="18">
        <v>17808</v>
      </c>
      <c r="Q52" s="18">
        <v>10959</v>
      </c>
      <c r="R52" s="18">
        <v>5479</v>
      </c>
      <c r="S52" s="18">
        <v>1370</v>
      </c>
      <c r="T52" s="18"/>
      <c r="U52" s="18"/>
      <c r="V52" s="18"/>
      <c r="W52" s="18"/>
      <c r="X52" s="18"/>
      <c r="Y52" s="18"/>
      <c r="Z52" s="18"/>
      <c r="AA52" s="19">
        <f t="shared" si="0"/>
        <v>136986</v>
      </c>
      <c r="AB52" s="38">
        <v>4</v>
      </c>
      <c r="AC52" s="19">
        <f t="shared" si="1"/>
        <v>547944</v>
      </c>
      <c r="AD52" s="103"/>
      <c r="AF52" s="100"/>
      <c r="AG52" s="21" t="s">
        <v>41</v>
      </c>
      <c r="AH52" s="18"/>
      <c r="AI52" s="18"/>
      <c r="AJ52" s="18"/>
      <c r="AK52" s="18"/>
      <c r="AL52" s="18"/>
      <c r="AM52" s="18"/>
      <c r="AN52" s="18">
        <v>1370</v>
      </c>
      <c r="AO52" s="18">
        <v>5479</v>
      </c>
      <c r="AP52" s="18">
        <v>10959</v>
      </c>
      <c r="AQ52" s="18">
        <v>16438</v>
      </c>
      <c r="AR52" s="18">
        <v>20548</v>
      </c>
      <c r="AS52" s="18">
        <v>23288</v>
      </c>
      <c r="AT52" s="18">
        <v>23288</v>
      </c>
      <c r="AU52" s="18">
        <v>17808</v>
      </c>
      <c r="AV52" s="18">
        <v>10959</v>
      </c>
      <c r="AW52" s="18">
        <v>5479</v>
      </c>
      <c r="AX52" s="18">
        <v>1370</v>
      </c>
      <c r="AY52" s="18"/>
      <c r="AZ52" s="18"/>
      <c r="BA52" s="18"/>
      <c r="BB52" s="18"/>
      <c r="BC52" s="18"/>
      <c r="BD52" s="18"/>
      <c r="BE52" s="18"/>
      <c r="BF52" s="19">
        <f t="shared" si="2"/>
        <v>136986</v>
      </c>
      <c r="BG52" s="38">
        <v>3</v>
      </c>
      <c r="BH52" s="19">
        <f t="shared" si="29"/>
        <v>410958</v>
      </c>
      <c r="BI52" s="103"/>
      <c r="BK52" s="100"/>
      <c r="BL52" s="21" t="s">
        <v>41</v>
      </c>
      <c r="BM52" s="18"/>
      <c r="BN52" s="18"/>
      <c r="BO52" s="18"/>
      <c r="BP52" s="18"/>
      <c r="BQ52" s="18"/>
      <c r="BR52" s="18"/>
      <c r="BS52" s="18">
        <v>1366</v>
      </c>
      <c r="BT52" s="18">
        <v>5464</v>
      </c>
      <c r="BU52" s="18">
        <v>10929</v>
      </c>
      <c r="BV52" s="18">
        <v>16393</v>
      </c>
      <c r="BW52" s="18">
        <v>20492</v>
      </c>
      <c r="BX52" s="18">
        <v>23224</v>
      </c>
      <c r="BY52" s="18">
        <v>23224</v>
      </c>
      <c r="BZ52" s="18">
        <v>17760</v>
      </c>
      <c r="CA52" s="18">
        <v>10929</v>
      </c>
      <c r="CB52" s="18">
        <v>5464</v>
      </c>
      <c r="CC52" s="18">
        <v>1366</v>
      </c>
      <c r="CD52" s="18"/>
      <c r="CE52" s="18"/>
      <c r="CF52" s="18"/>
      <c r="CG52" s="18"/>
      <c r="CH52" s="18"/>
      <c r="CI52" s="18"/>
      <c r="CJ52" s="18"/>
      <c r="CK52" s="19">
        <f t="shared" si="4"/>
        <v>136611</v>
      </c>
      <c r="CL52" s="38">
        <v>5</v>
      </c>
      <c r="CM52" s="19">
        <f t="shared" si="30"/>
        <v>683055</v>
      </c>
      <c r="CN52" s="103"/>
      <c r="CP52" s="100"/>
      <c r="CQ52" s="21" t="s">
        <v>41</v>
      </c>
      <c r="CR52" s="18"/>
      <c r="CS52" s="18"/>
      <c r="CT52" s="18"/>
      <c r="CU52" s="18"/>
      <c r="CV52" s="18"/>
      <c r="CW52" s="18"/>
      <c r="CX52" s="18">
        <v>1370</v>
      </c>
      <c r="CY52" s="18">
        <v>5479</v>
      </c>
      <c r="CZ52" s="18">
        <v>10959</v>
      </c>
      <c r="DA52" s="18">
        <v>16438</v>
      </c>
      <c r="DB52" s="18">
        <v>20548</v>
      </c>
      <c r="DC52" s="18">
        <v>23288</v>
      </c>
      <c r="DD52" s="18">
        <v>23288</v>
      </c>
      <c r="DE52" s="18">
        <v>17808</v>
      </c>
      <c r="DF52" s="18">
        <v>10959</v>
      </c>
      <c r="DG52" s="18">
        <v>5479</v>
      </c>
      <c r="DH52" s="18">
        <v>1370</v>
      </c>
      <c r="DI52" s="18"/>
      <c r="DJ52" s="18"/>
      <c r="DK52" s="18"/>
      <c r="DL52" s="18"/>
      <c r="DM52" s="18"/>
      <c r="DN52" s="18"/>
      <c r="DO52" s="18"/>
      <c r="DP52" s="19">
        <f t="shared" si="6"/>
        <v>136986</v>
      </c>
      <c r="DQ52" s="38">
        <v>4</v>
      </c>
      <c r="DR52" s="19">
        <f t="shared" si="31"/>
        <v>547944</v>
      </c>
      <c r="DS52" s="103"/>
      <c r="DV52" s="100"/>
      <c r="DW52" s="21" t="s">
        <v>41</v>
      </c>
      <c r="DX52" s="18"/>
      <c r="DY52" s="18"/>
      <c r="DZ52" s="18"/>
      <c r="EA52" s="18"/>
      <c r="EB52" s="18"/>
      <c r="EC52" s="18"/>
      <c r="ED52" s="18">
        <v>1370</v>
      </c>
      <c r="EE52" s="18">
        <v>5479</v>
      </c>
      <c r="EF52" s="18">
        <v>10959</v>
      </c>
      <c r="EG52" s="18">
        <v>16438</v>
      </c>
      <c r="EH52" s="18">
        <v>20548</v>
      </c>
      <c r="EI52" s="18">
        <v>23288</v>
      </c>
      <c r="EJ52" s="18">
        <v>23288</v>
      </c>
      <c r="EK52" s="18">
        <v>17808</v>
      </c>
      <c r="EL52" s="18">
        <v>10959</v>
      </c>
      <c r="EM52" s="18">
        <v>5479</v>
      </c>
      <c r="EN52" s="18">
        <v>1370</v>
      </c>
      <c r="EO52" s="18"/>
      <c r="EP52" s="18"/>
      <c r="EQ52" s="18"/>
      <c r="ER52" s="18"/>
      <c r="ES52" s="18"/>
      <c r="ET52" s="18"/>
      <c r="EU52" s="18"/>
      <c r="EV52" s="19">
        <f t="shared" si="8"/>
        <v>136986</v>
      </c>
      <c r="EW52" s="38">
        <v>4</v>
      </c>
      <c r="EX52" s="19">
        <f t="shared" si="32"/>
        <v>547944</v>
      </c>
      <c r="EY52" s="103"/>
      <c r="FB52" s="100"/>
      <c r="FC52" s="21" t="s">
        <v>41</v>
      </c>
      <c r="FD52" s="18"/>
      <c r="FE52" s="18"/>
      <c r="FF52" s="18"/>
      <c r="FG52" s="18"/>
      <c r="FH52" s="18"/>
      <c r="FI52" s="18"/>
      <c r="FJ52" s="18">
        <v>1370</v>
      </c>
      <c r="FK52" s="18">
        <v>5479</v>
      </c>
      <c r="FL52" s="18">
        <v>10959</v>
      </c>
      <c r="FM52" s="18">
        <v>16438</v>
      </c>
      <c r="FN52" s="18">
        <v>20548</v>
      </c>
      <c r="FO52" s="18">
        <v>23288</v>
      </c>
      <c r="FP52" s="18">
        <v>23288</v>
      </c>
      <c r="FQ52" s="18">
        <v>17808</v>
      </c>
      <c r="FR52" s="18">
        <v>10959</v>
      </c>
      <c r="FS52" s="18">
        <v>5479</v>
      </c>
      <c r="FT52" s="18">
        <v>1370</v>
      </c>
      <c r="FU52" s="18"/>
      <c r="FV52" s="18"/>
      <c r="FW52" s="18"/>
      <c r="FX52" s="18"/>
      <c r="FY52" s="18"/>
      <c r="FZ52" s="18"/>
      <c r="GA52" s="18"/>
      <c r="GB52" s="19">
        <f t="shared" si="9"/>
        <v>136986</v>
      </c>
      <c r="GC52" s="38">
        <v>4</v>
      </c>
      <c r="GD52" s="19">
        <f t="shared" si="33"/>
        <v>547944</v>
      </c>
      <c r="GE52" s="103"/>
      <c r="GG52" s="100"/>
      <c r="GH52" s="21" t="s">
        <v>41</v>
      </c>
      <c r="GI52" s="18"/>
      <c r="GJ52" s="18"/>
      <c r="GK52" s="18"/>
      <c r="GL52" s="18"/>
      <c r="GM52" s="18"/>
      <c r="GN52" s="18"/>
      <c r="GO52" s="18">
        <v>1366</v>
      </c>
      <c r="GP52" s="18">
        <v>5464</v>
      </c>
      <c r="GQ52" s="18">
        <v>10929</v>
      </c>
      <c r="GR52" s="18">
        <v>16393</v>
      </c>
      <c r="GS52" s="18">
        <v>20492</v>
      </c>
      <c r="GT52" s="18">
        <v>23224</v>
      </c>
      <c r="GU52" s="18">
        <v>23224</v>
      </c>
      <c r="GV52" s="18">
        <v>17760</v>
      </c>
      <c r="GW52" s="18">
        <v>10929</v>
      </c>
      <c r="GX52" s="18">
        <v>5464</v>
      </c>
      <c r="GY52" s="18">
        <v>1366</v>
      </c>
      <c r="GZ52" s="18"/>
      <c r="HA52" s="18"/>
      <c r="HB52" s="18"/>
      <c r="HC52" s="18"/>
      <c r="HD52" s="18"/>
      <c r="HE52" s="18"/>
      <c r="HF52" s="18"/>
      <c r="HG52" s="19">
        <f t="shared" si="11"/>
        <v>136611</v>
      </c>
      <c r="HH52" s="38">
        <v>3</v>
      </c>
      <c r="HI52" s="19">
        <f t="shared" si="34"/>
        <v>409833</v>
      </c>
      <c r="HJ52" s="103"/>
      <c r="HL52" s="100"/>
      <c r="HM52" s="21" t="s">
        <v>41</v>
      </c>
      <c r="HN52" s="18"/>
      <c r="HO52" s="18"/>
      <c r="HP52" s="18"/>
      <c r="HQ52" s="18"/>
      <c r="HR52" s="18"/>
      <c r="HS52" s="18"/>
      <c r="HT52" s="18">
        <v>1370</v>
      </c>
      <c r="HU52" s="18">
        <v>5479</v>
      </c>
      <c r="HV52" s="18">
        <v>10959</v>
      </c>
      <c r="HW52" s="18">
        <v>16438</v>
      </c>
      <c r="HX52" s="18">
        <v>20548</v>
      </c>
      <c r="HY52" s="18">
        <v>23288</v>
      </c>
      <c r="HZ52" s="18">
        <v>23288</v>
      </c>
      <c r="IA52" s="18">
        <v>17808</v>
      </c>
      <c r="IB52" s="18">
        <v>10959</v>
      </c>
      <c r="IC52" s="18">
        <v>5479</v>
      </c>
      <c r="ID52" s="18">
        <v>1370</v>
      </c>
      <c r="IE52" s="18"/>
      <c r="IF52" s="18"/>
      <c r="IG52" s="18"/>
      <c r="IH52" s="18"/>
      <c r="II52" s="18"/>
      <c r="IJ52" s="18"/>
      <c r="IK52" s="18"/>
      <c r="IL52" s="19">
        <f t="shared" si="13"/>
        <v>136986</v>
      </c>
      <c r="IM52" s="38">
        <v>5</v>
      </c>
      <c r="IN52" s="19">
        <f t="shared" si="35"/>
        <v>684930</v>
      </c>
      <c r="IO52" s="103"/>
      <c r="IQ52" s="100"/>
      <c r="IR52" s="21" t="s">
        <v>41</v>
      </c>
      <c r="IS52" s="18"/>
      <c r="IT52" s="18"/>
      <c r="IU52" s="18"/>
      <c r="IV52" s="18"/>
      <c r="IW52" s="18"/>
      <c r="IX52" s="18"/>
      <c r="IY52" s="18">
        <v>1370</v>
      </c>
      <c r="IZ52" s="18">
        <v>5479</v>
      </c>
      <c r="JA52" s="18">
        <v>10959</v>
      </c>
      <c r="JB52" s="18">
        <v>16438</v>
      </c>
      <c r="JC52" s="18">
        <v>20548</v>
      </c>
      <c r="JD52" s="18">
        <v>23288</v>
      </c>
      <c r="JE52" s="18">
        <v>23288</v>
      </c>
      <c r="JF52" s="18">
        <v>17808</v>
      </c>
      <c r="JG52" s="18">
        <v>10959</v>
      </c>
      <c r="JH52" s="18">
        <v>5479</v>
      </c>
      <c r="JI52" s="18">
        <v>1370</v>
      </c>
      <c r="JJ52" s="18"/>
      <c r="JK52" s="18"/>
      <c r="JL52" s="18"/>
      <c r="JM52" s="18"/>
      <c r="JN52" s="18"/>
      <c r="JO52" s="18"/>
      <c r="JP52" s="18"/>
      <c r="JQ52" s="19">
        <f t="shared" si="15"/>
        <v>136986</v>
      </c>
      <c r="JR52" s="38">
        <v>5</v>
      </c>
      <c r="JS52" s="19">
        <f t="shared" si="36"/>
        <v>684930</v>
      </c>
      <c r="JT52" s="103"/>
      <c r="JV52" s="100"/>
      <c r="JW52" s="21" t="s">
        <v>41</v>
      </c>
      <c r="JX52" s="18"/>
      <c r="JY52" s="18"/>
      <c r="JZ52" s="18"/>
      <c r="KA52" s="18"/>
      <c r="KB52" s="18"/>
      <c r="KC52" s="18"/>
      <c r="KD52" s="18"/>
      <c r="KE52" s="18">
        <v>1370</v>
      </c>
      <c r="KF52" s="18">
        <v>5479</v>
      </c>
      <c r="KG52" s="18">
        <v>10959</v>
      </c>
      <c r="KH52" s="18">
        <v>16438</v>
      </c>
      <c r="KI52" s="18">
        <v>20548</v>
      </c>
      <c r="KJ52" s="18">
        <v>23288</v>
      </c>
      <c r="KK52" s="18">
        <v>23288</v>
      </c>
      <c r="KL52" s="18">
        <v>17808</v>
      </c>
      <c r="KM52" s="18">
        <v>10959</v>
      </c>
      <c r="KN52" s="18">
        <v>5479</v>
      </c>
      <c r="KO52" s="18">
        <v>1370</v>
      </c>
      <c r="KP52" s="18"/>
      <c r="KQ52" s="18"/>
      <c r="KR52" s="18"/>
      <c r="KS52" s="18"/>
      <c r="KT52" s="18"/>
      <c r="KU52" s="18"/>
      <c r="KV52" s="19">
        <f t="shared" si="17"/>
        <v>136986</v>
      </c>
      <c r="KW52" s="38">
        <v>4</v>
      </c>
      <c r="KX52" s="19">
        <f t="shared" si="37"/>
        <v>547944</v>
      </c>
      <c r="KY52" s="103"/>
      <c r="LA52" s="100"/>
      <c r="LB52" s="21" t="s">
        <v>41</v>
      </c>
      <c r="LC52" s="18"/>
      <c r="LD52" s="18"/>
      <c r="LE52" s="18"/>
      <c r="LF52" s="18"/>
      <c r="LG52" s="18"/>
      <c r="LH52" s="18"/>
      <c r="LI52" s="18">
        <v>1366</v>
      </c>
      <c r="LJ52" s="18">
        <v>5464</v>
      </c>
      <c r="LK52" s="18">
        <v>10929</v>
      </c>
      <c r="LL52" s="18">
        <v>16393</v>
      </c>
      <c r="LM52" s="18">
        <v>20492</v>
      </c>
      <c r="LN52" s="18">
        <v>23224</v>
      </c>
      <c r="LO52" s="18">
        <v>23224</v>
      </c>
      <c r="LP52" s="18">
        <v>17760</v>
      </c>
      <c r="LQ52" s="18">
        <v>10929</v>
      </c>
      <c r="LR52" s="18">
        <v>5464</v>
      </c>
      <c r="LS52" s="18">
        <v>1366</v>
      </c>
      <c r="LT52" s="18"/>
      <c r="LU52" s="18"/>
      <c r="LV52" s="18"/>
      <c r="LW52" s="18"/>
      <c r="LX52" s="18"/>
      <c r="LY52" s="18"/>
      <c r="LZ52" s="18"/>
      <c r="MA52" s="19">
        <f t="shared" si="19"/>
        <v>136611</v>
      </c>
      <c r="MB52" s="38">
        <v>4</v>
      </c>
      <c r="MC52" s="19">
        <f t="shared" si="38"/>
        <v>546444</v>
      </c>
      <c r="MD52" s="103"/>
      <c r="MF52" s="100"/>
      <c r="MG52" s="21" t="s">
        <v>41</v>
      </c>
      <c r="MH52" s="18"/>
      <c r="MI52" s="18"/>
      <c r="MJ52" s="18"/>
      <c r="MK52" s="18"/>
      <c r="ML52" s="18"/>
      <c r="MM52" s="18"/>
      <c r="MN52" s="18">
        <v>1370</v>
      </c>
      <c r="MO52" s="18">
        <v>5479</v>
      </c>
      <c r="MP52" s="18">
        <v>10959</v>
      </c>
      <c r="MQ52" s="18">
        <v>16438</v>
      </c>
      <c r="MR52" s="18">
        <v>20548</v>
      </c>
      <c r="MS52" s="18">
        <v>23288</v>
      </c>
      <c r="MT52" s="18">
        <v>23288</v>
      </c>
      <c r="MU52" s="18">
        <v>17808</v>
      </c>
      <c r="MV52" s="18">
        <v>10959</v>
      </c>
      <c r="MW52" s="18">
        <v>5479</v>
      </c>
      <c r="MX52" s="18">
        <v>1370</v>
      </c>
      <c r="MY52" s="18"/>
      <c r="MZ52" s="18"/>
      <c r="NA52" s="18"/>
      <c r="NB52" s="18"/>
      <c r="NC52" s="18"/>
      <c r="ND52" s="18"/>
      <c r="NE52" s="18"/>
      <c r="NF52" s="19">
        <f t="shared" si="21"/>
        <v>136986</v>
      </c>
      <c r="NG52" s="38">
        <v>4</v>
      </c>
      <c r="NH52" s="19">
        <f t="shared" si="39"/>
        <v>547944</v>
      </c>
      <c r="NI52" s="103"/>
      <c r="NK52" s="100"/>
      <c r="NL52" s="21" t="s">
        <v>41</v>
      </c>
      <c r="NM52" s="18"/>
      <c r="NN52" s="18"/>
      <c r="NO52" s="18"/>
      <c r="NP52" s="18"/>
      <c r="NQ52" s="18"/>
      <c r="NR52" s="18"/>
      <c r="NS52" s="18">
        <v>1370</v>
      </c>
      <c r="NT52" s="18">
        <v>5479</v>
      </c>
      <c r="NU52" s="18">
        <v>10959</v>
      </c>
      <c r="NV52" s="18">
        <v>16438</v>
      </c>
      <c r="NW52" s="18">
        <v>20548</v>
      </c>
      <c r="NX52" s="18">
        <v>23288</v>
      </c>
      <c r="NY52" s="18">
        <v>23288</v>
      </c>
      <c r="NZ52" s="18">
        <v>17808</v>
      </c>
      <c r="OA52" s="18">
        <v>10959</v>
      </c>
      <c r="OB52" s="18">
        <v>5479</v>
      </c>
      <c r="OC52" s="18">
        <v>1370</v>
      </c>
      <c r="OD52" s="18"/>
      <c r="OE52" s="18"/>
      <c r="OF52" s="18"/>
      <c r="OG52" s="18"/>
      <c r="OH52" s="18"/>
      <c r="OI52" s="18"/>
      <c r="OJ52" s="18"/>
      <c r="OK52" s="19">
        <f t="shared" si="23"/>
        <v>136986</v>
      </c>
      <c r="OL52" s="80">
        <v>3</v>
      </c>
      <c r="OM52" s="19">
        <f t="shared" si="40"/>
        <v>410958</v>
      </c>
      <c r="ON52" s="103"/>
      <c r="OP52" s="100"/>
      <c r="OQ52" s="21" t="s">
        <v>41</v>
      </c>
      <c r="OR52" s="18"/>
      <c r="OS52" s="18"/>
      <c r="OT52" s="18"/>
      <c r="OU52" s="18"/>
      <c r="OV52" s="18"/>
      <c r="OW52" s="18"/>
      <c r="OX52" s="18">
        <v>1370</v>
      </c>
      <c r="OY52" s="18">
        <v>5479</v>
      </c>
      <c r="OZ52" s="18">
        <v>10959</v>
      </c>
      <c r="PA52" s="18">
        <v>16438</v>
      </c>
      <c r="PB52" s="18">
        <v>20548</v>
      </c>
      <c r="PC52" s="18">
        <v>23288</v>
      </c>
      <c r="PD52" s="18">
        <v>23288</v>
      </c>
      <c r="PE52" s="18">
        <v>17808</v>
      </c>
      <c r="PF52" s="18">
        <v>10959</v>
      </c>
      <c r="PG52" s="18">
        <v>5479</v>
      </c>
      <c r="PH52" s="18">
        <v>1370</v>
      </c>
      <c r="PI52" s="18"/>
      <c r="PJ52" s="18"/>
      <c r="PK52" s="18"/>
      <c r="PL52" s="18"/>
      <c r="PM52" s="18"/>
      <c r="PN52" s="18"/>
      <c r="PO52" s="18"/>
      <c r="PP52" s="19">
        <f t="shared" si="25"/>
        <v>136986</v>
      </c>
      <c r="PQ52" s="38">
        <v>5</v>
      </c>
      <c r="PR52" s="19">
        <f t="shared" si="41"/>
        <v>684930</v>
      </c>
      <c r="PS52" s="103"/>
      <c r="PU52" s="100"/>
      <c r="PV52" s="21" t="s">
        <v>41</v>
      </c>
      <c r="PW52" s="18"/>
      <c r="PX52" s="18"/>
      <c r="PY52" s="18"/>
      <c r="PZ52" s="18"/>
      <c r="QA52" s="18"/>
      <c r="QB52" s="18"/>
      <c r="QC52" s="18">
        <v>1366</v>
      </c>
      <c r="QD52" s="18">
        <v>5464</v>
      </c>
      <c r="QE52" s="18">
        <v>10929</v>
      </c>
      <c r="QF52" s="18">
        <v>16393</v>
      </c>
      <c r="QG52" s="18">
        <v>20492</v>
      </c>
      <c r="QH52" s="18">
        <v>23224</v>
      </c>
      <c r="QI52" s="18">
        <v>23224</v>
      </c>
      <c r="QJ52" s="18">
        <v>17760</v>
      </c>
      <c r="QK52" s="18">
        <v>10929</v>
      </c>
      <c r="QL52" s="18">
        <v>5464</v>
      </c>
      <c r="QM52" s="18">
        <v>1366</v>
      </c>
      <c r="QN52" s="18"/>
      <c r="QO52" s="18"/>
      <c r="QP52" s="18"/>
      <c r="QQ52" s="18"/>
      <c r="QR52" s="18"/>
      <c r="QS52" s="18"/>
      <c r="QT52" s="18"/>
      <c r="QU52" s="19">
        <f t="shared" si="27"/>
        <v>136611</v>
      </c>
      <c r="QV52" s="45">
        <v>4</v>
      </c>
      <c r="QW52" s="19">
        <f t="shared" si="42"/>
        <v>546444</v>
      </c>
      <c r="QX52" s="103"/>
    </row>
    <row r="53" spans="1:466" x14ac:dyDescent="0.35">
      <c r="A53" s="100"/>
      <c r="B53" s="21" t="s">
        <v>42</v>
      </c>
      <c r="C53" s="18"/>
      <c r="D53" s="18"/>
      <c r="E53" s="18"/>
      <c r="F53" s="18"/>
      <c r="G53" s="18"/>
      <c r="H53" s="18"/>
      <c r="I53" s="18">
        <v>1370</v>
      </c>
      <c r="J53" s="18">
        <v>5479</v>
      </c>
      <c r="K53" s="18">
        <v>10959</v>
      </c>
      <c r="L53" s="18">
        <v>16438</v>
      </c>
      <c r="M53" s="18">
        <v>20548</v>
      </c>
      <c r="N53" s="18">
        <v>23288</v>
      </c>
      <c r="O53" s="18">
        <v>23288</v>
      </c>
      <c r="P53" s="18">
        <v>17808</v>
      </c>
      <c r="Q53" s="18">
        <v>10959</v>
      </c>
      <c r="R53" s="18">
        <v>5479</v>
      </c>
      <c r="S53" s="18">
        <v>1370</v>
      </c>
      <c r="T53" s="18"/>
      <c r="U53" s="18"/>
      <c r="V53" s="18"/>
      <c r="W53" s="18"/>
      <c r="X53" s="18"/>
      <c r="Y53" s="18"/>
      <c r="Z53" s="18"/>
      <c r="AA53" s="19">
        <f t="shared" si="0"/>
        <v>136986</v>
      </c>
      <c r="AB53" s="38">
        <v>4</v>
      </c>
      <c r="AC53" s="19">
        <f t="shared" si="1"/>
        <v>547944</v>
      </c>
      <c r="AD53" s="103"/>
      <c r="AF53" s="100"/>
      <c r="AG53" s="21" t="s">
        <v>42</v>
      </c>
      <c r="AH53" s="18"/>
      <c r="AI53" s="18"/>
      <c r="AJ53" s="18"/>
      <c r="AK53" s="18"/>
      <c r="AL53" s="18"/>
      <c r="AM53" s="18"/>
      <c r="AN53" s="18">
        <v>1370</v>
      </c>
      <c r="AO53" s="18">
        <v>5479</v>
      </c>
      <c r="AP53" s="18">
        <v>10959</v>
      </c>
      <c r="AQ53" s="18">
        <v>16438</v>
      </c>
      <c r="AR53" s="18">
        <v>20548</v>
      </c>
      <c r="AS53" s="18">
        <v>23288</v>
      </c>
      <c r="AT53" s="18">
        <v>23288</v>
      </c>
      <c r="AU53" s="18">
        <v>17808</v>
      </c>
      <c r="AV53" s="18">
        <v>10959</v>
      </c>
      <c r="AW53" s="18">
        <v>5479</v>
      </c>
      <c r="AX53" s="18">
        <v>1370</v>
      </c>
      <c r="AY53" s="18"/>
      <c r="AZ53" s="18"/>
      <c r="BA53" s="18"/>
      <c r="BB53" s="18"/>
      <c r="BC53" s="18"/>
      <c r="BD53" s="18"/>
      <c r="BE53" s="18"/>
      <c r="BF53" s="19">
        <f t="shared" si="2"/>
        <v>136986</v>
      </c>
      <c r="BG53" s="38">
        <v>4</v>
      </c>
      <c r="BH53" s="19">
        <f t="shared" si="29"/>
        <v>547944</v>
      </c>
      <c r="BI53" s="103"/>
      <c r="BK53" s="100"/>
      <c r="BL53" s="21" t="s">
        <v>42</v>
      </c>
      <c r="BM53" s="18"/>
      <c r="BN53" s="18"/>
      <c r="BO53" s="18"/>
      <c r="BP53" s="18"/>
      <c r="BQ53" s="18"/>
      <c r="BR53" s="18"/>
      <c r="BS53" s="18">
        <v>1366</v>
      </c>
      <c r="BT53" s="18">
        <v>5464</v>
      </c>
      <c r="BU53" s="18">
        <v>10929</v>
      </c>
      <c r="BV53" s="18">
        <v>16393</v>
      </c>
      <c r="BW53" s="18">
        <v>20492</v>
      </c>
      <c r="BX53" s="18">
        <v>23224</v>
      </c>
      <c r="BY53" s="18">
        <v>23224</v>
      </c>
      <c r="BZ53" s="18">
        <v>17760</v>
      </c>
      <c r="CA53" s="18">
        <v>10929</v>
      </c>
      <c r="CB53" s="18">
        <v>5464</v>
      </c>
      <c r="CC53" s="18">
        <v>1366</v>
      </c>
      <c r="CD53" s="18"/>
      <c r="CE53" s="18"/>
      <c r="CF53" s="18"/>
      <c r="CG53" s="18"/>
      <c r="CH53" s="18"/>
      <c r="CI53" s="18"/>
      <c r="CJ53" s="18"/>
      <c r="CK53" s="19">
        <f t="shared" si="4"/>
        <v>136611</v>
      </c>
      <c r="CL53" s="38">
        <v>5</v>
      </c>
      <c r="CM53" s="19">
        <f t="shared" si="30"/>
        <v>683055</v>
      </c>
      <c r="CN53" s="103"/>
      <c r="CP53" s="100"/>
      <c r="CQ53" s="21" t="s">
        <v>42</v>
      </c>
      <c r="CR53" s="18"/>
      <c r="CS53" s="18"/>
      <c r="CT53" s="18"/>
      <c r="CU53" s="18"/>
      <c r="CV53" s="18"/>
      <c r="CW53" s="18"/>
      <c r="CX53" s="18">
        <v>1370</v>
      </c>
      <c r="CY53" s="18">
        <v>5479</v>
      </c>
      <c r="CZ53" s="18">
        <v>10959</v>
      </c>
      <c r="DA53" s="18">
        <v>16438</v>
      </c>
      <c r="DB53" s="18">
        <v>20548</v>
      </c>
      <c r="DC53" s="18">
        <v>23288</v>
      </c>
      <c r="DD53" s="18">
        <v>23288</v>
      </c>
      <c r="DE53" s="18">
        <v>17808</v>
      </c>
      <c r="DF53" s="18">
        <v>10959</v>
      </c>
      <c r="DG53" s="18">
        <v>5479</v>
      </c>
      <c r="DH53" s="18">
        <v>1370</v>
      </c>
      <c r="DI53" s="18"/>
      <c r="DJ53" s="18"/>
      <c r="DK53" s="18"/>
      <c r="DL53" s="18"/>
      <c r="DM53" s="18"/>
      <c r="DN53" s="18"/>
      <c r="DO53" s="18"/>
      <c r="DP53" s="19">
        <f t="shared" si="6"/>
        <v>136986</v>
      </c>
      <c r="DQ53" s="38">
        <v>5</v>
      </c>
      <c r="DR53" s="19">
        <f t="shared" si="31"/>
        <v>684930</v>
      </c>
      <c r="DS53" s="103"/>
      <c r="DV53" s="100"/>
      <c r="DW53" s="21" t="s">
        <v>42</v>
      </c>
      <c r="DX53" s="18"/>
      <c r="DY53" s="18"/>
      <c r="DZ53" s="18"/>
      <c r="EA53" s="18"/>
      <c r="EB53" s="18"/>
      <c r="EC53" s="18"/>
      <c r="ED53" s="18">
        <v>1370</v>
      </c>
      <c r="EE53" s="18">
        <v>5479</v>
      </c>
      <c r="EF53" s="18">
        <v>10959</v>
      </c>
      <c r="EG53" s="18">
        <v>16438</v>
      </c>
      <c r="EH53" s="18">
        <v>20548</v>
      </c>
      <c r="EI53" s="18">
        <v>23288</v>
      </c>
      <c r="EJ53" s="18">
        <v>23288</v>
      </c>
      <c r="EK53" s="18">
        <v>17808</v>
      </c>
      <c r="EL53" s="18">
        <v>10959</v>
      </c>
      <c r="EM53" s="18">
        <v>5479</v>
      </c>
      <c r="EN53" s="18">
        <v>1370</v>
      </c>
      <c r="EO53" s="18"/>
      <c r="EP53" s="18"/>
      <c r="EQ53" s="18"/>
      <c r="ER53" s="18"/>
      <c r="ES53" s="18"/>
      <c r="ET53" s="18"/>
      <c r="EU53" s="18"/>
      <c r="EV53" s="19">
        <f t="shared" si="8"/>
        <v>136986</v>
      </c>
      <c r="EW53" s="38">
        <v>4</v>
      </c>
      <c r="EX53" s="19">
        <f t="shared" si="32"/>
        <v>547944</v>
      </c>
      <c r="EY53" s="103"/>
      <c r="FB53" s="100"/>
      <c r="FC53" s="21" t="s">
        <v>42</v>
      </c>
      <c r="FD53" s="18"/>
      <c r="FE53" s="18"/>
      <c r="FF53" s="18"/>
      <c r="FG53" s="18"/>
      <c r="FH53" s="18"/>
      <c r="FI53" s="18"/>
      <c r="FJ53" s="18">
        <v>1370</v>
      </c>
      <c r="FK53" s="18">
        <v>5479</v>
      </c>
      <c r="FL53" s="18">
        <v>10959</v>
      </c>
      <c r="FM53" s="18">
        <v>16438</v>
      </c>
      <c r="FN53" s="18">
        <v>20548</v>
      </c>
      <c r="FO53" s="18">
        <v>23288</v>
      </c>
      <c r="FP53" s="18">
        <v>23288</v>
      </c>
      <c r="FQ53" s="18">
        <v>17808</v>
      </c>
      <c r="FR53" s="18">
        <v>10959</v>
      </c>
      <c r="FS53" s="18">
        <v>5479</v>
      </c>
      <c r="FT53" s="18">
        <v>1370</v>
      </c>
      <c r="FU53" s="18"/>
      <c r="FV53" s="18"/>
      <c r="FW53" s="18"/>
      <c r="FX53" s="18"/>
      <c r="FY53" s="18"/>
      <c r="FZ53" s="18"/>
      <c r="GA53" s="18"/>
      <c r="GB53" s="19">
        <f t="shared" si="9"/>
        <v>136986</v>
      </c>
      <c r="GC53" s="38">
        <v>4</v>
      </c>
      <c r="GD53" s="19">
        <f t="shared" si="33"/>
        <v>547944</v>
      </c>
      <c r="GE53" s="103"/>
      <c r="GG53" s="100"/>
      <c r="GH53" s="21" t="s">
        <v>42</v>
      </c>
      <c r="GI53" s="18"/>
      <c r="GJ53" s="18"/>
      <c r="GK53" s="18"/>
      <c r="GL53" s="18"/>
      <c r="GM53" s="18"/>
      <c r="GN53" s="18"/>
      <c r="GO53" s="18">
        <v>1366</v>
      </c>
      <c r="GP53" s="18">
        <v>5464</v>
      </c>
      <c r="GQ53" s="18">
        <v>10929</v>
      </c>
      <c r="GR53" s="18">
        <v>16393</v>
      </c>
      <c r="GS53" s="18">
        <v>20492</v>
      </c>
      <c r="GT53" s="18">
        <v>23224</v>
      </c>
      <c r="GU53" s="18">
        <v>23224</v>
      </c>
      <c r="GV53" s="18">
        <v>17760</v>
      </c>
      <c r="GW53" s="18">
        <v>10929</v>
      </c>
      <c r="GX53" s="18">
        <v>5464</v>
      </c>
      <c r="GY53" s="18">
        <v>1366</v>
      </c>
      <c r="GZ53" s="18"/>
      <c r="HA53" s="18"/>
      <c r="HB53" s="18"/>
      <c r="HC53" s="18"/>
      <c r="HD53" s="18"/>
      <c r="HE53" s="18"/>
      <c r="HF53" s="18"/>
      <c r="HG53" s="19">
        <f t="shared" si="11"/>
        <v>136611</v>
      </c>
      <c r="HH53" s="38">
        <v>4</v>
      </c>
      <c r="HI53" s="19">
        <f t="shared" si="34"/>
        <v>546444</v>
      </c>
      <c r="HJ53" s="103"/>
      <c r="HL53" s="100"/>
      <c r="HM53" s="21" t="s">
        <v>42</v>
      </c>
      <c r="HN53" s="18"/>
      <c r="HO53" s="18"/>
      <c r="HP53" s="18"/>
      <c r="HQ53" s="18"/>
      <c r="HR53" s="18"/>
      <c r="HS53" s="18"/>
      <c r="HT53" s="18">
        <v>1370</v>
      </c>
      <c r="HU53" s="18">
        <v>5479</v>
      </c>
      <c r="HV53" s="18">
        <v>10959</v>
      </c>
      <c r="HW53" s="18">
        <v>16438</v>
      </c>
      <c r="HX53" s="18">
        <v>20548</v>
      </c>
      <c r="HY53" s="18">
        <v>23288</v>
      </c>
      <c r="HZ53" s="18">
        <v>23288</v>
      </c>
      <c r="IA53" s="18">
        <v>17808</v>
      </c>
      <c r="IB53" s="18">
        <v>10959</v>
      </c>
      <c r="IC53" s="18">
        <v>5479</v>
      </c>
      <c r="ID53" s="18">
        <v>1370</v>
      </c>
      <c r="IE53" s="18"/>
      <c r="IF53" s="18"/>
      <c r="IG53" s="18"/>
      <c r="IH53" s="18"/>
      <c r="II53" s="18"/>
      <c r="IJ53" s="18"/>
      <c r="IK53" s="18"/>
      <c r="IL53" s="19">
        <f t="shared" si="13"/>
        <v>136986</v>
      </c>
      <c r="IM53" s="38">
        <v>3</v>
      </c>
      <c r="IN53" s="19">
        <f t="shared" si="35"/>
        <v>410958</v>
      </c>
      <c r="IO53" s="103"/>
      <c r="IQ53" s="100"/>
      <c r="IR53" s="21" t="s">
        <v>42</v>
      </c>
      <c r="IS53" s="18"/>
      <c r="IT53" s="18"/>
      <c r="IU53" s="18"/>
      <c r="IV53" s="18"/>
      <c r="IW53" s="18"/>
      <c r="IX53" s="18"/>
      <c r="IY53" s="18">
        <v>1370</v>
      </c>
      <c r="IZ53" s="18">
        <v>5479</v>
      </c>
      <c r="JA53" s="18">
        <v>10959</v>
      </c>
      <c r="JB53" s="18">
        <v>16438</v>
      </c>
      <c r="JC53" s="18">
        <v>20548</v>
      </c>
      <c r="JD53" s="18">
        <v>23288</v>
      </c>
      <c r="JE53" s="18">
        <v>23288</v>
      </c>
      <c r="JF53" s="18">
        <v>17808</v>
      </c>
      <c r="JG53" s="18">
        <v>10959</v>
      </c>
      <c r="JH53" s="18">
        <v>5479</v>
      </c>
      <c r="JI53" s="18">
        <v>1370</v>
      </c>
      <c r="JJ53" s="18"/>
      <c r="JK53" s="18"/>
      <c r="JL53" s="18"/>
      <c r="JM53" s="18"/>
      <c r="JN53" s="18"/>
      <c r="JO53" s="18"/>
      <c r="JP53" s="18"/>
      <c r="JQ53" s="19">
        <f t="shared" si="15"/>
        <v>136986</v>
      </c>
      <c r="JR53" s="38">
        <v>5</v>
      </c>
      <c r="JS53" s="19">
        <f t="shared" si="36"/>
        <v>684930</v>
      </c>
      <c r="JT53" s="103"/>
      <c r="JV53" s="100"/>
      <c r="JW53" s="21" t="s">
        <v>42</v>
      </c>
      <c r="JX53" s="18"/>
      <c r="JY53" s="18"/>
      <c r="JZ53" s="18"/>
      <c r="KA53" s="18"/>
      <c r="KB53" s="18"/>
      <c r="KC53" s="18"/>
      <c r="KD53" s="18"/>
      <c r="KE53" s="18">
        <v>1370</v>
      </c>
      <c r="KF53" s="18">
        <v>5479</v>
      </c>
      <c r="KG53" s="18">
        <v>10959</v>
      </c>
      <c r="KH53" s="18">
        <v>16438</v>
      </c>
      <c r="KI53" s="18">
        <v>20548</v>
      </c>
      <c r="KJ53" s="18">
        <v>23288</v>
      </c>
      <c r="KK53" s="18">
        <v>23288</v>
      </c>
      <c r="KL53" s="18">
        <v>17808</v>
      </c>
      <c r="KM53" s="18">
        <v>10959</v>
      </c>
      <c r="KN53" s="18">
        <v>5479</v>
      </c>
      <c r="KO53" s="18">
        <v>1370</v>
      </c>
      <c r="KP53" s="18"/>
      <c r="KQ53" s="18"/>
      <c r="KR53" s="18"/>
      <c r="KS53" s="18"/>
      <c r="KT53" s="18"/>
      <c r="KU53" s="18"/>
      <c r="KV53" s="19">
        <f t="shared" si="17"/>
        <v>136986</v>
      </c>
      <c r="KW53" s="38">
        <v>5</v>
      </c>
      <c r="KX53" s="19">
        <f t="shared" si="37"/>
        <v>684930</v>
      </c>
      <c r="KY53" s="103"/>
      <c r="LA53" s="100"/>
      <c r="LB53" s="21" t="s">
        <v>42</v>
      </c>
      <c r="LC53" s="18"/>
      <c r="LD53" s="18"/>
      <c r="LE53" s="18"/>
      <c r="LF53" s="18"/>
      <c r="LG53" s="18"/>
      <c r="LH53" s="18"/>
      <c r="LI53" s="18">
        <v>1366</v>
      </c>
      <c r="LJ53" s="18">
        <v>5464</v>
      </c>
      <c r="LK53" s="18">
        <v>10929</v>
      </c>
      <c r="LL53" s="18">
        <v>16393</v>
      </c>
      <c r="LM53" s="18">
        <v>20492</v>
      </c>
      <c r="LN53" s="18">
        <v>23224</v>
      </c>
      <c r="LO53" s="18">
        <v>23224</v>
      </c>
      <c r="LP53" s="18">
        <v>17760</v>
      </c>
      <c r="LQ53" s="18">
        <v>10929</v>
      </c>
      <c r="LR53" s="18">
        <v>5464</v>
      </c>
      <c r="LS53" s="18">
        <v>1366</v>
      </c>
      <c r="LT53" s="18"/>
      <c r="LU53" s="18"/>
      <c r="LV53" s="18"/>
      <c r="LW53" s="18"/>
      <c r="LX53" s="18"/>
      <c r="LY53" s="18"/>
      <c r="LZ53" s="18"/>
      <c r="MA53" s="19">
        <f t="shared" si="19"/>
        <v>136611</v>
      </c>
      <c r="MB53" s="38">
        <v>4</v>
      </c>
      <c r="MC53" s="19">
        <f t="shared" si="38"/>
        <v>546444</v>
      </c>
      <c r="MD53" s="103"/>
      <c r="MF53" s="100"/>
      <c r="MG53" s="21" t="s">
        <v>42</v>
      </c>
      <c r="MH53" s="18"/>
      <c r="MI53" s="18"/>
      <c r="MJ53" s="18"/>
      <c r="MK53" s="18"/>
      <c r="ML53" s="18"/>
      <c r="MM53" s="18"/>
      <c r="MN53" s="18">
        <v>1370</v>
      </c>
      <c r="MO53" s="18">
        <v>5479</v>
      </c>
      <c r="MP53" s="18">
        <v>10959</v>
      </c>
      <c r="MQ53" s="18">
        <v>16438</v>
      </c>
      <c r="MR53" s="18">
        <v>20548</v>
      </c>
      <c r="MS53" s="18">
        <v>23288</v>
      </c>
      <c r="MT53" s="18">
        <v>23288</v>
      </c>
      <c r="MU53" s="18">
        <v>17808</v>
      </c>
      <c r="MV53" s="18">
        <v>10959</v>
      </c>
      <c r="MW53" s="18">
        <v>5479</v>
      </c>
      <c r="MX53" s="18">
        <v>1370</v>
      </c>
      <c r="MY53" s="18"/>
      <c r="MZ53" s="18"/>
      <c r="NA53" s="18"/>
      <c r="NB53" s="18"/>
      <c r="NC53" s="18"/>
      <c r="ND53" s="18"/>
      <c r="NE53" s="18"/>
      <c r="NF53" s="19">
        <f t="shared" si="21"/>
        <v>136986</v>
      </c>
      <c r="NG53" s="38">
        <v>4</v>
      </c>
      <c r="NH53" s="19">
        <f t="shared" si="39"/>
        <v>547944</v>
      </c>
      <c r="NI53" s="103"/>
      <c r="NK53" s="100"/>
      <c r="NL53" s="21" t="s">
        <v>42</v>
      </c>
      <c r="NM53" s="18"/>
      <c r="NN53" s="18"/>
      <c r="NO53" s="18"/>
      <c r="NP53" s="18"/>
      <c r="NQ53" s="18"/>
      <c r="NR53" s="18"/>
      <c r="NS53" s="18">
        <v>1370</v>
      </c>
      <c r="NT53" s="18">
        <v>5479</v>
      </c>
      <c r="NU53" s="18">
        <v>10959</v>
      </c>
      <c r="NV53" s="18">
        <v>16438</v>
      </c>
      <c r="NW53" s="18">
        <v>20548</v>
      </c>
      <c r="NX53" s="18">
        <v>23288</v>
      </c>
      <c r="NY53" s="18">
        <v>23288</v>
      </c>
      <c r="NZ53" s="18">
        <v>17808</v>
      </c>
      <c r="OA53" s="18">
        <v>10959</v>
      </c>
      <c r="OB53" s="18">
        <v>5479</v>
      </c>
      <c r="OC53" s="18">
        <v>1370</v>
      </c>
      <c r="OD53" s="18"/>
      <c r="OE53" s="18"/>
      <c r="OF53" s="18"/>
      <c r="OG53" s="18"/>
      <c r="OH53" s="18"/>
      <c r="OI53" s="18"/>
      <c r="OJ53" s="18"/>
      <c r="OK53" s="19">
        <f t="shared" si="23"/>
        <v>136986</v>
      </c>
      <c r="OL53" s="80">
        <v>4</v>
      </c>
      <c r="OM53" s="19">
        <f t="shared" si="40"/>
        <v>547944</v>
      </c>
      <c r="ON53" s="103"/>
      <c r="OP53" s="100"/>
      <c r="OQ53" s="21" t="s">
        <v>42</v>
      </c>
      <c r="OR53" s="18"/>
      <c r="OS53" s="18"/>
      <c r="OT53" s="18"/>
      <c r="OU53" s="18"/>
      <c r="OV53" s="18"/>
      <c r="OW53" s="18"/>
      <c r="OX53" s="18">
        <v>1370</v>
      </c>
      <c r="OY53" s="18">
        <v>5479</v>
      </c>
      <c r="OZ53" s="18">
        <v>10959</v>
      </c>
      <c r="PA53" s="18">
        <v>16438</v>
      </c>
      <c r="PB53" s="18">
        <v>20548</v>
      </c>
      <c r="PC53" s="18">
        <v>23288</v>
      </c>
      <c r="PD53" s="18">
        <v>23288</v>
      </c>
      <c r="PE53" s="18">
        <v>17808</v>
      </c>
      <c r="PF53" s="18">
        <v>10959</v>
      </c>
      <c r="PG53" s="18">
        <v>5479</v>
      </c>
      <c r="PH53" s="18">
        <v>1370</v>
      </c>
      <c r="PI53" s="18"/>
      <c r="PJ53" s="18"/>
      <c r="PK53" s="18"/>
      <c r="PL53" s="18"/>
      <c r="PM53" s="18"/>
      <c r="PN53" s="18"/>
      <c r="PO53" s="18"/>
      <c r="PP53" s="19">
        <f t="shared" si="25"/>
        <v>136986</v>
      </c>
      <c r="PQ53" s="38">
        <v>3</v>
      </c>
      <c r="PR53" s="19">
        <f t="shared" si="41"/>
        <v>410958</v>
      </c>
      <c r="PS53" s="103"/>
      <c r="PU53" s="100"/>
      <c r="PV53" s="21" t="s">
        <v>42</v>
      </c>
      <c r="PW53" s="18"/>
      <c r="PX53" s="18"/>
      <c r="PY53" s="18"/>
      <c r="PZ53" s="18"/>
      <c r="QA53" s="18"/>
      <c r="QB53" s="18"/>
      <c r="QC53" s="18">
        <v>1366</v>
      </c>
      <c r="QD53" s="18">
        <v>5464</v>
      </c>
      <c r="QE53" s="18">
        <v>10929</v>
      </c>
      <c r="QF53" s="18">
        <v>16393</v>
      </c>
      <c r="QG53" s="18">
        <v>20492</v>
      </c>
      <c r="QH53" s="18">
        <v>23224</v>
      </c>
      <c r="QI53" s="18">
        <v>23224</v>
      </c>
      <c r="QJ53" s="18">
        <v>17760</v>
      </c>
      <c r="QK53" s="18">
        <v>10929</v>
      </c>
      <c r="QL53" s="18">
        <v>5464</v>
      </c>
      <c r="QM53" s="18">
        <v>1366</v>
      </c>
      <c r="QN53" s="18"/>
      <c r="QO53" s="18"/>
      <c r="QP53" s="18"/>
      <c r="QQ53" s="18"/>
      <c r="QR53" s="18"/>
      <c r="QS53" s="18"/>
      <c r="QT53" s="18"/>
      <c r="QU53" s="19">
        <f t="shared" si="27"/>
        <v>136611</v>
      </c>
      <c r="QV53" s="45">
        <v>5</v>
      </c>
      <c r="QW53" s="19">
        <f t="shared" si="42"/>
        <v>683055</v>
      </c>
      <c r="QX53" s="103"/>
    </row>
    <row r="54" spans="1:466" ht="15" thickBot="1" x14ac:dyDescent="0.4">
      <c r="A54" s="101"/>
      <c r="B54" s="22" t="s">
        <v>43</v>
      </c>
      <c r="C54" s="18"/>
      <c r="D54" s="18"/>
      <c r="E54" s="18"/>
      <c r="F54" s="18"/>
      <c r="G54" s="18"/>
      <c r="H54" s="18"/>
      <c r="I54" s="18">
        <v>1370</v>
      </c>
      <c r="J54" s="18">
        <v>5479</v>
      </c>
      <c r="K54" s="18">
        <v>10959</v>
      </c>
      <c r="L54" s="18">
        <v>16438</v>
      </c>
      <c r="M54" s="18">
        <v>20548</v>
      </c>
      <c r="N54" s="18">
        <v>23288</v>
      </c>
      <c r="O54" s="18">
        <v>23288</v>
      </c>
      <c r="P54" s="18">
        <v>17808</v>
      </c>
      <c r="Q54" s="18">
        <v>10959</v>
      </c>
      <c r="R54" s="18">
        <v>5479</v>
      </c>
      <c r="S54" s="18">
        <v>1370</v>
      </c>
      <c r="T54" s="18"/>
      <c r="U54" s="18"/>
      <c r="V54" s="18"/>
      <c r="W54" s="18"/>
      <c r="X54" s="18"/>
      <c r="Y54" s="18"/>
      <c r="Z54" s="18"/>
      <c r="AA54" s="19">
        <f t="shared" si="0"/>
        <v>136986</v>
      </c>
      <c r="AB54" s="39">
        <v>2</v>
      </c>
      <c r="AC54" s="19">
        <f t="shared" si="1"/>
        <v>273972</v>
      </c>
      <c r="AD54" s="104"/>
      <c r="AF54" s="101"/>
      <c r="AG54" s="22" t="s">
        <v>43</v>
      </c>
      <c r="AH54" s="18"/>
      <c r="AI54" s="18"/>
      <c r="AJ54" s="18"/>
      <c r="AK54" s="18"/>
      <c r="AL54" s="18"/>
      <c r="AM54" s="18"/>
      <c r="AN54" s="18">
        <v>1370</v>
      </c>
      <c r="AO54" s="18">
        <v>5479</v>
      </c>
      <c r="AP54" s="18">
        <v>10959</v>
      </c>
      <c r="AQ54" s="18">
        <v>16438</v>
      </c>
      <c r="AR54" s="18">
        <v>20548</v>
      </c>
      <c r="AS54" s="18">
        <v>23288</v>
      </c>
      <c r="AT54" s="18">
        <v>23288</v>
      </c>
      <c r="AU54" s="18">
        <v>17808</v>
      </c>
      <c r="AV54" s="18">
        <v>10959</v>
      </c>
      <c r="AW54" s="18">
        <v>5479</v>
      </c>
      <c r="AX54" s="18">
        <v>1370</v>
      </c>
      <c r="AY54" s="18"/>
      <c r="AZ54" s="18"/>
      <c r="BA54" s="18"/>
      <c r="BB54" s="18"/>
      <c r="BC54" s="18"/>
      <c r="BD54" s="18"/>
      <c r="BE54" s="18"/>
      <c r="BF54" s="19">
        <f t="shared" si="2"/>
        <v>136986</v>
      </c>
      <c r="BG54" s="39">
        <v>2</v>
      </c>
      <c r="BH54" s="19">
        <f t="shared" si="29"/>
        <v>273972</v>
      </c>
      <c r="BI54" s="104"/>
      <c r="BK54" s="101"/>
      <c r="BL54" s="22" t="s">
        <v>43</v>
      </c>
      <c r="BM54" s="18"/>
      <c r="BN54" s="18"/>
      <c r="BO54" s="18"/>
      <c r="BP54" s="18"/>
      <c r="BQ54" s="18"/>
      <c r="BR54" s="18"/>
      <c r="BS54" s="18">
        <v>1366</v>
      </c>
      <c r="BT54" s="18">
        <v>5464</v>
      </c>
      <c r="BU54" s="18">
        <v>10929</v>
      </c>
      <c r="BV54" s="18">
        <v>16393</v>
      </c>
      <c r="BW54" s="18">
        <v>20492</v>
      </c>
      <c r="BX54" s="18">
        <v>23224</v>
      </c>
      <c r="BY54" s="18">
        <v>23224</v>
      </c>
      <c r="BZ54" s="18">
        <v>17760</v>
      </c>
      <c r="CA54" s="18">
        <v>10929</v>
      </c>
      <c r="CB54" s="18">
        <v>5464</v>
      </c>
      <c r="CC54" s="18">
        <v>1366</v>
      </c>
      <c r="CD54" s="18"/>
      <c r="CE54" s="18"/>
      <c r="CF54" s="18"/>
      <c r="CG54" s="18"/>
      <c r="CH54" s="18"/>
      <c r="CI54" s="18"/>
      <c r="CJ54" s="18"/>
      <c r="CK54" s="19">
        <f t="shared" si="4"/>
        <v>136611</v>
      </c>
      <c r="CL54" s="39">
        <v>2</v>
      </c>
      <c r="CM54" s="19">
        <f t="shared" si="30"/>
        <v>273222</v>
      </c>
      <c r="CN54" s="104"/>
      <c r="CP54" s="101"/>
      <c r="CQ54" s="22" t="s">
        <v>43</v>
      </c>
      <c r="CR54" s="18"/>
      <c r="CS54" s="18"/>
      <c r="CT54" s="18"/>
      <c r="CU54" s="18"/>
      <c r="CV54" s="18"/>
      <c r="CW54" s="18"/>
      <c r="CX54" s="18">
        <v>1370</v>
      </c>
      <c r="CY54" s="18">
        <v>5479</v>
      </c>
      <c r="CZ54" s="18">
        <v>10959</v>
      </c>
      <c r="DA54" s="18">
        <v>16438</v>
      </c>
      <c r="DB54" s="18">
        <v>20548</v>
      </c>
      <c r="DC54" s="18">
        <v>23288</v>
      </c>
      <c r="DD54" s="18">
        <v>23288</v>
      </c>
      <c r="DE54" s="18">
        <v>17808</v>
      </c>
      <c r="DF54" s="18">
        <v>10959</v>
      </c>
      <c r="DG54" s="18">
        <v>5479</v>
      </c>
      <c r="DH54" s="18">
        <v>1370</v>
      </c>
      <c r="DI54" s="18"/>
      <c r="DJ54" s="18"/>
      <c r="DK54" s="18"/>
      <c r="DL54" s="18"/>
      <c r="DM54" s="18"/>
      <c r="DN54" s="18"/>
      <c r="DO54" s="18"/>
      <c r="DP54" s="19">
        <f t="shared" si="6"/>
        <v>136986</v>
      </c>
      <c r="DQ54" s="39">
        <v>2</v>
      </c>
      <c r="DR54" s="19">
        <f t="shared" si="31"/>
        <v>273972</v>
      </c>
      <c r="DS54" s="104"/>
      <c r="DV54" s="101"/>
      <c r="DW54" s="22" t="s">
        <v>43</v>
      </c>
      <c r="DX54" s="18"/>
      <c r="DY54" s="18"/>
      <c r="DZ54" s="18"/>
      <c r="EA54" s="18"/>
      <c r="EB54" s="18"/>
      <c r="EC54" s="18"/>
      <c r="ED54" s="18">
        <v>1370</v>
      </c>
      <c r="EE54" s="18">
        <v>5479</v>
      </c>
      <c r="EF54" s="18">
        <v>10959</v>
      </c>
      <c r="EG54" s="18">
        <v>16438</v>
      </c>
      <c r="EH54" s="18">
        <v>20548</v>
      </c>
      <c r="EI54" s="18">
        <v>23288</v>
      </c>
      <c r="EJ54" s="18">
        <v>23288</v>
      </c>
      <c r="EK54" s="18">
        <v>17808</v>
      </c>
      <c r="EL54" s="18">
        <v>10959</v>
      </c>
      <c r="EM54" s="18">
        <v>5479</v>
      </c>
      <c r="EN54" s="18">
        <v>1370</v>
      </c>
      <c r="EO54" s="18"/>
      <c r="EP54" s="18"/>
      <c r="EQ54" s="18"/>
      <c r="ER54" s="18"/>
      <c r="ES54" s="18"/>
      <c r="ET54" s="18"/>
      <c r="EU54" s="18"/>
      <c r="EV54" s="19">
        <f t="shared" si="8"/>
        <v>136986</v>
      </c>
      <c r="EW54" s="39">
        <v>2</v>
      </c>
      <c r="EX54" s="19">
        <f t="shared" si="32"/>
        <v>273972</v>
      </c>
      <c r="EY54" s="104"/>
      <c r="FB54" s="101"/>
      <c r="FC54" s="22" t="s">
        <v>43</v>
      </c>
      <c r="FD54" s="18"/>
      <c r="FE54" s="18"/>
      <c r="FF54" s="18"/>
      <c r="FG54" s="18"/>
      <c r="FH54" s="18"/>
      <c r="FI54" s="18"/>
      <c r="FJ54" s="18">
        <v>1370</v>
      </c>
      <c r="FK54" s="18">
        <v>5479</v>
      </c>
      <c r="FL54" s="18">
        <v>10959</v>
      </c>
      <c r="FM54" s="18">
        <v>16438</v>
      </c>
      <c r="FN54" s="18">
        <v>20548</v>
      </c>
      <c r="FO54" s="18">
        <v>23288</v>
      </c>
      <c r="FP54" s="18">
        <v>23288</v>
      </c>
      <c r="FQ54" s="18">
        <v>17808</v>
      </c>
      <c r="FR54" s="18">
        <v>10959</v>
      </c>
      <c r="FS54" s="18">
        <v>5479</v>
      </c>
      <c r="FT54" s="18">
        <v>1370</v>
      </c>
      <c r="FU54" s="18"/>
      <c r="FV54" s="18"/>
      <c r="FW54" s="18"/>
      <c r="FX54" s="18"/>
      <c r="FY54" s="18"/>
      <c r="FZ54" s="18"/>
      <c r="GA54" s="18"/>
      <c r="GB54" s="19">
        <f t="shared" si="9"/>
        <v>136986</v>
      </c>
      <c r="GC54" s="39">
        <v>2</v>
      </c>
      <c r="GD54" s="19">
        <f t="shared" si="33"/>
        <v>273972</v>
      </c>
      <c r="GE54" s="104"/>
      <c r="GG54" s="101"/>
      <c r="GH54" s="22" t="s">
        <v>43</v>
      </c>
      <c r="GI54" s="18"/>
      <c r="GJ54" s="18"/>
      <c r="GK54" s="18"/>
      <c r="GL54" s="18"/>
      <c r="GM54" s="18"/>
      <c r="GN54" s="18"/>
      <c r="GO54" s="18">
        <v>1366</v>
      </c>
      <c r="GP54" s="18">
        <v>5464</v>
      </c>
      <c r="GQ54" s="18">
        <v>10929</v>
      </c>
      <c r="GR54" s="18">
        <v>16393</v>
      </c>
      <c r="GS54" s="18">
        <v>20492</v>
      </c>
      <c r="GT54" s="18">
        <v>23224</v>
      </c>
      <c r="GU54" s="18">
        <v>23224</v>
      </c>
      <c r="GV54" s="18">
        <v>17760</v>
      </c>
      <c r="GW54" s="18">
        <v>10929</v>
      </c>
      <c r="GX54" s="18">
        <v>5464</v>
      </c>
      <c r="GY54" s="18">
        <v>1366</v>
      </c>
      <c r="GZ54" s="18"/>
      <c r="HA54" s="18"/>
      <c r="HB54" s="18"/>
      <c r="HC54" s="18"/>
      <c r="HD54" s="18"/>
      <c r="HE54" s="18"/>
      <c r="HF54" s="18"/>
      <c r="HG54" s="19">
        <f t="shared" si="11"/>
        <v>136611</v>
      </c>
      <c r="HH54" s="39">
        <v>2</v>
      </c>
      <c r="HI54" s="19">
        <f t="shared" si="34"/>
        <v>273222</v>
      </c>
      <c r="HJ54" s="104"/>
      <c r="HL54" s="101"/>
      <c r="HM54" s="22" t="s">
        <v>43</v>
      </c>
      <c r="HN54" s="18"/>
      <c r="HO54" s="18"/>
      <c r="HP54" s="18"/>
      <c r="HQ54" s="18"/>
      <c r="HR54" s="18"/>
      <c r="HS54" s="18"/>
      <c r="HT54" s="18">
        <v>1370</v>
      </c>
      <c r="HU54" s="18">
        <v>5479</v>
      </c>
      <c r="HV54" s="18">
        <v>10959</v>
      </c>
      <c r="HW54" s="18">
        <v>16438</v>
      </c>
      <c r="HX54" s="18">
        <v>20548</v>
      </c>
      <c r="HY54" s="18">
        <v>23288</v>
      </c>
      <c r="HZ54" s="18">
        <v>23288</v>
      </c>
      <c r="IA54" s="18">
        <v>17808</v>
      </c>
      <c r="IB54" s="18">
        <v>10959</v>
      </c>
      <c r="IC54" s="18">
        <v>5479</v>
      </c>
      <c r="ID54" s="18">
        <v>1370</v>
      </c>
      <c r="IE54" s="18"/>
      <c r="IF54" s="18"/>
      <c r="IG54" s="18"/>
      <c r="IH54" s="18"/>
      <c r="II54" s="18"/>
      <c r="IJ54" s="18"/>
      <c r="IK54" s="18"/>
      <c r="IL54" s="19">
        <f t="shared" si="13"/>
        <v>136986</v>
      </c>
      <c r="IM54" s="39">
        <v>2</v>
      </c>
      <c r="IN54" s="19">
        <f t="shared" si="35"/>
        <v>273972</v>
      </c>
      <c r="IO54" s="104"/>
      <c r="IQ54" s="101"/>
      <c r="IR54" s="22" t="s">
        <v>43</v>
      </c>
      <c r="IS54" s="18"/>
      <c r="IT54" s="18"/>
      <c r="IU54" s="18"/>
      <c r="IV54" s="18"/>
      <c r="IW54" s="18"/>
      <c r="IX54" s="18"/>
      <c r="IY54" s="18">
        <v>1370</v>
      </c>
      <c r="IZ54" s="18">
        <v>5479</v>
      </c>
      <c r="JA54" s="18">
        <v>10959</v>
      </c>
      <c r="JB54" s="18">
        <v>16438</v>
      </c>
      <c r="JC54" s="18">
        <v>20548</v>
      </c>
      <c r="JD54" s="18">
        <v>23288</v>
      </c>
      <c r="JE54" s="18">
        <v>23288</v>
      </c>
      <c r="JF54" s="18">
        <v>17808</v>
      </c>
      <c r="JG54" s="18">
        <v>10959</v>
      </c>
      <c r="JH54" s="18">
        <v>5479</v>
      </c>
      <c r="JI54" s="18">
        <v>1370</v>
      </c>
      <c r="JJ54" s="18"/>
      <c r="JK54" s="18"/>
      <c r="JL54" s="18"/>
      <c r="JM54" s="18"/>
      <c r="JN54" s="18"/>
      <c r="JO54" s="18"/>
      <c r="JP54" s="18"/>
      <c r="JQ54" s="19">
        <f t="shared" si="15"/>
        <v>136986</v>
      </c>
      <c r="JR54" s="39">
        <v>2</v>
      </c>
      <c r="JS54" s="19">
        <f t="shared" si="36"/>
        <v>273972</v>
      </c>
      <c r="JT54" s="104"/>
      <c r="JV54" s="101"/>
      <c r="JW54" s="22" t="s">
        <v>43</v>
      </c>
      <c r="JX54" s="18"/>
      <c r="JY54" s="18"/>
      <c r="JZ54" s="18"/>
      <c r="KA54" s="18"/>
      <c r="KB54" s="18"/>
      <c r="KC54" s="18"/>
      <c r="KD54" s="18"/>
      <c r="KE54" s="18">
        <v>1370</v>
      </c>
      <c r="KF54" s="18">
        <v>5479</v>
      </c>
      <c r="KG54" s="18">
        <v>10959</v>
      </c>
      <c r="KH54" s="18">
        <v>16438</v>
      </c>
      <c r="KI54" s="18">
        <v>20548</v>
      </c>
      <c r="KJ54" s="18">
        <v>23288</v>
      </c>
      <c r="KK54" s="18">
        <v>23288</v>
      </c>
      <c r="KL54" s="18">
        <v>17808</v>
      </c>
      <c r="KM54" s="18">
        <v>10959</v>
      </c>
      <c r="KN54" s="18">
        <v>5479</v>
      </c>
      <c r="KO54" s="18">
        <v>1370</v>
      </c>
      <c r="KP54" s="18"/>
      <c r="KQ54" s="18"/>
      <c r="KR54" s="18"/>
      <c r="KS54" s="18"/>
      <c r="KT54" s="18"/>
      <c r="KU54" s="18"/>
      <c r="KV54" s="19">
        <f t="shared" si="17"/>
        <v>136986</v>
      </c>
      <c r="KW54" s="39">
        <v>2</v>
      </c>
      <c r="KX54" s="19">
        <f t="shared" si="37"/>
        <v>273972</v>
      </c>
      <c r="KY54" s="104"/>
      <c r="LA54" s="101"/>
      <c r="LB54" s="22" t="s">
        <v>43</v>
      </c>
      <c r="LC54" s="18"/>
      <c r="LD54" s="18"/>
      <c r="LE54" s="18"/>
      <c r="LF54" s="18"/>
      <c r="LG54" s="18"/>
      <c r="LH54" s="18"/>
      <c r="LI54" s="18">
        <v>1366</v>
      </c>
      <c r="LJ54" s="18">
        <v>5464</v>
      </c>
      <c r="LK54" s="18">
        <v>10929</v>
      </c>
      <c r="LL54" s="18">
        <v>16393</v>
      </c>
      <c r="LM54" s="18">
        <v>20492</v>
      </c>
      <c r="LN54" s="18">
        <v>23224</v>
      </c>
      <c r="LO54" s="18">
        <v>23224</v>
      </c>
      <c r="LP54" s="18">
        <v>17760</v>
      </c>
      <c r="LQ54" s="18">
        <v>10929</v>
      </c>
      <c r="LR54" s="18">
        <v>5464</v>
      </c>
      <c r="LS54" s="18">
        <v>1366</v>
      </c>
      <c r="LT54" s="18"/>
      <c r="LU54" s="18"/>
      <c r="LV54" s="18"/>
      <c r="LW54" s="18"/>
      <c r="LX54" s="18"/>
      <c r="LY54" s="18"/>
      <c r="LZ54" s="18"/>
      <c r="MA54" s="19">
        <f t="shared" si="19"/>
        <v>136611</v>
      </c>
      <c r="MB54" s="39">
        <v>2</v>
      </c>
      <c r="MC54" s="19">
        <f t="shared" si="38"/>
        <v>273222</v>
      </c>
      <c r="MD54" s="104"/>
      <c r="MF54" s="101"/>
      <c r="MG54" s="22" t="s">
        <v>43</v>
      </c>
      <c r="MH54" s="18"/>
      <c r="MI54" s="18"/>
      <c r="MJ54" s="18"/>
      <c r="MK54" s="18"/>
      <c r="ML54" s="18"/>
      <c r="MM54" s="18"/>
      <c r="MN54" s="18">
        <v>1370</v>
      </c>
      <c r="MO54" s="18">
        <v>5479</v>
      </c>
      <c r="MP54" s="18">
        <v>10959</v>
      </c>
      <c r="MQ54" s="18">
        <v>16438</v>
      </c>
      <c r="MR54" s="18">
        <v>20548</v>
      </c>
      <c r="MS54" s="18">
        <v>23288</v>
      </c>
      <c r="MT54" s="18">
        <v>23288</v>
      </c>
      <c r="MU54" s="18">
        <v>17808</v>
      </c>
      <c r="MV54" s="18">
        <v>10959</v>
      </c>
      <c r="MW54" s="18">
        <v>5479</v>
      </c>
      <c r="MX54" s="18">
        <v>1370</v>
      </c>
      <c r="MY54" s="18"/>
      <c r="MZ54" s="18"/>
      <c r="NA54" s="18"/>
      <c r="NB54" s="18"/>
      <c r="NC54" s="18"/>
      <c r="ND54" s="18"/>
      <c r="NE54" s="18"/>
      <c r="NF54" s="19">
        <f t="shared" si="21"/>
        <v>136986</v>
      </c>
      <c r="NG54" s="39">
        <v>2</v>
      </c>
      <c r="NH54" s="19">
        <f t="shared" si="39"/>
        <v>273972</v>
      </c>
      <c r="NI54" s="104"/>
      <c r="NK54" s="101"/>
      <c r="NL54" s="22" t="s">
        <v>43</v>
      </c>
      <c r="NM54" s="18"/>
      <c r="NN54" s="18"/>
      <c r="NO54" s="18"/>
      <c r="NP54" s="18"/>
      <c r="NQ54" s="18"/>
      <c r="NR54" s="18"/>
      <c r="NS54" s="18">
        <v>1370</v>
      </c>
      <c r="NT54" s="18">
        <v>5479</v>
      </c>
      <c r="NU54" s="18">
        <v>10959</v>
      </c>
      <c r="NV54" s="18">
        <v>16438</v>
      </c>
      <c r="NW54" s="18">
        <v>20548</v>
      </c>
      <c r="NX54" s="18">
        <v>23288</v>
      </c>
      <c r="NY54" s="18">
        <v>23288</v>
      </c>
      <c r="NZ54" s="18">
        <v>17808</v>
      </c>
      <c r="OA54" s="18">
        <v>10959</v>
      </c>
      <c r="OB54" s="18">
        <v>5479</v>
      </c>
      <c r="OC54" s="18">
        <v>1370</v>
      </c>
      <c r="OD54" s="18"/>
      <c r="OE54" s="18"/>
      <c r="OF54" s="18"/>
      <c r="OG54" s="18"/>
      <c r="OH54" s="18"/>
      <c r="OI54" s="18"/>
      <c r="OJ54" s="18"/>
      <c r="OK54" s="19">
        <f t="shared" si="23"/>
        <v>136986</v>
      </c>
      <c r="OL54" s="81">
        <v>2</v>
      </c>
      <c r="OM54" s="19">
        <f t="shared" si="40"/>
        <v>273972</v>
      </c>
      <c r="ON54" s="104"/>
      <c r="OP54" s="101"/>
      <c r="OQ54" s="22" t="s">
        <v>43</v>
      </c>
      <c r="OR54" s="18"/>
      <c r="OS54" s="18"/>
      <c r="OT54" s="18"/>
      <c r="OU54" s="18"/>
      <c r="OV54" s="18"/>
      <c r="OW54" s="18"/>
      <c r="OX54" s="18">
        <v>1370</v>
      </c>
      <c r="OY54" s="18">
        <v>5479</v>
      </c>
      <c r="OZ54" s="18">
        <v>10959</v>
      </c>
      <c r="PA54" s="18">
        <v>16438</v>
      </c>
      <c r="PB54" s="18">
        <v>20548</v>
      </c>
      <c r="PC54" s="18">
        <v>23288</v>
      </c>
      <c r="PD54" s="18">
        <v>23288</v>
      </c>
      <c r="PE54" s="18">
        <v>17808</v>
      </c>
      <c r="PF54" s="18">
        <v>10959</v>
      </c>
      <c r="PG54" s="18">
        <v>5479</v>
      </c>
      <c r="PH54" s="18">
        <v>1370</v>
      </c>
      <c r="PI54" s="18"/>
      <c r="PJ54" s="18"/>
      <c r="PK54" s="18"/>
      <c r="PL54" s="18"/>
      <c r="PM54" s="18"/>
      <c r="PN54" s="18"/>
      <c r="PO54" s="18"/>
      <c r="PP54" s="19">
        <f t="shared" si="25"/>
        <v>136986</v>
      </c>
      <c r="PQ54" s="39">
        <v>2</v>
      </c>
      <c r="PR54" s="19">
        <f t="shared" si="41"/>
        <v>273972</v>
      </c>
      <c r="PS54" s="104"/>
      <c r="PU54" s="101"/>
      <c r="PV54" s="22" t="s">
        <v>43</v>
      </c>
      <c r="PW54" s="18"/>
      <c r="PX54" s="18"/>
      <c r="PY54" s="18"/>
      <c r="PZ54" s="18"/>
      <c r="QA54" s="18"/>
      <c r="QB54" s="18"/>
      <c r="QC54" s="18">
        <v>1366</v>
      </c>
      <c r="QD54" s="18">
        <v>5464</v>
      </c>
      <c r="QE54" s="18">
        <v>10929</v>
      </c>
      <c r="QF54" s="18">
        <v>16393</v>
      </c>
      <c r="QG54" s="18">
        <v>20492</v>
      </c>
      <c r="QH54" s="18">
        <v>23224</v>
      </c>
      <c r="QI54" s="18">
        <v>23224</v>
      </c>
      <c r="QJ54" s="18">
        <v>17760</v>
      </c>
      <c r="QK54" s="18">
        <v>10929</v>
      </c>
      <c r="QL54" s="18">
        <v>5464</v>
      </c>
      <c r="QM54" s="18">
        <v>1366</v>
      </c>
      <c r="QN54" s="18"/>
      <c r="QO54" s="18"/>
      <c r="QP54" s="18"/>
      <c r="QQ54" s="18"/>
      <c r="QR54" s="18"/>
      <c r="QS54" s="18"/>
      <c r="QT54" s="18"/>
      <c r="QU54" s="19">
        <f t="shared" si="27"/>
        <v>136611</v>
      </c>
      <c r="QV54" s="47">
        <v>2</v>
      </c>
      <c r="QW54" s="19">
        <f t="shared" si="42"/>
        <v>273222</v>
      </c>
      <c r="QX54" s="104"/>
    </row>
    <row r="55" spans="1:466" x14ac:dyDescent="0.35">
      <c r="AD55" s="76">
        <f>SUM(AD7:AD51)</f>
        <v>49999890</v>
      </c>
      <c r="AN55" s="24"/>
      <c r="BF55" s="34"/>
      <c r="BG55" s="43">
        <f>SUM(BG7:BG54)</f>
        <v>365</v>
      </c>
      <c r="BI55" s="76">
        <f>SUM(BI7:BI54)</f>
        <v>49999890</v>
      </c>
      <c r="BS55" s="24"/>
      <c r="CK55" s="34"/>
      <c r="CL55" s="43">
        <f>SUM(CL7:CL54)</f>
        <v>366</v>
      </c>
      <c r="CN55" s="76">
        <f>SUM(CN7:CN54)</f>
        <v>49999626</v>
      </c>
      <c r="CX55" s="24"/>
      <c r="DP55" s="34"/>
      <c r="DQ55" s="43">
        <f>SUM(DQ7:DQ54)</f>
        <v>365</v>
      </c>
      <c r="DS55" s="76">
        <f>SUM(DS7:DS54)</f>
        <v>49999890</v>
      </c>
      <c r="ED55" s="24"/>
      <c r="EV55" s="34"/>
      <c r="EW55" s="43">
        <f>SUM(EW7:EW54)</f>
        <v>365</v>
      </c>
      <c r="EY55" s="76">
        <f>SUM(EY7:EY54)</f>
        <v>49999890</v>
      </c>
      <c r="FJ55" s="24"/>
      <c r="GB55" s="34"/>
      <c r="GC55" s="43">
        <f>SUM(GC7:GC54)</f>
        <v>365</v>
      </c>
      <c r="GE55" s="76">
        <f>SUM(GE7:GE54)</f>
        <v>49999890</v>
      </c>
      <c r="GO55" s="24"/>
      <c r="HG55" s="34"/>
      <c r="HH55" s="42">
        <f>SUM(HH7:HH54)</f>
        <v>366</v>
      </c>
      <c r="HJ55" s="76">
        <f>SUM(HJ7:HJ54)</f>
        <v>49999626</v>
      </c>
      <c r="HT55" s="24"/>
      <c r="IL55" s="34"/>
      <c r="IM55" s="42">
        <f>SUM(IM7:IM54)</f>
        <v>365</v>
      </c>
      <c r="IO55" s="76">
        <f>SUM(IO7:IO54)</f>
        <v>49999890</v>
      </c>
      <c r="IY55" s="24"/>
      <c r="JQ55" s="34"/>
      <c r="JR55" s="42">
        <f>SUM(JR7:JR54)</f>
        <v>365</v>
      </c>
      <c r="JT55" s="76">
        <f>SUM(JT7:JT54)</f>
        <v>49999890</v>
      </c>
      <c r="KD55" s="24"/>
      <c r="KV55" s="34"/>
      <c r="KW55" s="42">
        <f>SUM(KW7:KW54)</f>
        <v>365</v>
      </c>
      <c r="KY55" s="76">
        <f>SUM(KY7:KY54)</f>
        <v>49999890</v>
      </c>
      <c r="LI55" s="24"/>
      <c r="MA55" s="34"/>
      <c r="MB55" s="42">
        <f>SUM(MB7:MB54)</f>
        <v>366</v>
      </c>
      <c r="MD55" s="76">
        <f>SUM(MD7:MD54)</f>
        <v>49999626</v>
      </c>
      <c r="MN55" s="24"/>
      <c r="NF55" s="34"/>
      <c r="NG55" s="42">
        <f>SUM(NG7:NG54)</f>
        <v>365</v>
      </c>
      <c r="NI55" s="76">
        <f>SUM(NI7:NI54)</f>
        <v>49999890</v>
      </c>
      <c r="NS55" s="24"/>
      <c r="OK55" s="34"/>
      <c r="OL55" s="42">
        <f>SUM(OL7:OL54)</f>
        <v>365</v>
      </c>
      <c r="ON55" s="76">
        <f>SUM(ON7:ON54)</f>
        <v>49999890</v>
      </c>
      <c r="OX55" s="24"/>
      <c r="PP55" s="34"/>
      <c r="PQ55" s="42">
        <f>SUM(PQ7:PQ54)</f>
        <v>365</v>
      </c>
      <c r="PS55" s="76">
        <f>SUM(PS7:PS54)</f>
        <v>49999890</v>
      </c>
      <c r="QC55" s="24"/>
      <c r="QU55" s="34"/>
      <c r="QV55" s="42">
        <f>SUM(QV7:QV54)</f>
        <v>366</v>
      </c>
      <c r="QX55" s="76">
        <f>SUM(QX7:QX54)</f>
        <v>49999626</v>
      </c>
    </row>
    <row r="60" spans="1:466" x14ac:dyDescent="0.35"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 s="34">
        <f>SUM(I7:I54)</f>
        <v>63020</v>
      </c>
      <c r="J60" s="34">
        <f t="shared" ref="J60:S60" si="43">SUM(J7:J54)</f>
        <v>252034</v>
      </c>
      <c r="K60" s="34">
        <f t="shared" si="43"/>
        <v>504114</v>
      </c>
      <c r="L60" s="34">
        <f t="shared" si="43"/>
        <v>756148</v>
      </c>
      <c r="M60" s="34">
        <f t="shared" si="43"/>
        <v>945208</v>
      </c>
      <c r="N60" s="34">
        <f t="shared" si="43"/>
        <v>1071248</v>
      </c>
      <c r="O60" s="34">
        <f t="shared" si="43"/>
        <v>1071248</v>
      </c>
      <c r="P60" s="34">
        <f t="shared" si="43"/>
        <v>819168</v>
      </c>
      <c r="Q60" s="34">
        <f t="shared" si="43"/>
        <v>504114</v>
      </c>
      <c r="R60" s="34">
        <f t="shared" si="43"/>
        <v>252034</v>
      </c>
      <c r="S60" s="34">
        <f t="shared" si="43"/>
        <v>63020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</sheetData>
  <mergeCells count="406">
    <mergeCell ref="A39:A42"/>
    <mergeCell ref="AD39:AD42"/>
    <mergeCell ref="A43:A46"/>
    <mergeCell ref="AD43:AD46"/>
    <mergeCell ref="A47:A50"/>
    <mergeCell ref="AD47:AD50"/>
    <mergeCell ref="A51:A54"/>
    <mergeCell ref="AD51:AD54"/>
    <mergeCell ref="A19:A22"/>
    <mergeCell ref="AD19:AD22"/>
    <mergeCell ref="A23:A26"/>
    <mergeCell ref="AD23:AD26"/>
    <mergeCell ref="A27:A30"/>
    <mergeCell ref="AD27:AD30"/>
    <mergeCell ref="A31:A34"/>
    <mergeCell ref="AD31:AD34"/>
    <mergeCell ref="A35:A38"/>
    <mergeCell ref="AD35:AD38"/>
    <mergeCell ref="A1:D1"/>
    <mergeCell ref="A2:L2"/>
    <mergeCell ref="A4:B4"/>
    <mergeCell ref="C4:D4"/>
    <mergeCell ref="A7:A10"/>
    <mergeCell ref="AD7:AD10"/>
    <mergeCell ref="A11:A14"/>
    <mergeCell ref="AD11:AD14"/>
    <mergeCell ref="A15:A18"/>
    <mergeCell ref="AD15:AD18"/>
    <mergeCell ref="OP4:OQ4"/>
    <mergeCell ref="BK4:BL4"/>
    <mergeCell ref="CP4:CQ4"/>
    <mergeCell ref="DV4:DW4"/>
    <mergeCell ref="FB4:FC4"/>
    <mergeCell ref="GG4:GH4"/>
    <mergeCell ref="HL4:HM4"/>
    <mergeCell ref="AF4:AG4"/>
    <mergeCell ref="DV7:DV10"/>
    <mergeCell ref="EY7:EY10"/>
    <mergeCell ref="AF7:AF10"/>
    <mergeCell ref="BI7:BI10"/>
    <mergeCell ref="IQ4:IR4"/>
    <mergeCell ref="JV4:JW4"/>
    <mergeCell ref="LA4:LB4"/>
    <mergeCell ref="MF4:MG4"/>
    <mergeCell ref="NK4:NL4"/>
    <mergeCell ref="AF11:AF14"/>
    <mergeCell ref="BI11:BI14"/>
    <mergeCell ref="MF7:MF10"/>
    <mergeCell ref="NI7:NI10"/>
    <mergeCell ref="NK7:NK10"/>
    <mergeCell ref="ON7:ON10"/>
    <mergeCell ref="OP7:OP10"/>
    <mergeCell ref="PS7:PS10"/>
    <mergeCell ref="IQ7:IQ10"/>
    <mergeCell ref="JT7:JT10"/>
    <mergeCell ref="JV7:JV10"/>
    <mergeCell ref="KY7:KY10"/>
    <mergeCell ref="LA7:LA10"/>
    <mergeCell ref="MD7:MD10"/>
    <mergeCell ref="FB7:FB10"/>
    <mergeCell ref="GE7:GE10"/>
    <mergeCell ref="GG7:GG10"/>
    <mergeCell ref="HJ7:HJ10"/>
    <mergeCell ref="HL7:HL10"/>
    <mergeCell ref="IO7:IO10"/>
    <mergeCell ref="BK7:BK10"/>
    <mergeCell ref="CN7:CN10"/>
    <mergeCell ref="CP7:CP10"/>
    <mergeCell ref="DS7:DS10"/>
    <mergeCell ref="FB11:FB14"/>
    <mergeCell ref="GE11:GE14"/>
    <mergeCell ref="GG11:GG14"/>
    <mergeCell ref="HJ11:HJ14"/>
    <mergeCell ref="HL11:HL14"/>
    <mergeCell ref="IO11:IO14"/>
    <mergeCell ref="BK11:BK14"/>
    <mergeCell ref="CN11:CN14"/>
    <mergeCell ref="CP11:CP14"/>
    <mergeCell ref="DS11:DS14"/>
    <mergeCell ref="DV11:DV14"/>
    <mergeCell ref="EY11:EY14"/>
    <mergeCell ref="MF11:MF14"/>
    <mergeCell ref="NI11:NI14"/>
    <mergeCell ref="NK11:NK14"/>
    <mergeCell ref="ON11:ON14"/>
    <mergeCell ref="OP11:OP14"/>
    <mergeCell ref="PS11:PS14"/>
    <mergeCell ref="IQ11:IQ14"/>
    <mergeCell ref="JT11:JT14"/>
    <mergeCell ref="JV11:JV14"/>
    <mergeCell ref="KY11:KY14"/>
    <mergeCell ref="LA11:LA14"/>
    <mergeCell ref="MD11:MD14"/>
    <mergeCell ref="PS15:PS18"/>
    <mergeCell ref="IQ15:IQ18"/>
    <mergeCell ref="JT15:JT18"/>
    <mergeCell ref="JV15:JV18"/>
    <mergeCell ref="KY15:KY18"/>
    <mergeCell ref="LA15:LA18"/>
    <mergeCell ref="MD15:MD18"/>
    <mergeCell ref="FB15:FB18"/>
    <mergeCell ref="GE15:GE18"/>
    <mergeCell ref="GG15:GG18"/>
    <mergeCell ref="HJ15:HJ18"/>
    <mergeCell ref="HL15:HL18"/>
    <mergeCell ref="IO15:IO18"/>
    <mergeCell ref="DV19:DV22"/>
    <mergeCell ref="EY19:EY22"/>
    <mergeCell ref="AF19:AF22"/>
    <mergeCell ref="BI19:BI22"/>
    <mergeCell ref="MF15:MF18"/>
    <mergeCell ref="NI15:NI18"/>
    <mergeCell ref="NK15:NK18"/>
    <mergeCell ref="ON15:ON18"/>
    <mergeCell ref="OP15:OP18"/>
    <mergeCell ref="BK15:BK18"/>
    <mergeCell ref="CN15:CN18"/>
    <mergeCell ref="CP15:CP18"/>
    <mergeCell ref="DS15:DS18"/>
    <mergeCell ref="DV15:DV18"/>
    <mergeCell ref="EY15:EY18"/>
    <mergeCell ref="AF15:AF18"/>
    <mergeCell ref="BI15:BI18"/>
    <mergeCell ref="AF23:AF26"/>
    <mergeCell ref="BI23:BI26"/>
    <mergeCell ref="MF19:MF22"/>
    <mergeCell ref="NI19:NI22"/>
    <mergeCell ref="NK19:NK22"/>
    <mergeCell ref="ON19:ON22"/>
    <mergeCell ref="OP19:OP22"/>
    <mergeCell ref="PS19:PS22"/>
    <mergeCell ref="IQ19:IQ22"/>
    <mergeCell ref="JT19:JT22"/>
    <mergeCell ref="JV19:JV22"/>
    <mergeCell ref="KY19:KY22"/>
    <mergeCell ref="LA19:LA22"/>
    <mergeCell ref="MD19:MD22"/>
    <mergeCell ref="FB19:FB22"/>
    <mergeCell ref="GE19:GE22"/>
    <mergeCell ref="GG19:GG22"/>
    <mergeCell ref="HJ19:HJ22"/>
    <mergeCell ref="HL19:HL22"/>
    <mergeCell ref="IO19:IO22"/>
    <mergeCell ref="BK19:BK22"/>
    <mergeCell ref="CN19:CN22"/>
    <mergeCell ref="CP19:CP22"/>
    <mergeCell ref="DS19:DS22"/>
    <mergeCell ref="FB23:FB26"/>
    <mergeCell ref="GE23:GE26"/>
    <mergeCell ref="GG23:GG26"/>
    <mergeCell ref="HJ23:HJ26"/>
    <mergeCell ref="HL23:HL26"/>
    <mergeCell ref="IO23:IO26"/>
    <mergeCell ref="BK23:BK26"/>
    <mergeCell ref="CN23:CN26"/>
    <mergeCell ref="CP23:CP26"/>
    <mergeCell ref="DS23:DS26"/>
    <mergeCell ref="DV23:DV26"/>
    <mergeCell ref="EY23:EY26"/>
    <mergeCell ref="MF23:MF26"/>
    <mergeCell ref="NI23:NI26"/>
    <mergeCell ref="NK23:NK26"/>
    <mergeCell ref="ON23:ON26"/>
    <mergeCell ref="OP23:OP26"/>
    <mergeCell ref="PS23:PS26"/>
    <mergeCell ref="IQ23:IQ26"/>
    <mergeCell ref="JT23:JT26"/>
    <mergeCell ref="JV23:JV26"/>
    <mergeCell ref="KY23:KY26"/>
    <mergeCell ref="LA23:LA26"/>
    <mergeCell ref="MD23:MD26"/>
    <mergeCell ref="OP27:OP30"/>
    <mergeCell ref="PS27:PS30"/>
    <mergeCell ref="IQ27:IQ30"/>
    <mergeCell ref="JT27:JT30"/>
    <mergeCell ref="JV27:JV30"/>
    <mergeCell ref="KY27:KY30"/>
    <mergeCell ref="LA27:LA30"/>
    <mergeCell ref="MD27:MD30"/>
    <mergeCell ref="FB27:FB30"/>
    <mergeCell ref="GE27:GE30"/>
    <mergeCell ref="GG27:GG30"/>
    <mergeCell ref="HJ27:HJ30"/>
    <mergeCell ref="HL27:HL30"/>
    <mergeCell ref="IO27:IO30"/>
    <mergeCell ref="DS31:DS34"/>
    <mergeCell ref="DV31:DV34"/>
    <mergeCell ref="EY31:EY34"/>
    <mergeCell ref="AF31:AF34"/>
    <mergeCell ref="BI31:BI34"/>
    <mergeCell ref="MF27:MF30"/>
    <mergeCell ref="NI27:NI30"/>
    <mergeCell ref="NK27:NK30"/>
    <mergeCell ref="ON27:ON30"/>
    <mergeCell ref="BK27:BK30"/>
    <mergeCell ref="CN27:CN30"/>
    <mergeCell ref="CP27:CP30"/>
    <mergeCell ref="DS27:DS30"/>
    <mergeCell ref="DV27:DV30"/>
    <mergeCell ref="EY27:EY30"/>
    <mergeCell ref="AF27:AF30"/>
    <mergeCell ref="BI27:BI30"/>
    <mergeCell ref="DS35:DS38"/>
    <mergeCell ref="DV35:DV38"/>
    <mergeCell ref="EY35:EY38"/>
    <mergeCell ref="AF35:AF38"/>
    <mergeCell ref="BI35:BI38"/>
    <mergeCell ref="MF31:MF34"/>
    <mergeCell ref="NI31:NI34"/>
    <mergeCell ref="NK31:NK34"/>
    <mergeCell ref="ON31:ON34"/>
    <mergeCell ref="IQ31:IQ34"/>
    <mergeCell ref="JT31:JT34"/>
    <mergeCell ref="JV31:JV34"/>
    <mergeCell ref="KY31:KY34"/>
    <mergeCell ref="LA31:LA34"/>
    <mergeCell ref="MD31:MD34"/>
    <mergeCell ref="FB31:FB34"/>
    <mergeCell ref="GE31:GE34"/>
    <mergeCell ref="GG31:GG34"/>
    <mergeCell ref="HJ31:HJ34"/>
    <mergeCell ref="HL31:HL34"/>
    <mergeCell ref="IO31:IO34"/>
    <mergeCell ref="BK31:BK34"/>
    <mergeCell ref="CN31:CN34"/>
    <mergeCell ref="CP31:CP34"/>
    <mergeCell ref="DS39:DS42"/>
    <mergeCell ref="DV39:DV42"/>
    <mergeCell ref="EY39:EY42"/>
    <mergeCell ref="AF39:AF42"/>
    <mergeCell ref="BI39:BI42"/>
    <mergeCell ref="MF35:MF38"/>
    <mergeCell ref="NI35:NI38"/>
    <mergeCell ref="NK35:NK38"/>
    <mergeCell ref="ON35:ON38"/>
    <mergeCell ref="IQ35:IQ38"/>
    <mergeCell ref="JT35:JT38"/>
    <mergeCell ref="JV35:JV38"/>
    <mergeCell ref="KY35:KY38"/>
    <mergeCell ref="LA35:LA38"/>
    <mergeCell ref="MD35:MD38"/>
    <mergeCell ref="FB35:FB38"/>
    <mergeCell ref="GE35:GE38"/>
    <mergeCell ref="GG35:GG38"/>
    <mergeCell ref="HJ35:HJ38"/>
    <mergeCell ref="HL35:HL38"/>
    <mergeCell ref="IO35:IO38"/>
    <mergeCell ref="BK35:BK38"/>
    <mergeCell ref="CN35:CN38"/>
    <mergeCell ref="CP35:CP38"/>
    <mergeCell ref="DS43:DS46"/>
    <mergeCell ref="DV43:DV46"/>
    <mergeCell ref="EY43:EY46"/>
    <mergeCell ref="AF43:AF46"/>
    <mergeCell ref="BI43:BI46"/>
    <mergeCell ref="MF39:MF42"/>
    <mergeCell ref="NI39:NI42"/>
    <mergeCell ref="NK39:NK42"/>
    <mergeCell ref="ON39:ON42"/>
    <mergeCell ref="IQ39:IQ42"/>
    <mergeCell ref="JT39:JT42"/>
    <mergeCell ref="JV39:JV42"/>
    <mergeCell ref="KY39:KY42"/>
    <mergeCell ref="LA39:LA42"/>
    <mergeCell ref="MD39:MD42"/>
    <mergeCell ref="FB39:FB42"/>
    <mergeCell ref="GE39:GE42"/>
    <mergeCell ref="GG39:GG42"/>
    <mergeCell ref="HJ39:HJ42"/>
    <mergeCell ref="HL39:HL42"/>
    <mergeCell ref="IO39:IO42"/>
    <mergeCell ref="BK39:BK42"/>
    <mergeCell ref="CN39:CN42"/>
    <mergeCell ref="CP39:CP42"/>
    <mergeCell ref="DS47:DS50"/>
    <mergeCell ref="DV47:DV50"/>
    <mergeCell ref="EY47:EY50"/>
    <mergeCell ref="AF47:AF50"/>
    <mergeCell ref="BI47:BI50"/>
    <mergeCell ref="MF43:MF46"/>
    <mergeCell ref="NI43:NI46"/>
    <mergeCell ref="NK43:NK46"/>
    <mergeCell ref="ON43:ON46"/>
    <mergeCell ref="IQ43:IQ46"/>
    <mergeCell ref="JT43:JT46"/>
    <mergeCell ref="JV43:JV46"/>
    <mergeCell ref="KY43:KY46"/>
    <mergeCell ref="LA43:LA46"/>
    <mergeCell ref="MD43:MD46"/>
    <mergeCell ref="FB43:FB46"/>
    <mergeCell ref="GE43:GE46"/>
    <mergeCell ref="GG43:GG46"/>
    <mergeCell ref="HJ43:HJ46"/>
    <mergeCell ref="HL43:HL46"/>
    <mergeCell ref="IO43:IO46"/>
    <mergeCell ref="BK43:BK46"/>
    <mergeCell ref="CN43:CN46"/>
    <mergeCell ref="CP43:CP46"/>
    <mergeCell ref="BK51:BK54"/>
    <mergeCell ref="CN51:CN54"/>
    <mergeCell ref="CP51:CP54"/>
    <mergeCell ref="DS51:DS54"/>
    <mergeCell ref="DV51:DV54"/>
    <mergeCell ref="EY51:EY54"/>
    <mergeCell ref="AF51:AF54"/>
    <mergeCell ref="BI51:BI54"/>
    <mergeCell ref="MF47:MF50"/>
    <mergeCell ref="IQ47:IQ50"/>
    <mergeCell ref="JT47:JT50"/>
    <mergeCell ref="JV47:JV50"/>
    <mergeCell ref="KY47:KY50"/>
    <mergeCell ref="LA47:LA50"/>
    <mergeCell ref="MD47:MD50"/>
    <mergeCell ref="FB47:FB50"/>
    <mergeCell ref="GE47:GE50"/>
    <mergeCell ref="GG47:GG50"/>
    <mergeCell ref="HJ47:HJ50"/>
    <mergeCell ref="HL47:HL50"/>
    <mergeCell ref="IO47:IO50"/>
    <mergeCell ref="BK47:BK50"/>
    <mergeCell ref="CN47:CN50"/>
    <mergeCell ref="CP47:CP50"/>
    <mergeCell ref="IQ51:IQ54"/>
    <mergeCell ref="JT51:JT54"/>
    <mergeCell ref="JV51:JV54"/>
    <mergeCell ref="KY51:KY54"/>
    <mergeCell ref="LA51:LA54"/>
    <mergeCell ref="MD51:MD54"/>
    <mergeCell ref="FB51:FB54"/>
    <mergeCell ref="GE51:GE54"/>
    <mergeCell ref="GG51:GG54"/>
    <mergeCell ref="HJ51:HJ54"/>
    <mergeCell ref="HL51:HL54"/>
    <mergeCell ref="IO51:IO54"/>
    <mergeCell ref="QX7:QX10"/>
    <mergeCell ref="PU11:PU14"/>
    <mergeCell ref="QX11:QX14"/>
    <mergeCell ref="PU15:PU18"/>
    <mergeCell ref="QX15:QX18"/>
    <mergeCell ref="MF51:MF54"/>
    <mergeCell ref="NI51:NI54"/>
    <mergeCell ref="NK51:NK54"/>
    <mergeCell ref="ON51:ON54"/>
    <mergeCell ref="OP51:OP54"/>
    <mergeCell ref="PS51:PS54"/>
    <mergeCell ref="NI47:NI50"/>
    <mergeCell ref="NK47:NK50"/>
    <mergeCell ref="ON47:ON50"/>
    <mergeCell ref="OP47:OP50"/>
    <mergeCell ref="PS47:PS50"/>
    <mergeCell ref="OP43:OP46"/>
    <mergeCell ref="PS43:PS46"/>
    <mergeCell ref="OP39:OP42"/>
    <mergeCell ref="PS39:PS42"/>
    <mergeCell ref="OP35:OP38"/>
    <mergeCell ref="PS35:PS38"/>
    <mergeCell ref="OP31:OP34"/>
    <mergeCell ref="PS31:PS34"/>
    <mergeCell ref="PU31:PU34"/>
    <mergeCell ref="QX31:QX34"/>
    <mergeCell ref="PU35:PU38"/>
    <mergeCell ref="QX35:QX38"/>
    <mergeCell ref="PU39:PU42"/>
    <mergeCell ref="QX39:QX42"/>
    <mergeCell ref="LA1:LD1"/>
    <mergeCell ref="LA2:LM2"/>
    <mergeCell ref="MF1:MI1"/>
    <mergeCell ref="MF2:MR2"/>
    <mergeCell ref="NK1:NN1"/>
    <mergeCell ref="NK2:NW2"/>
    <mergeCell ref="OP1:OS1"/>
    <mergeCell ref="OP2:PB2"/>
    <mergeCell ref="PU1:PX1"/>
    <mergeCell ref="PU2:QG2"/>
    <mergeCell ref="PU19:PU22"/>
    <mergeCell ref="QX19:QX22"/>
    <mergeCell ref="PU23:PU26"/>
    <mergeCell ref="QX23:QX26"/>
    <mergeCell ref="PU27:PU30"/>
    <mergeCell ref="QX27:QX30"/>
    <mergeCell ref="PU4:PV4"/>
    <mergeCell ref="PU7:PU10"/>
    <mergeCell ref="PU43:PU46"/>
    <mergeCell ref="QX43:QX46"/>
    <mergeCell ref="PU47:PU50"/>
    <mergeCell ref="QX47:QX50"/>
    <mergeCell ref="PU51:PU54"/>
    <mergeCell ref="QX51:QX54"/>
    <mergeCell ref="AF1:AI1"/>
    <mergeCell ref="AF2:AR2"/>
    <mergeCell ref="BK1:BN1"/>
    <mergeCell ref="BK2:BW2"/>
    <mergeCell ref="CP1:CS1"/>
    <mergeCell ref="CP2:DB2"/>
    <mergeCell ref="DV1:DY1"/>
    <mergeCell ref="DV2:EH2"/>
    <mergeCell ref="FB1:FE1"/>
    <mergeCell ref="FB2:FN2"/>
    <mergeCell ref="GG1:GJ1"/>
    <mergeCell ref="GG2:GS2"/>
    <mergeCell ref="HL1:HO1"/>
    <mergeCell ref="HL2:HX2"/>
    <mergeCell ref="IQ1:IT1"/>
    <mergeCell ref="IQ2:JC2"/>
    <mergeCell ref="JV1:JY1"/>
    <mergeCell ref="JV2:KH2"/>
  </mergeCells>
  <conditionalFormatting sqref="C7:Z54">
    <cfRule type="cellIs" dxfId="57" priority="2" operator="lessThan">
      <formula>0</formula>
    </cfRule>
  </conditionalFormatting>
  <conditionalFormatting sqref="I7:S54">
    <cfRule type="cellIs" dxfId="56" priority="1" operator="greaterThan">
      <formula>0</formula>
    </cfRule>
  </conditionalFormatting>
  <conditionalFormatting sqref="AH7:AM54 AY7:BE54">
    <cfRule type="cellIs" dxfId="55" priority="59" operator="lessThan">
      <formula>0</formula>
    </cfRule>
    <cfRule type="cellIs" dxfId="54" priority="58" operator="greaterThan">
      <formula>0</formula>
    </cfRule>
  </conditionalFormatting>
  <conditionalFormatting sqref="AN6:AX54">
    <cfRule type="cellIs" dxfId="53" priority="57" operator="lessThan">
      <formula>0</formula>
    </cfRule>
    <cfRule type="cellIs" dxfId="52" priority="56" operator="greaterThan">
      <formula>0</formula>
    </cfRule>
  </conditionalFormatting>
  <conditionalFormatting sqref="BM7:BR54 CD7:CJ54">
    <cfRule type="cellIs" dxfId="51" priority="55" operator="lessThan">
      <formula>0</formula>
    </cfRule>
    <cfRule type="cellIs" dxfId="50" priority="54" operator="greaterThan">
      <formula>0</formula>
    </cfRule>
  </conditionalFormatting>
  <conditionalFormatting sqref="BS6:CC54">
    <cfRule type="cellIs" dxfId="49" priority="53" operator="lessThan">
      <formula>0</formula>
    </cfRule>
    <cfRule type="cellIs" dxfId="48" priority="52" operator="greaterThan">
      <formula>0</formula>
    </cfRule>
  </conditionalFormatting>
  <conditionalFormatting sqref="CR7:CW54 DI7:DO54">
    <cfRule type="cellIs" dxfId="47" priority="51" operator="lessThan">
      <formula>0</formula>
    </cfRule>
    <cfRule type="cellIs" dxfId="46" priority="50" operator="greaterThan">
      <formula>0</formula>
    </cfRule>
  </conditionalFormatting>
  <conditionalFormatting sqref="CX6:DH54">
    <cfRule type="cellIs" dxfId="45" priority="49" operator="lessThan">
      <formula>0</formula>
    </cfRule>
    <cfRule type="cellIs" dxfId="44" priority="48" operator="greaterThan">
      <formula>0</formula>
    </cfRule>
  </conditionalFormatting>
  <conditionalFormatting sqref="DX7:EC54 EO7:EU54">
    <cfRule type="cellIs" dxfId="43" priority="47" operator="lessThan">
      <formula>0</formula>
    </cfRule>
    <cfRule type="cellIs" dxfId="42" priority="46" operator="greaterThan">
      <formula>0</formula>
    </cfRule>
  </conditionalFormatting>
  <conditionalFormatting sqref="ED6:EN54">
    <cfRule type="cellIs" dxfId="41" priority="44" operator="greaterThan">
      <formula>0</formula>
    </cfRule>
    <cfRule type="cellIs" dxfId="40" priority="45" operator="lessThan">
      <formula>0</formula>
    </cfRule>
  </conditionalFormatting>
  <conditionalFormatting sqref="FD7:FI54 FU7:GA54">
    <cfRule type="cellIs" dxfId="39" priority="43" operator="lessThan">
      <formula>0</formula>
    </cfRule>
    <cfRule type="cellIs" dxfId="38" priority="42" operator="greaterThan">
      <formula>0</formula>
    </cfRule>
  </conditionalFormatting>
  <conditionalFormatting sqref="FJ6:FT54">
    <cfRule type="cellIs" dxfId="37" priority="41" operator="lessThan">
      <formula>0</formula>
    </cfRule>
    <cfRule type="cellIs" dxfId="36" priority="40" operator="greaterThan">
      <formula>0</formula>
    </cfRule>
  </conditionalFormatting>
  <conditionalFormatting sqref="GI7:GN54 GZ7:HF54">
    <cfRule type="cellIs" dxfId="35" priority="39" operator="lessThan">
      <formula>0</formula>
    </cfRule>
    <cfRule type="cellIs" dxfId="34" priority="38" operator="greaterThan">
      <formula>0</formula>
    </cfRule>
  </conditionalFormatting>
  <conditionalFormatting sqref="GO6:GY54">
    <cfRule type="cellIs" dxfId="33" priority="37" operator="lessThan">
      <formula>0</formula>
    </cfRule>
    <cfRule type="cellIs" dxfId="32" priority="36" operator="greaterThan">
      <formula>0</formula>
    </cfRule>
  </conditionalFormatting>
  <conditionalFormatting sqref="HN7:HS54 IE7:IK54">
    <cfRule type="cellIs" dxfId="31" priority="35" operator="lessThan">
      <formula>0</formula>
    </cfRule>
    <cfRule type="cellIs" dxfId="30" priority="34" operator="greaterThan">
      <formula>0</formula>
    </cfRule>
  </conditionalFormatting>
  <conditionalFormatting sqref="HT6:ID54">
    <cfRule type="cellIs" dxfId="29" priority="33" operator="lessThan">
      <formula>0</formula>
    </cfRule>
    <cfRule type="cellIs" dxfId="28" priority="32" operator="greaterThan">
      <formula>0</formula>
    </cfRule>
  </conditionalFormatting>
  <conditionalFormatting sqref="IS7:IX54 JJ7:JP54">
    <cfRule type="cellIs" dxfId="27" priority="30" operator="greaterThan">
      <formula>0</formula>
    </cfRule>
    <cfRule type="cellIs" dxfId="26" priority="31" operator="lessThan">
      <formula>0</formula>
    </cfRule>
  </conditionalFormatting>
  <conditionalFormatting sqref="IY6:JI54">
    <cfRule type="cellIs" dxfId="25" priority="9" operator="lessThan">
      <formula>0</formula>
    </cfRule>
    <cfRule type="cellIs" dxfId="24" priority="8" operator="greaterThan">
      <formula>0</formula>
    </cfRule>
  </conditionalFormatting>
  <conditionalFormatting sqref="JX7:KC54 KO7:KU54">
    <cfRule type="cellIs" dxfId="23" priority="29" operator="lessThan">
      <formula>0</formula>
    </cfRule>
    <cfRule type="cellIs" dxfId="22" priority="28" operator="greaterThan">
      <formula>0</formula>
    </cfRule>
  </conditionalFormatting>
  <conditionalFormatting sqref="KD6:KN54">
    <cfRule type="cellIs" dxfId="21" priority="27" operator="lessThan">
      <formula>0</formula>
    </cfRule>
    <cfRule type="cellIs" dxfId="20" priority="26" operator="greaterThan">
      <formula>0</formula>
    </cfRule>
  </conditionalFormatting>
  <conditionalFormatting sqref="LC7:LH54 LT7:LZ54">
    <cfRule type="cellIs" dxfId="19" priority="25" operator="lessThan">
      <formula>0</formula>
    </cfRule>
    <cfRule type="cellIs" dxfId="18" priority="24" operator="greaterThan">
      <formula>0</formula>
    </cfRule>
  </conditionalFormatting>
  <conditionalFormatting sqref="LI6:LS54">
    <cfRule type="cellIs" dxfId="17" priority="23" operator="lessThan">
      <formula>0</formula>
    </cfRule>
    <cfRule type="cellIs" dxfId="16" priority="22" operator="greaterThan">
      <formula>0</formula>
    </cfRule>
  </conditionalFormatting>
  <conditionalFormatting sqref="MH7:MM54 MY7:NE54">
    <cfRule type="cellIs" dxfId="15" priority="21" operator="lessThan">
      <formula>0</formula>
    </cfRule>
    <cfRule type="cellIs" dxfId="14" priority="20" operator="greaterThan">
      <formula>0</formula>
    </cfRule>
  </conditionalFormatting>
  <conditionalFormatting sqref="MN6:MX54">
    <cfRule type="cellIs" dxfId="13" priority="19" operator="lessThan">
      <formula>0</formula>
    </cfRule>
    <cfRule type="cellIs" dxfId="12" priority="18" operator="greaterThan">
      <formula>0</formula>
    </cfRule>
  </conditionalFormatting>
  <conditionalFormatting sqref="NM7:NR54 OD7:OJ54">
    <cfRule type="cellIs" dxfId="11" priority="17" operator="lessThan">
      <formula>0</formula>
    </cfRule>
    <cfRule type="cellIs" dxfId="10" priority="16" operator="greaterThan">
      <formula>0</formula>
    </cfRule>
  </conditionalFormatting>
  <conditionalFormatting sqref="NS6:OC54">
    <cfRule type="cellIs" dxfId="9" priority="15" operator="lessThan">
      <formula>0</formula>
    </cfRule>
    <cfRule type="cellIs" dxfId="8" priority="14" operator="greaterThan">
      <formula>0</formula>
    </cfRule>
  </conditionalFormatting>
  <conditionalFormatting sqref="OR7:OW54 PI7:PO54">
    <cfRule type="cellIs" dxfId="7" priority="13" operator="lessThan">
      <formula>0</formula>
    </cfRule>
    <cfRule type="cellIs" dxfId="6" priority="12" operator="greaterThan">
      <formula>0</formula>
    </cfRule>
  </conditionalFormatting>
  <conditionalFormatting sqref="OX6:PH54">
    <cfRule type="cellIs" dxfId="5" priority="11" operator="lessThan">
      <formula>0</formula>
    </cfRule>
    <cfRule type="cellIs" dxfId="4" priority="10" operator="greaterThan">
      <formula>0</formula>
    </cfRule>
  </conditionalFormatting>
  <conditionalFormatting sqref="PW7:QB54 QN7:QT54">
    <cfRule type="cellIs" dxfId="3" priority="7" operator="lessThan">
      <formula>0</formula>
    </cfRule>
    <cfRule type="cellIs" dxfId="2" priority="6" operator="greaterThan">
      <formula>0</formula>
    </cfRule>
  </conditionalFormatting>
  <conditionalFormatting sqref="QC6:QM54">
    <cfRule type="cellIs" dxfId="1" priority="5" operator="lessThan">
      <formula>0</formula>
    </cfRule>
    <cfRule type="cellIs" dxfId="0" priority="4" operator="greaterThan">
      <formula>0</formula>
    </cfRule>
  </conditionalFormatting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OF P1 </vt:lpstr>
      <vt:lpstr>CURVA P1</vt:lpstr>
      <vt:lpstr>OF P2</vt:lpstr>
      <vt:lpstr>CURVA P2</vt:lpstr>
      <vt:lpstr>OF P3</vt:lpstr>
      <vt:lpstr>CURVA P3</vt:lpstr>
      <vt:lpstr>Producto 4</vt:lpstr>
      <vt:lpstr>CURVA P4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ANTONIO CLAVIJO CACERES</dc:creator>
  <cp:lastModifiedBy>OSCAR FELIPE ORTEGA AGUDELO</cp:lastModifiedBy>
  <dcterms:created xsi:type="dcterms:W3CDTF">2024-08-30T16:40:26Z</dcterms:created>
  <dcterms:modified xsi:type="dcterms:W3CDTF">2025-08-28T22:15:41Z</dcterms:modified>
</cp:coreProperties>
</file>