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5" yWindow="-15" windowWidth="14400" windowHeight="12420" activeTab="4"/>
  </bookViews>
  <sheets>
    <sheet name="CANTIDADES AÑO 2027" sheetId="21" r:id="rId1"/>
    <sheet name="CANTIDADES AÑO 2028" sheetId="19" r:id="rId2"/>
    <sheet name="CANTIDADES AÑO 2029" sheetId="22" r:id="rId3"/>
    <sheet name="CANTIDADES AÑO 2030" sheetId="25" r:id="rId4"/>
    <sheet name="CANTIDADES AÑO 2031" sheetId="26" r:id="rId5"/>
    <sheet name="OFERTA" sheetId="20" r:id="rId6"/>
  </sheets>
  <calcPr calcId="144525"/>
</workbook>
</file>

<file path=xl/calcChain.xml><?xml version="1.0" encoding="utf-8"?>
<calcChain xmlns="http://schemas.openxmlformats.org/spreadsheetml/2006/main">
  <c r="AA40" i="26" l="1"/>
  <c r="AC40" i="26" s="1"/>
  <c r="AA39" i="26"/>
  <c r="AC39" i="26" s="1"/>
  <c r="AA38" i="26"/>
  <c r="AC38" i="26" s="1"/>
  <c r="AD38" i="26" s="1"/>
  <c r="AC37" i="26"/>
  <c r="AA37" i="26"/>
  <c r="AA36" i="26"/>
  <c r="AC36" i="26" s="1"/>
  <c r="AA35" i="26"/>
  <c r="AC35" i="26" s="1"/>
  <c r="AD35" i="26" s="1"/>
  <c r="AA34" i="26"/>
  <c r="AC34" i="26" s="1"/>
  <c r="AC33" i="26"/>
  <c r="AA33" i="26"/>
  <c r="AA32" i="26"/>
  <c r="AC32" i="26" s="1"/>
  <c r="AA31" i="26"/>
  <c r="AC31" i="26" s="1"/>
  <c r="AC30" i="26"/>
  <c r="AA30" i="26"/>
  <c r="AA29" i="26"/>
  <c r="AC29" i="26" s="1"/>
  <c r="AD29" i="26" s="1"/>
  <c r="AA28" i="26"/>
  <c r="AC28" i="26" s="1"/>
  <c r="AA27" i="26"/>
  <c r="AC27" i="26" s="1"/>
  <c r="AA26" i="26"/>
  <c r="AC26" i="26" s="1"/>
  <c r="AA25" i="26"/>
  <c r="AC25" i="26" s="1"/>
  <c r="AA24" i="26"/>
  <c r="AC24" i="26" s="1"/>
  <c r="AD23" i="26" s="1"/>
  <c r="AC23" i="26"/>
  <c r="AA23" i="26"/>
  <c r="AA22" i="26"/>
  <c r="AC22" i="26" s="1"/>
  <c r="AA21" i="26"/>
  <c r="AC21" i="26" s="1"/>
  <c r="AC20" i="26"/>
  <c r="AA20" i="26"/>
  <c r="AA19" i="26"/>
  <c r="AC19" i="26" s="1"/>
  <c r="AA18" i="26"/>
  <c r="AC18" i="26" s="1"/>
  <c r="AA17" i="26"/>
  <c r="AC17" i="26" s="1"/>
  <c r="AD17" i="26" s="1"/>
  <c r="AA16" i="26"/>
  <c r="AC16" i="26" s="1"/>
  <c r="AA15" i="26"/>
  <c r="AC15" i="26" s="1"/>
  <c r="AA14" i="26"/>
  <c r="AC14" i="26" s="1"/>
  <c r="AD14" i="26" s="1"/>
  <c r="AC13" i="26"/>
  <c r="AA13" i="26"/>
  <c r="AA12" i="26"/>
  <c r="AC12" i="26" s="1"/>
  <c r="AA11" i="26"/>
  <c r="AC11" i="26" s="1"/>
  <c r="AD11" i="26" s="1"/>
  <c r="AA10" i="26"/>
  <c r="AC10" i="26" s="1"/>
  <c r="AA9" i="26"/>
  <c r="AC9" i="26" s="1"/>
  <c r="AA8" i="26"/>
  <c r="AC8" i="26" s="1"/>
  <c r="AD8" i="26" s="1"/>
  <c r="AA7" i="26"/>
  <c r="AC7" i="26" s="1"/>
  <c r="AC6" i="26"/>
  <c r="AA6" i="26"/>
  <c r="AA5" i="26"/>
  <c r="AC5" i="26" s="1"/>
  <c r="AA40" i="25"/>
  <c r="AC40" i="25" s="1"/>
  <c r="AA39" i="25"/>
  <c r="AC39" i="25" s="1"/>
  <c r="AA38" i="25"/>
  <c r="AC38" i="25" s="1"/>
  <c r="AC37" i="25"/>
  <c r="AA37" i="25"/>
  <c r="AA36" i="25"/>
  <c r="AC36" i="25" s="1"/>
  <c r="AA35" i="25"/>
  <c r="AC35" i="25" s="1"/>
  <c r="AD35" i="25" s="1"/>
  <c r="AA34" i="25"/>
  <c r="AC34" i="25" s="1"/>
  <c r="AA33" i="25"/>
  <c r="AC33" i="25" s="1"/>
  <c r="AA32" i="25"/>
  <c r="AC32" i="25" s="1"/>
  <c r="AA31" i="25"/>
  <c r="AC31" i="25" s="1"/>
  <c r="AC30" i="25"/>
  <c r="AA30" i="25"/>
  <c r="AA29" i="25"/>
  <c r="AC29" i="25" s="1"/>
  <c r="AD29" i="25" s="1"/>
  <c r="AA28" i="25"/>
  <c r="AC28" i="25" s="1"/>
  <c r="AA27" i="25"/>
  <c r="AC27" i="25" s="1"/>
  <c r="AA26" i="25"/>
  <c r="AC26" i="25" s="1"/>
  <c r="AA25" i="25"/>
  <c r="AC25" i="25" s="1"/>
  <c r="AA24" i="25"/>
  <c r="AC24" i="25" s="1"/>
  <c r="AA23" i="25"/>
  <c r="AC23" i="25" s="1"/>
  <c r="AD23" i="25" s="1"/>
  <c r="AA22" i="25"/>
  <c r="AC22" i="25" s="1"/>
  <c r="AA21" i="25"/>
  <c r="AC21" i="25" s="1"/>
  <c r="AC20" i="25"/>
  <c r="AD20" i="25" s="1"/>
  <c r="AA20" i="25"/>
  <c r="AA19" i="25"/>
  <c r="AC19" i="25" s="1"/>
  <c r="AA18" i="25"/>
  <c r="AC18" i="25" s="1"/>
  <c r="AA17" i="25"/>
  <c r="AC17" i="25" s="1"/>
  <c r="AA16" i="25"/>
  <c r="AC16" i="25" s="1"/>
  <c r="AA15" i="25"/>
  <c r="AC15" i="25" s="1"/>
  <c r="AA14" i="25"/>
  <c r="AC14" i="25" s="1"/>
  <c r="AD14" i="25" s="1"/>
  <c r="AC13" i="25"/>
  <c r="AA13" i="25"/>
  <c r="AA12" i="25"/>
  <c r="AC12" i="25" s="1"/>
  <c r="AA11" i="25"/>
  <c r="AC11" i="25" s="1"/>
  <c r="AD11" i="25" s="1"/>
  <c r="AA10" i="25"/>
  <c r="AC10" i="25" s="1"/>
  <c r="AA9" i="25"/>
  <c r="AC9" i="25" s="1"/>
  <c r="AA8" i="25"/>
  <c r="AC8" i="25" s="1"/>
  <c r="AD8" i="25" s="1"/>
  <c r="AA7" i="25"/>
  <c r="AC7" i="25" s="1"/>
  <c r="AC6" i="25"/>
  <c r="AA6" i="25"/>
  <c r="AA5" i="25"/>
  <c r="AC5" i="25" s="1"/>
  <c r="AA40" i="22"/>
  <c r="AC40" i="22" s="1"/>
  <c r="AA39" i="22"/>
  <c r="AC39" i="22" s="1"/>
  <c r="AA38" i="22"/>
  <c r="AC38" i="22" s="1"/>
  <c r="AD38" i="22" s="1"/>
  <c r="AC37" i="22"/>
  <c r="AA37" i="22"/>
  <c r="AA36" i="22"/>
  <c r="AC36" i="22" s="1"/>
  <c r="AA35" i="22"/>
  <c r="AC35" i="22" s="1"/>
  <c r="AD35" i="22" s="1"/>
  <c r="AA34" i="22"/>
  <c r="AC34" i="22" s="1"/>
  <c r="AA33" i="22"/>
  <c r="AC33" i="22" s="1"/>
  <c r="AA32" i="22"/>
  <c r="AC32" i="22" s="1"/>
  <c r="AA31" i="22"/>
  <c r="AC31" i="22" s="1"/>
  <c r="AC30" i="22"/>
  <c r="AA30" i="22"/>
  <c r="AA29" i="22"/>
  <c r="AC29" i="22" s="1"/>
  <c r="AD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D23" i="22" s="1"/>
  <c r="AA22" i="22"/>
  <c r="AC22" i="22" s="1"/>
  <c r="AA21" i="22"/>
  <c r="AC21" i="22" s="1"/>
  <c r="AC20" i="22"/>
  <c r="AD20" i="22" s="1"/>
  <c r="AA20" i="22"/>
  <c r="AA19" i="22"/>
  <c r="AC19" i="22" s="1"/>
  <c r="AA18" i="22"/>
  <c r="AC18" i="22" s="1"/>
  <c r="AA17" i="22"/>
  <c r="AC17" i="22" s="1"/>
  <c r="AD17" i="22" s="1"/>
  <c r="AA16" i="22"/>
  <c r="AC16" i="22" s="1"/>
  <c r="AA15" i="22"/>
  <c r="AC15" i="22" s="1"/>
  <c r="AA14" i="22"/>
  <c r="AC14" i="22" s="1"/>
  <c r="AD14" i="22" s="1"/>
  <c r="AC13" i="22"/>
  <c r="AA13" i="22"/>
  <c r="AA12" i="22"/>
  <c r="AC12" i="22" s="1"/>
  <c r="AA11" i="22"/>
  <c r="AC11" i="22" s="1"/>
  <c r="AD11" i="22" s="1"/>
  <c r="AA10" i="22"/>
  <c r="AC10" i="22" s="1"/>
  <c r="AA9" i="22"/>
  <c r="AC9" i="22" s="1"/>
  <c r="AA8" i="22"/>
  <c r="AC8" i="22" s="1"/>
  <c r="AD8" i="22" s="1"/>
  <c r="AA7" i="22"/>
  <c r="AC7" i="22" s="1"/>
  <c r="AC6" i="22"/>
  <c r="AA6" i="22"/>
  <c r="AA5" i="22"/>
  <c r="AC5" i="22" s="1"/>
  <c r="AA40" i="19"/>
  <c r="AC40" i="19" s="1"/>
  <c r="AA39" i="19"/>
  <c r="AC39" i="19" s="1"/>
  <c r="AA38" i="19"/>
  <c r="AC38" i="19" s="1"/>
  <c r="AD38" i="19" s="1"/>
  <c r="AC37" i="19"/>
  <c r="AA37" i="19"/>
  <c r="AA36" i="19"/>
  <c r="AC36" i="19" s="1"/>
  <c r="AA35" i="19"/>
  <c r="AC35" i="19" s="1"/>
  <c r="AD35" i="19" s="1"/>
  <c r="AA34" i="19"/>
  <c r="AC34" i="19" s="1"/>
  <c r="AA33" i="19"/>
  <c r="AC33" i="19" s="1"/>
  <c r="AA32" i="19"/>
  <c r="AC32" i="19" s="1"/>
  <c r="AA31" i="19"/>
  <c r="AC31" i="19" s="1"/>
  <c r="AC30" i="19"/>
  <c r="AA30" i="19"/>
  <c r="AA29" i="19"/>
  <c r="AC29" i="19" s="1"/>
  <c r="AD29" i="19" s="1"/>
  <c r="AA28" i="19"/>
  <c r="AC28" i="19" s="1"/>
  <c r="AA27" i="19"/>
  <c r="AC27" i="19" s="1"/>
  <c r="AA26" i="19"/>
  <c r="AC26" i="19" s="1"/>
  <c r="AA25" i="19"/>
  <c r="AC25" i="19" s="1"/>
  <c r="AA24" i="19"/>
  <c r="AC24" i="19" s="1"/>
  <c r="AA23" i="19"/>
  <c r="AC23" i="19" s="1"/>
  <c r="AD23" i="19" s="1"/>
  <c r="AA22" i="19"/>
  <c r="AC22" i="19" s="1"/>
  <c r="AA21" i="19"/>
  <c r="AC21" i="19" s="1"/>
  <c r="AC20" i="19"/>
  <c r="AD20" i="19" s="1"/>
  <c r="AA20" i="19"/>
  <c r="AA19" i="19"/>
  <c r="AC19" i="19" s="1"/>
  <c r="AA18" i="19"/>
  <c r="AC18" i="19" s="1"/>
  <c r="AA17" i="19"/>
  <c r="AC17" i="19" s="1"/>
  <c r="AD17" i="19" s="1"/>
  <c r="AA16" i="19"/>
  <c r="AC16" i="19" s="1"/>
  <c r="AA15" i="19"/>
  <c r="AC15" i="19" s="1"/>
  <c r="AA14" i="19"/>
  <c r="AC14" i="19" s="1"/>
  <c r="AD14" i="19" s="1"/>
  <c r="AC13" i="19"/>
  <c r="AA13" i="19"/>
  <c r="AA12" i="19"/>
  <c r="AC12" i="19" s="1"/>
  <c r="AA11" i="19"/>
  <c r="AC11" i="19" s="1"/>
  <c r="AD11" i="19" s="1"/>
  <c r="AA10" i="19"/>
  <c r="AC10" i="19" s="1"/>
  <c r="AA9" i="19"/>
  <c r="AC9" i="19" s="1"/>
  <c r="AA8" i="19"/>
  <c r="AC8" i="19" s="1"/>
  <c r="AD8" i="19" s="1"/>
  <c r="AA7" i="19"/>
  <c r="AC7" i="19" s="1"/>
  <c r="AC6" i="19"/>
  <c r="AA6" i="19"/>
  <c r="AA5" i="19"/>
  <c r="AC5" i="19" s="1"/>
  <c r="AA40" i="21"/>
  <c r="AC40" i="21" s="1"/>
  <c r="AC39" i="21"/>
  <c r="AA39" i="21"/>
  <c r="AA38" i="21"/>
  <c r="AC38" i="21" s="1"/>
  <c r="AD38" i="21" s="1"/>
  <c r="AC37" i="21"/>
  <c r="AA37" i="21"/>
  <c r="AA36" i="21"/>
  <c r="AC36" i="21" s="1"/>
  <c r="AA35" i="21"/>
  <c r="AC35" i="21" s="1"/>
  <c r="AD35" i="21" s="1"/>
  <c r="AA34" i="21"/>
  <c r="AC34" i="21" s="1"/>
  <c r="AC33" i="21"/>
  <c r="AA33" i="21"/>
  <c r="AA32" i="21"/>
  <c r="AC32" i="21" s="1"/>
  <c r="AD32" i="21" s="1"/>
  <c r="AA31" i="21"/>
  <c r="AC31" i="21" s="1"/>
  <c r="AC30" i="21"/>
  <c r="AA30" i="21"/>
  <c r="AC29" i="21"/>
  <c r="AD29" i="21" s="1"/>
  <c r="AA29" i="21"/>
  <c r="AA28" i="21"/>
  <c r="AC28" i="21" s="1"/>
  <c r="AA27" i="21"/>
  <c r="AC27" i="21" s="1"/>
  <c r="AA26" i="21"/>
  <c r="AC26" i="21" s="1"/>
  <c r="AD26" i="21" s="1"/>
  <c r="AA25" i="21"/>
  <c r="AC25" i="21" s="1"/>
  <c r="AA24" i="21"/>
  <c r="AC24" i="21" s="1"/>
  <c r="AD23" i="21" s="1"/>
  <c r="AC23" i="21"/>
  <c r="AA23" i="21"/>
  <c r="AC22" i="21"/>
  <c r="AA22" i="21"/>
  <c r="AA21" i="21"/>
  <c r="AC21" i="21" s="1"/>
  <c r="AC20" i="21"/>
  <c r="AD20" i="21" s="1"/>
  <c r="AA20" i="21"/>
  <c r="AA19" i="21"/>
  <c r="AC19" i="21" s="1"/>
  <c r="AA18" i="21"/>
  <c r="AC18" i="21" s="1"/>
  <c r="AA17" i="21"/>
  <c r="AC17" i="21" s="1"/>
  <c r="AD17" i="21" s="1"/>
  <c r="AC16" i="21"/>
  <c r="AA16" i="21"/>
  <c r="AC15" i="21"/>
  <c r="AA15" i="21"/>
  <c r="AA14" i="21"/>
  <c r="AC14" i="21" s="1"/>
  <c r="AD14" i="21" s="1"/>
  <c r="AC13" i="21"/>
  <c r="AA13" i="21"/>
  <c r="AA12" i="21"/>
  <c r="AC12" i="21" s="1"/>
  <c r="AA11" i="21"/>
  <c r="AC11" i="21" s="1"/>
  <c r="AA10" i="21"/>
  <c r="AC10" i="21" s="1"/>
  <c r="AC9" i="21"/>
  <c r="AA9" i="21"/>
  <c r="AA8" i="21"/>
  <c r="AC8" i="21" s="1"/>
  <c r="AD8" i="21" s="1"/>
  <c r="AA7" i="21"/>
  <c r="AC7" i="21" s="1"/>
  <c r="AC6" i="21"/>
  <c r="AA6" i="21"/>
  <c r="AC5" i="21"/>
  <c r="AA5" i="21"/>
  <c r="AD5" i="26" l="1"/>
  <c r="AD32" i="26"/>
  <c r="AD26" i="26"/>
  <c r="AD20" i="26"/>
  <c r="AD17" i="25"/>
  <c r="AD38" i="25"/>
  <c r="AD32" i="25"/>
  <c r="AD5" i="25"/>
  <c r="AD26" i="25"/>
  <c r="AD32" i="22"/>
  <c r="AD5" i="22"/>
  <c r="AD26" i="22"/>
  <c r="AD32" i="19"/>
  <c r="AD5" i="19"/>
  <c r="AD26" i="19"/>
  <c r="AD5" i="21"/>
  <c r="AD11" i="21"/>
</calcChain>
</file>

<file path=xl/sharedStrings.xml><?xml version="1.0" encoding="utf-8"?>
<sst xmlns="http://schemas.openxmlformats.org/spreadsheetml/2006/main" count="349" uniqueCount="35">
  <si>
    <t>MES</t>
  </si>
  <si>
    <t>TIPO DE</t>
  </si>
  <si>
    <t>HORA</t>
  </si>
  <si>
    <t>TOTAL DIARIO</t>
  </si>
  <si>
    <t>DIAS EN EL MES</t>
  </si>
  <si>
    <t>TOTAL MES</t>
  </si>
  <si>
    <t>DIA</t>
  </si>
  <si>
    <t>LABORAL</t>
  </si>
  <si>
    <t>ENERO</t>
  </si>
  <si>
    <t>SABADO</t>
  </si>
  <si>
    <t>DOMINGO Y FESTIVO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</si>
  <si>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</si>
  <si>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</si>
  <si>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</si>
  <si>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</si>
  <si>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</si>
  <si>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</si>
  <si>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</si>
  <si>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</si>
  <si>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</si>
  <si>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</si>
  <si>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</si>
  <si>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EMPRESA DE ENERGIA DEL VALLE DE SIBUNDOY S.A. E.S.P.</t>
  </si>
  <si>
    <t>FORMULARIO RESUMEN DE LA PROPUESTA</t>
  </si>
  <si>
    <t>PROPONENTE:</t>
  </si>
  <si>
    <t>AÑO</t>
  </si>
  <si>
    <t>ENERGIA OFRECIDA KWH</t>
  </si>
  <si>
    <t>TARIFA OFRECIDA $/KWH</t>
  </si>
  <si>
    <t>TIPO DE CONTRATO</t>
  </si>
  <si>
    <t>OBSERVACIONES:</t>
  </si>
  <si>
    <t>PROYECCION CURVAS TIPICAS DE ENERGIA POR TIPO DE DIA AÑO 2027 (KWH)</t>
  </si>
  <si>
    <t>PROYECCION CURVAS TIPICAS DE ENERGIA POR TIPO DE DIA AÑO 2028 (KWH)</t>
  </si>
  <si>
    <t>PROYECCION CURVAS TIPICAS DE ENERGIA POR TIPO DE DIA AÑO 2029 (KWH)</t>
  </si>
  <si>
    <t>PROYECCION CURVAS TIPICAS DE ENERGIA POR TIPO DE DIA AÑO 2030 (KWH)</t>
  </si>
  <si>
    <t>PROYECCION CURVAS TIPICAS DE ENERGIA POR TIPO DE DIA AÑO 2031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</si>
</sst>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49" fontId="1" fillId="0" borderId="3" xfId="0" applyNumberFormat="1" applyFont="1" applyBorder="1"/>
    <xf numFmtId="49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0" fontId="1" fillId="0" borderId="16" xfId="0" applyFont="1" applyBorder="1"/>
    <xf numFmtId="49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9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9" xfId="0" applyFont="1" applyBorder="1" applyAlignment="1">
      <alignment horizontal="center" vertical="center" wrapText="1"/>
    </xf>
    <xf numFmtId="0" fontId="0" fillId="0" borderId="30" xfId="0" applyBorder="1"/>
    <xf numFmtId="4" fontId="0" fillId="0" borderId="5" xfId="0" applyNumberFormat="1" applyBorder="1"/>
    <xf numFmtId="0" fontId="0" fillId="0" borderId="9" xfId="0" applyBorder="1"/>
    <xf numFmtId="0" fontId="0" fillId="0" borderId="32" xfId="0" applyBorder="1"/>
    <xf numFmtId="4" fontId="0" fillId="0" borderId="11" xfId="0" applyNumberFormat="1" applyBorder="1"/>
    <xf numFmtId="0" fontId="0" fillId="0" borderId="15" xfId="0" applyBorder="1"/>
    <xf numFmtId="0" fontId="0" fillId="0" borderId="33" xfId="0" applyBorder="1"/>
    <xf numFmtId="4" fontId="0" fillId="0" borderId="18" xfId="0" applyNumberFormat="1" applyBorder="1"/>
    <xf numFmtId="0" fontId="0" fillId="0" borderId="22" xfId="0" applyBorder="1"/>
    <xf numFmtId="0" fontId="1" fillId="0" borderId="0" xfId="0" applyFont="1" applyBorder="1" applyAlignment="1">
      <alignment horizontal="center" vertical="center" textRotation="90" wrapText="1"/>
    </xf>
    <xf numFmtId="0" fontId="0" fillId="0" borderId="0" xfId="0" applyBorder="1"/>
    <xf numFmtId="0" fontId="1" fillId="0" borderId="2" xfId="0" applyFont="1" applyBorder="1"/>
    <xf numFmtId="0" fontId="0" fillId="0" borderId="34" xfId="0" applyBorder="1"/>
    <xf numFmtId="0" fontId="0" fillId="0" borderId="26" xfId="0" applyBorder="1"/>
    <xf numFmtId="0" fontId="0" fillId="0" borderId="31" xfId="0" applyBorder="1"/>
    <xf numFmtId="0" fontId="0" fillId="0" borderId="28" xfId="0" applyBorder="1"/>
    <xf numFmtId="0" fontId="0" fillId="0" borderId="27" xfId="0" applyBorder="1"/>
    <xf numFmtId="0" fontId="0" fillId="0" borderId="35" xfId="0" applyBorder="1"/>
    <xf numFmtId="0" fontId="0" fillId="0" borderId="36" xfId="0" applyBorder="1"/>
    <xf numFmtId="3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textRotation="90" wrapText="1"/>
    </xf>
    <xf numFmtId="0" fontId="1" fillId="0" borderId="27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sqref="A1:AD40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7.5703125" customWidth="1"/>
    <col min="30" max="30" width="10.140625" bestFit="1" customWidth="1"/>
  </cols>
  <sheetData>
    <row r="1" spans="1:30" x14ac:dyDescent="0.2">
      <c r="A1" s="55" t="s">
        <v>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3.5" thickBot="1" x14ac:dyDescent="0.25"/>
    <row r="3" spans="1:30" ht="13.9" customHeight="1" thickBot="1" x14ac:dyDescent="0.25">
      <c r="A3" s="1" t="s">
        <v>0</v>
      </c>
      <c r="B3" s="2" t="s">
        <v>1</v>
      </c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59" t="s">
        <v>3</v>
      </c>
      <c r="AB3" s="59" t="s">
        <v>4</v>
      </c>
      <c r="AC3" s="62" t="s">
        <v>5</v>
      </c>
      <c r="AD3" s="63"/>
    </row>
    <row r="4" spans="1:30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0"/>
      <c r="AB4" s="61"/>
      <c r="AC4" s="64"/>
      <c r="AD4" s="65"/>
    </row>
    <row r="5" spans="1:30" x14ac:dyDescent="0.2">
      <c r="A5" s="5"/>
      <c r="B5" s="6" t="s">
        <v>7</v>
      </c>
      <c r="C5" s="7">
        <v>1049</v>
      </c>
      <c r="D5" s="7">
        <v>969</v>
      </c>
      <c r="E5" s="7">
        <v>934</v>
      </c>
      <c r="F5" s="7">
        <v>924</v>
      </c>
      <c r="G5" s="7">
        <v>976</v>
      </c>
      <c r="H5" s="7">
        <v>1150</v>
      </c>
      <c r="I5" s="7">
        <v>1359</v>
      </c>
      <c r="J5" s="7">
        <v>1522</v>
      </c>
      <c r="K5" s="7">
        <v>1586</v>
      </c>
      <c r="L5" s="7">
        <v>1669</v>
      </c>
      <c r="M5" s="7">
        <v>1760</v>
      </c>
      <c r="N5" s="7">
        <v>1809</v>
      </c>
      <c r="O5" s="7">
        <v>1687</v>
      </c>
      <c r="P5" s="7">
        <v>1586</v>
      </c>
      <c r="Q5" s="7">
        <v>1581</v>
      </c>
      <c r="R5" s="7">
        <v>1560</v>
      </c>
      <c r="S5" s="7">
        <v>1595</v>
      </c>
      <c r="T5" s="7">
        <v>1861</v>
      </c>
      <c r="U5" s="7">
        <v>2404</v>
      </c>
      <c r="V5" s="7">
        <v>2814</v>
      </c>
      <c r="W5" s="7">
        <v>2582</v>
      </c>
      <c r="X5" s="7">
        <v>2171</v>
      </c>
      <c r="Y5" s="7">
        <v>1670</v>
      </c>
      <c r="Z5" s="8">
        <v>1303</v>
      </c>
      <c r="AA5" s="9">
        <f>SUM(C5:Z5)</f>
        <v>38521</v>
      </c>
      <c r="AB5" s="9">
        <v>19</v>
      </c>
      <c r="AC5" s="10">
        <f t="shared" ref="AC5:AC40" si="0">AA5*AB5</f>
        <v>731899</v>
      </c>
      <c r="AD5" s="52">
        <f>SUM(AC5:AC7)</f>
        <v>1183266</v>
      </c>
    </row>
    <row r="6" spans="1:30" x14ac:dyDescent="0.2">
      <c r="A6" s="12" t="s">
        <v>8</v>
      </c>
      <c r="B6" s="13" t="s">
        <v>9</v>
      </c>
      <c r="C6" s="14">
        <v>1093</v>
      </c>
      <c r="D6" s="14">
        <v>1000</v>
      </c>
      <c r="E6" s="14">
        <v>949</v>
      </c>
      <c r="F6" s="14">
        <v>924</v>
      </c>
      <c r="G6" s="14">
        <v>960</v>
      </c>
      <c r="H6" s="14">
        <v>1099</v>
      </c>
      <c r="I6" s="14">
        <v>1172</v>
      </c>
      <c r="J6" s="14">
        <v>1330</v>
      </c>
      <c r="K6" s="14">
        <v>1477</v>
      </c>
      <c r="L6" s="14">
        <v>1576</v>
      </c>
      <c r="M6" s="14">
        <v>1700</v>
      </c>
      <c r="N6" s="14">
        <v>1757</v>
      </c>
      <c r="O6" s="14">
        <v>1704</v>
      </c>
      <c r="P6" s="14">
        <v>1536</v>
      </c>
      <c r="Q6" s="14">
        <v>1485</v>
      </c>
      <c r="R6" s="14">
        <v>1494</v>
      </c>
      <c r="S6" s="14">
        <v>1527</v>
      </c>
      <c r="T6" s="14">
        <v>1804</v>
      </c>
      <c r="U6" s="14">
        <v>2512</v>
      </c>
      <c r="V6" s="14">
        <v>2824</v>
      </c>
      <c r="W6" s="14">
        <v>2581</v>
      </c>
      <c r="X6" s="14">
        <v>2197</v>
      </c>
      <c r="Y6" s="14">
        <v>1779</v>
      </c>
      <c r="Z6" s="15">
        <v>1453</v>
      </c>
      <c r="AA6" s="16">
        <f>SUM(C6:Z6)</f>
        <v>37933</v>
      </c>
      <c r="AB6" s="16">
        <v>5</v>
      </c>
      <c r="AC6" s="17">
        <f t="shared" si="0"/>
        <v>189665</v>
      </c>
      <c r="AD6" s="53"/>
    </row>
    <row r="7" spans="1:30" ht="13.5" thickBot="1" x14ac:dyDescent="0.25">
      <c r="A7" s="19"/>
      <c r="B7" s="20" t="s">
        <v>10</v>
      </c>
      <c r="C7" s="21">
        <v>1271</v>
      </c>
      <c r="D7" s="21">
        <v>1185</v>
      </c>
      <c r="E7" s="21">
        <v>1146</v>
      </c>
      <c r="F7" s="21">
        <v>1074</v>
      </c>
      <c r="G7" s="21">
        <v>1027</v>
      </c>
      <c r="H7" s="21">
        <v>1075</v>
      </c>
      <c r="I7" s="21">
        <v>1048</v>
      </c>
      <c r="J7" s="21">
        <v>1182</v>
      </c>
      <c r="K7" s="21">
        <v>1488</v>
      </c>
      <c r="L7" s="21">
        <v>1783</v>
      </c>
      <c r="M7" s="21">
        <v>1895</v>
      </c>
      <c r="N7" s="21">
        <v>1941</v>
      </c>
      <c r="O7" s="21">
        <v>1740</v>
      </c>
      <c r="P7" s="21">
        <v>1524</v>
      </c>
      <c r="Q7" s="21">
        <v>1393</v>
      </c>
      <c r="R7" s="21">
        <v>1377</v>
      </c>
      <c r="S7" s="21">
        <v>1345</v>
      </c>
      <c r="T7" s="21">
        <v>1602</v>
      </c>
      <c r="U7" s="21">
        <v>2195</v>
      </c>
      <c r="V7" s="21">
        <v>2623</v>
      </c>
      <c r="W7" s="21">
        <v>2407</v>
      </c>
      <c r="X7" s="21">
        <v>2044</v>
      </c>
      <c r="Y7" s="21">
        <v>1657</v>
      </c>
      <c r="Z7" s="22">
        <v>1364</v>
      </c>
      <c r="AA7" s="23">
        <f>SUM(C7:Z7)</f>
        <v>37386</v>
      </c>
      <c r="AB7" s="23">
        <v>7</v>
      </c>
      <c r="AC7" s="24">
        <f t="shared" si="0"/>
        <v>261702</v>
      </c>
      <c r="AD7" s="54"/>
    </row>
    <row r="8" spans="1:30" x14ac:dyDescent="0.2">
      <c r="A8" s="5"/>
      <c r="B8" s="6" t="s">
        <v>7</v>
      </c>
      <c r="C8" s="7">
        <v>1007</v>
      </c>
      <c r="D8" s="7">
        <v>947</v>
      </c>
      <c r="E8" s="7">
        <v>925</v>
      </c>
      <c r="F8" s="7">
        <v>921</v>
      </c>
      <c r="G8" s="7">
        <v>995</v>
      </c>
      <c r="H8" s="7">
        <v>1326</v>
      </c>
      <c r="I8" s="7">
        <v>2207</v>
      </c>
      <c r="J8" s="7">
        <v>1648</v>
      </c>
      <c r="K8" s="7">
        <v>1496</v>
      </c>
      <c r="L8" s="7">
        <v>1466</v>
      </c>
      <c r="M8" s="7">
        <v>1469</v>
      </c>
      <c r="N8" s="7">
        <v>1518</v>
      </c>
      <c r="O8" s="7">
        <v>1426</v>
      </c>
      <c r="P8" s="7">
        <v>1413</v>
      </c>
      <c r="Q8" s="7">
        <v>1464</v>
      </c>
      <c r="R8" s="7">
        <v>1455</v>
      </c>
      <c r="S8" s="7">
        <v>1505</v>
      </c>
      <c r="T8" s="7">
        <v>1758</v>
      </c>
      <c r="U8" s="7">
        <v>2348</v>
      </c>
      <c r="V8" s="7">
        <v>2814</v>
      </c>
      <c r="W8" s="7">
        <v>2558</v>
      </c>
      <c r="X8" s="7">
        <v>2136</v>
      </c>
      <c r="Y8" s="7">
        <v>1601</v>
      </c>
      <c r="Z8" s="11">
        <v>1244</v>
      </c>
      <c r="AA8" s="9">
        <f>SUM(C8:Z8)</f>
        <v>37647</v>
      </c>
      <c r="AB8" s="9">
        <v>20</v>
      </c>
      <c r="AC8" s="9">
        <f t="shared" si="0"/>
        <v>752940</v>
      </c>
      <c r="AD8" s="52">
        <f>SUM(AC8:AC10)</f>
        <v>1048832</v>
      </c>
    </row>
    <row r="9" spans="1:30" x14ac:dyDescent="0.2">
      <c r="A9" s="12" t="s">
        <v>11</v>
      </c>
      <c r="B9" s="13" t="s">
        <v>9</v>
      </c>
      <c r="C9" s="14">
        <v>1040</v>
      </c>
      <c r="D9" s="14">
        <v>963</v>
      </c>
      <c r="E9" s="14">
        <v>930</v>
      </c>
      <c r="F9" s="14">
        <v>922</v>
      </c>
      <c r="G9" s="14">
        <v>970</v>
      </c>
      <c r="H9" s="14">
        <v>1111</v>
      </c>
      <c r="I9" s="14">
        <v>1222</v>
      </c>
      <c r="J9" s="14">
        <v>1342</v>
      </c>
      <c r="K9" s="14">
        <v>1514</v>
      </c>
      <c r="L9" s="14">
        <v>1613</v>
      </c>
      <c r="M9" s="14">
        <v>1687</v>
      </c>
      <c r="N9" s="14">
        <v>1709</v>
      </c>
      <c r="O9" s="14">
        <v>1639</v>
      </c>
      <c r="P9" s="14">
        <v>1568</v>
      </c>
      <c r="Q9" s="14">
        <v>1579</v>
      </c>
      <c r="R9" s="14">
        <v>1553</v>
      </c>
      <c r="S9" s="14">
        <v>1569</v>
      </c>
      <c r="T9" s="14">
        <v>1720</v>
      </c>
      <c r="U9" s="14">
        <v>2247</v>
      </c>
      <c r="V9" s="14">
        <v>2754</v>
      </c>
      <c r="W9" s="14">
        <v>2518</v>
      </c>
      <c r="X9" s="14">
        <v>2122</v>
      </c>
      <c r="Y9" s="14">
        <v>1656</v>
      </c>
      <c r="Z9" s="18">
        <v>1329</v>
      </c>
      <c r="AA9" s="16">
        <f t="shared" ref="AA9:AA40" si="1">SUM(C9:Z9)</f>
        <v>37277</v>
      </c>
      <c r="AB9" s="16">
        <v>4</v>
      </c>
      <c r="AC9" s="16">
        <f t="shared" si="0"/>
        <v>149108</v>
      </c>
      <c r="AD9" s="53"/>
    </row>
    <row r="10" spans="1:30" ht="13.5" thickBot="1" x14ac:dyDescent="0.25">
      <c r="A10" s="19"/>
      <c r="B10" s="20" t="s">
        <v>10</v>
      </c>
      <c r="C10" s="21">
        <v>1091</v>
      </c>
      <c r="D10" s="21">
        <v>1008</v>
      </c>
      <c r="E10" s="21">
        <v>963</v>
      </c>
      <c r="F10" s="21">
        <v>939</v>
      </c>
      <c r="G10" s="21">
        <v>962</v>
      </c>
      <c r="H10" s="21">
        <v>1090</v>
      </c>
      <c r="I10" s="21">
        <v>1161</v>
      </c>
      <c r="J10" s="21">
        <v>1285</v>
      </c>
      <c r="K10" s="21">
        <v>1582</v>
      </c>
      <c r="L10" s="21">
        <v>1759</v>
      </c>
      <c r="M10" s="21">
        <v>1726</v>
      </c>
      <c r="N10" s="21">
        <v>1755</v>
      </c>
      <c r="O10" s="21">
        <v>1656</v>
      </c>
      <c r="P10" s="21">
        <v>1532</v>
      </c>
      <c r="Q10" s="21">
        <v>1501</v>
      </c>
      <c r="R10" s="21">
        <v>1448</v>
      </c>
      <c r="S10" s="21">
        <v>1435</v>
      </c>
      <c r="T10" s="21">
        <v>1684</v>
      </c>
      <c r="U10" s="21">
        <v>2211</v>
      </c>
      <c r="V10" s="21">
        <v>2633</v>
      </c>
      <c r="W10" s="21">
        <v>2452</v>
      </c>
      <c r="X10" s="21">
        <v>2038</v>
      </c>
      <c r="Y10" s="21">
        <v>1552</v>
      </c>
      <c r="Z10" s="25">
        <v>1233</v>
      </c>
      <c r="AA10" s="23">
        <f t="shared" si="1"/>
        <v>36696</v>
      </c>
      <c r="AB10" s="23">
        <v>4</v>
      </c>
      <c r="AC10" s="23">
        <f t="shared" si="0"/>
        <v>146784</v>
      </c>
      <c r="AD10" s="54"/>
    </row>
    <row r="11" spans="1:30" x14ac:dyDescent="0.2">
      <c r="A11" s="5"/>
      <c r="B11" s="6" t="s">
        <v>7</v>
      </c>
      <c r="C11" s="7">
        <v>965</v>
      </c>
      <c r="D11" s="7">
        <v>897</v>
      </c>
      <c r="E11" s="7">
        <v>871</v>
      </c>
      <c r="F11" s="7">
        <v>862</v>
      </c>
      <c r="G11" s="7">
        <v>921</v>
      </c>
      <c r="H11" s="7">
        <v>1241</v>
      </c>
      <c r="I11" s="7">
        <v>2085</v>
      </c>
      <c r="J11" s="7">
        <v>1625</v>
      </c>
      <c r="K11" s="7">
        <v>1510</v>
      </c>
      <c r="L11" s="7">
        <v>1487</v>
      </c>
      <c r="M11" s="7">
        <v>1473</v>
      </c>
      <c r="N11" s="7">
        <v>1520</v>
      </c>
      <c r="O11" s="7">
        <v>1442</v>
      </c>
      <c r="P11" s="7">
        <v>1425</v>
      </c>
      <c r="Q11" s="7">
        <v>1467</v>
      </c>
      <c r="R11" s="7">
        <v>1443</v>
      </c>
      <c r="S11" s="7">
        <v>1497</v>
      </c>
      <c r="T11" s="7">
        <v>1761</v>
      </c>
      <c r="U11" s="7">
        <v>2402</v>
      </c>
      <c r="V11" s="7">
        <v>2782</v>
      </c>
      <c r="W11" s="7">
        <v>2521</v>
      </c>
      <c r="X11" s="7">
        <v>2116</v>
      </c>
      <c r="Y11" s="7">
        <v>1571</v>
      </c>
      <c r="Z11" s="11">
        <v>1206</v>
      </c>
      <c r="AA11" s="9">
        <f t="shared" si="1"/>
        <v>37090</v>
      </c>
      <c r="AB11" s="9">
        <v>20</v>
      </c>
      <c r="AC11" s="9">
        <f t="shared" si="0"/>
        <v>741800</v>
      </c>
      <c r="AD11" s="52">
        <f>SUM(AC11:AC13)</f>
        <v>1143297</v>
      </c>
    </row>
    <row r="12" spans="1:30" x14ac:dyDescent="0.2">
      <c r="A12" s="12" t="s">
        <v>12</v>
      </c>
      <c r="B12" s="13" t="s">
        <v>9</v>
      </c>
      <c r="C12" s="14">
        <v>1005</v>
      </c>
      <c r="D12" s="14">
        <v>924</v>
      </c>
      <c r="E12" s="14">
        <v>883</v>
      </c>
      <c r="F12" s="14">
        <v>877</v>
      </c>
      <c r="G12" s="14">
        <v>918</v>
      </c>
      <c r="H12" s="14">
        <v>1067</v>
      </c>
      <c r="I12" s="14">
        <v>1157</v>
      </c>
      <c r="J12" s="14">
        <v>1367</v>
      </c>
      <c r="K12" s="14">
        <v>1514</v>
      </c>
      <c r="L12" s="14">
        <v>1588</v>
      </c>
      <c r="M12" s="14">
        <v>1633</v>
      </c>
      <c r="N12" s="14">
        <v>1704</v>
      </c>
      <c r="O12" s="14">
        <v>1655</v>
      </c>
      <c r="P12" s="14">
        <v>1590</v>
      </c>
      <c r="Q12" s="14">
        <v>1586</v>
      </c>
      <c r="R12" s="14">
        <v>1521</v>
      </c>
      <c r="S12" s="14">
        <v>1552</v>
      </c>
      <c r="T12" s="14">
        <v>1824</v>
      </c>
      <c r="U12" s="14">
        <v>2469</v>
      </c>
      <c r="V12" s="14">
        <v>2728</v>
      </c>
      <c r="W12" s="14">
        <v>2490</v>
      </c>
      <c r="X12" s="14">
        <v>2099</v>
      </c>
      <c r="Y12" s="14">
        <v>1644</v>
      </c>
      <c r="Z12" s="18">
        <v>1322</v>
      </c>
      <c r="AA12" s="16">
        <f t="shared" si="1"/>
        <v>37117</v>
      </c>
      <c r="AB12" s="16">
        <v>4</v>
      </c>
      <c r="AC12" s="16">
        <f t="shared" si="0"/>
        <v>148468</v>
      </c>
      <c r="AD12" s="53"/>
    </row>
    <row r="13" spans="1:30" ht="13.5" thickBot="1" x14ac:dyDescent="0.25">
      <c r="A13" s="19"/>
      <c r="B13" s="20" t="s">
        <v>10</v>
      </c>
      <c r="C13" s="21">
        <v>1085</v>
      </c>
      <c r="D13" s="21">
        <v>990</v>
      </c>
      <c r="E13" s="21">
        <v>941</v>
      </c>
      <c r="F13" s="21">
        <v>911</v>
      </c>
      <c r="G13" s="21">
        <v>927</v>
      </c>
      <c r="H13" s="21">
        <v>1059</v>
      </c>
      <c r="I13" s="21">
        <v>1141</v>
      </c>
      <c r="J13" s="21">
        <v>1283</v>
      </c>
      <c r="K13" s="21">
        <v>1543</v>
      </c>
      <c r="L13" s="21">
        <v>1729</v>
      </c>
      <c r="M13" s="21">
        <v>1699</v>
      </c>
      <c r="N13" s="21">
        <v>1759</v>
      </c>
      <c r="O13" s="21">
        <v>1687</v>
      </c>
      <c r="P13" s="21">
        <v>1528</v>
      </c>
      <c r="Q13" s="21">
        <v>1465</v>
      </c>
      <c r="R13" s="21">
        <v>1412</v>
      </c>
      <c r="S13" s="21">
        <v>1394</v>
      </c>
      <c r="T13" s="21">
        <v>1600</v>
      </c>
      <c r="U13" s="21">
        <v>2231</v>
      </c>
      <c r="V13" s="21">
        <v>2617</v>
      </c>
      <c r="W13" s="21">
        <v>2411</v>
      </c>
      <c r="X13" s="21">
        <v>2007</v>
      </c>
      <c r="Y13" s="21">
        <v>1525</v>
      </c>
      <c r="Z13" s="25">
        <v>1203</v>
      </c>
      <c r="AA13" s="23">
        <f t="shared" si="1"/>
        <v>36147</v>
      </c>
      <c r="AB13" s="23">
        <v>7</v>
      </c>
      <c r="AC13" s="23">
        <f t="shared" si="0"/>
        <v>253029</v>
      </c>
      <c r="AD13" s="54"/>
    </row>
    <row r="14" spans="1:30" x14ac:dyDescent="0.2">
      <c r="A14" s="5"/>
      <c r="B14" s="6" t="s">
        <v>7</v>
      </c>
      <c r="C14" s="7">
        <v>1004</v>
      </c>
      <c r="D14" s="7">
        <v>947</v>
      </c>
      <c r="E14" s="7">
        <v>923</v>
      </c>
      <c r="F14" s="7">
        <v>919</v>
      </c>
      <c r="G14" s="7">
        <v>968</v>
      </c>
      <c r="H14" s="7">
        <v>1229</v>
      </c>
      <c r="I14" s="7">
        <v>1928</v>
      </c>
      <c r="J14" s="7">
        <v>1554</v>
      </c>
      <c r="K14" s="7">
        <v>1455</v>
      </c>
      <c r="L14" s="7">
        <v>1427</v>
      </c>
      <c r="M14" s="7">
        <v>1440</v>
      </c>
      <c r="N14" s="7">
        <v>1482</v>
      </c>
      <c r="O14" s="7">
        <v>1427</v>
      </c>
      <c r="P14" s="7">
        <v>1395</v>
      </c>
      <c r="Q14" s="7">
        <v>1445</v>
      </c>
      <c r="R14" s="7">
        <v>1422</v>
      </c>
      <c r="S14" s="7">
        <v>1475</v>
      </c>
      <c r="T14" s="7">
        <v>1735</v>
      </c>
      <c r="U14" s="7">
        <v>2429</v>
      </c>
      <c r="V14" s="7">
        <v>2659</v>
      </c>
      <c r="W14" s="7">
        <v>2424</v>
      </c>
      <c r="X14" s="7">
        <v>2058</v>
      </c>
      <c r="Y14" s="7">
        <v>1579</v>
      </c>
      <c r="Z14" s="11">
        <v>1245</v>
      </c>
      <c r="AA14" s="9">
        <f t="shared" si="1"/>
        <v>36569</v>
      </c>
      <c r="AB14" s="9">
        <v>22</v>
      </c>
      <c r="AC14" s="9">
        <f t="shared" si="0"/>
        <v>804518</v>
      </c>
      <c r="AD14" s="52">
        <f>SUM(AC14:AC16)</f>
        <v>1092390</v>
      </c>
    </row>
    <row r="15" spans="1:30" x14ac:dyDescent="0.2">
      <c r="A15" s="12" t="s">
        <v>13</v>
      </c>
      <c r="B15" s="13" t="s">
        <v>9</v>
      </c>
      <c r="C15" s="14">
        <v>1055</v>
      </c>
      <c r="D15" s="14">
        <v>976</v>
      </c>
      <c r="E15" s="14">
        <v>937</v>
      </c>
      <c r="F15" s="14">
        <v>928</v>
      </c>
      <c r="G15" s="14">
        <v>961</v>
      </c>
      <c r="H15" s="14">
        <v>1074</v>
      </c>
      <c r="I15" s="14">
        <v>1151</v>
      </c>
      <c r="J15" s="14">
        <v>1319</v>
      </c>
      <c r="K15" s="14">
        <v>1455</v>
      </c>
      <c r="L15" s="14">
        <v>1485</v>
      </c>
      <c r="M15" s="14">
        <v>1572</v>
      </c>
      <c r="N15" s="14">
        <v>1614</v>
      </c>
      <c r="O15" s="14">
        <v>1570</v>
      </c>
      <c r="P15" s="14">
        <v>1532</v>
      </c>
      <c r="Q15" s="14">
        <v>1544</v>
      </c>
      <c r="R15" s="14">
        <v>1502</v>
      </c>
      <c r="S15" s="14">
        <v>1513</v>
      </c>
      <c r="T15" s="14">
        <v>1710</v>
      </c>
      <c r="U15" s="14">
        <v>2409</v>
      </c>
      <c r="V15" s="14">
        <v>2619</v>
      </c>
      <c r="W15" s="14">
        <v>2353</v>
      </c>
      <c r="X15" s="14">
        <v>2007</v>
      </c>
      <c r="Y15" s="14">
        <v>1639</v>
      </c>
      <c r="Z15" s="18">
        <v>1352</v>
      </c>
      <c r="AA15" s="16">
        <f t="shared" si="1"/>
        <v>36277</v>
      </c>
      <c r="AB15" s="16">
        <v>4</v>
      </c>
      <c r="AC15" s="16">
        <f t="shared" si="0"/>
        <v>145108</v>
      </c>
      <c r="AD15" s="53"/>
    </row>
    <row r="16" spans="1:30" ht="13.5" thickBot="1" x14ac:dyDescent="0.25">
      <c r="A16" s="19"/>
      <c r="B16" s="20" t="s">
        <v>10</v>
      </c>
      <c r="C16" s="21">
        <v>1108</v>
      </c>
      <c r="D16" s="21">
        <v>1010</v>
      </c>
      <c r="E16" s="21">
        <v>957</v>
      </c>
      <c r="F16" s="21">
        <v>938</v>
      </c>
      <c r="G16" s="21">
        <v>950</v>
      </c>
      <c r="H16" s="21">
        <v>1047</v>
      </c>
      <c r="I16" s="21">
        <v>1090</v>
      </c>
      <c r="J16" s="21">
        <v>1294</v>
      </c>
      <c r="K16" s="21">
        <v>1538</v>
      </c>
      <c r="L16" s="21">
        <v>1673</v>
      </c>
      <c r="M16" s="21">
        <v>1651</v>
      </c>
      <c r="N16" s="21">
        <v>1703</v>
      </c>
      <c r="O16" s="21">
        <v>1612</v>
      </c>
      <c r="P16" s="21">
        <v>1525</v>
      </c>
      <c r="Q16" s="21">
        <v>1505</v>
      </c>
      <c r="R16" s="21">
        <v>1422</v>
      </c>
      <c r="S16" s="21">
        <v>1422</v>
      </c>
      <c r="T16" s="21">
        <v>1623</v>
      </c>
      <c r="U16" s="21">
        <v>2253</v>
      </c>
      <c r="V16" s="21">
        <v>2444</v>
      </c>
      <c r="W16" s="21">
        <v>2224</v>
      </c>
      <c r="X16" s="21">
        <v>1898</v>
      </c>
      <c r="Y16" s="21">
        <v>1530</v>
      </c>
      <c r="Z16" s="25">
        <v>1274</v>
      </c>
      <c r="AA16" s="23">
        <f t="shared" si="1"/>
        <v>35691</v>
      </c>
      <c r="AB16" s="23">
        <v>4</v>
      </c>
      <c r="AC16" s="23">
        <f t="shared" si="0"/>
        <v>142764</v>
      </c>
      <c r="AD16" s="54"/>
    </row>
    <row r="17" spans="1:30" x14ac:dyDescent="0.2">
      <c r="A17" s="5"/>
      <c r="B17" s="6" t="s">
        <v>7</v>
      </c>
      <c r="C17" s="7">
        <v>984</v>
      </c>
      <c r="D17" s="7">
        <v>922</v>
      </c>
      <c r="E17" s="7">
        <v>903</v>
      </c>
      <c r="F17" s="7">
        <v>897</v>
      </c>
      <c r="G17" s="7">
        <v>958</v>
      </c>
      <c r="H17" s="7">
        <v>1245</v>
      </c>
      <c r="I17" s="7">
        <v>2063</v>
      </c>
      <c r="J17" s="7">
        <v>1584</v>
      </c>
      <c r="K17" s="7">
        <v>1467</v>
      </c>
      <c r="L17" s="7">
        <v>1443</v>
      </c>
      <c r="M17" s="7">
        <v>1447</v>
      </c>
      <c r="N17" s="7">
        <v>1483</v>
      </c>
      <c r="O17" s="7">
        <v>1385</v>
      </c>
      <c r="P17" s="7">
        <v>1374</v>
      </c>
      <c r="Q17" s="7">
        <v>1436</v>
      </c>
      <c r="R17" s="7">
        <v>1422</v>
      </c>
      <c r="S17" s="7">
        <v>1480</v>
      </c>
      <c r="T17" s="7">
        <v>1778</v>
      </c>
      <c r="U17" s="7">
        <v>2508</v>
      </c>
      <c r="V17" s="7">
        <v>2717</v>
      </c>
      <c r="W17" s="7">
        <v>2482</v>
      </c>
      <c r="X17" s="7">
        <v>2095</v>
      </c>
      <c r="Y17" s="7">
        <v>1584</v>
      </c>
      <c r="Z17" s="11">
        <v>1230</v>
      </c>
      <c r="AA17" s="9">
        <f t="shared" si="1"/>
        <v>36887</v>
      </c>
      <c r="AB17" s="9">
        <v>19</v>
      </c>
      <c r="AC17" s="9">
        <f t="shared" si="0"/>
        <v>700853</v>
      </c>
      <c r="AD17" s="52">
        <f>SUM(AC17:AC19)</f>
        <v>1135541</v>
      </c>
    </row>
    <row r="18" spans="1:30" x14ac:dyDescent="0.2">
      <c r="A18" s="12" t="s">
        <v>14</v>
      </c>
      <c r="B18" s="13" t="s">
        <v>9</v>
      </c>
      <c r="C18" s="14">
        <v>1017</v>
      </c>
      <c r="D18" s="14">
        <v>945</v>
      </c>
      <c r="E18" s="14">
        <v>902</v>
      </c>
      <c r="F18" s="14">
        <v>890</v>
      </c>
      <c r="G18" s="14">
        <v>947</v>
      </c>
      <c r="H18" s="14">
        <v>1080</v>
      </c>
      <c r="I18" s="14">
        <v>1165</v>
      </c>
      <c r="J18" s="14">
        <v>1379</v>
      </c>
      <c r="K18" s="14">
        <v>1494</v>
      </c>
      <c r="L18" s="14">
        <v>1552</v>
      </c>
      <c r="M18" s="14">
        <v>1576</v>
      </c>
      <c r="N18" s="14">
        <v>1628</v>
      </c>
      <c r="O18" s="14">
        <v>1552</v>
      </c>
      <c r="P18" s="14">
        <v>1485</v>
      </c>
      <c r="Q18" s="14">
        <v>1489</v>
      </c>
      <c r="R18" s="14">
        <v>1489</v>
      </c>
      <c r="S18" s="14">
        <v>1528</v>
      </c>
      <c r="T18" s="14">
        <v>1823</v>
      </c>
      <c r="U18" s="14">
        <v>2564</v>
      </c>
      <c r="V18" s="14">
        <v>2702</v>
      </c>
      <c r="W18" s="14">
        <v>2445</v>
      </c>
      <c r="X18" s="14">
        <v>2064</v>
      </c>
      <c r="Y18" s="14">
        <v>1637</v>
      </c>
      <c r="Z18" s="18">
        <v>1327</v>
      </c>
      <c r="AA18" s="16">
        <f t="shared" si="1"/>
        <v>36680</v>
      </c>
      <c r="AB18" s="16">
        <v>4</v>
      </c>
      <c r="AC18" s="16">
        <f t="shared" si="0"/>
        <v>146720</v>
      </c>
      <c r="AD18" s="53"/>
    </row>
    <row r="19" spans="1:30" ht="13.5" thickBot="1" x14ac:dyDescent="0.25">
      <c r="A19" s="19"/>
      <c r="B19" s="20" t="s">
        <v>10</v>
      </c>
      <c r="C19" s="21">
        <v>1057</v>
      </c>
      <c r="D19" s="21">
        <v>983</v>
      </c>
      <c r="E19" s="21">
        <v>946</v>
      </c>
      <c r="F19" s="21">
        <v>923</v>
      </c>
      <c r="G19" s="21">
        <v>934</v>
      </c>
      <c r="H19" s="21">
        <v>1048</v>
      </c>
      <c r="I19" s="21">
        <v>1112</v>
      </c>
      <c r="J19" s="21">
        <v>1302</v>
      </c>
      <c r="K19" s="21">
        <v>1557</v>
      </c>
      <c r="L19" s="21">
        <v>1715</v>
      </c>
      <c r="M19" s="21">
        <v>1725</v>
      </c>
      <c r="N19" s="21">
        <v>1758</v>
      </c>
      <c r="O19" s="21">
        <v>1634</v>
      </c>
      <c r="P19" s="21">
        <v>1497</v>
      </c>
      <c r="Q19" s="21">
        <v>1465</v>
      </c>
      <c r="R19" s="21">
        <v>1401</v>
      </c>
      <c r="S19" s="21">
        <v>1423</v>
      </c>
      <c r="T19" s="21">
        <v>1644</v>
      </c>
      <c r="U19" s="21">
        <v>2277</v>
      </c>
      <c r="V19" s="21">
        <v>2556</v>
      </c>
      <c r="W19" s="21">
        <v>2363</v>
      </c>
      <c r="X19" s="21">
        <v>1968</v>
      </c>
      <c r="Y19" s="21">
        <v>1506</v>
      </c>
      <c r="Z19" s="25">
        <v>1202</v>
      </c>
      <c r="AA19" s="23">
        <f t="shared" si="1"/>
        <v>35996</v>
      </c>
      <c r="AB19" s="23">
        <v>8</v>
      </c>
      <c r="AC19" s="23">
        <f t="shared" si="0"/>
        <v>287968</v>
      </c>
      <c r="AD19" s="54"/>
    </row>
    <row r="20" spans="1:30" x14ac:dyDescent="0.2">
      <c r="A20" s="5"/>
      <c r="B20" s="6" t="s">
        <v>7</v>
      </c>
      <c r="C20" s="7">
        <v>1010</v>
      </c>
      <c r="D20" s="7">
        <v>952</v>
      </c>
      <c r="E20" s="7">
        <v>933</v>
      </c>
      <c r="F20" s="7">
        <v>925</v>
      </c>
      <c r="G20" s="7">
        <v>974</v>
      </c>
      <c r="H20" s="7">
        <v>1224</v>
      </c>
      <c r="I20" s="7">
        <v>2013</v>
      </c>
      <c r="J20" s="7">
        <v>1605</v>
      </c>
      <c r="K20" s="7">
        <v>1494</v>
      </c>
      <c r="L20" s="7">
        <v>1450</v>
      </c>
      <c r="M20" s="7">
        <v>1441</v>
      </c>
      <c r="N20" s="7">
        <v>1482</v>
      </c>
      <c r="O20" s="7">
        <v>1400</v>
      </c>
      <c r="P20" s="7">
        <v>1399</v>
      </c>
      <c r="Q20" s="7">
        <v>1460</v>
      </c>
      <c r="R20" s="7">
        <v>1439</v>
      </c>
      <c r="S20" s="7">
        <v>1512</v>
      </c>
      <c r="T20" s="7">
        <v>1800</v>
      </c>
      <c r="U20" s="7">
        <v>2387</v>
      </c>
      <c r="V20" s="7">
        <v>2588</v>
      </c>
      <c r="W20" s="7">
        <v>2364</v>
      </c>
      <c r="X20" s="7">
        <v>2009</v>
      </c>
      <c r="Y20" s="7">
        <v>1555</v>
      </c>
      <c r="Z20" s="11">
        <v>1241</v>
      </c>
      <c r="AA20" s="9">
        <f t="shared" si="1"/>
        <v>36657</v>
      </c>
      <c r="AB20" s="9">
        <v>21</v>
      </c>
      <c r="AC20" s="9">
        <f t="shared" si="0"/>
        <v>769797</v>
      </c>
      <c r="AD20" s="52">
        <f>SUM(AC20:AC22)</f>
        <v>1095877</v>
      </c>
    </row>
    <row r="21" spans="1:30" x14ac:dyDescent="0.2">
      <c r="A21" s="12" t="s">
        <v>15</v>
      </c>
      <c r="B21" s="13" t="s">
        <v>9</v>
      </c>
      <c r="C21" s="14">
        <v>1056</v>
      </c>
      <c r="D21" s="14">
        <v>977</v>
      </c>
      <c r="E21" s="14">
        <v>937</v>
      </c>
      <c r="F21" s="14">
        <v>929</v>
      </c>
      <c r="G21" s="14">
        <v>960</v>
      </c>
      <c r="H21" s="14">
        <v>1069</v>
      </c>
      <c r="I21" s="14">
        <v>1154</v>
      </c>
      <c r="J21" s="14">
        <v>1331</v>
      </c>
      <c r="K21" s="14">
        <v>1463</v>
      </c>
      <c r="L21" s="14">
        <v>1535</v>
      </c>
      <c r="M21" s="14">
        <v>1581</v>
      </c>
      <c r="N21" s="14">
        <v>1660</v>
      </c>
      <c r="O21" s="14">
        <v>1576</v>
      </c>
      <c r="P21" s="14">
        <v>1528</v>
      </c>
      <c r="Q21" s="14">
        <v>1520</v>
      </c>
      <c r="R21" s="14">
        <v>1542</v>
      </c>
      <c r="S21" s="14">
        <v>1576</v>
      </c>
      <c r="T21" s="14">
        <v>1913</v>
      </c>
      <c r="U21" s="14">
        <v>2427</v>
      </c>
      <c r="V21" s="14">
        <v>2576</v>
      </c>
      <c r="W21" s="14">
        <v>2326</v>
      </c>
      <c r="X21" s="14">
        <v>1962</v>
      </c>
      <c r="Y21" s="14">
        <v>1595</v>
      </c>
      <c r="Z21" s="18">
        <v>1342</v>
      </c>
      <c r="AA21" s="16">
        <f t="shared" si="1"/>
        <v>36535</v>
      </c>
      <c r="AB21" s="16">
        <v>4</v>
      </c>
      <c r="AC21" s="16">
        <f t="shared" si="0"/>
        <v>146140</v>
      </c>
      <c r="AD21" s="53"/>
    </row>
    <row r="22" spans="1:30" ht="13.5" thickBot="1" x14ac:dyDescent="0.25">
      <c r="A22" s="19"/>
      <c r="B22" s="20" t="s">
        <v>10</v>
      </c>
      <c r="C22" s="21">
        <v>1105</v>
      </c>
      <c r="D22" s="21">
        <v>1028</v>
      </c>
      <c r="E22" s="21">
        <v>994</v>
      </c>
      <c r="F22" s="21">
        <v>975</v>
      </c>
      <c r="G22" s="21">
        <v>988</v>
      </c>
      <c r="H22" s="21">
        <v>1081</v>
      </c>
      <c r="I22" s="21">
        <v>1116</v>
      </c>
      <c r="J22" s="21">
        <v>1275</v>
      </c>
      <c r="K22" s="21">
        <v>1499</v>
      </c>
      <c r="L22" s="21">
        <v>1643</v>
      </c>
      <c r="M22" s="21">
        <v>1625</v>
      </c>
      <c r="N22" s="21">
        <v>1728</v>
      </c>
      <c r="O22" s="21">
        <v>1646</v>
      </c>
      <c r="P22" s="21">
        <v>1562</v>
      </c>
      <c r="Q22" s="21">
        <v>1509</v>
      </c>
      <c r="R22" s="21">
        <v>1477</v>
      </c>
      <c r="S22" s="21">
        <v>1463</v>
      </c>
      <c r="T22" s="21">
        <v>1682</v>
      </c>
      <c r="U22" s="21">
        <v>2218</v>
      </c>
      <c r="V22" s="21">
        <v>2457</v>
      </c>
      <c r="W22" s="21">
        <v>2262</v>
      </c>
      <c r="X22" s="21">
        <v>1905</v>
      </c>
      <c r="Y22" s="21">
        <v>1504</v>
      </c>
      <c r="Z22" s="25">
        <v>1246</v>
      </c>
      <c r="AA22" s="23">
        <f t="shared" si="1"/>
        <v>35988</v>
      </c>
      <c r="AB22" s="23">
        <v>5</v>
      </c>
      <c r="AC22" s="23">
        <f t="shared" si="0"/>
        <v>179940</v>
      </c>
      <c r="AD22" s="54"/>
    </row>
    <row r="23" spans="1:30" x14ac:dyDescent="0.2">
      <c r="A23" s="5"/>
      <c r="B23" s="6" t="s">
        <v>7</v>
      </c>
      <c r="C23" s="7">
        <v>996</v>
      </c>
      <c r="D23" s="7">
        <v>928</v>
      </c>
      <c r="E23" s="7">
        <v>898</v>
      </c>
      <c r="F23" s="7">
        <v>891</v>
      </c>
      <c r="G23" s="7">
        <v>942</v>
      </c>
      <c r="H23" s="7">
        <v>1159</v>
      </c>
      <c r="I23" s="7">
        <v>1649</v>
      </c>
      <c r="J23" s="7">
        <v>1591</v>
      </c>
      <c r="K23" s="7">
        <v>1515</v>
      </c>
      <c r="L23" s="7">
        <v>1510</v>
      </c>
      <c r="M23" s="7">
        <v>1543</v>
      </c>
      <c r="N23" s="7">
        <v>1591</v>
      </c>
      <c r="O23" s="7">
        <v>1495</v>
      </c>
      <c r="P23" s="7">
        <v>1465</v>
      </c>
      <c r="Q23" s="7">
        <v>1486</v>
      </c>
      <c r="R23" s="7">
        <v>1452</v>
      </c>
      <c r="S23" s="7">
        <v>1518</v>
      </c>
      <c r="T23" s="7">
        <v>1787</v>
      </c>
      <c r="U23" s="7">
        <v>2362</v>
      </c>
      <c r="V23" s="7">
        <v>2687</v>
      </c>
      <c r="W23" s="7">
        <v>2459</v>
      </c>
      <c r="X23" s="7">
        <v>2101</v>
      </c>
      <c r="Y23" s="7">
        <v>1625</v>
      </c>
      <c r="Z23" s="11">
        <v>1257</v>
      </c>
      <c r="AA23" s="9">
        <f t="shared" si="1"/>
        <v>36907</v>
      </c>
      <c r="AB23" s="9">
        <v>20</v>
      </c>
      <c r="AC23" s="9">
        <f t="shared" si="0"/>
        <v>738140</v>
      </c>
      <c r="AD23" s="52">
        <f>SUM(AC23:AC25)</f>
        <v>1136861</v>
      </c>
    </row>
    <row r="24" spans="1:30" x14ac:dyDescent="0.2">
      <c r="A24" s="12" t="s">
        <v>16</v>
      </c>
      <c r="B24" s="13" t="s">
        <v>9</v>
      </c>
      <c r="C24" s="14">
        <v>1044</v>
      </c>
      <c r="D24" s="14">
        <v>957</v>
      </c>
      <c r="E24" s="14">
        <v>906</v>
      </c>
      <c r="F24" s="14">
        <v>893</v>
      </c>
      <c r="G24" s="14">
        <v>942</v>
      </c>
      <c r="H24" s="14">
        <v>1082</v>
      </c>
      <c r="I24" s="14">
        <v>1198</v>
      </c>
      <c r="J24" s="14">
        <v>1387</v>
      </c>
      <c r="K24" s="14">
        <v>1525</v>
      </c>
      <c r="L24" s="14">
        <v>1635</v>
      </c>
      <c r="M24" s="14">
        <v>1691</v>
      </c>
      <c r="N24" s="14">
        <v>1749</v>
      </c>
      <c r="O24" s="14">
        <v>1642</v>
      </c>
      <c r="P24" s="14">
        <v>1585</v>
      </c>
      <c r="Q24" s="14">
        <v>1550</v>
      </c>
      <c r="R24" s="14">
        <v>1506</v>
      </c>
      <c r="S24" s="14">
        <v>1576</v>
      </c>
      <c r="T24" s="14">
        <v>1831</v>
      </c>
      <c r="U24" s="14">
        <v>2372</v>
      </c>
      <c r="V24" s="14">
        <v>2594</v>
      </c>
      <c r="W24" s="14">
        <v>2343</v>
      </c>
      <c r="X24" s="14">
        <v>2006</v>
      </c>
      <c r="Y24" s="14">
        <v>1632</v>
      </c>
      <c r="Z24" s="18">
        <v>1353</v>
      </c>
      <c r="AA24" s="16">
        <f t="shared" si="1"/>
        <v>36999</v>
      </c>
      <c r="AB24" s="16">
        <v>5</v>
      </c>
      <c r="AC24" s="16">
        <f t="shared" si="0"/>
        <v>184995</v>
      </c>
      <c r="AD24" s="53"/>
    </row>
    <row r="25" spans="1:30" ht="13.5" thickBot="1" x14ac:dyDescent="0.25">
      <c r="A25" s="19"/>
      <c r="B25" s="20" t="s">
        <v>10</v>
      </c>
      <c r="C25" s="21">
        <v>1062</v>
      </c>
      <c r="D25" s="21">
        <v>977</v>
      </c>
      <c r="E25" s="21">
        <v>930</v>
      </c>
      <c r="F25" s="21">
        <v>902</v>
      </c>
      <c r="G25" s="21">
        <v>920</v>
      </c>
      <c r="H25" s="21">
        <v>1030</v>
      </c>
      <c r="I25" s="21">
        <v>1082</v>
      </c>
      <c r="J25" s="21">
        <v>1253</v>
      </c>
      <c r="K25" s="21">
        <v>1462</v>
      </c>
      <c r="L25" s="21">
        <v>1601</v>
      </c>
      <c r="M25" s="21">
        <v>1658</v>
      </c>
      <c r="N25" s="21">
        <v>1691</v>
      </c>
      <c r="O25" s="21">
        <v>1590</v>
      </c>
      <c r="P25" s="21">
        <v>1488</v>
      </c>
      <c r="Q25" s="21">
        <v>1471</v>
      </c>
      <c r="R25" s="21">
        <v>1475</v>
      </c>
      <c r="S25" s="21">
        <v>1488</v>
      </c>
      <c r="T25" s="21">
        <v>1728</v>
      </c>
      <c r="U25" s="21">
        <v>2263</v>
      </c>
      <c r="V25" s="21">
        <v>2516</v>
      </c>
      <c r="W25" s="21">
        <v>2298</v>
      </c>
      <c r="X25" s="21">
        <v>1951</v>
      </c>
      <c r="Y25" s="21">
        <v>1547</v>
      </c>
      <c r="Z25" s="25">
        <v>1238</v>
      </c>
      <c r="AA25" s="23">
        <f t="shared" si="1"/>
        <v>35621</v>
      </c>
      <c r="AB25" s="23">
        <v>6</v>
      </c>
      <c r="AC25" s="23">
        <f t="shared" si="0"/>
        <v>213726</v>
      </c>
      <c r="AD25" s="54"/>
    </row>
    <row r="26" spans="1:30" x14ac:dyDescent="0.2">
      <c r="A26" s="5"/>
      <c r="B26" s="6" t="s">
        <v>7</v>
      </c>
      <c r="C26" s="7">
        <v>1015</v>
      </c>
      <c r="D26" s="7">
        <v>955</v>
      </c>
      <c r="E26" s="7">
        <v>930</v>
      </c>
      <c r="F26" s="7">
        <v>922</v>
      </c>
      <c r="G26" s="7">
        <v>976</v>
      </c>
      <c r="H26" s="7">
        <v>1226</v>
      </c>
      <c r="I26" s="7">
        <v>2004</v>
      </c>
      <c r="J26" s="7">
        <v>1649</v>
      </c>
      <c r="K26" s="7">
        <v>1529</v>
      </c>
      <c r="L26" s="7">
        <v>1458</v>
      </c>
      <c r="M26" s="7">
        <v>1464</v>
      </c>
      <c r="N26" s="7">
        <v>1509</v>
      </c>
      <c r="O26" s="7">
        <v>1416</v>
      </c>
      <c r="P26" s="7">
        <v>1389</v>
      </c>
      <c r="Q26" s="7">
        <v>1450</v>
      </c>
      <c r="R26" s="7">
        <v>1436</v>
      </c>
      <c r="S26" s="7">
        <v>1511</v>
      </c>
      <c r="T26" s="7">
        <v>1788</v>
      </c>
      <c r="U26" s="7">
        <v>2390</v>
      </c>
      <c r="V26" s="7">
        <v>2643</v>
      </c>
      <c r="W26" s="7">
        <v>2410</v>
      </c>
      <c r="X26" s="7">
        <v>2055</v>
      </c>
      <c r="Y26" s="7">
        <v>1591</v>
      </c>
      <c r="Z26" s="11">
        <v>1237</v>
      </c>
      <c r="AA26" s="9">
        <f t="shared" si="1"/>
        <v>36953</v>
      </c>
      <c r="AB26" s="9">
        <v>21</v>
      </c>
      <c r="AC26" s="9">
        <f t="shared" si="0"/>
        <v>776013</v>
      </c>
      <c r="AD26" s="52">
        <f>SUM(AC26:AC28)</f>
        <v>1141705</v>
      </c>
    </row>
    <row r="27" spans="1:30" x14ac:dyDescent="0.2">
      <c r="A27" s="12" t="s">
        <v>17</v>
      </c>
      <c r="B27" s="13" t="s">
        <v>9</v>
      </c>
      <c r="C27" s="14">
        <v>1001</v>
      </c>
      <c r="D27" s="14">
        <v>920</v>
      </c>
      <c r="E27" s="14">
        <v>885</v>
      </c>
      <c r="F27" s="14">
        <v>876</v>
      </c>
      <c r="G27" s="14">
        <v>921</v>
      </c>
      <c r="H27" s="14">
        <v>1060</v>
      </c>
      <c r="I27" s="14">
        <v>1119</v>
      </c>
      <c r="J27" s="14">
        <v>1289</v>
      </c>
      <c r="K27" s="14">
        <v>1472</v>
      </c>
      <c r="L27" s="14">
        <v>1551</v>
      </c>
      <c r="M27" s="14">
        <v>1611</v>
      </c>
      <c r="N27" s="14">
        <v>1664</v>
      </c>
      <c r="O27" s="14">
        <v>1615</v>
      </c>
      <c r="P27" s="14">
        <v>1560</v>
      </c>
      <c r="Q27" s="14">
        <v>1543</v>
      </c>
      <c r="R27" s="14">
        <v>1540</v>
      </c>
      <c r="S27" s="14">
        <v>1593</v>
      </c>
      <c r="T27" s="14">
        <v>1827</v>
      </c>
      <c r="U27" s="14">
        <v>2356</v>
      </c>
      <c r="V27" s="14">
        <v>2563</v>
      </c>
      <c r="W27" s="14">
        <v>2368</v>
      </c>
      <c r="X27" s="14">
        <v>2038</v>
      </c>
      <c r="Y27" s="14">
        <v>1649</v>
      </c>
      <c r="Z27" s="18">
        <v>1334</v>
      </c>
      <c r="AA27" s="16">
        <f t="shared" si="1"/>
        <v>36355</v>
      </c>
      <c r="AB27" s="16">
        <v>3</v>
      </c>
      <c r="AC27" s="16">
        <f t="shared" si="0"/>
        <v>109065</v>
      </c>
      <c r="AD27" s="53"/>
    </row>
    <row r="28" spans="1:30" ht="13.5" thickBot="1" x14ac:dyDescent="0.25">
      <c r="A28" s="19"/>
      <c r="B28" s="20" t="s">
        <v>10</v>
      </c>
      <c r="C28" s="21">
        <v>1090</v>
      </c>
      <c r="D28" s="21">
        <v>1010</v>
      </c>
      <c r="E28" s="21">
        <v>965</v>
      </c>
      <c r="F28" s="21">
        <v>939</v>
      </c>
      <c r="G28" s="21">
        <v>962</v>
      </c>
      <c r="H28" s="21">
        <v>1083</v>
      </c>
      <c r="I28" s="21">
        <v>1133</v>
      </c>
      <c r="J28" s="21">
        <v>1292</v>
      </c>
      <c r="K28" s="21">
        <v>1550</v>
      </c>
      <c r="L28" s="21">
        <v>1731</v>
      </c>
      <c r="M28" s="21">
        <v>1763</v>
      </c>
      <c r="N28" s="21">
        <v>1788</v>
      </c>
      <c r="O28" s="21">
        <v>1678</v>
      </c>
      <c r="P28" s="21">
        <v>1570</v>
      </c>
      <c r="Q28" s="21">
        <v>1530</v>
      </c>
      <c r="R28" s="21">
        <v>1492</v>
      </c>
      <c r="S28" s="21">
        <v>1510</v>
      </c>
      <c r="T28" s="21">
        <v>1743</v>
      </c>
      <c r="U28" s="21">
        <v>2242</v>
      </c>
      <c r="V28" s="21">
        <v>2516</v>
      </c>
      <c r="W28" s="21">
        <v>2316</v>
      </c>
      <c r="X28" s="21">
        <v>1966</v>
      </c>
      <c r="Y28" s="21">
        <v>1551</v>
      </c>
      <c r="Z28" s="25">
        <v>1241</v>
      </c>
      <c r="AA28" s="23">
        <f t="shared" si="1"/>
        <v>36661</v>
      </c>
      <c r="AB28" s="23">
        <v>7</v>
      </c>
      <c r="AC28" s="23">
        <f t="shared" si="0"/>
        <v>256627</v>
      </c>
      <c r="AD28" s="54"/>
    </row>
    <row r="29" spans="1:30" x14ac:dyDescent="0.2">
      <c r="A29" s="5"/>
      <c r="B29" s="6" t="s">
        <v>7</v>
      </c>
      <c r="C29" s="7">
        <v>998</v>
      </c>
      <c r="D29" s="7">
        <v>932</v>
      </c>
      <c r="E29" s="7">
        <v>905</v>
      </c>
      <c r="F29" s="7">
        <v>901</v>
      </c>
      <c r="G29" s="7">
        <v>963</v>
      </c>
      <c r="H29" s="7">
        <v>1227</v>
      </c>
      <c r="I29" s="7">
        <v>2065</v>
      </c>
      <c r="J29" s="7">
        <v>1629</v>
      </c>
      <c r="K29" s="7">
        <v>1500</v>
      </c>
      <c r="L29" s="7">
        <v>1455</v>
      </c>
      <c r="M29" s="7">
        <v>1447</v>
      </c>
      <c r="N29" s="7">
        <v>1517</v>
      </c>
      <c r="O29" s="7">
        <v>1421</v>
      </c>
      <c r="P29" s="7">
        <v>1425</v>
      </c>
      <c r="Q29" s="7">
        <v>1478</v>
      </c>
      <c r="R29" s="7">
        <v>1466</v>
      </c>
      <c r="S29" s="7">
        <v>1528</v>
      </c>
      <c r="T29" s="7">
        <v>1818</v>
      </c>
      <c r="U29" s="7">
        <v>2556</v>
      </c>
      <c r="V29" s="7">
        <v>2708</v>
      </c>
      <c r="W29" s="7">
        <v>2469</v>
      </c>
      <c r="X29" s="7">
        <v>2089</v>
      </c>
      <c r="Y29" s="7">
        <v>1599</v>
      </c>
      <c r="Z29" s="11">
        <v>1242</v>
      </c>
      <c r="AA29" s="9">
        <f t="shared" si="1"/>
        <v>37338</v>
      </c>
      <c r="AB29" s="9">
        <v>22</v>
      </c>
      <c r="AC29" s="9">
        <f t="shared" si="0"/>
        <v>821436</v>
      </c>
      <c r="AD29" s="52">
        <f>SUM(AC29:AC31)</f>
        <v>1114008</v>
      </c>
    </row>
    <row r="30" spans="1:30" x14ac:dyDescent="0.2">
      <c r="A30" s="12" t="s">
        <v>18</v>
      </c>
      <c r="B30" s="13" t="s">
        <v>9</v>
      </c>
      <c r="C30" s="14">
        <v>1034</v>
      </c>
      <c r="D30" s="14">
        <v>951</v>
      </c>
      <c r="E30" s="14">
        <v>906</v>
      </c>
      <c r="F30" s="14">
        <v>895</v>
      </c>
      <c r="G30" s="14">
        <v>931</v>
      </c>
      <c r="H30" s="14">
        <v>1060</v>
      </c>
      <c r="I30" s="14">
        <v>1185</v>
      </c>
      <c r="J30" s="14">
        <v>1415</v>
      </c>
      <c r="K30" s="14">
        <v>1559</v>
      </c>
      <c r="L30" s="14">
        <v>1621</v>
      </c>
      <c r="M30" s="14">
        <v>1718</v>
      </c>
      <c r="N30" s="14">
        <v>1749</v>
      </c>
      <c r="O30" s="14">
        <v>1637</v>
      </c>
      <c r="P30" s="14">
        <v>1573</v>
      </c>
      <c r="Q30" s="14">
        <v>1555</v>
      </c>
      <c r="R30" s="14">
        <v>1518</v>
      </c>
      <c r="S30" s="14">
        <v>1592</v>
      </c>
      <c r="T30" s="14">
        <v>1902</v>
      </c>
      <c r="U30" s="14">
        <v>2520</v>
      </c>
      <c r="V30" s="14">
        <v>2573</v>
      </c>
      <c r="W30" s="14">
        <v>2304</v>
      </c>
      <c r="X30" s="14">
        <v>1965</v>
      </c>
      <c r="Y30" s="14">
        <v>1600</v>
      </c>
      <c r="Z30" s="18">
        <v>1327</v>
      </c>
      <c r="AA30" s="16">
        <f t="shared" si="1"/>
        <v>37090</v>
      </c>
      <c r="AB30" s="16">
        <v>4</v>
      </c>
      <c r="AC30" s="16">
        <f t="shared" si="0"/>
        <v>148360</v>
      </c>
      <c r="AD30" s="53"/>
    </row>
    <row r="31" spans="1:30" ht="13.5" thickBot="1" x14ac:dyDescent="0.25">
      <c r="A31" s="19"/>
      <c r="B31" s="20" t="s">
        <v>10</v>
      </c>
      <c r="C31" s="21">
        <v>1096</v>
      </c>
      <c r="D31" s="21">
        <v>1014</v>
      </c>
      <c r="E31" s="21">
        <v>963</v>
      </c>
      <c r="F31" s="21">
        <v>933</v>
      </c>
      <c r="G31" s="21">
        <v>944</v>
      </c>
      <c r="H31" s="21">
        <v>1027</v>
      </c>
      <c r="I31" s="21">
        <v>1086</v>
      </c>
      <c r="J31" s="21">
        <v>1258</v>
      </c>
      <c r="K31" s="21">
        <v>1578</v>
      </c>
      <c r="L31" s="21">
        <v>1772</v>
      </c>
      <c r="M31" s="21">
        <v>1743</v>
      </c>
      <c r="N31" s="21">
        <v>1811</v>
      </c>
      <c r="O31" s="21">
        <v>1688</v>
      </c>
      <c r="P31" s="21">
        <v>1541</v>
      </c>
      <c r="Q31" s="21">
        <v>1461</v>
      </c>
      <c r="R31" s="21">
        <v>1411</v>
      </c>
      <c r="S31" s="21">
        <v>1383</v>
      </c>
      <c r="T31" s="21">
        <v>1617</v>
      </c>
      <c r="U31" s="21">
        <v>2293</v>
      </c>
      <c r="V31" s="21">
        <v>2508</v>
      </c>
      <c r="W31" s="21">
        <v>2317</v>
      </c>
      <c r="X31" s="21">
        <v>1923</v>
      </c>
      <c r="Y31" s="21">
        <v>1482</v>
      </c>
      <c r="Z31" s="25">
        <v>1204</v>
      </c>
      <c r="AA31" s="23">
        <f t="shared" si="1"/>
        <v>36053</v>
      </c>
      <c r="AB31" s="23">
        <v>4</v>
      </c>
      <c r="AC31" s="23">
        <f t="shared" si="0"/>
        <v>144212</v>
      </c>
      <c r="AD31" s="54"/>
    </row>
    <row r="32" spans="1:30" x14ac:dyDescent="0.2">
      <c r="A32" s="5"/>
      <c r="B32" s="6" t="s">
        <v>7</v>
      </c>
      <c r="C32" s="7">
        <v>1004</v>
      </c>
      <c r="D32" s="7">
        <v>938</v>
      </c>
      <c r="E32" s="7">
        <v>912</v>
      </c>
      <c r="F32" s="7">
        <v>905</v>
      </c>
      <c r="G32" s="7">
        <v>965</v>
      </c>
      <c r="H32" s="7">
        <v>1181</v>
      </c>
      <c r="I32" s="7">
        <v>1882</v>
      </c>
      <c r="J32" s="7">
        <v>1613</v>
      </c>
      <c r="K32" s="7">
        <v>1514</v>
      </c>
      <c r="L32" s="7">
        <v>1472</v>
      </c>
      <c r="M32" s="7">
        <v>1478</v>
      </c>
      <c r="N32" s="7">
        <v>1523</v>
      </c>
      <c r="O32" s="7">
        <v>1428</v>
      </c>
      <c r="P32" s="7">
        <v>1424</v>
      </c>
      <c r="Q32" s="7">
        <v>1468</v>
      </c>
      <c r="R32" s="7">
        <v>1454</v>
      </c>
      <c r="S32" s="7">
        <v>1513</v>
      </c>
      <c r="T32" s="7">
        <v>1851</v>
      </c>
      <c r="U32" s="7">
        <v>2617</v>
      </c>
      <c r="V32" s="7">
        <v>2650</v>
      </c>
      <c r="W32" s="7">
        <v>2411</v>
      </c>
      <c r="X32" s="7">
        <v>2040</v>
      </c>
      <c r="Y32" s="7">
        <v>1582</v>
      </c>
      <c r="Z32" s="11">
        <v>1248</v>
      </c>
      <c r="AA32" s="9">
        <f t="shared" si="1"/>
        <v>37073</v>
      </c>
      <c r="AB32" s="9">
        <v>20</v>
      </c>
      <c r="AC32" s="9">
        <f t="shared" si="0"/>
        <v>741460</v>
      </c>
      <c r="AD32" s="52">
        <f>SUM(AC32:AC34)</f>
        <v>1139014</v>
      </c>
    </row>
    <row r="33" spans="1:30" x14ac:dyDescent="0.2">
      <c r="A33" s="12" t="s">
        <v>19</v>
      </c>
      <c r="B33" s="13" t="s">
        <v>9</v>
      </c>
      <c r="C33" s="14">
        <v>1072</v>
      </c>
      <c r="D33" s="14">
        <v>988</v>
      </c>
      <c r="E33" s="14">
        <v>946</v>
      </c>
      <c r="F33" s="14">
        <v>934</v>
      </c>
      <c r="G33" s="14">
        <v>973</v>
      </c>
      <c r="H33" s="14">
        <v>1079</v>
      </c>
      <c r="I33" s="14">
        <v>1179</v>
      </c>
      <c r="J33" s="14">
        <v>1396</v>
      </c>
      <c r="K33" s="14">
        <v>1564</v>
      </c>
      <c r="L33" s="14">
        <v>1651</v>
      </c>
      <c r="M33" s="14">
        <v>1705</v>
      </c>
      <c r="N33" s="14">
        <v>1784</v>
      </c>
      <c r="O33" s="14">
        <v>1671</v>
      </c>
      <c r="P33" s="14">
        <v>1622</v>
      </c>
      <c r="Q33" s="14">
        <v>1575</v>
      </c>
      <c r="R33" s="14">
        <v>1496</v>
      </c>
      <c r="S33" s="14">
        <v>1533</v>
      </c>
      <c r="T33" s="14">
        <v>1825</v>
      </c>
      <c r="U33" s="14">
        <v>2552</v>
      </c>
      <c r="V33" s="14">
        <v>2558</v>
      </c>
      <c r="W33" s="14">
        <v>2326</v>
      </c>
      <c r="X33" s="14">
        <v>1991</v>
      </c>
      <c r="Y33" s="14">
        <v>1616</v>
      </c>
      <c r="Z33" s="18">
        <v>1326</v>
      </c>
      <c r="AA33" s="16">
        <f t="shared" si="1"/>
        <v>37362</v>
      </c>
      <c r="AB33" s="16">
        <v>5</v>
      </c>
      <c r="AC33" s="16">
        <f t="shared" si="0"/>
        <v>186810</v>
      </c>
      <c r="AD33" s="53"/>
    </row>
    <row r="34" spans="1:30" ht="13.5" thickBot="1" x14ac:dyDescent="0.25">
      <c r="A34" s="19"/>
      <c r="B34" s="20" t="s">
        <v>10</v>
      </c>
      <c r="C34" s="21">
        <v>1063</v>
      </c>
      <c r="D34" s="21">
        <v>972</v>
      </c>
      <c r="E34" s="21">
        <v>923</v>
      </c>
      <c r="F34" s="21">
        <v>899</v>
      </c>
      <c r="G34" s="21">
        <v>925</v>
      </c>
      <c r="H34" s="21">
        <v>1051</v>
      </c>
      <c r="I34" s="21">
        <v>1164</v>
      </c>
      <c r="J34" s="21">
        <v>1276</v>
      </c>
      <c r="K34" s="21">
        <v>1538</v>
      </c>
      <c r="L34" s="21">
        <v>1686</v>
      </c>
      <c r="M34" s="21">
        <v>1695</v>
      </c>
      <c r="N34" s="21">
        <v>1685</v>
      </c>
      <c r="O34" s="21">
        <v>1573</v>
      </c>
      <c r="P34" s="21">
        <v>1450</v>
      </c>
      <c r="Q34" s="21">
        <v>1364</v>
      </c>
      <c r="R34" s="21">
        <v>1314</v>
      </c>
      <c r="S34" s="21">
        <v>1368</v>
      </c>
      <c r="T34" s="21">
        <v>1673</v>
      </c>
      <c r="U34" s="21">
        <v>2335</v>
      </c>
      <c r="V34" s="21">
        <v>2397</v>
      </c>
      <c r="W34" s="21">
        <v>2214</v>
      </c>
      <c r="X34" s="21">
        <v>1864</v>
      </c>
      <c r="Y34" s="21">
        <v>1483</v>
      </c>
      <c r="Z34" s="25">
        <v>1212</v>
      </c>
      <c r="AA34" s="23">
        <f t="shared" si="1"/>
        <v>35124</v>
      </c>
      <c r="AB34" s="23">
        <v>6</v>
      </c>
      <c r="AC34" s="23">
        <f t="shared" si="0"/>
        <v>210744</v>
      </c>
      <c r="AD34" s="54"/>
    </row>
    <row r="35" spans="1:30" x14ac:dyDescent="0.2">
      <c r="A35" s="5"/>
      <c r="B35" s="6" t="s">
        <v>7</v>
      </c>
      <c r="C35" s="7">
        <v>977</v>
      </c>
      <c r="D35" s="7">
        <v>915</v>
      </c>
      <c r="E35" s="7">
        <v>888</v>
      </c>
      <c r="F35" s="7">
        <v>884</v>
      </c>
      <c r="G35" s="7">
        <v>953</v>
      </c>
      <c r="H35" s="7">
        <v>1258</v>
      </c>
      <c r="I35" s="7">
        <v>2030</v>
      </c>
      <c r="J35" s="7">
        <v>1572</v>
      </c>
      <c r="K35" s="7">
        <v>1453</v>
      </c>
      <c r="L35" s="7">
        <v>1404</v>
      </c>
      <c r="M35" s="7">
        <v>1407</v>
      </c>
      <c r="N35" s="7">
        <v>1453</v>
      </c>
      <c r="O35" s="7">
        <v>1356</v>
      </c>
      <c r="P35" s="7">
        <v>1362</v>
      </c>
      <c r="Q35" s="7">
        <v>1411</v>
      </c>
      <c r="R35" s="7">
        <v>1429</v>
      </c>
      <c r="S35" s="7">
        <v>1529</v>
      </c>
      <c r="T35" s="7">
        <v>1903</v>
      </c>
      <c r="U35" s="7">
        <v>2747</v>
      </c>
      <c r="V35" s="7">
        <v>2730</v>
      </c>
      <c r="W35" s="7">
        <v>2469</v>
      </c>
      <c r="X35" s="7">
        <v>2041</v>
      </c>
      <c r="Y35" s="7">
        <v>1545</v>
      </c>
      <c r="Z35" s="11">
        <v>1216</v>
      </c>
      <c r="AA35" s="9">
        <f t="shared" si="1"/>
        <v>36932</v>
      </c>
      <c r="AB35" s="9">
        <v>20</v>
      </c>
      <c r="AC35" s="9">
        <f t="shared" si="0"/>
        <v>738640</v>
      </c>
      <c r="AD35" s="52">
        <f>SUM(AC35:AC37)</f>
        <v>1103950</v>
      </c>
    </row>
    <row r="36" spans="1:30" x14ac:dyDescent="0.2">
      <c r="A36" s="12" t="s">
        <v>20</v>
      </c>
      <c r="B36" s="13" t="s">
        <v>9</v>
      </c>
      <c r="C36" s="14">
        <v>1037</v>
      </c>
      <c r="D36" s="14">
        <v>956</v>
      </c>
      <c r="E36" s="14">
        <v>913</v>
      </c>
      <c r="F36" s="14">
        <v>896</v>
      </c>
      <c r="G36" s="14">
        <v>951</v>
      </c>
      <c r="H36" s="14">
        <v>1075</v>
      </c>
      <c r="I36" s="14">
        <v>1161</v>
      </c>
      <c r="J36" s="14">
        <v>1299</v>
      </c>
      <c r="K36" s="14">
        <v>1460</v>
      </c>
      <c r="L36" s="14">
        <v>1505</v>
      </c>
      <c r="M36" s="14">
        <v>1585</v>
      </c>
      <c r="N36" s="14">
        <v>1638</v>
      </c>
      <c r="O36" s="14">
        <v>1594</v>
      </c>
      <c r="P36" s="14">
        <v>1546</v>
      </c>
      <c r="Q36" s="14">
        <v>1545</v>
      </c>
      <c r="R36" s="14">
        <v>1510</v>
      </c>
      <c r="S36" s="14">
        <v>1524</v>
      </c>
      <c r="T36" s="14">
        <v>1843</v>
      </c>
      <c r="U36" s="14">
        <v>2703</v>
      </c>
      <c r="V36" s="14">
        <v>2671</v>
      </c>
      <c r="W36" s="14">
        <v>2389</v>
      </c>
      <c r="X36" s="14">
        <v>2018</v>
      </c>
      <c r="Y36" s="14">
        <v>1609</v>
      </c>
      <c r="Z36" s="18">
        <v>1307</v>
      </c>
      <c r="AA36" s="16">
        <f t="shared" si="1"/>
        <v>36735</v>
      </c>
      <c r="AB36" s="16">
        <v>4</v>
      </c>
      <c r="AC36" s="16">
        <f t="shared" si="0"/>
        <v>146940</v>
      </c>
      <c r="AD36" s="53"/>
    </row>
    <row r="37" spans="1:30" ht="13.5" thickBot="1" x14ac:dyDescent="0.25">
      <c r="A37" s="19"/>
      <c r="B37" s="20" t="s">
        <v>10</v>
      </c>
      <c r="C37" s="21">
        <v>1073</v>
      </c>
      <c r="D37" s="21">
        <v>991</v>
      </c>
      <c r="E37" s="21">
        <v>945</v>
      </c>
      <c r="F37" s="21">
        <v>922</v>
      </c>
      <c r="G37" s="21">
        <v>943</v>
      </c>
      <c r="H37" s="21">
        <v>1038</v>
      </c>
      <c r="I37" s="21">
        <v>1120</v>
      </c>
      <c r="J37" s="21">
        <v>1294</v>
      </c>
      <c r="K37" s="21">
        <v>1530</v>
      </c>
      <c r="L37" s="21">
        <v>1627</v>
      </c>
      <c r="M37" s="21">
        <v>1684</v>
      </c>
      <c r="N37" s="21">
        <v>1697</v>
      </c>
      <c r="O37" s="21">
        <v>1584</v>
      </c>
      <c r="P37" s="21">
        <v>1494</v>
      </c>
      <c r="Q37" s="21">
        <v>1477</v>
      </c>
      <c r="R37" s="21">
        <v>1439</v>
      </c>
      <c r="S37" s="21">
        <v>1526</v>
      </c>
      <c r="T37" s="21">
        <v>1886</v>
      </c>
      <c r="U37" s="21">
        <v>2631</v>
      </c>
      <c r="V37" s="21">
        <v>2559</v>
      </c>
      <c r="W37" s="21">
        <v>2314</v>
      </c>
      <c r="X37" s="21">
        <v>1920</v>
      </c>
      <c r="Y37" s="21">
        <v>1489</v>
      </c>
      <c r="Z37" s="25">
        <v>1212</v>
      </c>
      <c r="AA37" s="23">
        <f t="shared" si="1"/>
        <v>36395</v>
      </c>
      <c r="AB37" s="23">
        <v>6</v>
      </c>
      <c r="AC37" s="23">
        <f t="shared" si="0"/>
        <v>218370</v>
      </c>
      <c r="AD37" s="54"/>
    </row>
    <row r="38" spans="1:30" x14ac:dyDescent="0.2">
      <c r="A38" s="5"/>
      <c r="B38" s="6" t="s">
        <v>7</v>
      </c>
      <c r="C38" s="7">
        <v>1022</v>
      </c>
      <c r="D38" s="7">
        <v>944</v>
      </c>
      <c r="E38" s="7">
        <v>913</v>
      </c>
      <c r="F38" s="7">
        <v>910</v>
      </c>
      <c r="G38" s="7">
        <v>1011</v>
      </c>
      <c r="H38" s="7">
        <v>1141</v>
      </c>
      <c r="I38" s="7">
        <v>1314</v>
      </c>
      <c r="J38" s="7">
        <v>1469</v>
      </c>
      <c r="K38" s="7">
        <v>1548</v>
      </c>
      <c r="L38" s="7">
        <v>1580</v>
      </c>
      <c r="M38" s="7">
        <v>1632</v>
      </c>
      <c r="N38" s="7">
        <v>1705</v>
      </c>
      <c r="O38" s="7">
        <v>1604</v>
      </c>
      <c r="P38" s="7">
        <v>1551</v>
      </c>
      <c r="Q38" s="7">
        <v>1550</v>
      </c>
      <c r="R38" s="7">
        <v>1546</v>
      </c>
      <c r="S38" s="7">
        <v>1607</v>
      </c>
      <c r="T38" s="7">
        <v>1919</v>
      </c>
      <c r="U38" s="7">
        <v>2643</v>
      </c>
      <c r="V38" s="7">
        <v>2759</v>
      </c>
      <c r="W38" s="7">
        <v>2515</v>
      </c>
      <c r="X38" s="7">
        <v>2163</v>
      </c>
      <c r="Y38" s="7">
        <v>1704</v>
      </c>
      <c r="Z38" s="11">
        <v>1349</v>
      </c>
      <c r="AA38" s="9">
        <f t="shared" si="1"/>
        <v>38099</v>
      </c>
      <c r="AB38" s="9">
        <v>22</v>
      </c>
      <c r="AC38" s="9">
        <f t="shared" si="0"/>
        <v>838178</v>
      </c>
      <c r="AD38" s="52">
        <f>SUM(AC38:AC40)</f>
        <v>1171955</v>
      </c>
    </row>
    <row r="39" spans="1:30" x14ac:dyDescent="0.2">
      <c r="A39" s="12" t="s">
        <v>21</v>
      </c>
      <c r="B39" s="13" t="s">
        <v>9</v>
      </c>
      <c r="C39" s="14">
        <v>1077</v>
      </c>
      <c r="D39" s="14">
        <v>991</v>
      </c>
      <c r="E39" s="14">
        <v>940</v>
      </c>
      <c r="F39" s="14">
        <v>926</v>
      </c>
      <c r="G39" s="14">
        <v>1013</v>
      </c>
      <c r="H39" s="14">
        <v>1113</v>
      </c>
      <c r="I39" s="14">
        <v>1178</v>
      </c>
      <c r="J39" s="14">
        <v>1362</v>
      </c>
      <c r="K39" s="14">
        <v>1508</v>
      </c>
      <c r="L39" s="14">
        <v>1584</v>
      </c>
      <c r="M39" s="14">
        <v>1649</v>
      </c>
      <c r="N39" s="14">
        <v>1710</v>
      </c>
      <c r="O39" s="14">
        <v>1657</v>
      </c>
      <c r="P39" s="14">
        <v>1574</v>
      </c>
      <c r="Q39" s="14">
        <v>1574</v>
      </c>
      <c r="R39" s="14">
        <v>1534</v>
      </c>
      <c r="S39" s="14">
        <v>1645</v>
      </c>
      <c r="T39" s="14">
        <v>1929</v>
      </c>
      <c r="U39" s="14">
        <v>2580</v>
      </c>
      <c r="V39" s="14">
        <v>2723</v>
      </c>
      <c r="W39" s="14">
        <v>2469</v>
      </c>
      <c r="X39" s="14">
        <v>2143</v>
      </c>
      <c r="Y39" s="14">
        <v>1742</v>
      </c>
      <c r="Z39" s="18">
        <v>1414</v>
      </c>
      <c r="AA39" s="16">
        <f t="shared" si="1"/>
        <v>38035</v>
      </c>
      <c r="AB39" s="16">
        <v>3</v>
      </c>
      <c r="AC39" s="16">
        <f t="shared" si="0"/>
        <v>114105</v>
      </c>
      <c r="AD39" s="53"/>
    </row>
    <row r="40" spans="1:30" ht="13.5" thickBot="1" x14ac:dyDescent="0.25">
      <c r="A40" s="19"/>
      <c r="B40" s="20" t="s">
        <v>10</v>
      </c>
      <c r="C40" s="21">
        <v>1137</v>
      </c>
      <c r="D40" s="21">
        <v>1033</v>
      </c>
      <c r="E40" s="21">
        <v>973</v>
      </c>
      <c r="F40" s="21">
        <v>944</v>
      </c>
      <c r="G40" s="21">
        <v>1000</v>
      </c>
      <c r="H40" s="21">
        <v>1055</v>
      </c>
      <c r="I40" s="21">
        <v>1087</v>
      </c>
      <c r="J40" s="21">
        <v>1257</v>
      </c>
      <c r="K40" s="21">
        <v>1521</v>
      </c>
      <c r="L40" s="21">
        <v>1660</v>
      </c>
      <c r="M40" s="21">
        <v>1655</v>
      </c>
      <c r="N40" s="21">
        <v>1706</v>
      </c>
      <c r="O40" s="21">
        <v>1674</v>
      </c>
      <c r="P40" s="21">
        <v>1537</v>
      </c>
      <c r="Q40" s="21">
        <v>1479</v>
      </c>
      <c r="R40" s="21">
        <v>1432</v>
      </c>
      <c r="S40" s="21">
        <v>1443</v>
      </c>
      <c r="T40" s="21">
        <v>1729</v>
      </c>
      <c r="U40" s="21">
        <v>2388</v>
      </c>
      <c r="V40" s="21">
        <v>2571</v>
      </c>
      <c r="W40" s="21">
        <v>2373</v>
      </c>
      <c r="X40" s="21">
        <v>2034</v>
      </c>
      <c r="Y40" s="21">
        <v>1620</v>
      </c>
      <c r="Z40" s="25">
        <v>1304</v>
      </c>
      <c r="AA40" s="23">
        <f t="shared" si="1"/>
        <v>36612</v>
      </c>
      <c r="AB40" s="23">
        <v>6</v>
      </c>
      <c r="AC40" s="23">
        <f t="shared" si="0"/>
        <v>219672</v>
      </c>
      <c r="AD40" s="54"/>
    </row>
    <row r="41" spans="1:30" x14ac:dyDescent="0.2">
      <c r="AB41" s="26"/>
      <c r="AD41" s="26"/>
    </row>
    <row r="43" spans="1:30" x14ac:dyDescent="0.2">
      <c r="AC43" s="26"/>
      <c r="AD43" s="26"/>
    </row>
  </sheetData>
  <mergeCells count="17">
    <mergeCell ref="AD23:AD25"/>
    <mergeCell ref="A1:AD1"/>
    <mergeCell ref="C3:Z3"/>
    <mergeCell ref="AA3:AA4"/>
    <mergeCell ref="AB3:AB4"/>
    <mergeCell ref="AC3:AD4"/>
    <mergeCell ref="AD5:AD7"/>
    <mergeCell ref="AD8:AD10"/>
    <mergeCell ref="AD11:AD13"/>
    <mergeCell ref="AD14:AD16"/>
    <mergeCell ref="AD17:AD19"/>
    <mergeCell ref="AD20:AD22"/>
    <mergeCell ref="AD26:AD28"/>
    <mergeCell ref="AD29:AD31"/>
    <mergeCell ref="AD32:AD34"/>
    <mergeCell ref="AD35:AD37"/>
    <mergeCell ref="AD38:AD40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sqref="A1:AD40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7.5703125" customWidth="1"/>
    <col min="30" max="30" width="10.140625" bestFit="1" customWidth="1"/>
  </cols>
  <sheetData>
    <row r="1" spans="1:30" x14ac:dyDescent="0.2">
      <c r="A1" s="55" t="s">
        <v>31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3.5" thickBot="1" x14ac:dyDescent="0.25"/>
    <row r="3" spans="1:30" ht="13.9" customHeight="1" thickBot="1" x14ac:dyDescent="0.25">
      <c r="A3" s="1" t="s">
        <v>0</v>
      </c>
      <c r="B3" s="2" t="s">
        <v>1</v>
      </c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59" t="s">
        <v>3</v>
      </c>
      <c r="AB3" s="59" t="s">
        <v>4</v>
      </c>
      <c r="AC3" s="62" t="s">
        <v>5</v>
      </c>
      <c r="AD3" s="63"/>
    </row>
    <row r="4" spans="1:30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0"/>
      <c r="AB4" s="61"/>
      <c r="AC4" s="64"/>
      <c r="AD4" s="65"/>
    </row>
    <row r="5" spans="1:30" x14ac:dyDescent="0.2">
      <c r="A5" s="5"/>
      <c r="B5" s="6" t="s">
        <v>7</v>
      </c>
      <c r="C5" s="7">
        <v>1070</v>
      </c>
      <c r="D5" s="7">
        <v>988</v>
      </c>
      <c r="E5" s="7">
        <v>953</v>
      </c>
      <c r="F5" s="7">
        <v>943</v>
      </c>
      <c r="G5" s="7">
        <v>996</v>
      </c>
      <c r="H5" s="7">
        <v>1173</v>
      </c>
      <c r="I5" s="7">
        <v>1386</v>
      </c>
      <c r="J5" s="7">
        <v>1552</v>
      </c>
      <c r="K5" s="7">
        <v>1617</v>
      </c>
      <c r="L5" s="7">
        <v>1701</v>
      </c>
      <c r="M5" s="7">
        <v>1794</v>
      </c>
      <c r="N5" s="7">
        <v>1845</v>
      </c>
      <c r="O5" s="7">
        <v>1720</v>
      </c>
      <c r="P5" s="7">
        <v>1617</v>
      </c>
      <c r="Q5" s="7">
        <v>1612</v>
      </c>
      <c r="R5" s="7">
        <v>1590</v>
      </c>
      <c r="S5" s="7">
        <v>1626</v>
      </c>
      <c r="T5" s="7">
        <v>1895</v>
      </c>
      <c r="U5" s="7">
        <v>2448</v>
      </c>
      <c r="V5" s="7">
        <v>2865</v>
      </c>
      <c r="W5" s="7">
        <v>2629</v>
      </c>
      <c r="X5" s="7">
        <v>2211</v>
      </c>
      <c r="Y5" s="7">
        <v>1700</v>
      </c>
      <c r="Z5" s="8">
        <v>1328</v>
      </c>
      <c r="AA5" s="9">
        <f>SUM(C5:Z5)</f>
        <v>39259</v>
      </c>
      <c r="AB5" s="9">
        <v>20</v>
      </c>
      <c r="AC5" s="10">
        <f t="shared" ref="AC5:AC40" si="0">AA5*AB5</f>
        <v>785180</v>
      </c>
      <c r="AD5" s="52">
        <f>SUM(AC5:AC7)</f>
        <v>1206559</v>
      </c>
    </row>
    <row r="6" spans="1:30" x14ac:dyDescent="0.2">
      <c r="A6" s="12" t="s">
        <v>8</v>
      </c>
      <c r="B6" s="13" t="s">
        <v>9</v>
      </c>
      <c r="C6" s="14">
        <v>1115</v>
      </c>
      <c r="D6" s="14">
        <v>1020</v>
      </c>
      <c r="E6" s="14">
        <v>968</v>
      </c>
      <c r="F6" s="14">
        <v>943</v>
      </c>
      <c r="G6" s="14">
        <v>979</v>
      </c>
      <c r="H6" s="14">
        <v>1120</v>
      </c>
      <c r="I6" s="14">
        <v>1195</v>
      </c>
      <c r="J6" s="14">
        <v>1357</v>
      </c>
      <c r="K6" s="14">
        <v>1506</v>
      </c>
      <c r="L6" s="14">
        <v>1607</v>
      </c>
      <c r="M6" s="14">
        <v>1733</v>
      </c>
      <c r="N6" s="14">
        <v>1791</v>
      </c>
      <c r="O6" s="14">
        <v>1737</v>
      </c>
      <c r="P6" s="14">
        <v>1567</v>
      </c>
      <c r="Q6" s="14">
        <v>1514</v>
      </c>
      <c r="R6" s="14">
        <v>1523</v>
      </c>
      <c r="S6" s="14">
        <v>1557</v>
      </c>
      <c r="T6" s="14">
        <v>1837</v>
      </c>
      <c r="U6" s="14">
        <v>2559</v>
      </c>
      <c r="V6" s="14">
        <v>2876</v>
      </c>
      <c r="W6" s="14">
        <v>2629</v>
      </c>
      <c r="X6" s="14">
        <v>2237</v>
      </c>
      <c r="Y6" s="14">
        <v>1811</v>
      </c>
      <c r="Z6" s="15">
        <v>1480</v>
      </c>
      <c r="AA6" s="16">
        <f>SUM(C6:Z6)</f>
        <v>38661</v>
      </c>
      <c r="AB6" s="16">
        <v>4</v>
      </c>
      <c r="AC6" s="17">
        <f t="shared" si="0"/>
        <v>154644</v>
      </c>
      <c r="AD6" s="53"/>
    </row>
    <row r="7" spans="1:30" ht="13.5" thickBot="1" x14ac:dyDescent="0.25">
      <c r="A7" s="19"/>
      <c r="B7" s="20" t="s">
        <v>10</v>
      </c>
      <c r="C7" s="21">
        <v>1296</v>
      </c>
      <c r="D7" s="21">
        <v>1209</v>
      </c>
      <c r="E7" s="21">
        <v>1168</v>
      </c>
      <c r="F7" s="21">
        <v>1096</v>
      </c>
      <c r="G7" s="21">
        <v>1048</v>
      </c>
      <c r="H7" s="21">
        <v>1096</v>
      </c>
      <c r="I7" s="21">
        <v>1069</v>
      </c>
      <c r="J7" s="21">
        <v>1206</v>
      </c>
      <c r="K7" s="21">
        <v>1517</v>
      </c>
      <c r="L7" s="21">
        <v>1818</v>
      </c>
      <c r="M7" s="21">
        <v>1931</v>
      </c>
      <c r="N7" s="21">
        <v>1979</v>
      </c>
      <c r="O7" s="21">
        <v>1774</v>
      </c>
      <c r="P7" s="21">
        <v>1554</v>
      </c>
      <c r="Q7" s="21">
        <v>1420</v>
      </c>
      <c r="R7" s="21">
        <v>1405</v>
      </c>
      <c r="S7" s="21">
        <v>1372</v>
      </c>
      <c r="T7" s="21">
        <v>1631</v>
      </c>
      <c r="U7" s="21">
        <v>2236</v>
      </c>
      <c r="V7" s="21">
        <v>2671</v>
      </c>
      <c r="W7" s="21">
        <v>2451</v>
      </c>
      <c r="X7" s="21">
        <v>2082</v>
      </c>
      <c r="Y7" s="21">
        <v>1687</v>
      </c>
      <c r="Z7" s="22">
        <v>1389</v>
      </c>
      <c r="AA7" s="23">
        <f>SUM(C7:Z7)</f>
        <v>38105</v>
      </c>
      <c r="AB7" s="23">
        <v>7</v>
      </c>
      <c r="AC7" s="24">
        <f t="shared" si="0"/>
        <v>266735</v>
      </c>
      <c r="AD7" s="54"/>
    </row>
    <row r="8" spans="1:30" x14ac:dyDescent="0.2">
      <c r="A8" s="5"/>
      <c r="B8" s="6" t="s">
        <v>7</v>
      </c>
      <c r="C8" s="7">
        <v>1027</v>
      </c>
      <c r="D8" s="7">
        <v>966</v>
      </c>
      <c r="E8" s="7">
        <v>943</v>
      </c>
      <c r="F8" s="7">
        <v>939</v>
      </c>
      <c r="G8" s="7">
        <v>1015</v>
      </c>
      <c r="H8" s="7">
        <v>1352</v>
      </c>
      <c r="I8" s="7">
        <v>2249</v>
      </c>
      <c r="J8" s="7">
        <v>1680</v>
      </c>
      <c r="K8" s="7">
        <v>1525</v>
      </c>
      <c r="L8" s="7">
        <v>1495</v>
      </c>
      <c r="M8" s="7">
        <v>1498</v>
      </c>
      <c r="N8" s="7">
        <v>1548</v>
      </c>
      <c r="O8" s="7">
        <v>1454</v>
      </c>
      <c r="P8" s="7">
        <v>1441</v>
      </c>
      <c r="Q8" s="7">
        <v>1493</v>
      </c>
      <c r="R8" s="7">
        <v>1484</v>
      </c>
      <c r="S8" s="7">
        <v>1534</v>
      </c>
      <c r="T8" s="7">
        <v>1790</v>
      </c>
      <c r="U8" s="7">
        <v>2391</v>
      </c>
      <c r="V8" s="7">
        <v>2865</v>
      </c>
      <c r="W8" s="7">
        <v>2605</v>
      </c>
      <c r="X8" s="7">
        <v>2175</v>
      </c>
      <c r="Y8" s="7">
        <v>1630</v>
      </c>
      <c r="Z8" s="11">
        <v>1267</v>
      </c>
      <c r="AA8" s="9">
        <f>SUM(C8:Z8)</f>
        <v>38366</v>
      </c>
      <c r="AB8" s="9">
        <v>21</v>
      </c>
      <c r="AC8" s="9">
        <f t="shared" si="0"/>
        <v>805686</v>
      </c>
      <c r="AD8" s="52">
        <f>SUM(AC8:AC10)</f>
        <v>1107286</v>
      </c>
    </row>
    <row r="9" spans="1:30" x14ac:dyDescent="0.2">
      <c r="A9" s="12" t="s">
        <v>11</v>
      </c>
      <c r="B9" s="13" t="s">
        <v>9</v>
      </c>
      <c r="C9" s="14">
        <v>1061</v>
      </c>
      <c r="D9" s="14">
        <v>983</v>
      </c>
      <c r="E9" s="14">
        <v>949</v>
      </c>
      <c r="F9" s="14">
        <v>941</v>
      </c>
      <c r="G9" s="14">
        <v>989</v>
      </c>
      <c r="H9" s="14">
        <v>1133</v>
      </c>
      <c r="I9" s="14">
        <v>1247</v>
      </c>
      <c r="J9" s="14">
        <v>1369</v>
      </c>
      <c r="K9" s="14">
        <v>1543</v>
      </c>
      <c r="L9" s="14">
        <v>1645</v>
      </c>
      <c r="M9" s="14">
        <v>1720</v>
      </c>
      <c r="N9" s="14">
        <v>1743</v>
      </c>
      <c r="O9" s="14">
        <v>1672</v>
      </c>
      <c r="P9" s="14">
        <v>1599</v>
      </c>
      <c r="Q9" s="14">
        <v>1610</v>
      </c>
      <c r="R9" s="14">
        <v>1584</v>
      </c>
      <c r="S9" s="14">
        <v>1600</v>
      </c>
      <c r="T9" s="14">
        <v>1752</v>
      </c>
      <c r="U9" s="14">
        <v>2288</v>
      </c>
      <c r="V9" s="14">
        <v>2804</v>
      </c>
      <c r="W9" s="14">
        <v>2564</v>
      </c>
      <c r="X9" s="14">
        <v>2161</v>
      </c>
      <c r="Y9" s="14">
        <v>1687</v>
      </c>
      <c r="Z9" s="18">
        <v>1353</v>
      </c>
      <c r="AA9" s="16">
        <f t="shared" ref="AA9:AA40" si="1">SUM(C9:Z9)</f>
        <v>37997</v>
      </c>
      <c r="AB9" s="16">
        <v>4</v>
      </c>
      <c r="AC9" s="16">
        <f t="shared" si="0"/>
        <v>151988</v>
      </c>
      <c r="AD9" s="53"/>
    </row>
    <row r="10" spans="1:30" ht="13.5" thickBot="1" x14ac:dyDescent="0.25">
      <c r="A10" s="19"/>
      <c r="B10" s="20" t="s">
        <v>10</v>
      </c>
      <c r="C10" s="21">
        <v>1113</v>
      </c>
      <c r="D10" s="21">
        <v>1028</v>
      </c>
      <c r="E10" s="21">
        <v>983</v>
      </c>
      <c r="F10" s="21">
        <v>958</v>
      </c>
      <c r="G10" s="21">
        <v>982</v>
      </c>
      <c r="H10" s="21">
        <v>1111</v>
      </c>
      <c r="I10" s="21">
        <v>1184</v>
      </c>
      <c r="J10" s="21">
        <v>1310</v>
      </c>
      <c r="K10" s="21">
        <v>1613</v>
      </c>
      <c r="L10" s="21">
        <v>1793</v>
      </c>
      <c r="M10" s="21">
        <v>1760</v>
      </c>
      <c r="N10" s="21">
        <v>1789</v>
      </c>
      <c r="O10" s="21">
        <v>1688</v>
      </c>
      <c r="P10" s="21">
        <v>1562</v>
      </c>
      <c r="Q10" s="21">
        <v>1530</v>
      </c>
      <c r="R10" s="21">
        <v>1477</v>
      </c>
      <c r="S10" s="21">
        <v>1464</v>
      </c>
      <c r="T10" s="21">
        <v>1715</v>
      </c>
      <c r="U10" s="21">
        <v>2252</v>
      </c>
      <c r="V10" s="21">
        <v>2682</v>
      </c>
      <c r="W10" s="21">
        <v>2496</v>
      </c>
      <c r="X10" s="21">
        <v>2076</v>
      </c>
      <c r="Y10" s="21">
        <v>1581</v>
      </c>
      <c r="Z10" s="25">
        <v>1256</v>
      </c>
      <c r="AA10" s="23">
        <f t="shared" si="1"/>
        <v>37403</v>
      </c>
      <c r="AB10" s="23">
        <v>4</v>
      </c>
      <c r="AC10" s="23">
        <f t="shared" si="0"/>
        <v>149612</v>
      </c>
      <c r="AD10" s="54"/>
    </row>
    <row r="11" spans="1:30" x14ac:dyDescent="0.2">
      <c r="A11" s="5"/>
      <c r="B11" s="6" t="s">
        <v>7</v>
      </c>
      <c r="C11" s="7">
        <v>984</v>
      </c>
      <c r="D11" s="7">
        <v>915</v>
      </c>
      <c r="E11" s="7">
        <v>889</v>
      </c>
      <c r="F11" s="7">
        <v>879</v>
      </c>
      <c r="G11" s="7">
        <v>940</v>
      </c>
      <c r="H11" s="7">
        <v>1266</v>
      </c>
      <c r="I11" s="7">
        <v>2124</v>
      </c>
      <c r="J11" s="7">
        <v>1657</v>
      </c>
      <c r="K11" s="7">
        <v>1539</v>
      </c>
      <c r="L11" s="7">
        <v>1516</v>
      </c>
      <c r="M11" s="7">
        <v>1502</v>
      </c>
      <c r="N11" s="7">
        <v>1550</v>
      </c>
      <c r="O11" s="7">
        <v>1471</v>
      </c>
      <c r="P11" s="7">
        <v>1454</v>
      </c>
      <c r="Q11" s="7">
        <v>1496</v>
      </c>
      <c r="R11" s="7">
        <v>1471</v>
      </c>
      <c r="S11" s="7">
        <v>1527</v>
      </c>
      <c r="T11" s="7">
        <v>1794</v>
      </c>
      <c r="U11" s="7">
        <v>2446</v>
      </c>
      <c r="V11" s="7">
        <v>2833</v>
      </c>
      <c r="W11" s="7">
        <v>2568</v>
      </c>
      <c r="X11" s="7">
        <v>2155</v>
      </c>
      <c r="Y11" s="7">
        <v>1600</v>
      </c>
      <c r="Z11" s="11">
        <v>1228</v>
      </c>
      <c r="AA11" s="9">
        <f t="shared" si="1"/>
        <v>37804</v>
      </c>
      <c r="AB11" s="9">
        <v>22</v>
      </c>
      <c r="AC11" s="9">
        <f t="shared" si="0"/>
        <v>831688</v>
      </c>
      <c r="AD11" s="52">
        <f>SUM(AC11:AC13)</f>
        <v>1167222</v>
      </c>
    </row>
    <row r="12" spans="1:30" x14ac:dyDescent="0.2">
      <c r="A12" s="12" t="s">
        <v>12</v>
      </c>
      <c r="B12" s="13" t="s">
        <v>9</v>
      </c>
      <c r="C12" s="14">
        <v>1025</v>
      </c>
      <c r="D12" s="14">
        <v>942</v>
      </c>
      <c r="E12" s="14">
        <v>901</v>
      </c>
      <c r="F12" s="14">
        <v>894</v>
      </c>
      <c r="G12" s="14">
        <v>937</v>
      </c>
      <c r="H12" s="14">
        <v>1089</v>
      </c>
      <c r="I12" s="14">
        <v>1180</v>
      </c>
      <c r="J12" s="14">
        <v>1394</v>
      </c>
      <c r="K12" s="14">
        <v>1544</v>
      </c>
      <c r="L12" s="14">
        <v>1619</v>
      </c>
      <c r="M12" s="14">
        <v>1665</v>
      </c>
      <c r="N12" s="14">
        <v>1737</v>
      </c>
      <c r="O12" s="14">
        <v>1687</v>
      </c>
      <c r="P12" s="14">
        <v>1621</v>
      </c>
      <c r="Q12" s="14">
        <v>1617</v>
      </c>
      <c r="R12" s="14">
        <v>1551</v>
      </c>
      <c r="S12" s="14">
        <v>1582</v>
      </c>
      <c r="T12" s="14">
        <v>1858</v>
      </c>
      <c r="U12" s="14">
        <v>2515</v>
      </c>
      <c r="V12" s="14">
        <v>2778</v>
      </c>
      <c r="W12" s="14">
        <v>2536</v>
      </c>
      <c r="X12" s="14">
        <v>2138</v>
      </c>
      <c r="Y12" s="14">
        <v>1675</v>
      </c>
      <c r="Z12" s="18">
        <v>1346</v>
      </c>
      <c r="AA12" s="16">
        <f t="shared" si="1"/>
        <v>37831</v>
      </c>
      <c r="AB12" s="16">
        <v>4</v>
      </c>
      <c r="AC12" s="16">
        <f t="shared" si="0"/>
        <v>151324</v>
      </c>
      <c r="AD12" s="53"/>
    </row>
    <row r="13" spans="1:30" ht="13.5" thickBot="1" x14ac:dyDescent="0.25">
      <c r="A13" s="19"/>
      <c r="B13" s="20" t="s">
        <v>10</v>
      </c>
      <c r="C13" s="21">
        <v>1106</v>
      </c>
      <c r="D13" s="21">
        <v>1010</v>
      </c>
      <c r="E13" s="21">
        <v>960</v>
      </c>
      <c r="F13" s="21">
        <v>929</v>
      </c>
      <c r="G13" s="21">
        <v>946</v>
      </c>
      <c r="H13" s="21">
        <v>1080</v>
      </c>
      <c r="I13" s="21">
        <v>1163</v>
      </c>
      <c r="J13" s="21">
        <v>1308</v>
      </c>
      <c r="K13" s="21">
        <v>1573</v>
      </c>
      <c r="L13" s="21">
        <v>1763</v>
      </c>
      <c r="M13" s="21">
        <v>1732</v>
      </c>
      <c r="N13" s="21">
        <v>1793</v>
      </c>
      <c r="O13" s="21">
        <v>1720</v>
      </c>
      <c r="P13" s="21">
        <v>1558</v>
      </c>
      <c r="Q13" s="21">
        <v>1494</v>
      </c>
      <c r="R13" s="21">
        <v>1440</v>
      </c>
      <c r="S13" s="21">
        <v>1422</v>
      </c>
      <c r="T13" s="21">
        <v>1630</v>
      </c>
      <c r="U13" s="21">
        <v>2272</v>
      </c>
      <c r="V13" s="21">
        <v>2665</v>
      </c>
      <c r="W13" s="21">
        <v>2456</v>
      </c>
      <c r="X13" s="21">
        <v>2044</v>
      </c>
      <c r="Y13" s="21">
        <v>1553</v>
      </c>
      <c r="Z13" s="25">
        <v>1225</v>
      </c>
      <c r="AA13" s="23">
        <f t="shared" si="1"/>
        <v>36842</v>
      </c>
      <c r="AB13" s="23">
        <v>5</v>
      </c>
      <c r="AC13" s="23">
        <f t="shared" si="0"/>
        <v>184210</v>
      </c>
      <c r="AD13" s="54"/>
    </row>
    <row r="14" spans="1:30" x14ac:dyDescent="0.2">
      <c r="A14" s="5"/>
      <c r="B14" s="6" t="s">
        <v>7</v>
      </c>
      <c r="C14" s="7">
        <v>1024</v>
      </c>
      <c r="D14" s="7">
        <v>966</v>
      </c>
      <c r="E14" s="7">
        <v>941</v>
      </c>
      <c r="F14" s="7">
        <v>938</v>
      </c>
      <c r="G14" s="7">
        <v>988</v>
      </c>
      <c r="H14" s="7">
        <v>1253</v>
      </c>
      <c r="I14" s="7">
        <v>1965</v>
      </c>
      <c r="J14" s="7">
        <v>1584</v>
      </c>
      <c r="K14" s="7">
        <v>1483</v>
      </c>
      <c r="L14" s="7">
        <v>1456</v>
      </c>
      <c r="M14" s="7">
        <v>1469</v>
      </c>
      <c r="N14" s="7">
        <v>1512</v>
      </c>
      <c r="O14" s="7">
        <v>1455</v>
      </c>
      <c r="P14" s="7">
        <v>1423</v>
      </c>
      <c r="Q14" s="7">
        <v>1474</v>
      </c>
      <c r="R14" s="7">
        <v>1450</v>
      </c>
      <c r="S14" s="7">
        <v>1504</v>
      </c>
      <c r="T14" s="7">
        <v>1767</v>
      </c>
      <c r="U14" s="7">
        <v>2474</v>
      </c>
      <c r="V14" s="7">
        <v>2707</v>
      </c>
      <c r="W14" s="7">
        <v>2468</v>
      </c>
      <c r="X14" s="7">
        <v>2096</v>
      </c>
      <c r="Y14" s="7">
        <v>1608</v>
      </c>
      <c r="Z14" s="11">
        <v>1268</v>
      </c>
      <c r="AA14" s="9">
        <f t="shared" si="1"/>
        <v>37273</v>
      </c>
      <c r="AB14" s="9">
        <v>18</v>
      </c>
      <c r="AC14" s="9">
        <f t="shared" si="0"/>
        <v>670914</v>
      </c>
      <c r="AD14" s="52">
        <f>SUM(AC14:AC16)</f>
        <v>1110452</v>
      </c>
    </row>
    <row r="15" spans="1:30" x14ac:dyDescent="0.2">
      <c r="A15" s="12" t="s">
        <v>13</v>
      </c>
      <c r="B15" s="13" t="s">
        <v>9</v>
      </c>
      <c r="C15" s="14">
        <v>1076</v>
      </c>
      <c r="D15" s="14">
        <v>996</v>
      </c>
      <c r="E15" s="14">
        <v>956</v>
      </c>
      <c r="F15" s="14">
        <v>947</v>
      </c>
      <c r="G15" s="14">
        <v>980</v>
      </c>
      <c r="H15" s="14">
        <v>1096</v>
      </c>
      <c r="I15" s="14">
        <v>1174</v>
      </c>
      <c r="J15" s="14">
        <v>1345</v>
      </c>
      <c r="K15" s="14">
        <v>1483</v>
      </c>
      <c r="L15" s="14">
        <v>1515</v>
      </c>
      <c r="M15" s="14">
        <v>1603</v>
      </c>
      <c r="N15" s="14">
        <v>1646</v>
      </c>
      <c r="O15" s="14">
        <v>1601</v>
      </c>
      <c r="P15" s="14">
        <v>1562</v>
      </c>
      <c r="Q15" s="14">
        <v>1575</v>
      </c>
      <c r="R15" s="14">
        <v>1532</v>
      </c>
      <c r="S15" s="14">
        <v>1543</v>
      </c>
      <c r="T15" s="14">
        <v>1741</v>
      </c>
      <c r="U15" s="14">
        <v>2453</v>
      </c>
      <c r="V15" s="14">
        <v>2667</v>
      </c>
      <c r="W15" s="14">
        <v>2396</v>
      </c>
      <c r="X15" s="14">
        <v>2044</v>
      </c>
      <c r="Y15" s="14">
        <v>1669</v>
      </c>
      <c r="Z15" s="18">
        <v>1377</v>
      </c>
      <c r="AA15" s="16">
        <f t="shared" si="1"/>
        <v>36977</v>
      </c>
      <c r="AB15" s="16">
        <v>5</v>
      </c>
      <c r="AC15" s="16">
        <f t="shared" si="0"/>
        <v>184885</v>
      </c>
      <c r="AD15" s="53"/>
    </row>
    <row r="16" spans="1:30" ht="13.5" thickBot="1" x14ac:dyDescent="0.25">
      <c r="A16" s="19"/>
      <c r="B16" s="20" t="s">
        <v>10</v>
      </c>
      <c r="C16" s="21">
        <v>1130</v>
      </c>
      <c r="D16" s="21">
        <v>1030</v>
      </c>
      <c r="E16" s="21">
        <v>977</v>
      </c>
      <c r="F16" s="21">
        <v>957</v>
      </c>
      <c r="G16" s="21">
        <v>969</v>
      </c>
      <c r="H16" s="21">
        <v>1068</v>
      </c>
      <c r="I16" s="21">
        <v>1111</v>
      </c>
      <c r="J16" s="21">
        <v>1320</v>
      </c>
      <c r="K16" s="21">
        <v>1568</v>
      </c>
      <c r="L16" s="21">
        <v>1706</v>
      </c>
      <c r="M16" s="21">
        <v>1684</v>
      </c>
      <c r="N16" s="21">
        <v>1736</v>
      </c>
      <c r="O16" s="21">
        <v>1644</v>
      </c>
      <c r="P16" s="21">
        <v>1555</v>
      </c>
      <c r="Q16" s="21">
        <v>1535</v>
      </c>
      <c r="R16" s="21">
        <v>1450</v>
      </c>
      <c r="S16" s="21">
        <v>1450</v>
      </c>
      <c r="T16" s="21">
        <v>1653</v>
      </c>
      <c r="U16" s="21">
        <v>2294</v>
      </c>
      <c r="V16" s="21">
        <v>2489</v>
      </c>
      <c r="W16" s="21">
        <v>2265</v>
      </c>
      <c r="X16" s="21">
        <v>1933</v>
      </c>
      <c r="Y16" s="21">
        <v>1558</v>
      </c>
      <c r="Z16" s="25">
        <v>1297</v>
      </c>
      <c r="AA16" s="23">
        <f t="shared" si="1"/>
        <v>36379</v>
      </c>
      <c r="AB16" s="23">
        <v>7</v>
      </c>
      <c r="AC16" s="23">
        <f t="shared" si="0"/>
        <v>254653</v>
      </c>
      <c r="AD16" s="54"/>
    </row>
    <row r="17" spans="1:30" x14ac:dyDescent="0.2">
      <c r="A17" s="5"/>
      <c r="B17" s="6" t="s">
        <v>7</v>
      </c>
      <c r="C17" s="7">
        <v>1004</v>
      </c>
      <c r="D17" s="7">
        <v>941</v>
      </c>
      <c r="E17" s="7">
        <v>921</v>
      </c>
      <c r="F17" s="7">
        <v>915</v>
      </c>
      <c r="G17" s="7">
        <v>977</v>
      </c>
      <c r="H17" s="7">
        <v>1269</v>
      </c>
      <c r="I17" s="7">
        <v>2103</v>
      </c>
      <c r="J17" s="7">
        <v>1615</v>
      </c>
      <c r="K17" s="7">
        <v>1496</v>
      </c>
      <c r="L17" s="7">
        <v>1471</v>
      </c>
      <c r="M17" s="7">
        <v>1476</v>
      </c>
      <c r="N17" s="7">
        <v>1512</v>
      </c>
      <c r="O17" s="7">
        <v>1413</v>
      </c>
      <c r="P17" s="7">
        <v>1401</v>
      </c>
      <c r="Q17" s="7">
        <v>1464</v>
      </c>
      <c r="R17" s="7">
        <v>1451</v>
      </c>
      <c r="S17" s="7">
        <v>1510</v>
      </c>
      <c r="T17" s="7">
        <v>1811</v>
      </c>
      <c r="U17" s="7">
        <v>2554</v>
      </c>
      <c r="V17" s="7">
        <v>2766</v>
      </c>
      <c r="W17" s="7">
        <v>2527</v>
      </c>
      <c r="X17" s="7">
        <v>2134</v>
      </c>
      <c r="Y17" s="7">
        <v>1613</v>
      </c>
      <c r="Z17" s="11">
        <v>1253</v>
      </c>
      <c r="AA17" s="9">
        <f t="shared" si="1"/>
        <v>37597</v>
      </c>
      <c r="AB17" s="9">
        <v>21</v>
      </c>
      <c r="AC17" s="9">
        <f t="shared" si="0"/>
        <v>789537</v>
      </c>
      <c r="AD17" s="52">
        <f>SUM(AC17:AC19)</f>
        <v>1159233</v>
      </c>
    </row>
    <row r="18" spans="1:30" x14ac:dyDescent="0.2">
      <c r="A18" s="12" t="s">
        <v>14</v>
      </c>
      <c r="B18" s="13" t="s">
        <v>9</v>
      </c>
      <c r="C18" s="14">
        <v>1037</v>
      </c>
      <c r="D18" s="14">
        <v>964</v>
      </c>
      <c r="E18" s="14">
        <v>920</v>
      </c>
      <c r="F18" s="14">
        <v>908</v>
      </c>
      <c r="G18" s="14">
        <v>966</v>
      </c>
      <c r="H18" s="14">
        <v>1101</v>
      </c>
      <c r="I18" s="14">
        <v>1188</v>
      </c>
      <c r="J18" s="14">
        <v>1407</v>
      </c>
      <c r="K18" s="14">
        <v>1524</v>
      </c>
      <c r="L18" s="14">
        <v>1583</v>
      </c>
      <c r="M18" s="14">
        <v>1607</v>
      </c>
      <c r="N18" s="14">
        <v>1660</v>
      </c>
      <c r="O18" s="14">
        <v>1582</v>
      </c>
      <c r="P18" s="14">
        <v>1514</v>
      </c>
      <c r="Q18" s="14">
        <v>1519</v>
      </c>
      <c r="R18" s="14">
        <v>1518</v>
      </c>
      <c r="S18" s="14">
        <v>1558</v>
      </c>
      <c r="T18" s="14">
        <v>1857</v>
      </c>
      <c r="U18" s="14">
        <v>2611</v>
      </c>
      <c r="V18" s="14">
        <v>2752</v>
      </c>
      <c r="W18" s="14">
        <v>2489</v>
      </c>
      <c r="X18" s="14">
        <v>2102</v>
      </c>
      <c r="Y18" s="14">
        <v>1667</v>
      </c>
      <c r="Z18" s="18">
        <v>1352</v>
      </c>
      <c r="AA18" s="16">
        <f t="shared" si="1"/>
        <v>37386</v>
      </c>
      <c r="AB18" s="16">
        <v>4</v>
      </c>
      <c r="AC18" s="16">
        <f t="shared" si="0"/>
        <v>149544</v>
      </c>
      <c r="AD18" s="53"/>
    </row>
    <row r="19" spans="1:30" ht="13.5" thickBot="1" x14ac:dyDescent="0.25">
      <c r="A19" s="19"/>
      <c r="B19" s="20" t="s">
        <v>10</v>
      </c>
      <c r="C19" s="21">
        <v>1078</v>
      </c>
      <c r="D19" s="21">
        <v>1002</v>
      </c>
      <c r="E19" s="21">
        <v>965</v>
      </c>
      <c r="F19" s="21">
        <v>942</v>
      </c>
      <c r="G19" s="21">
        <v>953</v>
      </c>
      <c r="H19" s="21">
        <v>1069</v>
      </c>
      <c r="I19" s="21">
        <v>1134</v>
      </c>
      <c r="J19" s="21">
        <v>1328</v>
      </c>
      <c r="K19" s="21">
        <v>1588</v>
      </c>
      <c r="L19" s="21">
        <v>1749</v>
      </c>
      <c r="M19" s="21">
        <v>1758</v>
      </c>
      <c r="N19" s="21">
        <v>1792</v>
      </c>
      <c r="O19" s="21">
        <v>1666</v>
      </c>
      <c r="P19" s="21">
        <v>1527</v>
      </c>
      <c r="Q19" s="21">
        <v>1494</v>
      </c>
      <c r="R19" s="21">
        <v>1429</v>
      </c>
      <c r="S19" s="21">
        <v>1451</v>
      </c>
      <c r="T19" s="21">
        <v>1674</v>
      </c>
      <c r="U19" s="21">
        <v>2319</v>
      </c>
      <c r="V19" s="21">
        <v>2603</v>
      </c>
      <c r="W19" s="21">
        <v>2407</v>
      </c>
      <c r="X19" s="21">
        <v>2005</v>
      </c>
      <c r="Y19" s="21">
        <v>1534</v>
      </c>
      <c r="Z19" s="25">
        <v>1225</v>
      </c>
      <c r="AA19" s="23">
        <f t="shared" si="1"/>
        <v>36692</v>
      </c>
      <c r="AB19" s="23">
        <v>6</v>
      </c>
      <c r="AC19" s="23">
        <f t="shared" si="0"/>
        <v>220152</v>
      </c>
      <c r="AD19" s="54"/>
    </row>
    <row r="20" spans="1:30" x14ac:dyDescent="0.2">
      <c r="A20" s="5"/>
      <c r="B20" s="6" t="s">
        <v>7</v>
      </c>
      <c r="C20" s="7">
        <v>1031</v>
      </c>
      <c r="D20" s="7">
        <v>972</v>
      </c>
      <c r="E20" s="7">
        <v>951</v>
      </c>
      <c r="F20" s="7">
        <v>944</v>
      </c>
      <c r="G20" s="7">
        <v>993</v>
      </c>
      <c r="H20" s="7">
        <v>1248</v>
      </c>
      <c r="I20" s="7">
        <v>2051</v>
      </c>
      <c r="J20" s="7">
        <v>1636</v>
      </c>
      <c r="K20" s="7">
        <v>1524</v>
      </c>
      <c r="L20" s="7">
        <v>1479</v>
      </c>
      <c r="M20" s="7">
        <v>1469</v>
      </c>
      <c r="N20" s="7">
        <v>1511</v>
      </c>
      <c r="O20" s="7">
        <v>1427</v>
      </c>
      <c r="P20" s="7">
        <v>1427</v>
      </c>
      <c r="Q20" s="7">
        <v>1489</v>
      </c>
      <c r="R20" s="7">
        <v>1468</v>
      </c>
      <c r="S20" s="7">
        <v>1542</v>
      </c>
      <c r="T20" s="7">
        <v>1833</v>
      </c>
      <c r="U20" s="7">
        <v>2431</v>
      </c>
      <c r="V20" s="7">
        <v>2635</v>
      </c>
      <c r="W20" s="7">
        <v>2407</v>
      </c>
      <c r="X20" s="7">
        <v>2046</v>
      </c>
      <c r="Y20" s="7">
        <v>1584</v>
      </c>
      <c r="Z20" s="11">
        <v>1265</v>
      </c>
      <c r="AA20" s="9">
        <f t="shared" si="1"/>
        <v>37363</v>
      </c>
      <c r="AB20" s="9">
        <v>20</v>
      </c>
      <c r="AC20" s="9">
        <f t="shared" si="0"/>
        <v>747260</v>
      </c>
      <c r="AD20" s="52">
        <f>SUM(AC20:AC22)</f>
        <v>1116308</v>
      </c>
    </row>
    <row r="21" spans="1:30" x14ac:dyDescent="0.2">
      <c r="A21" s="12" t="s">
        <v>15</v>
      </c>
      <c r="B21" s="13" t="s">
        <v>9</v>
      </c>
      <c r="C21" s="14">
        <v>1077</v>
      </c>
      <c r="D21" s="14">
        <v>996</v>
      </c>
      <c r="E21" s="14">
        <v>956</v>
      </c>
      <c r="F21" s="14">
        <v>948</v>
      </c>
      <c r="G21" s="14">
        <v>979</v>
      </c>
      <c r="H21" s="14">
        <v>1090</v>
      </c>
      <c r="I21" s="14">
        <v>1177</v>
      </c>
      <c r="J21" s="14">
        <v>1358</v>
      </c>
      <c r="K21" s="14">
        <v>1492</v>
      </c>
      <c r="L21" s="14">
        <v>1566</v>
      </c>
      <c r="M21" s="14">
        <v>1612</v>
      </c>
      <c r="N21" s="14">
        <v>1693</v>
      </c>
      <c r="O21" s="14">
        <v>1607</v>
      </c>
      <c r="P21" s="14">
        <v>1558</v>
      </c>
      <c r="Q21" s="14">
        <v>1550</v>
      </c>
      <c r="R21" s="14">
        <v>1573</v>
      </c>
      <c r="S21" s="14">
        <v>1607</v>
      </c>
      <c r="T21" s="14">
        <v>1949</v>
      </c>
      <c r="U21" s="14">
        <v>2472</v>
      </c>
      <c r="V21" s="14">
        <v>2623</v>
      </c>
      <c r="W21" s="14">
        <v>2369</v>
      </c>
      <c r="X21" s="14">
        <v>1999</v>
      </c>
      <c r="Y21" s="14">
        <v>1624</v>
      </c>
      <c r="Z21" s="18">
        <v>1367</v>
      </c>
      <c r="AA21" s="16">
        <f t="shared" si="1"/>
        <v>37242</v>
      </c>
      <c r="AB21" s="16">
        <v>4</v>
      </c>
      <c r="AC21" s="16">
        <f t="shared" si="0"/>
        <v>148968</v>
      </c>
      <c r="AD21" s="53"/>
    </row>
    <row r="22" spans="1:30" ht="13.5" thickBot="1" x14ac:dyDescent="0.25">
      <c r="A22" s="19"/>
      <c r="B22" s="20" t="s">
        <v>10</v>
      </c>
      <c r="C22" s="21">
        <v>1127</v>
      </c>
      <c r="D22" s="21">
        <v>1048</v>
      </c>
      <c r="E22" s="21">
        <v>1014</v>
      </c>
      <c r="F22" s="21">
        <v>994</v>
      </c>
      <c r="G22" s="21">
        <v>1008</v>
      </c>
      <c r="H22" s="21">
        <v>1103</v>
      </c>
      <c r="I22" s="21">
        <v>1138</v>
      </c>
      <c r="J22" s="21">
        <v>1300</v>
      </c>
      <c r="K22" s="21">
        <v>1528</v>
      </c>
      <c r="L22" s="21">
        <v>1675</v>
      </c>
      <c r="M22" s="21">
        <v>1657</v>
      </c>
      <c r="N22" s="21">
        <v>1762</v>
      </c>
      <c r="O22" s="21">
        <v>1678</v>
      </c>
      <c r="P22" s="21">
        <v>1593</v>
      </c>
      <c r="Q22" s="21">
        <v>1539</v>
      </c>
      <c r="R22" s="21">
        <v>1506</v>
      </c>
      <c r="S22" s="21">
        <v>1492</v>
      </c>
      <c r="T22" s="21">
        <v>1713</v>
      </c>
      <c r="U22" s="21">
        <v>2259</v>
      </c>
      <c r="V22" s="21">
        <v>2502</v>
      </c>
      <c r="W22" s="21">
        <v>2303</v>
      </c>
      <c r="X22" s="21">
        <v>1940</v>
      </c>
      <c r="Y22" s="21">
        <v>1532</v>
      </c>
      <c r="Z22" s="25">
        <v>1269</v>
      </c>
      <c r="AA22" s="23">
        <f t="shared" si="1"/>
        <v>36680</v>
      </c>
      <c r="AB22" s="23">
        <v>6</v>
      </c>
      <c r="AC22" s="23">
        <f t="shared" si="0"/>
        <v>220080</v>
      </c>
      <c r="AD22" s="54"/>
    </row>
    <row r="23" spans="1:30" x14ac:dyDescent="0.2">
      <c r="A23" s="5"/>
      <c r="B23" s="6" t="s">
        <v>7</v>
      </c>
      <c r="C23" s="7">
        <v>1016</v>
      </c>
      <c r="D23" s="7">
        <v>946</v>
      </c>
      <c r="E23" s="7">
        <v>916</v>
      </c>
      <c r="F23" s="7">
        <v>909</v>
      </c>
      <c r="G23" s="7">
        <v>961</v>
      </c>
      <c r="H23" s="7">
        <v>1182</v>
      </c>
      <c r="I23" s="7">
        <v>1681</v>
      </c>
      <c r="J23" s="7">
        <v>1622</v>
      </c>
      <c r="K23" s="7">
        <v>1545</v>
      </c>
      <c r="L23" s="7">
        <v>1540</v>
      </c>
      <c r="M23" s="7">
        <v>1573</v>
      </c>
      <c r="N23" s="7">
        <v>1623</v>
      </c>
      <c r="O23" s="7">
        <v>1525</v>
      </c>
      <c r="P23" s="7">
        <v>1494</v>
      </c>
      <c r="Q23" s="7">
        <v>1515</v>
      </c>
      <c r="R23" s="7">
        <v>1481</v>
      </c>
      <c r="S23" s="7">
        <v>1548</v>
      </c>
      <c r="T23" s="7">
        <v>1820</v>
      </c>
      <c r="U23" s="7">
        <v>2405</v>
      </c>
      <c r="V23" s="7">
        <v>2736</v>
      </c>
      <c r="W23" s="7">
        <v>2504</v>
      </c>
      <c r="X23" s="7">
        <v>2139</v>
      </c>
      <c r="Y23" s="7">
        <v>1655</v>
      </c>
      <c r="Z23" s="11">
        <v>1280</v>
      </c>
      <c r="AA23" s="9">
        <f t="shared" si="1"/>
        <v>37616</v>
      </c>
      <c r="AB23" s="9">
        <v>19</v>
      </c>
      <c r="AC23" s="9">
        <f t="shared" si="0"/>
        <v>714704</v>
      </c>
      <c r="AD23" s="52">
        <f>SUM(AC23:AC25)</f>
        <v>1157449</v>
      </c>
    </row>
    <row r="24" spans="1:30" x14ac:dyDescent="0.2">
      <c r="A24" s="12" t="s">
        <v>16</v>
      </c>
      <c r="B24" s="13" t="s">
        <v>9</v>
      </c>
      <c r="C24" s="14">
        <v>1065</v>
      </c>
      <c r="D24" s="14">
        <v>976</v>
      </c>
      <c r="E24" s="14">
        <v>925</v>
      </c>
      <c r="F24" s="14">
        <v>911</v>
      </c>
      <c r="G24" s="14">
        <v>961</v>
      </c>
      <c r="H24" s="14">
        <v>1104</v>
      </c>
      <c r="I24" s="14">
        <v>1222</v>
      </c>
      <c r="J24" s="14">
        <v>1415</v>
      </c>
      <c r="K24" s="14">
        <v>1555</v>
      </c>
      <c r="L24" s="14">
        <v>1667</v>
      </c>
      <c r="M24" s="14">
        <v>1724</v>
      </c>
      <c r="N24" s="14">
        <v>1784</v>
      </c>
      <c r="O24" s="14">
        <v>1674</v>
      </c>
      <c r="P24" s="14">
        <v>1617</v>
      </c>
      <c r="Q24" s="14">
        <v>1581</v>
      </c>
      <c r="R24" s="14">
        <v>1536</v>
      </c>
      <c r="S24" s="14">
        <v>1607</v>
      </c>
      <c r="T24" s="14">
        <v>1865</v>
      </c>
      <c r="U24" s="14">
        <v>2416</v>
      </c>
      <c r="V24" s="14">
        <v>2641</v>
      </c>
      <c r="W24" s="14">
        <v>2386</v>
      </c>
      <c r="X24" s="14">
        <v>2043</v>
      </c>
      <c r="Y24" s="14">
        <v>1662</v>
      </c>
      <c r="Z24" s="18">
        <v>1378</v>
      </c>
      <c r="AA24" s="16">
        <f t="shared" si="1"/>
        <v>37715</v>
      </c>
      <c r="AB24" s="16">
        <v>5</v>
      </c>
      <c r="AC24" s="16">
        <f t="shared" si="0"/>
        <v>188575</v>
      </c>
      <c r="AD24" s="53"/>
    </row>
    <row r="25" spans="1:30" ht="13.5" thickBot="1" x14ac:dyDescent="0.25">
      <c r="A25" s="19"/>
      <c r="B25" s="20" t="s">
        <v>10</v>
      </c>
      <c r="C25" s="21">
        <v>1083</v>
      </c>
      <c r="D25" s="21">
        <v>997</v>
      </c>
      <c r="E25" s="21">
        <v>949</v>
      </c>
      <c r="F25" s="21">
        <v>921</v>
      </c>
      <c r="G25" s="21">
        <v>939</v>
      </c>
      <c r="H25" s="21">
        <v>1050</v>
      </c>
      <c r="I25" s="21">
        <v>1104</v>
      </c>
      <c r="J25" s="21">
        <v>1278</v>
      </c>
      <c r="K25" s="21">
        <v>1491</v>
      </c>
      <c r="L25" s="21">
        <v>1633</v>
      </c>
      <c r="M25" s="21">
        <v>1690</v>
      </c>
      <c r="N25" s="21">
        <v>1724</v>
      </c>
      <c r="O25" s="21">
        <v>1622</v>
      </c>
      <c r="P25" s="21">
        <v>1517</v>
      </c>
      <c r="Q25" s="21">
        <v>1500</v>
      </c>
      <c r="R25" s="21">
        <v>1504</v>
      </c>
      <c r="S25" s="21">
        <v>1518</v>
      </c>
      <c r="T25" s="21">
        <v>1760</v>
      </c>
      <c r="U25" s="21">
        <v>2305</v>
      </c>
      <c r="V25" s="21">
        <v>2562</v>
      </c>
      <c r="W25" s="21">
        <v>2340</v>
      </c>
      <c r="X25" s="21">
        <v>1987</v>
      </c>
      <c r="Y25" s="21">
        <v>1575</v>
      </c>
      <c r="Z25" s="25">
        <v>1261</v>
      </c>
      <c r="AA25" s="23">
        <f t="shared" si="1"/>
        <v>36310</v>
      </c>
      <c r="AB25" s="23">
        <v>7</v>
      </c>
      <c r="AC25" s="23">
        <f t="shared" si="0"/>
        <v>254170</v>
      </c>
      <c r="AD25" s="54"/>
    </row>
    <row r="26" spans="1:30" x14ac:dyDescent="0.2">
      <c r="A26" s="5"/>
      <c r="B26" s="6" t="s">
        <v>7</v>
      </c>
      <c r="C26" s="7">
        <v>1035</v>
      </c>
      <c r="D26" s="7">
        <v>974</v>
      </c>
      <c r="E26" s="7">
        <v>949</v>
      </c>
      <c r="F26" s="7">
        <v>941</v>
      </c>
      <c r="G26" s="7">
        <v>996</v>
      </c>
      <c r="H26" s="7">
        <v>1250</v>
      </c>
      <c r="I26" s="7">
        <v>2042</v>
      </c>
      <c r="J26" s="7">
        <v>1682</v>
      </c>
      <c r="K26" s="7">
        <v>1559</v>
      </c>
      <c r="L26" s="7">
        <v>1487</v>
      </c>
      <c r="M26" s="7">
        <v>1492</v>
      </c>
      <c r="N26" s="7">
        <v>1539</v>
      </c>
      <c r="O26" s="7">
        <v>1444</v>
      </c>
      <c r="P26" s="7">
        <v>1417</v>
      </c>
      <c r="Q26" s="7">
        <v>1479</v>
      </c>
      <c r="R26" s="7">
        <v>1465</v>
      </c>
      <c r="S26" s="7">
        <v>1540</v>
      </c>
      <c r="T26" s="7">
        <v>1821</v>
      </c>
      <c r="U26" s="7">
        <v>2434</v>
      </c>
      <c r="V26" s="7">
        <v>2692</v>
      </c>
      <c r="W26" s="7">
        <v>2454</v>
      </c>
      <c r="X26" s="7">
        <v>2092</v>
      </c>
      <c r="Y26" s="7">
        <v>1621</v>
      </c>
      <c r="Z26" s="11">
        <v>1260</v>
      </c>
      <c r="AA26" s="9">
        <f t="shared" si="1"/>
        <v>37665</v>
      </c>
      <c r="AB26" s="9">
        <v>21</v>
      </c>
      <c r="AC26" s="9">
        <f t="shared" si="0"/>
        <v>790965</v>
      </c>
      <c r="AD26" s="52">
        <f>SUM(AC26:AC28)</f>
        <v>1163397</v>
      </c>
    </row>
    <row r="27" spans="1:30" x14ac:dyDescent="0.2">
      <c r="A27" s="12" t="s">
        <v>17</v>
      </c>
      <c r="B27" s="13" t="s">
        <v>9</v>
      </c>
      <c r="C27" s="14">
        <v>1021</v>
      </c>
      <c r="D27" s="14">
        <v>939</v>
      </c>
      <c r="E27" s="14">
        <v>903</v>
      </c>
      <c r="F27" s="14">
        <v>894</v>
      </c>
      <c r="G27" s="14">
        <v>939</v>
      </c>
      <c r="H27" s="14">
        <v>1082</v>
      </c>
      <c r="I27" s="14">
        <v>1142</v>
      </c>
      <c r="J27" s="14">
        <v>1315</v>
      </c>
      <c r="K27" s="14">
        <v>1501</v>
      </c>
      <c r="L27" s="14">
        <v>1582</v>
      </c>
      <c r="M27" s="14">
        <v>1643</v>
      </c>
      <c r="N27" s="14">
        <v>1697</v>
      </c>
      <c r="O27" s="14">
        <v>1647</v>
      </c>
      <c r="P27" s="14">
        <v>1591</v>
      </c>
      <c r="Q27" s="14">
        <v>1573</v>
      </c>
      <c r="R27" s="14">
        <v>1570</v>
      </c>
      <c r="S27" s="14">
        <v>1624</v>
      </c>
      <c r="T27" s="14">
        <v>1861</v>
      </c>
      <c r="U27" s="14">
        <v>2399</v>
      </c>
      <c r="V27" s="14">
        <v>2610</v>
      </c>
      <c r="W27" s="14">
        <v>2411</v>
      </c>
      <c r="X27" s="14">
        <v>2075</v>
      </c>
      <c r="Y27" s="14">
        <v>1679</v>
      </c>
      <c r="Z27" s="18">
        <v>1358</v>
      </c>
      <c r="AA27" s="16">
        <f t="shared" si="1"/>
        <v>37056</v>
      </c>
      <c r="AB27" s="16">
        <v>4</v>
      </c>
      <c r="AC27" s="16">
        <f t="shared" si="0"/>
        <v>148224</v>
      </c>
      <c r="AD27" s="53"/>
    </row>
    <row r="28" spans="1:30" ht="13.5" thickBot="1" x14ac:dyDescent="0.25">
      <c r="A28" s="19"/>
      <c r="B28" s="20" t="s">
        <v>10</v>
      </c>
      <c r="C28" s="21">
        <v>1112</v>
      </c>
      <c r="D28" s="21">
        <v>1030</v>
      </c>
      <c r="E28" s="21">
        <v>984</v>
      </c>
      <c r="F28" s="21">
        <v>958</v>
      </c>
      <c r="G28" s="21">
        <v>981</v>
      </c>
      <c r="H28" s="21">
        <v>1105</v>
      </c>
      <c r="I28" s="21">
        <v>1156</v>
      </c>
      <c r="J28" s="21">
        <v>1318</v>
      </c>
      <c r="K28" s="21">
        <v>1580</v>
      </c>
      <c r="L28" s="21">
        <v>1765</v>
      </c>
      <c r="M28" s="21">
        <v>1797</v>
      </c>
      <c r="N28" s="21">
        <v>1823</v>
      </c>
      <c r="O28" s="21">
        <v>1711</v>
      </c>
      <c r="P28" s="21">
        <v>1601</v>
      </c>
      <c r="Q28" s="21">
        <v>1560</v>
      </c>
      <c r="R28" s="21">
        <v>1521</v>
      </c>
      <c r="S28" s="21">
        <v>1540</v>
      </c>
      <c r="T28" s="21">
        <v>1775</v>
      </c>
      <c r="U28" s="21">
        <v>2284</v>
      </c>
      <c r="V28" s="21">
        <v>2562</v>
      </c>
      <c r="W28" s="21">
        <v>2358</v>
      </c>
      <c r="X28" s="21">
        <v>2003</v>
      </c>
      <c r="Y28" s="21">
        <v>1580</v>
      </c>
      <c r="Z28" s="25">
        <v>1264</v>
      </c>
      <c r="AA28" s="23">
        <f t="shared" si="1"/>
        <v>37368</v>
      </c>
      <c r="AB28" s="23">
        <v>6</v>
      </c>
      <c r="AC28" s="23">
        <f t="shared" si="0"/>
        <v>224208</v>
      </c>
      <c r="AD28" s="54"/>
    </row>
    <row r="29" spans="1:30" x14ac:dyDescent="0.2">
      <c r="A29" s="5"/>
      <c r="B29" s="6" t="s">
        <v>7</v>
      </c>
      <c r="C29" s="7">
        <v>1018</v>
      </c>
      <c r="D29" s="7">
        <v>951</v>
      </c>
      <c r="E29" s="7">
        <v>924</v>
      </c>
      <c r="F29" s="7">
        <v>920</v>
      </c>
      <c r="G29" s="7">
        <v>982</v>
      </c>
      <c r="H29" s="7">
        <v>1251</v>
      </c>
      <c r="I29" s="7">
        <v>2104</v>
      </c>
      <c r="J29" s="7">
        <v>1661</v>
      </c>
      <c r="K29" s="7">
        <v>1529</v>
      </c>
      <c r="L29" s="7">
        <v>1484</v>
      </c>
      <c r="M29" s="7">
        <v>1476</v>
      </c>
      <c r="N29" s="7">
        <v>1547</v>
      </c>
      <c r="O29" s="7">
        <v>1449</v>
      </c>
      <c r="P29" s="7">
        <v>1453</v>
      </c>
      <c r="Q29" s="7">
        <v>1507</v>
      </c>
      <c r="R29" s="7">
        <v>1495</v>
      </c>
      <c r="S29" s="7">
        <v>1559</v>
      </c>
      <c r="T29" s="7">
        <v>1851</v>
      </c>
      <c r="U29" s="7">
        <v>2602</v>
      </c>
      <c r="V29" s="7">
        <v>2758</v>
      </c>
      <c r="W29" s="7">
        <v>2514</v>
      </c>
      <c r="X29" s="7">
        <v>2128</v>
      </c>
      <c r="Y29" s="7">
        <v>1628</v>
      </c>
      <c r="Z29" s="11">
        <v>1265</v>
      </c>
      <c r="AA29" s="9">
        <f t="shared" si="1"/>
        <v>38056</v>
      </c>
      <c r="AB29" s="9">
        <v>21</v>
      </c>
      <c r="AC29" s="9">
        <f t="shared" si="0"/>
        <v>799176</v>
      </c>
      <c r="AD29" s="52">
        <f>SUM(AC29:AC31)</f>
        <v>1135191</v>
      </c>
    </row>
    <row r="30" spans="1:30" x14ac:dyDescent="0.2">
      <c r="A30" s="12" t="s">
        <v>18</v>
      </c>
      <c r="B30" s="13" t="s">
        <v>9</v>
      </c>
      <c r="C30" s="14">
        <v>1055</v>
      </c>
      <c r="D30" s="14">
        <v>970</v>
      </c>
      <c r="E30" s="14">
        <v>925</v>
      </c>
      <c r="F30" s="14">
        <v>913</v>
      </c>
      <c r="G30" s="14">
        <v>950</v>
      </c>
      <c r="H30" s="14">
        <v>1081</v>
      </c>
      <c r="I30" s="14">
        <v>1209</v>
      </c>
      <c r="J30" s="14">
        <v>1443</v>
      </c>
      <c r="K30" s="14">
        <v>1589</v>
      </c>
      <c r="L30" s="14">
        <v>1652</v>
      </c>
      <c r="M30" s="14">
        <v>1751</v>
      </c>
      <c r="N30" s="14">
        <v>1783</v>
      </c>
      <c r="O30" s="14">
        <v>1669</v>
      </c>
      <c r="P30" s="14">
        <v>1604</v>
      </c>
      <c r="Q30" s="14">
        <v>1586</v>
      </c>
      <c r="R30" s="14">
        <v>1548</v>
      </c>
      <c r="S30" s="14">
        <v>1623</v>
      </c>
      <c r="T30" s="14">
        <v>1937</v>
      </c>
      <c r="U30" s="14">
        <v>2566</v>
      </c>
      <c r="V30" s="14">
        <v>2620</v>
      </c>
      <c r="W30" s="14">
        <v>2346</v>
      </c>
      <c r="X30" s="14">
        <v>2001</v>
      </c>
      <c r="Y30" s="14">
        <v>1630</v>
      </c>
      <c r="Z30" s="18">
        <v>1352</v>
      </c>
      <c r="AA30" s="16">
        <f t="shared" si="1"/>
        <v>37803</v>
      </c>
      <c r="AB30" s="16">
        <v>5</v>
      </c>
      <c r="AC30" s="16">
        <f t="shared" si="0"/>
        <v>189015</v>
      </c>
      <c r="AD30" s="53"/>
    </row>
    <row r="31" spans="1:30" ht="13.5" thickBot="1" x14ac:dyDescent="0.25">
      <c r="A31" s="19"/>
      <c r="B31" s="20" t="s">
        <v>10</v>
      </c>
      <c r="C31" s="21">
        <v>1118</v>
      </c>
      <c r="D31" s="21">
        <v>1034</v>
      </c>
      <c r="E31" s="21">
        <v>983</v>
      </c>
      <c r="F31" s="21">
        <v>952</v>
      </c>
      <c r="G31" s="21">
        <v>963</v>
      </c>
      <c r="H31" s="21">
        <v>1047</v>
      </c>
      <c r="I31" s="21">
        <v>1108</v>
      </c>
      <c r="J31" s="21">
        <v>1284</v>
      </c>
      <c r="K31" s="21">
        <v>1609</v>
      </c>
      <c r="L31" s="21">
        <v>1806</v>
      </c>
      <c r="M31" s="21">
        <v>1777</v>
      </c>
      <c r="N31" s="21">
        <v>1847</v>
      </c>
      <c r="O31" s="21">
        <v>1721</v>
      </c>
      <c r="P31" s="21">
        <v>1572</v>
      </c>
      <c r="Q31" s="21">
        <v>1490</v>
      </c>
      <c r="R31" s="21">
        <v>1439</v>
      </c>
      <c r="S31" s="21">
        <v>1411</v>
      </c>
      <c r="T31" s="21">
        <v>1646</v>
      </c>
      <c r="U31" s="21">
        <v>2335</v>
      </c>
      <c r="V31" s="21">
        <v>2554</v>
      </c>
      <c r="W31" s="21">
        <v>2360</v>
      </c>
      <c r="X31" s="21">
        <v>1959</v>
      </c>
      <c r="Y31" s="21">
        <v>1509</v>
      </c>
      <c r="Z31" s="25">
        <v>1226</v>
      </c>
      <c r="AA31" s="23">
        <f t="shared" si="1"/>
        <v>36750</v>
      </c>
      <c r="AB31" s="23">
        <v>4</v>
      </c>
      <c r="AC31" s="23">
        <f t="shared" si="0"/>
        <v>147000</v>
      </c>
      <c r="AD31" s="54"/>
    </row>
    <row r="32" spans="1:30" x14ac:dyDescent="0.2">
      <c r="A32" s="5"/>
      <c r="B32" s="6" t="s">
        <v>7</v>
      </c>
      <c r="C32" s="7">
        <v>1024</v>
      </c>
      <c r="D32" s="7">
        <v>957</v>
      </c>
      <c r="E32" s="7">
        <v>930</v>
      </c>
      <c r="F32" s="7">
        <v>923</v>
      </c>
      <c r="G32" s="7">
        <v>984</v>
      </c>
      <c r="H32" s="7">
        <v>1204</v>
      </c>
      <c r="I32" s="7">
        <v>1918</v>
      </c>
      <c r="J32" s="7">
        <v>1645</v>
      </c>
      <c r="K32" s="7">
        <v>1543</v>
      </c>
      <c r="L32" s="7">
        <v>1501</v>
      </c>
      <c r="M32" s="7">
        <v>1507</v>
      </c>
      <c r="N32" s="7">
        <v>1553</v>
      </c>
      <c r="O32" s="7">
        <v>1457</v>
      </c>
      <c r="P32" s="7">
        <v>1452</v>
      </c>
      <c r="Q32" s="7">
        <v>1497</v>
      </c>
      <c r="R32" s="7">
        <v>1483</v>
      </c>
      <c r="S32" s="7">
        <v>1543</v>
      </c>
      <c r="T32" s="7">
        <v>1885</v>
      </c>
      <c r="U32" s="7">
        <v>2665</v>
      </c>
      <c r="V32" s="7">
        <v>2699</v>
      </c>
      <c r="W32" s="7">
        <v>2456</v>
      </c>
      <c r="X32" s="7">
        <v>2078</v>
      </c>
      <c r="Y32" s="7">
        <v>1612</v>
      </c>
      <c r="Z32" s="11">
        <v>1272</v>
      </c>
      <c r="AA32" s="9">
        <f t="shared" si="1"/>
        <v>37788</v>
      </c>
      <c r="AB32" s="9">
        <v>21</v>
      </c>
      <c r="AC32" s="9">
        <f t="shared" si="0"/>
        <v>793548</v>
      </c>
      <c r="AD32" s="52">
        <f>SUM(AC32:AC34)</f>
        <v>1160698</v>
      </c>
    </row>
    <row r="33" spans="1:30" x14ac:dyDescent="0.2">
      <c r="A33" s="12" t="s">
        <v>19</v>
      </c>
      <c r="B33" s="13" t="s">
        <v>9</v>
      </c>
      <c r="C33" s="14">
        <v>1093</v>
      </c>
      <c r="D33" s="14">
        <v>1007</v>
      </c>
      <c r="E33" s="14">
        <v>965</v>
      </c>
      <c r="F33" s="14">
        <v>953</v>
      </c>
      <c r="G33" s="14">
        <v>993</v>
      </c>
      <c r="H33" s="14">
        <v>1101</v>
      </c>
      <c r="I33" s="14">
        <v>1203</v>
      </c>
      <c r="J33" s="14">
        <v>1424</v>
      </c>
      <c r="K33" s="14">
        <v>1595</v>
      </c>
      <c r="L33" s="14">
        <v>1684</v>
      </c>
      <c r="M33" s="14">
        <v>1738</v>
      </c>
      <c r="N33" s="14">
        <v>1819</v>
      </c>
      <c r="O33" s="14">
        <v>1704</v>
      </c>
      <c r="P33" s="14">
        <v>1654</v>
      </c>
      <c r="Q33" s="14">
        <v>1606</v>
      </c>
      <c r="R33" s="14">
        <v>1526</v>
      </c>
      <c r="S33" s="14">
        <v>1563</v>
      </c>
      <c r="T33" s="14">
        <v>1858</v>
      </c>
      <c r="U33" s="14">
        <v>2599</v>
      </c>
      <c r="V33" s="14">
        <v>2605</v>
      </c>
      <c r="W33" s="14">
        <v>2369</v>
      </c>
      <c r="X33" s="14">
        <v>2028</v>
      </c>
      <c r="Y33" s="14">
        <v>1646</v>
      </c>
      <c r="Z33" s="18">
        <v>1350</v>
      </c>
      <c r="AA33" s="16">
        <f t="shared" si="1"/>
        <v>38083</v>
      </c>
      <c r="AB33" s="16">
        <v>4</v>
      </c>
      <c r="AC33" s="16">
        <f t="shared" si="0"/>
        <v>152332</v>
      </c>
      <c r="AD33" s="53"/>
    </row>
    <row r="34" spans="1:30" ht="13.5" thickBot="1" x14ac:dyDescent="0.25">
      <c r="A34" s="19"/>
      <c r="B34" s="20" t="s">
        <v>10</v>
      </c>
      <c r="C34" s="21">
        <v>1085</v>
      </c>
      <c r="D34" s="21">
        <v>992</v>
      </c>
      <c r="E34" s="21">
        <v>942</v>
      </c>
      <c r="F34" s="21">
        <v>918</v>
      </c>
      <c r="G34" s="21">
        <v>943</v>
      </c>
      <c r="H34" s="21">
        <v>1072</v>
      </c>
      <c r="I34" s="21">
        <v>1187</v>
      </c>
      <c r="J34" s="21">
        <v>1301</v>
      </c>
      <c r="K34" s="21">
        <v>1568</v>
      </c>
      <c r="L34" s="21">
        <v>1719</v>
      </c>
      <c r="M34" s="21">
        <v>1728</v>
      </c>
      <c r="N34" s="21">
        <v>1718</v>
      </c>
      <c r="O34" s="21">
        <v>1604</v>
      </c>
      <c r="P34" s="21">
        <v>1479</v>
      </c>
      <c r="Q34" s="21">
        <v>1391</v>
      </c>
      <c r="R34" s="21">
        <v>1340</v>
      </c>
      <c r="S34" s="21">
        <v>1395</v>
      </c>
      <c r="T34" s="21">
        <v>1703</v>
      </c>
      <c r="U34" s="21">
        <v>2378</v>
      </c>
      <c r="V34" s="21">
        <v>2441</v>
      </c>
      <c r="W34" s="21">
        <v>2255</v>
      </c>
      <c r="X34" s="21">
        <v>1899</v>
      </c>
      <c r="Y34" s="21">
        <v>1510</v>
      </c>
      <c r="Z34" s="25">
        <v>1235</v>
      </c>
      <c r="AA34" s="23">
        <f t="shared" si="1"/>
        <v>35803</v>
      </c>
      <c r="AB34" s="23">
        <v>6</v>
      </c>
      <c r="AC34" s="23">
        <f t="shared" si="0"/>
        <v>214818</v>
      </c>
      <c r="AD34" s="54"/>
    </row>
    <row r="35" spans="1:30" x14ac:dyDescent="0.2">
      <c r="A35" s="5"/>
      <c r="B35" s="6" t="s">
        <v>7</v>
      </c>
      <c r="C35" s="7">
        <v>997</v>
      </c>
      <c r="D35" s="7">
        <v>933</v>
      </c>
      <c r="E35" s="7">
        <v>906</v>
      </c>
      <c r="F35" s="7">
        <v>902</v>
      </c>
      <c r="G35" s="7">
        <v>973</v>
      </c>
      <c r="H35" s="7">
        <v>1283</v>
      </c>
      <c r="I35" s="7">
        <v>2069</v>
      </c>
      <c r="J35" s="7">
        <v>1603</v>
      </c>
      <c r="K35" s="7">
        <v>1482</v>
      </c>
      <c r="L35" s="7">
        <v>1432</v>
      </c>
      <c r="M35" s="7">
        <v>1435</v>
      </c>
      <c r="N35" s="7">
        <v>1482</v>
      </c>
      <c r="O35" s="7">
        <v>1383</v>
      </c>
      <c r="P35" s="7">
        <v>1389</v>
      </c>
      <c r="Q35" s="7">
        <v>1439</v>
      </c>
      <c r="R35" s="7">
        <v>1457</v>
      </c>
      <c r="S35" s="7">
        <v>1559</v>
      </c>
      <c r="T35" s="7">
        <v>1938</v>
      </c>
      <c r="U35" s="7">
        <v>2797</v>
      </c>
      <c r="V35" s="7">
        <v>2780</v>
      </c>
      <c r="W35" s="7">
        <v>2515</v>
      </c>
      <c r="X35" s="7">
        <v>2078</v>
      </c>
      <c r="Y35" s="7">
        <v>1573</v>
      </c>
      <c r="Z35" s="11">
        <v>1239</v>
      </c>
      <c r="AA35" s="9">
        <f t="shared" si="1"/>
        <v>37644</v>
      </c>
      <c r="AB35" s="9">
        <v>20</v>
      </c>
      <c r="AC35" s="9">
        <f t="shared" si="0"/>
        <v>752880</v>
      </c>
      <c r="AD35" s="52">
        <f>SUM(AC35:AC37)</f>
        <v>1125240</v>
      </c>
    </row>
    <row r="36" spans="1:30" x14ac:dyDescent="0.2">
      <c r="A36" s="12" t="s">
        <v>20</v>
      </c>
      <c r="B36" s="13" t="s">
        <v>9</v>
      </c>
      <c r="C36" s="14">
        <v>1058</v>
      </c>
      <c r="D36" s="14">
        <v>975</v>
      </c>
      <c r="E36" s="14">
        <v>931</v>
      </c>
      <c r="F36" s="14">
        <v>914</v>
      </c>
      <c r="G36" s="14">
        <v>970</v>
      </c>
      <c r="H36" s="14">
        <v>1097</v>
      </c>
      <c r="I36" s="14">
        <v>1184</v>
      </c>
      <c r="J36" s="14">
        <v>1325</v>
      </c>
      <c r="K36" s="14">
        <v>1489</v>
      </c>
      <c r="L36" s="14">
        <v>1535</v>
      </c>
      <c r="M36" s="14">
        <v>1617</v>
      </c>
      <c r="N36" s="14">
        <v>1670</v>
      </c>
      <c r="O36" s="14">
        <v>1625</v>
      </c>
      <c r="P36" s="14">
        <v>1577</v>
      </c>
      <c r="Q36" s="14">
        <v>1575</v>
      </c>
      <c r="R36" s="14">
        <v>1540</v>
      </c>
      <c r="S36" s="14">
        <v>1554</v>
      </c>
      <c r="T36" s="14">
        <v>1877</v>
      </c>
      <c r="U36" s="14">
        <v>2752</v>
      </c>
      <c r="V36" s="14">
        <v>2720</v>
      </c>
      <c r="W36" s="14">
        <v>2433</v>
      </c>
      <c r="X36" s="14">
        <v>2055</v>
      </c>
      <c r="Y36" s="14">
        <v>1639</v>
      </c>
      <c r="Z36" s="18">
        <v>1331</v>
      </c>
      <c r="AA36" s="16">
        <f t="shared" si="1"/>
        <v>37443</v>
      </c>
      <c r="AB36" s="16">
        <v>4</v>
      </c>
      <c r="AC36" s="16">
        <f t="shared" si="0"/>
        <v>149772</v>
      </c>
      <c r="AD36" s="53"/>
    </row>
    <row r="37" spans="1:30" ht="13.5" thickBot="1" x14ac:dyDescent="0.25">
      <c r="A37" s="19"/>
      <c r="B37" s="20" t="s">
        <v>10</v>
      </c>
      <c r="C37" s="21">
        <v>1094</v>
      </c>
      <c r="D37" s="21">
        <v>1011</v>
      </c>
      <c r="E37" s="21">
        <v>964</v>
      </c>
      <c r="F37" s="21">
        <v>940</v>
      </c>
      <c r="G37" s="21">
        <v>962</v>
      </c>
      <c r="H37" s="21">
        <v>1059</v>
      </c>
      <c r="I37" s="21">
        <v>1142</v>
      </c>
      <c r="J37" s="21">
        <v>1320</v>
      </c>
      <c r="K37" s="21">
        <v>1561</v>
      </c>
      <c r="L37" s="21">
        <v>1659</v>
      </c>
      <c r="M37" s="21">
        <v>1717</v>
      </c>
      <c r="N37" s="21">
        <v>1730</v>
      </c>
      <c r="O37" s="21">
        <v>1616</v>
      </c>
      <c r="P37" s="21">
        <v>1523</v>
      </c>
      <c r="Q37" s="21">
        <v>1506</v>
      </c>
      <c r="R37" s="21">
        <v>1468</v>
      </c>
      <c r="S37" s="21">
        <v>1556</v>
      </c>
      <c r="T37" s="21">
        <v>1921</v>
      </c>
      <c r="U37" s="21">
        <v>2679</v>
      </c>
      <c r="V37" s="21">
        <v>2606</v>
      </c>
      <c r="W37" s="21">
        <v>2357</v>
      </c>
      <c r="X37" s="21">
        <v>1955</v>
      </c>
      <c r="Y37" s="21">
        <v>1517</v>
      </c>
      <c r="Z37" s="25">
        <v>1235</v>
      </c>
      <c r="AA37" s="23">
        <f t="shared" si="1"/>
        <v>37098</v>
      </c>
      <c r="AB37" s="23">
        <v>6</v>
      </c>
      <c r="AC37" s="23">
        <f t="shared" si="0"/>
        <v>222588</v>
      </c>
      <c r="AD37" s="54"/>
    </row>
    <row r="38" spans="1:30" x14ac:dyDescent="0.2">
      <c r="A38" s="5"/>
      <c r="B38" s="6" t="s">
        <v>7</v>
      </c>
      <c r="C38" s="7">
        <v>1042</v>
      </c>
      <c r="D38" s="7">
        <v>963</v>
      </c>
      <c r="E38" s="7">
        <v>932</v>
      </c>
      <c r="F38" s="7">
        <v>928</v>
      </c>
      <c r="G38" s="7">
        <v>1031</v>
      </c>
      <c r="H38" s="7">
        <v>1163</v>
      </c>
      <c r="I38" s="7">
        <v>1340</v>
      </c>
      <c r="J38" s="7">
        <v>1498</v>
      </c>
      <c r="K38" s="7">
        <v>1578</v>
      </c>
      <c r="L38" s="7">
        <v>1611</v>
      </c>
      <c r="M38" s="7">
        <v>1664</v>
      </c>
      <c r="N38" s="7">
        <v>1738</v>
      </c>
      <c r="O38" s="7">
        <v>1636</v>
      </c>
      <c r="P38" s="7">
        <v>1582</v>
      </c>
      <c r="Q38" s="7">
        <v>1580</v>
      </c>
      <c r="R38" s="7">
        <v>1577</v>
      </c>
      <c r="S38" s="7">
        <v>1638</v>
      </c>
      <c r="T38" s="7">
        <v>1955</v>
      </c>
      <c r="U38" s="7">
        <v>2691</v>
      </c>
      <c r="V38" s="7">
        <v>2810</v>
      </c>
      <c r="W38" s="7">
        <v>2561</v>
      </c>
      <c r="X38" s="7">
        <v>2203</v>
      </c>
      <c r="Y38" s="7">
        <v>1735</v>
      </c>
      <c r="Z38" s="11">
        <v>1374</v>
      </c>
      <c r="AA38" s="9">
        <f t="shared" si="1"/>
        <v>38830</v>
      </c>
      <c r="AB38" s="9">
        <v>19</v>
      </c>
      <c r="AC38" s="9">
        <f t="shared" si="0"/>
        <v>737770</v>
      </c>
      <c r="AD38" s="52">
        <f>SUM(AC38:AC40)</f>
        <v>1192846</v>
      </c>
    </row>
    <row r="39" spans="1:30" x14ac:dyDescent="0.2">
      <c r="A39" s="12" t="s">
        <v>21</v>
      </c>
      <c r="B39" s="13" t="s">
        <v>9</v>
      </c>
      <c r="C39" s="14">
        <v>1098</v>
      </c>
      <c r="D39" s="14">
        <v>1011</v>
      </c>
      <c r="E39" s="14">
        <v>959</v>
      </c>
      <c r="F39" s="14">
        <v>945</v>
      </c>
      <c r="G39" s="14">
        <v>1034</v>
      </c>
      <c r="H39" s="14">
        <v>1135</v>
      </c>
      <c r="I39" s="14">
        <v>1202</v>
      </c>
      <c r="J39" s="14">
        <v>1390</v>
      </c>
      <c r="K39" s="14">
        <v>1538</v>
      </c>
      <c r="L39" s="14">
        <v>1615</v>
      </c>
      <c r="M39" s="14">
        <v>1682</v>
      </c>
      <c r="N39" s="14">
        <v>1743</v>
      </c>
      <c r="O39" s="14">
        <v>1690</v>
      </c>
      <c r="P39" s="14">
        <v>1605</v>
      </c>
      <c r="Q39" s="14">
        <v>1605</v>
      </c>
      <c r="R39" s="14">
        <v>1564</v>
      </c>
      <c r="S39" s="14">
        <v>1678</v>
      </c>
      <c r="T39" s="14">
        <v>1965</v>
      </c>
      <c r="U39" s="14">
        <v>2627</v>
      </c>
      <c r="V39" s="14">
        <v>2773</v>
      </c>
      <c r="W39" s="14">
        <v>2515</v>
      </c>
      <c r="X39" s="14">
        <v>2182</v>
      </c>
      <c r="Y39" s="14">
        <v>1774</v>
      </c>
      <c r="Z39" s="18">
        <v>1440</v>
      </c>
      <c r="AA39" s="16">
        <f t="shared" si="1"/>
        <v>38770</v>
      </c>
      <c r="AB39" s="16">
        <v>5</v>
      </c>
      <c r="AC39" s="16">
        <f t="shared" si="0"/>
        <v>193850</v>
      </c>
      <c r="AD39" s="53"/>
    </row>
    <row r="40" spans="1:30" ht="13.5" thickBot="1" x14ac:dyDescent="0.25">
      <c r="A40" s="19"/>
      <c r="B40" s="20" t="s">
        <v>10</v>
      </c>
      <c r="C40" s="21">
        <v>1160</v>
      </c>
      <c r="D40" s="21">
        <v>1053</v>
      </c>
      <c r="E40" s="21">
        <v>993</v>
      </c>
      <c r="F40" s="21">
        <v>963</v>
      </c>
      <c r="G40" s="21">
        <v>1020</v>
      </c>
      <c r="H40" s="21">
        <v>1076</v>
      </c>
      <c r="I40" s="21">
        <v>1108</v>
      </c>
      <c r="J40" s="21">
        <v>1282</v>
      </c>
      <c r="K40" s="21">
        <v>1551</v>
      </c>
      <c r="L40" s="21">
        <v>1693</v>
      </c>
      <c r="M40" s="21">
        <v>1687</v>
      </c>
      <c r="N40" s="21">
        <v>1740</v>
      </c>
      <c r="O40" s="21">
        <v>1707</v>
      </c>
      <c r="P40" s="21">
        <v>1567</v>
      </c>
      <c r="Q40" s="21">
        <v>1509</v>
      </c>
      <c r="R40" s="21">
        <v>1461</v>
      </c>
      <c r="S40" s="21">
        <v>1472</v>
      </c>
      <c r="T40" s="21">
        <v>1761</v>
      </c>
      <c r="U40" s="21">
        <v>2431</v>
      </c>
      <c r="V40" s="21">
        <v>2619</v>
      </c>
      <c r="W40" s="21">
        <v>2416</v>
      </c>
      <c r="X40" s="21">
        <v>2071</v>
      </c>
      <c r="Y40" s="21">
        <v>1650</v>
      </c>
      <c r="Z40" s="25">
        <v>1328</v>
      </c>
      <c r="AA40" s="23">
        <f t="shared" si="1"/>
        <v>37318</v>
      </c>
      <c r="AB40" s="23">
        <v>7</v>
      </c>
      <c r="AC40" s="23">
        <f t="shared" si="0"/>
        <v>261226</v>
      </c>
      <c r="AD40" s="54"/>
    </row>
    <row r="41" spans="1:30" x14ac:dyDescent="0.2">
      <c r="AB41" s="26"/>
      <c r="AD41" s="26"/>
    </row>
    <row r="43" spans="1:30" x14ac:dyDescent="0.2">
      <c r="AC43" s="26"/>
      <c r="AD43" s="26"/>
    </row>
  </sheetData>
  <mergeCells count="17">
    <mergeCell ref="AD23:AD25"/>
    <mergeCell ref="A1:AD1"/>
    <mergeCell ref="C3:Z3"/>
    <mergeCell ref="AA3:AA4"/>
    <mergeCell ref="AB3:AB4"/>
    <mergeCell ref="AC3:AD4"/>
    <mergeCell ref="AD5:AD7"/>
    <mergeCell ref="AD8:AD10"/>
    <mergeCell ref="AD11:AD13"/>
    <mergeCell ref="AD14:AD16"/>
    <mergeCell ref="AD17:AD19"/>
    <mergeCell ref="AD20:AD22"/>
    <mergeCell ref="AD26:AD28"/>
    <mergeCell ref="AD29:AD31"/>
    <mergeCell ref="AD32:AD34"/>
    <mergeCell ref="AD35:AD37"/>
    <mergeCell ref="AD38:AD40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sqref="A1:AD40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7.5703125" customWidth="1"/>
    <col min="30" max="30" width="10.140625" bestFit="1" customWidth="1"/>
  </cols>
  <sheetData>
    <row r="1" spans="1:30" x14ac:dyDescent="0.2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3.5" thickBot="1" x14ac:dyDescent="0.25"/>
    <row r="3" spans="1:30" ht="13.9" customHeight="1" thickBot="1" x14ac:dyDescent="0.25">
      <c r="A3" s="1" t="s">
        <v>0</v>
      </c>
      <c r="B3" s="2" t="s">
        <v>1</v>
      </c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59" t="s">
        <v>3</v>
      </c>
      <c r="AB3" s="59" t="s">
        <v>4</v>
      </c>
      <c r="AC3" s="62" t="s">
        <v>5</v>
      </c>
      <c r="AD3" s="63"/>
    </row>
    <row r="4" spans="1:30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0"/>
      <c r="AB4" s="61"/>
      <c r="AC4" s="64"/>
      <c r="AD4" s="65"/>
    </row>
    <row r="5" spans="1:30" x14ac:dyDescent="0.2">
      <c r="A5" s="5"/>
      <c r="B5" s="6" t="s">
        <v>7</v>
      </c>
      <c r="C5" s="7">
        <v>1091</v>
      </c>
      <c r="D5" s="7">
        <v>1008</v>
      </c>
      <c r="E5" s="7">
        <v>972</v>
      </c>
      <c r="F5" s="7">
        <v>962</v>
      </c>
      <c r="G5" s="7">
        <v>1015</v>
      </c>
      <c r="H5" s="7">
        <v>1196</v>
      </c>
      <c r="I5" s="7">
        <v>1412</v>
      </c>
      <c r="J5" s="7">
        <v>1582</v>
      </c>
      <c r="K5" s="7">
        <v>1648</v>
      </c>
      <c r="L5" s="7">
        <v>1734</v>
      </c>
      <c r="M5" s="7">
        <v>1829</v>
      </c>
      <c r="N5" s="7">
        <v>1880</v>
      </c>
      <c r="O5" s="7">
        <v>1753</v>
      </c>
      <c r="P5" s="7">
        <v>1648</v>
      </c>
      <c r="Q5" s="7">
        <v>1643</v>
      </c>
      <c r="R5" s="7">
        <v>1621</v>
      </c>
      <c r="S5" s="7">
        <v>1657</v>
      </c>
      <c r="T5" s="7">
        <v>1930</v>
      </c>
      <c r="U5" s="7">
        <v>2492</v>
      </c>
      <c r="V5" s="7">
        <v>2917</v>
      </c>
      <c r="W5" s="7">
        <v>2676</v>
      </c>
      <c r="X5" s="7">
        <v>2251</v>
      </c>
      <c r="Y5" s="7">
        <v>1731</v>
      </c>
      <c r="Z5" s="8">
        <v>1352</v>
      </c>
      <c r="AA5" s="9">
        <f>SUM(C5:Z5)</f>
        <v>40000</v>
      </c>
      <c r="AB5" s="9">
        <v>21</v>
      </c>
      <c r="AC5" s="10">
        <f t="shared" ref="AC5:AC40" si="0">AA5*AB5</f>
        <v>840000</v>
      </c>
      <c r="AD5" s="52">
        <f>SUM(AC5:AC7)</f>
        <v>1230516</v>
      </c>
    </row>
    <row r="6" spans="1:30" x14ac:dyDescent="0.2">
      <c r="A6" s="12" t="s">
        <v>8</v>
      </c>
      <c r="B6" s="13" t="s">
        <v>9</v>
      </c>
      <c r="C6" s="14">
        <v>1136</v>
      </c>
      <c r="D6" s="14">
        <v>1040</v>
      </c>
      <c r="E6" s="14">
        <v>987</v>
      </c>
      <c r="F6" s="14">
        <v>962</v>
      </c>
      <c r="G6" s="14">
        <v>998</v>
      </c>
      <c r="H6" s="14">
        <v>1142</v>
      </c>
      <c r="I6" s="14">
        <v>1218</v>
      </c>
      <c r="J6" s="14">
        <v>1383</v>
      </c>
      <c r="K6" s="14">
        <v>1536</v>
      </c>
      <c r="L6" s="14">
        <v>1638</v>
      </c>
      <c r="M6" s="14">
        <v>1767</v>
      </c>
      <c r="N6" s="14">
        <v>1826</v>
      </c>
      <c r="O6" s="14">
        <v>1771</v>
      </c>
      <c r="P6" s="14">
        <v>1597</v>
      </c>
      <c r="Q6" s="14">
        <v>1543</v>
      </c>
      <c r="R6" s="14">
        <v>1553</v>
      </c>
      <c r="S6" s="14">
        <v>1587</v>
      </c>
      <c r="T6" s="14">
        <v>1871</v>
      </c>
      <c r="U6" s="14">
        <v>2605</v>
      </c>
      <c r="V6" s="14">
        <v>2928</v>
      </c>
      <c r="W6" s="14">
        <v>2676</v>
      </c>
      <c r="X6" s="14">
        <v>2278</v>
      </c>
      <c r="Y6" s="14">
        <v>1844</v>
      </c>
      <c r="Z6" s="15">
        <v>1507</v>
      </c>
      <c r="AA6" s="16">
        <f>SUM(C6:Z6)</f>
        <v>39393</v>
      </c>
      <c r="AB6" s="16">
        <v>4</v>
      </c>
      <c r="AC6" s="17">
        <f t="shared" si="0"/>
        <v>157572</v>
      </c>
      <c r="AD6" s="53"/>
    </row>
    <row r="7" spans="1:30" ht="13.5" thickBot="1" x14ac:dyDescent="0.25">
      <c r="A7" s="19"/>
      <c r="B7" s="20" t="s">
        <v>10</v>
      </c>
      <c r="C7" s="21">
        <v>1321</v>
      </c>
      <c r="D7" s="21">
        <v>1232</v>
      </c>
      <c r="E7" s="21">
        <v>1191</v>
      </c>
      <c r="F7" s="21">
        <v>1117</v>
      </c>
      <c r="G7" s="21">
        <v>1068</v>
      </c>
      <c r="H7" s="21">
        <v>1118</v>
      </c>
      <c r="I7" s="21">
        <v>1090</v>
      </c>
      <c r="J7" s="21">
        <v>1229</v>
      </c>
      <c r="K7" s="21">
        <v>1546</v>
      </c>
      <c r="L7" s="21">
        <v>1853</v>
      </c>
      <c r="M7" s="21">
        <v>1968</v>
      </c>
      <c r="N7" s="21">
        <v>2017</v>
      </c>
      <c r="O7" s="21">
        <v>1808</v>
      </c>
      <c r="P7" s="21">
        <v>1584</v>
      </c>
      <c r="Q7" s="21">
        <v>1448</v>
      </c>
      <c r="R7" s="21">
        <v>1432</v>
      </c>
      <c r="S7" s="21">
        <v>1399</v>
      </c>
      <c r="T7" s="21">
        <v>1661</v>
      </c>
      <c r="U7" s="21">
        <v>2276</v>
      </c>
      <c r="V7" s="21">
        <v>2719</v>
      </c>
      <c r="W7" s="21">
        <v>2495</v>
      </c>
      <c r="X7" s="21">
        <v>2119</v>
      </c>
      <c r="Y7" s="21">
        <v>1718</v>
      </c>
      <c r="Z7" s="22">
        <v>1415</v>
      </c>
      <c r="AA7" s="23">
        <f>SUM(C7:Z7)</f>
        <v>38824</v>
      </c>
      <c r="AB7" s="23">
        <v>6</v>
      </c>
      <c r="AC7" s="24">
        <f t="shared" si="0"/>
        <v>232944</v>
      </c>
      <c r="AD7" s="54"/>
    </row>
    <row r="8" spans="1:30" x14ac:dyDescent="0.2">
      <c r="A8" s="5"/>
      <c r="B8" s="6" t="s">
        <v>7</v>
      </c>
      <c r="C8" s="7">
        <v>1047</v>
      </c>
      <c r="D8" s="7">
        <v>985</v>
      </c>
      <c r="E8" s="7">
        <v>962</v>
      </c>
      <c r="F8" s="7">
        <v>958</v>
      </c>
      <c r="G8" s="7">
        <v>1035</v>
      </c>
      <c r="H8" s="7">
        <v>1378</v>
      </c>
      <c r="I8" s="7">
        <v>2291</v>
      </c>
      <c r="J8" s="7">
        <v>1712</v>
      </c>
      <c r="K8" s="7">
        <v>1555</v>
      </c>
      <c r="L8" s="7">
        <v>1524</v>
      </c>
      <c r="M8" s="7">
        <v>1527</v>
      </c>
      <c r="N8" s="7">
        <v>1578</v>
      </c>
      <c r="O8" s="7">
        <v>1483</v>
      </c>
      <c r="P8" s="7">
        <v>1469</v>
      </c>
      <c r="Q8" s="7">
        <v>1522</v>
      </c>
      <c r="R8" s="7">
        <v>1513</v>
      </c>
      <c r="S8" s="7">
        <v>1564</v>
      </c>
      <c r="T8" s="7">
        <v>1823</v>
      </c>
      <c r="U8" s="7">
        <v>2434</v>
      </c>
      <c r="V8" s="7">
        <v>2917</v>
      </c>
      <c r="W8" s="7">
        <v>2652</v>
      </c>
      <c r="X8" s="7">
        <v>2215</v>
      </c>
      <c r="Y8" s="7">
        <v>1660</v>
      </c>
      <c r="Z8" s="11">
        <v>1290</v>
      </c>
      <c r="AA8" s="9">
        <f>SUM(C8:Z8)</f>
        <v>39094</v>
      </c>
      <c r="AB8" s="9">
        <v>20</v>
      </c>
      <c r="AC8" s="9">
        <f t="shared" si="0"/>
        <v>781880</v>
      </c>
      <c r="AD8" s="52">
        <f>SUM(AC8:AC10)</f>
        <v>1089172</v>
      </c>
    </row>
    <row r="9" spans="1:30" x14ac:dyDescent="0.2">
      <c r="A9" s="12" t="s">
        <v>11</v>
      </c>
      <c r="B9" s="13" t="s">
        <v>9</v>
      </c>
      <c r="C9" s="14">
        <v>1082</v>
      </c>
      <c r="D9" s="14">
        <v>1002</v>
      </c>
      <c r="E9" s="14">
        <v>968</v>
      </c>
      <c r="F9" s="14">
        <v>960</v>
      </c>
      <c r="G9" s="14">
        <v>1009</v>
      </c>
      <c r="H9" s="14">
        <v>1155</v>
      </c>
      <c r="I9" s="14">
        <v>1271</v>
      </c>
      <c r="J9" s="14">
        <v>1396</v>
      </c>
      <c r="K9" s="14">
        <v>1573</v>
      </c>
      <c r="L9" s="14">
        <v>1676</v>
      </c>
      <c r="M9" s="14">
        <v>1753</v>
      </c>
      <c r="N9" s="14">
        <v>1776</v>
      </c>
      <c r="O9" s="14">
        <v>1704</v>
      </c>
      <c r="P9" s="14">
        <v>1630</v>
      </c>
      <c r="Q9" s="14">
        <v>1641</v>
      </c>
      <c r="R9" s="14">
        <v>1614</v>
      </c>
      <c r="S9" s="14">
        <v>1631</v>
      </c>
      <c r="T9" s="14">
        <v>1784</v>
      </c>
      <c r="U9" s="14">
        <v>2329</v>
      </c>
      <c r="V9" s="14">
        <v>2854</v>
      </c>
      <c r="W9" s="14">
        <v>2610</v>
      </c>
      <c r="X9" s="14">
        <v>2200</v>
      </c>
      <c r="Y9" s="14">
        <v>1717</v>
      </c>
      <c r="Z9" s="18">
        <v>1378</v>
      </c>
      <c r="AA9" s="16">
        <f t="shared" ref="AA9:AA40" si="1">SUM(C9:Z9)</f>
        <v>38713</v>
      </c>
      <c r="AB9" s="16">
        <v>4</v>
      </c>
      <c r="AC9" s="16">
        <f t="shared" si="0"/>
        <v>154852</v>
      </c>
      <c r="AD9" s="53"/>
    </row>
    <row r="10" spans="1:30" ht="13.5" thickBot="1" x14ac:dyDescent="0.25">
      <c r="A10" s="19"/>
      <c r="B10" s="20" t="s">
        <v>10</v>
      </c>
      <c r="C10" s="21">
        <v>1134</v>
      </c>
      <c r="D10" s="21">
        <v>1048</v>
      </c>
      <c r="E10" s="21">
        <v>1002</v>
      </c>
      <c r="F10" s="21">
        <v>977</v>
      </c>
      <c r="G10" s="21">
        <v>1001</v>
      </c>
      <c r="H10" s="21">
        <v>1133</v>
      </c>
      <c r="I10" s="21">
        <v>1207</v>
      </c>
      <c r="J10" s="21">
        <v>1336</v>
      </c>
      <c r="K10" s="21">
        <v>1644</v>
      </c>
      <c r="L10" s="21">
        <v>1827</v>
      </c>
      <c r="M10" s="21">
        <v>1794</v>
      </c>
      <c r="N10" s="21">
        <v>1824</v>
      </c>
      <c r="O10" s="21">
        <v>1721</v>
      </c>
      <c r="P10" s="21">
        <v>1593</v>
      </c>
      <c r="Q10" s="21">
        <v>1560</v>
      </c>
      <c r="R10" s="21">
        <v>1505</v>
      </c>
      <c r="S10" s="21">
        <v>1492</v>
      </c>
      <c r="T10" s="21">
        <v>1746</v>
      </c>
      <c r="U10" s="21">
        <v>2293</v>
      </c>
      <c r="V10" s="21">
        <v>2730</v>
      </c>
      <c r="W10" s="21">
        <v>2541</v>
      </c>
      <c r="X10" s="21">
        <v>2113</v>
      </c>
      <c r="Y10" s="21">
        <v>1610</v>
      </c>
      <c r="Z10" s="25">
        <v>1279</v>
      </c>
      <c r="AA10" s="23">
        <f t="shared" si="1"/>
        <v>38110</v>
      </c>
      <c r="AB10" s="23">
        <v>4</v>
      </c>
      <c r="AC10" s="23">
        <f t="shared" si="0"/>
        <v>152440</v>
      </c>
      <c r="AD10" s="54"/>
    </row>
    <row r="11" spans="1:30" x14ac:dyDescent="0.2">
      <c r="A11" s="5"/>
      <c r="B11" s="6" t="s">
        <v>7</v>
      </c>
      <c r="C11" s="7">
        <v>1003</v>
      </c>
      <c r="D11" s="7">
        <v>933</v>
      </c>
      <c r="E11" s="7">
        <v>907</v>
      </c>
      <c r="F11" s="7">
        <v>897</v>
      </c>
      <c r="G11" s="7">
        <v>958</v>
      </c>
      <c r="H11" s="7">
        <v>1290</v>
      </c>
      <c r="I11" s="7">
        <v>2164</v>
      </c>
      <c r="J11" s="7">
        <v>1689</v>
      </c>
      <c r="K11" s="7">
        <v>1569</v>
      </c>
      <c r="L11" s="7">
        <v>1546</v>
      </c>
      <c r="M11" s="7">
        <v>1531</v>
      </c>
      <c r="N11" s="7">
        <v>1580</v>
      </c>
      <c r="O11" s="7">
        <v>1499</v>
      </c>
      <c r="P11" s="7">
        <v>1482</v>
      </c>
      <c r="Q11" s="7">
        <v>1525</v>
      </c>
      <c r="R11" s="7">
        <v>1500</v>
      </c>
      <c r="S11" s="7">
        <v>1557</v>
      </c>
      <c r="T11" s="7">
        <v>1826</v>
      </c>
      <c r="U11" s="7">
        <v>2490</v>
      </c>
      <c r="V11" s="7">
        <v>2884</v>
      </c>
      <c r="W11" s="7">
        <v>2614</v>
      </c>
      <c r="X11" s="7">
        <v>2194</v>
      </c>
      <c r="Y11" s="7">
        <v>1629</v>
      </c>
      <c r="Z11" s="11">
        <v>1251</v>
      </c>
      <c r="AA11" s="9">
        <f t="shared" si="1"/>
        <v>38518</v>
      </c>
      <c r="AB11" s="9">
        <v>19</v>
      </c>
      <c r="AC11" s="9">
        <f t="shared" si="0"/>
        <v>731842</v>
      </c>
      <c r="AD11" s="52">
        <f>SUM(AC11:AC13)</f>
        <v>1187344</v>
      </c>
    </row>
    <row r="12" spans="1:30" x14ac:dyDescent="0.2">
      <c r="A12" s="12" t="s">
        <v>12</v>
      </c>
      <c r="B12" s="13" t="s">
        <v>9</v>
      </c>
      <c r="C12" s="14">
        <v>1045</v>
      </c>
      <c r="D12" s="14">
        <v>961</v>
      </c>
      <c r="E12" s="14">
        <v>919</v>
      </c>
      <c r="F12" s="14">
        <v>912</v>
      </c>
      <c r="G12" s="14">
        <v>955</v>
      </c>
      <c r="H12" s="14">
        <v>1110</v>
      </c>
      <c r="I12" s="14">
        <v>1203</v>
      </c>
      <c r="J12" s="14">
        <v>1421</v>
      </c>
      <c r="K12" s="14">
        <v>1574</v>
      </c>
      <c r="L12" s="14">
        <v>1651</v>
      </c>
      <c r="M12" s="14">
        <v>1697</v>
      </c>
      <c r="N12" s="14">
        <v>1770</v>
      </c>
      <c r="O12" s="14">
        <v>1719</v>
      </c>
      <c r="P12" s="14">
        <v>1652</v>
      </c>
      <c r="Q12" s="14">
        <v>1648</v>
      </c>
      <c r="R12" s="14">
        <v>1581</v>
      </c>
      <c r="S12" s="14">
        <v>1613</v>
      </c>
      <c r="T12" s="14">
        <v>1891</v>
      </c>
      <c r="U12" s="14">
        <v>2560</v>
      </c>
      <c r="V12" s="14">
        <v>2828</v>
      </c>
      <c r="W12" s="14">
        <v>2581</v>
      </c>
      <c r="X12" s="14">
        <v>2176</v>
      </c>
      <c r="Y12" s="14">
        <v>1705</v>
      </c>
      <c r="Z12" s="18">
        <v>1371</v>
      </c>
      <c r="AA12" s="16">
        <f t="shared" si="1"/>
        <v>38543</v>
      </c>
      <c r="AB12" s="16">
        <v>5</v>
      </c>
      <c r="AC12" s="16">
        <f t="shared" si="0"/>
        <v>192715</v>
      </c>
      <c r="AD12" s="53"/>
    </row>
    <row r="13" spans="1:30" ht="13.5" thickBot="1" x14ac:dyDescent="0.25">
      <c r="A13" s="19"/>
      <c r="B13" s="20" t="s">
        <v>10</v>
      </c>
      <c r="C13" s="21">
        <v>1128</v>
      </c>
      <c r="D13" s="21">
        <v>1029</v>
      </c>
      <c r="E13" s="21">
        <v>979</v>
      </c>
      <c r="F13" s="21">
        <v>948</v>
      </c>
      <c r="G13" s="21">
        <v>964</v>
      </c>
      <c r="H13" s="21">
        <v>1101</v>
      </c>
      <c r="I13" s="21">
        <v>1186</v>
      </c>
      <c r="J13" s="21">
        <v>1334</v>
      </c>
      <c r="K13" s="21">
        <v>1604</v>
      </c>
      <c r="L13" s="21">
        <v>1797</v>
      </c>
      <c r="M13" s="21">
        <v>1765</v>
      </c>
      <c r="N13" s="21">
        <v>1827</v>
      </c>
      <c r="O13" s="21">
        <v>1753</v>
      </c>
      <c r="P13" s="21">
        <v>1588</v>
      </c>
      <c r="Q13" s="21">
        <v>1523</v>
      </c>
      <c r="R13" s="21">
        <v>1468</v>
      </c>
      <c r="S13" s="21">
        <v>1450</v>
      </c>
      <c r="T13" s="21">
        <v>1660</v>
      </c>
      <c r="U13" s="21">
        <v>2313</v>
      </c>
      <c r="V13" s="21">
        <v>2713</v>
      </c>
      <c r="W13" s="21">
        <v>2500</v>
      </c>
      <c r="X13" s="21">
        <v>2081</v>
      </c>
      <c r="Y13" s="21">
        <v>1582</v>
      </c>
      <c r="Z13" s="25">
        <v>1248</v>
      </c>
      <c r="AA13" s="23">
        <f t="shared" si="1"/>
        <v>37541</v>
      </c>
      <c r="AB13" s="23">
        <v>7</v>
      </c>
      <c r="AC13" s="23">
        <f t="shared" si="0"/>
        <v>262787</v>
      </c>
      <c r="AD13" s="54"/>
    </row>
    <row r="14" spans="1:30" x14ac:dyDescent="0.2">
      <c r="A14" s="5"/>
      <c r="B14" s="6" t="s">
        <v>7</v>
      </c>
      <c r="C14" s="7">
        <v>1044</v>
      </c>
      <c r="D14" s="7">
        <v>985</v>
      </c>
      <c r="E14" s="7">
        <v>960</v>
      </c>
      <c r="F14" s="7">
        <v>957</v>
      </c>
      <c r="G14" s="7">
        <v>1007</v>
      </c>
      <c r="H14" s="7">
        <v>1278</v>
      </c>
      <c r="I14" s="7">
        <v>2001</v>
      </c>
      <c r="J14" s="7">
        <v>1615</v>
      </c>
      <c r="K14" s="7">
        <v>1512</v>
      </c>
      <c r="L14" s="7">
        <v>1484</v>
      </c>
      <c r="M14" s="7">
        <v>1498</v>
      </c>
      <c r="N14" s="7">
        <v>1541</v>
      </c>
      <c r="O14" s="7">
        <v>1484</v>
      </c>
      <c r="P14" s="7">
        <v>1451</v>
      </c>
      <c r="Q14" s="7">
        <v>1503</v>
      </c>
      <c r="R14" s="7">
        <v>1478</v>
      </c>
      <c r="S14" s="7">
        <v>1534</v>
      </c>
      <c r="T14" s="7">
        <v>1799</v>
      </c>
      <c r="U14" s="7">
        <v>2519</v>
      </c>
      <c r="V14" s="7">
        <v>2756</v>
      </c>
      <c r="W14" s="7">
        <v>2513</v>
      </c>
      <c r="X14" s="7">
        <v>2133</v>
      </c>
      <c r="Y14" s="7">
        <v>1638</v>
      </c>
      <c r="Z14" s="11">
        <v>1291</v>
      </c>
      <c r="AA14" s="9">
        <f t="shared" si="1"/>
        <v>37981</v>
      </c>
      <c r="AB14" s="9">
        <v>21</v>
      </c>
      <c r="AC14" s="9">
        <f t="shared" si="0"/>
        <v>797601</v>
      </c>
      <c r="AD14" s="52">
        <f>SUM(AC14:AC16)</f>
        <v>1133623</v>
      </c>
    </row>
    <row r="15" spans="1:30" x14ac:dyDescent="0.2">
      <c r="A15" s="12" t="s">
        <v>13</v>
      </c>
      <c r="B15" s="13" t="s">
        <v>9</v>
      </c>
      <c r="C15" s="14">
        <v>1097</v>
      </c>
      <c r="D15" s="14">
        <v>1015</v>
      </c>
      <c r="E15" s="14">
        <v>975</v>
      </c>
      <c r="F15" s="14">
        <v>965</v>
      </c>
      <c r="G15" s="14">
        <v>1000</v>
      </c>
      <c r="H15" s="14">
        <v>1117</v>
      </c>
      <c r="I15" s="14">
        <v>1196</v>
      </c>
      <c r="J15" s="14">
        <v>1371</v>
      </c>
      <c r="K15" s="14">
        <v>1512</v>
      </c>
      <c r="L15" s="14">
        <v>1544</v>
      </c>
      <c r="M15" s="14">
        <v>1634</v>
      </c>
      <c r="N15" s="14">
        <v>1677</v>
      </c>
      <c r="O15" s="14">
        <v>1632</v>
      </c>
      <c r="P15" s="14">
        <v>1592</v>
      </c>
      <c r="Q15" s="14">
        <v>1605</v>
      </c>
      <c r="R15" s="14">
        <v>1562</v>
      </c>
      <c r="S15" s="14">
        <v>1573</v>
      </c>
      <c r="T15" s="14">
        <v>1773</v>
      </c>
      <c r="U15" s="14">
        <v>2497</v>
      </c>
      <c r="V15" s="14">
        <v>2715</v>
      </c>
      <c r="W15" s="14">
        <v>2439</v>
      </c>
      <c r="X15" s="14">
        <v>2081</v>
      </c>
      <c r="Y15" s="14">
        <v>1699</v>
      </c>
      <c r="Z15" s="18">
        <v>1402</v>
      </c>
      <c r="AA15" s="16">
        <f t="shared" si="1"/>
        <v>37673</v>
      </c>
      <c r="AB15" s="16">
        <v>4</v>
      </c>
      <c r="AC15" s="16">
        <f t="shared" si="0"/>
        <v>150692</v>
      </c>
      <c r="AD15" s="53"/>
    </row>
    <row r="16" spans="1:30" ht="13.5" thickBot="1" x14ac:dyDescent="0.25">
      <c r="A16" s="19"/>
      <c r="B16" s="20" t="s">
        <v>10</v>
      </c>
      <c r="C16" s="21">
        <v>1152</v>
      </c>
      <c r="D16" s="21">
        <v>1050</v>
      </c>
      <c r="E16" s="21">
        <v>996</v>
      </c>
      <c r="F16" s="21">
        <v>976</v>
      </c>
      <c r="G16" s="21">
        <v>988</v>
      </c>
      <c r="H16" s="21">
        <v>1088</v>
      </c>
      <c r="I16" s="21">
        <v>1133</v>
      </c>
      <c r="J16" s="21">
        <v>1346</v>
      </c>
      <c r="K16" s="21">
        <v>1598</v>
      </c>
      <c r="L16" s="21">
        <v>1738</v>
      </c>
      <c r="M16" s="21">
        <v>1716</v>
      </c>
      <c r="N16" s="21">
        <v>1770</v>
      </c>
      <c r="O16" s="21">
        <v>1676</v>
      </c>
      <c r="P16" s="21">
        <v>1585</v>
      </c>
      <c r="Q16" s="21">
        <v>1564</v>
      </c>
      <c r="R16" s="21">
        <v>1478</v>
      </c>
      <c r="S16" s="21">
        <v>1478</v>
      </c>
      <c r="T16" s="21">
        <v>1683</v>
      </c>
      <c r="U16" s="21">
        <v>2336</v>
      </c>
      <c r="V16" s="21">
        <v>2534</v>
      </c>
      <c r="W16" s="21">
        <v>2306</v>
      </c>
      <c r="X16" s="21">
        <v>1968</v>
      </c>
      <c r="Y16" s="21">
        <v>1586</v>
      </c>
      <c r="Z16" s="25">
        <v>1321</v>
      </c>
      <c r="AA16" s="23">
        <f t="shared" si="1"/>
        <v>37066</v>
      </c>
      <c r="AB16" s="23">
        <v>5</v>
      </c>
      <c r="AC16" s="23">
        <f t="shared" si="0"/>
        <v>185330</v>
      </c>
      <c r="AD16" s="54"/>
    </row>
    <row r="17" spans="1:30" x14ac:dyDescent="0.2">
      <c r="A17" s="5"/>
      <c r="B17" s="6" t="s">
        <v>7</v>
      </c>
      <c r="C17" s="7">
        <v>1024</v>
      </c>
      <c r="D17" s="7">
        <v>960</v>
      </c>
      <c r="E17" s="7">
        <v>939</v>
      </c>
      <c r="F17" s="7">
        <v>933</v>
      </c>
      <c r="G17" s="7">
        <v>997</v>
      </c>
      <c r="H17" s="7">
        <v>1294</v>
      </c>
      <c r="I17" s="7">
        <v>2142</v>
      </c>
      <c r="J17" s="7">
        <v>1646</v>
      </c>
      <c r="K17" s="7">
        <v>1525</v>
      </c>
      <c r="L17" s="7">
        <v>1500</v>
      </c>
      <c r="M17" s="7">
        <v>1504</v>
      </c>
      <c r="N17" s="7">
        <v>1542</v>
      </c>
      <c r="O17" s="7">
        <v>1441</v>
      </c>
      <c r="P17" s="7">
        <v>1429</v>
      </c>
      <c r="Q17" s="7">
        <v>1493</v>
      </c>
      <c r="R17" s="7">
        <v>1479</v>
      </c>
      <c r="S17" s="7">
        <v>1539</v>
      </c>
      <c r="T17" s="7">
        <v>1844</v>
      </c>
      <c r="U17" s="7">
        <v>2600</v>
      </c>
      <c r="V17" s="7">
        <v>2816</v>
      </c>
      <c r="W17" s="7">
        <v>2573</v>
      </c>
      <c r="X17" s="7">
        <v>2172</v>
      </c>
      <c r="Y17" s="7">
        <v>1643</v>
      </c>
      <c r="Z17" s="11">
        <v>1276</v>
      </c>
      <c r="AA17" s="9">
        <f t="shared" si="1"/>
        <v>38311</v>
      </c>
      <c r="AB17" s="9">
        <v>21</v>
      </c>
      <c r="AC17" s="9">
        <f t="shared" si="0"/>
        <v>804531</v>
      </c>
      <c r="AD17" s="52">
        <f>SUM(AC17:AC19)</f>
        <v>1181205</v>
      </c>
    </row>
    <row r="18" spans="1:30" x14ac:dyDescent="0.2">
      <c r="A18" s="12" t="s">
        <v>14</v>
      </c>
      <c r="B18" s="13" t="s">
        <v>9</v>
      </c>
      <c r="C18" s="14">
        <v>1058</v>
      </c>
      <c r="D18" s="14">
        <v>983</v>
      </c>
      <c r="E18" s="14">
        <v>938</v>
      </c>
      <c r="F18" s="14">
        <v>926</v>
      </c>
      <c r="G18" s="14">
        <v>985</v>
      </c>
      <c r="H18" s="14">
        <v>1122</v>
      </c>
      <c r="I18" s="14">
        <v>1211</v>
      </c>
      <c r="J18" s="14">
        <v>1434</v>
      </c>
      <c r="K18" s="14">
        <v>1553</v>
      </c>
      <c r="L18" s="14">
        <v>1613</v>
      </c>
      <c r="M18" s="14">
        <v>1638</v>
      </c>
      <c r="N18" s="14">
        <v>1692</v>
      </c>
      <c r="O18" s="14">
        <v>1613</v>
      </c>
      <c r="P18" s="14">
        <v>1544</v>
      </c>
      <c r="Q18" s="14">
        <v>1548</v>
      </c>
      <c r="R18" s="14">
        <v>1548</v>
      </c>
      <c r="S18" s="14">
        <v>1589</v>
      </c>
      <c r="T18" s="14">
        <v>1890</v>
      </c>
      <c r="U18" s="14">
        <v>2658</v>
      </c>
      <c r="V18" s="14">
        <v>2801</v>
      </c>
      <c r="W18" s="14">
        <v>2534</v>
      </c>
      <c r="X18" s="14">
        <v>2139</v>
      </c>
      <c r="Y18" s="14">
        <v>1697</v>
      </c>
      <c r="Z18" s="18">
        <v>1377</v>
      </c>
      <c r="AA18" s="16">
        <f t="shared" si="1"/>
        <v>38091</v>
      </c>
      <c r="AB18" s="16">
        <v>4</v>
      </c>
      <c r="AC18" s="16">
        <f t="shared" si="0"/>
        <v>152364</v>
      </c>
      <c r="AD18" s="53"/>
    </row>
    <row r="19" spans="1:30" ht="13.5" thickBot="1" x14ac:dyDescent="0.25">
      <c r="A19" s="19"/>
      <c r="B19" s="20" t="s">
        <v>10</v>
      </c>
      <c r="C19" s="21">
        <v>1099</v>
      </c>
      <c r="D19" s="21">
        <v>1022</v>
      </c>
      <c r="E19" s="21">
        <v>984</v>
      </c>
      <c r="F19" s="21">
        <v>961</v>
      </c>
      <c r="G19" s="21">
        <v>972</v>
      </c>
      <c r="H19" s="21">
        <v>1090</v>
      </c>
      <c r="I19" s="21">
        <v>1156</v>
      </c>
      <c r="J19" s="21">
        <v>1354</v>
      </c>
      <c r="K19" s="21">
        <v>1619</v>
      </c>
      <c r="L19" s="21">
        <v>1782</v>
      </c>
      <c r="M19" s="21">
        <v>1792</v>
      </c>
      <c r="N19" s="21">
        <v>1826</v>
      </c>
      <c r="O19" s="21">
        <v>1698</v>
      </c>
      <c r="P19" s="21">
        <v>1556</v>
      </c>
      <c r="Q19" s="21">
        <v>1523</v>
      </c>
      <c r="R19" s="21">
        <v>1457</v>
      </c>
      <c r="S19" s="21">
        <v>1480</v>
      </c>
      <c r="T19" s="21">
        <v>1704</v>
      </c>
      <c r="U19" s="21">
        <v>2361</v>
      </c>
      <c r="V19" s="21">
        <v>2649</v>
      </c>
      <c r="W19" s="21">
        <v>2450</v>
      </c>
      <c r="X19" s="21">
        <v>2041</v>
      </c>
      <c r="Y19" s="21">
        <v>1562</v>
      </c>
      <c r="Z19" s="25">
        <v>1247</v>
      </c>
      <c r="AA19" s="23">
        <f t="shared" si="1"/>
        <v>37385</v>
      </c>
      <c r="AB19" s="23">
        <v>6</v>
      </c>
      <c r="AC19" s="23">
        <f t="shared" si="0"/>
        <v>224310</v>
      </c>
      <c r="AD19" s="54"/>
    </row>
    <row r="20" spans="1:30" x14ac:dyDescent="0.2">
      <c r="A20" s="5"/>
      <c r="B20" s="6" t="s">
        <v>7</v>
      </c>
      <c r="C20" s="7">
        <v>1051</v>
      </c>
      <c r="D20" s="7">
        <v>991</v>
      </c>
      <c r="E20" s="7">
        <v>970</v>
      </c>
      <c r="F20" s="7">
        <v>963</v>
      </c>
      <c r="G20" s="7">
        <v>1013</v>
      </c>
      <c r="H20" s="7">
        <v>1272</v>
      </c>
      <c r="I20" s="7">
        <v>2090</v>
      </c>
      <c r="J20" s="7">
        <v>1668</v>
      </c>
      <c r="K20" s="7">
        <v>1553</v>
      </c>
      <c r="L20" s="7">
        <v>1508</v>
      </c>
      <c r="M20" s="7">
        <v>1498</v>
      </c>
      <c r="N20" s="7">
        <v>1541</v>
      </c>
      <c r="O20" s="7">
        <v>1455</v>
      </c>
      <c r="P20" s="7">
        <v>1455</v>
      </c>
      <c r="Q20" s="7">
        <v>1518</v>
      </c>
      <c r="R20" s="7">
        <v>1496</v>
      </c>
      <c r="S20" s="7">
        <v>1572</v>
      </c>
      <c r="T20" s="7">
        <v>1866</v>
      </c>
      <c r="U20" s="7">
        <v>2475</v>
      </c>
      <c r="V20" s="7">
        <v>2683</v>
      </c>
      <c r="W20" s="7">
        <v>2450</v>
      </c>
      <c r="X20" s="7">
        <v>2083</v>
      </c>
      <c r="Y20" s="7">
        <v>1613</v>
      </c>
      <c r="Z20" s="11">
        <v>1288</v>
      </c>
      <c r="AA20" s="9">
        <f t="shared" si="1"/>
        <v>38072</v>
      </c>
      <c r="AB20" s="9">
        <v>19</v>
      </c>
      <c r="AC20" s="9">
        <f t="shared" si="0"/>
        <v>723368</v>
      </c>
      <c r="AD20" s="52">
        <f>SUM(AC20:AC22)</f>
        <v>1137328</v>
      </c>
    </row>
    <row r="21" spans="1:30" x14ac:dyDescent="0.2">
      <c r="A21" s="12" t="s">
        <v>15</v>
      </c>
      <c r="B21" s="13" t="s">
        <v>9</v>
      </c>
      <c r="C21" s="14">
        <v>1098</v>
      </c>
      <c r="D21" s="14">
        <v>1016</v>
      </c>
      <c r="E21" s="14">
        <v>975</v>
      </c>
      <c r="F21" s="14">
        <v>966</v>
      </c>
      <c r="G21" s="14">
        <v>998</v>
      </c>
      <c r="H21" s="14">
        <v>1111</v>
      </c>
      <c r="I21" s="14">
        <v>1199</v>
      </c>
      <c r="J21" s="14">
        <v>1385</v>
      </c>
      <c r="K21" s="14">
        <v>1520</v>
      </c>
      <c r="L21" s="14">
        <v>1596</v>
      </c>
      <c r="M21" s="14">
        <v>1643</v>
      </c>
      <c r="N21" s="14">
        <v>1725</v>
      </c>
      <c r="O21" s="14">
        <v>1638</v>
      </c>
      <c r="P21" s="14">
        <v>1588</v>
      </c>
      <c r="Q21" s="14">
        <v>1580</v>
      </c>
      <c r="R21" s="14">
        <v>1603</v>
      </c>
      <c r="S21" s="14">
        <v>1638</v>
      </c>
      <c r="T21" s="14">
        <v>1984</v>
      </c>
      <c r="U21" s="14">
        <v>2516</v>
      </c>
      <c r="V21" s="14">
        <v>2671</v>
      </c>
      <c r="W21" s="14">
        <v>2411</v>
      </c>
      <c r="X21" s="14">
        <v>2035</v>
      </c>
      <c r="Y21" s="14">
        <v>1654</v>
      </c>
      <c r="Z21" s="18">
        <v>1392</v>
      </c>
      <c r="AA21" s="16">
        <f t="shared" si="1"/>
        <v>37942</v>
      </c>
      <c r="AB21" s="16">
        <v>5</v>
      </c>
      <c r="AC21" s="16">
        <f t="shared" si="0"/>
        <v>189710</v>
      </c>
      <c r="AD21" s="53"/>
    </row>
    <row r="22" spans="1:30" ht="13.5" thickBot="1" x14ac:dyDescent="0.25">
      <c r="A22" s="19"/>
      <c r="B22" s="20" t="s">
        <v>10</v>
      </c>
      <c r="C22" s="21">
        <v>1149</v>
      </c>
      <c r="D22" s="21">
        <v>1069</v>
      </c>
      <c r="E22" s="21">
        <v>1034</v>
      </c>
      <c r="F22" s="21">
        <v>1014</v>
      </c>
      <c r="G22" s="21">
        <v>1028</v>
      </c>
      <c r="H22" s="21">
        <v>1124</v>
      </c>
      <c r="I22" s="21">
        <v>1160</v>
      </c>
      <c r="J22" s="21">
        <v>1326</v>
      </c>
      <c r="K22" s="21">
        <v>1558</v>
      </c>
      <c r="L22" s="21">
        <v>1707</v>
      </c>
      <c r="M22" s="21">
        <v>1689</v>
      </c>
      <c r="N22" s="21">
        <v>1795</v>
      </c>
      <c r="O22" s="21">
        <v>1710</v>
      </c>
      <c r="P22" s="21">
        <v>1624</v>
      </c>
      <c r="Q22" s="21">
        <v>1569</v>
      </c>
      <c r="R22" s="21">
        <v>1535</v>
      </c>
      <c r="S22" s="21">
        <v>1521</v>
      </c>
      <c r="T22" s="21">
        <v>1744</v>
      </c>
      <c r="U22" s="21">
        <v>2299</v>
      </c>
      <c r="V22" s="21">
        <v>2547</v>
      </c>
      <c r="W22" s="21">
        <v>2345</v>
      </c>
      <c r="X22" s="21">
        <v>1975</v>
      </c>
      <c r="Y22" s="21">
        <v>1560</v>
      </c>
      <c r="Z22" s="25">
        <v>1293</v>
      </c>
      <c r="AA22" s="23">
        <f t="shared" si="1"/>
        <v>37375</v>
      </c>
      <c r="AB22" s="23">
        <v>6</v>
      </c>
      <c r="AC22" s="23">
        <f t="shared" si="0"/>
        <v>224250</v>
      </c>
      <c r="AD22" s="54"/>
    </row>
    <row r="23" spans="1:30" x14ac:dyDescent="0.2">
      <c r="A23" s="5"/>
      <c r="B23" s="6" t="s">
        <v>7</v>
      </c>
      <c r="C23" s="7">
        <v>1036</v>
      </c>
      <c r="D23" s="7">
        <v>965</v>
      </c>
      <c r="E23" s="7">
        <v>934</v>
      </c>
      <c r="F23" s="7">
        <v>927</v>
      </c>
      <c r="G23" s="7">
        <v>980</v>
      </c>
      <c r="H23" s="7">
        <v>1205</v>
      </c>
      <c r="I23" s="7">
        <v>1712</v>
      </c>
      <c r="J23" s="7">
        <v>1653</v>
      </c>
      <c r="K23" s="7">
        <v>1575</v>
      </c>
      <c r="L23" s="7">
        <v>1570</v>
      </c>
      <c r="M23" s="7">
        <v>1604</v>
      </c>
      <c r="N23" s="7">
        <v>1654</v>
      </c>
      <c r="O23" s="7">
        <v>1554</v>
      </c>
      <c r="P23" s="7">
        <v>1523</v>
      </c>
      <c r="Q23" s="7">
        <v>1545</v>
      </c>
      <c r="R23" s="7">
        <v>1509</v>
      </c>
      <c r="S23" s="7">
        <v>1578</v>
      </c>
      <c r="T23" s="7">
        <v>1853</v>
      </c>
      <c r="U23" s="7">
        <v>2448</v>
      </c>
      <c r="V23" s="7">
        <v>2785</v>
      </c>
      <c r="W23" s="7">
        <v>2549</v>
      </c>
      <c r="X23" s="7">
        <v>2178</v>
      </c>
      <c r="Y23" s="7">
        <v>1685</v>
      </c>
      <c r="Z23" s="11">
        <v>1304</v>
      </c>
      <c r="AA23" s="9">
        <f t="shared" si="1"/>
        <v>38326</v>
      </c>
      <c r="AB23" s="9">
        <v>20</v>
      </c>
      <c r="AC23" s="9">
        <f t="shared" si="0"/>
        <v>766520</v>
      </c>
      <c r="AD23" s="52">
        <f>SUM(AC23:AC25)</f>
        <v>1179195</v>
      </c>
    </row>
    <row r="24" spans="1:30" x14ac:dyDescent="0.2">
      <c r="A24" s="12" t="s">
        <v>16</v>
      </c>
      <c r="B24" s="13" t="s">
        <v>9</v>
      </c>
      <c r="C24" s="14">
        <v>1085</v>
      </c>
      <c r="D24" s="14">
        <v>996</v>
      </c>
      <c r="E24" s="14">
        <v>943</v>
      </c>
      <c r="F24" s="14">
        <v>929</v>
      </c>
      <c r="G24" s="14">
        <v>980</v>
      </c>
      <c r="H24" s="14">
        <v>1126</v>
      </c>
      <c r="I24" s="14">
        <v>1245</v>
      </c>
      <c r="J24" s="14">
        <v>1442</v>
      </c>
      <c r="K24" s="14">
        <v>1585</v>
      </c>
      <c r="L24" s="14">
        <v>1699</v>
      </c>
      <c r="M24" s="14">
        <v>1757</v>
      </c>
      <c r="N24" s="14">
        <v>1818</v>
      </c>
      <c r="O24" s="14">
        <v>1707</v>
      </c>
      <c r="P24" s="14">
        <v>1648</v>
      </c>
      <c r="Q24" s="14">
        <v>1611</v>
      </c>
      <c r="R24" s="14">
        <v>1565</v>
      </c>
      <c r="S24" s="14">
        <v>1638</v>
      </c>
      <c r="T24" s="14">
        <v>1898</v>
      </c>
      <c r="U24" s="14">
        <v>2459</v>
      </c>
      <c r="V24" s="14">
        <v>2689</v>
      </c>
      <c r="W24" s="14">
        <v>2429</v>
      </c>
      <c r="X24" s="14">
        <v>2080</v>
      </c>
      <c r="Y24" s="14">
        <v>1692</v>
      </c>
      <c r="Z24" s="18">
        <v>1403</v>
      </c>
      <c r="AA24" s="16">
        <f t="shared" si="1"/>
        <v>38424</v>
      </c>
      <c r="AB24" s="16">
        <v>4</v>
      </c>
      <c r="AC24" s="16">
        <f t="shared" si="0"/>
        <v>153696</v>
      </c>
      <c r="AD24" s="53"/>
    </row>
    <row r="25" spans="1:30" ht="13.5" thickBot="1" x14ac:dyDescent="0.25">
      <c r="A25" s="19"/>
      <c r="B25" s="20" t="s">
        <v>10</v>
      </c>
      <c r="C25" s="21">
        <v>1104</v>
      </c>
      <c r="D25" s="21">
        <v>1017</v>
      </c>
      <c r="E25" s="21">
        <v>968</v>
      </c>
      <c r="F25" s="21">
        <v>939</v>
      </c>
      <c r="G25" s="21">
        <v>957</v>
      </c>
      <c r="H25" s="21">
        <v>1071</v>
      </c>
      <c r="I25" s="21">
        <v>1126</v>
      </c>
      <c r="J25" s="21">
        <v>1303</v>
      </c>
      <c r="K25" s="21">
        <v>1520</v>
      </c>
      <c r="L25" s="21">
        <v>1664</v>
      </c>
      <c r="M25" s="21">
        <v>1723</v>
      </c>
      <c r="N25" s="21">
        <v>1757</v>
      </c>
      <c r="O25" s="21">
        <v>1653</v>
      </c>
      <c r="P25" s="21">
        <v>1546</v>
      </c>
      <c r="Q25" s="21">
        <v>1529</v>
      </c>
      <c r="R25" s="21">
        <v>1533</v>
      </c>
      <c r="S25" s="21">
        <v>1547</v>
      </c>
      <c r="T25" s="21">
        <v>1792</v>
      </c>
      <c r="U25" s="21">
        <v>2346</v>
      </c>
      <c r="V25" s="21">
        <v>2609</v>
      </c>
      <c r="W25" s="21">
        <v>2382</v>
      </c>
      <c r="X25" s="21">
        <v>2023</v>
      </c>
      <c r="Y25" s="21">
        <v>1604</v>
      </c>
      <c r="Z25" s="25">
        <v>1284</v>
      </c>
      <c r="AA25" s="23">
        <f t="shared" si="1"/>
        <v>36997</v>
      </c>
      <c r="AB25" s="23">
        <v>7</v>
      </c>
      <c r="AC25" s="23">
        <f t="shared" si="0"/>
        <v>258979</v>
      </c>
      <c r="AD25" s="54"/>
    </row>
    <row r="26" spans="1:30" x14ac:dyDescent="0.2">
      <c r="A26" s="5"/>
      <c r="B26" s="6" t="s">
        <v>7</v>
      </c>
      <c r="C26" s="7">
        <v>1055</v>
      </c>
      <c r="D26" s="7">
        <v>993</v>
      </c>
      <c r="E26" s="7">
        <v>968</v>
      </c>
      <c r="F26" s="7">
        <v>959</v>
      </c>
      <c r="G26" s="7">
        <v>1015</v>
      </c>
      <c r="H26" s="7">
        <v>1274</v>
      </c>
      <c r="I26" s="7">
        <v>2080</v>
      </c>
      <c r="J26" s="7">
        <v>1714</v>
      </c>
      <c r="K26" s="7">
        <v>1589</v>
      </c>
      <c r="L26" s="7">
        <v>1516</v>
      </c>
      <c r="M26" s="7">
        <v>1521</v>
      </c>
      <c r="N26" s="7">
        <v>1568</v>
      </c>
      <c r="O26" s="7">
        <v>1472</v>
      </c>
      <c r="P26" s="7">
        <v>1444</v>
      </c>
      <c r="Q26" s="7">
        <v>1507</v>
      </c>
      <c r="R26" s="7">
        <v>1493</v>
      </c>
      <c r="S26" s="7">
        <v>1570</v>
      </c>
      <c r="T26" s="7">
        <v>1854</v>
      </c>
      <c r="U26" s="7">
        <v>2478</v>
      </c>
      <c r="V26" s="7">
        <v>2740</v>
      </c>
      <c r="W26" s="7">
        <v>2498</v>
      </c>
      <c r="X26" s="7">
        <v>2130</v>
      </c>
      <c r="Y26" s="7">
        <v>1650</v>
      </c>
      <c r="Z26" s="11">
        <v>1283</v>
      </c>
      <c r="AA26" s="9">
        <f t="shared" si="1"/>
        <v>38371</v>
      </c>
      <c r="AB26" s="9">
        <v>21</v>
      </c>
      <c r="AC26" s="9">
        <f t="shared" si="0"/>
        <v>805791</v>
      </c>
      <c r="AD26" s="52">
        <f>SUM(AC26:AC28)</f>
        <v>1185257</v>
      </c>
    </row>
    <row r="27" spans="1:30" x14ac:dyDescent="0.2">
      <c r="A27" s="12" t="s">
        <v>17</v>
      </c>
      <c r="B27" s="13" t="s">
        <v>9</v>
      </c>
      <c r="C27" s="14">
        <v>1041</v>
      </c>
      <c r="D27" s="14">
        <v>957</v>
      </c>
      <c r="E27" s="14">
        <v>921</v>
      </c>
      <c r="F27" s="14">
        <v>911</v>
      </c>
      <c r="G27" s="14">
        <v>958</v>
      </c>
      <c r="H27" s="14">
        <v>1103</v>
      </c>
      <c r="I27" s="14">
        <v>1164</v>
      </c>
      <c r="J27" s="14">
        <v>1340</v>
      </c>
      <c r="K27" s="14">
        <v>1530</v>
      </c>
      <c r="L27" s="14">
        <v>1612</v>
      </c>
      <c r="M27" s="14">
        <v>1675</v>
      </c>
      <c r="N27" s="14">
        <v>1729</v>
      </c>
      <c r="O27" s="14">
        <v>1679</v>
      </c>
      <c r="P27" s="14">
        <v>1622</v>
      </c>
      <c r="Q27" s="14">
        <v>1603</v>
      </c>
      <c r="R27" s="14">
        <v>1600</v>
      </c>
      <c r="S27" s="14">
        <v>1655</v>
      </c>
      <c r="T27" s="14">
        <v>1895</v>
      </c>
      <c r="U27" s="14">
        <v>2442</v>
      </c>
      <c r="V27" s="14">
        <v>2657</v>
      </c>
      <c r="W27" s="14">
        <v>2455</v>
      </c>
      <c r="X27" s="14">
        <v>2113</v>
      </c>
      <c r="Y27" s="14">
        <v>1709</v>
      </c>
      <c r="Z27" s="18">
        <v>1383</v>
      </c>
      <c r="AA27" s="16">
        <f t="shared" si="1"/>
        <v>37754</v>
      </c>
      <c r="AB27" s="16">
        <v>4</v>
      </c>
      <c r="AC27" s="16">
        <f t="shared" si="0"/>
        <v>151016</v>
      </c>
      <c r="AD27" s="53"/>
    </row>
    <row r="28" spans="1:30" ht="13.5" thickBot="1" x14ac:dyDescent="0.25">
      <c r="A28" s="19"/>
      <c r="B28" s="20" t="s">
        <v>10</v>
      </c>
      <c r="C28" s="21">
        <v>1133</v>
      </c>
      <c r="D28" s="21">
        <v>1050</v>
      </c>
      <c r="E28" s="21">
        <v>1003</v>
      </c>
      <c r="F28" s="21">
        <v>977</v>
      </c>
      <c r="G28" s="21">
        <v>1000</v>
      </c>
      <c r="H28" s="21">
        <v>1126</v>
      </c>
      <c r="I28" s="21">
        <v>1178</v>
      </c>
      <c r="J28" s="21">
        <v>1344</v>
      </c>
      <c r="K28" s="21">
        <v>1611</v>
      </c>
      <c r="L28" s="21">
        <v>1799</v>
      </c>
      <c r="M28" s="21">
        <v>1832</v>
      </c>
      <c r="N28" s="21">
        <v>1858</v>
      </c>
      <c r="O28" s="21">
        <v>1744</v>
      </c>
      <c r="P28" s="21">
        <v>1632</v>
      </c>
      <c r="Q28" s="21">
        <v>1591</v>
      </c>
      <c r="R28" s="21">
        <v>1551</v>
      </c>
      <c r="S28" s="21">
        <v>1570</v>
      </c>
      <c r="T28" s="21">
        <v>1807</v>
      </c>
      <c r="U28" s="21">
        <v>2325</v>
      </c>
      <c r="V28" s="21">
        <v>2608</v>
      </c>
      <c r="W28" s="21">
        <v>2401</v>
      </c>
      <c r="X28" s="21">
        <v>2039</v>
      </c>
      <c r="Y28" s="21">
        <v>1609</v>
      </c>
      <c r="Z28" s="25">
        <v>1287</v>
      </c>
      <c r="AA28" s="23">
        <f t="shared" si="1"/>
        <v>38075</v>
      </c>
      <c r="AB28" s="23">
        <v>6</v>
      </c>
      <c r="AC28" s="23">
        <f t="shared" si="0"/>
        <v>228450</v>
      </c>
      <c r="AD28" s="54"/>
    </row>
    <row r="29" spans="1:30" x14ac:dyDescent="0.2">
      <c r="A29" s="5"/>
      <c r="B29" s="6" t="s">
        <v>7</v>
      </c>
      <c r="C29" s="7">
        <v>1038</v>
      </c>
      <c r="D29" s="7">
        <v>969</v>
      </c>
      <c r="E29" s="7">
        <v>942</v>
      </c>
      <c r="F29" s="7">
        <v>938</v>
      </c>
      <c r="G29" s="7">
        <v>1002</v>
      </c>
      <c r="H29" s="7">
        <v>1275</v>
      </c>
      <c r="I29" s="7">
        <v>2143</v>
      </c>
      <c r="J29" s="7">
        <v>1692</v>
      </c>
      <c r="K29" s="7">
        <v>1559</v>
      </c>
      <c r="L29" s="7">
        <v>1513</v>
      </c>
      <c r="M29" s="7">
        <v>1505</v>
      </c>
      <c r="N29" s="7">
        <v>1577</v>
      </c>
      <c r="O29" s="7">
        <v>1477</v>
      </c>
      <c r="P29" s="7">
        <v>1481</v>
      </c>
      <c r="Q29" s="7">
        <v>1536</v>
      </c>
      <c r="R29" s="7">
        <v>1524</v>
      </c>
      <c r="S29" s="7">
        <v>1589</v>
      </c>
      <c r="T29" s="7">
        <v>1885</v>
      </c>
      <c r="U29" s="7">
        <v>2649</v>
      </c>
      <c r="V29" s="7">
        <v>2807</v>
      </c>
      <c r="W29" s="7">
        <v>2560</v>
      </c>
      <c r="X29" s="7">
        <v>2166</v>
      </c>
      <c r="Y29" s="7">
        <v>1658</v>
      </c>
      <c r="Z29" s="11">
        <v>1288</v>
      </c>
      <c r="AA29" s="9">
        <f t="shared" si="1"/>
        <v>38773</v>
      </c>
      <c r="AB29" s="9">
        <v>20</v>
      </c>
      <c r="AC29" s="9">
        <f t="shared" si="0"/>
        <v>775460</v>
      </c>
      <c r="AD29" s="52">
        <f>SUM(AC29:AC31)</f>
        <v>1155260</v>
      </c>
    </row>
    <row r="30" spans="1:30" x14ac:dyDescent="0.2">
      <c r="A30" s="12" t="s">
        <v>18</v>
      </c>
      <c r="B30" s="13" t="s">
        <v>9</v>
      </c>
      <c r="C30" s="14">
        <v>1075</v>
      </c>
      <c r="D30" s="14">
        <v>989</v>
      </c>
      <c r="E30" s="14">
        <v>943</v>
      </c>
      <c r="F30" s="14">
        <v>931</v>
      </c>
      <c r="G30" s="14">
        <v>969</v>
      </c>
      <c r="H30" s="14">
        <v>1102</v>
      </c>
      <c r="I30" s="14">
        <v>1232</v>
      </c>
      <c r="J30" s="14">
        <v>1471</v>
      </c>
      <c r="K30" s="14">
        <v>1620</v>
      </c>
      <c r="L30" s="14">
        <v>1684</v>
      </c>
      <c r="M30" s="14">
        <v>1785</v>
      </c>
      <c r="N30" s="14">
        <v>1817</v>
      </c>
      <c r="O30" s="14">
        <v>1701</v>
      </c>
      <c r="P30" s="14">
        <v>1635</v>
      </c>
      <c r="Q30" s="14">
        <v>1616</v>
      </c>
      <c r="R30" s="14">
        <v>1578</v>
      </c>
      <c r="S30" s="14">
        <v>1655</v>
      </c>
      <c r="T30" s="14">
        <v>1972</v>
      </c>
      <c r="U30" s="14">
        <v>2612</v>
      </c>
      <c r="V30" s="14">
        <v>2667</v>
      </c>
      <c r="W30" s="14">
        <v>2388</v>
      </c>
      <c r="X30" s="14">
        <v>2037</v>
      </c>
      <c r="Y30" s="14">
        <v>1659</v>
      </c>
      <c r="Z30" s="18">
        <v>1377</v>
      </c>
      <c r="AA30" s="16">
        <f t="shared" si="1"/>
        <v>38515</v>
      </c>
      <c r="AB30" s="16">
        <v>5</v>
      </c>
      <c r="AC30" s="16">
        <f t="shared" si="0"/>
        <v>192575</v>
      </c>
      <c r="AD30" s="53"/>
    </row>
    <row r="31" spans="1:30" ht="13.5" thickBot="1" x14ac:dyDescent="0.25">
      <c r="A31" s="19"/>
      <c r="B31" s="20" t="s">
        <v>10</v>
      </c>
      <c r="C31" s="21">
        <v>1140</v>
      </c>
      <c r="D31" s="21">
        <v>1055</v>
      </c>
      <c r="E31" s="21">
        <v>1002</v>
      </c>
      <c r="F31" s="21">
        <v>970</v>
      </c>
      <c r="G31" s="21">
        <v>983</v>
      </c>
      <c r="H31" s="21">
        <v>1068</v>
      </c>
      <c r="I31" s="21">
        <v>1129</v>
      </c>
      <c r="J31" s="21">
        <v>1309</v>
      </c>
      <c r="K31" s="21">
        <v>1640</v>
      </c>
      <c r="L31" s="21">
        <v>1841</v>
      </c>
      <c r="M31" s="21">
        <v>1811</v>
      </c>
      <c r="N31" s="21">
        <v>1882</v>
      </c>
      <c r="O31" s="21">
        <v>1754</v>
      </c>
      <c r="P31" s="21">
        <v>1602</v>
      </c>
      <c r="Q31" s="21">
        <v>1519</v>
      </c>
      <c r="R31" s="21">
        <v>1467</v>
      </c>
      <c r="S31" s="21">
        <v>1438</v>
      </c>
      <c r="T31" s="21">
        <v>1676</v>
      </c>
      <c r="U31" s="21">
        <v>2377</v>
      </c>
      <c r="V31" s="21">
        <v>2600</v>
      </c>
      <c r="W31" s="21">
        <v>2402</v>
      </c>
      <c r="X31" s="21">
        <v>1994</v>
      </c>
      <c r="Y31" s="21">
        <v>1537</v>
      </c>
      <c r="Z31" s="25">
        <v>1249</v>
      </c>
      <c r="AA31" s="23">
        <f t="shared" si="1"/>
        <v>37445</v>
      </c>
      <c r="AB31" s="23">
        <v>5</v>
      </c>
      <c r="AC31" s="23">
        <f t="shared" si="0"/>
        <v>187225</v>
      </c>
      <c r="AD31" s="54"/>
    </row>
    <row r="32" spans="1:30" x14ac:dyDescent="0.2">
      <c r="A32" s="5"/>
      <c r="B32" s="6" t="s">
        <v>7</v>
      </c>
      <c r="C32" s="7">
        <v>1044</v>
      </c>
      <c r="D32" s="7">
        <v>976</v>
      </c>
      <c r="E32" s="7">
        <v>948</v>
      </c>
      <c r="F32" s="7">
        <v>941</v>
      </c>
      <c r="G32" s="7">
        <v>1004</v>
      </c>
      <c r="H32" s="7">
        <v>1227</v>
      </c>
      <c r="I32" s="7">
        <v>1954</v>
      </c>
      <c r="J32" s="7">
        <v>1677</v>
      </c>
      <c r="K32" s="7">
        <v>1573</v>
      </c>
      <c r="L32" s="7">
        <v>1530</v>
      </c>
      <c r="M32" s="7">
        <v>1536</v>
      </c>
      <c r="N32" s="7">
        <v>1583</v>
      </c>
      <c r="O32" s="7">
        <v>1485</v>
      </c>
      <c r="P32" s="7">
        <v>1480</v>
      </c>
      <c r="Q32" s="7">
        <v>1526</v>
      </c>
      <c r="R32" s="7">
        <v>1512</v>
      </c>
      <c r="S32" s="7">
        <v>1572</v>
      </c>
      <c r="T32" s="7">
        <v>1920</v>
      </c>
      <c r="U32" s="7">
        <v>2713</v>
      </c>
      <c r="V32" s="7">
        <v>2747</v>
      </c>
      <c r="W32" s="7">
        <v>2500</v>
      </c>
      <c r="X32" s="7">
        <v>2115</v>
      </c>
      <c r="Y32" s="7">
        <v>1641</v>
      </c>
      <c r="Z32" s="11">
        <v>1295</v>
      </c>
      <c r="AA32" s="9">
        <f t="shared" si="1"/>
        <v>38499</v>
      </c>
      <c r="AB32" s="9">
        <v>22</v>
      </c>
      <c r="AC32" s="9">
        <f t="shared" si="0"/>
        <v>846978</v>
      </c>
      <c r="AD32" s="52">
        <f>SUM(AC32:AC34)</f>
        <v>1184574</v>
      </c>
    </row>
    <row r="33" spans="1:30" x14ac:dyDescent="0.2">
      <c r="A33" s="12" t="s">
        <v>19</v>
      </c>
      <c r="B33" s="13" t="s">
        <v>9</v>
      </c>
      <c r="C33" s="14">
        <v>1114</v>
      </c>
      <c r="D33" s="14">
        <v>1027</v>
      </c>
      <c r="E33" s="14">
        <v>984</v>
      </c>
      <c r="F33" s="14">
        <v>972</v>
      </c>
      <c r="G33" s="14">
        <v>1012</v>
      </c>
      <c r="H33" s="14">
        <v>1122</v>
      </c>
      <c r="I33" s="14">
        <v>1226</v>
      </c>
      <c r="J33" s="14">
        <v>1452</v>
      </c>
      <c r="K33" s="14">
        <v>1626</v>
      </c>
      <c r="L33" s="14">
        <v>1716</v>
      </c>
      <c r="M33" s="14">
        <v>1771</v>
      </c>
      <c r="N33" s="14">
        <v>1853</v>
      </c>
      <c r="O33" s="14">
        <v>1737</v>
      </c>
      <c r="P33" s="14">
        <v>1685</v>
      </c>
      <c r="Q33" s="14">
        <v>1637</v>
      </c>
      <c r="R33" s="14">
        <v>1555</v>
      </c>
      <c r="S33" s="14">
        <v>1593</v>
      </c>
      <c r="T33" s="14">
        <v>1892</v>
      </c>
      <c r="U33" s="14">
        <v>2646</v>
      </c>
      <c r="V33" s="14">
        <v>2652</v>
      </c>
      <c r="W33" s="14">
        <v>2412</v>
      </c>
      <c r="X33" s="14">
        <v>2065</v>
      </c>
      <c r="Y33" s="14">
        <v>1675</v>
      </c>
      <c r="Z33" s="18">
        <v>1375</v>
      </c>
      <c r="AA33" s="16">
        <f t="shared" si="1"/>
        <v>38799</v>
      </c>
      <c r="AB33" s="16">
        <v>4</v>
      </c>
      <c r="AC33" s="16">
        <f t="shared" si="0"/>
        <v>155196</v>
      </c>
      <c r="AD33" s="53"/>
    </row>
    <row r="34" spans="1:30" ht="13.5" thickBot="1" x14ac:dyDescent="0.25">
      <c r="A34" s="19"/>
      <c r="B34" s="20" t="s">
        <v>10</v>
      </c>
      <c r="C34" s="21">
        <v>1106</v>
      </c>
      <c r="D34" s="21">
        <v>1011</v>
      </c>
      <c r="E34" s="21">
        <v>960</v>
      </c>
      <c r="F34" s="21">
        <v>936</v>
      </c>
      <c r="G34" s="21">
        <v>962</v>
      </c>
      <c r="H34" s="21">
        <v>1093</v>
      </c>
      <c r="I34" s="21">
        <v>1210</v>
      </c>
      <c r="J34" s="21">
        <v>1327</v>
      </c>
      <c r="K34" s="21">
        <v>1598</v>
      </c>
      <c r="L34" s="21">
        <v>1752</v>
      </c>
      <c r="M34" s="21">
        <v>1761</v>
      </c>
      <c r="N34" s="21">
        <v>1751</v>
      </c>
      <c r="O34" s="21">
        <v>1635</v>
      </c>
      <c r="P34" s="21">
        <v>1507</v>
      </c>
      <c r="Q34" s="21">
        <v>1418</v>
      </c>
      <c r="R34" s="21">
        <v>1367</v>
      </c>
      <c r="S34" s="21">
        <v>1422</v>
      </c>
      <c r="T34" s="21">
        <v>1734</v>
      </c>
      <c r="U34" s="21">
        <v>2421</v>
      </c>
      <c r="V34" s="21">
        <v>2485</v>
      </c>
      <c r="W34" s="21">
        <v>2296</v>
      </c>
      <c r="X34" s="21">
        <v>1933</v>
      </c>
      <c r="Y34" s="21">
        <v>1538</v>
      </c>
      <c r="Z34" s="25">
        <v>1257</v>
      </c>
      <c r="AA34" s="23">
        <f t="shared" si="1"/>
        <v>36480</v>
      </c>
      <c r="AB34" s="23">
        <v>5</v>
      </c>
      <c r="AC34" s="23">
        <f t="shared" si="0"/>
        <v>182400</v>
      </c>
      <c r="AD34" s="54"/>
    </row>
    <row r="35" spans="1:30" x14ac:dyDescent="0.2">
      <c r="A35" s="5"/>
      <c r="B35" s="6" t="s">
        <v>7</v>
      </c>
      <c r="C35" s="7">
        <v>1016</v>
      </c>
      <c r="D35" s="7">
        <v>952</v>
      </c>
      <c r="E35" s="7">
        <v>924</v>
      </c>
      <c r="F35" s="7">
        <v>920</v>
      </c>
      <c r="G35" s="7">
        <v>992</v>
      </c>
      <c r="H35" s="7">
        <v>1307</v>
      </c>
      <c r="I35" s="7">
        <v>2107</v>
      </c>
      <c r="J35" s="7">
        <v>1633</v>
      </c>
      <c r="K35" s="7">
        <v>1510</v>
      </c>
      <c r="L35" s="7">
        <v>1460</v>
      </c>
      <c r="M35" s="7">
        <v>1463</v>
      </c>
      <c r="N35" s="7">
        <v>1511</v>
      </c>
      <c r="O35" s="7">
        <v>1410</v>
      </c>
      <c r="P35" s="7">
        <v>1416</v>
      </c>
      <c r="Q35" s="7">
        <v>1467</v>
      </c>
      <c r="R35" s="7">
        <v>1485</v>
      </c>
      <c r="S35" s="7">
        <v>1590</v>
      </c>
      <c r="T35" s="7">
        <v>1973</v>
      </c>
      <c r="U35" s="7">
        <v>2847</v>
      </c>
      <c r="V35" s="7">
        <v>2830</v>
      </c>
      <c r="W35" s="7">
        <v>2560</v>
      </c>
      <c r="X35" s="7">
        <v>2116</v>
      </c>
      <c r="Y35" s="7">
        <v>1602</v>
      </c>
      <c r="Z35" s="11">
        <v>1262</v>
      </c>
      <c r="AA35" s="9">
        <f t="shared" si="1"/>
        <v>38353</v>
      </c>
      <c r="AB35" s="9">
        <v>20</v>
      </c>
      <c r="AC35" s="9">
        <f t="shared" si="0"/>
        <v>767060</v>
      </c>
      <c r="AD35" s="52">
        <f>SUM(AC35:AC37)</f>
        <v>1146456</v>
      </c>
    </row>
    <row r="36" spans="1:30" x14ac:dyDescent="0.2">
      <c r="A36" s="12" t="s">
        <v>20</v>
      </c>
      <c r="B36" s="13" t="s">
        <v>9</v>
      </c>
      <c r="C36" s="14">
        <v>1078</v>
      </c>
      <c r="D36" s="14">
        <v>995</v>
      </c>
      <c r="E36" s="14">
        <v>950</v>
      </c>
      <c r="F36" s="14">
        <v>933</v>
      </c>
      <c r="G36" s="14">
        <v>989</v>
      </c>
      <c r="H36" s="14">
        <v>1118</v>
      </c>
      <c r="I36" s="14">
        <v>1207</v>
      </c>
      <c r="J36" s="14">
        <v>1351</v>
      </c>
      <c r="K36" s="14">
        <v>1518</v>
      </c>
      <c r="L36" s="14">
        <v>1565</v>
      </c>
      <c r="M36" s="14">
        <v>1648</v>
      </c>
      <c r="N36" s="14">
        <v>1702</v>
      </c>
      <c r="O36" s="14">
        <v>1657</v>
      </c>
      <c r="P36" s="14">
        <v>1607</v>
      </c>
      <c r="Q36" s="14">
        <v>1606</v>
      </c>
      <c r="R36" s="14">
        <v>1570</v>
      </c>
      <c r="S36" s="14">
        <v>1584</v>
      </c>
      <c r="T36" s="14">
        <v>1911</v>
      </c>
      <c r="U36" s="14">
        <v>2801</v>
      </c>
      <c r="V36" s="14">
        <v>2769</v>
      </c>
      <c r="W36" s="14">
        <v>2477</v>
      </c>
      <c r="X36" s="14">
        <v>2092</v>
      </c>
      <c r="Y36" s="14">
        <v>1669</v>
      </c>
      <c r="Z36" s="18">
        <v>1355</v>
      </c>
      <c r="AA36" s="16">
        <f t="shared" si="1"/>
        <v>38152</v>
      </c>
      <c r="AB36" s="16">
        <v>4</v>
      </c>
      <c r="AC36" s="16">
        <f t="shared" si="0"/>
        <v>152608</v>
      </c>
      <c r="AD36" s="53"/>
    </row>
    <row r="37" spans="1:30" ht="13.5" thickBot="1" x14ac:dyDescent="0.25">
      <c r="A37" s="19"/>
      <c r="B37" s="20" t="s">
        <v>10</v>
      </c>
      <c r="C37" s="21">
        <v>1116</v>
      </c>
      <c r="D37" s="21">
        <v>1031</v>
      </c>
      <c r="E37" s="21">
        <v>983</v>
      </c>
      <c r="F37" s="21">
        <v>959</v>
      </c>
      <c r="G37" s="21">
        <v>981</v>
      </c>
      <c r="H37" s="21">
        <v>1080</v>
      </c>
      <c r="I37" s="21">
        <v>1164</v>
      </c>
      <c r="J37" s="21">
        <v>1346</v>
      </c>
      <c r="K37" s="21">
        <v>1591</v>
      </c>
      <c r="L37" s="21">
        <v>1691</v>
      </c>
      <c r="M37" s="21">
        <v>1750</v>
      </c>
      <c r="N37" s="21">
        <v>1763</v>
      </c>
      <c r="O37" s="21">
        <v>1647</v>
      </c>
      <c r="P37" s="21">
        <v>1553</v>
      </c>
      <c r="Q37" s="21">
        <v>1535</v>
      </c>
      <c r="R37" s="21">
        <v>1496</v>
      </c>
      <c r="S37" s="21">
        <v>1586</v>
      </c>
      <c r="T37" s="21">
        <v>1956</v>
      </c>
      <c r="U37" s="21">
        <v>2727</v>
      </c>
      <c r="V37" s="21">
        <v>2652</v>
      </c>
      <c r="W37" s="21">
        <v>2399</v>
      </c>
      <c r="X37" s="21">
        <v>1990</v>
      </c>
      <c r="Y37" s="21">
        <v>1545</v>
      </c>
      <c r="Z37" s="25">
        <v>1257</v>
      </c>
      <c r="AA37" s="23">
        <f t="shared" si="1"/>
        <v>37798</v>
      </c>
      <c r="AB37" s="23">
        <v>6</v>
      </c>
      <c r="AC37" s="23">
        <f t="shared" si="0"/>
        <v>226788</v>
      </c>
      <c r="AD37" s="54"/>
    </row>
    <row r="38" spans="1:30" x14ac:dyDescent="0.2">
      <c r="A38" s="5"/>
      <c r="B38" s="6" t="s">
        <v>7</v>
      </c>
      <c r="C38" s="7">
        <v>1063</v>
      </c>
      <c r="D38" s="7">
        <v>982</v>
      </c>
      <c r="E38" s="7">
        <v>950</v>
      </c>
      <c r="F38" s="7">
        <v>946</v>
      </c>
      <c r="G38" s="7">
        <v>1051</v>
      </c>
      <c r="H38" s="7">
        <v>1186</v>
      </c>
      <c r="I38" s="7">
        <v>1365</v>
      </c>
      <c r="J38" s="7">
        <v>1527</v>
      </c>
      <c r="K38" s="7">
        <v>1609</v>
      </c>
      <c r="L38" s="7">
        <v>1642</v>
      </c>
      <c r="M38" s="7">
        <v>1696</v>
      </c>
      <c r="N38" s="7">
        <v>1772</v>
      </c>
      <c r="O38" s="7">
        <v>1667</v>
      </c>
      <c r="P38" s="7">
        <v>1612</v>
      </c>
      <c r="Q38" s="7">
        <v>1611</v>
      </c>
      <c r="R38" s="7">
        <v>1607</v>
      </c>
      <c r="S38" s="7">
        <v>1670</v>
      </c>
      <c r="T38" s="7">
        <v>1990</v>
      </c>
      <c r="U38" s="7">
        <v>2740</v>
      </c>
      <c r="V38" s="7">
        <v>2860</v>
      </c>
      <c r="W38" s="7">
        <v>2607</v>
      </c>
      <c r="X38" s="7">
        <v>2243</v>
      </c>
      <c r="Y38" s="7">
        <v>1767</v>
      </c>
      <c r="Z38" s="11">
        <v>1400</v>
      </c>
      <c r="AA38" s="9">
        <f t="shared" si="1"/>
        <v>39563</v>
      </c>
      <c r="AB38" s="9">
        <v>20</v>
      </c>
      <c r="AC38" s="9">
        <f t="shared" si="0"/>
        <v>791260</v>
      </c>
      <c r="AD38" s="52">
        <f>SUM(AC38:AC40)</f>
        <v>1215427</v>
      </c>
    </row>
    <row r="39" spans="1:30" x14ac:dyDescent="0.2">
      <c r="A39" s="12" t="s">
        <v>21</v>
      </c>
      <c r="B39" s="13" t="s">
        <v>9</v>
      </c>
      <c r="C39" s="14">
        <v>1120</v>
      </c>
      <c r="D39" s="14">
        <v>1031</v>
      </c>
      <c r="E39" s="14">
        <v>978</v>
      </c>
      <c r="F39" s="14">
        <v>963</v>
      </c>
      <c r="G39" s="14">
        <v>1054</v>
      </c>
      <c r="H39" s="14">
        <v>1157</v>
      </c>
      <c r="I39" s="14">
        <v>1225</v>
      </c>
      <c r="J39" s="14">
        <v>1417</v>
      </c>
      <c r="K39" s="14">
        <v>1567</v>
      </c>
      <c r="L39" s="14">
        <v>1646</v>
      </c>
      <c r="M39" s="14">
        <v>1714</v>
      </c>
      <c r="N39" s="14">
        <v>1777</v>
      </c>
      <c r="O39" s="14">
        <v>1722</v>
      </c>
      <c r="P39" s="14">
        <v>1635</v>
      </c>
      <c r="Q39" s="14">
        <v>1636</v>
      </c>
      <c r="R39" s="14">
        <v>1594</v>
      </c>
      <c r="S39" s="14">
        <v>1710</v>
      </c>
      <c r="T39" s="14">
        <v>2000</v>
      </c>
      <c r="U39" s="14">
        <v>2674</v>
      </c>
      <c r="V39" s="14">
        <v>2823</v>
      </c>
      <c r="W39" s="14">
        <v>2560</v>
      </c>
      <c r="X39" s="14">
        <v>2222</v>
      </c>
      <c r="Y39" s="14">
        <v>1807</v>
      </c>
      <c r="Z39" s="18">
        <v>1466</v>
      </c>
      <c r="AA39" s="16">
        <f t="shared" si="1"/>
        <v>39498</v>
      </c>
      <c r="AB39" s="16">
        <v>4</v>
      </c>
      <c r="AC39" s="16">
        <f t="shared" si="0"/>
        <v>157992</v>
      </c>
      <c r="AD39" s="53"/>
    </row>
    <row r="40" spans="1:30" ht="13.5" thickBot="1" x14ac:dyDescent="0.25">
      <c r="A40" s="19"/>
      <c r="B40" s="20" t="s">
        <v>10</v>
      </c>
      <c r="C40" s="21">
        <v>1182</v>
      </c>
      <c r="D40" s="21">
        <v>1074</v>
      </c>
      <c r="E40" s="21">
        <v>1013</v>
      </c>
      <c r="F40" s="21">
        <v>982</v>
      </c>
      <c r="G40" s="21">
        <v>1040</v>
      </c>
      <c r="H40" s="21">
        <v>1097</v>
      </c>
      <c r="I40" s="21">
        <v>1130</v>
      </c>
      <c r="J40" s="21">
        <v>1308</v>
      </c>
      <c r="K40" s="21">
        <v>1581</v>
      </c>
      <c r="L40" s="21">
        <v>1725</v>
      </c>
      <c r="M40" s="21">
        <v>1720</v>
      </c>
      <c r="N40" s="21">
        <v>1773</v>
      </c>
      <c r="O40" s="21">
        <v>1740</v>
      </c>
      <c r="P40" s="21">
        <v>1597</v>
      </c>
      <c r="Q40" s="21">
        <v>1538</v>
      </c>
      <c r="R40" s="21">
        <v>1489</v>
      </c>
      <c r="S40" s="21">
        <v>1501</v>
      </c>
      <c r="T40" s="21">
        <v>1793</v>
      </c>
      <c r="U40" s="21">
        <v>2475</v>
      </c>
      <c r="V40" s="21">
        <v>2666</v>
      </c>
      <c r="W40" s="21">
        <v>2460</v>
      </c>
      <c r="X40" s="21">
        <v>2109</v>
      </c>
      <c r="Y40" s="21">
        <v>1680</v>
      </c>
      <c r="Z40" s="25">
        <v>1352</v>
      </c>
      <c r="AA40" s="23">
        <f t="shared" si="1"/>
        <v>38025</v>
      </c>
      <c r="AB40" s="23">
        <v>7</v>
      </c>
      <c r="AC40" s="23">
        <f t="shared" si="0"/>
        <v>266175</v>
      </c>
      <c r="AD40" s="54"/>
    </row>
    <row r="41" spans="1:30" x14ac:dyDescent="0.2">
      <c r="AB41" s="26"/>
      <c r="AD41" s="26"/>
    </row>
    <row r="43" spans="1:30" x14ac:dyDescent="0.2">
      <c r="AC43" s="26"/>
      <c r="AD43" s="26"/>
    </row>
  </sheetData>
  <mergeCells count="17">
    <mergeCell ref="AD23:AD25"/>
    <mergeCell ref="A1:AD1"/>
    <mergeCell ref="C3:Z3"/>
    <mergeCell ref="AA3:AA4"/>
    <mergeCell ref="AB3:AB4"/>
    <mergeCell ref="AC3:AD4"/>
    <mergeCell ref="AD5:AD7"/>
    <mergeCell ref="AD8:AD10"/>
    <mergeCell ref="AD11:AD13"/>
    <mergeCell ref="AD14:AD16"/>
    <mergeCell ref="AD17:AD19"/>
    <mergeCell ref="AD20:AD22"/>
    <mergeCell ref="AD26:AD28"/>
    <mergeCell ref="AD29:AD31"/>
    <mergeCell ref="AD32:AD34"/>
    <mergeCell ref="AD35:AD37"/>
    <mergeCell ref="AD38:AD40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sqref="A1:AD40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7.5703125" customWidth="1"/>
    <col min="30" max="30" width="10.140625" bestFit="1" customWidth="1"/>
  </cols>
  <sheetData>
    <row r="1" spans="1:30" x14ac:dyDescent="0.2">
      <c r="A1" s="55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3.5" thickBot="1" x14ac:dyDescent="0.25"/>
    <row r="3" spans="1:30" ht="13.9" customHeight="1" thickBot="1" x14ac:dyDescent="0.25">
      <c r="A3" s="1" t="s">
        <v>0</v>
      </c>
      <c r="B3" s="2" t="s">
        <v>1</v>
      </c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59" t="s">
        <v>3</v>
      </c>
      <c r="AB3" s="59" t="s">
        <v>4</v>
      </c>
      <c r="AC3" s="62" t="s">
        <v>5</v>
      </c>
      <c r="AD3" s="63"/>
    </row>
    <row r="4" spans="1:30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0"/>
      <c r="AB4" s="61"/>
      <c r="AC4" s="64"/>
      <c r="AD4" s="65"/>
    </row>
    <row r="5" spans="1:30" x14ac:dyDescent="0.2">
      <c r="A5" s="5"/>
      <c r="B5" s="6" t="s">
        <v>7</v>
      </c>
      <c r="C5" s="7">
        <v>1112</v>
      </c>
      <c r="D5" s="7">
        <v>1027</v>
      </c>
      <c r="E5" s="7">
        <v>991</v>
      </c>
      <c r="F5" s="7">
        <v>981</v>
      </c>
      <c r="G5" s="7">
        <v>1035</v>
      </c>
      <c r="H5" s="7">
        <v>1219</v>
      </c>
      <c r="I5" s="7">
        <v>1439</v>
      </c>
      <c r="J5" s="7">
        <v>1612</v>
      </c>
      <c r="K5" s="7">
        <v>1679</v>
      </c>
      <c r="L5" s="7">
        <v>1767</v>
      </c>
      <c r="M5" s="7">
        <v>1863</v>
      </c>
      <c r="N5" s="7">
        <v>1915</v>
      </c>
      <c r="O5" s="7">
        <v>1786</v>
      </c>
      <c r="P5" s="7">
        <v>1679</v>
      </c>
      <c r="Q5" s="7">
        <v>1674</v>
      </c>
      <c r="R5" s="7">
        <v>1652</v>
      </c>
      <c r="S5" s="7">
        <v>1689</v>
      </c>
      <c r="T5" s="7">
        <v>1964</v>
      </c>
      <c r="U5" s="7">
        <v>2536</v>
      </c>
      <c r="V5" s="7">
        <v>2968</v>
      </c>
      <c r="W5" s="7">
        <v>2723</v>
      </c>
      <c r="X5" s="7">
        <v>2291</v>
      </c>
      <c r="Y5" s="7">
        <v>1762</v>
      </c>
      <c r="Z5" s="8">
        <v>1376</v>
      </c>
      <c r="AA5" s="9">
        <f>SUM(C5:Z5)</f>
        <v>40740</v>
      </c>
      <c r="AB5" s="9">
        <v>21</v>
      </c>
      <c r="AC5" s="10">
        <f t="shared" ref="AC5:AC40" si="0">AA5*AB5</f>
        <v>855540</v>
      </c>
      <c r="AD5" s="52">
        <f>SUM(AC5:AC7)</f>
        <v>1253272</v>
      </c>
    </row>
    <row r="6" spans="1:30" x14ac:dyDescent="0.2">
      <c r="A6" s="12" t="s">
        <v>8</v>
      </c>
      <c r="B6" s="13" t="s">
        <v>9</v>
      </c>
      <c r="C6" s="14">
        <v>1158</v>
      </c>
      <c r="D6" s="14">
        <v>1060</v>
      </c>
      <c r="E6" s="14">
        <v>1006</v>
      </c>
      <c r="F6" s="14">
        <v>980</v>
      </c>
      <c r="G6" s="14">
        <v>1017</v>
      </c>
      <c r="H6" s="14">
        <v>1164</v>
      </c>
      <c r="I6" s="14">
        <v>1241</v>
      </c>
      <c r="J6" s="14">
        <v>1410</v>
      </c>
      <c r="K6" s="14">
        <v>1565</v>
      </c>
      <c r="L6" s="14">
        <v>1669</v>
      </c>
      <c r="M6" s="14">
        <v>1800</v>
      </c>
      <c r="N6" s="14">
        <v>1860</v>
      </c>
      <c r="O6" s="14">
        <v>1804</v>
      </c>
      <c r="P6" s="14">
        <v>1627</v>
      </c>
      <c r="Q6" s="14">
        <v>1573</v>
      </c>
      <c r="R6" s="14">
        <v>1583</v>
      </c>
      <c r="S6" s="14">
        <v>1617</v>
      </c>
      <c r="T6" s="14">
        <v>1904</v>
      </c>
      <c r="U6" s="14">
        <v>2651</v>
      </c>
      <c r="V6" s="14">
        <v>2979</v>
      </c>
      <c r="W6" s="14">
        <v>2723</v>
      </c>
      <c r="X6" s="14">
        <v>2318</v>
      </c>
      <c r="Y6" s="14">
        <v>1877</v>
      </c>
      <c r="Z6" s="15">
        <v>1534</v>
      </c>
      <c r="AA6" s="16">
        <f>SUM(C6:Z6)</f>
        <v>40120</v>
      </c>
      <c r="AB6" s="16">
        <v>4</v>
      </c>
      <c r="AC6" s="17">
        <f t="shared" si="0"/>
        <v>160480</v>
      </c>
      <c r="AD6" s="53"/>
    </row>
    <row r="7" spans="1:30" ht="13.5" thickBot="1" x14ac:dyDescent="0.25">
      <c r="A7" s="19"/>
      <c r="B7" s="20" t="s">
        <v>10</v>
      </c>
      <c r="C7" s="21">
        <v>1345</v>
      </c>
      <c r="D7" s="21">
        <v>1256</v>
      </c>
      <c r="E7" s="21">
        <v>1214</v>
      </c>
      <c r="F7" s="21">
        <v>1138</v>
      </c>
      <c r="G7" s="21">
        <v>1089</v>
      </c>
      <c r="H7" s="21">
        <v>1139</v>
      </c>
      <c r="I7" s="21">
        <v>1111</v>
      </c>
      <c r="J7" s="21">
        <v>1253</v>
      </c>
      <c r="K7" s="21">
        <v>1576</v>
      </c>
      <c r="L7" s="21">
        <v>1887</v>
      </c>
      <c r="M7" s="21">
        <v>2005</v>
      </c>
      <c r="N7" s="21">
        <v>2054</v>
      </c>
      <c r="O7" s="21">
        <v>1842</v>
      </c>
      <c r="P7" s="21">
        <v>1614</v>
      </c>
      <c r="Q7" s="21">
        <v>1476</v>
      </c>
      <c r="R7" s="21">
        <v>1459</v>
      </c>
      <c r="S7" s="21">
        <v>1426</v>
      </c>
      <c r="T7" s="21">
        <v>1691</v>
      </c>
      <c r="U7" s="21">
        <v>2316</v>
      </c>
      <c r="V7" s="21">
        <v>2767</v>
      </c>
      <c r="W7" s="21">
        <v>2539</v>
      </c>
      <c r="X7" s="21">
        <v>2157</v>
      </c>
      <c r="Y7" s="21">
        <v>1748</v>
      </c>
      <c r="Z7" s="22">
        <v>1440</v>
      </c>
      <c r="AA7" s="23">
        <f>SUM(C7:Z7)</f>
        <v>39542</v>
      </c>
      <c r="AB7" s="23">
        <v>6</v>
      </c>
      <c r="AC7" s="24">
        <f t="shared" si="0"/>
        <v>237252</v>
      </c>
      <c r="AD7" s="54"/>
    </row>
    <row r="8" spans="1:30" x14ac:dyDescent="0.2">
      <c r="A8" s="5"/>
      <c r="B8" s="6" t="s">
        <v>7</v>
      </c>
      <c r="C8" s="7">
        <v>1067</v>
      </c>
      <c r="D8" s="7">
        <v>1004</v>
      </c>
      <c r="E8" s="7">
        <v>981</v>
      </c>
      <c r="F8" s="7">
        <v>977</v>
      </c>
      <c r="G8" s="7">
        <v>1055</v>
      </c>
      <c r="H8" s="7">
        <v>1404</v>
      </c>
      <c r="I8" s="7">
        <v>2333</v>
      </c>
      <c r="J8" s="7">
        <v>1745</v>
      </c>
      <c r="K8" s="7">
        <v>1584</v>
      </c>
      <c r="L8" s="7">
        <v>1553</v>
      </c>
      <c r="M8" s="7">
        <v>1556</v>
      </c>
      <c r="N8" s="7">
        <v>1608</v>
      </c>
      <c r="O8" s="7">
        <v>1511</v>
      </c>
      <c r="P8" s="7">
        <v>1497</v>
      </c>
      <c r="Q8" s="7">
        <v>1551</v>
      </c>
      <c r="R8" s="7">
        <v>1542</v>
      </c>
      <c r="S8" s="7">
        <v>1594</v>
      </c>
      <c r="T8" s="7">
        <v>1855</v>
      </c>
      <c r="U8" s="7">
        <v>2477</v>
      </c>
      <c r="V8" s="7">
        <v>2968</v>
      </c>
      <c r="W8" s="7">
        <v>2699</v>
      </c>
      <c r="X8" s="7">
        <v>2254</v>
      </c>
      <c r="Y8" s="7">
        <v>1690</v>
      </c>
      <c r="Z8" s="11">
        <v>1313</v>
      </c>
      <c r="AA8" s="9">
        <f>SUM(C8:Z8)</f>
        <v>39818</v>
      </c>
      <c r="AB8" s="9">
        <v>20</v>
      </c>
      <c r="AC8" s="9">
        <f t="shared" si="0"/>
        <v>796360</v>
      </c>
      <c r="AD8" s="52">
        <f>SUM(AC8:AC10)</f>
        <v>1109336</v>
      </c>
    </row>
    <row r="9" spans="1:30" x14ac:dyDescent="0.2">
      <c r="A9" s="12" t="s">
        <v>11</v>
      </c>
      <c r="B9" s="13" t="s">
        <v>9</v>
      </c>
      <c r="C9" s="14">
        <v>1102</v>
      </c>
      <c r="D9" s="14">
        <v>1021</v>
      </c>
      <c r="E9" s="14">
        <v>987</v>
      </c>
      <c r="F9" s="14">
        <v>978</v>
      </c>
      <c r="G9" s="14">
        <v>1028</v>
      </c>
      <c r="H9" s="14">
        <v>1177</v>
      </c>
      <c r="I9" s="14">
        <v>1295</v>
      </c>
      <c r="J9" s="14">
        <v>1422</v>
      </c>
      <c r="K9" s="14">
        <v>1603</v>
      </c>
      <c r="L9" s="14">
        <v>1708</v>
      </c>
      <c r="M9" s="14">
        <v>1786</v>
      </c>
      <c r="N9" s="14">
        <v>1809</v>
      </c>
      <c r="O9" s="14">
        <v>1736</v>
      </c>
      <c r="P9" s="14">
        <v>1660</v>
      </c>
      <c r="Q9" s="14">
        <v>1672</v>
      </c>
      <c r="R9" s="14">
        <v>1645</v>
      </c>
      <c r="S9" s="14">
        <v>1661</v>
      </c>
      <c r="T9" s="14">
        <v>1816</v>
      </c>
      <c r="U9" s="14">
        <v>2370</v>
      </c>
      <c r="V9" s="14">
        <v>2905</v>
      </c>
      <c r="W9" s="14">
        <v>2656</v>
      </c>
      <c r="X9" s="14">
        <v>2239</v>
      </c>
      <c r="Y9" s="14">
        <v>1748</v>
      </c>
      <c r="Z9" s="18">
        <v>1403</v>
      </c>
      <c r="AA9" s="16">
        <f t="shared" ref="AA9:AA40" si="1">SUM(C9:Z9)</f>
        <v>39427</v>
      </c>
      <c r="AB9" s="16">
        <v>4</v>
      </c>
      <c r="AC9" s="16">
        <f t="shared" si="0"/>
        <v>157708</v>
      </c>
      <c r="AD9" s="53"/>
    </row>
    <row r="10" spans="1:30" ht="13.5" thickBot="1" x14ac:dyDescent="0.25">
      <c r="A10" s="19"/>
      <c r="B10" s="20" t="s">
        <v>10</v>
      </c>
      <c r="C10" s="21">
        <v>1156</v>
      </c>
      <c r="D10" s="21">
        <v>1069</v>
      </c>
      <c r="E10" s="21">
        <v>1021</v>
      </c>
      <c r="F10" s="21">
        <v>996</v>
      </c>
      <c r="G10" s="21">
        <v>1020</v>
      </c>
      <c r="H10" s="21">
        <v>1155</v>
      </c>
      <c r="I10" s="21">
        <v>1230</v>
      </c>
      <c r="J10" s="21">
        <v>1362</v>
      </c>
      <c r="K10" s="21">
        <v>1675</v>
      </c>
      <c r="L10" s="21">
        <v>1861</v>
      </c>
      <c r="M10" s="21">
        <v>1828</v>
      </c>
      <c r="N10" s="21">
        <v>1858</v>
      </c>
      <c r="O10" s="21">
        <v>1753</v>
      </c>
      <c r="P10" s="21">
        <v>1623</v>
      </c>
      <c r="Q10" s="21">
        <v>1590</v>
      </c>
      <c r="R10" s="21">
        <v>1534</v>
      </c>
      <c r="S10" s="21">
        <v>1521</v>
      </c>
      <c r="T10" s="21">
        <v>1777</v>
      </c>
      <c r="U10" s="21">
        <v>2333</v>
      </c>
      <c r="V10" s="21">
        <v>2778</v>
      </c>
      <c r="W10" s="21">
        <v>2586</v>
      </c>
      <c r="X10" s="21">
        <v>2151</v>
      </c>
      <c r="Y10" s="21">
        <v>1638</v>
      </c>
      <c r="Z10" s="25">
        <v>1302</v>
      </c>
      <c r="AA10" s="23">
        <f t="shared" si="1"/>
        <v>38817</v>
      </c>
      <c r="AB10" s="23">
        <v>4</v>
      </c>
      <c r="AC10" s="23">
        <f t="shared" si="0"/>
        <v>155268</v>
      </c>
      <c r="AD10" s="54"/>
    </row>
    <row r="11" spans="1:30" x14ac:dyDescent="0.2">
      <c r="A11" s="5"/>
      <c r="B11" s="6" t="s">
        <v>7</v>
      </c>
      <c r="C11" s="7">
        <v>1023</v>
      </c>
      <c r="D11" s="7">
        <v>952</v>
      </c>
      <c r="E11" s="7">
        <v>924</v>
      </c>
      <c r="F11" s="7">
        <v>914</v>
      </c>
      <c r="G11" s="7">
        <v>977</v>
      </c>
      <c r="H11" s="7">
        <v>1315</v>
      </c>
      <c r="I11" s="7">
        <v>2204</v>
      </c>
      <c r="J11" s="7">
        <v>1721</v>
      </c>
      <c r="K11" s="7">
        <v>1599</v>
      </c>
      <c r="L11" s="7">
        <v>1575</v>
      </c>
      <c r="M11" s="7">
        <v>1560</v>
      </c>
      <c r="N11" s="7">
        <v>1610</v>
      </c>
      <c r="O11" s="7">
        <v>1528</v>
      </c>
      <c r="P11" s="7">
        <v>1510</v>
      </c>
      <c r="Q11" s="7">
        <v>1554</v>
      </c>
      <c r="R11" s="7">
        <v>1528</v>
      </c>
      <c r="S11" s="7">
        <v>1586</v>
      </c>
      <c r="T11" s="7">
        <v>1859</v>
      </c>
      <c r="U11" s="7">
        <v>2534</v>
      </c>
      <c r="V11" s="7">
        <v>2935</v>
      </c>
      <c r="W11" s="7">
        <v>2660</v>
      </c>
      <c r="X11" s="7">
        <v>2233</v>
      </c>
      <c r="Y11" s="7">
        <v>1658</v>
      </c>
      <c r="Z11" s="11">
        <v>1273</v>
      </c>
      <c r="AA11" s="9">
        <f t="shared" si="1"/>
        <v>39232</v>
      </c>
      <c r="AB11" s="9">
        <v>20</v>
      </c>
      <c r="AC11" s="9">
        <f t="shared" si="0"/>
        <v>784640</v>
      </c>
      <c r="AD11" s="52">
        <f>SUM(AC11:AC13)</f>
        <v>1210357</v>
      </c>
    </row>
    <row r="12" spans="1:30" x14ac:dyDescent="0.2">
      <c r="A12" s="12" t="s">
        <v>12</v>
      </c>
      <c r="B12" s="13" t="s">
        <v>9</v>
      </c>
      <c r="C12" s="14">
        <v>1065</v>
      </c>
      <c r="D12" s="14">
        <v>980</v>
      </c>
      <c r="E12" s="14">
        <v>937</v>
      </c>
      <c r="F12" s="14">
        <v>930</v>
      </c>
      <c r="G12" s="14">
        <v>974</v>
      </c>
      <c r="H12" s="14">
        <v>1131</v>
      </c>
      <c r="I12" s="14">
        <v>1225</v>
      </c>
      <c r="J12" s="14">
        <v>1449</v>
      </c>
      <c r="K12" s="14">
        <v>1604</v>
      </c>
      <c r="L12" s="14">
        <v>1682</v>
      </c>
      <c r="M12" s="14">
        <v>1729</v>
      </c>
      <c r="N12" s="14">
        <v>1804</v>
      </c>
      <c r="O12" s="14">
        <v>1752</v>
      </c>
      <c r="P12" s="14">
        <v>1683</v>
      </c>
      <c r="Q12" s="14">
        <v>1679</v>
      </c>
      <c r="R12" s="14">
        <v>1611</v>
      </c>
      <c r="S12" s="14">
        <v>1643</v>
      </c>
      <c r="T12" s="14">
        <v>1925</v>
      </c>
      <c r="U12" s="14">
        <v>2605</v>
      </c>
      <c r="V12" s="14">
        <v>2878</v>
      </c>
      <c r="W12" s="14">
        <v>2627</v>
      </c>
      <c r="X12" s="14">
        <v>2215</v>
      </c>
      <c r="Y12" s="14">
        <v>1735</v>
      </c>
      <c r="Z12" s="18">
        <v>1396</v>
      </c>
      <c r="AA12" s="16">
        <f t="shared" si="1"/>
        <v>39259</v>
      </c>
      <c r="AB12" s="16">
        <v>5</v>
      </c>
      <c r="AC12" s="16">
        <f t="shared" si="0"/>
        <v>196295</v>
      </c>
      <c r="AD12" s="53"/>
    </row>
    <row r="13" spans="1:30" ht="13.5" thickBot="1" x14ac:dyDescent="0.25">
      <c r="A13" s="19"/>
      <c r="B13" s="20" t="s">
        <v>10</v>
      </c>
      <c r="C13" s="21">
        <v>1150</v>
      </c>
      <c r="D13" s="21">
        <v>1049</v>
      </c>
      <c r="E13" s="21">
        <v>998</v>
      </c>
      <c r="F13" s="21">
        <v>966</v>
      </c>
      <c r="G13" s="21">
        <v>983</v>
      </c>
      <c r="H13" s="21">
        <v>1123</v>
      </c>
      <c r="I13" s="21">
        <v>1208</v>
      </c>
      <c r="J13" s="21">
        <v>1360</v>
      </c>
      <c r="K13" s="21">
        <v>1634</v>
      </c>
      <c r="L13" s="21">
        <v>1831</v>
      </c>
      <c r="M13" s="21">
        <v>1798</v>
      </c>
      <c r="N13" s="21">
        <v>1861</v>
      </c>
      <c r="O13" s="21">
        <v>1786</v>
      </c>
      <c r="P13" s="21">
        <v>1619</v>
      </c>
      <c r="Q13" s="21">
        <v>1552</v>
      </c>
      <c r="R13" s="21">
        <v>1496</v>
      </c>
      <c r="S13" s="21">
        <v>1477</v>
      </c>
      <c r="T13" s="21">
        <v>1689</v>
      </c>
      <c r="U13" s="21">
        <v>2354</v>
      </c>
      <c r="V13" s="21">
        <v>2761</v>
      </c>
      <c r="W13" s="21">
        <v>2544</v>
      </c>
      <c r="X13" s="21">
        <v>2118</v>
      </c>
      <c r="Y13" s="21">
        <v>1610</v>
      </c>
      <c r="Z13" s="25">
        <v>1270</v>
      </c>
      <c r="AA13" s="23">
        <f t="shared" si="1"/>
        <v>38237</v>
      </c>
      <c r="AB13" s="23">
        <v>6</v>
      </c>
      <c r="AC13" s="23">
        <f t="shared" si="0"/>
        <v>229422</v>
      </c>
      <c r="AD13" s="54"/>
    </row>
    <row r="14" spans="1:30" x14ac:dyDescent="0.2">
      <c r="A14" s="5"/>
      <c r="B14" s="6" t="s">
        <v>7</v>
      </c>
      <c r="C14" s="7">
        <v>1064</v>
      </c>
      <c r="D14" s="7">
        <v>1004</v>
      </c>
      <c r="E14" s="7">
        <v>979</v>
      </c>
      <c r="F14" s="7">
        <v>975</v>
      </c>
      <c r="G14" s="7">
        <v>1027</v>
      </c>
      <c r="H14" s="7">
        <v>1302</v>
      </c>
      <c r="I14" s="7">
        <v>2038</v>
      </c>
      <c r="J14" s="7">
        <v>1646</v>
      </c>
      <c r="K14" s="7">
        <v>1541</v>
      </c>
      <c r="L14" s="7">
        <v>1512</v>
      </c>
      <c r="M14" s="7">
        <v>1526</v>
      </c>
      <c r="N14" s="7">
        <v>1570</v>
      </c>
      <c r="O14" s="7">
        <v>1512</v>
      </c>
      <c r="P14" s="7">
        <v>1478</v>
      </c>
      <c r="Q14" s="7">
        <v>1531</v>
      </c>
      <c r="R14" s="7">
        <v>1507</v>
      </c>
      <c r="S14" s="7">
        <v>1563</v>
      </c>
      <c r="T14" s="7">
        <v>1831</v>
      </c>
      <c r="U14" s="7">
        <v>2563</v>
      </c>
      <c r="V14" s="7">
        <v>2805</v>
      </c>
      <c r="W14" s="7">
        <v>2557</v>
      </c>
      <c r="X14" s="7">
        <v>2171</v>
      </c>
      <c r="Y14" s="7">
        <v>1667</v>
      </c>
      <c r="Z14" s="11">
        <v>1315</v>
      </c>
      <c r="AA14" s="9">
        <f t="shared" si="1"/>
        <v>38684</v>
      </c>
      <c r="AB14" s="9">
        <v>20</v>
      </c>
      <c r="AC14" s="9">
        <f t="shared" si="0"/>
        <v>773680</v>
      </c>
      <c r="AD14" s="52">
        <f>SUM(AC14:AC16)</f>
        <v>1153684</v>
      </c>
    </row>
    <row r="15" spans="1:30" x14ac:dyDescent="0.2">
      <c r="A15" s="12" t="s">
        <v>13</v>
      </c>
      <c r="B15" s="13" t="s">
        <v>9</v>
      </c>
      <c r="C15" s="14">
        <v>1118</v>
      </c>
      <c r="D15" s="14">
        <v>1035</v>
      </c>
      <c r="E15" s="14">
        <v>994</v>
      </c>
      <c r="F15" s="14">
        <v>984</v>
      </c>
      <c r="G15" s="14">
        <v>1019</v>
      </c>
      <c r="H15" s="14">
        <v>1139</v>
      </c>
      <c r="I15" s="14">
        <v>1219</v>
      </c>
      <c r="J15" s="14">
        <v>1398</v>
      </c>
      <c r="K15" s="14">
        <v>1541</v>
      </c>
      <c r="L15" s="14">
        <v>1573</v>
      </c>
      <c r="M15" s="14">
        <v>1665</v>
      </c>
      <c r="N15" s="14">
        <v>1709</v>
      </c>
      <c r="O15" s="14">
        <v>1662</v>
      </c>
      <c r="P15" s="14">
        <v>1622</v>
      </c>
      <c r="Q15" s="14">
        <v>1635</v>
      </c>
      <c r="R15" s="14">
        <v>1591</v>
      </c>
      <c r="S15" s="14">
        <v>1603</v>
      </c>
      <c r="T15" s="14">
        <v>1804</v>
      </c>
      <c r="U15" s="14">
        <v>2541</v>
      </c>
      <c r="V15" s="14">
        <v>2762</v>
      </c>
      <c r="W15" s="14">
        <v>2482</v>
      </c>
      <c r="X15" s="14">
        <v>2117</v>
      </c>
      <c r="Y15" s="14">
        <v>1730</v>
      </c>
      <c r="Z15" s="18">
        <v>1427</v>
      </c>
      <c r="AA15" s="16">
        <f t="shared" si="1"/>
        <v>38370</v>
      </c>
      <c r="AB15" s="16">
        <v>4</v>
      </c>
      <c r="AC15" s="16">
        <f t="shared" si="0"/>
        <v>153480</v>
      </c>
      <c r="AD15" s="53"/>
    </row>
    <row r="16" spans="1:30" ht="13.5" thickBot="1" x14ac:dyDescent="0.25">
      <c r="A16" s="19"/>
      <c r="B16" s="20" t="s">
        <v>10</v>
      </c>
      <c r="C16" s="21">
        <v>1174</v>
      </c>
      <c r="D16" s="21">
        <v>1070</v>
      </c>
      <c r="E16" s="21">
        <v>1015</v>
      </c>
      <c r="F16" s="21">
        <v>995</v>
      </c>
      <c r="G16" s="21">
        <v>1007</v>
      </c>
      <c r="H16" s="21">
        <v>1109</v>
      </c>
      <c r="I16" s="21">
        <v>1155</v>
      </c>
      <c r="J16" s="21">
        <v>1371</v>
      </c>
      <c r="K16" s="21">
        <v>1629</v>
      </c>
      <c r="L16" s="21">
        <v>1771</v>
      </c>
      <c r="M16" s="21">
        <v>1748</v>
      </c>
      <c r="N16" s="21">
        <v>1803</v>
      </c>
      <c r="O16" s="21">
        <v>1707</v>
      </c>
      <c r="P16" s="21">
        <v>1615</v>
      </c>
      <c r="Q16" s="21">
        <v>1594</v>
      </c>
      <c r="R16" s="21">
        <v>1506</v>
      </c>
      <c r="S16" s="21">
        <v>1506</v>
      </c>
      <c r="T16" s="21">
        <v>1713</v>
      </c>
      <c r="U16" s="21">
        <v>2377</v>
      </c>
      <c r="V16" s="21">
        <v>2579</v>
      </c>
      <c r="W16" s="21">
        <v>2347</v>
      </c>
      <c r="X16" s="21">
        <v>2003</v>
      </c>
      <c r="Y16" s="21">
        <v>1615</v>
      </c>
      <c r="Z16" s="25">
        <v>1345</v>
      </c>
      <c r="AA16" s="23">
        <f t="shared" si="1"/>
        <v>37754</v>
      </c>
      <c r="AB16" s="23">
        <v>6</v>
      </c>
      <c r="AC16" s="23">
        <f t="shared" si="0"/>
        <v>226524</v>
      </c>
      <c r="AD16" s="54"/>
    </row>
    <row r="17" spans="1:30" x14ac:dyDescent="0.2">
      <c r="A17" s="5"/>
      <c r="B17" s="6" t="s">
        <v>7</v>
      </c>
      <c r="C17" s="7">
        <v>1043</v>
      </c>
      <c r="D17" s="7">
        <v>978</v>
      </c>
      <c r="E17" s="7">
        <v>957</v>
      </c>
      <c r="F17" s="7">
        <v>952</v>
      </c>
      <c r="G17" s="7">
        <v>1016</v>
      </c>
      <c r="H17" s="7">
        <v>1318</v>
      </c>
      <c r="I17" s="7">
        <v>2181</v>
      </c>
      <c r="J17" s="7">
        <v>1677</v>
      </c>
      <c r="K17" s="7">
        <v>1554</v>
      </c>
      <c r="L17" s="7">
        <v>1528</v>
      </c>
      <c r="M17" s="7">
        <v>1533</v>
      </c>
      <c r="N17" s="7">
        <v>1571</v>
      </c>
      <c r="O17" s="7">
        <v>1468</v>
      </c>
      <c r="P17" s="7">
        <v>1456</v>
      </c>
      <c r="Q17" s="7">
        <v>1521</v>
      </c>
      <c r="R17" s="7">
        <v>1507</v>
      </c>
      <c r="S17" s="7">
        <v>1568</v>
      </c>
      <c r="T17" s="7">
        <v>1877</v>
      </c>
      <c r="U17" s="7">
        <v>2646</v>
      </c>
      <c r="V17" s="7">
        <v>2866</v>
      </c>
      <c r="W17" s="7">
        <v>2618</v>
      </c>
      <c r="X17" s="7">
        <v>2211</v>
      </c>
      <c r="Y17" s="7">
        <v>1672</v>
      </c>
      <c r="Z17" s="11">
        <v>1299</v>
      </c>
      <c r="AA17" s="9">
        <f t="shared" si="1"/>
        <v>39017</v>
      </c>
      <c r="AB17" s="9">
        <v>22</v>
      </c>
      <c r="AC17" s="9">
        <f t="shared" si="0"/>
        <v>858374</v>
      </c>
      <c r="AD17" s="52">
        <f>SUM(AC17:AC19)</f>
        <v>1203964</v>
      </c>
    </row>
    <row r="18" spans="1:30" x14ac:dyDescent="0.2">
      <c r="A18" s="12" t="s">
        <v>14</v>
      </c>
      <c r="B18" s="13" t="s">
        <v>9</v>
      </c>
      <c r="C18" s="14">
        <v>1078</v>
      </c>
      <c r="D18" s="14">
        <v>1002</v>
      </c>
      <c r="E18" s="14">
        <v>957</v>
      </c>
      <c r="F18" s="14">
        <v>944</v>
      </c>
      <c r="G18" s="14">
        <v>1004</v>
      </c>
      <c r="H18" s="14">
        <v>1144</v>
      </c>
      <c r="I18" s="14">
        <v>1234</v>
      </c>
      <c r="J18" s="14">
        <v>1462</v>
      </c>
      <c r="K18" s="14">
        <v>1583</v>
      </c>
      <c r="L18" s="14">
        <v>1644</v>
      </c>
      <c r="M18" s="14">
        <v>1669</v>
      </c>
      <c r="N18" s="14">
        <v>1724</v>
      </c>
      <c r="O18" s="14">
        <v>1643</v>
      </c>
      <c r="P18" s="14">
        <v>1573</v>
      </c>
      <c r="Q18" s="14">
        <v>1578</v>
      </c>
      <c r="R18" s="14">
        <v>1577</v>
      </c>
      <c r="S18" s="14">
        <v>1619</v>
      </c>
      <c r="T18" s="14">
        <v>1924</v>
      </c>
      <c r="U18" s="14">
        <v>2705</v>
      </c>
      <c r="V18" s="14">
        <v>2851</v>
      </c>
      <c r="W18" s="14">
        <v>2579</v>
      </c>
      <c r="X18" s="14">
        <v>2177</v>
      </c>
      <c r="Y18" s="14">
        <v>1728</v>
      </c>
      <c r="Z18" s="18">
        <v>1401</v>
      </c>
      <c r="AA18" s="16">
        <f t="shared" si="1"/>
        <v>38800</v>
      </c>
      <c r="AB18" s="16">
        <v>4</v>
      </c>
      <c r="AC18" s="16">
        <f t="shared" si="0"/>
        <v>155200</v>
      </c>
      <c r="AD18" s="53"/>
    </row>
    <row r="19" spans="1:30" ht="13.5" thickBot="1" x14ac:dyDescent="0.25">
      <c r="A19" s="19"/>
      <c r="B19" s="20" t="s">
        <v>10</v>
      </c>
      <c r="C19" s="21">
        <v>1120</v>
      </c>
      <c r="D19" s="21">
        <v>1042</v>
      </c>
      <c r="E19" s="21">
        <v>1003</v>
      </c>
      <c r="F19" s="21">
        <v>979</v>
      </c>
      <c r="G19" s="21">
        <v>990</v>
      </c>
      <c r="H19" s="21">
        <v>1111</v>
      </c>
      <c r="I19" s="21">
        <v>1178</v>
      </c>
      <c r="J19" s="21">
        <v>1380</v>
      </c>
      <c r="K19" s="21">
        <v>1649</v>
      </c>
      <c r="L19" s="21">
        <v>1816</v>
      </c>
      <c r="M19" s="21">
        <v>1826</v>
      </c>
      <c r="N19" s="21">
        <v>1860</v>
      </c>
      <c r="O19" s="21">
        <v>1730</v>
      </c>
      <c r="P19" s="21">
        <v>1586</v>
      </c>
      <c r="Q19" s="21">
        <v>1552</v>
      </c>
      <c r="R19" s="21">
        <v>1485</v>
      </c>
      <c r="S19" s="21">
        <v>1508</v>
      </c>
      <c r="T19" s="21">
        <v>1735</v>
      </c>
      <c r="U19" s="21">
        <v>2403</v>
      </c>
      <c r="V19" s="21">
        <v>2696</v>
      </c>
      <c r="W19" s="21">
        <v>2493</v>
      </c>
      <c r="X19" s="21">
        <v>2077</v>
      </c>
      <c r="Y19" s="21">
        <v>1589</v>
      </c>
      <c r="Z19" s="25">
        <v>1270</v>
      </c>
      <c r="AA19" s="23">
        <f t="shared" si="1"/>
        <v>38078</v>
      </c>
      <c r="AB19" s="23">
        <v>5</v>
      </c>
      <c r="AC19" s="23">
        <f t="shared" si="0"/>
        <v>190390</v>
      </c>
      <c r="AD19" s="54"/>
    </row>
    <row r="20" spans="1:30" x14ac:dyDescent="0.2">
      <c r="A20" s="5"/>
      <c r="B20" s="6" t="s">
        <v>7</v>
      </c>
      <c r="C20" s="7">
        <v>1071</v>
      </c>
      <c r="D20" s="7">
        <v>1010</v>
      </c>
      <c r="E20" s="7">
        <v>989</v>
      </c>
      <c r="F20" s="7">
        <v>981</v>
      </c>
      <c r="G20" s="7">
        <v>1032</v>
      </c>
      <c r="H20" s="7">
        <v>1296</v>
      </c>
      <c r="I20" s="7">
        <v>2128</v>
      </c>
      <c r="J20" s="7">
        <v>1699</v>
      </c>
      <c r="K20" s="7">
        <v>1583</v>
      </c>
      <c r="L20" s="7">
        <v>1536</v>
      </c>
      <c r="M20" s="7">
        <v>1526</v>
      </c>
      <c r="N20" s="7">
        <v>1570</v>
      </c>
      <c r="O20" s="7">
        <v>1483</v>
      </c>
      <c r="P20" s="7">
        <v>1482</v>
      </c>
      <c r="Q20" s="7">
        <v>1547</v>
      </c>
      <c r="R20" s="7">
        <v>1525</v>
      </c>
      <c r="S20" s="7">
        <v>1602</v>
      </c>
      <c r="T20" s="7">
        <v>1899</v>
      </c>
      <c r="U20" s="7">
        <v>2518</v>
      </c>
      <c r="V20" s="7">
        <v>2730</v>
      </c>
      <c r="W20" s="7">
        <v>2494</v>
      </c>
      <c r="X20" s="7">
        <v>2120</v>
      </c>
      <c r="Y20" s="7">
        <v>1642</v>
      </c>
      <c r="Z20" s="11">
        <v>1311</v>
      </c>
      <c r="AA20" s="9">
        <f t="shared" si="1"/>
        <v>38774</v>
      </c>
      <c r="AB20" s="9">
        <v>18</v>
      </c>
      <c r="AC20" s="9">
        <f t="shared" si="0"/>
        <v>697932</v>
      </c>
      <c r="AD20" s="52">
        <f>SUM(AC20:AC22)</f>
        <v>1157640</v>
      </c>
    </row>
    <row r="21" spans="1:30" x14ac:dyDescent="0.2">
      <c r="A21" s="12" t="s">
        <v>15</v>
      </c>
      <c r="B21" s="13" t="s">
        <v>9</v>
      </c>
      <c r="C21" s="14">
        <v>1119</v>
      </c>
      <c r="D21" s="14">
        <v>1035</v>
      </c>
      <c r="E21" s="14">
        <v>994</v>
      </c>
      <c r="F21" s="14">
        <v>985</v>
      </c>
      <c r="G21" s="14">
        <v>1018</v>
      </c>
      <c r="H21" s="14">
        <v>1132</v>
      </c>
      <c r="I21" s="14">
        <v>1222</v>
      </c>
      <c r="J21" s="14">
        <v>1411</v>
      </c>
      <c r="K21" s="14">
        <v>1549</v>
      </c>
      <c r="L21" s="14">
        <v>1626</v>
      </c>
      <c r="M21" s="14">
        <v>1674</v>
      </c>
      <c r="N21" s="14">
        <v>1758</v>
      </c>
      <c r="O21" s="14">
        <v>1669</v>
      </c>
      <c r="P21" s="14">
        <v>1618</v>
      </c>
      <c r="Q21" s="14">
        <v>1610</v>
      </c>
      <c r="R21" s="14">
        <v>1633</v>
      </c>
      <c r="S21" s="14">
        <v>1669</v>
      </c>
      <c r="T21" s="14">
        <v>2019</v>
      </c>
      <c r="U21" s="14">
        <v>2561</v>
      </c>
      <c r="V21" s="14">
        <v>2718</v>
      </c>
      <c r="W21" s="14">
        <v>2454</v>
      </c>
      <c r="X21" s="14">
        <v>2071</v>
      </c>
      <c r="Y21" s="14">
        <v>1683</v>
      </c>
      <c r="Z21" s="18">
        <v>1417</v>
      </c>
      <c r="AA21" s="16">
        <f t="shared" si="1"/>
        <v>38645</v>
      </c>
      <c r="AB21" s="16">
        <v>5</v>
      </c>
      <c r="AC21" s="16">
        <f t="shared" si="0"/>
        <v>193225</v>
      </c>
      <c r="AD21" s="53"/>
    </row>
    <row r="22" spans="1:30" ht="13.5" thickBot="1" x14ac:dyDescent="0.25">
      <c r="A22" s="19"/>
      <c r="B22" s="20" t="s">
        <v>10</v>
      </c>
      <c r="C22" s="21">
        <v>1171</v>
      </c>
      <c r="D22" s="21">
        <v>1089</v>
      </c>
      <c r="E22" s="21">
        <v>1054</v>
      </c>
      <c r="F22" s="21">
        <v>1033</v>
      </c>
      <c r="G22" s="21">
        <v>1048</v>
      </c>
      <c r="H22" s="21">
        <v>1145</v>
      </c>
      <c r="I22" s="21">
        <v>1182</v>
      </c>
      <c r="J22" s="21">
        <v>1352</v>
      </c>
      <c r="K22" s="21">
        <v>1588</v>
      </c>
      <c r="L22" s="21">
        <v>1740</v>
      </c>
      <c r="M22" s="21">
        <v>1721</v>
      </c>
      <c r="N22" s="21">
        <v>1829</v>
      </c>
      <c r="O22" s="21">
        <v>1743</v>
      </c>
      <c r="P22" s="21">
        <v>1655</v>
      </c>
      <c r="Q22" s="21">
        <v>1599</v>
      </c>
      <c r="R22" s="21">
        <v>1564</v>
      </c>
      <c r="S22" s="21">
        <v>1550</v>
      </c>
      <c r="T22" s="21">
        <v>1775</v>
      </c>
      <c r="U22" s="21">
        <v>2340</v>
      </c>
      <c r="V22" s="21">
        <v>2592</v>
      </c>
      <c r="W22" s="21">
        <v>2386</v>
      </c>
      <c r="X22" s="21">
        <v>2010</v>
      </c>
      <c r="Y22" s="21">
        <v>1587</v>
      </c>
      <c r="Z22" s="25">
        <v>1316</v>
      </c>
      <c r="AA22" s="23">
        <f t="shared" si="1"/>
        <v>38069</v>
      </c>
      <c r="AB22" s="23">
        <v>7</v>
      </c>
      <c r="AC22" s="23">
        <f t="shared" si="0"/>
        <v>266483</v>
      </c>
      <c r="AD22" s="54"/>
    </row>
    <row r="23" spans="1:30" x14ac:dyDescent="0.2">
      <c r="A23" s="5"/>
      <c r="B23" s="6" t="s">
        <v>7</v>
      </c>
      <c r="C23" s="7">
        <v>1056</v>
      </c>
      <c r="D23" s="7">
        <v>984</v>
      </c>
      <c r="E23" s="7">
        <v>952</v>
      </c>
      <c r="F23" s="7">
        <v>945</v>
      </c>
      <c r="G23" s="7">
        <v>999</v>
      </c>
      <c r="H23" s="7">
        <v>1227</v>
      </c>
      <c r="I23" s="7">
        <v>1744</v>
      </c>
      <c r="J23" s="7">
        <v>1685</v>
      </c>
      <c r="K23" s="7">
        <v>1605</v>
      </c>
      <c r="L23" s="7">
        <v>1599</v>
      </c>
      <c r="M23" s="7">
        <v>1634</v>
      </c>
      <c r="N23" s="7">
        <v>1685</v>
      </c>
      <c r="O23" s="7">
        <v>1584</v>
      </c>
      <c r="P23" s="7">
        <v>1552</v>
      </c>
      <c r="Q23" s="7">
        <v>1574</v>
      </c>
      <c r="R23" s="7">
        <v>1538</v>
      </c>
      <c r="S23" s="7">
        <v>1608</v>
      </c>
      <c r="T23" s="7">
        <v>1886</v>
      </c>
      <c r="U23" s="7">
        <v>2492</v>
      </c>
      <c r="V23" s="7">
        <v>2834</v>
      </c>
      <c r="W23" s="7">
        <v>2594</v>
      </c>
      <c r="X23" s="7">
        <v>2216</v>
      </c>
      <c r="Y23" s="7">
        <v>1715</v>
      </c>
      <c r="Z23" s="11">
        <v>1327</v>
      </c>
      <c r="AA23" s="9">
        <f t="shared" si="1"/>
        <v>39035</v>
      </c>
      <c r="AB23" s="9">
        <v>22</v>
      </c>
      <c r="AC23" s="9">
        <f t="shared" si="0"/>
        <v>858770</v>
      </c>
      <c r="AD23" s="52">
        <f>SUM(AC23:AC25)</f>
        <v>1202294</v>
      </c>
    </row>
    <row r="24" spans="1:30" x14ac:dyDescent="0.2">
      <c r="A24" s="12" t="s">
        <v>16</v>
      </c>
      <c r="B24" s="13" t="s">
        <v>9</v>
      </c>
      <c r="C24" s="14">
        <v>1106</v>
      </c>
      <c r="D24" s="14">
        <v>1015</v>
      </c>
      <c r="E24" s="14">
        <v>961</v>
      </c>
      <c r="F24" s="14">
        <v>947</v>
      </c>
      <c r="G24" s="14">
        <v>999</v>
      </c>
      <c r="H24" s="14">
        <v>1147</v>
      </c>
      <c r="I24" s="14">
        <v>1269</v>
      </c>
      <c r="J24" s="14">
        <v>1470</v>
      </c>
      <c r="K24" s="14">
        <v>1615</v>
      </c>
      <c r="L24" s="14">
        <v>1731</v>
      </c>
      <c r="M24" s="14">
        <v>1790</v>
      </c>
      <c r="N24" s="14">
        <v>1852</v>
      </c>
      <c r="O24" s="14">
        <v>1739</v>
      </c>
      <c r="P24" s="14">
        <v>1679</v>
      </c>
      <c r="Q24" s="14">
        <v>1642</v>
      </c>
      <c r="R24" s="14">
        <v>1595</v>
      </c>
      <c r="S24" s="14">
        <v>1669</v>
      </c>
      <c r="T24" s="14">
        <v>1932</v>
      </c>
      <c r="U24" s="14">
        <v>2503</v>
      </c>
      <c r="V24" s="14">
        <v>2736</v>
      </c>
      <c r="W24" s="14">
        <v>2472</v>
      </c>
      <c r="X24" s="14">
        <v>2117</v>
      </c>
      <c r="Y24" s="14">
        <v>1722</v>
      </c>
      <c r="Z24" s="18">
        <v>1428</v>
      </c>
      <c r="AA24" s="16">
        <f t="shared" si="1"/>
        <v>39136</v>
      </c>
      <c r="AB24" s="16">
        <v>3</v>
      </c>
      <c r="AC24" s="16">
        <f t="shared" si="0"/>
        <v>117408</v>
      </c>
      <c r="AD24" s="53"/>
    </row>
    <row r="25" spans="1:30" ht="13.5" thickBot="1" x14ac:dyDescent="0.25">
      <c r="A25" s="19"/>
      <c r="B25" s="20" t="s">
        <v>10</v>
      </c>
      <c r="C25" s="21">
        <v>1126</v>
      </c>
      <c r="D25" s="21">
        <v>1036</v>
      </c>
      <c r="E25" s="21">
        <v>986</v>
      </c>
      <c r="F25" s="21">
        <v>957</v>
      </c>
      <c r="G25" s="21">
        <v>976</v>
      </c>
      <c r="H25" s="21">
        <v>1092</v>
      </c>
      <c r="I25" s="21">
        <v>1147</v>
      </c>
      <c r="J25" s="21">
        <v>1328</v>
      </c>
      <c r="K25" s="21">
        <v>1549</v>
      </c>
      <c r="L25" s="21">
        <v>1696</v>
      </c>
      <c r="M25" s="21">
        <v>1755</v>
      </c>
      <c r="N25" s="21">
        <v>1790</v>
      </c>
      <c r="O25" s="21">
        <v>1684</v>
      </c>
      <c r="P25" s="21">
        <v>1576</v>
      </c>
      <c r="Q25" s="21">
        <v>1558</v>
      </c>
      <c r="R25" s="21">
        <v>1562</v>
      </c>
      <c r="S25" s="21">
        <v>1577</v>
      </c>
      <c r="T25" s="21">
        <v>1824</v>
      </c>
      <c r="U25" s="21">
        <v>2388</v>
      </c>
      <c r="V25" s="21">
        <v>2655</v>
      </c>
      <c r="W25" s="21">
        <v>2424</v>
      </c>
      <c r="X25" s="21">
        <v>2059</v>
      </c>
      <c r="Y25" s="21">
        <v>1633</v>
      </c>
      <c r="Z25" s="25">
        <v>1308</v>
      </c>
      <c r="AA25" s="23">
        <f t="shared" si="1"/>
        <v>37686</v>
      </c>
      <c r="AB25" s="23">
        <v>6</v>
      </c>
      <c r="AC25" s="23">
        <f t="shared" si="0"/>
        <v>226116</v>
      </c>
      <c r="AD25" s="54"/>
    </row>
    <row r="26" spans="1:30" x14ac:dyDescent="0.2">
      <c r="A26" s="5"/>
      <c r="B26" s="6" t="s">
        <v>7</v>
      </c>
      <c r="C26" s="7">
        <v>1076</v>
      </c>
      <c r="D26" s="7">
        <v>1012</v>
      </c>
      <c r="E26" s="7">
        <v>986</v>
      </c>
      <c r="F26" s="7">
        <v>978</v>
      </c>
      <c r="G26" s="7">
        <v>1035</v>
      </c>
      <c r="H26" s="7">
        <v>1299</v>
      </c>
      <c r="I26" s="7">
        <v>2118</v>
      </c>
      <c r="J26" s="7">
        <v>1746</v>
      </c>
      <c r="K26" s="7">
        <v>1619</v>
      </c>
      <c r="L26" s="7">
        <v>1545</v>
      </c>
      <c r="M26" s="7">
        <v>1550</v>
      </c>
      <c r="N26" s="7">
        <v>1598</v>
      </c>
      <c r="O26" s="7">
        <v>1501</v>
      </c>
      <c r="P26" s="7">
        <v>1472</v>
      </c>
      <c r="Q26" s="7">
        <v>1536</v>
      </c>
      <c r="R26" s="7">
        <v>1522</v>
      </c>
      <c r="S26" s="7">
        <v>1600</v>
      </c>
      <c r="T26" s="7">
        <v>1887</v>
      </c>
      <c r="U26" s="7">
        <v>2521</v>
      </c>
      <c r="V26" s="7">
        <v>2789</v>
      </c>
      <c r="W26" s="7">
        <v>2542</v>
      </c>
      <c r="X26" s="7">
        <v>2168</v>
      </c>
      <c r="Y26" s="7">
        <v>1680</v>
      </c>
      <c r="Z26" s="11">
        <v>1306</v>
      </c>
      <c r="AA26" s="9">
        <f t="shared" si="1"/>
        <v>39086</v>
      </c>
      <c r="AB26" s="9">
        <v>20</v>
      </c>
      <c r="AC26" s="9">
        <f t="shared" si="0"/>
        <v>781720</v>
      </c>
      <c r="AD26" s="52">
        <f>SUM(AC26:AC28)</f>
        <v>1206697</v>
      </c>
    </row>
    <row r="27" spans="1:30" x14ac:dyDescent="0.2">
      <c r="A27" s="12" t="s">
        <v>17</v>
      </c>
      <c r="B27" s="13" t="s">
        <v>9</v>
      </c>
      <c r="C27" s="14">
        <v>1061</v>
      </c>
      <c r="D27" s="14">
        <v>976</v>
      </c>
      <c r="E27" s="14">
        <v>939</v>
      </c>
      <c r="F27" s="14">
        <v>929</v>
      </c>
      <c r="G27" s="14">
        <v>977</v>
      </c>
      <c r="H27" s="14">
        <v>1124</v>
      </c>
      <c r="I27" s="14">
        <v>1186</v>
      </c>
      <c r="J27" s="14">
        <v>1366</v>
      </c>
      <c r="K27" s="14">
        <v>1559</v>
      </c>
      <c r="L27" s="14">
        <v>1643</v>
      </c>
      <c r="M27" s="14">
        <v>1706</v>
      </c>
      <c r="N27" s="14">
        <v>1762</v>
      </c>
      <c r="O27" s="14">
        <v>1711</v>
      </c>
      <c r="P27" s="14">
        <v>1652</v>
      </c>
      <c r="Q27" s="14">
        <v>1634</v>
      </c>
      <c r="R27" s="14">
        <v>1631</v>
      </c>
      <c r="S27" s="14">
        <v>1687</v>
      </c>
      <c r="T27" s="14">
        <v>1928</v>
      </c>
      <c r="U27" s="14">
        <v>2486</v>
      </c>
      <c r="V27" s="14">
        <v>2704</v>
      </c>
      <c r="W27" s="14">
        <v>2498</v>
      </c>
      <c r="X27" s="14">
        <v>2150</v>
      </c>
      <c r="Y27" s="14">
        <v>1740</v>
      </c>
      <c r="Z27" s="18">
        <v>1408</v>
      </c>
      <c r="AA27" s="16">
        <f t="shared" si="1"/>
        <v>38457</v>
      </c>
      <c r="AB27" s="16">
        <v>5</v>
      </c>
      <c r="AC27" s="16">
        <f t="shared" si="0"/>
        <v>192285</v>
      </c>
      <c r="AD27" s="53"/>
    </row>
    <row r="28" spans="1:30" ht="13.5" thickBot="1" x14ac:dyDescent="0.25">
      <c r="A28" s="19"/>
      <c r="B28" s="20" t="s">
        <v>10</v>
      </c>
      <c r="C28" s="21">
        <v>1155</v>
      </c>
      <c r="D28" s="21">
        <v>1070</v>
      </c>
      <c r="E28" s="21">
        <v>1023</v>
      </c>
      <c r="F28" s="21">
        <v>996</v>
      </c>
      <c r="G28" s="21">
        <v>1020</v>
      </c>
      <c r="H28" s="21">
        <v>1148</v>
      </c>
      <c r="I28" s="21">
        <v>1200</v>
      </c>
      <c r="J28" s="21">
        <v>1370</v>
      </c>
      <c r="K28" s="21">
        <v>1641</v>
      </c>
      <c r="L28" s="21">
        <v>1833</v>
      </c>
      <c r="M28" s="21">
        <v>1866</v>
      </c>
      <c r="N28" s="21">
        <v>1893</v>
      </c>
      <c r="O28" s="21">
        <v>1777</v>
      </c>
      <c r="P28" s="21">
        <v>1663</v>
      </c>
      <c r="Q28" s="21">
        <v>1621</v>
      </c>
      <c r="R28" s="21">
        <v>1580</v>
      </c>
      <c r="S28" s="21">
        <v>1600</v>
      </c>
      <c r="T28" s="21">
        <v>1839</v>
      </c>
      <c r="U28" s="21">
        <v>2366</v>
      </c>
      <c r="V28" s="21">
        <v>2655</v>
      </c>
      <c r="W28" s="21">
        <v>2443</v>
      </c>
      <c r="X28" s="21">
        <v>2075</v>
      </c>
      <c r="Y28" s="21">
        <v>1638</v>
      </c>
      <c r="Z28" s="25">
        <v>1310</v>
      </c>
      <c r="AA28" s="23">
        <f t="shared" si="1"/>
        <v>38782</v>
      </c>
      <c r="AB28" s="23">
        <v>6</v>
      </c>
      <c r="AC28" s="23">
        <f t="shared" si="0"/>
        <v>232692</v>
      </c>
      <c r="AD28" s="54"/>
    </row>
    <row r="29" spans="1:30" x14ac:dyDescent="0.2">
      <c r="A29" s="5"/>
      <c r="B29" s="6" t="s">
        <v>7</v>
      </c>
      <c r="C29" s="7">
        <v>1058</v>
      </c>
      <c r="D29" s="7">
        <v>988</v>
      </c>
      <c r="E29" s="7">
        <v>960</v>
      </c>
      <c r="F29" s="7">
        <v>956</v>
      </c>
      <c r="G29" s="7">
        <v>1021</v>
      </c>
      <c r="H29" s="7">
        <v>1299</v>
      </c>
      <c r="I29" s="7">
        <v>2182</v>
      </c>
      <c r="J29" s="7">
        <v>1724</v>
      </c>
      <c r="K29" s="7">
        <v>1588</v>
      </c>
      <c r="L29" s="7">
        <v>1542</v>
      </c>
      <c r="M29" s="7">
        <v>1533</v>
      </c>
      <c r="N29" s="7">
        <v>1607</v>
      </c>
      <c r="O29" s="7">
        <v>1505</v>
      </c>
      <c r="P29" s="7">
        <v>1510</v>
      </c>
      <c r="Q29" s="7">
        <v>1565</v>
      </c>
      <c r="R29" s="7">
        <v>1553</v>
      </c>
      <c r="S29" s="7">
        <v>1619</v>
      </c>
      <c r="T29" s="7">
        <v>1918</v>
      </c>
      <c r="U29" s="7">
        <v>2696</v>
      </c>
      <c r="V29" s="7">
        <v>2857</v>
      </c>
      <c r="W29" s="7">
        <v>2605</v>
      </c>
      <c r="X29" s="7">
        <v>2205</v>
      </c>
      <c r="Y29" s="7">
        <v>1687</v>
      </c>
      <c r="Z29" s="11">
        <v>1311</v>
      </c>
      <c r="AA29" s="9">
        <f t="shared" si="1"/>
        <v>39489</v>
      </c>
      <c r="AB29" s="9">
        <v>21</v>
      </c>
      <c r="AC29" s="9">
        <f t="shared" si="0"/>
        <v>829269</v>
      </c>
      <c r="AD29" s="52">
        <f>SUM(AC29:AC31)</f>
        <v>1176893</v>
      </c>
    </row>
    <row r="30" spans="1:30" x14ac:dyDescent="0.2">
      <c r="A30" s="12" t="s">
        <v>18</v>
      </c>
      <c r="B30" s="13" t="s">
        <v>9</v>
      </c>
      <c r="C30" s="14">
        <v>1096</v>
      </c>
      <c r="D30" s="14">
        <v>1008</v>
      </c>
      <c r="E30" s="14">
        <v>961</v>
      </c>
      <c r="F30" s="14">
        <v>949</v>
      </c>
      <c r="G30" s="14">
        <v>988</v>
      </c>
      <c r="H30" s="14">
        <v>1124</v>
      </c>
      <c r="I30" s="14">
        <v>1255</v>
      </c>
      <c r="J30" s="14">
        <v>1499</v>
      </c>
      <c r="K30" s="14">
        <v>1651</v>
      </c>
      <c r="L30" s="14">
        <v>1716</v>
      </c>
      <c r="M30" s="14">
        <v>1818</v>
      </c>
      <c r="N30" s="14">
        <v>1851</v>
      </c>
      <c r="O30" s="14">
        <v>1734</v>
      </c>
      <c r="P30" s="14">
        <v>1666</v>
      </c>
      <c r="Q30" s="14">
        <v>1647</v>
      </c>
      <c r="R30" s="14">
        <v>1608</v>
      </c>
      <c r="S30" s="14">
        <v>1686</v>
      </c>
      <c r="T30" s="14">
        <v>2007</v>
      </c>
      <c r="U30" s="14">
        <v>2658</v>
      </c>
      <c r="V30" s="14">
        <v>2714</v>
      </c>
      <c r="W30" s="14">
        <v>2431</v>
      </c>
      <c r="X30" s="14">
        <v>2073</v>
      </c>
      <c r="Y30" s="14">
        <v>1689</v>
      </c>
      <c r="Z30" s="18">
        <v>1402</v>
      </c>
      <c r="AA30" s="16">
        <f t="shared" si="1"/>
        <v>39231</v>
      </c>
      <c r="AB30" s="16">
        <v>4</v>
      </c>
      <c r="AC30" s="16">
        <f t="shared" si="0"/>
        <v>156924</v>
      </c>
      <c r="AD30" s="53"/>
    </row>
    <row r="31" spans="1:30" ht="13.5" thickBot="1" x14ac:dyDescent="0.25">
      <c r="A31" s="19"/>
      <c r="B31" s="20" t="s">
        <v>10</v>
      </c>
      <c r="C31" s="21">
        <v>1162</v>
      </c>
      <c r="D31" s="21">
        <v>1075</v>
      </c>
      <c r="E31" s="21">
        <v>1022</v>
      </c>
      <c r="F31" s="21">
        <v>989</v>
      </c>
      <c r="G31" s="21">
        <v>1002</v>
      </c>
      <c r="H31" s="21">
        <v>1088</v>
      </c>
      <c r="I31" s="21">
        <v>1151</v>
      </c>
      <c r="J31" s="21">
        <v>1334</v>
      </c>
      <c r="K31" s="21">
        <v>1671</v>
      </c>
      <c r="L31" s="21">
        <v>1875</v>
      </c>
      <c r="M31" s="21">
        <v>1845</v>
      </c>
      <c r="N31" s="21">
        <v>1917</v>
      </c>
      <c r="O31" s="21">
        <v>1787</v>
      </c>
      <c r="P31" s="21">
        <v>1632</v>
      </c>
      <c r="Q31" s="21">
        <v>1548</v>
      </c>
      <c r="R31" s="21">
        <v>1495</v>
      </c>
      <c r="S31" s="21">
        <v>1466</v>
      </c>
      <c r="T31" s="21">
        <v>1706</v>
      </c>
      <c r="U31" s="21">
        <v>2420</v>
      </c>
      <c r="V31" s="21">
        <v>2646</v>
      </c>
      <c r="W31" s="21">
        <v>2445</v>
      </c>
      <c r="X31" s="21">
        <v>2029</v>
      </c>
      <c r="Y31" s="21">
        <v>1564</v>
      </c>
      <c r="Z31" s="25">
        <v>1271</v>
      </c>
      <c r="AA31" s="23">
        <f t="shared" si="1"/>
        <v>38140</v>
      </c>
      <c r="AB31" s="23">
        <v>5</v>
      </c>
      <c r="AC31" s="23">
        <f t="shared" si="0"/>
        <v>190700</v>
      </c>
      <c r="AD31" s="54"/>
    </row>
    <row r="32" spans="1:30" x14ac:dyDescent="0.2">
      <c r="A32" s="5"/>
      <c r="B32" s="6" t="s">
        <v>7</v>
      </c>
      <c r="C32" s="7">
        <v>1064</v>
      </c>
      <c r="D32" s="7">
        <v>995</v>
      </c>
      <c r="E32" s="7">
        <v>967</v>
      </c>
      <c r="F32" s="7">
        <v>960</v>
      </c>
      <c r="G32" s="7">
        <v>1023</v>
      </c>
      <c r="H32" s="7">
        <v>1250</v>
      </c>
      <c r="I32" s="7">
        <v>1990</v>
      </c>
      <c r="J32" s="7">
        <v>1708</v>
      </c>
      <c r="K32" s="7">
        <v>1603</v>
      </c>
      <c r="L32" s="7">
        <v>1559</v>
      </c>
      <c r="M32" s="7">
        <v>1565</v>
      </c>
      <c r="N32" s="7">
        <v>1613</v>
      </c>
      <c r="O32" s="7">
        <v>1513</v>
      </c>
      <c r="P32" s="7">
        <v>1508</v>
      </c>
      <c r="Q32" s="7">
        <v>1555</v>
      </c>
      <c r="R32" s="7">
        <v>1541</v>
      </c>
      <c r="S32" s="7">
        <v>1602</v>
      </c>
      <c r="T32" s="7">
        <v>1954</v>
      </c>
      <c r="U32" s="7">
        <v>2761</v>
      </c>
      <c r="V32" s="7">
        <v>2796</v>
      </c>
      <c r="W32" s="7">
        <v>2544</v>
      </c>
      <c r="X32" s="7">
        <v>2153</v>
      </c>
      <c r="Y32" s="7">
        <v>1670</v>
      </c>
      <c r="Z32" s="11">
        <v>1318</v>
      </c>
      <c r="AA32" s="9">
        <f t="shared" si="1"/>
        <v>39212</v>
      </c>
      <c r="AB32" s="9">
        <v>22</v>
      </c>
      <c r="AC32" s="9">
        <f t="shared" si="0"/>
        <v>862664</v>
      </c>
      <c r="AD32" s="52">
        <f>SUM(AC32:AC34)</f>
        <v>1206519</v>
      </c>
    </row>
    <row r="33" spans="1:30" x14ac:dyDescent="0.2">
      <c r="A33" s="12" t="s">
        <v>19</v>
      </c>
      <c r="B33" s="13" t="s">
        <v>9</v>
      </c>
      <c r="C33" s="14">
        <v>1136</v>
      </c>
      <c r="D33" s="14">
        <v>1047</v>
      </c>
      <c r="E33" s="14">
        <v>1003</v>
      </c>
      <c r="F33" s="14">
        <v>991</v>
      </c>
      <c r="G33" s="14">
        <v>1032</v>
      </c>
      <c r="H33" s="14">
        <v>1144</v>
      </c>
      <c r="I33" s="14">
        <v>1249</v>
      </c>
      <c r="J33" s="14">
        <v>1480</v>
      </c>
      <c r="K33" s="14">
        <v>1657</v>
      </c>
      <c r="L33" s="14">
        <v>1748</v>
      </c>
      <c r="M33" s="14">
        <v>1804</v>
      </c>
      <c r="N33" s="14">
        <v>1888</v>
      </c>
      <c r="O33" s="14">
        <v>1769</v>
      </c>
      <c r="P33" s="14">
        <v>1717</v>
      </c>
      <c r="Q33" s="14">
        <v>1668</v>
      </c>
      <c r="R33" s="14">
        <v>1585</v>
      </c>
      <c r="S33" s="14">
        <v>1624</v>
      </c>
      <c r="T33" s="14">
        <v>1926</v>
      </c>
      <c r="U33" s="14">
        <v>2692</v>
      </c>
      <c r="V33" s="14">
        <v>2699</v>
      </c>
      <c r="W33" s="14">
        <v>2455</v>
      </c>
      <c r="X33" s="14">
        <v>2101</v>
      </c>
      <c r="Y33" s="14">
        <v>1705</v>
      </c>
      <c r="Z33" s="18">
        <v>1400</v>
      </c>
      <c r="AA33" s="16">
        <f t="shared" si="1"/>
        <v>39520</v>
      </c>
      <c r="AB33" s="16">
        <v>4</v>
      </c>
      <c r="AC33" s="16">
        <f t="shared" si="0"/>
        <v>158080</v>
      </c>
      <c r="AD33" s="53"/>
    </row>
    <row r="34" spans="1:30" ht="13.5" thickBot="1" x14ac:dyDescent="0.25">
      <c r="A34" s="19"/>
      <c r="B34" s="20" t="s">
        <v>10</v>
      </c>
      <c r="C34" s="21">
        <v>1127</v>
      </c>
      <c r="D34" s="21">
        <v>1031</v>
      </c>
      <c r="E34" s="21">
        <v>979</v>
      </c>
      <c r="F34" s="21">
        <v>954</v>
      </c>
      <c r="G34" s="21">
        <v>981</v>
      </c>
      <c r="H34" s="21">
        <v>1114</v>
      </c>
      <c r="I34" s="21">
        <v>1233</v>
      </c>
      <c r="J34" s="21">
        <v>1352</v>
      </c>
      <c r="K34" s="21">
        <v>1628</v>
      </c>
      <c r="L34" s="21">
        <v>1785</v>
      </c>
      <c r="M34" s="21">
        <v>1794</v>
      </c>
      <c r="N34" s="21">
        <v>1784</v>
      </c>
      <c r="O34" s="21">
        <v>1666</v>
      </c>
      <c r="P34" s="21">
        <v>1536</v>
      </c>
      <c r="Q34" s="21">
        <v>1445</v>
      </c>
      <c r="R34" s="21">
        <v>1393</v>
      </c>
      <c r="S34" s="21">
        <v>1449</v>
      </c>
      <c r="T34" s="21">
        <v>1765</v>
      </c>
      <c r="U34" s="21">
        <v>2463</v>
      </c>
      <c r="V34" s="21">
        <v>2528</v>
      </c>
      <c r="W34" s="21">
        <v>2336</v>
      </c>
      <c r="X34" s="21">
        <v>1967</v>
      </c>
      <c r="Y34" s="21">
        <v>1565</v>
      </c>
      <c r="Z34" s="25">
        <v>1280</v>
      </c>
      <c r="AA34" s="23">
        <f t="shared" si="1"/>
        <v>37155</v>
      </c>
      <c r="AB34" s="23">
        <v>5</v>
      </c>
      <c r="AC34" s="23">
        <f t="shared" si="0"/>
        <v>185775</v>
      </c>
      <c r="AD34" s="54"/>
    </row>
    <row r="35" spans="1:30" x14ac:dyDescent="0.2">
      <c r="A35" s="5"/>
      <c r="B35" s="6" t="s">
        <v>7</v>
      </c>
      <c r="C35" s="7">
        <v>1036</v>
      </c>
      <c r="D35" s="7">
        <v>970</v>
      </c>
      <c r="E35" s="7">
        <v>942</v>
      </c>
      <c r="F35" s="7">
        <v>938</v>
      </c>
      <c r="G35" s="7">
        <v>1011</v>
      </c>
      <c r="H35" s="7">
        <v>1332</v>
      </c>
      <c r="I35" s="7">
        <v>2146</v>
      </c>
      <c r="J35" s="7">
        <v>1664</v>
      </c>
      <c r="K35" s="7">
        <v>1539</v>
      </c>
      <c r="L35" s="7">
        <v>1488</v>
      </c>
      <c r="M35" s="7">
        <v>1491</v>
      </c>
      <c r="N35" s="7">
        <v>1540</v>
      </c>
      <c r="O35" s="7">
        <v>1437</v>
      </c>
      <c r="P35" s="7">
        <v>1443</v>
      </c>
      <c r="Q35" s="7">
        <v>1495</v>
      </c>
      <c r="R35" s="7">
        <v>1514</v>
      </c>
      <c r="S35" s="7">
        <v>1620</v>
      </c>
      <c r="T35" s="7">
        <v>2008</v>
      </c>
      <c r="U35" s="7">
        <v>2898</v>
      </c>
      <c r="V35" s="7">
        <v>2880</v>
      </c>
      <c r="W35" s="7">
        <v>2605</v>
      </c>
      <c r="X35" s="7">
        <v>2153</v>
      </c>
      <c r="Y35" s="7">
        <v>1631</v>
      </c>
      <c r="Z35" s="11">
        <v>1284</v>
      </c>
      <c r="AA35" s="9">
        <f t="shared" si="1"/>
        <v>39065</v>
      </c>
      <c r="AB35" s="9">
        <v>19</v>
      </c>
      <c r="AC35" s="9">
        <f t="shared" si="0"/>
        <v>742235</v>
      </c>
      <c r="AD35" s="52">
        <f>SUM(AC35:AC37)</f>
        <v>1167535</v>
      </c>
    </row>
    <row r="36" spans="1:30" x14ac:dyDescent="0.2">
      <c r="A36" s="12" t="s">
        <v>20</v>
      </c>
      <c r="B36" s="13" t="s">
        <v>9</v>
      </c>
      <c r="C36" s="14">
        <v>1099</v>
      </c>
      <c r="D36" s="14">
        <v>1014</v>
      </c>
      <c r="E36" s="14">
        <v>968</v>
      </c>
      <c r="F36" s="14">
        <v>951</v>
      </c>
      <c r="G36" s="14">
        <v>1008</v>
      </c>
      <c r="H36" s="14">
        <v>1140</v>
      </c>
      <c r="I36" s="14">
        <v>1230</v>
      </c>
      <c r="J36" s="14">
        <v>1377</v>
      </c>
      <c r="K36" s="14">
        <v>1547</v>
      </c>
      <c r="L36" s="14">
        <v>1595</v>
      </c>
      <c r="M36" s="14">
        <v>1679</v>
      </c>
      <c r="N36" s="14">
        <v>1734</v>
      </c>
      <c r="O36" s="14">
        <v>1688</v>
      </c>
      <c r="P36" s="14">
        <v>1638</v>
      </c>
      <c r="Q36" s="14">
        <v>1636</v>
      </c>
      <c r="R36" s="14">
        <v>1600</v>
      </c>
      <c r="S36" s="14">
        <v>1614</v>
      </c>
      <c r="T36" s="14">
        <v>1945</v>
      </c>
      <c r="U36" s="14">
        <v>2851</v>
      </c>
      <c r="V36" s="14">
        <v>2818</v>
      </c>
      <c r="W36" s="14">
        <v>2521</v>
      </c>
      <c r="X36" s="14">
        <v>2129</v>
      </c>
      <c r="Y36" s="14">
        <v>1698</v>
      </c>
      <c r="Z36" s="18">
        <v>1380</v>
      </c>
      <c r="AA36" s="16">
        <f t="shared" si="1"/>
        <v>38860</v>
      </c>
      <c r="AB36" s="16">
        <v>5</v>
      </c>
      <c r="AC36" s="16">
        <f t="shared" si="0"/>
        <v>194300</v>
      </c>
      <c r="AD36" s="53"/>
    </row>
    <row r="37" spans="1:30" ht="13.5" thickBot="1" x14ac:dyDescent="0.25">
      <c r="A37" s="19"/>
      <c r="B37" s="20" t="s">
        <v>10</v>
      </c>
      <c r="C37" s="21">
        <v>1137</v>
      </c>
      <c r="D37" s="21">
        <v>1051</v>
      </c>
      <c r="E37" s="21">
        <v>1002</v>
      </c>
      <c r="F37" s="21">
        <v>978</v>
      </c>
      <c r="G37" s="21">
        <v>1000</v>
      </c>
      <c r="H37" s="21">
        <v>1101</v>
      </c>
      <c r="I37" s="21">
        <v>1186</v>
      </c>
      <c r="J37" s="21">
        <v>1372</v>
      </c>
      <c r="K37" s="21">
        <v>1621</v>
      </c>
      <c r="L37" s="21">
        <v>1723</v>
      </c>
      <c r="M37" s="21">
        <v>1783</v>
      </c>
      <c r="N37" s="21">
        <v>1796</v>
      </c>
      <c r="O37" s="21">
        <v>1678</v>
      </c>
      <c r="P37" s="21">
        <v>1582</v>
      </c>
      <c r="Q37" s="21">
        <v>1564</v>
      </c>
      <c r="R37" s="21">
        <v>1525</v>
      </c>
      <c r="S37" s="21">
        <v>1616</v>
      </c>
      <c r="T37" s="21">
        <v>1990</v>
      </c>
      <c r="U37" s="21">
        <v>2776</v>
      </c>
      <c r="V37" s="21">
        <v>2699</v>
      </c>
      <c r="W37" s="21">
        <v>2442</v>
      </c>
      <c r="X37" s="21">
        <v>2026</v>
      </c>
      <c r="Y37" s="21">
        <v>1572</v>
      </c>
      <c r="Z37" s="25">
        <v>1280</v>
      </c>
      <c r="AA37" s="23">
        <f t="shared" si="1"/>
        <v>38500</v>
      </c>
      <c r="AB37" s="23">
        <v>6</v>
      </c>
      <c r="AC37" s="23">
        <f t="shared" si="0"/>
        <v>231000</v>
      </c>
      <c r="AD37" s="54"/>
    </row>
    <row r="38" spans="1:30" x14ac:dyDescent="0.2">
      <c r="A38" s="5"/>
      <c r="B38" s="6" t="s">
        <v>7</v>
      </c>
      <c r="C38" s="7">
        <v>1083</v>
      </c>
      <c r="D38" s="7">
        <v>1001</v>
      </c>
      <c r="E38" s="7">
        <v>969</v>
      </c>
      <c r="F38" s="7">
        <v>965</v>
      </c>
      <c r="G38" s="7">
        <v>1072</v>
      </c>
      <c r="H38" s="7">
        <v>1208</v>
      </c>
      <c r="I38" s="7">
        <v>1391</v>
      </c>
      <c r="J38" s="7">
        <v>1556</v>
      </c>
      <c r="K38" s="7">
        <v>1639</v>
      </c>
      <c r="L38" s="7">
        <v>1673</v>
      </c>
      <c r="M38" s="7">
        <v>1728</v>
      </c>
      <c r="N38" s="7">
        <v>1805</v>
      </c>
      <c r="O38" s="7">
        <v>1699</v>
      </c>
      <c r="P38" s="7">
        <v>1643</v>
      </c>
      <c r="Q38" s="7">
        <v>1641</v>
      </c>
      <c r="R38" s="7">
        <v>1638</v>
      </c>
      <c r="S38" s="7">
        <v>1701</v>
      </c>
      <c r="T38" s="7">
        <v>2025</v>
      </c>
      <c r="U38" s="7">
        <v>2788</v>
      </c>
      <c r="V38" s="7">
        <v>2911</v>
      </c>
      <c r="W38" s="7">
        <v>2653</v>
      </c>
      <c r="X38" s="7">
        <v>2283</v>
      </c>
      <c r="Y38" s="7">
        <v>1798</v>
      </c>
      <c r="Z38" s="11">
        <v>1425</v>
      </c>
      <c r="AA38" s="9">
        <f t="shared" si="1"/>
        <v>40295</v>
      </c>
      <c r="AB38" s="9">
        <v>21</v>
      </c>
      <c r="AC38" s="9">
        <f t="shared" si="0"/>
        <v>846195</v>
      </c>
      <c r="AD38" s="52">
        <f>SUM(AC38:AC40)</f>
        <v>1239469</v>
      </c>
    </row>
    <row r="39" spans="1:30" x14ac:dyDescent="0.2">
      <c r="A39" s="12" t="s">
        <v>21</v>
      </c>
      <c r="B39" s="13" t="s">
        <v>9</v>
      </c>
      <c r="C39" s="14">
        <v>1141</v>
      </c>
      <c r="D39" s="14">
        <v>1051</v>
      </c>
      <c r="E39" s="14">
        <v>997</v>
      </c>
      <c r="F39" s="14">
        <v>982</v>
      </c>
      <c r="G39" s="14">
        <v>1074</v>
      </c>
      <c r="H39" s="14">
        <v>1179</v>
      </c>
      <c r="I39" s="14">
        <v>1248</v>
      </c>
      <c r="J39" s="14">
        <v>1444</v>
      </c>
      <c r="K39" s="14">
        <v>1597</v>
      </c>
      <c r="L39" s="14">
        <v>1677</v>
      </c>
      <c r="M39" s="14">
        <v>1746</v>
      </c>
      <c r="N39" s="14">
        <v>1810</v>
      </c>
      <c r="O39" s="14">
        <v>1755</v>
      </c>
      <c r="P39" s="14">
        <v>1666</v>
      </c>
      <c r="Q39" s="14">
        <v>1667</v>
      </c>
      <c r="R39" s="14">
        <v>1624</v>
      </c>
      <c r="S39" s="14">
        <v>1742</v>
      </c>
      <c r="T39" s="14">
        <v>2036</v>
      </c>
      <c r="U39" s="14">
        <v>2722</v>
      </c>
      <c r="V39" s="14">
        <v>2872</v>
      </c>
      <c r="W39" s="14">
        <v>2605</v>
      </c>
      <c r="X39" s="14">
        <v>2261</v>
      </c>
      <c r="Y39" s="14">
        <v>1839</v>
      </c>
      <c r="Z39" s="18">
        <v>1493</v>
      </c>
      <c r="AA39" s="16">
        <f t="shared" si="1"/>
        <v>40228</v>
      </c>
      <c r="AB39" s="16">
        <v>4</v>
      </c>
      <c r="AC39" s="16">
        <f t="shared" si="0"/>
        <v>160912</v>
      </c>
      <c r="AD39" s="53"/>
    </row>
    <row r="40" spans="1:30" ht="13.5" thickBot="1" x14ac:dyDescent="0.25">
      <c r="A40" s="19"/>
      <c r="B40" s="20" t="s">
        <v>10</v>
      </c>
      <c r="C40" s="21">
        <v>1205</v>
      </c>
      <c r="D40" s="21">
        <v>1094</v>
      </c>
      <c r="E40" s="21">
        <v>1032</v>
      </c>
      <c r="F40" s="21">
        <v>1001</v>
      </c>
      <c r="G40" s="21">
        <v>1060</v>
      </c>
      <c r="H40" s="21">
        <v>1118</v>
      </c>
      <c r="I40" s="21">
        <v>1151</v>
      </c>
      <c r="J40" s="21">
        <v>1333</v>
      </c>
      <c r="K40" s="21">
        <v>1611</v>
      </c>
      <c r="L40" s="21">
        <v>1758</v>
      </c>
      <c r="M40" s="21">
        <v>1752</v>
      </c>
      <c r="N40" s="21">
        <v>1806</v>
      </c>
      <c r="O40" s="21">
        <v>1773</v>
      </c>
      <c r="P40" s="21">
        <v>1627</v>
      </c>
      <c r="Q40" s="21">
        <v>1567</v>
      </c>
      <c r="R40" s="21">
        <v>1517</v>
      </c>
      <c r="S40" s="21">
        <v>1529</v>
      </c>
      <c r="T40" s="21">
        <v>1825</v>
      </c>
      <c r="U40" s="21">
        <v>2519</v>
      </c>
      <c r="V40" s="21">
        <v>2713</v>
      </c>
      <c r="W40" s="21">
        <v>2503</v>
      </c>
      <c r="X40" s="21">
        <v>2146</v>
      </c>
      <c r="Y40" s="21">
        <v>1710</v>
      </c>
      <c r="Z40" s="25">
        <v>1377</v>
      </c>
      <c r="AA40" s="23">
        <f t="shared" si="1"/>
        <v>38727</v>
      </c>
      <c r="AB40" s="23">
        <v>6</v>
      </c>
      <c r="AC40" s="23">
        <f t="shared" si="0"/>
        <v>232362</v>
      </c>
      <c r="AD40" s="54"/>
    </row>
    <row r="41" spans="1:30" x14ac:dyDescent="0.2">
      <c r="AB41" s="26"/>
      <c r="AD41" s="26"/>
    </row>
    <row r="43" spans="1:30" x14ac:dyDescent="0.2">
      <c r="AC43" s="26"/>
      <c r="AD43" s="26"/>
    </row>
  </sheetData>
  <mergeCells count="17">
    <mergeCell ref="AD26:AD28"/>
    <mergeCell ref="AD29:AD31"/>
    <mergeCell ref="AD32:AD34"/>
    <mergeCell ref="AD35:AD37"/>
    <mergeCell ref="AD38:AD40"/>
    <mergeCell ref="AD8:AD10"/>
    <mergeCell ref="AD11:AD13"/>
    <mergeCell ref="AD14:AD16"/>
    <mergeCell ref="AD17:AD19"/>
    <mergeCell ref="AD20:AD22"/>
    <mergeCell ref="AD23:AD25"/>
    <mergeCell ref="A1:AD1"/>
    <mergeCell ref="C3:Z3"/>
    <mergeCell ref="AA3:AA4"/>
    <mergeCell ref="AB3:AB4"/>
    <mergeCell ref="AC3:AD4"/>
    <mergeCell ref="AD5:AD7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tabSelected="1"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AI22" sqref="AI22"/>
    </sheetView>
  </sheetViews>
  <sheetFormatPr baseColWidth="10" defaultRowHeight="12.75" x14ac:dyDescent="0.2"/>
  <cols>
    <col min="1" max="1" width="12.85546875" bestFit="1" customWidth="1"/>
    <col min="2" max="2" width="20.140625" bestFit="1" customWidth="1"/>
    <col min="3" max="8" width="5.7109375" customWidth="1"/>
    <col min="9" max="26" width="5.7109375" bestFit="1" customWidth="1"/>
    <col min="27" max="27" width="7.28515625" customWidth="1"/>
    <col min="28" max="28" width="8.42578125" customWidth="1"/>
    <col min="29" max="29" width="7.5703125" customWidth="1"/>
    <col min="30" max="30" width="10.140625" bestFit="1" customWidth="1"/>
  </cols>
  <sheetData>
    <row r="1" spans="1:30" x14ac:dyDescent="0.2">
      <c r="A1" s="55" t="s">
        <v>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3.5" thickBot="1" x14ac:dyDescent="0.25"/>
    <row r="3" spans="1:30" ht="13.9" customHeight="1" thickBot="1" x14ac:dyDescent="0.25">
      <c r="A3" s="1" t="s">
        <v>0</v>
      </c>
      <c r="B3" s="2" t="s">
        <v>1</v>
      </c>
      <c r="C3" s="56" t="s">
        <v>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8"/>
      <c r="AA3" s="59" t="s">
        <v>3</v>
      </c>
      <c r="AB3" s="59" t="s">
        <v>4</v>
      </c>
      <c r="AC3" s="62" t="s">
        <v>5</v>
      </c>
      <c r="AD3" s="63"/>
    </row>
    <row r="4" spans="1:30" ht="13.5" thickBot="1" x14ac:dyDescent="0.25">
      <c r="A4" s="3"/>
      <c r="B4" s="3" t="s">
        <v>6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4">
        <v>15</v>
      </c>
      <c r="R4" s="4">
        <v>16</v>
      </c>
      <c r="S4" s="4">
        <v>17</v>
      </c>
      <c r="T4" s="4">
        <v>18</v>
      </c>
      <c r="U4" s="4">
        <v>19</v>
      </c>
      <c r="V4" s="4">
        <v>20</v>
      </c>
      <c r="W4" s="4">
        <v>21</v>
      </c>
      <c r="X4" s="4">
        <v>22</v>
      </c>
      <c r="Y4" s="4">
        <v>23</v>
      </c>
      <c r="Z4" s="4">
        <v>24</v>
      </c>
      <c r="AA4" s="60"/>
      <c r="AB4" s="61"/>
      <c r="AC4" s="64"/>
      <c r="AD4" s="65"/>
    </row>
    <row r="5" spans="1:30" x14ac:dyDescent="0.2">
      <c r="A5" s="5"/>
      <c r="B5" s="6" t="s">
        <v>7</v>
      </c>
      <c r="C5" s="7">
        <v>1133</v>
      </c>
      <c r="D5" s="7">
        <v>1047</v>
      </c>
      <c r="E5" s="7">
        <v>1010</v>
      </c>
      <c r="F5" s="7">
        <v>999</v>
      </c>
      <c r="G5" s="7">
        <v>1055</v>
      </c>
      <c r="H5" s="7">
        <v>1241</v>
      </c>
      <c r="I5" s="7">
        <v>1465</v>
      </c>
      <c r="J5" s="7">
        <v>1642</v>
      </c>
      <c r="K5" s="7">
        <v>1711</v>
      </c>
      <c r="L5" s="7">
        <v>1799</v>
      </c>
      <c r="M5" s="7">
        <v>1897</v>
      </c>
      <c r="N5" s="7">
        <v>1950</v>
      </c>
      <c r="O5" s="7">
        <v>1819</v>
      </c>
      <c r="P5" s="7">
        <v>1710</v>
      </c>
      <c r="Q5" s="7">
        <v>1705</v>
      </c>
      <c r="R5" s="7">
        <v>1683</v>
      </c>
      <c r="S5" s="7">
        <v>1720</v>
      </c>
      <c r="T5" s="7">
        <v>1998</v>
      </c>
      <c r="U5" s="7">
        <v>2581</v>
      </c>
      <c r="V5" s="7">
        <v>3020</v>
      </c>
      <c r="W5" s="7">
        <v>2771</v>
      </c>
      <c r="X5" s="7">
        <v>2331</v>
      </c>
      <c r="Y5" s="7">
        <v>1793</v>
      </c>
      <c r="Z5" s="8">
        <v>1400</v>
      </c>
      <c r="AA5" s="9">
        <f>SUM(C5:Z5)</f>
        <v>41480</v>
      </c>
      <c r="AB5" s="9">
        <v>21</v>
      </c>
      <c r="AC5" s="10">
        <f t="shared" ref="AC5:AC40" si="0">AA5*AB5</f>
        <v>871080</v>
      </c>
      <c r="AD5" s="52">
        <f>SUM(AC5:AC7)</f>
        <v>1276044</v>
      </c>
    </row>
    <row r="6" spans="1:30" x14ac:dyDescent="0.2">
      <c r="A6" s="12" t="s">
        <v>8</v>
      </c>
      <c r="B6" s="13" t="s">
        <v>9</v>
      </c>
      <c r="C6" s="14">
        <v>1180</v>
      </c>
      <c r="D6" s="14">
        <v>1080</v>
      </c>
      <c r="E6" s="14">
        <v>1025</v>
      </c>
      <c r="F6" s="14">
        <v>999</v>
      </c>
      <c r="G6" s="14">
        <v>1037</v>
      </c>
      <c r="H6" s="14">
        <v>1186</v>
      </c>
      <c r="I6" s="14">
        <v>1264</v>
      </c>
      <c r="J6" s="14">
        <v>1436</v>
      </c>
      <c r="K6" s="14">
        <v>1594</v>
      </c>
      <c r="L6" s="14">
        <v>1700</v>
      </c>
      <c r="M6" s="14">
        <v>1833</v>
      </c>
      <c r="N6" s="14">
        <v>1894</v>
      </c>
      <c r="O6" s="14">
        <v>1837</v>
      </c>
      <c r="P6" s="14">
        <v>1657</v>
      </c>
      <c r="Q6" s="14">
        <v>1602</v>
      </c>
      <c r="R6" s="14">
        <v>1612</v>
      </c>
      <c r="S6" s="14">
        <v>1647</v>
      </c>
      <c r="T6" s="14">
        <v>1937</v>
      </c>
      <c r="U6" s="14">
        <v>2697</v>
      </c>
      <c r="V6" s="14">
        <v>3031</v>
      </c>
      <c r="W6" s="14">
        <v>2771</v>
      </c>
      <c r="X6" s="14">
        <v>2358</v>
      </c>
      <c r="Y6" s="14">
        <v>1910</v>
      </c>
      <c r="Z6" s="15">
        <v>1561</v>
      </c>
      <c r="AA6" s="16">
        <f>SUM(C6:Z6)</f>
        <v>40848</v>
      </c>
      <c r="AB6" s="16">
        <v>4</v>
      </c>
      <c r="AC6" s="17">
        <f t="shared" si="0"/>
        <v>163392</v>
      </c>
      <c r="AD6" s="53"/>
    </row>
    <row r="7" spans="1:30" ht="13.5" thickBot="1" x14ac:dyDescent="0.25">
      <c r="A7" s="19"/>
      <c r="B7" s="20" t="s">
        <v>10</v>
      </c>
      <c r="C7" s="21">
        <v>1370</v>
      </c>
      <c r="D7" s="21">
        <v>1279</v>
      </c>
      <c r="E7" s="21">
        <v>1236</v>
      </c>
      <c r="F7" s="21">
        <v>1160</v>
      </c>
      <c r="G7" s="21">
        <v>1109</v>
      </c>
      <c r="H7" s="21">
        <v>1160</v>
      </c>
      <c r="I7" s="21">
        <v>1132</v>
      </c>
      <c r="J7" s="21">
        <v>1277</v>
      </c>
      <c r="K7" s="21">
        <v>1605</v>
      </c>
      <c r="L7" s="21">
        <v>1922</v>
      </c>
      <c r="M7" s="21">
        <v>2042</v>
      </c>
      <c r="N7" s="21">
        <v>2092</v>
      </c>
      <c r="O7" s="21">
        <v>1875</v>
      </c>
      <c r="P7" s="21">
        <v>1644</v>
      </c>
      <c r="Q7" s="21">
        <v>1503</v>
      </c>
      <c r="R7" s="21">
        <v>1487</v>
      </c>
      <c r="S7" s="21">
        <v>1453</v>
      </c>
      <c r="T7" s="21">
        <v>1720</v>
      </c>
      <c r="U7" s="21">
        <v>2357</v>
      </c>
      <c r="V7" s="21">
        <v>2815</v>
      </c>
      <c r="W7" s="21">
        <v>2584</v>
      </c>
      <c r="X7" s="21">
        <v>2195</v>
      </c>
      <c r="Y7" s="21">
        <v>1779</v>
      </c>
      <c r="Z7" s="22">
        <v>1466</v>
      </c>
      <c r="AA7" s="23">
        <f>SUM(C7:Z7)</f>
        <v>40262</v>
      </c>
      <c r="AB7" s="23">
        <v>6</v>
      </c>
      <c r="AC7" s="24">
        <f t="shared" si="0"/>
        <v>241572</v>
      </c>
      <c r="AD7" s="54"/>
    </row>
    <row r="8" spans="1:30" x14ac:dyDescent="0.2">
      <c r="A8" s="5"/>
      <c r="B8" s="6" t="s">
        <v>7</v>
      </c>
      <c r="C8" s="7">
        <v>1087</v>
      </c>
      <c r="D8" s="7">
        <v>1023</v>
      </c>
      <c r="E8" s="7">
        <v>999</v>
      </c>
      <c r="F8" s="7">
        <v>995</v>
      </c>
      <c r="G8" s="7">
        <v>1075</v>
      </c>
      <c r="H8" s="7">
        <v>1430</v>
      </c>
      <c r="I8" s="7">
        <v>2374</v>
      </c>
      <c r="J8" s="7">
        <v>1777</v>
      </c>
      <c r="K8" s="7">
        <v>1614</v>
      </c>
      <c r="L8" s="7">
        <v>1583</v>
      </c>
      <c r="M8" s="7">
        <v>1585</v>
      </c>
      <c r="N8" s="7">
        <v>1638</v>
      </c>
      <c r="O8" s="7">
        <v>1539</v>
      </c>
      <c r="P8" s="7">
        <v>1525</v>
      </c>
      <c r="Q8" s="7">
        <v>1580</v>
      </c>
      <c r="R8" s="7">
        <v>1571</v>
      </c>
      <c r="S8" s="7">
        <v>1623</v>
      </c>
      <c r="T8" s="7">
        <v>1888</v>
      </c>
      <c r="U8" s="7">
        <v>2520</v>
      </c>
      <c r="V8" s="7">
        <v>3020</v>
      </c>
      <c r="W8" s="7">
        <v>2746</v>
      </c>
      <c r="X8" s="7">
        <v>2293</v>
      </c>
      <c r="Y8" s="7">
        <v>1719</v>
      </c>
      <c r="Z8" s="11">
        <v>1337</v>
      </c>
      <c r="AA8" s="9">
        <f>SUM(C8:Z8)</f>
        <v>40541</v>
      </c>
      <c r="AB8" s="9">
        <v>20</v>
      </c>
      <c r="AC8" s="9">
        <f t="shared" si="0"/>
        <v>810820</v>
      </c>
      <c r="AD8" s="52">
        <f>SUM(AC8:AC10)</f>
        <v>1129504</v>
      </c>
    </row>
    <row r="9" spans="1:30" x14ac:dyDescent="0.2">
      <c r="A9" s="12" t="s">
        <v>11</v>
      </c>
      <c r="B9" s="13" t="s">
        <v>9</v>
      </c>
      <c r="C9" s="14">
        <v>1123</v>
      </c>
      <c r="D9" s="14">
        <v>1041</v>
      </c>
      <c r="E9" s="14">
        <v>1005</v>
      </c>
      <c r="F9" s="14">
        <v>997</v>
      </c>
      <c r="G9" s="14">
        <v>1048</v>
      </c>
      <c r="H9" s="14">
        <v>1199</v>
      </c>
      <c r="I9" s="14">
        <v>1319</v>
      </c>
      <c r="J9" s="14">
        <v>1449</v>
      </c>
      <c r="K9" s="14">
        <v>1633</v>
      </c>
      <c r="L9" s="14">
        <v>1740</v>
      </c>
      <c r="M9" s="14">
        <v>1819</v>
      </c>
      <c r="N9" s="14">
        <v>1843</v>
      </c>
      <c r="O9" s="14">
        <v>1768</v>
      </c>
      <c r="P9" s="14">
        <v>1691</v>
      </c>
      <c r="Q9" s="14">
        <v>1703</v>
      </c>
      <c r="R9" s="14">
        <v>1676</v>
      </c>
      <c r="S9" s="14">
        <v>1692</v>
      </c>
      <c r="T9" s="14">
        <v>1848</v>
      </c>
      <c r="U9" s="14">
        <v>2412</v>
      </c>
      <c r="V9" s="14">
        <v>2955</v>
      </c>
      <c r="W9" s="14">
        <v>2702</v>
      </c>
      <c r="X9" s="14">
        <v>2278</v>
      </c>
      <c r="Y9" s="14">
        <v>1778</v>
      </c>
      <c r="Z9" s="18">
        <v>1428</v>
      </c>
      <c r="AA9" s="16">
        <f t="shared" ref="AA9:AA40" si="1">SUM(C9:Z9)</f>
        <v>40147</v>
      </c>
      <c r="AB9" s="16">
        <v>4</v>
      </c>
      <c r="AC9" s="16">
        <f t="shared" si="0"/>
        <v>160588</v>
      </c>
      <c r="AD9" s="53"/>
    </row>
    <row r="10" spans="1:30" ht="13.5" thickBot="1" x14ac:dyDescent="0.25">
      <c r="A10" s="19"/>
      <c r="B10" s="20" t="s">
        <v>10</v>
      </c>
      <c r="C10" s="21">
        <v>1178</v>
      </c>
      <c r="D10" s="21">
        <v>1089</v>
      </c>
      <c r="E10" s="21">
        <v>1041</v>
      </c>
      <c r="F10" s="21">
        <v>1015</v>
      </c>
      <c r="G10" s="21">
        <v>1040</v>
      </c>
      <c r="H10" s="21">
        <v>1176</v>
      </c>
      <c r="I10" s="21">
        <v>1253</v>
      </c>
      <c r="J10" s="21">
        <v>1388</v>
      </c>
      <c r="K10" s="21">
        <v>1706</v>
      </c>
      <c r="L10" s="21">
        <v>1896</v>
      </c>
      <c r="M10" s="21">
        <v>1861</v>
      </c>
      <c r="N10" s="21">
        <v>1892</v>
      </c>
      <c r="O10" s="21">
        <v>1786</v>
      </c>
      <c r="P10" s="21">
        <v>1653</v>
      </c>
      <c r="Q10" s="21">
        <v>1619</v>
      </c>
      <c r="R10" s="21">
        <v>1563</v>
      </c>
      <c r="S10" s="21">
        <v>1549</v>
      </c>
      <c r="T10" s="21">
        <v>1808</v>
      </c>
      <c r="U10" s="21">
        <v>2374</v>
      </c>
      <c r="V10" s="21">
        <v>2826</v>
      </c>
      <c r="W10" s="21">
        <v>2631</v>
      </c>
      <c r="X10" s="21">
        <v>2188</v>
      </c>
      <c r="Y10" s="21">
        <v>1667</v>
      </c>
      <c r="Z10" s="25">
        <v>1325</v>
      </c>
      <c r="AA10" s="23">
        <f t="shared" si="1"/>
        <v>39524</v>
      </c>
      <c r="AB10" s="23">
        <v>4</v>
      </c>
      <c r="AC10" s="23">
        <f t="shared" si="0"/>
        <v>158096</v>
      </c>
      <c r="AD10" s="54"/>
    </row>
    <row r="11" spans="1:30" x14ac:dyDescent="0.2">
      <c r="A11" s="5"/>
      <c r="B11" s="6" t="s">
        <v>7</v>
      </c>
      <c r="C11" s="7">
        <v>1042</v>
      </c>
      <c r="D11" s="7">
        <v>970</v>
      </c>
      <c r="E11" s="7">
        <v>942</v>
      </c>
      <c r="F11" s="7">
        <v>932</v>
      </c>
      <c r="G11" s="7">
        <v>995</v>
      </c>
      <c r="H11" s="7">
        <v>1339</v>
      </c>
      <c r="I11" s="7">
        <v>2243</v>
      </c>
      <c r="J11" s="7">
        <v>1752</v>
      </c>
      <c r="K11" s="7">
        <v>1629</v>
      </c>
      <c r="L11" s="7">
        <v>1604</v>
      </c>
      <c r="M11" s="7">
        <v>1589</v>
      </c>
      <c r="N11" s="7">
        <v>1640</v>
      </c>
      <c r="O11" s="7">
        <v>1556</v>
      </c>
      <c r="P11" s="7">
        <v>1538</v>
      </c>
      <c r="Q11" s="7">
        <v>1583</v>
      </c>
      <c r="R11" s="7">
        <v>1557</v>
      </c>
      <c r="S11" s="7">
        <v>1616</v>
      </c>
      <c r="T11" s="7">
        <v>1891</v>
      </c>
      <c r="U11" s="7">
        <v>2578</v>
      </c>
      <c r="V11" s="7">
        <v>2986</v>
      </c>
      <c r="W11" s="7">
        <v>2706</v>
      </c>
      <c r="X11" s="7">
        <v>2272</v>
      </c>
      <c r="Y11" s="7">
        <v>1687</v>
      </c>
      <c r="Z11" s="11">
        <v>1296</v>
      </c>
      <c r="AA11" s="9">
        <f t="shared" si="1"/>
        <v>39943</v>
      </c>
      <c r="AB11" s="9">
        <v>20</v>
      </c>
      <c r="AC11" s="9">
        <f t="shared" si="0"/>
        <v>798860</v>
      </c>
      <c r="AD11" s="52">
        <f>SUM(AC11:AC13)</f>
        <v>1232324</v>
      </c>
    </row>
    <row r="12" spans="1:30" x14ac:dyDescent="0.2">
      <c r="A12" s="12" t="s">
        <v>12</v>
      </c>
      <c r="B12" s="13" t="s">
        <v>9</v>
      </c>
      <c r="C12" s="14">
        <v>1086</v>
      </c>
      <c r="D12" s="14">
        <v>998</v>
      </c>
      <c r="E12" s="14">
        <v>955</v>
      </c>
      <c r="F12" s="14">
        <v>948</v>
      </c>
      <c r="G12" s="14">
        <v>992</v>
      </c>
      <c r="H12" s="14">
        <v>1152</v>
      </c>
      <c r="I12" s="14">
        <v>1248</v>
      </c>
      <c r="J12" s="14">
        <v>1476</v>
      </c>
      <c r="K12" s="14">
        <v>1634</v>
      </c>
      <c r="L12" s="14">
        <v>1713</v>
      </c>
      <c r="M12" s="14">
        <v>1761</v>
      </c>
      <c r="N12" s="14">
        <v>1837</v>
      </c>
      <c r="O12" s="14">
        <v>1784</v>
      </c>
      <c r="P12" s="14">
        <v>1714</v>
      </c>
      <c r="Q12" s="14">
        <v>1710</v>
      </c>
      <c r="R12" s="14">
        <v>1641</v>
      </c>
      <c r="S12" s="14">
        <v>1674</v>
      </c>
      <c r="T12" s="14">
        <v>1959</v>
      </c>
      <c r="U12" s="14">
        <v>2650</v>
      </c>
      <c r="V12" s="14">
        <v>2928</v>
      </c>
      <c r="W12" s="14">
        <v>2672</v>
      </c>
      <c r="X12" s="14">
        <v>2254</v>
      </c>
      <c r="Y12" s="14">
        <v>1766</v>
      </c>
      <c r="Z12" s="18">
        <v>1420</v>
      </c>
      <c r="AA12" s="16">
        <f t="shared" si="1"/>
        <v>39972</v>
      </c>
      <c r="AB12" s="16">
        <v>5</v>
      </c>
      <c r="AC12" s="16">
        <f t="shared" si="0"/>
        <v>199860</v>
      </c>
      <c r="AD12" s="53"/>
    </row>
    <row r="13" spans="1:30" ht="13.5" thickBot="1" x14ac:dyDescent="0.25">
      <c r="A13" s="19"/>
      <c r="B13" s="20" t="s">
        <v>10</v>
      </c>
      <c r="C13" s="21">
        <v>1171</v>
      </c>
      <c r="D13" s="21">
        <v>1069</v>
      </c>
      <c r="E13" s="21">
        <v>1017</v>
      </c>
      <c r="F13" s="21">
        <v>984</v>
      </c>
      <c r="G13" s="21">
        <v>1002</v>
      </c>
      <c r="H13" s="21">
        <v>1144</v>
      </c>
      <c r="I13" s="21">
        <v>1231</v>
      </c>
      <c r="J13" s="21">
        <v>1385</v>
      </c>
      <c r="K13" s="21">
        <v>1664</v>
      </c>
      <c r="L13" s="21">
        <v>1865</v>
      </c>
      <c r="M13" s="21">
        <v>1831</v>
      </c>
      <c r="N13" s="21">
        <v>1896</v>
      </c>
      <c r="O13" s="21">
        <v>1819</v>
      </c>
      <c r="P13" s="21">
        <v>1649</v>
      </c>
      <c r="Q13" s="21">
        <v>1581</v>
      </c>
      <c r="R13" s="21">
        <v>1524</v>
      </c>
      <c r="S13" s="21">
        <v>1505</v>
      </c>
      <c r="T13" s="21">
        <v>1719</v>
      </c>
      <c r="U13" s="21">
        <v>2395</v>
      </c>
      <c r="V13" s="21">
        <v>2809</v>
      </c>
      <c r="W13" s="21">
        <v>2588</v>
      </c>
      <c r="X13" s="21">
        <v>2155</v>
      </c>
      <c r="Y13" s="21">
        <v>1638</v>
      </c>
      <c r="Z13" s="25">
        <v>1293</v>
      </c>
      <c r="AA13" s="23">
        <f t="shared" si="1"/>
        <v>38934</v>
      </c>
      <c r="AB13" s="23">
        <v>6</v>
      </c>
      <c r="AC13" s="23">
        <f t="shared" si="0"/>
        <v>233604</v>
      </c>
      <c r="AD13" s="54"/>
    </row>
    <row r="14" spans="1:30" x14ac:dyDescent="0.2">
      <c r="A14" s="5"/>
      <c r="B14" s="6" t="s">
        <v>7</v>
      </c>
      <c r="C14" s="7">
        <v>1085</v>
      </c>
      <c r="D14" s="7">
        <v>1024</v>
      </c>
      <c r="E14" s="7">
        <v>997</v>
      </c>
      <c r="F14" s="7">
        <v>994</v>
      </c>
      <c r="G14" s="7">
        <v>1046</v>
      </c>
      <c r="H14" s="7">
        <v>1326</v>
      </c>
      <c r="I14" s="7">
        <v>2075</v>
      </c>
      <c r="J14" s="7">
        <v>1676</v>
      </c>
      <c r="K14" s="7">
        <v>1570</v>
      </c>
      <c r="L14" s="7">
        <v>1541</v>
      </c>
      <c r="M14" s="7">
        <v>1555</v>
      </c>
      <c r="N14" s="7">
        <v>1600</v>
      </c>
      <c r="O14" s="7">
        <v>1540</v>
      </c>
      <c r="P14" s="7">
        <v>1506</v>
      </c>
      <c r="Q14" s="7">
        <v>1560</v>
      </c>
      <c r="R14" s="7">
        <v>1535</v>
      </c>
      <c r="S14" s="7">
        <v>1592</v>
      </c>
      <c r="T14" s="7">
        <v>1863</v>
      </c>
      <c r="U14" s="7">
        <v>2608</v>
      </c>
      <c r="V14" s="7">
        <v>2853</v>
      </c>
      <c r="W14" s="7">
        <v>2602</v>
      </c>
      <c r="X14" s="7">
        <v>2209</v>
      </c>
      <c r="Y14" s="7">
        <v>1696</v>
      </c>
      <c r="Z14" s="11">
        <v>1338</v>
      </c>
      <c r="AA14" s="9">
        <f t="shared" si="1"/>
        <v>39391</v>
      </c>
      <c r="AB14" s="9">
        <v>20</v>
      </c>
      <c r="AC14" s="9">
        <f t="shared" si="0"/>
        <v>787820</v>
      </c>
      <c r="AD14" s="52">
        <f>SUM(AC14:AC16)</f>
        <v>1174762</v>
      </c>
    </row>
    <row r="15" spans="1:30" x14ac:dyDescent="0.2">
      <c r="A15" s="12" t="s">
        <v>13</v>
      </c>
      <c r="B15" s="13" t="s">
        <v>9</v>
      </c>
      <c r="C15" s="14">
        <v>1139</v>
      </c>
      <c r="D15" s="14">
        <v>1054</v>
      </c>
      <c r="E15" s="14">
        <v>1013</v>
      </c>
      <c r="F15" s="14">
        <v>1003</v>
      </c>
      <c r="G15" s="14">
        <v>1038</v>
      </c>
      <c r="H15" s="14">
        <v>1160</v>
      </c>
      <c r="I15" s="14">
        <v>1242</v>
      </c>
      <c r="J15" s="14">
        <v>1424</v>
      </c>
      <c r="K15" s="14">
        <v>1570</v>
      </c>
      <c r="L15" s="14">
        <v>1603</v>
      </c>
      <c r="M15" s="14">
        <v>1696</v>
      </c>
      <c r="N15" s="14">
        <v>1741</v>
      </c>
      <c r="O15" s="14">
        <v>1693</v>
      </c>
      <c r="P15" s="14">
        <v>1652</v>
      </c>
      <c r="Q15" s="14">
        <v>1666</v>
      </c>
      <c r="R15" s="14">
        <v>1621</v>
      </c>
      <c r="S15" s="14">
        <v>1633</v>
      </c>
      <c r="T15" s="14">
        <v>1836</v>
      </c>
      <c r="U15" s="14">
        <v>2585</v>
      </c>
      <c r="V15" s="14">
        <v>2810</v>
      </c>
      <c r="W15" s="14">
        <v>2526</v>
      </c>
      <c r="X15" s="14">
        <v>2154</v>
      </c>
      <c r="Y15" s="14">
        <v>1760</v>
      </c>
      <c r="Z15" s="18">
        <v>1452</v>
      </c>
      <c r="AA15" s="16">
        <f t="shared" si="1"/>
        <v>39071</v>
      </c>
      <c r="AB15" s="16">
        <v>4</v>
      </c>
      <c r="AC15" s="16">
        <f t="shared" si="0"/>
        <v>156284</v>
      </c>
      <c r="AD15" s="53"/>
    </row>
    <row r="16" spans="1:30" ht="13.5" thickBot="1" x14ac:dyDescent="0.25">
      <c r="A16" s="19"/>
      <c r="B16" s="20" t="s">
        <v>10</v>
      </c>
      <c r="C16" s="21">
        <v>1196</v>
      </c>
      <c r="D16" s="21">
        <v>1090</v>
      </c>
      <c r="E16" s="21">
        <v>1034</v>
      </c>
      <c r="F16" s="21">
        <v>1013</v>
      </c>
      <c r="G16" s="21">
        <v>1027</v>
      </c>
      <c r="H16" s="21">
        <v>1130</v>
      </c>
      <c r="I16" s="21">
        <v>1176</v>
      </c>
      <c r="J16" s="21">
        <v>1397</v>
      </c>
      <c r="K16" s="21">
        <v>1659</v>
      </c>
      <c r="L16" s="21">
        <v>1804</v>
      </c>
      <c r="M16" s="21">
        <v>1781</v>
      </c>
      <c r="N16" s="21">
        <v>1836</v>
      </c>
      <c r="O16" s="21">
        <v>1739</v>
      </c>
      <c r="P16" s="21">
        <v>1646</v>
      </c>
      <c r="Q16" s="21">
        <v>1624</v>
      </c>
      <c r="R16" s="21">
        <v>1535</v>
      </c>
      <c r="S16" s="21">
        <v>1535</v>
      </c>
      <c r="T16" s="21">
        <v>1743</v>
      </c>
      <c r="U16" s="21">
        <v>2418</v>
      </c>
      <c r="V16" s="21">
        <v>2624</v>
      </c>
      <c r="W16" s="21">
        <v>2387</v>
      </c>
      <c r="X16" s="21">
        <v>2038</v>
      </c>
      <c r="Y16" s="21">
        <v>1643</v>
      </c>
      <c r="Z16" s="25">
        <v>1368</v>
      </c>
      <c r="AA16" s="23">
        <f t="shared" si="1"/>
        <v>38443</v>
      </c>
      <c r="AB16" s="23">
        <v>6</v>
      </c>
      <c r="AC16" s="23">
        <f t="shared" si="0"/>
        <v>230658</v>
      </c>
      <c r="AD16" s="54"/>
    </row>
    <row r="17" spans="1:30" x14ac:dyDescent="0.2">
      <c r="A17" s="5"/>
      <c r="B17" s="6" t="s">
        <v>7</v>
      </c>
      <c r="C17" s="7">
        <v>1063</v>
      </c>
      <c r="D17" s="7">
        <v>997</v>
      </c>
      <c r="E17" s="7">
        <v>976</v>
      </c>
      <c r="F17" s="7">
        <v>970</v>
      </c>
      <c r="G17" s="7">
        <v>1035</v>
      </c>
      <c r="H17" s="7">
        <v>1343</v>
      </c>
      <c r="I17" s="7">
        <v>2220</v>
      </c>
      <c r="J17" s="7">
        <v>1709</v>
      </c>
      <c r="K17" s="7">
        <v>1583</v>
      </c>
      <c r="L17" s="7">
        <v>1557</v>
      </c>
      <c r="M17" s="7">
        <v>1562</v>
      </c>
      <c r="N17" s="7">
        <v>1600</v>
      </c>
      <c r="O17" s="7">
        <v>1496</v>
      </c>
      <c r="P17" s="7">
        <v>1483</v>
      </c>
      <c r="Q17" s="7">
        <v>1550</v>
      </c>
      <c r="R17" s="7">
        <v>1535</v>
      </c>
      <c r="S17" s="7">
        <v>1597</v>
      </c>
      <c r="T17" s="7">
        <v>1910</v>
      </c>
      <c r="U17" s="7">
        <v>2692</v>
      </c>
      <c r="V17" s="7">
        <v>2915</v>
      </c>
      <c r="W17" s="7">
        <v>2664</v>
      </c>
      <c r="X17" s="7">
        <v>2249</v>
      </c>
      <c r="Y17" s="7">
        <v>1701</v>
      </c>
      <c r="Z17" s="11">
        <v>1322</v>
      </c>
      <c r="AA17" s="9">
        <f t="shared" si="1"/>
        <v>39729</v>
      </c>
      <c r="AB17" s="9">
        <v>20</v>
      </c>
      <c r="AC17" s="9">
        <f t="shared" si="0"/>
        <v>794580</v>
      </c>
      <c r="AD17" s="52">
        <f>SUM(AC17:AC19)</f>
        <v>1224720</v>
      </c>
    </row>
    <row r="18" spans="1:30" x14ac:dyDescent="0.2">
      <c r="A18" s="12" t="s">
        <v>14</v>
      </c>
      <c r="B18" s="13" t="s">
        <v>9</v>
      </c>
      <c r="C18" s="14">
        <v>1098</v>
      </c>
      <c r="D18" s="14">
        <v>1021</v>
      </c>
      <c r="E18" s="14">
        <v>975</v>
      </c>
      <c r="F18" s="14">
        <v>962</v>
      </c>
      <c r="G18" s="14">
        <v>1023</v>
      </c>
      <c r="H18" s="14">
        <v>1165</v>
      </c>
      <c r="I18" s="14">
        <v>1257</v>
      </c>
      <c r="J18" s="14">
        <v>1489</v>
      </c>
      <c r="K18" s="14">
        <v>1612</v>
      </c>
      <c r="L18" s="14">
        <v>1674</v>
      </c>
      <c r="M18" s="14">
        <v>1700</v>
      </c>
      <c r="N18" s="14">
        <v>1756</v>
      </c>
      <c r="O18" s="14">
        <v>1674</v>
      </c>
      <c r="P18" s="14">
        <v>1602</v>
      </c>
      <c r="Q18" s="14">
        <v>1607</v>
      </c>
      <c r="R18" s="14">
        <v>1607</v>
      </c>
      <c r="S18" s="14">
        <v>1649</v>
      </c>
      <c r="T18" s="14">
        <v>1958</v>
      </c>
      <c r="U18" s="14">
        <v>2752</v>
      </c>
      <c r="V18" s="14">
        <v>2900</v>
      </c>
      <c r="W18" s="14">
        <v>2624</v>
      </c>
      <c r="X18" s="14">
        <v>2215</v>
      </c>
      <c r="Y18" s="14">
        <v>1758</v>
      </c>
      <c r="Z18" s="18">
        <v>1426</v>
      </c>
      <c r="AA18" s="16">
        <f t="shared" si="1"/>
        <v>39504</v>
      </c>
      <c r="AB18" s="16">
        <v>5</v>
      </c>
      <c r="AC18" s="16">
        <f t="shared" si="0"/>
        <v>197520</v>
      </c>
      <c r="AD18" s="53"/>
    </row>
    <row r="19" spans="1:30" ht="13.5" thickBot="1" x14ac:dyDescent="0.25">
      <c r="A19" s="19"/>
      <c r="B19" s="20" t="s">
        <v>10</v>
      </c>
      <c r="C19" s="21">
        <v>1141</v>
      </c>
      <c r="D19" s="21">
        <v>1061</v>
      </c>
      <c r="E19" s="21">
        <v>1022</v>
      </c>
      <c r="F19" s="21">
        <v>998</v>
      </c>
      <c r="G19" s="21">
        <v>1009</v>
      </c>
      <c r="H19" s="21">
        <v>1132</v>
      </c>
      <c r="I19" s="21">
        <v>1200</v>
      </c>
      <c r="J19" s="21">
        <v>1406</v>
      </c>
      <c r="K19" s="21">
        <v>1680</v>
      </c>
      <c r="L19" s="21">
        <v>1849</v>
      </c>
      <c r="M19" s="21">
        <v>1859</v>
      </c>
      <c r="N19" s="21">
        <v>1895</v>
      </c>
      <c r="O19" s="21">
        <v>1762</v>
      </c>
      <c r="P19" s="21">
        <v>1615</v>
      </c>
      <c r="Q19" s="21">
        <v>1581</v>
      </c>
      <c r="R19" s="21">
        <v>1512</v>
      </c>
      <c r="S19" s="21">
        <v>1536</v>
      </c>
      <c r="T19" s="21">
        <v>1765</v>
      </c>
      <c r="U19" s="21">
        <v>2445</v>
      </c>
      <c r="V19" s="21">
        <v>2743</v>
      </c>
      <c r="W19" s="21">
        <v>2537</v>
      </c>
      <c r="X19" s="21">
        <v>2113</v>
      </c>
      <c r="Y19" s="21">
        <v>1617</v>
      </c>
      <c r="Z19" s="25">
        <v>1292</v>
      </c>
      <c r="AA19" s="23">
        <f t="shared" si="1"/>
        <v>38770</v>
      </c>
      <c r="AB19" s="23">
        <v>6</v>
      </c>
      <c r="AC19" s="23">
        <f t="shared" si="0"/>
        <v>232620</v>
      </c>
      <c r="AD19" s="54"/>
    </row>
    <row r="20" spans="1:30" x14ac:dyDescent="0.2">
      <c r="A20" s="5"/>
      <c r="B20" s="6" t="s">
        <v>7</v>
      </c>
      <c r="C20" s="7">
        <v>1091</v>
      </c>
      <c r="D20" s="7">
        <v>1029</v>
      </c>
      <c r="E20" s="7">
        <v>1008</v>
      </c>
      <c r="F20" s="7">
        <v>1000</v>
      </c>
      <c r="G20" s="7">
        <v>1052</v>
      </c>
      <c r="H20" s="7">
        <v>1320</v>
      </c>
      <c r="I20" s="7">
        <v>2166</v>
      </c>
      <c r="J20" s="7">
        <v>1731</v>
      </c>
      <c r="K20" s="7">
        <v>1612</v>
      </c>
      <c r="L20" s="7">
        <v>1565</v>
      </c>
      <c r="M20" s="7">
        <v>1555</v>
      </c>
      <c r="N20" s="7">
        <v>1599</v>
      </c>
      <c r="O20" s="7">
        <v>1511</v>
      </c>
      <c r="P20" s="7">
        <v>1510</v>
      </c>
      <c r="Q20" s="7">
        <v>1576</v>
      </c>
      <c r="R20" s="7">
        <v>1553</v>
      </c>
      <c r="S20" s="7">
        <v>1632</v>
      </c>
      <c r="T20" s="7">
        <v>1932</v>
      </c>
      <c r="U20" s="7">
        <v>2562</v>
      </c>
      <c r="V20" s="7">
        <v>2778</v>
      </c>
      <c r="W20" s="7">
        <v>2537</v>
      </c>
      <c r="X20" s="7">
        <v>2157</v>
      </c>
      <c r="Y20" s="7">
        <v>1670</v>
      </c>
      <c r="Z20" s="11">
        <v>1334</v>
      </c>
      <c r="AA20" s="9">
        <f t="shared" si="1"/>
        <v>39480</v>
      </c>
      <c r="AB20" s="9">
        <v>18</v>
      </c>
      <c r="AC20" s="9">
        <f t="shared" si="0"/>
        <v>710640</v>
      </c>
      <c r="AD20" s="52">
        <f>SUM(AC20:AC22)</f>
        <v>1178160</v>
      </c>
    </row>
    <row r="21" spans="1:30" x14ac:dyDescent="0.2">
      <c r="A21" s="12" t="s">
        <v>15</v>
      </c>
      <c r="B21" s="13" t="s">
        <v>9</v>
      </c>
      <c r="C21" s="14">
        <v>1140</v>
      </c>
      <c r="D21" s="14">
        <v>1055</v>
      </c>
      <c r="E21" s="14">
        <v>1013</v>
      </c>
      <c r="F21" s="14">
        <v>1004</v>
      </c>
      <c r="G21" s="14">
        <v>1037</v>
      </c>
      <c r="H21" s="14">
        <v>1154</v>
      </c>
      <c r="I21" s="14">
        <v>1245</v>
      </c>
      <c r="J21" s="14">
        <v>1438</v>
      </c>
      <c r="K21" s="14">
        <v>1578</v>
      </c>
      <c r="L21" s="14">
        <v>1656</v>
      </c>
      <c r="M21" s="14">
        <v>1705</v>
      </c>
      <c r="N21" s="14">
        <v>1790</v>
      </c>
      <c r="O21" s="14">
        <v>1700</v>
      </c>
      <c r="P21" s="14">
        <v>1648</v>
      </c>
      <c r="Q21" s="14">
        <v>1640</v>
      </c>
      <c r="R21" s="14">
        <v>1664</v>
      </c>
      <c r="S21" s="14">
        <v>1700</v>
      </c>
      <c r="T21" s="14">
        <v>2054</v>
      </c>
      <c r="U21" s="14">
        <v>2605</v>
      </c>
      <c r="V21" s="14">
        <v>2765</v>
      </c>
      <c r="W21" s="14">
        <v>2497</v>
      </c>
      <c r="X21" s="14">
        <v>2107</v>
      </c>
      <c r="Y21" s="14">
        <v>1713</v>
      </c>
      <c r="Z21" s="18">
        <v>1442</v>
      </c>
      <c r="AA21" s="16">
        <f t="shared" si="1"/>
        <v>39350</v>
      </c>
      <c r="AB21" s="16">
        <v>4</v>
      </c>
      <c r="AC21" s="16">
        <f t="shared" si="0"/>
        <v>157400</v>
      </c>
      <c r="AD21" s="53"/>
    </row>
    <row r="22" spans="1:30" ht="13.5" thickBot="1" x14ac:dyDescent="0.25">
      <c r="A22" s="19"/>
      <c r="B22" s="20" t="s">
        <v>10</v>
      </c>
      <c r="C22" s="21">
        <v>1193</v>
      </c>
      <c r="D22" s="21">
        <v>1110</v>
      </c>
      <c r="E22" s="21">
        <v>1074</v>
      </c>
      <c r="F22" s="21">
        <v>1053</v>
      </c>
      <c r="G22" s="21">
        <v>1068</v>
      </c>
      <c r="H22" s="21">
        <v>1167</v>
      </c>
      <c r="I22" s="21">
        <v>1204</v>
      </c>
      <c r="J22" s="21">
        <v>1377</v>
      </c>
      <c r="K22" s="21">
        <v>1617</v>
      </c>
      <c r="L22" s="21">
        <v>1772</v>
      </c>
      <c r="M22" s="21">
        <v>1753</v>
      </c>
      <c r="N22" s="21">
        <v>1863</v>
      </c>
      <c r="O22" s="21">
        <v>1775</v>
      </c>
      <c r="P22" s="21">
        <v>1685</v>
      </c>
      <c r="Q22" s="21">
        <v>1629</v>
      </c>
      <c r="R22" s="21">
        <v>1594</v>
      </c>
      <c r="S22" s="21">
        <v>1579</v>
      </c>
      <c r="T22" s="21">
        <v>1806</v>
      </c>
      <c r="U22" s="21">
        <v>2381</v>
      </c>
      <c r="V22" s="21">
        <v>2637</v>
      </c>
      <c r="W22" s="21">
        <v>2428</v>
      </c>
      <c r="X22" s="21">
        <v>2046</v>
      </c>
      <c r="Y22" s="21">
        <v>1615</v>
      </c>
      <c r="Z22" s="25">
        <v>1339</v>
      </c>
      <c r="AA22" s="23">
        <f t="shared" si="1"/>
        <v>38765</v>
      </c>
      <c r="AB22" s="23">
        <v>8</v>
      </c>
      <c r="AC22" s="23">
        <f t="shared" si="0"/>
        <v>310120</v>
      </c>
      <c r="AD22" s="54"/>
    </row>
    <row r="23" spans="1:30" x14ac:dyDescent="0.2">
      <c r="A23" s="5"/>
      <c r="B23" s="6" t="s">
        <v>7</v>
      </c>
      <c r="C23" s="7">
        <v>1076</v>
      </c>
      <c r="D23" s="7">
        <v>1002</v>
      </c>
      <c r="E23" s="7">
        <v>971</v>
      </c>
      <c r="F23" s="7">
        <v>963</v>
      </c>
      <c r="G23" s="7">
        <v>1018</v>
      </c>
      <c r="H23" s="7">
        <v>1250</v>
      </c>
      <c r="I23" s="7">
        <v>1776</v>
      </c>
      <c r="J23" s="7">
        <v>1716</v>
      </c>
      <c r="K23" s="7">
        <v>1635</v>
      </c>
      <c r="L23" s="7">
        <v>1629</v>
      </c>
      <c r="M23" s="7">
        <v>1665</v>
      </c>
      <c r="N23" s="7">
        <v>1716</v>
      </c>
      <c r="O23" s="7">
        <v>1613</v>
      </c>
      <c r="P23" s="7">
        <v>1581</v>
      </c>
      <c r="Q23" s="7">
        <v>1604</v>
      </c>
      <c r="R23" s="7">
        <v>1567</v>
      </c>
      <c r="S23" s="7">
        <v>1638</v>
      </c>
      <c r="T23" s="7">
        <v>1919</v>
      </c>
      <c r="U23" s="7">
        <v>2535</v>
      </c>
      <c r="V23" s="7">
        <v>2884</v>
      </c>
      <c r="W23" s="7">
        <v>2639</v>
      </c>
      <c r="X23" s="7">
        <v>2255</v>
      </c>
      <c r="Y23" s="7">
        <v>1745</v>
      </c>
      <c r="Z23" s="11">
        <v>1351</v>
      </c>
      <c r="AA23" s="9">
        <f t="shared" si="1"/>
        <v>39748</v>
      </c>
      <c r="AB23" s="9">
        <v>23</v>
      </c>
      <c r="AC23" s="9">
        <f t="shared" si="0"/>
        <v>914204</v>
      </c>
      <c r="AD23" s="52">
        <f>SUM(AC23:AC25)</f>
        <v>1227112</v>
      </c>
    </row>
    <row r="24" spans="1:30" x14ac:dyDescent="0.2">
      <c r="A24" s="12" t="s">
        <v>16</v>
      </c>
      <c r="B24" s="13" t="s">
        <v>9</v>
      </c>
      <c r="C24" s="14">
        <v>1127</v>
      </c>
      <c r="D24" s="14">
        <v>1034</v>
      </c>
      <c r="E24" s="14">
        <v>980</v>
      </c>
      <c r="F24" s="14">
        <v>966</v>
      </c>
      <c r="G24" s="14">
        <v>1018</v>
      </c>
      <c r="H24" s="14">
        <v>1169</v>
      </c>
      <c r="I24" s="14">
        <v>1292</v>
      </c>
      <c r="J24" s="14">
        <v>1498</v>
      </c>
      <c r="K24" s="14">
        <v>1645</v>
      </c>
      <c r="L24" s="14">
        <v>1763</v>
      </c>
      <c r="M24" s="14">
        <v>1824</v>
      </c>
      <c r="N24" s="14">
        <v>1886</v>
      </c>
      <c r="O24" s="14">
        <v>1771</v>
      </c>
      <c r="P24" s="14">
        <v>1710</v>
      </c>
      <c r="Q24" s="14">
        <v>1673</v>
      </c>
      <c r="R24" s="14">
        <v>1625</v>
      </c>
      <c r="S24" s="14">
        <v>1700</v>
      </c>
      <c r="T24" s="14">
        <v>1966</v>
      </c>
      <c r="U24" s="14">
        <v>2546</v>
      </c>
      <c r="V24" s="14">
        <v>2784</v>
      </c>
      <c r="W24" s="14">
        <v>2515</v>
      </c>
      <c r="X24" s="14">
        <v>2154</v>
      </c>
      <c r="Y24" s="14">
        <v>1753</v>
      </c>
      <c r="Z24" s="18">
        <v>1454</v>
      </c>
      <c r="AA24" s="16">
        <f t="shared" si="1"/>
        <v>39853</v>
      </c>
      <c r="AB24" s="16">
        <v>4</v>
      </c>
      <c r="AC24" s="16">
        <f t="shared" si="0"/>
        <v>159412</v>
      </c>
      <c r="AD24" s="53"/>
    </row>
    <row r="25" spans="1:30" ht="13.5" thickBot="1" x14ac:dyDescent="0.25">
      <c r="A25" s="19"/>
      <c r="B25" s="20" t="s">
        <v>10</v>
      </c>
      <c r="C25" s="21">
        <v>1147</v>
      </c>
      <c r="D25" s="21">
        <v>1056</v>
      </c>
      <c r="E25" s="21">
        <v>1005</v>
      </c>
      <c r="F25" s="21">
        <v>975</v>
      </c>
      <c r="G25" s="21">
        <v>995</v>
      </c>
      <c r="H25" s="21">
        <v>1112</v>
      </c>
      <c r="I25" s="21">
        <v>1169</v>
      </c>
      <c r="J25" s="21">
        <v>1354</v>
      </c>
      <c r="K25" s="21">
        <v>1578</v>
      </c>
      <c r="L25" s="21">
        <v>1727</v>
      </c>
      <c r="M25" s="21">
        <v>1788</v>
      </c>
      <c r="N25" s="21">
        <v>1823</v>
      </c>
      <c r="O25" s="21">
        <v>1716</v>
      </c>
      <c r="P25" s="21">
        <v>1605</v>
      </c>
      <c r="Q25" s="21">
        <v>1587</v>
      </c>
      <c r="R25" s="21">
        <v>1591</v>
      </c>
      <c r="S25" s="21">
        <v>1606</v>
      </c>
      <c r="T25" s="21">
        <v>1856</v>
      </c>
      <c r="U25" s="21">
        <v>2429</v>
      </c>
      <c r="V25" s="21">
        <v>2701</v>
      </c>
      <c r="W25" s="21">
        <v>2467</v>
      </c>
      <c r="X25" s="21">
        <v>2095</v>
      </c>
      <c r="Y25" s="21">
        <v>1661</v>
      </c>
      <c r="Z25" s="25">
        <v>1331</v>
      </c>
      <c r="AA25" s="23">
        <f t="shared" si="1"/>
        <v>38374</v>
      </c>
      <c r="AB25" s="23">
        <v>4</v>
      </c>
      <c r="AC25" s="23">
        <f t="shared" si="0"/>
        <v>153496</v>
      </c>
      <c r="AD25" s="54"/>
    </row>
    <row r="26" spans="1:30" x14ac:dyDescent="0.2">
      <c r="A26" s="5"/>
      <c r="B26" s="6" t="s">
        <v>7</v>
      </c>
      <c r="C26" s="7">
        <v>1096</v>
      </c>
      <c r="D26" s="7">
        <v>1031</v>
      </c>
      <c r="E26" s="7">
        <v>1005</v>
      </c>
      <c r="F26" s="7">
        <v>997</v>
      </c>
      <c r="G26" s="7">
        <v>1055</v>
      </c>
      <c r="H26" s="7">
        <v>1323</v>
      </c>
      <c r="I26" s="7">
        <v>2156</v>
      </c>
      <c r="J26" s="7">
        <v>1779</v>
      </c>
      <c r="K26" s="7">
        <v>1649</v>
      </c>
      <c r="L26" s="7">
        <v>1574</v>
      </c>
      <c r="M26" s="7">
        <v>1579</v>
      </c>
      <c r="N26" s="7">
        <v>1628</v>
      </c>
      <c r="O26" s="7">
        <v>1529</v>
      </c>
      <c r="P26" s="7">
        <v>1500</v>
      </c>
      <c r="Q26" s="7">
        <v>1565</v>
      </c>
      <c r="R26" s="7">
        <v>1550</v>
      </c>
      <c r="S26" s="7">
        <v>1630</v>
      </c>
      <c r="T26" s="7">
        <v>1920</v>
      </c>
      <c r="U26" s="7">
        <v>2565</v>
      </c>
      <c r="V26" s="7">
        <v>2837</v>
      </c>
      <c r="W26" s="7">
        <v>2587</v>
      </c>
      <c r="X26" s="7">
        <v>2206</v>
      </c>
      <c r="Y26" s="7">
        <v>1709</v>
      </c>
      <c r="Z26" s="11">
        <v>1329</v>
      </c>
      <c r="AA26" s="9">
        <f t="shared" si="1"/>
        <v>39799</v>
      </c>
      <c r="AB26" s="9">
        <v>19</v>
      </c>
      <c r="AC26" s="9">
        <f t="shared" si="0"/>
        <v>756181</v>
      </c>
      <c r="AD26" s="52">
        <f>SUM(AC26:AC28)</f>
        <v>1228372</v>
      </c>
    </row>
    <row r="27" spans="1:30" x14ac:dyDescent="0.2">
      <c r="A27" s="12" t="s">
        <v>17</v>
      </c>
      <c r="B27" s="13" t="s">
        <v>9</v>
      </c>
      <c r="C27" s="14">
        <v>1081</v>
      </c>
      <c r="D27" s="14">
        <v>994</v>
      </c>
      <c r="E27" s="14">
        <v>957</v>
      </c>
      <c r="F27" s="14">
        <v>947</v>
      </c>
      <c r="G27" s="14">
        <v>995</v>
      </c>
      <c r="H27" s="14">
        <v>1145</v>
      </c>
      <c r="I27" s="14">
        <v>1208</v>
      </c>
      <c r="J27" s="14">
        <v>1392</v>
      </c>
      <c r="K27" s="14">
        <v>1588</v>
      </c>
      <c r="L27" s="14">
        <v>1673</v>
      </c>
      <c r="M27" s="14">
        <v>1738</v>
      </c>
      <c r="N27" s="14">
        <v>1794</v>
      </c>
      <c r="O27" s="14">
        <v>1742</v>
      </c>
      <c r="P27" s="14">
        <v>1683</v>
      </c>
      <c r="Q27" s="14">
        <v>1664</v>
      </c>
      <c r="R27" s="14">
        <v>1661</v>
      </c>
      <c r="S27" s="14">
        <v>1718</v>
      </c>
      <c r="T27" s="14">
        <v>1962</v>
      </c>
      <c r="U27" s="14">
        <v>2529</v>
      </c>
      <c r="V27" s="14">
        <v>2751</v>
      </c>
      <c r="W27" s="14">
        <v>2542</v>
      </c>
      <c r="X27" s="14">
        <v>2188</v>
      </c>
      <c r="Y27" s="14">
        <v>1770</v>
      </c>
      <c r="Z27" s="18">
        <v>1433</v>
      </c>
      <c r="AA27" s="16">
        <f t="shared" si="1"/>
        <v>39155</v>
      </c>
      <c r="AB27" s="16">
        <v>5</v>
      </c>
      <c r="AC27" s="16">
        <f t="shared" si="0"/>
        <v>195775</v>
      </c>
      <c r="AD27" s="53"/>
    </row>
    <row r="28" spans="1:30" ht="13.5" thickBot="1" x14ac:dyDescent="0.25">
      <c r="A28" s="19"/>
      <c r="B28" s="20" t="s">
        <v>10</v>
      </c>
      <c r="C28" s="21">
        <v>1177</v>
      </c>
      <c r="D28" s="21">
        <v>1091</v>
      </c>
      <c r="E28" s="21">
        <v>1042</v>
      </c>
      <c r="F28" s="21">
        <v>1015</v>
      </c>
      <c r="G28" s="21">
        <v>1039</v>
      </c>
      <c r="H28" s="21">
        <v>1169</v>
      </c>
      <c r="I28" s="21">
        <v>1223</v>
      </c>
      <c r="J28" s="21">
        <v>1396</v>
      </c>
      <c r="K28" s="21">
        <v>1672</v>
      </c>
      <c r="L28" s="21">
        <v>1866</v>
      </c>
      <c r="M28" s="21">
        <v>1901</v>
      </c>
      <c r="N28" s="21">
        <v>1928</v>
      </c>
      <c r="O28" s="21">
        <v>1809</v>
      </c>
      <c r="P28" s="21">
        <v>1694</v>
      </c>
      <c r="Q28" s="21">
        <v>1651</v>
      </c>
      <c r="R28" s="21">
        <v>1610</v>
      </c>
      <c r="S28" s="21">
        <v>1630</v>
      </c>
      <c r="T28" s="21">
        <v>1871</v>
      </c>
      <c r="U28" s="21">
        <v>2407</v>
      </c>
      <c r="V28" s="21">
        <v>2701</v>
      </c>
      <c r="W28" s="21">
        <v>2486</v>
      </c>
      <c r="X28" s="21">
        <v>2111</v>
      </c>
      <c r="Y28" s="21">
        <v>1666</v>
      </c>
      <c r="Z28" s="25">
        <v>1333</v>
      </c>
      <c r="AA28" s="23">
        <f t="shared" si="1"/>
        <v>39488</v>
      </c>
      <c r="AB28" s="23">
        <v>7</v>
      </c>
      <c r="AC28" s="23">
        <f t="shared" si="0"/>
        <v>276416</v>
      </c>
      <c r="AD28" s="54"/>
    </row>
    <row r="29" spans="1:30" x14ac:dyDescent="0.2">
      <c r="A29" s="5"/>
      <c r="B29" s="6" t="s">
        <v>7</v>
      </c>
      <c r="C29" s="7">
        <v>1078</v>
      </c>
      <c r="D29" s="7">
        <v>1007</v>
      </c>
      <c r="E29" s="7">
        <v>979</v>
      </c>
      <c r="F29" s="7">
        <v>974</v>
      </c>
      <c r="G29" s="7">
        <v>1040</v>
      </c>
      <c r="H29" s="7">
        <v>1323</v>
      </c>
      <c r="I29" s="7">
        <v>2222</v>
      </c>
      <c r="J29" s="7">
        <v>1756</v>
      </c>
      <c r="K29" s="7">
        <v>1618</v>
      </c>
      <c r="L29" s="7">
        <v>1571</v>
      </c>
      <c r="M29" s="7">
        <v>1562</v>
      </c>
      <c r="N29" s="7">
        <v>1637</v>
      </c>
      <c r="O29" s="7">
        <v>1533</v>
      </c>
      <c r="P29" s="7">
        <v>1538</v>
      </c>
      <c r="Q29" s="7">
        <v>1594</v>
      </c>
      <c r="R29" s="7">
        <v>1582</v>
      </c>
      <c r="S29" s="7">
        <v>1649</v>
      </c>
      <c r="T29" s="7">
        <v>1952</v>
      </c>
      <c r="U29" s="7">
        <v>2743</v>
      </c>
      <c r="V29" s="7">
        <v>2907</v>
      </c>
      <c r="W29" s="7">
        <v>2650</v>
      </c>
      <c r="X29" s="7">
        <v>2243</v>
      </c>
      <c r="Y29" s="7">
        <v>1717</v>
      </c>
      <c r="Z29" s="11">
        <v>1335</v>
      </c>
      <c r="AA29" s="9">
        <f t="shared" si="1"/>
        <v>40210</v>
      </c>
      <c r="AB29" s="9">
        <v>22</v>
      </c>
      <c r="AC29" s="9">
        <f t="shared" si="0"/>
        <v>884620</v>
      </c>
      <c r="AD29" s="52">
        <f>SUM(AC29:AC31)</f>
        <v>1199756</v>
      </c>
    </row>
    <row r="30" spans="1:30" x14ac:dyDescent="0.2">
      <c r="A30" s="12" t="s">
        <v>18</v>
      </c>
      <c r="B30" s="13" t="s">
        <v>9</v>
      </c>
      <c r="C30" s="14">
        <v>1117</v>
      </c>
      <c r="D30" s="14">
        <v>1027</v>
      </c>
      <c r="E30" s="14">
        <v>980</v>
      </c>
      <c r="F30" s="14">
        <v>967</v>
      </c>
      <c r="G30" s="14">
        <v>1007</v>
      </c>
      <c r="H30" s="14">
        <v>1145</v>
      </c>
      <c r="I30" s="14">
        <v>1279</v>
      </c>
      <c r="J30" s="14">
        <v>1527</v>
      </c>
      <c r="K30" s="14">
        <v>1681</v>
      </c>
      <c r="L30" s="14">
        <v>1748</v>
      </c>
      <c r="M30" s="14">
        <v>1852</v>
      </c>
      <c r="N30" s="14">
        <v>1885</v>
      </c>
      <c r="O30" s="14">
        <v>1766</v>
      </c>
      <c r="P30" s="14">
        <v>1697</v>
      </c>
      <c r="Q30" s="14">
        <v>1678</v>
      </c>
      <c r="R30" s="14">
        <v>1638</v>
      </c>
      <c r="S30" s="14">
        <v>1717</v>
      </c>
      <c r="T30" s="14">
        <v>2042</v>
      </c>
      <c r="U30" s="14">
        <v>2705</v>
      </c>
      <c r="V30" s="14">
        <v>2762</v>
      </c>
      <c r="W30" s="14">
        <v>2473</v>
      </c>
      <c r="X30" s="14">
        <v>2109</v>
      </c>
      <c r="Y30" s="14">
        <v>1718</v>
      </c>
      <c r="Z30" s="18">
        <v>1426</v>
      </c>
      <c r="AA30" s="16">
        <f t="shared" si="1"/>
        <v>39946</v>
      </c>
      <c r="AB30" s="16">
        <v>4</v>
      </c>
      <c r="AC30" s="16">
        <f t="shared" si="0"/>
        <v>159784</v>
      </c>
      <c r="AD30" s="53"/>
    </row>
    <row r="31" spans="1:30" ht="13.5" thickBot="1" x14ac:dyDescent="0.25">
      <c r="A31" s="19"/>
      <c r="B31" s="20" t="s">
        <v>10</v>
      </c>
      <c r="C31" s="21">
        <v>1184</v>
      </c>
      <c r="D31" s="21">
        <v>1095</v>
      </c>
      <c r="E31" s="21">
        <v>1041</v>
      </c>
      <c r="F31" s="21">
        <v>1008</v>
      </c>
      <c r="G31" s="21">
        <v>1021</v>
      </c>
      <c r="H31" s="21">
        <v>1109</v>
      </c>
      <c r="I31" s="21">
        <v>1173</v>
      </c>
      <c r="J31" s="21">
        <v>1360</v>
      </c>
      <c r="K31" s="21">
        <v>1702</v>
      </c>
      <c r="L31" s="21">
        <v>1910</v>
      </c>
      <c r="M31" s="21">
        <v>1879</v>
      </c>
      <c r="N31" s="21">
        <v>1952</v>
      </c>
      <c r="O31" s="21">
        <v>1820</v>
      </c>
      <c r="P31" s="21">
        <v>1663</v>
      </c>
      <c r="Q31" s="21">
        <v>1577</v>
      </c>
      <c r="R31" s="21">
        <v>1523</v>
      </c>
      <c r="S31" s="21">
        <v>1493</v>
      </c>
      <c r="T31" s="21">
        <v>1736</v>
      </c>
      <c r="U31" s="21">
        <v>2462</v>
      </c>
      <c r="V31" s="21">
        <v>2692</v>
      </c>
      <c r="W31" s="21">
        <v>2487</v>
      </c>
      <c r="X31" s="21">
        <v>2065</v>
      </c>
      <c r="Y31" s="21">
        <v>1592</v>
      </c>
      <c r="Z31" s="25">
        <v>1294</v>
      </c>
      <c r="AA31" s="23">
        <f t="shared" si="1"/>
        <v>38838</v>
      </c>
      <c r="AB31" s="23">
        <v>4</v>
      </c>
      <c r="AC31" s="23">
        <f t="shared" si="0"/>
        <v>155352</v>
      </c>
      <c r="AD31" s="54"/>
    </row>
    <row r="32" spans="1:30" x14ac:dyDescent="0.2">
      <c r="A32" s="5"/>
      <c r="B32" s="6" t="s">
        <v>7</v>
      </c>
      <c r="C32" s="7">
        <v>1084</v>
      </c>
      <c r="D32" s="7">
        <v>1014</v>
      </c>
      <c r="E32" s="7">
        <v>985</v>
      </c>
      <c r="F32" s="7">
        <v>978</v>
      </c>
      <c r="G32" s="7">
        <v>1043</v>
      </c>
      <c r="H32" s="7">
        <v>1274</v>
      </c>
      <c r="I32" s="7">
        <v>2026</v>
      </c>
      <c r="J32" s="7">
        <v>1740</v>
      </c>
      <c r="K32" s="7">
        <v>1633</v>
      </c>
      <c r="L32" s="7">
        <v>1588</v>
      </c>
      <c r="M32" s="7">
        <v>1595</v>
      </c>
      <c r="N32" s="7">
        <v>1643</v>
      </c>
      <c r="O32" s="7">
        <v>1542</v>
      </c>
      <c r="P32" s="7">
        <v>1537</v>
      </c>
      <c r="Q32" s="7">
        <v>1584</v>
      </c>
      <c r="R32" s="7">
        <v>1570</v>
      </c>
      <c r="S32" s="7">
        <v>1632</v>
      </c>
      <c r="T32" s="7">
        <v>1988</v>
      </c>
      <c r="U32" s="7">
        <v>2809</v>
      </c>
      <c r="V32" s="7">
        <v>2844</v>
      </c>
      <c r="W32" s="7">
        <v>2588</v>
      </c>
      <c r="X32" s="7">
        <v>2190</v>
      </c>
      <c r="Y32" s="7">
        <v>1699</v>
      </c>
      <c r="Z32" s="11">
        <v>1341</v>
      </c>
      <c r="AA32" s="9">
        <f t="shared" si="1"/>
        <v>39927</v>
      </c>
      <c r="AB32" s="9">
        <v>22</v>
      </c>
      <c r="AC32" s="9">
        <f t="shared" si="0"/>
        <v>878394</v>
      </c>
      <c r="AD32" s="52">
        <f>SUM(AC32:AC34)</f>
        <v>1228527</v>
      </c>
    </row>
    <row r="33" spans="1:30" x14ac:dyDescent="0.2">
      <c r="A33" s="12" t="s">
        <v>19</v>
      </c>
      <c r="B33" s="13" t="s">
        <v>9</v>
      </c>
      <c r="C33" s="14">
        <v>1157</v>
      </c>
      <c r="D33" s="14">
        <v>1067</v>
      </c>
      <c r="E33" s="14">
        <v>1022</v>
      </c>
      <c r="F33" s="14">
        <v>1010</v>
      </c>
      <c r="G33" s="14">
        <v>1051</v>
      </c>
      <c r="H33" s="14">
        <v>1165</v>
      </c>
      <c r="I33" s="14">
        <v>1273</v>
      </c>
      <c r="J33" s="14">
        <v>1508</v>
      </c>
      <c r="K33" s="14">
        <v>1687</v>
      </c>
      <c r="L33" s="14">
        <v>1781</v>
      </c>
      <c r="M33" s="14">
        <v>1838</v>
      </c>
      <c r="N33" s="14">
        <v>1923</v>
      </c>
      <c r="O33" s="14">
        <v>1802</v>
      </c>
      <c r="P33" s="14">
        <v>1749</v>
      </c>
      <c r="Q33" s="14">
        <v>1699</v>
      </c>
      <c r="R33" s="14">
        <v>1614</v>
      </c>
      <c r="S33" s="14">
        <v>1654</v>
      </c>
      <c r="T33" s="14">
        <v>1959</v>
      </c>
      <c r="U33" s="14">
        <v>2739</v>
      </c>
      <c r="V33" s="14">
        <v>2745</v>
      </c>
      <c r="W33" s="14">
        <v>2497</v>
      </c>
      <c r="X33" s="14">
        <v>2138</v>
      </c>
      <c r="Y33" s="14">
        <v>1735</v>
      </c>
      <c r="Z33" s="18">
        <v>1424</v>
      </c>
      <c r="AA33" s="16">
        <f t="shared" si="1"/>
        <v>40237</v>
      </c>
      <c r="AB33" s="16">
        <v>4</v>
      </c>
      <c r="AC33" s="16">
        <f t="shared" si="0"/>
        <v>160948</v>
      </c>
      <c r="AD33" s="53"/>
    </row>
    <row r="34" spans="1:30" ht="13.5" thickBot="1" x14ac:dyDescent="0.25">
      <c r="A34" s="19"/>
      <c r="B34" s="20" t="s">
        <v>10</v>
      </c>
      <c r="C34" s="21">
        <v>1148</v>
      </c>
      <c r="D34" s="21">
        <v>1050</v>
      </c>
      <c r="E34" s="21">
        <v>998</v>
      </c>
      <c r="F34" s="21">
        <v>972</v>
      </c>
      <c r="G34" s="21">
        <v>999</v>
      </c>
      <c r="H34" s="21">
        <v>1135</v>
      </c>
      <c r="I34" s="21">
        <v>1256</v>
      </c>
      <c r="J34" s="21">
        <v>1378</v>
      </c>
      <c r="K34" s="21">
        <v>1659</v>
      </c>
      <c r="L34" s="21">
        <v>1818</v>
      </c>
      <c r="M34" s="21">
        <v>1828</v>
      </c>
      <c r="N34" s="21">
        <v>1817</v>
      </c>
      <c r="O34" s="21">
        <v>1697</v>
      </c>
      <c r="P34" s="21">
        <v>1565</v>
      </c>
      <c r="Q34" s="21">
        <v>1472</v>
      </c>
      <c r="R34" s="21">
        <v>1419</v>
      </c>
      <c r="S34" s="21">
        <v>1477</v>
      </c>
      <c r="T34" s="21">
        <v>1796</v>
      </c>
      <c r="U34" s="21">
        <v>2506</v>
      </c>
      <c r="V34" s="21">
        <v>2572</v>
      </c>
      <c r="W34" s="21">
        <v>2377</v>
      </c>
      <c r="X34" s="21">
        <v>2002</v>
      </c>
      <c r="Y34" s="21">
        <v>1593</v>
      </c>
      <c r="Z34" s="25">
        <v>1303</v>
      </c>
      <c r="AA34" s="23">
        <f t="shared" si="1"/>
        <v>37837</v>
      </c>
      <c r="AB34" s="23">
        <v>5</v>
      </c>
      <c r="AC34" s="23">
        <f t="shared" si="0"/>
        <v>189185</v>
      </c>
      <c r="AD34" s="54"/>
    </row>
    <row r="35" spans="1:30" x14ac:dyDescent="0.2">
      <c r="A35" s="5"/>
      <c r="B35" s="6" t="s">
        <v>7</v>
      </c>
      <c r="C35" s="7">
        <v>1056</v>
      </c>
      <c r="D35" s="7">
        <v>989</v>
      </c>
      <c r="E35" s="7">
        <v>960</v>
      </c>
      <c r="F35" s="7">
        <v>956</v>
      </c>
      <c r="G35" s="7">
        <v>1030</v>
      </c>
      <c r="H35" s="7">
        <v>1357</v>
      </c>
      <c r="I35" s="7">
        <v>2185</v>
      </c>
      <c r="J35" s="7">
        <v>1695</v>
      </c>
      <c r="K35" s="7">
        <v>1568</v>
      </c>
      <c r="L35" s="7">
        <v>1515</v>
      </c>
      <c r="M35" s="7">
        <v>1519</v>
      </c>
      <c r="N35" s="7">
        <v>1569</v>
      </c>
      <c r="O35" s="7">
        <v>1464</v>
      </c>
      <c r="P35" s="7">
        <v>1470</v>
      </c>
      <c r="Q35" s="7">
        <v>1523</v>
      </c>
      <c r="R35" s="7">
        <v>1542</v>
      </c>
      <c r="S35" s="7">
        <v>1650</v>
      </c>
      <c r="T35" s="7">
        <v>2043</v>
      </c>
      <c r="U35" s="7">
        <v>2948</v>
      </c>
      <c r="V35" s="7">
        <v>2930</v>
      </c>
      <c r="W35" s="7">
        <v>2650</v>
      </c>
      <c r="X35" s="7">
        <v>2191</v>
      </c>
      <c r="Y35" s="7">
        <v>1659</v>
      </c>
      <c r="Z35" s="11">
        <v>1307</v>
      </c>
      <c r="AA35" s="9">
        <f t="shared" si="1"/>
        <v>39776</v>
      </c>
      <c r="AB35" s="9">
        <v>18</v>
      </c>
      <c r="AC35" s="9">
        <f t="shared" si="0"/>
        <v>715968</v>
      </c>
      <c r="AD35" s="52">
        <f>SUM(AC35:AC37)</f>
        <v>1188183</v>
      </c>
    </row>
    <row r="36" spans="1:30" x14ac:dyDescent="0.2">
      <c r="A36" s="12" t="s">
        <v>20</v>
      </c>
      <c r="B36" s="13" t="s">
        <v>9</v>
      </c>
      <c r="C36" s="14">
        <v>1120</v>
      </c>
      <c r="D36" s="14">
        <v>1033</v>
      </c>
      <c r="E36" s="14">
        <v>986</v>
      </c>
      <c r="F36" s="14">
        <v>969</v>
      </c>
      <c r="G36" s="14">
        <v>1028</v>
      </c>
      <c r="H36" s="14">
        <v>1161</v>
      </c>
      <c r="I36" s="14">
        <v>1253</v>
      </c>
      <c r="J36" s="14">
        <v>1403</v>
      </c>
      <c r="K36" s="14">
        <v>1575</v>
      </c>
      <c r="L36" s="14">
        <v>1624</v>
      </c>
      <c r="M36" s="14">
        <v>1710</v>
      </c>
      <c r="N36" s="14">
        <v>1766</v>
      </c>
      <c r="O36" s="14">
        <v>1719</v>
      </c>
      <c r="P36" s="14">
        <v>1668</v>
      </c>
      <c r="Q36" s="14">
        <v>1667</v>
      </c>
      <c r="R36" s="14">
        <v>1630</v>
      </c>
      <c r="S36" s="14">
        <v>1644</v>
      </c>
      <c r="T36" s="14">
        <v>1979</v>
      </c>
      <c r="U36" s="14">
        <v>2900</v>
      </c>
      <c r="V36" s="14">
        <v>2866</v>
      </c>
      <c r="W36" s="14">
        <v>2564</v>
      </c>
      <c r="X36" s="14">
        <v>2166</v>
      </c>
      <c r="Y36" s="14">
        <v>1728</v>
      </c>
      <c r="Z36" s="18">
        <v>1404</v>
      </c>
      <c r="AA36" s="16">
        <f t="shared" si="1"/>
        <v>39563</v>
      </c>
      <c r="AB36" s="16">
        <v>5</v>
      </c>
      <c r="AC36" s="16">
        <f t="shared" si="0"/>
        <v>197815</v>
      </c>
      <c r="AD36" s="53"/>
    </row>
    <row r="37" spans="1:30" ht="13.5" thickBot="1" x14ac:dyDescent="0.25">
      <c r="A37" s="19"/>
      <c r="B37" s="20" t="s">
        <v>10</v>
      </c>
      <c r="C37" s="21">
        <v>1158</v>
      </c>
      <c r="D37" s="21">
        <v>1071</v>
      </c>
      <c r="E37" s="21">
        <v>1021</v>
      </c>
      <c r="F37" s="21">
        <v>996</v>
      </c>
      <c r="G37" s="21">
        <v>1019</v>
      </c>
      <c r="H37" s="21">
        <v>1121</v>
      </c>
      <c r="I37" s="21">
        <v>1208</v>
      </c>
      <c r="J37" s="21">
        <v>1398</v>
      </c>
      <c r="K37" s="21">
        <v>1651</v>
      </c>
      <c r="L37" s="21">
        <v>1755</v>
      </c>
      <c r="M37" s="21">
        <v>1816</v>
      </c>
      <c r="N37" s="21">
        <v>1829</v>
      </c>
      <c r="O37" s="21">
        <v>1709</v>
      </c>
      <c r="P37" s="21">
        <v>1612</v>
      </c>
      <c r="Q37" s="21">
        <v>1594</v>
      </c>
      <c r="R37" s="21">
        <v>1553</v>
      </c>
      <c r="S37" s="21">
        <v>1646</v>
      </c>
      <c r="T37" s="21">
        <v>2025</v>
      </c>
      <c r="U37" s="21">
        <v>2824</v>
      </c>
      <c r="V37" s="21">
        <v>2746</v>
      </c>
      <c r="W37" s="21">
        <v>2484</v>
      </c>
      <c r="X37" s="21">
        <v>2061</v>
      </c>
      <c r="Y37" s="21">
        <v>1600</v>
      </c>
      <c r="Z37" s="25">
        <v>1303</v>
      </c>
      <c r="AA37" s="23">
        <f t="shared" si="1"/>
        <v>39200</v>
      </c>
      <c r="AB37" s="23">
        <v>7</v>
      </c>
      <c r="AC37" s="23">
        <f t="shared" si="0"/>
        <v>274400</v>
      </c>
      <c r="AD37" s="54"/>
    </row>
    <row r="38" spans="1:30" x14ac:dyDescent="0.2">
      <c r="A38" s="5"/>
      <c r="B38" s="6" t="s">
        <v>7</v>
      </c>
      <c r="C38" s="7">
        <v>1103</v>
      </c>
      <c r="D38" s="7">
        <v>1020</v>
      </c>
      <c r="E38" s="7">
        <v>987</v>
      </c>
      <c r="F38" s="7">
        <v>983</v>
      </c>
      <c r="G38" s="7">
        <v>1092</v>
      </c>
      <c r="H38" s="7">
        <v>1231</v>
      </c>
      <c r="I38" s="7">
        <v>1417</v>
      </c>
      <c r="J38" s="7">
        <v>1585</v>
      </c>
      <c r="K38" s="7">
        <v>1670</v>
      </c>
      <c r="L38" s="7">
        <v>1704</v>
      </c>
      <c r="M38" s="7">
        <v>1760</v>
      </c>
      <c r="N38" s="7">
        <v>1838</v>
      </c>
      <c r="O38" s="7">
        <v>1730</v>
      </c>
      <c r="P38" s="7">
        <v>1673</v>
      </c>
      <c r="Q38" s="7">
        <v>1672</v>
      </c>
      <c r="R38" s="7">
        <v>1668</v>
      </c>
      <c r="S38" s="7">
        <v>1733</v>
      </c>
      <c r="T38" s="7">
        <v>2061</v>
      </c>
      <c r="U38" s="7">
        <v>2837</v>
      </c>
      <c r="V38" s="7">
        <v>2961</v>
      </c>
      <c r="W38" s="7">
        <v>2700</v>
      </c>
      <c r="X38" s="7">
        <v>2322</v>
      </c>
      <c r="Y38" s="7">
        <v>1830</v>
      </c>
      <c r="Z38" s="11">
        <v>1450</v>
      </c>
      <c r="AA38" s="9">
        <f t="shared" si="1"/>
        <v>41027</v>
      </c>
      <c r="AB38" s="9">
        <v>21</v>
      </c>
      <c r="AC38" s="9">
        <f t="shared" si="0"/>
        <v>861567</v>
      </c>
      <c r="AD38" s="52">
        <f>SUM(AC38:AC40)</f>
        <v>1262011</v>
      </c>
    </row>
    <row r="39" spans="1:30" x14ac:dyDescent="0.2">
      <c r="A39" s="12" t="s">
        <v>21</v>
      </c>
      <c r="B39" s="13" t="s">
        <v>9</v>
      </c>
      <c r="C39" s="14">
        <v>1163</v>
      </c>
      <c r="D39" s="14">
        <v>1071</v>
      </c>
      <c r="E39" s="14">
        <v>1016</v>
      </c>
      <c r="F39" s="14">
        <v>1001</v>
      </c>
      <c r="G39" s="14">
        <v>1094</v>
      </c>
      <c r="H39" s="14">
        <v>1201</v>
      </c>
      <c r="I39" s="14">
        <v>1271</v>
      </c>
      <c r="J39" s="14">
        <v>1471</v>
      </c>
      <c r="K39" s="14">
        <v>1627</v>
      </c>
      <c r="L39" s="14">
        <v>1709</v>
      </c>
      <c r="M39" s="14">
        <v>1779</v>
      </c>
      <c r="N39" s="14">
        <v>1844</v>
      </c>
      <c r="O39" s="14">
        <v>1787</v>
      </c>
      <c r="P39" s="14">
        <v>1697</v>
      </c>
      <c r="Q39" s="14">
        <v>1698</v>
      </c>
      <c r="R39" s="14">
        <v>1654</v>
      </c>
      <c r="S39" s="14">
        <v>1774</v>
      </c>
      <c r="T39" s="14">
        <v>2072</v>
      </c>
      <c r="U39" s="14">
        <v>2769</v>
      </c>
      <c r="V39" s="14">
        <v>2922</v>
      </c>
      <c r="W39" s="14">
        <v>2650</v>
      </c>
      <c r="X39" s="14">
        <v>2300</v>
      </c>
      <c r="Y39" s="14">
        <v>1871</v>
      </c>
      <c r="Z39" s="18">
        <v>1519</v>
      </c>
      <c r="AA39" s="16">
        <f t="shared" si="1"/>
        <v>40960</v>
      </c>
      <c r="AB39" s="16">
        <v>4</v>
      </c>
      <c r="AC39" s="16">
        <f t="shared" si="0"/>
        <v>163840</v>
      </c>
      <c r="AD39" s="53"/>
    </row>
    <row r="40" spans="1:30" ht="13.5" thickBot="1" x14ac:dyDescent="0.25">
      <c r="A40" s="19"/>
      <c r="B40" s="20" t="s">
        <v>10</v>
      </c>
      <c r="C40" s="21">
        <v>1227</v>
      </c>
      <c r="D40" s="21">
        <v>1115</v>
      </c>
      <c r="E40" s="21">
        <v>1052</v>
      </c>
      <c r="F40" s="21">
        <v>1020</v>
      </c>
      <c r="G40" s="21">
        <v>1080</v>
      </c>
      <c r="H40" s="21">
        <v>1139</v>
      </c>
      <c r="I40" s="21">
        <v>1173</v>
      </c>
      <c r="J40" s="21">
        <v>1358</v>
      </c>
      <c r="K40" s="21">
        <v>1641</v>
      </c>
      <c r="L40" s="21">
        <v>1790</v>
      </c>
      <c r="M40" s="21">
        <v>1784</v>
      </c>
      <c r="N40" s="21">
        <v>1840</v>
      </c>
      <c r="O40" s="21">
        <v>1806</v>
      </c>
      <c r="P40" s="21">
        <v>1658</v>
      </c>
      <c r="Q40" s="21">
        <v>1596</v>
      </c>
      <c r="R40" s="21">
        <v>1546</v>
      </c>
      <c r="S40" s="21">
        <v>1558</v>
      </c>
      <c r="T40" s="21">
        <v>1857</v>
      </c>
      <c r="U40" s="21">
        <v>2563</v>
      </c>
      <c r="V40" s="21">
        <v>2760</v>
      </c>
      <c r="W40" s="21">
        <v>2547</v>
      </c>
      <c r="X40" s="21">
        <v>2183</v>
      </c>
      <c r="Y40" s="21">
        <v>1740</v>
      </c>
      <c r="Z40" s="25">
        <v>1401</v>
      </c>
      <c r="AA40" s="23">
        <f t="shared" si="1"/>
        <v>39434</v>
      </c>
      <c r="AB40" s="23">
        <v>6</v>
      </c>
      <c r="AC40" s="23">
        <f t="shared" si="0"/>
        <v>236604</v>
      </c>
      <c r="AD40" s="54"/>
    </row>
    <row r="41" spans="1:30" x14ac:dyDescent="0.2">
      <c r="AB41" s="26"/>
      <c r="AD41" s="26"/>
    </row>
    <row r="43" spans="1:30" x14ac:dyDescent="0.2">
      <c r="AC43" s="26"/>
      <c r="AD43" s="26"/>
    </row>
  </sheetData>
  <mergeCells count="17">
    <mergeCell ref="AD26:AD28"/>
    <mergeCell ref="AD29:AD31"/>
    <mergeCell ref="AD32:AD34"/>
    <mergeCell ref="AD35:AD37"/>
    <mergeCell ref="AD38:AD40"/>
    <mergeCell ref="AD8:AD10"/>
    <mergeCell ref="AD11:AD13"/>
    <mergeCell ref="AD14:AD16"/>
    <mergeCell ref="AD17:AD19"/>
    <mergeCell ref="AD20:AD22"/>
    <mergeCell ref="AD23:AD25"/>
    <mergeCell ref="A1:AD1"/>
    <mergeCell ref="C3:Z3"/>
    <mergeCell ref="AA3:AA4"/>
    <mergeCell ref="AB3:AB4"/>
    <mergeCell ref="AC3:AD4"/>
    <mergeCell ref="AD5:AD7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sqref="A1:E75"/>
    </sheetView>
  </sheetViews>
  <sheetFormatPr baseColWidth="10" defaultRowHeight="12.75" x14ac:dyDescent="0.2"/>
  <cols>
    <col min="1" max="1" width="15" customWidth="1"/>
    <col min="2" max="2" width="13" bestFit="1" customWidth="1"/>
    <col min="3" max="3" width="16" customWidth="1"/>
    <col min="5" max="5" width="23.140625" customWidth="1"/>
  </cols>
  <sheetData>
    <row r="1" spans="1:5" ht="15.75" x14ac:dyDescent="0.25">
      <c r="A1" s="66" t="s">
        <v>22</v>
      </c>
      <c r="B1" s="66"/>
      <c r="C1" s="66"/>
      <c r="D1" s="66"/>
      <c r="E1" s="66"/>
    </row>
    <row r="3" spans="1:5" ht="15.75" x14ac:dyDescent="0.25">
      <c r="A3" s="66" t="s">
        <v>23</v>
      </c>
      <c r="B3" s="66"/>
      <c r="C3" s="66"/>
      <c r="D3" s="66"/>
      <c r="E3" s="66"/>
    </row>
    <row r="4" spans="1:5" ht="13.5" thickBot="1" x14ac:dyDescent="0.25"/>
    <row r="5" spans="1:5" ht="13.5" thickBot="1" x14ac:dyDescent="0.25">
      <c r="A5" s="28" t="s">
        <v>24</v>
      </c>
      <c r="B5" s="29"/>
      <c r="C5" s="30"/>
      <c r="D5" s="30"/>
      <c r="E5" s="31"/>
    </row>
    <row r="6" spans="1:5" ht="13.5" thickBot="1" x14ac:dyDescent="0.25"/>
    <row r="7" spans="1:5" ht="39" thickBot="1" x14ac:dyDescent="0.25">
      <c r="A7" s="32" t="s">
        <v>25</v>
      </c>
      <c r="B7" s="27" t="s">
        <v>0</v>
      </c>
      <c r="C7" s="27" t="s">
        <v>26</v>
      </c>
      <c r="D7" s="27" t="s">
        <v>27</v>
      </c>
      <c r="E7" s="27" t="s">
        <v>28</v>
      </c>
    </row>
    <row r="8" spans="1:5" x14ac:dyDescent="0.2">
      <c r="A8" s="67">
        <v>2027</v>
      </c>
      <c r="B8" s="33" t="s">
        <v>8</v>
      </c>
      <c r="C8" s="34"/>
      <c r="D8" s="34"/>
      <c r="E8" s="35"/>
    </row>
    <row r="9" spans="1:5" x14ac:dyDescent="0.2">
      <c r="A9" s="68"/>
      <c r="B9" s="36" t="s">
        <v>11</v>
      </c>
      <c r="C9" s="37"/>
      <c r="D9" s="37"/>
      <c r="E9" s="38"/>
    </row>
    <row r="10" spans="1:5" x14ac:dyDescent="0.2">
      <c r="A10" s="68"/>
      <c r="B10" s="36" t="s">
        <v>12</v>
      </c>
      <c r="C10" s="37"/>
      <c r="D10" s="37"/>
      <c r="E10" s="38"/>
    </row>
    <row r="11" spans="1:5" x14ac:dyDescent="0.2">
      <c r="A11" s="68"/>
      <c r="B11" s="36" t="s">
        <v>13</v>
      </c>
      <c r="C11" s="37"/>
      <c r="D11" s="37"/>
      <c r="E11" s="38"/>
    </row>
    <row r="12" spans="1:5" x14ac:dyDescent="0.2">
      <c r="A12" s="68"/>
      <c r="B12" s="36" t="s">
        <v>14</v>
      </c>
      <c r="C12" s="37"/>
      <c r="D12" s="37"/>
      <c r="E12" s="38"/>
    </row>
    <row r="13" spans="1:5" x14ac:dyDescent="0.2">
      <c r="A13" s="68"/>
      <c r="B13" s="36" t="s">
        <v>15</v>
      </c>
      <c r="C13" s="37"/>
      <c r="D13" s="37"/>
      <c r="E13" s="38"/>
    </row>
    <row r="14" spans="1:5" x14ac:dyDescent="0.2">
      <c r="A14" s="68"/>
      <c r="B14" s="36" t="s">
        <v>16</v>
      </c>
      <c r="C14" s="37"/>
      <c r="D14" s="37"/>
      <c r="E14" s="38"/>
    </row>
    <row r="15" spans="1:5" x14ac:dyDescent="0.2">
      <c r="A15" s="68"/>
      <c r="B15" s="36" t="s">
        <v>17</v>
      </c>
      <c r="C15" s="37"/>
      <c r="D15" s="37"/>
      <c r="E15" s="38"/>
    </row>
    <row r="16" spans="1:5" x14ac:dyDescent="0.2">
      <c r="A16" s="68"/>
      <c r="B16" s="36" t="s">
        <v>18</v>
      </c>
      <c r="C16" s="37"/>
      <c r="D16" s="37"/>
      <c r="E16" s="38"/>
    </row>
    <row r="17" spans="1:5" x14ac:dyDescent="0.2">
      <c r="A17" s="68"/>
      <c r="B17" s="36" t="s">
        <v>19</v>
      </c>
      <c r="C17" s="37"/>
      <c r="D17" s="37"/>
      <c r="E17" s="38"/>
    </row>
    <row r="18" spans="1:5" x14ac:dyDescent="0.2">
      <c r="A18" s="68"/>
      <c r="B18" s="36" t="s">
        <v>20</v>
      </c>
      <c r="C18" s="37"/>
      <c r="D18" s="37"/>
      <c r="E18" s="38"/>
    </row>
    <row r="19" spans="1:5" ht="13.5" thickBot="1" x14ac:dyDescent="0.25">
      <c r="A19" s="69"/>
      <c r="B19" s="39" t="s">
        <v>21</v>
      </c>
      <c r="C19" s="40"/>
      <c r="D19" s="40"/>
      <c r="E19" s="41"/>
    </row>
    <row r="20" spans="1:5" x14ac:dyDescent="0.2">
      <c r="A20" s="67">
        <v>2028</v>
      </c>
      <c r="B20" s="33" t="s">
        <v>8</v>
      </c>
      <c r="C20" s="34"/>
      <c r="D20" s="34"/>
      <c r="E20" s="35"/>
    </row>
    <row r="21" spans="1:5" x14ac:dyDescent="0.2">
      <c r="A21" s="68"/>
      <c r="B21" s="36" t="s">
        <v>11</v>
      </c>
      <c r="C21" s="37"/>
      <c r="D21" s="37"/>
      <c r="E21" s="38"/>
    </row>
    <row r="22" spans="1:5" x14ac:dyDescent="0.2">
      <c r="A22" s="68"/>
      <c r="B22" s="36" t="s">
        <v>12</v>
      </c>
      <c r="C22" s="37"/>
      <c r="D22" s="37"/>
      <c r="E22" s="38"/>
    </row>
    <row r="23" spans="1:5" x14ac:dyDescent="0.2">
      <c r="A23" s="68"/>
      <c r="B23" s="36" t="s">
        <v>13</v>
      </c>
      <c r="C23" s="37"/>
      <c r="D23" s="37"/>
      <c r="E23" s="38"/>
    </row>
    <row r="24" spans="1:5" x14ac:dyDescent="0.2">
      <c r="A24" s="68"/>
      <c r="B24" s="36" t="s">
        <v>14</v>
      </c>
      <c r="C24" s="37"/>
      <c r="D24" s="37"/>
      <c r="E24" s="38"/>
    </row>
    <row r="25" spans="1:5" x14ac:dyDescent="0.2">
      <c r="A25" s="68"/>
      <c r="B25" s="36" t="s">
        <v>15</v>
      </c>
      <c r="C25" s="37"/>
      <c r="D25" s="37"/>
      <c r="E25" s="38"/>
    </row>
    <row r="26" spans="1:5" x14ac:dyDescent="0.2">
      <c r="A26" s="68"/>
      <c r="B26" s="36" t="s">
        <v>16</v>
      </c>
      <c r="C26" s="37"/>
      <c r="D26" s="37"/>
      <c r="E26" s="38"/>
    </row>
    <row r="27" spans="1:5" x14ac:dyDescent="0.2">
      <c r="A27" s="68"/>
      <c r="B27" s="36" t="s">
        <v>17</v>
      </c>
      <c r="C27" s="37"/>
      <c r="D27" s="37"/>
      <c r="E27" s="38"/>
    </row>
    <row r="28" spans="1:5" x14ac:dyDescent="0.2">
      <c r="A28" s="68"/>
      <c r="B28" s="36" t="s">
        <v>18</v>
      </c>
      <c r="C28" s="37"/>
      <c r="D28" s="37"/>
      <c r="E28" s="38"/>
    </row>
    <row r="29" spans="1:5" x14ac:dyDescent="0.2">
      <c r="A29" s="68"/>
      <c r="B29" s="36" t="s">
        <v>19</v>
      </c>
      <c r="C29" s="37"/>
      <c r="D29" s="37"/>
      <c r="E29" s="38"/>
    </row>
    <row r="30" spans="1:5" x14ac:dyDescent="0.2">
      <c r="A30" s="68"/>
      <c r="B30" s="36" t="s">
        <v>20</v>
      </c>
      <c r="C30" s="37"/>
      <c r="D30" s="37"/>
      <c r="E30" s="38"/>
    </row>
    <row r="31" spans="1:5" ht="13.5" thickBot="1" x14ac:dyDescent="0.25">
      <c r="A31" s="69"/>
      <c r="B31" s="39" t="s">
        <v>21</v>
      </c>
      <c r="C31" s="40"/>
      <c r="D31" s="40"/>
      <c r="E31" s="41"/>
    </row>
    <row r="32" spans="1:5" x14ac:dyDescent="0.2">
      <c r="A32" s="67">
        <v>2029</v>
      </c>
      <c r="B32" s="33" t="s">
        <v>8</v>
      </c>
      <c r="C32" s="34"/>
      <c r="D32" s="34"/>
      <c r="E32" s="35"/>
    </row>
    <row r="33" spans="1:5" x14ac:dyDescent="0.2">
      <c r="A33" s="68"/>
      <c r="B33" s="36" t="s">
        <v>11</v>
      </c>
      <c r="C33" s="37"/>
      <c r="D33" s="37"/>
      <c r="E33" s="38"/>
    </row>
    <row r="34" spans="1:5" x14ac:dyDescent="0.2">
      <c r="A34" s="68"/>
      <c r="B34" s="36" t="s">
        <v>12</v>
      </c>
      <c r="C34" s="37"/>
      <c r="D34" s="37"/>
      <c r="E34" s="38"/>
    </row>
    <row r="35" spans="1:5" x14ac:dyDescent="0.2">
      <c r="A35" s="68"/>
      <c r="B35" s="36" t="s">
        <v>13</v>
      </c>
      <c r="C35" s="37"/>
      <c r="D35" s="37"/>
      <c r="E35" s="38"/>
    </row>
    <row r="36" spans="1:5" x14ac:dyDescent="0.2">
      <c r="A36" s="68"/>
      <c r="B36" s="36" t="s">
        <v>14</v>
      </c>
      <c r="C36" s="37"/>
      <c r="D36" s="37"/>
      <c r="E36" s="38"/>
    </row>
    <row r="37" spans="1:5" x14ac:dyDescent="0.2">
      <c r="A37" s="68"/>
      <c r="B37" s="36" t="s">
        <v>15</v>
      </c>
      <c r="C37" s="37"/>
      <c r="D37" s="37"/>
      <c r="E37" s="38"/>
    </row>
    <row r="38" spans="1:5" x14ac:dyDescent="0.2">
      <c r="A38" s="68"/>
      <c r="B38" s="36" t="s">
        <v>16</v>
      </c>
      <c r="C38" s="37"/>
      <c r="D38" s="37"/>
      <c r="E38" s="38"/>
    </row>
    <row r="39" spans="1:5" x14ac:dyDescent="0.2">
      <c r="A39" s="68"/>
      <c r="B39" s="36" t="s">
        <v>17</v>
      </c>
      <c r="C39" s="37"/>
      <c r="D39" s="37"/>
      <c r="E39" s="38"/>
    </row>
    <row r="40" spans="1:5" x14ac:dyDescent="0.2">
      <c r="A40" s="68"/>
      <c r="B40" s="36" t="s">
        <v>18</v>
      </c>
      <c r="C40" s="37"/>
      <c r="D40" s="37"/>
      <c r="E40" s="38"/>
    </row>
    <row r="41" spans="1:5" x14ac:dyDescent="0.2">
      <c r="A41" s="68"/>
      <c r="B41" s="36" t="s">
        <v>19</v>
      </c>
      <c r="C41" s="37"/>
      <c r="D41" s="37"/>
      <c r="E41" s="38"/>
    </row>
    <row r="42" spans="1:5" x14ac:dyDescent="0.2">
      <c r="A42" s="68"/>
      <c r="B42" s="36" t="s">
        <v>20</v>
      </c>
      <c r="C42" s="37"/>
      <c r="D42" s="37"/>
      <c r="E42" s="38"/>
    </row>
    <row r="43" spans="1:5" ht="13.5" thickBot="1" x14ac:dyDescent="0.25">
      <c r="A43" s="69"/>
      <c r="B43" s="39" t="s">
        <v>21</v>
      </c>
      <c r="C43" s="40"/>
      <c r="D43" s="40"/>
      <c r="E43" s="41"/>
    </row>
    <row r="44" spans="1:5" x14ac:dyDescent="0.2">
      <c r="A44" s="67">
        <v>2030</v>
      </c>
      <c r="B44" s="33" t="s">
        <v>8</v>
      </c>
      <c r="C44" s="34"/>
      <c r="D44" s="34"/>
      <c r="E44" s="35"/>
    </row>
    <row r="45" spans="1:5" x14ac:dyDescent="0.2">
      <c r="A45" s="68"/>
      <c r="B45" s="36" t="s">
        <v>11</v>
      </c>
      <c r="C45" s="37"/>
      <c r="D45" s="37"/>
      <c r="E45" s="38"/>
    </row>
    <row r="46" spans="1:5" x14ac:dyDescent="0.2">
      <c r="A46" s="68"/>
      <c r="B46" s="36" t="s">
        <v>12</v>
      </c>
      <c r="C46" s="37"/>
      <c r="D46" s="37"/>
      <c r="E46" s="38"/>
    </row>
    <row r="47" spans="1:5" x14ac:dyDescent="0.2">
      <c r="A47" s="68"/>
      <c r="B47" s="36" t="s">
        <v>13</v>
      </c>
      <c r="C47" s="37"/>
      <c r="D47" s="37"/>
      <c r="E47" s="38"/>
    </row>
    <row r="48" spans="1:5" x14ac:dyDescent="0.2">
      <c r="A48" s="68"/>
      <c r="B48" s="36" t="s">
        <v>14</v>
      </c>
      <c r="C48" s="37"/>
      <c r="D48" s="37"/>
      <c r="E48" s="38"/>
    </row>
    <row r="49" spans="1:5" x14ac:dyDescent="0.2">
      <c r="A49" s="68"/>
      <c r="B49" s="36" t="s">
        <v>15</v>
      </c>
      <c r="C49" s="37"/>
      <c r="D49" s="37"/>
      <c r="E49" s="38"/>
    </row>
    <row r="50" spans="1:5" x14ac:dyDescent="0.2">
      <c r="A50" s="68"/>
      <c r="B50" s="36" t="s">
        <v>16</v>
      </c>
      <c r="C50" s="37"/>
      <c r="D50" s="37"/>
      <c r="E50" s="38"/>
    </row>
    <row r="51" spans="1:5" x14ac:dyDescent="0.2">
      <c r="A51" s="68"/>
      <c r="B51" s="36" t="s">
        <v>17</v>
      </c>
      <c r="C51" s="37"/>
      <c r="D51" s="37"/>
      <c r="E51" s="38"/>
    </row>
    <row r="52" spans="1:5" x14ac:dyDescent="0.2">
      <c r="A52" s="68"/>
      <c r="B52" s="36" t="s">
        <v>18</v>
      </c>
      <c r="C52" s="37"/>
      <c r="D52" s="37"/>
      <c r="E52" s="38"/>
    </row>
    <row r="53" spans="1:5" x14ac:dyDescent="0.2">
      <c r="A53" s="68"/>
      <c r="B53" s="36" t="s">
        <v>19</v>
      </c>
      <c r="C53" s="37"/>
      <c r="D53" s="37"/>
      <c r="E53" s="38"/>
    </row>
    <row r="54" spans="1:5" x14ac:dyDescent="0.2">
      <c r="A54" s="68"/>
      <c r="B54" s="36" t="s">
        <v>20</v>
      </c>
      <c r="C54" s="37"/>
      <c r="D54" s="37"/>
      <c r="E54" s="38"/>
    </row>
    <row r="55" spans="1:5" ht="13.5" thickBot="1" x14ac:dyDescent="0.25">
      <c r="A55" s="69"/>
      <c r="B55" s="39" t="s">
        <v>21</v>
      </c>
      <c r="C55" s="40"/>
      <c r="D55" s="40"/>
      <c r="E55" s="41"/>
    </row>
    <row r="56" spans="1:5" x14ac:dyDescent="0.2">
      <c r="A56" s="67">
        <v>2031</v>
      </c>
      <c r="B56" s="33" t="s">
        <v>8</v>
      </c>
      <c r="C56" s="34"/>
      <c r="D56" s="34"/>
      <c r="E56" s="35"/>
    </row>
    <row r="57" spans="1:5" x14ac:dyDescent="0.2">
      <c r="A57" s="68"/>
      <c r="B57" s="36" t="s">
        <v>11</v>
      </c>
      <c r="C57" s="37"/>
      <c r="D57" s="37"/>
      <c r="E57" s="38"/>
    </row>
    <row r="58" spans="1:5" x14ac:dyDescent="0.2">
      <c r="A58" s="68"/>
      <c r="B58" s="36" t="s">
        <v>12</v>
      </c>
      <c r="C58" s="37"/>
      <c r="D58" s="37"/>
      <c r="E58" s="38"/>
    </row>
    <row r="59" spans="1:5" x14ac:dyDescent="0.2">
      <c r="A59" s="68"/>
      <c r="B59" s="36" t="s">
        <v>13</v>
      </c>
      <c r="C59" s="37"/>
      <c r="D59" s="37"/>
      <c r="E59" s="38"/>
    </row>
    <row r="60" spans="1:5" x14ac:dyDescent="0.2">
      <c r="A60" s="68"/>
      <c r="B60" s="36" t="s">
        <v>14</v>
      </c>
      <c r="C60" s="37"/>
      <c r="D60" s="37"/>
      <c r="E60" s="38"/>
    </row>
    <row r="61" spans="1:5" x14ac:dyDescent="0.2">
      <c r="A61" s="68"/>
      <c r="B61" s="36" t="s">
        <v>15</v>
      </c>
      <c r="C61" s="37"/>
      <c r="D61" s="37"/>
      <c r="E61" s="38"/>
    </row>
    <row r="62" spans="1:5" x14ac:dyDescent="0.2">
      <c r="A62" s="68"/>
      <c r="B62" s="36" t="s">
        <v>16</v>
      </c>
      <c r="C62" s="37"/>
      <c r="D62" s="37"/>
      <c r="E62" s="38"/>
    </row>
    <row r="63" spans="1:5" x14ac:dyDescent="0.2">
      <c r="A63" s="68"/>
      <c r="B63" s="36" t="s">
        <v>17</v>
      </c>
      <c r="C63" s="37"/>
      <c r="D63" s="37"/>
      <c r="E63" s="38"/>
    </row>
    <row r="64" spans="1:5" x14ac:dyDescent="0.2">
      <c r="A64" s="68"/>
      <c r="B64" s="36" t="s">
        <v>18</v>
      </c>
      <c r="C64" s="37"/>
      <c r="D64" s="37"/>
      <c r="E64" s="38"/>
    </row>
    <row r="65" spans="1:5" x14ac:dyDescent="0.2">
      <c r="A65" s="68"/>
      <c r="B65" s="36" t="s">
        <v>19</v>
      </c>
      <c r="C65" s="37"/>
      <c r="D65" s="37"/>
      <c r="E65" s="38"/>
    </row>
    <row r="66" spans="1:5" x14ac:dyDescent="0.2">
      <c r="A66" s="68"/>
      <c r="B66" s="36" t="s">
        <v>20</v>
      </c>
      <c r="C66" s="37"/>
      <c r="D66" s="37"/>
      <c r="E66" s="38"/>
    </row>
    <row r="67" spans="1:5" ht="13.5" thickBot="1" x14ac:dyDescent="0.25">
      <c r="A67" s="69"/>
      <c r="B67" s="39" t="s">
        <v>21</v>
      </c>
      <c r="C67" s="40"/>
      <c r="D67" s="40"/>
      <c r="E67" s="41"/>
    </row>
    <row r="68" spans="1:5" ht="13.5" thickBot="1" x14ac:dyDescent="0.25">
      <c r="A68" s="42"/>
      <c r="B68" s="43"/>
      <c r="C68" s="43"/>
      <c r="D68" s="43"/>
      <c r="E68" s="43"/>
    </row>
    <row r="69" spans="1:5" x14ac:dyDescent="0.2">
      <c r="A69" s="44" t="s">
        <v>29</v>
      </c>
      <c r="B69" s="45"/>
      <c r="C69" s="45"/>
      <c r="D69" s="45"/>
      <c r="E69" s="46"/>
    </row>
    <row r="70" spans="1:5" x14ac:dyDescent="0.2">
      <c r="A70" s="47"/>
      <c r="B70" s="43"/>
      <c r="C70" s="43"/>
      <c r="D70" s="43"/>
      <c r="E70" s="48"/>
    </row>
    <row r="71" spans="1:5" x14ac:dyDescent="0.2">
      <c r="A71" s="47"/>
      <c r="B71" s="43"/>
      <c r="C71" s="43"/>
      <c r="D71" s="43"/>
      <c r="E71" s="48"/>
    </row>
    <row r="72" spans="1:5" x14ac:dyDescent="0.2">
      <c r="A72" s="47"/>
      <c r="B72" s="43"/>
      <c r="C72" s="43"/>
      <c r="D72" s="43"/>
      <c r="E72" s="48"/>
    </row>
    <row r="73" spans="1:5" x14ac:dyDescent="0.2">
      <c r="A73" s="47"/>
      <c r="B73" s="43"/>
      <c r="C73" s="43"/>
      <c r="D73" s="43"/>
      <c r="E73" s="48"/>
    </row>
    <row r="74" spans="1:5" x14ac:dyDescent="0.2">
      <c r="A74" s="47"/>
      <c r="B74" s="43"/>
      <c r="C74" s="43"/>
      <c r="D74" s="43"/>
      <c r="E74" s="48"/>
    </row>
    <row r="75" spans="1:5" ht="13.5" thickBot="1" x14ac:dyDescent="0.25">
      <c r="A75" s="49"/>
      <c r="B75" s="50"/>
      <c r="C75" s="50"/>
      <c r="D75" s="50"/>
      <c r="E75" s="51"/>
    </row>
  </sheetData>
  <mergeCells count="7">
    <mergeCell ref="A1:E1"/>
    <mergeCell ref="A3:E3"/>
    <mergeCell ref="A8:A19"/>
    <mergeCell ref="A20:A31"/>
    <mergeCell ref="A56:A67"/>
    <mergeCell ref="A32:A43"/>
    <mergeCell ref="A44:A55"/>
  </mergeCells>
  <printOptions horizontalCentered="1" verticalCentered="1"/>
  <pageMargins left="0" right="0" top="0" bottom="0" header="0" footer="0"/>
  <pageSetup scale="11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CANTIDADES AÑO 2027</vt:lpstr>
      <vt:lpstr>CANTIDADES AÑO 2028</vt:lpstr>
      <vt:lpstr>CANTIDADES AÑO 2029</vt:lpstr>
      <vt:lpstr>CANTIDADES AÑO 2030</vt:lpstr>
      <vt:lpstr>CANTIDADES AÑO 2031</vt:lpstr>
      <vt:lpstr>OFERTA</vt:lpstr>
    </vt:vector>
  </TitlesOfParts>
  <Company>EMEVASI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contable emevasi</cp:lastModifiedBy>
  <cp:lastPrinted>2018-10-09T16:11:45Z</cp:lastPrinted>
  <dcterms:created xsi:type="dcterms:W3CDTF">2000-09-12T19:50:14Z</dcterms:created>
  <dcterms:modified xsi:type="dcterms:W3CDTF">2025-06-20T21:26:44Z</dcterms:modified>
</cp:coreProperties>
</file>